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WhatsAppSender\"/>
    </mc:Choice>
  </mc:AlternateContent>
  <xr:revisionPtr revIDLastSave="0" documentId="13_ncr:1_{511897B7-1577-4C57-9DCC-02CF88AEBFC8}" xr6:coauthVersionLast="47" xr6:coauthVersionMax="47" xr10:uidLastSave="{00000000-0000-0000-0000-000000000000}"/>
  <bookViews>
    <workbookView xWindow="-60" yWindow="-60" windowWidth="19320" windowHeight="11520" xr2:uid="{2C935A0B-AD23-49A3-82CF-84EBAC27057B}"/>
  </bookViews>
  <sheets>
    <sheet name="Master_Data" sheetId="1" r:id="rId1"/>
  </sheets>
  <externalReferences>
    <externalReference r:id="rId2"/>
    <externalReference r:id="rId3"/>
  </externalReferences>
  <definedNames>
    <definedName name="_xlnm.Print_Area" localSheetId="0">tbl_DPSAC[#All]</definedName>
    <definedName name="_xlnm.Print_Titles" localSheetId="0">Master_Data!$1:$1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490" i="1" l="1"/>
  <c r="L490" i="1" s="1"/>
  <c r="K490" i="1"/>
  <c r="A490" i="1"/>
  <c r="O489" i="1"/>
  <c r="L489" i="1" s="1"/>
  <c r="K489" i="1"/>
  <c r="A489" i="1"/>
  <c r="O488" i="1"/>
  <c r="L488" i="1" s="1"/>
  <c r="K488" i="1"/>
  <c r="A488" i="1"/>
  <c r="O487" i="1"/>
  <c r="L487" i="1" s="1"/>
  <c r="K487" i="1"/>
  <c r="A487" i="1"/>
  <c r="O486" i="1"/>
  <c r="L486" i="1" s="1"/>
  <c r="K486" i="1"/>
  <c r="A486" i="1"/>
  <c r="O485" i="1"/>
  <c r="L485" i="1" s="1"/>
  <c r="K485" i="1"/>
  <c r="A485" i="1"/>
  <c r="O484" i="1"/>
  <c r="L484" i="1" s="1"/>
  <c r="K484" i="1"/>
  <c r="A484" i="1"/>
  <c r="O483" i="1"/>
  <c r="L483" i="1" s="1"/>
  <c r="K483" i="1"/>
  <c r="A483" i="1"/>
  <c r="O482" i="1"/>
  <c r="L482" i="1" s="1"/>
  <c r="K482" i="1"/>
  <c r="A482" i="1"/>
  <c r="O481" i="1"/>
  <c r="L481" i="1" s="1"/>
  <c r="K481" i="1"/>
  <c r="A481" i="1"/>
  <c r="O480" i="1"/>
  <c r="L480" i="1" s="1"/>
  <c r="K480" i="1"/>
  <c r="A480" i="1"/>
  <c r="L479" i="1"/>
  <c r="A479" i="1"/>
  <c r="L478" i="1"/>
  <c r="A478" i="1"/>
  <c r="L477" i="1"/>
  <c r="A477" i="1"/>
  <c r="L476" i="1"/>
  <c r="A476" i="1"/>
  <c r="L475" i="1"/>
  <c r="A475" i="1"/>
  <c r="O474" i="1"/>
  <c r="L474" i="1" s="1"/>
  <c r="K474" i="1"/>
  <c r="A474" i="1"/>
  <c r="O473" i="1"/>
  <c r="L473" i="1" s="1"/>
  <c r="K473" i="1"/>
  <c r="A473" i="1"/>
  <c r="O472" i="1"/>
  <c r="L472" i="1" s="1"/>
  <c r="K472" i="1"/>
  <c r="A472" i="1"/>
  <c r="O471" i="1"/>
  <c r="L471" i="1" s="1"/>
  <c r="K471" i="1"/>
  <c r="A471" i="1"/>
  <c r="O470" i="1"/>
  <c r="L470" i="1" s="1"/>
  <c r="K470" i="1"/>
  <c r="A470" i="1"/>
  <c r="O469" i="1"/>
  <c r="L469" i="1" s="1"/>
  <c r="K469" i="1"/>
  <c r="A469" i="1"/>
  <c r="O468" i="1"/>
  <c r="L468" i="1" s="1"/>
  <c r="K468" i="1"/>
  <c r="A468" i="1"/>
  <c r="O467" i="1"/>
  <c r="L467" i="1" s="1"/>
  <c r="K467" i="1"/>
  <c r="A467" i="1"/>
  <c r="O466" i="1"/>
  <c r="L466" i="1" s="1"/>
  <c r="K466" i="1"/>
  <c r="A466" i="1"/>
  <c r="O465" i="1"/>
  <c r="L465" i="1" s="1"/>
  <c r="K465" i="1"/>
  <c r="A465" i="1"/>
  <c r="O464" i="1"/>
  <c r="L464" i="1" s="1"/>
  <c r="K464" i="1"/>
  <c r="A464" i="1"/>
  <c r="O463" i="1"/>
  <c r="L463" i="1" s="1"/>
  <c r="K463" i="1"/>
  <c r="A463" i="1"/>
  <c r="O462" i="1"/>
  <c r="L462" i="1" s="1"/>
  <c r="K462" i="1"/>
  <c r="A462" i="1"/>
  <c r="O461" i="1"/>
  <c r="L461" i="1" s="1"/>
  <c r="K461" i="1"/>
  <c r="A461" i="1"/>
  <c r="O460" i="1"/>
  <c r="L460" i="1" s="1"/>
  <c r="K460" i="1"/>
  <c r="A460" i="1"/>
  <c r="O459" i="1"/>
  <c r="L459" i="1" s="1"/>
  <c r="K459" i="1"/>
  <c r="A459" i="1"/>
  <c r="O458" i="1"/>
  <c r="L458" i="1" s="1"/>
  <c r="K458" i="1"/>
  <c r="H458" i="1"/>
  <c r="A458" i="1"/>
  <c r="O457" i="1"/>
  <c r="L457" i="1"/>
  <c r="K457" i="1"/>
  <c r="H457" i="1"/>
  <c r="A457" i="1"/>
  <c r="O456" i="1"/>
  <c r="L456" i="1" s="1"/>
  <c r="K456" i="1"/>
  <c r="H456" i="1"/>
  <c r="A456" i="1"/>
  <c r="O455" i="1"/>
  <c r="L455" i="1"/>
  <c r="K455" i="1"/>
  <c r="H455" i="1"/>
  <c r="A455" i="1"/>
  <c r="O454" i="1"/>
  <c r="L454" i="1" s="1"/>
  <c r="K454" i="1"/>
  <c r="H454" i="1"/>
  <c r="A454" i="1"/>
  <c r="O453" i="1"/>
  <c r="L453" i="1"/>
  <c r="K453" i="1"/>
  <c r="H453" i="1"/>
  <c r="A453" i="1"/>
  <c r="O452" i="1"/>
  <c r="L452" i="1" s="1"/>
  <c r="K452" i="1"/>
  <c r="H452" i="1"/>
  <c r="A452" i="1"/>
  <c r="O451" i="1"/>
  <c r="L451" i="1"/>
  <c r="K451" i="1"/>
  <c r="H451" i="1"/>
  <c r="A451" i="1"/>
  <c r="O450" i="1"/>
  <c r="L450" i="1" s="1"/>
  <c r="K450" i="1"/>
  <c r="H450" i="1"/>
  <c r="A450" i="1"/>
  <c r="O449" i="1"/>
  <c r="L449" i="1"/>
  <c r="K449" i="1"/>
  <c r="H449" i="1"/>
  <c r="A449" i="1"/>
  <c r="O448" i="1"/>
  <c r="L448" i="1" s="1"/>
  <c r="K448" i="1"/>
  <c r="H448" i="1"/>
  <c r="A448" i="1"/>
  <c r="O447" i="1"/>
  <c r="L447" i="1"/>
  <c r="K447" i="1"/>
  <c r="H447" i="1"/>
  <c r="A447" i="1"/>
  <c r="O446" i="1"/>
  <c r="L446" i="1" s="1"/>
  <c r="K446" i="1"/>
  <c r="H446" i="1"/>
  <c r="A446" i="1"/>
  <c r="O445" i="1"/>
  <c r="L445" i="1"/>
  <c r="K445" i="1"/>
  <c r="H445" i="1"/>
  <c r="A445" i="1"/>
  <c r="O444" i="1"/>
  <c r="L444" i="1" s="1"/>
  <c r="K444" i="1"/>
  <c r="H444" i="1"/>
  <c r="A444" i="1"/>
  <c r="O443" i="1"/>
  <c r="L443" i="1"/>
  <c r="K443" i="1"/>
  <c r="H443" i="1"/>
  <c r="A443" i="1"/>
  <c r="O442" i="1"/>
  <c r="L442" i="1" s="1"/>
  <c r="K442" i="1"/>
  <c r="H442" i="1"/>
  <c r="A442" i="1"/>
  <c r="O441" i="1"/>
  <c r="L441" i="1"/>
  <c r="K441" i="1"/>
  <c r="H441" i="1"/>
  <c r="A441" i="1"/>
  <c r="O440" i="1"/>
  <c r="L440" i="1" s="1"/>
  <c r="K440" i="1"/>
  <c r="H440" i="1"/>
  <c r="A440" i="1"/>
  <c r="O439" i="1"/>
  <c r="L439" i="1"/>
  <c r="K439" i="1"/>
  <c r="H439" i="1"/>
  <c r="A439" i="1"/>
  <c r="O438" i="1"/>
  <c r="L438" i="1" s="1"/>
  <c r="K438" i="1"/>
  <c r="H438" i="1"/>
  <c r="A438" i="1"/>
  <c r="O437" i="1"/>
  <c r="L437" i="1"/>
  <c r="K437" i="1"/>
  <c r="H437" i="1"/>
  <c r="A437" i="1"/>
  <c r="O436" i="1"/>
  <c r="L436" i="1" s="1"/>
  <c r="K436" i="1"/>
  <c r="H436" i="1"/>
  <c r="A436" i="1"/>
  <c r="O435" i="1"/>
  <c r="L435" i="1"/>
  <c r="K435" i="1"/>
  <c r="H435" i="1"/>
  <c r="A435" i="1"/>
  <c r="O434" i="1"/>
  <c r="L434" i="1" s="1"/>
  <c r="K434" i="1"/>
  <c r="H434" i="1"/>
  <c r="A434" i="1"/>
  <c r="O433" i="1"/>
  <c r="L433" i="1"/>
  <c r="K433" i="1"/>
  <c r="H433" i="1"/>
  <c r="A433" i="1"/>
  <c r="O432" i="1"/>
  <c r="L432" i="1"/>
  <c r="K432" i="1"/>
  <c r="H432" i="1"/>
  <c r="A432" i="1"/>
  <c r="O431" i="1"/>
  <c r="L431" i="1" s="1"/>
  <c r="K431" i="1"/>
  <c r="H431" i="1"/>
  <c r="A431" i="1"/>
  <c r="O430" i="1"/>
  <c r="L430" i="1" s="1"/>
  <c r="K430" i="1"/>
  <c r="H430" i="1"/>
  <c r="A430" i="1"/>
  <c r="O429" i="1"/>
  <c r="L429" i="1"/>
  <c r="K429" i="1"/>
  <c r="H429" i="1"/>
  <c r="A429" i="1"/>
  <c r="O428" i="1"/>
  <c r="L428" i="1"/>
  <c r="K428" i="1"/>
  <c r="H428" i="1"/>
  <c r="A428" i="1"/>
  <c r="O427" i="1"/>
  <c r="L427" i="1"/>
  <c r="K427" i="1"/>
  <c r="H427" i="1"/>
  <c r="A427" i="1"/>
  <c r="O426" i="1"/>
  <c r="K426" i="1"/>
  <c r="H426" i="1"/>
  <c r="A426" i="1"/>
  <c r="O425" i="1"/>
  <c r="L425" i="1" s="1"/>
  <c r="K425" i="1"/>
  <c r="H425" i="1"/>
  <c r="A425" i="1"/>
  <c r="O424" i="1"/>
  <c r="L424" i="1"/>
  <c r="K424" i="1"/>
  <c r="H424" i="1"/>
  <c r="A424" i="1"/>
  <c r="O423" i="1"/>
  <c r="L423" i="1"/>
  <c r="K423" i="1"/>
  <c r="H423" i="1"/>
  <c r="A423" i="1"/>
  <c r="O422" i="1"/>
  <c r="L422" i="1"/>
  <c r="K422" i="1"/>
  <c r="H422" i="1"/>
  <c r="A422" i="1"/>
  <c r="O421" i="1"/>
  <c r="L421" i="1" s="1"/>
  <c r="K421" i="1"/>
  <c r="H421" i="1"/>
  <c r="A421" i="1"/>
  <c r="O420" i="1"/>
  <c r="L420" i="1"/>
  <c r="K420" i="1"/>
  <c r="H420" i="1"/>
  <c r="A420" i="1"/>
  <c r="O419" i="1"/>
  <c r="L419" i="1" s="1"/>
  <c r="K419" i="1"/>
  <c r="H419" i="1"/>
  <c r="A419" i="1"/>
  <c r="O418" i="1"/>
  <c r="L418" i="1"/>
  <c r="K418" i="1"/>
  <c r="H418" i="1"/>
  <c r="A418" i="1"/>
  <c r="O417" i="1"/>
  <c r="L417" i="1" s="1"/>
  <c r="K417" i="1"/>
  <c r="H417" i="1"/>
  <c r="A417" i="1"/>
  <c r="O416" i="1"/>
  <c r="L416" i="1"/>
  <c r="K416" i="1"/>
  <c r="H416" i="1"/>
  <c r="A416" i="1"/>
  <c r="O415" i="1"/>
  <c r="L415" i="1"/>
  <c r="K415" i="1"/>
  <c r="H415" i="1"/>
  <c r="A415" i="1"/>
  <c r="O414" i="1"/>
  <c r="L414" i="1" s="1"/>
  <c r="K414" i="1"/>
  <c r="H414" i="1"/>
  <c r="A414" i="1"/>
  <c r="O413" i="1"/>
  <c r="L413" i="1" s="1"/>
  <c r="K413" i="1"/>
  <c r="H413" i="1"/>
  <c r="A413" i="1"/>
  <c r="O412" i="1"/>
  <c r="L412" i="1"/>
  <c r="K412" i="1"/>
  <c r="H412" i="1"/>
  <c r="A412" i="1"/>
  <c r="O411" i="1"/>
  <c r="L411" i="1"/>
  <c r="K411" i="1"/>
  <c r="H411" i="1"/>
  <c r="A411" i="1"/>
  <c r="O410" i="1"/>
  <c r="L410" i="1"/>
  <c r="K410" i="1"/>
  <c r="H410" i="1"/>
  <c r="A410" i="1"/>
  <c r="O409" i="1"/>
  <c r="L409" i="1" s="1"/>
  <c r="K409" i="1"/>
  <c r="H409" i="1"/>
  <c r="A409" i="1"/>
  <c r="O408" i="1"/>
  <c r="L408" i="1"/>
  <c r="K408" i="1"/>
  <c r="H408" i="1"/>
  <c r="A408" i="1"/>
  <c r="O407" i="1"/>
  <c r="L407" i="1"/>
  <c r="K407" i="1"/>
  <c r="H407" i="1"/>
  <c r="A407" i="1"/>
  <c r="O406" i="1"/>
  <c r="L406" i="1"/>
  <c r="K406" i="1"/>
  <c r="H406" i="1"/>
  <c r="A406" i="1"/>
  <c r="O405" i="1"/>
  <c r="L405" i="1" s="1"/>
  <c r="K405" i="1"/>
  <c r="H405" i="1"/>
  <c r="A405" i="1"/>
  <c r="O404" i="1"/>
  <c r="L404" i="1"/>
  <c r="K404" i="1"/>
  <c r="H404" i="1"/>
  <c r="A404" i="1"/>
  <c r="O403" i="1"/>
  <c r="L403" i="1" s="1"/>
  <c r="K403" i="1"/>
  <c r="H403" i="1"/>
  <c r="A403" i="1"/>
  <c r="O402" i="1"/>
  <c r="L402" i="1"/>
  <c r="K402" i="1"/>
  <c r="H402" i="1"/>
  <c r="A402" i="1"/>
  <c r="O401" i="1"/>
  <c r="L401" i="1" s="1"/>
  <c r="K401" i="1"/>
  <c r="H401" i="1"/>
  <c r="A401" i="1"/>
  <c r="O400" i="1"/>
  <c r="L400" i="1"/>
  <c r="K400" i="1"/>
  <c r="H400" i="1"/>
  <c r="A400" i="1"/>
  <c r="O399" i="1"/>
  <c r="L399" i="1"/>
  <c r="K399" i="1"/>
  <c r="H399" i="1"/>
  <c r="A399" i="1"/>
  <c r="O398" i="1"/>
  <c r="L398" i="1" s="1"/>
  <c r="K398" i="1"/>
  <c r="H398" i="1"/>
  <c r="A398" i="1"/>
  <c r="O397" i="1"/>
  <c r="L397" i="1" s="1"/>
  <c r="K397" i="1"/>
  <c r="H397" i="1"/>
  <c r="A397" i="1"/>
  <c r="O396" i="1"/>
  <c r="L396" i="1"/>
  <c r="K396" i="1"/>
  <c r="H396" i="1"/>
  <c r="A396" i="1"/>
  <c r="O395" i="1"/>
  <c r="L395" i="1"/>
  <c r="K395" i="1"/>
  <c r="H395" i="1"/>
  <c r="A395" i="1"/>
  <c r="O394" i="1"/>
  <c r="L394" i="1"/>
  <c r="K394" i="1"/>
  <c r="H394" i="1"/>
  <c r="A394" i="1"/>
  <c r="O393" i="1"/>
  <c r="L393" i="1" s="1"/>
  <c r="K393" i="1"/>
  <c r="H393" i="1"/>
  <c r="A393" i="1"/>
  <c r="O392" i="1"/>
  <c r="L392" i="1"/>
  <c r="K392" i="1"/>
  <c r="H392" i="1"/>
  <c r="A392" i="1"/>
  <c r="O391" i="1"/>
  <c r="L391" i="1"/>
  <c r="K391" i="1"/>
  <c r="H391" i="1"/>
  <c r="A391" i="1"/>
  <c r="O390" i="1"/>
  <c r="L390" i="1" s="1"/>
  <c r="K390" i="1"/>
  <c r="H390" i="1"/>
  <c r="A390" i="1"/>
  <c r="O389" i="1"/>
  <c r="L389" i="1" s="1"/>
  <c r="K389" i="1"/>
  <c r="H389" i="1"/>
  <c r="A389" i="1"/>
  <c r="O388" i="1"/>
  <c r="L388" i="1"/>
  <c r="K388" i="1"/>
  <c r="H388" i="1"/>
  <c r="A388" i="1"/>
  <c r="O387" i="1"/>
  <c r="L387" i="1" s="1"/>
  <c r="K387" i="1"/>
  <c r="H387" i="1"/>
  <c r="A387" i="1"/>
  <c r="O386" i="1"/>
  <c r="L386" i="1"/>
  <c r="K386" i="1"/>
  <c r="H386" i="1"/>
  <c r="A386" i="1"/>
  <c r="O385" i="1"/>
  <c r="L385" i="1" s="1"/>
  <c r="K385" i="1"/>
  <c r="H385" i="1"/>
  <c r="A385" i="1"/>
  <c r="O384" i="1"/>
  <c r="L384" i="1"/>
  <c r="K384" i="1"/>
  <c r="H384" i="1"/>
  <c r="A384" i="1"/>
  <c r="O383" i="1"/>
  <c r="L383" i="1"/>
  <c r="K383" i="1"/>
  <c r="H383" i="1"/>
  <c r="A383" i="1"/>
  <c r="O382" i="1"/>
  <c r="L382" i="1" s="1"/>
  <c r="K382" i="1"/>
  <c r="H382" i="1"/>
  <c r="A382" i="1"/>
  <c r="O381" i="1"/>
  <c r="L381" i="1" s="1"/>
  <c r="K381" i="1"/>
  <c r="H381" i="1"/>
  <c r="A381" i="1"/>
  <c r="O380" i="1"/>
  <c r="L380" i="1"/>
  <c r="K380" i="1"/>
  <c r="H380" i="1"/>
  <c r="A380" i="1"/>
  <c r="O379" i="1"/>
  <c r="L379" i="1"/>
  <c r="K379" i="1"/>
  <c r="H379" i="1"/>
  <c r="A379" i="1"/>
  <c r="O378" i="1"/>
  <c r="L378" i="1"/>
  <c r="K378" i="1"/>
  <c r="H378" i="1"/>
  <c r="A378" i="1"/>
  <c r="O377" i="1"/>
  <c r="L377" i="1" s="1"/>
  <c r="K377" i="1"/>
  <c r="H377" i="1"/>
  <c r="A377" i="1"/>
  <c r="O376" i="1"/>
  <c r="L376" i="1"/>
  <c r="K376" i="1"/>
  <c r="H376" i="1"/>
  <c r="A376" i="1"/>
  <c r="O375" i="1"/>
  <c r="L375" i="1"/>
  <c r="K375" i="1"/>
  <c r="H375" i="1"/>
  <c r="A375" i="1"/>
  <c r="O374" i="1"/>
  <c r="L374" i="1"/>
  <c r="K374" i="1"/>
  <c r="A374" i="1"/>
  <c r="O373" i="1"/>
  <c r="L373" i="1"/>
  <c r="K373" i="1"/>
  <c r="H373" i="1"/>
  <c r="A373" i="1"/>
  <c r="O372" i="1"/>
  <c r="L372" i="1" s="1"/>
  <c r="K372" i="1"/>
  <c r="H372" i="1"/>
  <c r="A372" i="1"/>
  <c r="O371" i="1"/>
  <c r="L371" i="1"/>
  <c r="K371" i="1"/>
  <c r="H371" i="1"/>
  <c r="A371" i="1"/>
  <c r="O370" i="1"/>
  <c r="L370" i="1" s="1"/>
  <c r="K370" i="1"/>
  <c r="H370" i="1"/>
  <c r="A370" i="1"/>
  <c r="O369" i="1"/>
  <c r="L369" i="1"/>
  <c r="K369" i="1"/>
  <c r="H369" i="1"/>
  <c r="A369" i="1"/>
  <c r="O368" i="1"/>
  <c r="L368" i="1" s="1"/>
  <c r="K368" i="1"/>
  <c r="H368" i="1"/>
  <c r="A368" i="1"/>
  <c r="O367" i="1"/>
  <c r="L367" i="1"/>
  <c r="K367" i="1"/>
  <c r="H367" i="1"/>
  <c r="A367" i="1"/>
  <c r="O366" i="1"/>
  <c r="L366" i="1"/>
  <c r="K366" i="1"/>
  <c r="H366" i="1"/>
  <c r="A366" i="1"/>
  <c r="O365" i="1"/>
  <c r="L365" i="1" s="1"/>
  <c r="K365" i="1"/>
  <c r="H365" i="1"/>
  <c r="A365" i="1"/>
  <c r="O364" i="1"/>
  <c r="L364" i="1" s="1"/>
  <c r="K364" i="1"/>
  <c r="H364" i="1"/>
  <c r="A364" i="1"/>
  <c r="O363" i="1"/>
  <c r="L363" i="1"/>
  <c r="K363" i="1"/>
  <c r="H363" i="1"/>
  <c r="A363" i="1"/>
  <c r="O362" i="1"/>
  <c r="L362" i="1"/>
  <c r="K362" i="1"/>
  <c r="H362" i="1"/>
  <c r="A362" i="1"/>
  <c r="O361" i="1"/>
  <c r="L361" i="1"/>
  <c r="K361" i="1"/>
  <c r="H361" i="1"/>
  <c r="A361" i="1"/>
  <c r="O360" i="1"/>
  <c r="L360" i="1" s="1"/>
  <c r="K360" i="1"/>
  <c r="H360" i="1"/>
  <c r="A360" i="1"/>
  <c r="O359" i="1"/>
  <c r="L359" i="1"/>
  <c r="K359" i="1"/>
  <c r="H359" i="1"/>
  <c r="A359" i="1"/>
  <c r="O358" i="1"/>
  <c r="L358" i="1"/>
  <c r="K358" i="1"/>
  <c r="H358" i="1"/>
  <c r="A358" i="1"/>
  <c r="O357" i="1"/>
  <c r="L357" i="1"/>
  <c r="K357" i="1"/>
  <c r="H357" i="1"/>
  <c r="A357" i="1"/>
  <c r="O356" i="1"/>
  <c r="L356" i="1" s="1"/>
  <c r="K356" i="1"/>
  <c r="H356" i="1"/>
  <c r="A356" i="1"/>
  <c r="O355" i="1"/>
  <c r="L355" i="1"/>
  <c r="K355" i="1"/>
  <c r="H355" i="1"/>
  <c r="A355" i="1"/>
  <c r="O354" i="1"/>
  <c r="L354" i="1" s="1"/>
  <c r="K354" i="1"/>
  <c r="H354" i="1"/>
  <c r="A354" i="1"/>
  <c r="O353" i="1"/>
  <c r="L353" i="1"/>
  <c r="K353" i="1"/>
  <c r="H353" i="1"/>
  <c r="A353" i="1"/>
  <c r="O352" i="1"/>
  <c r="L352" i="1" s="1"/>
  <c r="K352" i="1"/>
  <c r="H352" i="1"/>
  <c r="A352" i="1"/>
  <c r="O351" i="1"/>
  <c r="L351" i="1"/>
  <c r="K351" i="1"/>
  <c r="H351" i="1"/>
  <c r="A351" i="1"/>
  <c r="O350" i="1"/>
  <c r="L350" i="1"/>
  <c r="K350" i="1"/>
  <c r="H350" i="1"/>
  <c r="A350" i="1"/>
  <c r="O349" i="1"/>
  <c r="L349" i="1" s="1"/>
  <c r="K349" i="1"/>
  <c r="H349" i="1"/>
  <c r="A349" i="1"/>
  <c r="O348" i="1"/>
  <c r="L348" i="1" s="1"/>
  <c r="K348" i="1"/>
  <c r="H348" i="1"/>
  <c r="A348" i="1"/>
  <c r="O347" i="1"/>
  <c r="L347" i="1"/>
  <c r="K347" i="1"/>
  <c r="H347" i="1"/>
  <c r="A347" i="1"/>
  <c r="O346" i="1"/>
  <c r="L346" i="1"/>
  <c r="K346" i="1"/>
  <c r="H346" i="1"/>
  <c r="A346" i="1"/>
  <c r="O345" i="1"/>
  <c r="L345" i="1"/>
  <c r="K345" i="1"/>
  <c r="H345" i="1"/>
  <c r="A345" i="1"/>
  <c r="O344" i="1"/>
  <c r="L344" i="1" s="1"/>
  <c r="K344" i="1"/>
  <c r="H344" i="1"/>
  <c r="A344" i="1"/>
  <c r="O343" i="1"/>
  <c r="L343" i="1"/>
  <c r="K343" i="1"/>
  <c r="H343" i="1"/>
  <c r="A343" i="1"/>
  <c r="O342" i="1"/>
  <c r="L342" i="1"/>
  <c r="K342" i="1"/>
  <c r="H342" i="1"/>
  <c r="A342" i="1"/>
  <c r="O341" i="1"/>
  <c r="L341" i="1"/>
  <c r="K341" i="1"/>
  <c r="H341" i="1"/>
  <c r="A341" i="1"/>
  <c r="O340" i="1"/>
  <c r="L340" i="1" s="1"/>
  <c r="K340" i="1"/>
  <c r="H340" i="1"/>
  <c r="A340" i="1"/>
  <c r="O339" i="1"/>
  <c r="L339" i="1"/>
  <c r="K339" i="1"/>
  <c r="H339" i="1"/>
  <c r="A339" i="1"/>
  <c r="O338" i="1"/>
  <c r="L338" i="1" s="1"/>
  <c r="K338" i="1"/>
  <c r="H338" i="1"/>
  <c r="A338" i="1"/>
  <c r="O337" i="1"/>
  <c r="L337" i="1"/>
  <c r="K337" i="1"/>
  <c r="H337" i="1"/>
  <c r="A337" i="1"/>
  <c r="O336" i="1"/>
  <c r="L336" i="1" s="1"/>
  <c r="K336" i="1"/>
  <c r="H336" i="1"/>
  <c r="A336" i="1"/>
  <c r="O335" i="1"/>
  <c r="L335" i="1"/>
  <c r="K335" i="1"/>
  <c r="H335" i="1"/>
  <c r="A335" i="1"/>
  <c r="O334" i="1"/>
  <c r="L334" i="1"/>
  <c r="K334" i="1"/>
  <c r="H334" i="1"/>
  <c r="A334" i="1"/>
  <c r="O333" i="1"/>
  <c r="L333" i="1" s="1"/>
  <c r="K333" i="1"/>
  <c r="H333" i="1"/>
  <c r="A333" i="1"/>
  <c r="O332" i="1"/>
  <c r="L332" i="1" s="1"/>
  <c r="K332" i="1"/>
  <c r="H332" i="1"/>
  <c r="A332" i="1"/>
  <c r="O331" i="1"/>
  <c r="L331" i="1"/>
  <c r="K331" i="1"/>
  <c r="H331" i="1"/>
  <c r="A331" i="1"/>
  <c r="O330" i="1"/>
  <c r="L330" i="1"/>
  <c r="K330" i="1"/>
  <c r="H330" i="1"/>
  <c r="A330" i="1"/>
  <c r="O329" i="1"/>
  <c r="L329" i="1"/>
  <c r="K329" i="1"/>
  <c r="H329" i="1"/>
  <c r="A329" i="1"/>
  <c r="O328" i="1"/>
  <c r="L328" i="1" s="1"/>
  <c r="K328" i="1"/>
  <c r="H328" i="1"/>
  <c r="A328" i="1"/>
  <c r="O327" i="1"/>
  <c r="L327" i="1"/>
  <c r="K327" i="1"/>
  <c r="H327" i="1"/>
  <c r="A327" i="1"/>
  <c r="O326" i="1"/>
  <c r="L326" i="1"/>
  <c r="K326" i="1"/>
  <c r="H326" i="1"/>
  <c r="A326" i="1"/>
  <c r="O325" i="1"/>
  <c r="L325" i="1"/>
  <c r="K325" i="1"/>
  <c r="H325" i="1"/>
  <c r="A325" i="1"/>
  <c r="O324" i="1"/>
  <c r="L324" i="1" s="1"/>
  <c r="K324" i="1"/>
  <c r="H324" i="1"/>
  <c r="A324" i="1"/>
  <c r="O323" i="1"/>
  <c r="L323" i="1"/>
  <c r="K323" i="1"/>
  <c r="H323" i="1"/>
  <c r="A323" i="1"/>
  <c r="O322" i="1"/>
  <c r="L322" i="1" s="1"/>
  <c r="K322" i="1"/>
  <c r="H322" i="1"/>
  <c r="A322" i="1"/>
  <c r="O321" i="1"/>
  <c r="L321" i="1"/>
  <c r="K321" i="1"/>
  <c r="H321" i="1"/>
  <c r="A321" i="1"/>
  <c r="O320" i="1"/>
  <c r="L320" i="1" s="1"/>
  <c r="K320" i="1"/>
  <c r="H320" i="1"/>
  <c r="A320" i="1"/>
  <c r="O319" i="1"/>
  <c r="L319" i="1"/>
  <c r="K319" i="1"/>
  <c r="H319" i="1"/>
  <c r="A319" i="1"/>
  <c r="O318" i="1"/>
  <c r="L318" i="1"/>
  <c r="K318" i="1"/>
  <c r="H318" i="1"/>
  <c r="A318" i="1"/>
  <c r="O317" i="1"/>
  <c r="L317" i="1" s="1"/>
  <c r="K317" i="1"/>
  <c r="H317" i="1"/>
  <c r="A317" i="1"/>
  <c r="O316" i="1"/>
  <c r="L316" i="1" s="1"/>
  <c r="K316" i="1"/>
  <c r="H316" i="1"/>
  <c r="A316" i="1"/>
  <c r="O315" i="1"/>
  <c r="L315" i="1"/>
  <c r="K315" i="1"/>
  <c r="H315" i="1"/>
  <c r="A315" i="1"/>
  <c r="O314" i="1"/>
  <c r="L314" i="1"/>
  <c r="K314" i="1"/>
  <c r="H314" i="1"/>
  <c r="A314" i="1"/>
  <c r="O313" i="1"/>
  <c r="L313" i="1"/>
  <c r="K313" i="1"/>
  <c r="H313" i="1"/>
  <c r="A313" i="1"/>
  <c r="O312" i="1"/>
  <c r="L312" i="1" s="1"/>
  <c r="K312" i="1"/>
  <c r="H312" i="1"/>
  <c r="A312" i="1"/>
  <c r="O311" i="1"/>
  <c r="L311" i="1"/>
  <c r="K311" i="1"/>
  <c r="H311" i="1"/>
  <c r="A311" i="1"/>
  <c r="O310" i="1"/>
  <c r="L310" i="1"/>
  <c r="K310" i="1"/>
  <c r="H310" i="1"/>
  <c r="A310" i="1"/>
  <c r="O309" i="1"/>
  <c r="L309" i="1"/>
  <c r="K309" i="1"/>
  <c r="H309" i="1"/>
  <c r="A309" i="1"/>
  <c r="O308" i="1"/>
  <c r="L308" i="1" s="1"/>
  <c r="K308" i="1"/>
  <c r="H308" i="1"/>
  <c r="A308" i="1"/>
  <c r="O307" i="1"/>
  <c r="L307" i="1"/>
  <c r="K307" i="1"/>
  <c r="H307" i="1"/>
  <c r="A307" i="1"/>
  <c r="O306" i="1"/>
  <c r="L306" i="1" s="1"/>
  <c r="K306" i="1"/>
  <c r="H306" i="1"/>
  <c r="A306" i="1"/>
  <c r="O305" i="1"/>
  <c r="L305" i="1" s="1"/>
  <c r="K305" i="1"/>
  <c r="H305" i="1"/>
  <c r="A305" i="1"/>
  <c r="O304" i="1"/>
  <c r="L304" i="1" s="1"/>
  <c r="K304" i="1"/>
  <c r="H304" i="1"/>
  <c r="A304" i="1"/>
  <c r="O303" i="1"/>
  <c r="L303" i="1"/>
  <c r="K303" i="1"/>
  <c r="H303" i="1"/>
  <c r="A303" i="1"/>
  <c r="O302" i="1"/>
  <c r="L302" i="1"/>
  <c r="K302" i="1"/>
  <c r="H302" i="1"/>
  <c r="A302" i="1"/>
  <c r="O301" i="1"/>
  <c r="L301" i="1" s="1"/>
  <c r="K301" i="1"/>
  <c r="H301" i="1"/>
  <c r="A301" i="1"/>
  <c r="O300" i="1"/>
  <c r="L300" i="1" s="1"/>
  <c r="K300" i="1"/>
  <c r="H300" i="1"/>
  <c r="A300" i="1"/>
  <c r="O299" i="1"/>
  <c r="L299" i="1"/>
  <c r="K299" i="1"/>
  <c r="H299" i="1"/>
  <c r="A299" i="1"/>
  <c r="O298" i="1"/>
  <c r="L298" i="1"/>
  <c r="K298" i="1"/>
  <c r="H298" i="1"/>
  <c r="A298" i="1"/>
  <c r="L297" i="1"/>
  <c r="K297" i="1"/>
  <c r="H297" i="1"/>
  <c r="A297" i="1"/>
  <c r="L296" i="1"/>
  <c r="K296" i="1"/>
  <c r="H296" i="1"/>
  <c r="A296" i="1"/>
  <c r="O295" i="1"/>
  <c r="L295" i="1"/>
  <c r="K295" i="1"/>
  <c r="H295" i="1"/>
  <c r="A295" i="1"/>
  <c r="O294" i="1"/>
  <c r="L294" i="1" s="1"/>
  <c r="K294" i="1"/>
  <c r="H294" i="1"/>
  <c r="A294" i="1"/>
  <c r="O293" i="1"/>
  <c r="L293" i="1"/>
  <c r="K293" i="1"/>
  <c r="H293" i="1"/>
  <c r="A293" i="1"/>
  <c r="O292" i="1"/>
  <c r="L292" i="1" s="1"/>
  <c r="K292" i="1"/>
  <c r="H292" i="1"/>
  <c r="A292" i="1"/>
  <c r="O291" i="1"/>
  <c r="L291" i="1"/>
  <c r="K291" i="1"/>
  <c r="H291" i="1"/>
  <c r="A291" i="1"/>
  <c r="O290" i="1"/>
  <c r="L290" i="1" s="1"/>
  <c r="K290" i="1"/>
  <c r="H290" i="1"/>
  <c r="A290" i="1"/>
  <c r="O289" i="1"/>
  <c r="L289" i="1"/>
  <c r="K289" i="1"/>
  <c r="H289" i="1"/>
  <c r="A289" i="1"/>
  <c r="O288" i="1"/>
  <c r="L288" i="1" s="1"/>
  <c r="K288" i="1"/>
  <c r="H288" i="1"/>
  <c r="A288" i="1"/>
  <c r="O287" i="1"/>
  <c r="L287" i="1" s="1"/>
  <c r="K287" i="1"/>
  <c r="H287" i="1"/>
  <c r="A287" i="1"/>
  <c r="O286" i="1"/>
  <c r="L286" i="1" s="1"/>
  <c r="K286" i="1"/>
  <c r="H286" i="1"/>
  <c r="A286" i="1"/>
  <c r="O285" i="1"/>
  <c r="L285" i="1"/>
  <c r="K285" i="1"/>
  <c r="H285" i="1"/>
  <c r="A285" i="1"/>
  <c r="O284" i="1"/>
  <c r="L284" i="1"/>
  <c r="K284" i="1"/>
  <c r="H284" i="1"/>
  <c r="A284" i="1"/>
  <c r="O283" i="1"/>
  <c r="L283" i="1" s="1"/>
  <c r="K283" i="1"/>
  <c r="H283" i="1"/>
  <c r="A283" i="1"/>
  <c r="O282" i="1"/>
  <c r="L282" i="1" s="1"/>
  <c r="K282" i="1"/>
  <c r="H282" i="1"/>
  <c r="A282" i="1"/>
  <c r="O281" i="1"/>
  <c r="L281" i="1"/>
  <c r="K281" i="1"/>
  <c r="H281" i="1"/>
  <c r="A281" i="1"/>
  <c r="O280" i="1"/>
  <c r="L280" i="1"/>
  <c r="K280" i="1"/>
  <c r="H280" i="1"/>
  <c r="A280" i="1"/>
  <c r="O279" i="1"/>
  <c r="L279" i="1"/>
  <c r="K279" i="1"/>
  <c r="H279" i="1"/>
  <c r="A279" i="1"/>
  <c r="O278" i="1"/>
  <c r="L278" i="1" s="1"/>
  <c r="K278" i="1"/>
  <c r="H278" i="1"/>
  <c r="A278" i="1"/>
  <c r="O277" i="1"/>
  <c r="L277" i="1"/>
  <c r="K277" i="1"/>
  <c r="H277" i="1"/>
  <c r="A277" i="1"/>
  <c r="O276" i="1"/>
  <c r="L276" i="1" s="1"/>
  <c r="K276" i="1"/>
  <c r="H276" i="1"/>
  <c r="A276" i="1"/>
  <c r="O275" i="1"/>
  <c r="L275" i="1"/>
  <c r="K275" i="1"/>
  <c r="H275" i="1"/>
  <c r="A275" i="1"/>
  <c r="O274" i="1"/>
  <c r="L274" i="1" s="1"/>
  <c r="K274" i="1"/>
  <c r="H274" i="1"/>
  <c r="A274" i="1"/>
  <c r="O273" i="1"/>
  <c r="L273" i="1"/>
  <c r="K273" i="1"/>
  <c r="H273" i="1"/>
  <c r="A273" i="1"/>
  <c r="O272" i="1"/>
  <c r="L272" i="1" s="1"/>
  <c r="K272" i="1"/>
  <c r="H272" i="1"/>
  <c r="A272" i="1"/>
  <c r="O271" i="1"/>
  <c r="L271" i="1" s="1"/>
  <c r="K271" i="1"/>
  <c r="H271" i="1"/>
  <c r="A271" i="1"/>
  <c r="O270" i="1"/>
  <c r="L270" i="1" s="1"/>
  <c r="K270" i="1"/>
  <c r="H270" i="1"/>
  <c r="A270" i="1"/>
  <c r="O269" i="1"/>
  <c r="L269" i="1"/>
  <c r="K269" i="1"/>
  <c r="H269" i="1"/>
  <c r="A269" i="1"/>
  <c r="O268" i="1"/>
  <c r="L268" i="1"/>
  <c r="K268" i="1"/>
  <c r="H268" i="1"/>
  <c r="A268" i="1"/>
  <c r="O267" i="1"/>
  <c r="L267" i="1" s="1"/>
  <c r="K267" i="1"/>
  <c r="H267" i="1"/>
  <c r="A267" i="1"/>
  <c r="O266" i="1"/>
  <c r="L266" i="1" s="1"/>
  <c r="K266" i="1"/>
  <c r="H266" i="1"/>
  <c r="A266" i="1"/>
  <c r="O265" i="1"/>
  <c r="L265" i="1"/>
  <c r="K265" i="1"/>
  <c r="H265" i="1"/>
  <c r="A265" i="1"/>
  <c r="O264" i="1"/>
  <c r="L264" i="1"/>
  <c r="K264" i="1"/>
  <c r="H264" i="1"/>
  <c r="A264" i="1"/>
  <c r="O263" i="1"/>
  <c r="L263" i="1"/>
  <c r="K263" i="1"/>
  <c r="H263" i="1"/>
  <c r="A263" i="1"/>
  <c r="O262" i="1"/>
  <c r="L262" i="1" s="1"/>
  <c r="K262" i="1"/>
  <c r="H262" i="1"/>
  <c r="A262" i="1"/>
  <c r="O261" i="1"/>
  <c r="L261" i="1"/>
  <c r="K261" i="1"/>
  <c r="H261" i="1"/>
  <c r="A261" i="1"/>
  <c r="O260" i="1"/>
  <c r="L260" i="1" s="1"/>
  <c r="K260" i="1"/>
  <c r="H260" i="1"/>
  <c r="A260" i="1"/>
  <c r="O259" i="1"/>
  <c r="L259" i="1"/>
  <c r="K259" i="1"/>
  <c r="H259" i="1"/>
  <c r="A259" i="1"/>
  <c r="O258" i="1"/>
  <c r="L258" i="1" s="1"/>
  <c r="K258" i="1"/>
  <c r="H258" i="1"/>
  <c r="A258" i="1"/>
  <c r="O257" i="1"/>
  <c r="L257" i="1"/>
  <c r="K257" i="1"/>
  <c r="H257" i="1"/>
  <c r="A257" i="1"/>
  <c r="O256" i="1"/>
  <c r="L256" i="1" s="1"/>
  <c r="K256" i="1"/>
  <c r="H256" i="1"/>
  <c r="A256" i="1"/>
  <c r="O255" i="1"/>
  <c r="L255" i="1" s="1"/>
  <c r="K255" i="1"/>
  <c r="H255" i="1"/>
  <c r="A255" i="1"/>
  <c r="O254" i="1"/>
  <c r="L254" i="1" s="1"/>
  <c r="K254" i="1"/>
  <c r="H254" i="1"/>
  <c r="A254" i="1"/>
  <c r="O253" i="1"/>
  <c r="L253" i="1"/>
  <c r="K253" i="1"/>
  <c r="H253" i="1"/>
  <c r="A253" i="1"/>
  <c r="O252" i="1"/>
  <c r="L252" i="1"/>
  <c r="K252" i="1"/>
  <c r="H252" i="1"/>
  <c r="A252" i="1"/>
  <c r="O251" i="1"/>
  <c r="L251" i="1" s="1"/>
  <c r="K251" i="1"/>
  <c r="H251" i="1"/>
  <c r="A251" i="1"/>
  <c r="O250" i="1"/>
  <c r="L250" i="1" s="1"/>
  <c r="K250" i="1"/>
  <c r="H250" i="1"/>
  <c r="A250" i="1"/>
  <c r="O249" i="1"/>
  <c r="L249" i="1"/>
  <c r="K249" i="1"/>
  <c r="H249" i="1"/>
  <c r="A249" i="1"/>
  <c r="O248" i="1"/>
  <c r="L248" i="1"/>
  <c r="K248" i="1"/>
  <c r="H248" i="1"/>
  <c r="A248" i="1"/>
  <c r="O247" i="1"/>
  <c r="L247" i="1"/>
  <c r="K247" i="1"/>
  <c r="H247" i="1"/>
  <c r="A247" i="1"/>
  <c r="O246" i="1"/>
  <c r="L246" i="1" s="1"/>
  <c r="K246" i="1"/>
  <c r="H246" i="1"/>
  <c r="A246" i="1"/>
  <c r="O245" i="1"/>
  <c r="L245" i="1"/>
  <c r="K245" i="1"/>
  <c r="H245" i="1"/>
  <c r="A245" i="1"/>
  <c r="O244" i="1"/>
  <c r="L244" i="1" s="1"/>
  <c r="K244" i="1"/>
  <c r="H244" i="1"/>
  <c r="A244" i="1"/>
  <c r="O243" i="1"/>
  <c r="L243" i="1"/>
  <c r="K243" i="1"/>
  <c r="H243" i="1"/>
  <c r="A243" i="1"/>
  <c r="O242" i="1"/>
  <c r="L242" i="1" s="1"/>
  <c r="K242" i="1"/>
  <c r="H242" i="1"/>
  <c r="A242" i="1"/>
  <c r="O241" i="1"/>
  <c r="L241" i="1"/>
  <c r="K241" i="1"/>
  <c r="H241" i="1"/>
  <c r="A241" i="1"/>
  <c r="O240" i="1"/>
  <c r="L240" i="1" s="1"/>
  <c r="K240" i="1"/>
  <c r="H240" i="1"/>
  <c r="A240" i="1"/>
  <c r="O239" i="1"/>
  <c r="L239" i="1" s="1"/>
  <c r="K239" i="1"/>
  <c r="H239" i="1"/>
  <c r="A239" i="1"/>
  <c r="O238" i="1"/>
  <c r="L238" i="1" s="1"/>
  <c r="K238" i="1"/>
  <c r="H238" i="1"/>
  <c r="A238" i="1"/>
  <c r="O237" i="1"/>
  <c r="L237" i="1"/>
  <c r="K237" i="1"/>
  <c r="H237" i="1"/>
  <c r="A237" i="1"/>
  <c r="O236" i="1"/>
  <c r="L236" i="1"/>
  <c r="K236" i="1"/>
  <c r="H236" i="1"/>
  <c r="A236" i="1"/>
  <c r="O235" i="1"/>
  <c r="L235" i="1" s="1"/>
  <c r="K235" i="1"/>
  <c r="H235" i="1"/>
  <c r="A235" i="1"/>
  <c r="O234" i="1"/>
  <c r="L234" i="1" s="1"/>
  <c r="K234" i="1"/>
  <c r="H234" i="1"/>
  <c r="A234" i="1"/>
  <c r="O233" i="1"/>
  <c r="L233" i="1"/>
  <c r="K233" i="1"/>
  <c r="H233" i="1"/>
  <c r="A233" i="1"/>
  <c r="O232" i="1"/>
  <c r="L232" i="1"/>
  <c r="K232" i="1"/>
  <c r="H232" i="1"/>
  <c r="A232" i="1"/>
  <c r="O231" i="1"/>
  <c r="L231" i="1"/>
  <c r="K231" i="1"/>
  <c r="H231" i="1"/>
  <c r="A231" i="1"/>
  <c r="O230" i="1"/>
  <c r="L230" i="1" s="1"/>
  <c r="K230" i="1"/>
  <c r="H230" i="1"/>
  <c r="A230" i="1"/>
  <c r="O229" i="1"/>
  <c r="L229" i="1"/>
  <c r="K229" i="1"/>
  <c r="H229" i="1"/>
  <c r="A229" i="1"/>
  <c r="O228" i="1"/>
  <c r="L228" i="1" s="1"/>
  <c r="K228" i="1"/>
  <c r="H228" i="1"/>
  <c r="A228" i="1"/>
  <c r="O227" i="1"/>
  <c r="L227" i="1"/>
  <c r="K227" i="1"/>
  <c r="H227" i="1"/>
  <c r="A227" i="1"/>
  <c r="O226" i="1"/>
  <c r="L226" i="1" s="1"/>
  <c r="K226" i="1"/>
  <c r="H226" i="1"/>
  <c r="A226" i="1"/>
  <c r="O225" i="1"/>
  <c r="L225" i="1"/>
  <c r="K225" i="1"/>
  <c r="H225" i="1"/>
  <c r="A225" i="1"/>
  <c r="O224" i="1"/>
  <c r="L224" i="1" s="1"/>
  <c r="K224" i="1"/>
  <c r="H224" i="1"/>
  <c r="A224" i="1"/>
  <c r="O223" i="1"/>
  <c r="L223" i="1" s="1"/>
  <c r="K223" i="1"/>
  <c r="H223" i="1"/>
  <c r="A223" i="1"/>
  <c r="O222" i="1"/>
  <c r="L222" i="1" s="1"/>
  <c r="K222" i="1"/>
  <c r="H222" i="1"/>
  <c r="A222" i="1"/>
  <c r="O221" i="1"/>
  <c r="L221" i="1"/>
  <c r="K221" i="1"/>
  <c r="H221" i="1"/>
  <c r="A221" i="1"/>
  <c r="O220" i="1"/>
  <c r="L220" i="1"/>
  <c r="K220" i="1"/>
  <c r="H220" i="1"/>
  <c r="A220" i="1"/>
  <c r="O219" i="1"/>
  <c r="L219" i="1" s="1"/>
  <c r="K219" i="1"/>
  <c r="H219" i="1"/>
  <c r="A219" i="1"/>
  <c r="O218" i="1"/>
  <c r="L218" i="1" s="1"/>
  <c r="K218" i="1"/>
  <c r="H218" i="1"/>
  <c r="A218" i="1"/>
  <c r="O217" i="1"/>
  <c r="L217" i="1"/>
  <c r="K217" i="1"/>
  <c r="H217" i="1"/>
  <c r="A217" i="1"/>
  <c r="O216" i="1"/>
  <c r="L216" i="1"/>
  <c r="K216" i="1"/>
  <c r="H216" i="1"/>
  <c r="A216" i="1"/>
  <c r="O215" i="1"/>
  <c r="L215" i="1"/>
  <c r="K215" i="1"/>
  <c r="H215" i="1"/>
  <c r="A215" i="1"/>
  <c r="O214" i="1"/>
  <c r="L214" i="1" s="1"/>
  <c r="K214" i="1"/>
  <c r="H214" i="1"/>
  <c r="A214" i="1"/>
  <c r="O213" i="1"/>
  <c r="L213" i="1"/>
  <c r="K213" i="1"/>
  <c r="H213" i="1"/>
  <c r="A213" i="1"/>
  <c r="O212" i="1"/>
  <c r="L212" i="1" s="1"/>
  <c r="K212" i="1"/>
  <c r="H212" i="1"/>
  <c r="A212" i="1"/>
  <c r="O211" i="1"/>
  <c r="L211" i="1"/>
  <c r="K211" i="1"/>
  <c r="H211" i="1"/>
  <c r="A211" i="1"/>
  <c r="O210" i="1"/>
  <c r="L210" i="1" s="1"/>
  <c r="K210" i="1"/>
  <c r="H210" i="1"/>
  <c r="A210" i="1"/>
  <c r="O209" i="1"/>
  <c r="L209" i="1"/>
  <c r="K209" i="1"/>
  <c r="H209" i="1"/>
  <c r="A209" i="1"/>
  <c r="O208" i="1"/>
  <c r="L208" i="1" s="1"/>
  <c r="K208" i="1"/>
  <c r="H208" i="1"/>
  <c r="A208" i="1"/>
  <c r="O207" i="1"/>
  <c r="L207" i="1" s="1"/>
  <c r="K207" i="1"/>
  <c r="H207" i="1"/>
  <c r="A207" i="1"/>
  <c r="O206" i="1"/>
  <c r="L206" i="1" s="1"/>
  <c r="K206" i="1"/>
  <c r="H206" i="1"/>
  <c r="A206" i="1"/>
  <c r="O205" i="1"/>
  <c r="L205" i="1"/>
  <c r="K205" i="1"/>
  <c r="H205" i="1"/>
  <c r="A205" i="1"/>
  <c r="O204" i="1"/>
  <c r="L204" i="1"/>
  <c r="K204" i="1"/>
  <c r="H204" i="1"/>
  <c r="A204" i="1"/>
  <c r="O203" i="1"/>
  <c r="L203" i="1" s="1"/>
  <c r="K203" i="1"/>
  <c r="H203" i="1"/>
  <c r="A203" i="1"/>
  <c r="O202" i="1"/>
  <c r="L202" i="1" s="1"/>
  <c r="K202" i="1"/>
  <c r="H202" i="1"/>
  <c r="A202" i="1"/>
  <c r="O201" i="1"/>
  <c r="L201" i="1"/>
  <c r="K201" i="1"/>
  <c r="H201" i="1"/>
  <c r="A201" i="1"/>
  <c r="O200" i="1"/>
  <c r="L200" i="1"/>
  <c r="K200" i="1"/>
  <c r="H200" i="1"/>
  <c r="A200" i="1"/>
  <c r="O199" i="1"/>
  <c r="L199" i="1"/>
  <c r="K199" i="1"/>
  <c r="H199" i="1"/>
  <c r="A199" i="1"/>
  <c r="O198" i="1"/>
  <c r="L198" i="1" s="1"/>
  <c r="K198" i="1"/>
  <c r="H198" i="1"/>
  <c r="A198" i="1"/>
  <c r="O197" i="1"/>
  <c r="L197" i="1"/>
  <c r="K197" i="1"/>
  <c r="H197" i="1"/>
  <c r="A197" i="1"/>
  <c r="O196" i="1"/>
  <c r="L196" i="1" s="1"/>
  <c r="K196" i="1"/>
  <c r="H196" i="1"/>
  <c r="A196" i="1"/>
  <c r="O195" i="1"/>
  <c r="L195" i="1"/>
  <c r="K195" i="1"/>
  <c r="H195" i="1"/>
  <c r="A195" i="1"/>
  <c r="O194" i="1"/>
  <c r="L194" i="1" s="1"/>
  <c r="K194" i="1"/>
  <c r="H194" i="1"/>
  <c r="A194" i="1"/>
  <c r="O193" i="1"/>
  <c r="L193" i="1"/>
  <c r="K193" i="1"/>
  <c r="H193" i="1"/>
  <c r="A193" i="1"/>
  <c r="O192" i="1"/>
  <c r="L192" i="1" s="1"/>
  <c r="K192" i="1"/>
  <c r="H192" i="1"/>
  <c r="A192" i="1"/>
  <c r="O191" i="1"/>
  <c r="L191" i="1" s="1"/>
  <c r="K191" i="1"/>
  <c r="H191" i="1"/>
  <c r="A191" i="1"/>
  <c r="O190" i="1"/>
  <c r="L190" i="1" s="1"/>
  <c r="K190" i="1"/>
  <c r="H190" i="1"/>
  <c r="A190" i="1"/>
  <c r="O189" i="1"/>
  <c r="L189" i="1"/>
  <c r="K189" i="1"/>
  <c r="H189" i="1"/>
  <c r="A189" i="1"/>
  <c r="O188" i="1"/>
  <c r="L188" i="1"/>
  <c r="K188" i="1"/>
  <c r="H188" i="1"/>
  <c r="A188" i="1"/>
  <c r="O187" i="1"/>
  <c r="L187" i="1" s="1"/>
  <c r="K187" i="1"/>
  <c r="H187" i="1"/>
  <c r="A187" i="1"/>
  <c r="O186" i="1"/>
  <c r="L186" i="1" s="1"/>
  <c r="K186" i="1"/>
  <c r="H186" i="1"/>
  <c r="A186" i="1"/>
  <c r="O185" i="1"/>
  <c r="L185" i="1"/>
  <c r="K185" i="1"/>
  <c r="H185" i="1"/>
  <c r="A185" i="1"/>
  <c r="O184" i="1"/>
  <c r="L184" i="1"/>
  <c r="K184" i="1"/>
  <c r="H184" i="1"/>
  <c r="A184" i="1"/>
  <c r="O183" i="1"/>
  <c r="L183" i="1"/>
  <c r="K183" i="1"/>
  <c r="H183" i="1"/>
  <c r="A183" i="1"/>
  <c r="O182" i="1"/>
  <c r="L182" i="1" s="1"/>
  <c r="K182" i="1"/>
  <c r="H182" i="1"/>
  <c r="A182" i="1"/>
  <c r="O181" i="1"/>
  <c r="L181" i="1" s="1"/>
  <c r="K181" i="1"/>
  <c r="H181" i="1"/>
  <c r="A181" i="1"/>
  <c r="O180" i="1"/>
  <c r="L180" i="1" s="1"/>
  <c r="K180" i="1"/>
  <c r="H180" i="1"/>
  <c r="A180" i="1"/>
  <c r="O179" i="1"/>
  <c r="L179" i="1"/>
  <c r="K179" i="1"/>
  <c r="H179" i="1"/>
  <c r="A179" i="1"/>
  <c r="O178" i="1"/>
  <c r="L178" i="1"/>
  <c r="K178" i="1"/>
  <c r="H178" i="1"/>
  <c r="A178" i="1"/>
  <c r="O177" i="1"/>
  <c r="L177" i="1" s="1"/>
  <c r="K177" i="1"/>
  <c r="H177" i="1"/>
  <c r="A177" i="1"/>
  <c r="O176" i="1"/>
  <c r="L176" i="1" s="1"/>
  <c r="K176" i="1"/>
  <c r="H176" i="1"/>
  <c r="A176" i="1"/>
  <c r="O175" i="1"/>
  <c r="L175" i="1"/>
  <c r="K175" i="1"/>
  <c r="H175" i="1"/>
  <c r="A175" i="1"/>
  <c r="O174" i="1"/>
  <c r="L174" i="1"/>
  <c r="K174" i="1"/>
  <c r="H174" i="1"/>
  <c r="A174" i="1"/>
  <c r="O173" i="1"/>
  <c r="L173" i="1" s="1"/>
  <c r="K173" i="1"/>
  <c r="H173" i="1"/>
  <c r="A173" i="1"/>
  <c r="O172" i="1"/>
  <c r="L172" i="1" s="1"/>
  <c r="K172" i="1"/>
  <c r="H172" i="1"/>
  <c r="A172" i="1"/>
  <c r="O171" i="1"/>
  <c r="L171" i="1"/>
  <c r="K171" i="1"/>
  <c r="H171" i="1"/>
  <c r="A171" i="1"/>
  <c r="O170" i="1"/>
  <c r="L170" i="1"/>
  <c r="K170" i="1"/>
  <c r="H170" i="1"/>
  <c r="A170" i="1"/>
  <c r="O169" i="1"/>
  <c r="L169" i="1" s="1"/>
  <c r="K169" i="1"/>
  <c r="H169" i="1"/>
  <c r="A169" i="1"/>
  <c r="O168" i="1"/>
  <c r="L168" i="1" s="1"/>
  <c r="K168" i="1"/>
  <c r="H168" i="1"/>
  <c r="A168" i="1"/>
  <c r="O167" i="1"/>
  <c r="L167" i="1"/>
  <c r="K167" i="1"/>
  <c r="H167" i="1"/>
  <c r="A167" i="1"/>
  <c r="O166" i="1"/>
  <c r="L166" i="1"/>
  <c r="K166" i="1"/>
  <c r="H166" i="1"/>
  <c r="A166" i="1"/>
  <c r="O165" i="1"/>
  <c r="L165" i="1" s="1"/>
  <c r="K165" i="1"/>
  <c r="H165" i="1"/>
  <c r="A165" i="1"/>
  <c r="O164" i="1"/>
  <c r="L164" i="1" s="1"/>
  <c r="K164" i="1"/>
  <c r="H164" i="1"/>
  <c r="A164" i="1"/>
  <c r="O163" i="1"/>
  <c r="L163" i="1"/>
  <c r="K163" i="1"/>
  <c r="H163" i="1"/>
  <c r="A163" i="1"/>
  <c r="O162" i="1"/>
  <c r="L162" i="1"/>
  <c r="K162" i="1"/>
  <c r="H162" i="1"/>
  <c r="A162" i="1"/>
  <c r="O161" i="1"/>
  <c r="L161" i="1" s="1"/>
  <c r="K161" i="1"/>
  <c r="H161" i="1"/>
  <c r="A161" i="1"/>
  <c r="O160" i="1"/>
  <c r="L160" i="1" s="1"/>
  <c r="K160" i="1"/>
  <c r="H160" i="1"/>
  <c r="A160" i="1"/>
  <c r="O159" i="1"/>
  <c r="L159" i="1"/>
  <c r="K159" i="1"/>
  <c r="H159" i="1"/>
  <c r="A159" i="1"/>
  <c r="O158" i="1"/>
  <c r="L158" i="1"/>
  <c r="K158" i="1"/>
  <c r="H158" i="1"/>
  <c r="A158" i="1"/>
  <c r="O157" i="1"/>
  <c r="L157" i="1" s="1"/>
  <c r="K157" i="1"/>
  <c r="H157" i="1"/>
  <c r="A157" i="1"/>
  <c r="O156" i="1"/>
  <c r="L156" i="1" s="1"/>
  <c r="K156" i="1"/>
  <c r="H156" i="1"/>
  <c r="A156" i="1"/>
  <c r="O155" i="1"/>
  <c r="L155" i="1"/>
  <c r="K155" i="1"/>
  <c r="H155" i="1"/>
  <c r="A155" i="1"/>
  <c r="O154" i="1"/>
  <c r="L154" i="1"/>
  <c r="K154" i="1"/>
  <c r="H154" i="1"/>
  <c r="A154" i="1"/>
  <c r="O153" i="1"/>
  <c r="L153" i="1" s="1"/>
  <c r="K153" i="1"/>
  <c r="H153" i="1"/>
  <c r="A153" i="1"/>
  <c r="O152" i="1"/>
  <c r="L152" i="1" s="1"/>
  <c r="K152" i="1"/>
  <c r="H152" i="1"/>
  <c r="A152" i="1"/>
  <c r="O151" i="1"/>
  <c r="L151" i="1"/>
  <c r="K151" i="1"/>
  <c r="H151" i="1"/>
  <c r="A151" i="1"/>
  <c r="O150" i="1"/>
  <c r="L150" i="1"/>
  <c r="K150" i="1"/>
  <c r="H150" i="1"/>
  <c r="A150" i="1"/>
  <c r="O149" i="1"/>
  <c r="L149" i="1" s="1"/>
  <c r="K149" i="1"/>
  <c r="H149" i="1"/>
  <c r="A149" i="1"/>
  <c r="O148" i="1"/>
  <c r="L148" i="1" s="1"/>
  <c r="K148" i="1"/>
  <c r="H148" i="1"/>
  <c r="A148" i="1"/>
  <c r="O147" i="1"/>
  <c r="L147" i="1"/>
  <c r="K147" i="1"/>
  <c r="H147" i="1"/>
  <c r="A147" i="1"/>
  <c r="O146" i="1"/>
  <c r="L146" i="1"/>
  <c r="K146" i="1"/>
  <c r="H146" i="1"/>
  <c r="A146" i="1"/>
  <c r="O145" i="1"/>
  <c r="L145" i="1" s="1"/>
  <c r="K145" i="1"/>
  <c r="H145" i="1"/>
  <c r="A145" i="1"/>
  <c r="O144" i="1"/>
  <c r="L144" i="1" s="1"/>
  <c r="K144" i="1"/>
  <c r="H144" i="1"/>
  <c r="A144" i="1"/>
  <c r="O143" i="1"/>
  <c r="L143" i="1"/>
  <c r="K143" i="1"/>
  <c r="H143" i="1"/>
  <c r="A143" i="1"/>
  <c r="O142" i="1"/>
  <c r="L142" i="1"/>
  <c r="K142" i="1"/>
  <c r="H142" i="1"/>
  <c r="A142" i="1"/>
  <c r="O141" i="1"/>
  <c r="L141" i="1" s="1"/>
  <c r="K141" i="1"/>
  <c r="H141" i="1"/>
  <c r="A141" i="1"/>
  <c r="O140" i="1"/>
  <c r="L140" i="1" s="1"/>
  <c r="K140" i="1"/>
  <c r="H140" i="1"/>
  <c r="A140" i="1"/>
  <c r="O139" i="1"/>
  <c r="L139" i="1"/>
  <c r="K139" i="1"/>
  <c r="H139" i="1"/>
  <c r="A139" i="1"/>
  <c r="O138" i="1"/>
  <c r="L138" i="1"/>
  <c r="K138" i="1"/>
  <c r="H138" i="1"/>
  <c r="A138" i="1"/>
  <c r="O137" i="1"/>
  <c r="L137" i="1" s="1"/>
  <c r="K137" i="1"/>
  <c r="H137" i="1"/>
  <c r="A137" i="1"/>
  <c r="O136" i="1"/>
  <c r="L136" i="1" s="1"/>
  <c r="K136" i="1"/>
  <c r="H136" i="1"/>
  <c r="A136" i="1"/>
  <c r="O135" i="1"/>
  <c r="L135" i="1"/>
  <c r="K135" i="1"/>
  <c r="H135" i="1"/>
  <c r="A135" i="1"/>
  <c r="O134" i="1"/>
  <c r="L134" i="1"/>
  <c r="K134" i="1"/>
  <c r="H134" i="1"/>
  <c r="A134" i="1"/>
  <c r="O133" i="1"/>
  <c r="L133" i="1" s="1"/>
  <c r="K133" i="1"/>
  <c r="H133" i="1"/>
  <c r="A133" i="1"/>
  <c r="O132" i="1"/>
  <c r="L132" i="1" s="1"/>
  <c r="K132" i="1"/>
  <c r="H132" i="1"/>
  <c r="A132" i="1"/>
  <c r="O131" i="1"/>
  <c r="L131" i="1"/>
  <c r="K131" i="1"/>
  <c r="H131" i="1"/>
  <c r="A131" i="1"/>
  <c r="O130" i="1"/>
  <c r="L130" i="1"/>
  <c r="K130" i="1"/>
  <c r="H130" i="1"/>
  <c r="A130" i="1"/>
  <c r="O129" i="1"/>
  <c r="L129" i="1" s="1"/>
  <c r="K129" i="1"/>
  <c r="H129" i="1"/>
  <c r="A129" i="1"/>
  <c r="O128" i="1"/>
  <c r="L128" i="1" s="1"/>
  <c r="K128" i="1"/>
  <c r="H128" i="1"/>
  <c r="A128" i="1"/>
  <c r="O127" i="1"/>
  <c r="L127" i="1"/>
  <c r="K127" i="1"/>
  <c r="H127" i="1"/>
  <c r="A127" i="1"/>
  <c r="O126" i="1"/>
  <c r="L126" i="1"/>
  <c r="K126" i="1"/>
  <c r="H126" i="1"/>
  <c r="A126" i="1"/>
  <c r="O125" i="1"/>
  <c r="L125" i="1" s="1"/>
  <c r="K125" i="1"/>
  <c r="H125" i="1"/>
  <c r="A125" i="1"/>
  <c r="O124" i="1"/>
  <c r="L124" i="1" s="1"/>
  <c r="K124" i="1"/>
  <c r="H124" i="1"/>
  <c r="A124" i="1"/>
  <c r="O123" i="1"/>
  <c r="L123" i="1"/>
  <c r="K123" i="1"/>
  <c r="H123" i="1"/>
  <c r="A123" i="1"/>
  <c r="O122" i="1"/>
  <c r="L122" i="1"/>
  <c r="K122" i="1"/>
  <c r="H122" i="1"/>
  <c r="A122" i="1"/>
  <c r="O121" i="1"/>
  <c r="L121" i="1" s="1"/>
  <c r="K121" i="1"/>
  <c r="H121" i="1"/>
  <c r="A121" i="1"/>
  <c r="O120" i="1"/>
  <c r="L120" i="1" s="1"/>
  <c r="K120" i="1"/>
  <c r="H120" i="1"/>
  <c r="A120" i="1"/>
  <c r="O119" i="1"/>
  <c r="L119" i="1"/>
  <c r="K119" i="1"/>
  <c r="H119" i="1"/>
  <c r="A119" i="1"/>
  <c r="O118" i="1"/>
  <c r="L118" i="1"/>
  <c r="K118" i="1"/>
  <c r="H118" i="1"/>
  <c r="A118" i="1"/>
  <c r="O117" i="1"/>
  <c r="L117" i="1" s="1"/>
  <c r="K117" i="1"/>
  <c r="H117" i="1"/>
  <c r="A117" i="1"/>
  <c r="O116" i="1"/>
  <c r="L116" i="1" s="1"/>
  <c r="K116" i="1"/>
  <c r="H116" i="1"/>
  <c r="A116" i="1"/>
  <c r="O115" i="1"/>
  <c r="L115" i="1"/>
  <c r="K115" i="1"/>
  <c r="H115" i="1"/>
  <c r="A115" i="1"/>
  <c r="O114" i="1"/>
  <c r="L114" i="1"/>
  <c r="K114" i="1"/>
  <c r="H114" i="1"/>
  <c r="A114" i="1"/>
  <c r="O113" i="1"/>
  <c r="L113" i="1" s="1"/>
  <c r="K113" i="1"/>
  <c r="H113" i="1"/>
  <c r="A113" i="1"/>
  <c r="O112" i="1"/>
  <c r="L112" i="1" s="1"/>
  <c r="K112" i="1"/>
  <c r="H112" i="1"/>
  <c r="A112" i="1"/>
  <c r="O111" i="1"/>
  <c r="L111" i="1"/>
  <c r="K111" i="1"/>
  <c r="H111" i="1"/>
  <c r="A111" i="1"/>
  <c r="O110" i="1"/>
  <c r="L110" i="1"/>
  <c r="K110" i="1"/>
  <c r="H110" i="1"/>
  <c r="A110" i="1"/>
  <c r="O109" i="1"/>
  <c r="L109" i="1" s="1"/>
  <c r="K109" i="1"/>
  <c r="H109" i="1"/>
  <c r="A109" i="1"/>
  <c r="O108" i="1"/>
  <c r="L108" i="1" s="1"/>
  <c r="K108" i="1"/>
  <c r="H108" i="1"/>
  <c r="A108" i="1"/>
  <c r="O107" i="1"/>
  <c r="L107" i="1"/>
  <c r="K107" i="1"/>
  <c r="H107" i="1"/>
  <c r="A107" i="1"/>
  <c r="O106" i="1"/>
  <c r="L106" i="1"/>
  <c r="K106" i="1"/>
  <c r="H106" i="1"/>
  <c r="A106" i="1"/>
  <c r="O105" i="1"/>
  <c r="L105" i="1" s="1"/>
  <c r="K105" i="1"/>
  <c r="H105" i="1"/>
  <c r="A105" i="1"/>
  <c r="O104" i="1"/>
  <c r="L104" i="1" s="1"/>
  <c r="K104" i="1"/>
  <c r="H104" i="1"/>
  <c r="A104" i="1"/>
  <c r="O103" i="1"/>
  <c r="L103" i="1"/>
  <c r="K103" i="1"/>
  <c r="H103" i="1"/>
  <c r="A103" i="1"/>
  <c r="O102" i="1"/>
  <c r="L102" i="1"/>
  <c r="K102" i="1"/>
  <c r="H102" i="1"/>
  <c r="A102" i="1"/>
  <c r="O101" i="1"/>
  <c r="L101" i="1" s="1"/>
  <c r="K101" i="1"/>
  <c r="H101" i="1"/>
  <c r="A101" i="1"/>
  <c r="O100" i="1"/>
  <c r="L100" i="1"/>
  <c r="K100" i="1"/>
  <c r="H100" i="1"/>
  <c r="A100" i="1"/>
  <c r="O99" i="1"/>
  <c r="L99" i="1"/>
  <c r="K99" i="1"/>
  <c r="H99" i="1"/>
  <c r="A99" i="1"/>
  <c r="O98" i="1"/>
  <c r="L98" i="1"/>
  <c r="K98" i="1"/>
  <c r="H98" i="1"/>
  <c r="A98" i="1"/>
  <c r="O97" i="1"/>
  <c r="L97" i="1" s="1"/>
  <c r="K97" i="1"/>
  <c r="H97" i="1"/>
  <c r="A97" i="1"/>
  <c r="O96" i="1"/>
  <c r="L96" i="1"/>
  <c r="K96" i="1"/>
  <c r="H96" i="1"/>
  <c r="A96" i="1"/>
  <c r="O95" i="1"/>
  <c r="L95" i="1"/>
  <c r="K95" i="1"/>
  <c r="H95" i="1"/>
  <c r="A95" i="1"/>
  <c r="O94" i="1"/>
  <c r="L94" i="1"/>
  <c r="K94" i="1"/>
  <c r="H94" i="1"/>
  <c r="A94" i="1"/>
  <c r="O93" i="1"/>
  <c r="L93" i="1" s="1"/>
  <c r="K93" i="1"/>
  <c r="H93" i="1"/>
  <c r="A93" i="1"/>
  <c r="O92" i="1"/>
  <c r="L92" i="1"/>
  <c r="K92" i="1"/>
  <c r="H92" i="1"/>
  <c r="A92" i="1"/>
  <c r="O91" i="1"/>
  <c r="L91" i="1"/>
  <c r="K91" i="1"/>
  <c r="H91" i="1"/>
  <c r="A91" i="1"/>
  <c r="O90" i="1"/>
  <c r="L90" i="1"/>
  <c r="K90" i="1"/>
  <c r="H90" i="1"/>
  <c r="A90" i="1"/>
  <c r="O89" i="1"/>
  <c r="L89" i="1" s="1"/>
  <c r="K89" i="1"/>
  <c r="H89" i="1"/>
  <c r="A89" i="1"/>
  <c r="O88" i="1"/>
  <c r="L88" i="1"/>
  <c r="K88" i="1"/>
  <c r="H88" i="1"/>
  <c r="A88" i="1"/>
  <c r="O87" i="1"/>
  <c r="L87" i="1"/>
  <c r="K87" i="1"/>
  <c r="H87" i="1"/>
  <c r="A87" i="1"/>
  <c r="O86" i="1"/>
  <c r="L86" i="1"/>
  <c r="K86" i="1"/>
  <c r="H86" i="1"/>
  <c r="A86" i="1"/>
  <c r="O85" i="1"/>
  <c r="L85" i="1" s="1"/>
  <c r="K85" i="1"/>
  <c r="H85" i="1"/>
  <c r="A85" i="1"/>
  <c r="O84" i="1"/>
  <c r="L84" i="1"/>
  <c r="K84" i="1"/>
  <c r="H84" i="1"/>
  <c r="A84" i="1"/>
  <c r="O83" i="1"/>
  <c r="L83" i="1"/>
  <c r="K83" i="1"/>
  <c r="H83" i="1"/>
  <c r="A83" i="1"/>
  <c r="O82" i="1"/>
  <c r="L82" i="1"/>
  <c r="K82" i="1"/>
  <c r="H82" i="1"/>
  <c r="A82" i="1"/>
  <c r="O81" i="1"/>
  <c r="L81" i="1" s="1"/>
  <c r="K81" i="1"/>
  <c r="H81" i="1"/>
  <c r="A81" i="1"/>
  <c r="O80" i="1"/>
  <c r="L80" i="1"/>
  <c r="K80" i="1"/>
  <c r="H80" i="1"/>
  <c r="A80" i="1"/>
  <c r="O79" i="1"/>
  <c r="L79" i="1"/>
  <c r="K79" i="1"/>
  <c r="H79" i="1"/>
  <c r="A79" i="1"/>
  <c r="O78" i="1"/>
  <c r="L78" i="1"/>
  <c r="K78" i="1"/>
  <c r="H78" i="1"/>
  <c r="A78" i="1"/>
  <c r="O77" i="1"/>
  <c r="L77" i="1" s="1"/>
  <c r="K77" i="1"/>
  <c r="H77" i="1"/>
  <c r="A77" i="1"/>
  <c r="O76" i="1"/>
  <c r="L76" i="1"/>
  <c r="K76" i="1"/>
  <c r="H76" i="1"/>
  <c r="A76" i="1"/>
  <c r="O75" i="1"/>
  <c r="L75" i="1"/>
  <c r="K75" i="1"/>
  <c r="H75" i="1"/>
  <c r="A75" i="1"/>
  <c r="O74" i="1"/>
  <c r="L74" i="1"/>
  <c r="K74" i="1"/>
  <c r="H74" i="1"/>
  <c r="A74" i="1"/>
  <c r="O73" i="1"/>
  <c r="L73" i="1" s="1"/>
  <c r="K73" i="1"/>
  <c r="H73" i="1"/>
  <c r="A73" i="1"/>
  <c r="O72" i="1"/>
  <c r="L72" i="1"/>
  <c r="K72" i="1"/>
  <c r="H72" i="1"/>
  <c r="A72" i="1"/>
  <c r="O71" i="1"/>
  <c r="L71" i="1"/>
  <c r="K71" i="1"/>
  <c r="H71" i="1"/>
  <c r="A71" i="1"/>
  <c r="O70" i="1"/>
  <c r="L70" i="1"/>
  <c r="K70" i="1"/>
  <c r="H70" i="1"/>
  <c r="A70" i="1"/>
  <c r="O69" i="1"/>
  <c r="L69" i="1" s="1"/>
  <c r="K69" i="1"/>
  <c r="H69" i="1"/>
  <c r="A69" i="1"/>
  <c r="O68" i="1"/>
  <c r="L68" i="1"/>
  <c r="K68" i="1"/>
  <c r="H68" i="1"/>
  <c r="A68" i="1"/>
  <c r="O67" i="1"/>
  <c r="L67" i="1"/>
  <c r="K67" i="1"/>
  <c r="H67" i="1"/>
  <c r="A67" i="1"/>
  <c r="O66" i="1"/>
  <c r="L66" i="1"/>
  <c r="K66" i="1"/>
  <c r="H66" i="1"/>
  <c r="A66" i="1"/>
  <c r="O65" i="1"/>
  <c r="L65" i="1" s="1"/>
  <c r="K65" i="1"/>
  <c r="H65" i="1"/>
  <c r="A65" i="1"/>
  <c r="O64" i="1"/>
  <c r="L64" i="1"/>
  <c r="K64" i="1"/>
  <c r="H64" i="1"/>
  <c r="A64" i="1"/>
  <c r="O63" i="1"/>
  <c r="L63" i="1"/>
  <c r="K63" i="1"/>
  <c r="H63" i="1"/>
  <c r="A63" i="1"/>
  <c r="O62" i="1"/>
  <c r="L62" i="1"/>
  <c r="K62" i="1"/>
  <c r="H62" i="1"/>
  <c r="A62" i="1"/>
  <c r="O61" i="1"/>
  <c r="L61" i="1" s="1"/>
  <c r="K61" i="1"/>
  <c r="H61" i="1"/>
  <c r="A61" i="1"/>
  <c r="O60" i="1"/>
  <c r="L60" i="1"/>
  <c r="K60" i="1"/>
  <c r="H60" i="1"/>
  <c r="A60" i="1"/>
  <c r="O59" i="1"/>
  <c r="L59" i="1"/>
  <c r="K59" i="1"/>
  <c r="H59" i="1"/>
  <c r="A59" i="1"/>
  <c r="O58" i="1"/>
  <c r="L58" i="1"/>
  <c r="K58" i="1"/>
  <c r="H58" i="1"/>
  <c r="A58" i="1"/>
  <c r="O57" i="1"/>
  <c r="L57" i="1" s="1"/>
  <c r="K57" i="1"/>
  <c r="H57" i="1"/>
  <c r="A57" i="1"/>
  <c r="O56" i="1"/>
  <c r="L56" i="1"/>
  <c r="K56" i="1"/>
  <c r="H56" i="1"/>
  <c r="A56" i="1"/>
  <c r="O55" i="1"/>
  <c r="L55" i="1"/>
  <c r="K55" i="1"/>
  <c r="H55" i="1"/>
  <c r="A55" i="1"/>
  <c r="O54" i="1"/>
  <c r="L54" i="1"/>
  <c r="K54" i="1"/>
  <c r="H54" i="1"/>
  <c r="A54" i="1"/>
  <c r="O53" i="1"/>
  <c r="L53" i="1" s="1"/>
  <c r="K53" i="1"/>
  <c r="H53" i="1"/>
  <c r="A53" i="1"/>
  <c r="O52" i="1"/>
  <c r="L52" i="1"/>
  <c r="K52" i="1"/>
  <c r="H52" i="1"/>
  <c r="A52" i="1"/>
  <c r="O51" i="1"/>
  <c r="L51" i="1"/>
  <c r="K51" i="1"/>
  <c r="H51" i="1"/>
  <c r="A51" i="1"/>
  <c r="O50" i="1"/>
  <c r="L50" i="1"/>
  <c r="K50" i="1"/>
  <c r="H50" i="1"/>
  <c r="A50" i="1"/>
  <c r="O49" i="1"/>
  <c r="L49" i="1" s="1"/>
  <c r="K49" i="1"/>
  <c r="H49" i="1"/>
  <c r="A49" i="1"/>
  <c r="O48" i="1"/>
  <c r="L48" i="1"/>
  <c r="K48" i="1"/>
  <c r="H48" i="1"/>
  <c r="A48" i="1"/>
  <c r="O47" i="1"/>
  <c r="L47" i="1"/>
  <c r="K47" i="1"/>
  <c r="H47" i="1"/>
  <c r="A47" i="1"/>
  <c r="O46" i="1"/>
  <c r="L46" i="1"/>
  <c r="K46" i="1"/>
  <c r="H46" i="1"/>
  <c r="A46" i="1"/>
  <c r="O45" i="1"/>
  <c r="L45" i="1" s="1"/>
  <c r="K45" i="1"/>
  <c r="H45" i="1"/>
  <c r="A45" i="1"/>
  <c r="O44" i="1"/>
  <c r="L44" i="1"/>
  <c r="K44" i="1"/>
  <c r="H44" i="1"/>
  <c r="A44" i="1"/>
  <c r="O43" i="1"/>
  <c r="L43" i="1"/>
  <c r="K43" i="1"/>
  <c r="H43" i="1"/>
  <c r="A43" i="1"/>
  <c r="O42" i="1"/>
  <c r="L42" i="1"/>
  <c r="K42" i="1"/>
  <c r="H42" i="1"/>
  <c r="A42" i="1"/>
  <c r="O41" i="1"/>
  <c r="L41" i="1" s="1"/>
  <c r="K41" i="1"/>
  <c r="H41" i="1"/>
  <c r="A41" i="1"/>
  <c r="O40" i="1"/>
  <c r="L40" i="1"/>
  <c r="K40" i="1"/>
  <c r="H40" i="1"/>
  <c r="A40" i="1"/>
  <c r="O39" i="1"/>
  <c r="L39" i="1"/>
  <c r="K39" i="1"/>
  <c r="H39" i="1"/>
  <c r="A39" i="1"/>
  <c r="O38" i="1"/>
  <c r="L38" i="1"/>
  <c r="K38" i="1"/>
  <c r="H38" i="1"/>
  <c r="A38" i="1"/>
  <c r="O37" i="1"/>
  <c r="L37" i="1" s="1"/>
  <c r="K37" i="1"/>
  <c r="H37" i="1"/>
  <c r="A37" i="1"/>
  <c r="O36" i="1"/>
  <c r="L36" i="1"/>
  <c r="K36" i="1"/>
  <c r="H36" i="1"/>
  <c r="A36" i="1"/>
  <c r="O35" i="1"/>
  <c r="L35" i="1"/>
  <c r="K35" i="1"/>
  <c r="H35" i="1"/>
  <c r="A35" i="1"/>
  <c r="O34" i="1"/>
  <c r="L34" i="1"/>
  <c r="K34" i="1"/>
  <c r="H34" i="1"/>
  <c r="A34" i="1"/>
  <c r="O33" i="1"/>
  <c r="L33" i="1" s="1"/>
  <c r="K33" i="1"/>
  <c r="H33" i="1"/>
  <c r="A33" i="1"/>
  <c r="O32" i="1"/>
  <c r="L32" i="1"/>
  <c r="K32" i="1"/>
  <c r="H32" i="1"/>
  <c r="A32" i="1"/>
  <c r="O31" i="1"/>
  <c r="L31" i="1"/>
  <c r="K31" i="1"/>
  <c r="H31" i="1"/>
  <c r="A31" i="1"/>
  <c r="O30" i="1"/>
  <c r="L30" i="1"/>
  <c r="K30" i="1"/>
  <c r="H30" i="1"/>
  <c r="A30" i="1"/>
  <c r="O29" i="1"/>
  <c r="L29" i="1" s="1"/>
  <c r="K29" i="1"/>
  <c r="H29" i="1"/>
  <c r="A29" i="1"/>
  <c r="O28" i="1"/>
  <c r="L28" i="1"/>
  <c r="K28" i="1"/>
  <c r="H28" i="1"/>
  <c r="A28" i="1"/>
  <c r="O27" i="1"/>
  <c r="L27" i="1"/>
  <c r="K27" i="1"/>
  <c r="H27" i="1"/>
  <c r="A27" i="1"/>
  <c r="O26" i="1"/>
  <c r="L26" i="1"/>
  <c r="K26" i="1"/>
  <c r="H26" i="1"/>
  <c r="A26" i="1"/>
  <c r="O25" i="1"/>
  <c r="L25" i="1" s="1"/>
  <c r="K25" i="1"/>
  <c r="H25" i="1"/>
  <c r="A25" i="1"/>
  <c r="O24" i="1"/>
  <c r="L24" i="1"/>
  <c r="K24" i="1"/>
  <c r="H24" i="1"/>
  <c r="A24" i="1"/>
  <c r="O23" i="1"/>
  <c r="L23" i="1"/>
  <c r="K23" i="1"/>
  <c r="H23" i="1"/>
  <c r="A23" i="1"/>
  <c r="O22" i="1"/>
  <c r="L22" i="1"/>
  <c r="K22" i="1"/>
  <c r="H22" i="1"/>
  <c r="A22" i="1"/>
  <c r="O21" i="1"/>
  <c r="L21" i="1" s="1"/>
  <c r="K21" i="1"/>
  <c r="H21" i="1"/>
  <c r="A21" i="1"/>
  <c r="O20" i="1"/>
  <c r="L20" i="1"/>
  <c r="K20" i="1"/>
  <c r="H20" i="1"/>
  <c r="A20" i="1"/>
  <c r="O19" i="1"/>
  <c r="L19" i="1"/>
  <c r="K19" i="1"/>
  <c r="H19" i="1"/>
  <c r="A19" i="1"/>
  <c r="O18" i="1"/>
  <c r="L18" i="1"/>
  <c r="K18" i="1"/>
  <c r="H18" i="1"/>
  <c r="A18" i="1"/>
  <c r="O17" i="1"/>
  <c r="L17" i="1" s="1"/>
  <c r="K17" i="1"/>
  <c r="H17" i="1"/>
  <c r="A17" i="1"/>
  <c r="O16" i="1"/>
  <c r="L16" i="1"/>
  <c r="K16" i="1"/>
  <c r="H16" i="1"/>
  <c r="A16" i="1"/>
  <c r="O15" i="1"/>
  <c r="L15" i="1"/>
  <c r="K15" i="1"/>
  <c r="H15" i="1"/>
  <c r="A15" i="1"/>
  <c r="O14" i="1"/>
  <c r="L14" i="1"/>
  <c r="K14" i="1"/>
  <c r="H14" i="1"/>
  <c r="A14" i="1"/>
  <c r="O13" i="1"/>
  <c r="L13" i="1" s="1"/>
  <c r="K13" i="1"/>
  <c r="H13" i="1"/>
  <c r="A13" i="1"/>
  <c r="O12" i="1"/>
  <c r="L12" i="1" s="1"/>
  <c r="K12" i="1"/>
  <c r="H12" i="1"/>
  <c r="A12" i="1"/>
  <c r="O11" i="1"/>
  <c r="L11" i="1"/>
  <c r="K11" i="1"/>
  <c r="H11" i="1"/>
  <c r="A11" i="1"/>
  <c r="O10" i="1"/>
  <c r="L10" i="1"/>
  <c r="K10" i="1"/>
  <c r="H10" i="1"/>
  <c r="A10" i="1"/>
  <c r="O9" i="1"/>
  <c r="L9" i="1" s="1"/>
  <c r="K9" i="1"/>
  <c r="H9" i="1"/>
  <c r="A9" i="1"/>
  <c r="O8" i="1"/>
  <c r="L8" i="1"/>
  <c r="K8" i="1"/>
  <c r="H8" i="1"/>
  <c r="A8" i="1"/>
  <c r="O7" i="1"/>
  <c r="L7" i="1"/>
  <c r="K7" i="1"/>
  <c r="H7" i="1"/>
  <c r="A7" i="1"/>
  <c r="O6" i="1"/>
  <c r="L6" i="1"/>
  <c r="K6" i="1"/>
  <c r="H6" i="1"/>
  <c r="A6" i="1"/>
  <c r="O5" i="1"/>
  <c r="L5" i="1" s="1"/>
  <c r="K5" i="1"/>
  <c r="H5" i="1"/>
  <c r="A5" i="1"/>
  <c r="O4" i="1"/>
  <c r="L4" i="1" s="1"/>
  <c r="K4" i="1"/>
  <c r="H4" i="1"/>
  <c r="A4" i="1"/>
  <c r="O3" i="1"/>
  <c r="L3" i="1"/>
  <c r="K3" i="1"/>
  <c r="H3" i="1"/>
  <c r="A3" i="1"/>
  <c r="O2" i="1"/>
  <c r="L2" i="1"/>
  <c r="K2" i="1"/>
  <c r="H2" i="1"/>
  <c r="A2" i="1"/>
  <c r="AG488" i="1" l="1"/>
  <c r="AD415" i="1"/>
  <c r="AC415" i="1"/>
  <c r="AG363"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E2" i="1"/>
  <c r="AG453" i="1" l="1"/>
  <c r="AG384" i="1"/>
  <c r="AG487" i="1"/>
  <c r="AG469" i="1"/>
  <c r="AG484" i="1"/>
  <c r="AD490" i="1"/>
  <c r="AG489" i="1"/>
  <c r="AG69" i="1"/>
  <c r="AG91" i="1"/>
  <c r="AG75" i="1"/>
  <c r="AG10" i="1"/>
  <c r="AG103" i="1"/>
  <c r="AG414" i="1"/>
  <c r="AG490" i="1"/>
  <c r="AG241" i="1"/>
  <c r="AG251" i="1"/>
  <c r="AG275" i="1"/>
  <c r="AG81" i="1"/>
  <c r="AG352" i="1"/>
  <c r="AG63" i="1"/>
  <c r="AG67" i="1"/>
  <c r="AG276" i="1"/>
  <c r="AG278" i="1"/>
  <c r="AG282" i="1"/>
  <c r="AG291" i="1"/>
  <c r="AG295" i="1"/>
  <c r="AG327" i="1"/>
  <c r="AG482" i="1"/>
  <c r="AD486" i="1"/>
  <c r="AG58" i="1"/>
  <c r="AG357" i="1"/>
  <c r="AG51" i="1"/>
  <c r="AG95" i="1"/>
  <c r="AG128" i="1"/>
  <c r="AG263" i="1"/>
  <c r="AG277" i="1"/>
  <c r="AG348" i="1"/>
  <c r="AG418" i="1"/>
  <c r="AG426" i="1"/>
  <c r="AG477" i="1"/>
  <c r="AG250" i="1"/>
  <c r="AG209" i="1"/>
  <c r="AG212" i="1"/>
  <c r="AG130" i="1"/>
  <c r="AG140" i="1"/>
  <c r="AG141" i="1"/>
  <c r="AG334" i="1"/>
  <c r="AG380" i="1"/>
  <c r="AG383" i="1"/>
  <c r="AG401" i="1"/>
  <c r="AG405" i="1"/>
  <c r="AD487" i="1"/>
  <c r="AG175" i="1"/>
  <c r="AG178" i="1"/>
  <c r="AG188" i="1"/>
  <c r="AD211" i="1"/>
  <c r="AG229" i="1"/>
  <c r="AG261" i="1"/>
  <c r="AG344" i="1"/>
  <c r="AG42" i="1"/>
  <c r="AG49" i="1"/>
  <c r="AG60" i="1"/>
  <c r="AG61" i="1"/>
  <c r="AG92" i="1"/>
  <c r="AG104" i="1"/>
  <c r="AG160" i="1"/>
  <c r="AG177" i="1"/>
  <c r="AD177" i="1"/>
  <c r="AG221" i="1"/>
  <c r="AG245" i="1"/>
  <c r="AG260" i="1"/>
  <c r="AG377" i="1"/>
  <c r="AG460" i="1"/>
  <c r="AC488" i="1"/>
  <c r="AC450" i="1"/>
  <c r="AG358" i="1"/>
  <c r="AG385" i="1"/>
  <c r="AG416" i="1"/>
  <c r="AG486" i="1"/>
  <c r="AG300" i="1"/>
  <c r="AD311" i="1"/>
  <c r="AG333" i="1"/>
  <c r="AG6" i="1"/>
  <c r="AC12" i="1"/>
  <c r="AG16" i="1"/>
  <c r="AC54" i="1"/>
  <c r="AG77" i="1"/>
  <c r="AD98" i="1"/>
  <c r="AG99" i="1"/>
  <c r="AC103" i="1"/>
  <c r="AG115" i="1"/>
  <c r="AG117" i="1"/>
  <c r="AG226" i="1"/>
  <c r="AG256" i="1"/>
  <c r="AG325" i="1"/>
  <c r="AG78" i="1"/>
  <c r="AG116" i="1"/>
  <c r="AD126" i="1"/>
  <c r="AG134" i="1"/>
  <c r="AC146" i="1"/>
  <c r="AG150" i="1"/>
  <c r="AC151" i="1"/>
  <c r="AG152" i="1"/>
  <c r="AG168" i="1"/>
  <c r="AG193" i="1"/>
  <c r="AG257" i="1"/>
  <c r="AD296" i="1"/>
  <c r="AG337" i="1"/>
  <c r="AD347" i="1"/>
  <c r="AC355" i="1"/>
  <c r="AG17" i="1"/>
  <c r="AG19" i="1"/>
  <c r="AG34" i="1"/>
  <c r="AG40" i="1"/>
  <c r="AG48" i="1"/>
  <c r="AG76" i="1"/>
  <c r="AC85" i="1"/>
  <c r="AG86" i="1"/>
  <c r="AG106" i="1"/>
  <c r="AC112" i="1"/>
  <c r="AG118" i="1"/>
  <c r="AG142" i="1"/>
  <c r="AG173" i="1"/>
  <c r="AG181" i="1"/>
  <c r="AG238" i="1"/>
  <c r="AG273" i="1"/>
  <c r="AC327" i="1"/>
  <c r="AG367" i="1"/>
  <c r="AG371" i="1"/>
  <c r="AG376" i="1"/>
  <c r="AC427" i="1"/>
  <c r="AD428" i="1"/>
  <c r="AG442" i="1"/>
  <c r="AC465" i="1"/>
  <c r="AG466" i="1"/>
  <c r="AC466" i="1"/>
  <c r="AG467" i="1"/>
  <c r="AG362" i="1"/>
  <c r="AG399" i="1"/>
  <c r="AG197" i="1"/>
  <c r="AC206" i="1"/>
  <c r="AC209" i="1"/>
  <c r="AG232" i="1"/>
  <c r="AC237" i="1"/>
  <c r="AG249" i="1"/>
  <c r="AG289" i="1"/>
  <c r="AG339" i="1"/>
  <c r="AC339" i="1"/>
  <c r="AG343" i="1"/>
  <c r="AG359" i="1"/>
  <c r="AG375" i="1"/>
  <c r="AG398" i="1"/>
  <c r="AG410" i="1"/>
  <c r="AG427" i="1"/>
  <c r="AG438" i="1"/>
  <c r="AD457" i="1"/>
  <c r="AG459" i="1"/>
  <c r="AG480" i="1"/>
  <c r="AG485" i="1"/>
  <c r="AG293" i="1"/>
  <c r="AG326" i="1"/>
  <c r="AG457" i="1"/>
  <c r="AD3" i="1"/>
  <c r="AC4" i="1"/>
  <c r="AC5" i="1"/>
  <c r="AG27" i="1"/>
  <c r="AG29" i="1"/>
  <c r="AG37" i="1"/>
  <c r="AD38" i="1"/>
  <c r="AG39" i="1"/>
  <c r="AC65" i="1"/>
  <c r="AD74" i="1"/>
  <c r="AD174" i="1"/>
  <c r="AG283" i="1"/>
  <c r="AG8" i="1"/>
  <c r="AG13" i="1"/>
  <c r="AD19" i="1"/>
  <c r="AC22" i="1"/>
  <c r="AG23" i="1"/>
  <c r="AG28" i="1"/>
  <c r="AG36" i="1"/>
  <c r="AG44" i="1"/>
  <c r="AG66" i="1"/>
  <c r="AG71" i="1"/>
  <c r="AC73" i="1"/>
  <c r="AG74" i="1"/>
  <c r="AD82" i="1"/>
  <c r="AG83" i="1"/>
  <c r="AG84" i="1"/>
  <c r="AD88" i="1"/>
  <c r="AC93" i="1"/>
  <c r="AG96" i="1"/>
  <c r="AG100" i="1"/>
  <c r="AG133" i="1"/>
  <c r="AC153" i="1"/>
  <c r="AG156" i="1"/>
  <c r="AG157" i="1"/>
  <c r="AD161" i="1"/>
  <c r="AG184" i="1"/>
  <c r="AC221" i="1"/>
  <c r="AG224" i="1"/>
  <c r="AC225" i="1"/>
  <c r="AD230" i="1"/>
  <c r="AC233" i="1"/>
  <c r="AD236" i="1"/>
  <c r="AC276" i="1"/>
  <c r="AG281" i="1"/>
  <c r="AG307" i="1"/>
  <c r="AG9" i="1"/>
  <c r="AD79" i="1"/>
  <c r="AC84" i="1"/>
  <c r="AG102" i="1"/>
  <c r="AD121" i="1"/>
  <c r="AG180" i="1"/>
  <c r="AD10" i="1"/>
  <c r="AG12" i="1"/>
  <c r="AG14" i="1"/>
  <c r="AG26" i="1"/>
  <c r="AC29" i="1"/>
  <c r="AD31" i="1"/>
  <c r="AC32" i="1"/>
  <c r="AC33" i="1"/>
  <c r="AC41" i="1"/>
  <c r="AD50" i="1"/>
  <c r="AG52" i="1"/>
  <c r="AD55" i="1"/>
  <c r="AC57" i="1"/>
  <c r="AG65" i="1"/>
  <c r="AG82" i="1"/>
  <c r="AG97" i="1"/>
  <c r="AG101" i="1"/>
  <c r="AD136" i="1"/>
  <c r="AC137" i="1"/>
  <c r="AD145" i="1"/>
  <c r="AC159" i="1"/>
  <c r="AD164" i="1"/>
  <c r="AC165" i="1"/>
  <c r="AC197" i="1"/>
  <c r="AG200" i="1"/>
  <c r="AG207" i="1"/>
  <c r="AC213" i="1"/>
  <c r="AC245" i="1"/>
  <c r="AD259" i="1"/>
  <c r="AG286" i="1"/>
  <c r="AC320" i="1"/>
  <c r="AG355" i="1"/>
  <c r="AC282" i="1"/>
  <c r="AD301" i="1"/>
  <c r="AC316" i="1"/>
  <c r="AG319" i="1"/>
  <c r="AG347" i="1"/>
  <c r="AG393" i="1"/>
  <c r="AG105" i="1"/>
  <c r="AD109" i="1"/>
  <c r="AC124" i="1"/>
  <c r="AD143" i="1"/>
  <c r="AD148" i="1"/>
  <c r="AC149" i="1"/>
  <c r="AG158" i="1"/>
  <c r="AC162" i="1"/>
  <c r="AG170" i="1"/>
  <c r="AC181" i="1"/>
  <c r="AG189" i="1"/>
  <c r="AG206" i="1"/>
  <c r="AG217" i="1"/>
  <c r="AG223" i="1"/>
  <c r="AD227" i="1"/>
  <c r="AG253" i="1"/>
  <c r="AG267" i="1"/>
  <c r="AD274" i="1"/>
  <c r="AC289" i="1"/>
  <c r="AD292" i="1"/>
  <c r="AG297" i="1"/>
  <c r="AG298" i="1"/>
  <c r="AG301" i="1"/>
  <c r="AG304" i="1"/>
  <c r="AC308" i="1"/>
  <c r="AG310" i="1"/>
  <c r="AG314" i="1"/>
  <c r="AG323" i="1"/>
  <c r="AD332" i="1"/>
  <c r="AC353" i="1"/>
  <c r="AC373" i="1"/>
  <c r="AG379" i="1"/>
  <c r="AC385" i="1"/>
  <c r="AC386" i="1"/>
  <c r="AG432" i="1"/>
  <c r="AG266" i="1"/>
  <c r="AG268" i="1"/>
  <c r="AG288" i="1"/>
  <c r="AC296" i="1"/>
  <c r="AC304" i="1"/>
  <c r="AG311" i="1"/>
  <c r="AG315" i="1"/>
  <c r="AG318" i="1"/>
  <c r="AD323" i="1"/>
  <c r="AD328" i="1"/>
  <c r="AC335" i="1"/>
  <c r="AG350" i="1"/>
  <c r="AC350" i="1"/>
  <c r="AC357" i="1"/>
  <c r="AG361" i="1"/>
  <c r="AG373" i="1"/>
  <c r="AC417" i="1"/>
  <c r="AG430" i="1"/>
  <c r="AG440" i="1"/>
  <c r="AG449" i="1"/>
  <c r="AG452" i="1"/>
  <c r="AC468" i="1"/>
  <c r="AC479" i="1"/>
  <c r="AC362" i="1"/>
  <c r="AG381" i="1"/>
  <c r="AG389" i="1"/>
  <c r="AG394" i="1"/>
  <c r="AG415" i="1"/>
  <c r="AD418" i="1"/>
  <c r="AG423" i="1"/>
  <c r="AG431" i="1"/>
  <c r="AD432" i="1"/>
  <c r="AC439" i="1"/>
  <c r="AD442" i="1"/>
  <c r="AG454" i="1"/>
  <c r="AC463" i="1"/>
  <c r="AC467" i="1"/>
  <c r="AG468" i="1"/>
  <c r="AC473" i="1"/>
  <c r="AD477" i="1"/>
  <c r="AD478" i="1"/>
  <c r="AG390" i="1"/>
  <c r="AG397" i="1"/>
  <c r="AG417" i="1"/>
  <c r="AG421" i="1"/>
  <c r="AG424" i="1"/>
  <c r="AG429" i="1"/>
  <c r="AD430" i="1"/>
  <c r="AD436" i="1"/>
  <c r="AG437" i="1"/>
  <c r="AD445" i="1"/>
  <c r="AG448" i="1"/>
  <c r="AG451" i="1"/>
  <c r="AD452" i="1"/>
  <c r="AG458" i="1"/>
  <c r="AC461" i="1"/>
  <c r="AG462" i="1"/>
  <c r="AC470" i="1"/>
  <c r="AG471" i="1"/>
  <c r="AC471" i="1"/>
  <c r="AG472" i="1"/>
  <c r="AG473" i="1"/>
  <c r="AD2" i="1"/>
  <c r="AG5" i="1"/>
  <c r="AD7" i="1"/>
  <c r="AC10" i="1"/>
  <c r="AG11" i="1"/>
  <c r="AC13" i="1"/>
  <c r="AD15" i="1"/>
  <c r="AD18" i="1"/>
  <c r="AC20" i="1"/>
  <c r="AG22" i="1"/>
  <c r="AC26" i="1"/>
  <c r="AD30" i="1"/>
  <c r="AC2" i="1"/>
  <c r="AG3" i="1"/>
  <c r="AD6" i="1"/>
  <c r="AC8" i="1"/>
  <c r="AD14" i="1"/>
  <c r="AC16" i="1"/>
  <c r="AC18" i="1"/>
  <c r="AC21" i="1"/>
  <c r="AD23" i="1"/>
  <c r="AG2" i="1"/>
  <c r="AG4" i="1"/>
  <c r="AC6" i="1"/>
  <c r="AG7" i="1"/>
  <c r="AC9" i="1"/>
  <c r="AD11" i="1"/>
  <c r="AC14" i="1"/>
  <c r="AG15" i="1"/>
  <c r="AC17" i="1"/>
  <c r="AG18" i="1"/>
  <c r="AG20" i="1"/>
  <c r="AG21" i="1"/>
  <c r="AD22" i="1"/>
  <c r="AC24" i="1"/>
  <c r="AC25" i="1"/>
  <c r="AD27" i="1"/>
  <c r="AC30" i="1"/>
  <c r="AG31" i="1"/>
  <c r="AG33" i="1"/>
  <c r="AD34" i="1"/>
  <c r="AG35" i="1"/>
  <c r="AC37" i="1"/>
  <c r="AG38" i="1"/>
  <c r="AC38" i="1"/>
  <c r="AG41" i="1"/>
  <c r="AD42" i="1"/>
  <c r="AG43" i="1"/>
  <c r="AC46" i="1"/>
  <c r="AD47" i="1"/>
  <c r="AC49" i="1"/>
  <c r="AG50" i="1"/>
  <c r="AG57" i="1"/>
  <c r="AD58" i="1"/>
  <c r="AG59" i="1"/>
  <c r="AC61" i="1"/>
  <c r="AC69" i="1"/>
  <c r="AG72" i="1"/>
  <c r="AD73" i="1"/>
  <c r="AC76" i="1"/>
  <c r="AG80" i="1"/>
  <c r="AC80" i="1"/>
  <c r="AC81" i="1"/>
  <c r="AD85" i="1"/>
  <c r="AD87" i="1"/>
  <c r="AC89" i="1"/>
  <c r="AD90" i="1"/>
  <c r="AD93" i="1"/>
  <c r="AD94" i="1"/>
  <c r="AC96" i="1"/>
  <c r="AG98" i="1"/>
  <c r="AC100" i="1"/>
  <c r="AC101" i="1"/>
  <c r="AC107" i="1"/>
  <c r="AG108" i="1"/>
  <c r="AC109" i="1"/>
  <c r="AG110" i="1"/>
  <c r="AG112" i="1"/>
  <c r="AD113" i="1"/>
  <c r="AD114" i="1"/>
  <c r="AC116" i="1"/>
  <c r="AC119" i="1"/>
  <c r="AG120" i="1"/>
  <c r="AG122" i="1"/>
  <c r="AG124" i="1"/>
  <c r="AD125" i="1"/>
  <c r="AD128" i="1"/>
  <c r="AC133" i="1"/>
  <c r="AD135" i="1"/>
  <c r="AD137" i="1"/>
  <c r="AC138" i="1"/>
  <c r="AD140" i="1"/>
  <c r="AC141" i="1"/>
  <c r="AC143" i="1"/>
  <c r="AG144" i="1"/>
  <c r="AG146" i="1"/>
  <c r="AD147" i="1"/>
  <c r="AD149" i="1"/>
  <c r="AC154" i="1"/>
  <c r="AG183" i="1"/>
  <c r="AD192" i="1"/>
  <c r="AG24" i="1"/>
  <c r="AG25" i="1"/>
  <c r="AD26" i="1"/>
  <c r="AC28" i="1"/>
  <c r="AG30" i="1"/>
  <c r="AG32" i="1"/>
  <c r="AD39" i="1"/>
  <c r="AG45" i="1"/>
  <c r="AD46" i="1"/>
  <c r="AG47" i="1"/>
  <c r="AC50" i="1"/>
  <c r="AD51" i="1"/>
  <c r="AC53" i="1"/>
  <c r="AG54" i="1"/>
  <c r="AG56" i="1"/>
  <c r="AD61" i="1"/>
  <c r="AG62" i="1"/>
  <c r="AD64" i="1"/>
  <c r="AG68" i="1"/>
  <c r="AG70" i="1"/>
  <c r="AG73" i="1"/>
  <c r="AD75" i="1"/>
  <c r="AC77" i="1"/>
  <c r="AG79" i="1"/>
  <c r="AD81" i="1"/>
  <c r="AD83" i="1"/>
  <c r="AD84" i="1"/>
  <c r="AG85" i="1"/>
  <c r="AG88" i="1"/>
  <c r="AC88" i="1"/>
  <c r="AD89" i="1"/>
  <c r="AG90" i="1"/>
  <c r="AC92" i="1"/>
  <c r="AG93" i="1"/>
  <c r="AG94" i="1"/>
  <c r="AD95" i="1"/>
  <c r="AC97" i="1"/>
  <c r="AD99" i="1"/>
  <c r="AD101" i="1"/>
  <c r="AD102" i="1"/>
  <c r="AC104" i="1"/>
  <c r="AC105" i="1"/>
  <c r="AG107" i="1"/>
  <c r="AG109" i="1"/>
  <c r="AG111" i="1"/>
  <c r="AC113" i="1"/>
  <c r="AG114" i="1"/>
  <c r="AC117" i="1"/>
  <c r="AG119" i="1"/>
  <c r="AG121" i="1"/>
  <c r="AG123" i="1"/>
  <c r="AC125" i="1"/>
  <c r="AG126" i="1"/>
  <c r="AG129" i="1"/>
  <c r="AC129" i="1"/>
  <c r="AG132" i="1"/>
  <c r="AG136" i="1"/>
  <c r="AG138" i="1"/>
  <c r="AD139" i="1"/>
  <c r="AD141" i="1"/>
  <c r="AC142" i="1"/>
  <c r="AG145" i="1"/>
  <c r="AC147" i="1"/>
  <c r="AG148" i="1"/>
  <c r="AD151" i="1"/>
  <c r="AD153" i="1"/>
  <c r="AG199" i="1"/>
  <c r="AD240" i="1"/>
  <c r="AD72" i="1"/>
  <c r="AD77" i="1"/>
  <c r="AD78" i="1"/>
  <c r="AD80" i="1"/>
  <c r="AD86" i="1"/>
  <c r="AG87" i="1"/>
  <c r="AG89" i="1"/>
  <c r="AD91" i="1"/>
  <c r="AD97" i="1"/>
  <c r="AD105" i="1"/>
  <c r="AD106" i="1"/>
  <c r="AC108" i="1"/>
  <c r="AD110" i="1"/>
  <c r="AC111" i="1"/>
  <c r="AG113" i="1"/>
  <c r="AC115" i="1"/>
  <c r="AD117" i="1"/>
  <c r="AD118" i="1"/>
  <c r="AC120" i="1"/>
  <c r="AC121" i="1"/>
  <c r="AD122" i="1"/>
  <c r="AC123" i="1"/>
  <c r="AG125" i="1"/>
  <c r="AG127" i="1"/>
  <c r="AD130" i="1"/>
  <c r="AC134" i="1"/>
  <c r="AG137" i="1"/>
  <c r="AC139" i="1"/>
  <c r="AD144" i="1"/>
  <c r="AC145" i="1"/>
  <c r="AG149" i="1"/>
  <c r="AC34" i="1"/>
  <c r="AD35" i="1"/>
  <c r="AC42" i="1"/>
  <c r="AD43" i="1"/>
  <c r="AC45" i="1"/>
  <c r="AG46" i="1"/>
  <c r="AG53" i="1"/>
  <c r="AD54" i="1"/>
  <c r="AG55" i="1"/>
  <c r="AC58" i="1"/>
  <c r="AD59" i="1"/>
  <c r="AG64" i="1"/>
  <c r="AD68" i="1"/>
  <c r="AG195" i="1"/>
  <c r="AG214" i="1"/>
  <c r="AG234" i="1"/>
  <c r="AD152" i="1"/>
  <c r="AG153" i="1"/>
  <c r="AC155" i="1"/>
  <c r="AD157" i="1"/>
  <c r="AC158" i="1"/>
  <c r="AD160" i="1"/>
  <c r="AG161" i="1"/>
  <c r="AC163" i="1"/>
  <c r="AG164" i="1"/>
  <c r="AG166" i="1"/>
  <c r="AD167" i="1"/>
  <c r="AD168" i="1"/>
  <c r="AC169" i="1"/>
  <c r="AG171" i="1"/>
  <c r="AC172" i="1"/>
  <c r="AG174" i="1"/>
  <c r="AG176" i="1"/>
  <c r="AC177" i="1"/>
  <c r="AD184" i="1"/>
  <c r="AG186" i="1"/>
  <c r="AG192" i="1"/>
  <c r="AD200" i="1"/>
  <c r="AG202" i="1"/>
  <c r="AG208" i="1"/>
  <c r="AD209" i="1"/>
  <c r="AD210" i="1"/>
  <c r="AD229" i="1"/>
  <c r="AC229" i="1"/>
  <c r="AG242" i="1"/>
  <c r="AG252" i="1"/>
  <c r="AD280" i="1"/>
  <c r="AD159" i="1"/>
  <c r="AC161" i="1"/>
  <c r="AG165" i="1"/>
  <c r="AC167" i="1"/>
  <c r="AD169" i="1"/>
  <c r="AC170" i="1"/>
  <c r="AG172" i="1"/>
  <c r="AC173" i="1"/>
  <c r="AD178" i="1"/>
  <c r="AG179" i="1"/>
  <c r="AD179" i="1"/>
  <c r="AC182" i="1"/>
  <c r="AC189" i="1"/>
  <c r="AG190" i="1"/>
  <c r="AG191" i="1"/>
  <c r="AC193" i="1"/>
  <c r="AC194" i="1"/>
  <c r="AG196" i="1"/>
  <c r="AC198" i="1"/>
  <c r="AD199" i="1"/>
  <c r="AG210" i="1"/>
  <c r="AG211" i="1"/>
  <c r="AD213" i="1"/>
  <c r="AD216" i="1"/>
  <c r="AD249" i="1"/>
  <c r="AC249" i="1"/>
  <c r="AC150" i="1"/>
  <c r="AG154" i="1"/>
  <c r="AD155" i="1"/>
  <c r="AD156" i="1"/>
  <c r="AC157" i="1"/>
  <c r="AG162" i="1"/>
  <c r="AD163" i="1"/>
  <c r="AD165" i="1"/>
  <c r="AC166" i="1"/>
  <c r="AG169" i="1"/>
  <c r="AD173" i="1"/>
  <c r="AC176" i="1"/>
  <c r="AG182" i="1"/>
  <c r="AG185" i="1"/>
  <c r="AG187" i="1"/>
  <c r="AC190" i="1"/>
  <c r="AD193" i="1"/>
  <c r="AG194" i="1"/>
  <c r="AD196" i="1"/>
  <c r="AG198" i="1"/>
  <c r="AG201" i="1"/>
  <c r="AG203" i="1"/>
  <c r="AG205" i="1"/>
  <c r="AG235" i="1"/>
  <c r="AD262" i="1"/>
  <c r="AG271" i="1"/>
  <c r="AC293" i="1"/>
  <c r="AD293" i="1"/>
  <c r="AG287" i="1"/>
  <c r="AD287" i="1"/>
  <c r="AC288" i="1"/>
  <c r="AD297" i="1"/>
  <c r="AG299" i="1"/>
  <c r="AC312" i="1"/>
  <c r="AC328" i="1"/>
  <c r="AD355" i="1"/>
  <c r="AG204" i="1"/>
  <c r="AG213" i="1"/>
  <c r="AG218" i="1"/>
  <c r="AC222" i="1"/>
  <c r="AD225" i="1"/>
  <c r="AG227" i="1"/>
  <c r="AG228" i="1"/>
  <c r="AG236" i="1"/>
  <c r="AC250" i="1"/>
  <c r="AD258" i="1"/>
  <c r="AC261" i="1"/>
  <c r="AG264" i="1"/>
  <c r="AG269" i="1"/>
  <c r="AC270" i="1"/>
  <c r="AG279" i="1"/>
  <c r="AD291" i="1"/>
  <c r="AG296" i="1"/>
  <c r="AG302" i="1"/>
  <c r="AD307" i="1"/>
  <c r="AD310" i="1"/>
  <c r="AD318" i="1"/>
  <c r="AC322" i="1"/>
  <c r="AC323" i="1"/>
  <c r="AD324" i="1"/>
  <c r="AG331" i="1"/>
  <c r="AC331" i="1"/>
  <c r="AG346" i="1"/>
  <c r="AC351" i="1"/>
  <c r="AG303" i="1"/>
  <c r="AG306" i="1"/>
  <c r="AD314" i="1"/>
  <c r="AG316" i="1"/>
  <c r="AC318" i="1"/>
  <c r="AG320" i="1"/>
  <c r="AC321" i="1"/>
  <c r="AG330" i="1"/>
  <c r="AG335" i="1"/>
  <c r="AG215" i="1"/>
  <c r="AG216" i="1"/>
  <c r="AG220" i="1"/>
  <c r="AG222" i="1"/>
  <c r="AG225" i="1"/>
  <c r="AG230" i="1"/>
  <c r="AG231" i="1"/>
  <c r="AG233" i="1"/>
  <c r="AC234" i="1"/>
  <c r="AG237" i="1"/>
  <c r="AC246" i="1"/>
  <c r="AG248" i="1"/>
  <c r="AC253" i="1"/>
  <c r="AG255" i="1"/>
  <c r="AD257" i="1"/>
  <c r="AC257" i="1"/>
  <c r="AD264" i="1"/>
  <c r="AC266" i="1"/>
  <c r="AG272" i="1"/>
  <c r="AG274" i="1"/>
  <c r="AG285" i="1"/>
  <c r="AD285" i="1"/>
  <c r="AC340" i="1"/>
  <c r="AG342" i="1"/>
  <c r="AG345" i="1"/>
  <c r="AD359" i="1"/>
  <c r="AC359" i="1"/>
  <c r="AC390" i="1"/>
  <c r="AD391" i="1"/>
  <c r="AC391" i="1"/>
  <c r="AC394" i="1"/>
  <c r="AD438" i="1"/>
  <c r="AD446" i="1"/>
  <c r="AD237" i="1"/>
  <c r="AG239" i="1"/>
  <c r="AG240" i="1"/>
  <c r="AG244" i="1"/>
  <c r="AG246" i="1"/>
  <c r="AG247" i="1"/>
  <c r="AG254" i="1"/>
  <c r="AG258" i="1"/>
  <c r="AG259" i="1"/>
  <c r="AG262" i="1"/>
  <c r="AG265" i="1"/>
  <c r="AD268" i="1"/>
  <c r="AD269" i="1"/>
  <c r="AG270" i="1"/>
  <c r="AD272" i="1"/>
  <c r="AG280" i="1"/>
  <c r="AG292" i="1"/>
  <c r="AC292" i="1"/>
  <c r="AG294" i="1"/>
  <c r="AD300" i="1"/>
  <c r="AD306" i="1"/>
  <c r="AG308" i="1"/>
  <c r="AC310" i="1"/>
  <c r="AG312" i="1"/>
  <c r="AD315" i="1"/>
  <c r="AD319" i="1"/>
  <c r="AG324" i="1"/>
  <c r="AG329" i="1"/>
  <c r="AC332" i="1"/>
  <c r="AD342" i="1"/>
  <c r="AD345" i="1"/>
  <c r="AD346" i="1"/>
  <c r="AC349" i="1"/>
  <c r="AG353" i="1"/>
  <c r="AG354" i="1"/>
  <c r="AG360" i="1"/>
  <c r="AD364" i="1"/>
  <c r="AC364" i="1"/>
  <c r="AD396" i="1"/>
  <c r="AC398" i="1"/>
  <c r="AG433" i="1"/>
  <c r="AC336" i="1"/>
  <c r="AD336" i="1"/>
  <c r="AD339" i="1"/>
  <c r="AD340" i="1"/>
  <c r="AG341" i="1"/>
  <c r="AD341" i="1"/>
  <c r="AD344" i="1"/>
  <c r="AD351" i="1"/>
  <c r="AC354" i="1"/>
  <c r="AG356" i="1"/>
  <c r="AD357" i="1"/>
  <c r="AD368" i="1"/>
  <c r="AD406" i="1"/>
  <c r="AC406" i="1"/>
  <c r="AG412" i="1"/>
  <c r="AG378" i="1"/>
  <c r="AC378" i="1"/>
  <c r="AD448" i="1"/>
  <c r="AD362" i="1"/>
  <c r="AG365" i="1"/>
  <c r="AG366" i="1"/>
  <c r="AG370" i="1"/>
  <c r="AC370" i="1"/>
  <c r="AD384" i="1"/>
  <c r="AD388" i="1"/>
  <c r="AG403" i="1"/>
  <c r="AD404" i="1"/>
  <c r="AG406" i="1"/>
  <c r="AG407" i="1"/>
  <c r="AD409" i="1"/>
  <c r="AC412" i="1"/>
  <c r="AG413" i="1"/>
  <c r="AD413" i="1"/>
  <c r="AC421" i="1"/>
  <c r="AG422" i="1"/>
  <c r="AD423" i="1"/>
  <c r="AD427" i="1"/>
  <c r="AD435" i="1"/>
  <c r="AG436" i="1"/>
  <c r="AD444" i="1"/>
  <c r="AC447" i="1"/>
  <c r="AG450" i="1"/>
  <c r="AG364" i="1"/>
  <c r="AC366" i="1"/>
  <c r="AC367" i="1"/>
  <c r="AG368" i="1"/>
  <c r="AG369" i="1"/>
  <c r="AG372" i="1"/>
  <c r="AD373" i="1"/>
  <c r="AG374" i="1"/>
  <c r="AC376" i="1"/>
  <c r="AG382" i="1"/>
  <c r="AG386" i="1"/>
  <c r="AG387" i="1"/>
  <c r="AG392" i="1"/>
  <c r="AD395" i="1"/>
  <c r="AC401" i="1"/>
  <c r="AG409" i="1"/>
  <c r="AC409" i="1"/>
  <c r="AD414" i="1"/>
  <c r="AD416" i="1"/>
  <c r="AD417" i="1"/>
  <c r="AG434" i="1"/>
  <c r="AG441" i="1"/>
  <c r="AD443" i="1"/>
  <c r="AC443" i="1"/>
  <c r="AG446" i="1"/>
  <c r="AD459" i="1"/>
  <c r="AG461" i="1"/>
  <c r="AG463" i="1"/>
  <c r="AG465" i="1"/>
  <c r="AD488" i="1"/>
  <c r="AC424" i="1"/>
  <c r="AG425" i="1"/>
  <c r="AC426" i="1"/>
  <c r="AG435" i="1"/>
  <c r="AG439" i="1"/>
  <c r="AC440" i="1"/>
  <c r="AG443" i="1"/>
  <c r="AG444" i="1"/>
  <c r="AG447" i="1"/>
  <c r="AD458" i="1"/>
  <c r="AD460" i="1"/>
  <c r="AD462" i="1"/>
  <c r="AD464" i="1"/>
  <c r="AD466" i="1"/>
  <c r="AD468" i="1"/>
  <c r="AG470" i="1"/>
  <c r="AD471" i="1"/>
  <c r="AD474" i="1"/>
  <c r="AD475" i="1"/>
  <c r="AD479" i="1"/>
  <c r="AG483" i="1"/>
  <c r="AD483" i="1"/>
  <c r="AD485" i="1"/>
  <c r="AD489" i="1"/>
  <c r="AC469" i="1"/>
  <c r="AD472" i="1"/>
  <c r="AG474" i="1"/>
  <c r="AC475" i="1"/>
  <c r="AC476" i="1"/>
  <c r="AG479" i="1"/>
  <c r="AG481" i="1"/>
  <c r="AD481" i="1"/>
  <c r="AD482" i="1"/>
  <c r="AD484" i="1"/>
  <c r="AG475" i="1"/>
  <c r="AG476" i="1"/>
  <c r="AD480" i="1"/>
  <c r="AD5" i="1"/>
  <c r="AD9" i="1"/>
  <c r="AD13" i="1"/>
  <c r="AD17" i="1"/>
  <c r="AD21" i="1"/>
  <c r="AD25" i="1"/>
  <c r="AD29" i="1"/>
  <c r="AD33" i="1"/>
  <c r="AC36" i="1"/>
  <c r="AD37" i="1"/>
  <c r="AC40" i="1"/>
  <c r="AD41" i="1"/>
  <c r="AC44" i="1"/>
  <c r="AD45" i="1"/>
  <c r="AC48" i="1"/>
  <c r="AD49" i="1"/>
  <c r="AC52" i="1"/>
  <c r="AD53" i="1"/>
  <c r="AC56" i="1"/>
  <c r="AD57" i="1"/>
  <c r="AC3" i="1"/>
  <c r="AD4" i="1"/>
  <c r="AC7" i="1"/>
  <c r="AD8" i="1"/>
  <c r="AC11" i="1"/>
  <c r="AD12" i="1"/>
  <c r="AC15" i="1"/>
  <c r="AD16" i="1"/>
  <c r="AC19" i="1"/>
  <c r="AD20" i="1"/>
  <c r="AC23" i="1"/>
  <c r="AD24" i="1"/>
  <c r="AC27" i="1"/>
  <c r="AD28" i="1"/>
  <c r="AC31" i="1"/>
  <c r="AD32" i="1"/>
  <c r="AC35" i="1"/>
  <c r="AD36" i="1"/>
  <c r="AC39" i="1"/>
  <c r="AD40" i="1"/>
  <c r="AC43" i="1"/>
  <c r="AD44" i="1"/>
  <c r="AC47" i="1"/>
  <c r="AD48" i="1"/>
  <c r="AC51" i="1"/>
  <c r="AD52" i="1"/>
  <c r="AC55" i="1"/>
  <c r="AD56" i="1"/>
  <c r="AC59" i="1"/>
  <c r="AC62" i="1"/>
  <c r="AD63" i="1"/>
  <c r="AC66" i="1"/>
  <c r="AD67" i="1"/>
  <c r="AC70" i="1"/>
  <c r="AD71" i="1"/>
  <c r="AC63" i="1"/>
  <c r="AD65" i="1"/>
  <c r="AC67" i="1"/>
  <c r="AD69" i="1"/>
  <c r="AC71" i="1"/>
  <c r="AD60" i="1"/>
  <c r="AC60" i="1"/>
  <c r="AD62" i="1"/>
  <c r="AC64" i="1"/>
  <c r="AD66" i="1"/>
  <c r="AC68" i="1"/>
  <c r="AD70" i="1"/>
  <c r="AC72" i="1"/>
  <c r="AC75" i="1"/>
  <c r="AD76" i="1"/>
  <c r="AC79" i="1"/>
  <c r="AC83" i="1"/>
  <c r="AC87" i="1"/>
  <c r="AC91" i="1"/>
  <c r="AD92" i="1"/>
  <c r="AC95" i="1"/>
  <c r="AD96" i="1"/>
  <c r="AC99" i="1"/>
  <c r="AD100" i="1"/>
  <c r="AD104" i="1"/>
  <c r="AD108" i="1"/>
  <c r="AD112" i="1"/>
  <c r="AD116" i="1"/>
  <c r="AD120" i="1"/>
  <c r="AD124" i="1"/>
  <c r="AC127" i="1"/>
  <c r="AC128" i="1"/>
  <c r="AC74" i="1"/>
  <c r="AC78" i="1"/>
  <c r="AC82" i="1"/>
  <c r="AC86" i="1"/>
  <c r="AC90" i="1"/>
  <c r="AC94" i="1"/>
  <c r="AC98" i="1"/>
  <c r="AC102" i="1"/>
  <c r="AD103" i="1"/>
  <c r="AC106" i="1"/>
  <c r="AD107" i="1"/>
  <c r="AC110" i="1"/>
  <c r="AD111" i="1"/>
  <c r="AC114" i="1"/>
  <c r="AD115" i="1"/>
  <c r="AC118" i="1"/>
  <c r="AD119" i="1"/>
  <c r="AC122" i="1"/>
  <c r="AD123" i="1"/>
  <c r="AC126" i="1"/>
  <c r="AD127" i="1"/>
  <c r="AG131" i="1"/>
  <c r="AD131" i="1"/>
  <c r="AD132" i="1"/>
  <c r="AD133" i="1"/>
  <c r="AC130" i="1"/>
  <c r="AD129" i="1"/>
  <c r="AD134" i="1"/>
  <c r="AD138" i="1"/>
  <c r="AD142" i="1"/>
  <c r="AD146" i="1"/>
  <c r="AD150" i="1"/>
  <c r="AD154" i="1"/>
  <c r="AD158" i="1"/>
  <c r="AD162" i="1"/>
  <c r="AD166" i="1"/>
  <c r="AD170" i="1"/>
  <c r="AC171" i="1"/>
  <c r="AC174" i="1"/>
  <c r="AC175" i="1"/>
  <c r="AC178" i="1"/>
  <c r="AC179" i="1"/>
  <c r="AC180" i="1"/>
  <c r="AD185" i="1"/>
  <c r="AC185" i="1"/>
  <c r="AD186" i="1"/>
  <c r="AC187" i="1"/>
  <c r="AD187" i="1"/>
  <c r="AD198" i="1"/>
  <c r="AC220" i="1"/>
  <c r="AC226" i="1"/>
  <c r="AC230" i="1"/>
  <c r="AC244" i="1"/>
  <c r="AC251" i="1"/>
  <c r="AD275" i="1"/>
  <c r="AC277" i="1"/>
  <c r="AD277" i="1"/>
  <c r="AC132" i="1"/>
  <c r="AG135" i="1"/>
  <c r="AC136" i="1"/>
  <c r="AG139" i="1"/>
  <c r="AC140" i="1"/>
  <c r="AG143" i="1"/>
  <c r="AC144" i="1"/>
  <c r="AG147" i="1"/>
  <c r="AC148" i="1"/>
  <c r="AG151" i="1"/>
  <c r="AC152" i="1"/>
  <c r="AG155" i="1"/>
  <c r="AC156" i="1"/>
  <c r="AG159" i="1"/>
  <c r="AC160" i="1"/>
  <c r="AG163" i="1"/>
  <c r="AC164" i="1"/>
  <c r="AG167" i="1"/>
  <c r="AC168" i="1"/>
  <c r="AD181" i="1"/>
  <c r="AD182" i="1"/>
  <c r="AC183" i="1"/>
  <c r="AD183" i="1"/>
  <c r="AD188" i="1"/>
  <c r="AC192" i="1"/>
  <c r="AC196" i="1"/>
  <c r="AC217" i="1"/>
  <c r="AC241" i="1"/>
  <c r="AC259" i="1"/>
  <c r="AC267" i="1"/>
  <c r="AD267" i="1"/>
  <c r="AC131" i="1"/>
  <c r="AC135" i="1"/>
  <c r="AD171" i="1"/>
  <c r="AD175" i="1"/>
  <c r="AC188" i="1"/>
  <c r="AC199" i="1"/>
  <c r="AC211" i="1"/>
  <c r="AG219" i="1"/>
  <c r="AD226" i="1"/>
  <c r="AC231" i="1"/>
  <c r="AG243" i="1"/>
  <c r="AD251" i="1"/>
  <c r="AD172" i="1"/>
  <c r="AD176" i="1"/>
  <c r="AD180" i="1"/>
  <c r="AC184" i="1"/>
  <c r="AC186" i="1"/>
  <c r="AD189" i="1"/>
  <c r="AD190" i="1"/>
  <c r="AC191" i="1"/>
  <c r="AD191" i="1"/>
  <c r="AD194" i="1"/>
  <c r="AC195" i="1"/>
  <c r="AD195" i="1"/>
  <c r="AD197" i="1"/>
  <c r="AC201" i="1"/>
  <c r="AC204" i="1"/>
  <c r="AC205" i="1"/>
  <c r="AC210" i="1"/>
  <c r="AC227" i="1"/>
  <c r="AD231" i="1"/>
  <c r="AC258" i="1"/>
  <c r="AC262" i="1"/>
  <c r="AC271" i="1"/>
  <c r="AD271" i="1"/>
  <c r="AG284" i="1"/>
  <c r="AC200" i="1"/>
  <c r="AC202" i="1"/>
  <c r="AD205" i="1"/>
  <c r="AD206" i="1"/>
  <c r="AC207" i="1"/>
  <c r="AD207" i="1"/>
  <c r="AD212" i="1"/>
  <c r="AC216" i="1"/>
  <c r="AC218" i="1"/>
  <c r="AD221" i="1"/>
  <c r="AD222" i="1"/>
  <c r="AC223" i="1"/>
  <c r="AD223" i="1"/>
  <c r="AD228" i="1"/>
  <c r="AD232" i="1"/>
  <c r="AC236" i="1"/>
  <c r="AC240" i="1"/>
  <c r="AC242" i="1"/>
  <c r="AD245" i="1"/>
  <c r="AD246" i="1"/>
  <c r="AC247" i="1"/>
  <c r="AD247" i="1"/>
  <c r="AD250" i="1"/>
  <c r="AD252" i="1"/>
  <c r="AD253" i="1"/>
  <c r="AC254" i="1"/>
  <c r="AC255" i="1"/>
  <c r="AD255" i="1"/>
  <c r="AD260" i="1"/>
  <c r="AC265" i="1"/>
  <c r="AD279" i="1"/>
  <c r="AD284" i="1"/>
  <c r="AD201" i="1"/>
  <c r="AD202" i="1"/>
  <c r="AC203" i="1"/>
  <c r="AD203" i="1"/>
  <c r="AD208" i="1"/>
  <c r="AC212" i="1"/>
  <c r="AC214" i="1"/>
  <c r="AD217" i="1"/>
  <c r="AD218" i="1"/>
  <c r="AC219" i="1"/>
  <c r="AD219" i="1"/>
  <c r="AD224" i="1"/>
  <c r="AC228" i="1"/>
  <c r="AC232" i="1"/>
  <c r="AC238" i="1"/>
  <c r="AD241" i="1"/>
  <c r="AD242" i="1"/>
  <c r="AC243" i="1"/>
  <c r="AD243" i="1"/>
  <c r="AD248" i="1"/>
  <c r="AD254" i="1"/>
  <c r="AD256" i="1"/>
  <c r="AC260" i="1"/>
  <c r="AC269" i="1"/>
  <c r="AC275" i="1"/>
  <c r="AD276" i="1"/>
  <c r="AD204" i="1"/>
  <c r="AC208" i="1"/>
  <c r="AD214" i="1"/>
  <c r="AC215" i="1"/>
  <c r="AD215" i="1"/>
  <c r="AD220" i="1"/>
  <c r="AC224" i="1"/>
  <c r="AD233" i="1"/>
  <c r="AD234" i="1"/>
  <c r="AC235" i="1"/>
  <c r="AD235" i="1"/>
  <c r="AD238" i="1"/>
  <c r="AC239" i="1"/>
  <c r="AD239" i="1"/>
  <c r="AD244" i="1"/>
  <c r="AD261" i="1"/>
  <c r="AC263" i="1"/>
  <c r="AD263" i="1"/>
  <c r="AD265" i="1"/>
  <c r="AC278" i="1"/>
  <c r="AD281" i="1"/>
  <c r="AD283" i="1"/>
  <c r="AC283" i="1"/>
  <c r="AD266" i="1"/>
  <c r="AD270" i="1"/>
  <c r="AC273" i="1"/>
  <c r="AD290" i="1"/>
  <c r="AC290" i="1"/>
  <c r="AC306" i="1"/>
  <c r="AG309" i="1"/>
  <c r="AC314" i="1"/>
  <c r="AG317" i="1"/>
  <c r="AC248" i="1"/>
  <c r="AC252" i="1"/>
  <c r="AC256" i="1"/>
  <c r="AC264" i="1"/>
  <c r="AC268" i="1"/>
  <c r="AC272" i="1"/>
  <c r="AC274" i="1"/>
  <c r="AC279" i="1"/>
  <c r="AD282" i="1"/>
  <c r="AC284" i="1"/>
  <c r="AC285" i="1"/>
  <c r="AC286" i="1"/>
  <c r="AD294" i="1"/>
  <c r="AC294" i="1"/>
  <c r="AD308" i="1"/>
  <c r="AC309" i="1"/>
  <c r="AD309" i="1"/>
  <c r="AD316" i="1"/>
  <c r="AC317" i="1"/>
  <c r="AD317" i="1"/>
  <c r="AC324" i="1"/>
  <c r="AD325" i="1"/>
  <c r="AD273" i="1"/>
  <c r="AD278" i="1"/>
  <c r="AC280" i="1"/>
  <c r="AC281" i="1"/>
  <c r="AG290" i="1"/>
  <c r="AD298" i="1"/>
  <c r="AC298" i="1"/>
  <c r="AC299" i="1"/>
  <c r="AD299" i="1"/>
  <c r="AG305" i="1"/>
  <c r="AG313" i="1"/>
  <c r="AG321" i="1"/>
  <c r="AG322" i="1"/>
  <c r="AC325" i="1"/>
  <c r="AD286" i="1"/>
  <c r="AD289" i="1"/>
  <c r="AC295" i="1"/>
  <c r="AD295" i="1"/>
  <c r="AC300" i="1"/>
  <c r="AD302" i="1"/>
  <c r="AC302" i="1"/>
  <c r="AC303" i="1"/>
  <c r="AD303" i="1"/>
  <c r="AD304" i="1"/>
  <c r="AC305" i="1"/>
  <c r="AD305" i="1"/>
  <c r="AD312" i="1"/>
  <c r="AC313" i="1"/>
  <c r="AD313" i="1"/>
  <c r="AD320" i="1"/>
  <c r="AD321" i="1"/>
  <c r="AD322" i="1"/>
  <c r="AD326" i="1"/>
  <c r="AC326" i="1"/>
  <c r="AG338" i="1"/>
  <c r="AC344" i="1"/>
  <c r="AG349" i="1"/>
  <c r="AD356" i="1"/>
  <c r="AD288" i="1"/>
  <c r="AC291" i="1"/>
  <c r="AC307" i="1"/>
  <c r="AC311" i="1"/>
  <c r="AC315" i="1"/>
  <c r="AC319" i="1"/>
  <c r="AD327" i="1"/>
  <c r="AC329" i="1"/>
  <c r="AC330" i="1"/>
  <c r="AD331" i="1"/>
  <c r="AC333" i="1"/>
  <c r="AC334" i="1"/>
  <c r="AD335" i="1"/>
  <c r="AC337" i="1"/>
  <c r="AC338" i="1"/>
  <c r="AC343" i="1"/>
  <c r="AC348" i="1"/>
  <c r="AC287" i="1"/>
  <c r="AC297" i="1"/>
  <c r="AC301" i="1"/>
  <c r="AG328" i="1"/>
  <c r="AD330" i="1"/>
  <c r="AG332" i="1"/>
  <c r="AD334" i="1"/>
  <c r="AG336" i="1"/>
  <c r="AD338" i="1"/>
  <c r="AG340" i="1"/>
  <c r="AC342" i="1"/>
  <c r="AC346" i="1"/>
  <c r="AD349" i="1"/>
  <c r="AD353" i="1"/>
  <c r="AC358" i="1"/>
  <c r="AD358" i="1"/>
  <c r="AD329" i="1"/>
  <c r="AD333" i="1"/>
  <c r="AD337" i="1"/>
  <c r="AC341" i="1"/>
  <c r="AD343" i="1"/>
  <c r="AC345" i="1"/>
  <c r="AC347" i="1"/>
  <c r="AD348" i="1"/>
  <c r="AD350" i="1"/>
  <c r="AC352" i="1"/>
  <c r="AD354" i="1"/>
  <c r="AC363" i="1"/>
  <c r="AD363" i="1"/>
  <c r="AD371" i="1"/>
  <c r="AD375" i="1"/>
  <c r="AD381" i="1"/>
  <c r="AD383" i="1"/>
  <c r="AC383" i="1"/>
  <c r="AD389" i="1"/>
  <c r="AC389" i="1"/>
  <c r="AD399" i="1"/>
  <c r="AC400" i="1"/>
  <c r="AD400" i="1"/>
  <c r="AD402" i="1"/>
  <c r="AD407" i="1"/>
  <c r="AC360" i="1"/>
  <c r="AD360" i="1"/>
  <c r="AC365" i="1"/>
  <c r="AD365" i="1"/>
  <c r="AD386" i="1"/>
  <c r="AC388" i="1"/>
  <c r="AD392" i="1"/>
  <c r="AD393" i="1"/>
  <c r="AC393" i="1"/>
  <c r="AG396" i="1"/>
  <c r="AD403" i="1"/>
  <c r="AG351" i="1"/>
  <c r="AD361" i="1"/>
  <c r="AD366" i="1"/>
  <c r="AC369" i="1"/>
  <c r="AD369" i="1"/>
  <c r="AD376" i="1"/>
  <c r="AC377" i="1"/>
  <c r="AD377" i="1"/>
  <c r="AC379" i="1"/>
  <c r="AD379" i="1"/>
  <c r="AC387" i="1"/>
  <c r="AD387" i="1"/>
  <c r="AC392" i="1"/>
  <c r="AC395" i="1"/>
  <c r="AD397" i="1"/>
  <c r="AC397" i="1"/>
  <c r="AG411" i="1"/>
  <c r="AD352" i="1"/>
  <c r="AC356" i="1"/>
  <c r="AD367" i="1"/>
  <c r="AD370" i="1"/>
  <c r="AC371" i="1"/>
  <c r="AD372" i="1"/>
  <c r="AC374" i="1"/>
  <c r="AD374" i="1"/>
  <c r="AD378" i="1"/>
  <c r="AD380" i="1"/>
  <c r="AC381" i="1"/>
  <c r="AD382" i="1"/>
  <c r="AC384" i="1"/>
  <c r="AG388" i="1"/>
  <c r="AC396" i="1"/>
  <c r="AC399" i="1"/>
  <c r="AG400" i="1"/>
  <c r="AG402" i="1"/>
  <c r="AC402" i="1"/>
  <c r="AC403" i="1"/>
  <c r="AD405" i="1"/>
  <c r="AG408" i="1"/>
  <c r="AD410" i="1"/>
  <c r="AD411" i="1"/>
  <c r="AD419" i="1"/>
  <c r="AC420" i="1"/>
  <c r="AD420" i="1"/>
  <c r="AC431" i="1"/>
  <c r="AD431" i="1"/>
  <c r="AG445" i="1"/>
  <c r="AG456" i="1"/>
  <c r="AC361" i="1"/>
  <c r="AC368" i="1"/>
  <c r="AC372" i="1"/>
  <c r="AC375" i="1"/>
  <c r="AC380" i="1"/>
  <c r="AC382" i="1"/>
  <c r="AD390" i="1"/>
  <c r="AD394" i="1"/>
  <c r="AD398" i="1"/>
  <c r="AG404" i="1"/>
  <c r="AC413" i="1"/>
  <c r="AD422" i="1"/>
  <c r="AC422" i="1"/>
  <c r="AD425" i="1"/>
  <c r="AC425" i="1"/>
  <c r="AD426" i="1"/>
  <c r="AC428" i="1"/>
  <c r="AC438" i="1"/>
  <c r="AC446" i="1"/>
  <c r="AC449" i="1"/>
  <c r="AD451" i="1"/>
  <c r="AC453" i="1"/>
  <c r="AD385" i="1"/>
  <c r="AG391" i="1"/>
  <c r="AG395" i="1"/>
  <c r="AD401" i="1"/>
  <c r="AC404" i="1"/>
  <c r="AC405" i="1"/>
  <c r="AC407" i="1"/>
  <c r="AC410" i="1"/>
  <c r="AC411" i="1"/>
  <c r="AC414" i="1"/>
  <c r="AC416" i="1"/>
  <c r="AC429" i="1"/>
  <c r="AC435" i="1"/>
  <c r="AD437" i="1"/>
  <c r="AD440" i="1"/>
  <c r="AD447" i="1"/>
  <c r="AD408" i="1"/>
  <c r="AC408" i="1"/>
  <c r="AD412" i="1"/>
  <c r="AG419" i="1"/>
  <c r="AC419" i="1"/>
  <c r="AG420" i="1"/>
  <c r="AC430" i="1"/>
  <c r="AC432" i="1"/>
  <c r="AD433" i="1"/>
  <c r="AC433" i="1"/>
  <c r="AD450" i="1"/>
  <c r="AC451" i="1"/>
  <c r="AC418" i="1"/>
  <c r="AG428" i="1"/>
  <c r="AC437" i="1"/>
  <c r="AC441" i="1"/>
  <c r="AD441" i="1"/>
  <c r="AC454" i="1"/>
  <c r="AD421" i="1"/>
  <c r="AC423" i="1"/>
  <c r="AD424" i="1"/>
  <c r="AC434" i="1"/>
  <c r="AD434" i="1"/>
  <c r="AC436" i="1"/>
  <c r="AC444" i="1"/>
  <c r="AC445" i="1"/>
  <c r="AC448" i="1"/>
  <c r="AD453" i="1"/>
  <c r="AD454" i="1"/>
  <c r="AD455" i="1"/>
  <c r="AC455" i="1"/>
  <c r="AC456" i="1"/>
  <c r="AD456" i="1"/>
  <c r="AG455" i="1"/>
  <c r="AD429" i="1"/>
  <c r="AD439" i="1"/>
  <c r="AC442" i="1"/>
  <c r="AD449" i="1"/>
  <c r="AC452" i="1"/>
  <c r="AC458" i="1"/>
  <c r="AC457" i="1"/>
  <c r="AC459" i="1"/>
  <c r="AD467" i="1"/>
  <c r="AD469" i="1"/>
  <c r="AD473" i="1"/>
  <c r="AD461" i="1"/>
  <c r="AD463" i="1"/>
  <c r="AG464" i="1"/>
  <c r="AD465" i="1"/>
  <c r="AD470" i="1"/>
  <c r="AC460" i="1"/>
  <c r="AC462" i="1"/>
  <c r="AC464" i="1"/>
  <c r="AC472" i="1"/>
  <c r="AD476" i="1"/>
  <c r="AG478" i="1"/>
  <c r="AC482" i="1"/>
  <c r="AC484" i="1"/>
  <c r="AC474" i="1"/>
  <c r="AC478" i="1"/>
  <c r="AC480" i="1"/>
  <c r="AC487" i="1"/>
  <c r="AC477" i="1"/>
  <c r="AC481" i="1"/>
  <c r="AC483" i="1"/>
  <c r="AC485" i="1"/>
</calcChain>
</file>

<file path=xl/sharedStrings.xml><?xml version="1.0" encoding="utf-8"?>
<sst xmlns="http://schemas.openxmlformats.org/spreadsheetml/2006/main" count="18970" uniqueCount="3229">
  <si>
    <t>Sl. No.</t>
  </si>
  <si>
    <t>Location</t>
  </si>
  <si>
    <t>Fabrication No</t>
  </si>
  <si>
    <t>MODEL</t>
  </si>
  <si>
    <t>Sub Model</t>
  </si>
  <si>
    <t>Product Sub Group</t>
  </si>
  <si>
    <t>CUSTOMER NAME</t>
  </si>
  <si>
    <t>Address</t>
  </si>
  <si>
    <t>Email ID</t>
  </si>
  <si>
    <t>Contact No. 1</t>
  </si>
  <si>
    <t>Contact No. 2</t>
  </si>
  <si>
    <t>Warranty Type</t>
  </si>
  <si>
    <t>Warranty Pd.</t>
  </si>
  <si>
    <t>Category</t>
  </si>
  <si>
    <t>Last Service Call#</t>
  </si>
  <si>
    <t>Last Service Date</t>
  </si>
  <si>
    <t>Last Service HMR</t>
  </si>
  <si>
    <t>Complaint Date</t>
  </si>
  <si>
    <t>Complaint HMR</t>
  </si>
  <si>
    <t>Last Service Details</t>
  </si>
  <si>
    <t>Due Calculation</t>
  </si>
  <si>
    <t>Service Status by HMR</t>
  </si>
  <si>
    <t>Aging Calculation</t>
  </si>
  <si>
    <t>Service Status by Ageing</t>
  </si>
  <si>
    <t>Current Month Due</t>
  </si>
  <si>
    <t>Next Month Due</t>
  </si>
  <si>
    <t>Over Due</t>
  </si>
  <si>
    <t>Avg. Hrs</t>
  </si>
  <si>
    <t>HMR Cal.</t>
  </si>
  <si>
    <t>500 Hours schedule service</t>
  </si>
  <si>
    <t xml:space="preserve">1000 Hours service </t>
  </si>
  <si>
    <t>1250 Hours schedule service</t>
  </si>
  <si>
    <t>1500 Hours schedule service</t>
  </si>
  <si>
    <t xml:space="preserve">2000 Hours </t>
  </si>
  <si>
    <t>2750 hours</t>
  </si>
  <si>
    <t>3000 hours</t>
  </si>
  <si>
    <t>3500 hours</t>
  </si>
  <si>
    <t xml:space="preserve">4250 Hours </t>
  </si>
  <si>
    <t>4500 Hours</t>
  </si>
  <si>
    <t>5000 hours</t>
  </si>
  <si>
    <t>5750 hours</t>
  </si>
  <si>
    <t>6500 hours</t>
  </si>
  <si>
    <t>7250 hours</t>
  </si>
  <si>
    <t>8000 hours</t>
  </si>
  <si>
    <t>8750 hours</t>
  </si>
  <si>
    <t>Due remarks</t>
  </si>
  <si>
    <t>Last OOF HMR</t>
  </si>
  <si>
    <t>Last OOF date</t>
  </si>
  <si>
    <t>OOF Track number</t>
  </si>
  <si>
    <t>Last AOS HMR</t>
  </si>
  <si>
    <t>Last AOS Date</t>
  </si>
  <si>
    <t>AOS Track number</t>
  </si>
  <si>
    <t>Last AF-C HMR</t>
  </si>
  <si>
    <t>Last AF-C Date</t>
  </si>
  <si>
    <t>AFC Track number</t>
  </si>
  <si>
    <t>Last AF-E HMR</t>
  </si>
  <si>
    <t>Last AF-E Date</t>
  </si>
  <si>
    <t>AF-E Track number</t>
  </si>
  <si>
    <t>Last VK HMR</t>
  </si>
  <si>
    <t>Last VK Date</t>
  </si>
  <si>
    <t>VK Track number</t>
  </si>
  <si>
    <t>Prev. OOF Due Month</t>
  </si>
  <si>
    <t>Prev. AOS Due Month</t>
  </si>
  <si>
    <t>Prev. AF-C Due Month</t>
  </si>
  <si>
    <t>Prev. AF-E Due Month</t>
  </si>
  <si>
    <t>Prev. VK Due Month</t>
  </si>
  <si>
    <t>Prev.  OOF HMR Due</t>
  </si>
  <si>
    <t>Prev. AOS HMR Due</t>
  </si>
  <si>
    <t>Prev. AF-C HMR Due</t>
  </si>
  <si>
    <t>Prev. AFE HMR Due</t>
  </si>
  <si>
    <t>Prev. VK HMR Due</t>
  </si>
  <si>
    <t>Dealer Remarks</t>
  </si>
  <si>
    <t>Over Due Count</t>
  </si>
  <si>
    <t>Current Month Due Count</t>
  </si>
  <si>
    <t>Next Month Due2</t>
  </si>
  <si>
    <t>Oil R Date</t>
  </si>
  <si>
    <t>AFC R Date</t>
  </si>
  <si>
    <t>AFE R Date</t>
  </si>
  <si>
    <t>MOF R Date</t>
  </si>
  <si>
    <t>ROF R Date</t>
  </si>
  <si>
    <t>AOS R Date</t>
  </si>
  <si>
    <t>RGT R Date</t>
  </si>
  <si>
    <t>1500 kit R Date</t>
  </si>
  <si>
    <t>3000 kit R Date</t>
  </si>
  <si>
    <t>OIL Remaining Hours</t>
  </si>
  <si>
    <t>AFC Remaining Hours</t>
  </si>
  <si>
    <t>AFE Remaining Hours</t>
  </si>
  <si>
    <t>MOF Remaining Hours</t>
  </si>
  <si>
    <t>ROF Remaining Hours</t>
  </si>
  <si>
    <t>AOS Remaining Hours</t>
  </si>
  <si>
    <t>RGT Remaining Hours</t>
  </si>
  <si>
    <t>1500 KIT Remaining Hours</t>
  </si>
  <si>
    <t>1500 KIT Remaining Hours2</t>
  </si>
  <si>
    <t>AVG Running Hours Per Day</t>
  </si>
  <si>
    <t>OIL DUE DATE</t>
  </si>
  <si>
    <t>AFC DUE DATE</t>
  </si>
  <si>
    <t>AFE DUE DATE</t>
  </si>
  <si>
    <t>MOF DUE DATE</t>
  </si>
  <si>
    <t>ROF DUE DATE</t>
  </si>
  <si>
    <t>AOS DUE DATE</t>
  </si>
  <si>
    <t>RGT DUE DATE</t>
  </si>
  <si>
    <t>1500 KIT DUE DATE</t>
  </si>
  <si>
    <t>3000 KIT DUE DATE</t>
  </si>
  <si>
    <t>Over Due3</t>
  </si>
  <si>
    <t>Current Month Due4</t>
  </si>
  <si>
    <t>Next Month Due5</t>
  </si>
  <si>
    <t>BIS Over Due</t>
  </si>
  <si>
    <t>BIS Current Month Due</t>
  </si>
  <si>
    <t>BIS Next Month Due</t>
  </si>
  <si>
    <t>MDA Customer Category</t>
  </si>
  <si>
    <t>Date of Commissioning</t>
  </si>
  <si>
    <t>Date of Invoice</t>
  </si>
  <si>
    <t>HMR Date</t>
  </si>
  <si>
    <t>Total Hours</t>
  </si>
  <si>
    <t>Loaded Hours (HMR)</t>
  </si>
  <si>
    <t>Unloaded Hours</t>
  </si>
  <si>
    <t>Type of Oil</t>
  </si>
  <si>
    <t>Oil Replacement Date</t>
  </si>
  <si>
    <t>Air filter Compressor Replaced Date</t>
  </si>
  <si>
    <t>Air filter Engine Replaced Date</t>
  </si>
  <si>
    <t>Main Oil filter Replaced Date</t>
  </si>
  <si>
    <t>Return Oil filter Replaced Date</t>
  </si>
  <si>
    <t>AOS Replaced Date</t>
  </si>
  <si>
    <t>Greasing Done Date</t>
  </si>
  <si>
    <t>1500 Valve kit Replaced Date</t>
  </si>
  <si>
    <t>3000 Valve kit Replaced Date</t>
  </si>
  <si>
    <t>HMR - Oil remaining</t>
  </si>
  <si>
    <t>Air filter replaced - Compressor Remaining Hours</t>
  </si>
  <si>
    <t>Air filter replaced - Engine Remaining Hours</t>
  </si>
  <si>
    <t>Main Oil filter Remaining Hours</t>
  </si>
  <si>
    <t>Return Oil filter Remaining Hours</t>
  </si>
  <si>
    <t>HMR - Separator remaining</t>
  </si>
  <si>
    <t>HMR - Motor regressed remaining</t>
  </si>
  <si>
    <t>1500 Valve kit Remaining Hours</t>
  </si>
  <si>
    <t>3000 Valve kit Remaining Hours</t>
  </si>
  <si>
    <t>Average Running Hours</t>
  </si>
  <si>
    <t>Jharkhand</t>
  </si>
  <si>
    <t>BSKD161462</t>
  </si>
  <si>
    <t>PG 550S-200</t>
  </si>
  <si>
    <t>PG 550S</t>
  </si>
  <si>
    <t>WW</t>
  </si>
  <si>
    <t>RAJA RIG SERVICE</t>
  </si>
  <si>
    <t>A</t>
  </si>
  <si>
    <t/>
  </si>
  <si>
    <t>CC-01907785</t>
  </si>
  <si>
    <t>BSHD200586</t>
  </si>
  <si>
    <t>PG 600S-230 WW 6CTA</t>
  </si>
  <si>
    <t>PG 600</t>
  </si>
  <si>
    <t>SRI MURUGAN BOREWELLS</t>
  </si>
  <si>
    <t>palanivelpriya83@gmail.com</t>
  </si>
  <si>
    <t>CC-01950866</t>
  </si>
  <si>
    <t>CC-01844228</t>
  </si>
  <si>
    <t>Low running</t>
  </si>
  <si>
    <t>BSAD230391</t>
  </si>
  <si>
    <t>PG1200S-330</t>
  </si>
  <si>
    <t>PG 1200</t>
  </si>
  <si>
    <t>SRI BALAJI RIG SERVICE</t>
  </si>
  <si>
    <t>Shifted</t>
  </si>
  <si>
    <t>CC-01948012</t>
  </si>
  <si>
    <t>Shifted to Chattisgrah (RAJAT EQUIPMENTS PVT LTD - CU1R01854)</t>
  </si>
  <si>
    <t>BTGD162289</t>
  </si>
  <si>
    <t>C&amp;M</t>
  </si>
  <si>
    <t>ABHISHEK SONI</t>
  </si>
  <si>
    <t>abhisheksoni.084@gmail.com</t>
  </si>
  <si>
    <t>CC-01983768</t>
  </si>
  <si>
    <t>BTED162231</t>
  </si>
  <si>
    <t>SV DRILLERS</t>
  </si>
  <si>
    <t>CC-00694353</t>
  </si>
  <si>
    <t>BTJD162016</t>
  </si>
  <si>
    <t>PG 450 - 150 2W 6BTA</t>
  </si>
  <si>
    <t>PG 450</t>
  </si>
  <si>
    <t>DEO KUMAR SINGH</t>
  </si>
  <si>
    <t>Spourious</t>
  </si>
  <si>
    <t>Spurious</t>
  </si>
  <si>
    <t>BSID161973</t>
  </si>
  <si>
    <t>PG 500-175</t>
  </si>
  <si>
    <t>PG 500</t>
  </si>
  <si>
    <t>UJJWAL MANDAL</t>
  </si>
  <si>
    <t>CC-01948029</t>
  </si>
  <si>
    <t>BTCD162159</t>
  </si>
  <si>
    <t>SANJAY UDYOG PVT. LTD.</t>
  </si>
  <si>
    <t>s.udyog@rediffmail.com</t>
  </si>
  <si>
    <t>CC-01843336</t>
  </si>
  <si>
    <t>BTJD162046</t>
  </si>
  <si>
    <t>JRR PROJECTS LLP</t>
  </si>
  <si>
    <t>CC-01842856</t>
  </si>
  <si>
    <t>BTGD162296</t>
  </si>
  <si>
    <t xml:space="preserve">Dated 11.09.2021, done at 501 hours vide tracking no.: CC-00436304 </t>
  </si>
  <si>
    <t xml:space="preserve">Air filter change 501 hours </t>
  </si>
  <si>
    <t>Dated 14.04.2022, done at 998 hours vide tracking no.: CC-00587358</t>
  </si>
  <si>
    <t>Dated 13.09.2022, done at 1519 hours vide tracking no.: CC-00705636</t>
  </si>
  <si>
    <t>Dated 27.12.2022, done at 2021 hours vide tracking no.: CC-00796574</t>
  </si>
  <si>
    <t>CC-01946790</t>
  </si>
  <si>
    <t>BTKD162083</t>
  </si>
  <si>
    <t>KRISHNA KUMAR</t>
  </si>
  <si>
    <t>CC-01843341</t>
  </si>
  <si>
    <t>Bihar</t>
  </si>
  <si>
    <t>BTHD120963</t>
  </si>
  <si>
    <t>PG 300 - 100 2W HINO</t>
  </si>
  <si>
    <t>PG 300</t>
  </si>
  <si>
    <t>DAEWOO-L &amp; T JV</t>
  </si>
  <si>
    <t>CC-01115119</t>
  </si>
  <si>
    <t>CC-00616292</t>
  </si>
  <si>
    <t>BTGL160455</t>
  </si>
  <si>
    <t>PG 90E-12.5</t>
  </si>
  <si>
    <t>PG 90</t>
  </si>
  <si>
    <t>EKLAVYA STONE &amp; MINES PVT. LTD</t>
  </si>
  <si>
    <t>vrcpl@rediffmail.com</t>
  </si>
  <si>
    <t>CC-01486096</t>
  </si>
  <si>
    <t>BTEL160427</t>
  </si>
  <si>
    <t>CC-01116070</t>
  </si>
  <si>
    <t>CC-00971215</t>
  </si>
  <si>
    <t>BTDD120878</t>
  </si>
  <si>
    <t>B</t>
  </si>
  <si>
    <t>CC-01958555</t>
  </si>
  <si>
    <t>BTJL152348</t>
  </si>
  <si>
    <t>PG 45 E - 7</t>
  </si>
  <si>
    <t>PG 45</t>
  </si>
  <si>
    <t>PRANAV KUMAR SINGH</t>
  </si>
  <si>
    <t>mspranavkumarsingh@gmail.com</t>
  </si>
  <si>
    <t>CC-01189300</t>
  </si>
  <si>
    <t>BTED162217</t>
  </si>
  <si>
    <t>SHAKTI COMMERCIAL</t>
  </si>
  <si>
    <t>rahul.ag2911@gmail.com</t>
  </si>
  <si>
    <t>CC-01843288</t>
  </si>
  <si>
    <t>BTFD162244</t>
  </si>
  <si>
    <t>SRI KRISHNA DRILLERS</t>
  </si>
  <si>
    <t>CC-01843317</t>
  </si>
  <si>
    <t>BTFD162243</t>
  </si>
  <si>
    <t>CC-01948046</t>
  </si>
  <si>
    <t>BTHD120971</t>
  </si>
  <si>
    <t>Dated 01.10.2021, done at 840 hours vide tracing no.: CC-00320537</t>
  </si>
  <si>
    <t>Air filter changed 840 hrs</t>
  </si>
  <si>
    <t>CC-01116089</t>
  </si>
  <si>
    <t>BTID162392</t>
  </si>
  <si>
    <t>ASIF NAIYER</t>
  </si>
  <si>
    <t>Dated 08.01.2022, done at 567 hours vide tracking no.: CC-00514169</t>
  </si>
  <si>
    <t xml:space="preserve">Air filter chamged 567 hours </t>
  </si>
  <si>
    <t>CC-01115207</t>
  </si>
  <si>
    <t>CC-00971360</t>
  </si>
  <si>
    <t>BTDD162192</t>
  </si>
  <si>
    <t>SIDHESHWER BOREWELL</t>
  </si>
  <si>
    <t>CC-01948049</t>
  </si>
  <si>
    <t>BTDD162186</t>
  </si>
  <si>
    <t>CC-01842860</t>
  </si>
  <si>
    <t>BTID162377</t>
  </si>
  <si>
    <t>PG 400-150 2W 6BTA</t>
  </si>
  <si>
    <t>PG 400</t>
  </si>
  <si>
    <t xml:space="preserve">VIKAS RANJAN  </t>
  </si>
  <si>
    <t xml:space="preserve">Letter submitted to the customer </t>
  </si>
  <si>
    <t>BTED200706</t>
  </si>
  <si>
    <t>PG 600S - 200 WW 6CTA</t>
  </si>
  <si>
    <t>BROSHAN INDIA PVT. LTD</t>
  </si>
  <si>
    <t>shankar@broshanindia.com</t>
  </si>
  <si>
    <t>CC-00718569</t>
  </si>
  <si>
    <t>Shifted to Raniganj, WB ( MITRA COMMERCIAL &amp; AUTOMOBILES LLP.)</t>
  </si>
  <si>
    <t>BULD121094</t>
  </si>
  <si>
    <t>Dated on 25.05.2021, Done at 734 hours vide tracking number CC-00614543</t>
  </si>
  <si>
    <t xml:space="preserve">Air filter change 734 hours </t>
  </si>
  <si>
    <t xml:space="preserve"> Low running unit </t>
  </si>
  <si>
    <t>CC-01958538</t>
  </si>
  <si>
    <t>BUKD162510</t>
  </si>
  <si>
    <t>PG 500-185</t>
  </si>
  <si>
    <t>JHARKHAND ENTERPRISES</t>
  </si>
  <si>
    <t>Dated 10.06.2021, done at 584 hours vide tracking no.: CC-00382129</t>
  </si>
  <si>
    <t xml:space="preserve">Air filter change 582 hours </t>
  </si>
  <si>
    <t>Dated 02.02.2022, done at 1371 hours vide tracking no.: CC-00530899</t>
  </si>
  <si>
    <t>Dated 02.02.2022 Change air filter, oil filter &amp; oil</t>
  </si>
  <si>
    <t>CC-01990419</t>
  </si>
  <si>
    <t>BUJD121040</t>
  </si>
  <si>
    <t>BIMLESH PD. SINGH</t>
  </si>
  <si>
    <t>CC-01140821</t>
  </si>
  <si>
    <t>AUKD230777</t>
  </si>
  <si>
    <t>PG 185-100</t>
  </si>
  <si>
    <t>PG 185</t>
  </si>
  <si>
    <t>SP SINGLA CONSTRUCTION ( P) LTD</t>
  </si>
  <si>
    <t>dharambirpaswan.mech@spsingla.com</t>
  </si>
  <si>
    <t>Done on 22.01.2022, Done at 220 hours vide tracking number CC-00523626- changed air oil separator</t>
  </si>
  <si>
    <t xml:space="preserve">Air filter change 943 hours </t>
  </si>
  <si>
    <t>Done on 28.02.2023, Done at 943 hours vide tracking number CC-00852974- changed air oil separator</t>
  </si>
  <si>
    <t>CC-01843343</t>
  </si>
  <si>
    <t>Long idle</t>
  </si>
  <si>
    <t>BUJD121019</t>
  </si>
  <si>
    <t>Dated 01.10.2021, done at 755 hours vide tracking no.: CC-00450722</t>
  </si>
  <si>
    <t xml:space="preserve">Air filter change 755 hours </t>
  </si>
  <si>
    <t>Dated 18.04.2022, done at 1452 hours vide tracking no.: CC-00586194</t>
  </si>
  <si>
    <t>CC-01140825</t>
  </si>
  <si>
    <t>BUJD121018</t>
  </si>
  <si>
    <t xml:space="preserve">Low running unit </t>
  </si>
  <si>
    <t>CC-01116216</t>
  </si>
  <si>
    <t>BULD162561</t>
  </si>
  <si>
    <t>SRI LAXMI DRILLERS</t>
  </si>
  <si>
    <t xml:space="preserve">Dated on 28.06.2021, Done at 546 hours vide tracking number CC-00390389 </t>
  </si>
  <si>
    <t xml:space="preserve">Air filter change 546 hours </t>
  </si>
  <si>
    <t xml:space="preserve">Dated on 19-08-2021, Done at 1061 hours vide tracking number CC-00420989 </t>
  </si>
  <si>
    <t>Dated on 29.10.2021, done at 1580 hours vide tracking no.: CC-00467618</t>
  </si>
  <si>
    <t>Dated on 28.12.2021, done at 2019 hours vide tracking no.: CC-00506153</t>
  </si>
  <si>
    <t>Dated on 26.03.2022, done at 2678 hours vide tracking no.: CC-00569845</t>
  </si>
  <si>
    <t>Dated on 06.12.2022, done at 3380 hours vide tracking no.: CC-00776713</t>
  </si>
  <si>
    <t>Dated on 17.03.2023, done at 3880 hours vide tracking no.: CC-00869371</t>
  </si>
  <si>
    <t>CC-00869371</t>
  </si>
  <si>
    <t>CC-00353644</t>
  </si>
  <si>
    <t>BULD162559</t>
  </si>
  <si>
    <t>SHIV MINING DRILLING</t>
  </si>
  <si>
    <t xml:space="preserve">Dated on 19-05-2021, Done at 499.8 hours vide tracking number CC-00369255 </t>
  </si>
  <si>
    <t xml:space="preserve">Air filter change 499.8 hours </t>
  </si>
  <si>
    <t xml:space="preserve">Dated on 21-06-2021, Done at 966 hours vide tracking number CC-00387297 </t>
  </si>
  <si>
    <t xml:space="preserve">Dated on 09-08-2021, Done at 1506 hours vide tracking number CC-00414245 </t>
  </si>
  <si>
    <t xml:space="preserve">Dated on 13-09-2021, Done at 2027 hours vide tracking number CC-00436735 </t>
  </si>
  <si>
    <t>Dated on 20-10-2021, Done at 2524 hours vide tracking number CC-00461925</t>
  </si>
  <si>
    <t>Dated on 23.11.2021, Done at 2920 hours vide tracking number CC-00482036</t>
  </si>
  <si>
    <t>Dated on 27.12.2021, Done at 3528 hours vide tracking number CC-00505393</t>
  </si>
  <si>
    <t>Dated on 08.03.2022, Done at 4021 hours vide tracking number CC-00556128</t>
  </si>
  <si>
    <t>Dated on 27.08.2022, Done at 4518 hours vide tracking number CC-00691524</t>
  </si>
  <si>
    <t>Dated on 14.10.2022, Done at 5185 hours vide tracking number CC-00733588</t>
  </si>
  <si>
    <t>Dated on 17.11.2022, Done at 5756 hours vide tracking number CC-00760326</t>
  </si>
  <si>
    <t>Dated on 23.01.2023, Done at 6140 hours vide tracking number CC-00820187</t>
  </si>
  <si>
    <t>CC-01947026</t>
  </si>
  <si>
    <t>BULL160559</t>
  </si>
  <si>
    <t>SHRUTI DEVOTHERS PVT. LTD</t>
  </si>
  <si>
    <t>Dated on 10.08.2021, done at 767 hours vide tracking no.: CC-00415271</t>
  </si>
  <si>
    <t xml:space="preserve">Air filter change 767 hours </t>
  </si>
  <si>
    <t>Dated 25.12.2021, done at 2769 hours vide tracking no.: CC-00504245</t>
  </si>
  <si>
    <t>Dated 15.02.2022, done at 3012 hours vide tracking no.: CC-00540421/ separator changed</t>
  </si>
  <si>
    <t>Dated 13.04.2022, done at 3801 hours vide tracking no.: CC-00583137</t>
  </si>
  <si>
    <t>Dated 03.08.2022, done at 4205 hours vide tracking no.: CC-00672004</t>
  </si>
  <si>
    <t>Dated 15.10.2022, done at 5005 hours vide tracking no.: CC-00734263</t>
  </si>
  <si>
    <t>Dated on 24.11.2022, Done at 5503 hours vide tracking number CC-00767122</t>
  </si>
  <si>
    <t>Dated on 02.02.2023 Done at 7185 hours vide tracking number CC-00828636</t>
  </si>
  <si>
    <t>Dated on 04.04.2023 Done at 7560 hours vide tracking number CC-00884352</t>
  </si>
  <si>
    <t>CC-01819291</t>
  </si>
  <si>
    <t>BUKD230773</t>
  </si>
  <si>
    <t>PG 1100S-300</t>
  </si>
  <si>
    <t>PG 1100</t>
  </si>
  <si>
    <t>JSIW INFRASTRUCTURE PVT LTD</t>
  </si>
  <si>
    <t>maintenance@jsiwinfra.com</t>
  </si>
  <si>
    <t>Dated on 07.05.2022, Done at 541 hours vide tracking number CC-00600430</t>
  </si>
  <si>
    <t xml:space="preserve">Air filter change 541 hours </t>
  </si>
  <si>
    <t>BULD162579</t>
  </si>
  <si>
    <t>UPWELL MINING SERVICES</t>
  </si>
  <si>
    <t>rishurajpoot2016@gmail.com</t>
  </si>
  <si>
    <t>CC-00375505</t>
  </si>
  <si>
    <t>BULD162583</t>
  </si>
  <si>
    <t>CC-00368356</t>
  </si>
  <si>
    <t>BUAL160594</t>
  </si>
  <si>
    <t>PG 75E - 7 BAR</t>
  </si>
  <si>
    <t>PG 75E</t>
  </si>
  <si>
    <t>DCS LIMITED</t>
  </si>
  <si>
    <t>randirdcst@gmail.com</t>
  </si>
  <si>
    <t>Dated 25.12.2021, done at 467 hours vide tracking no.: CC-00504250</t>
  </si>
  <si>
    <t>Air filter changed 467</t>
  </si>
  <si>
    <t>Dated 19.08.2022, done at 1163 hours vide tracking no.: CC-00684579</t>
  </si>
  <si>
    <t>CC-01224259</t>
  </si>
  <si>
    <t>CC-01023784</t>
  </si>
  <si>
    <t>BUAL160593</t>
  </si>
  <si>
    <t>Dated 10.08.2021, done at 260 hours vide tracking no.: CC-00415276</t>
  </si>
  <si>
    <t>Air filter changed 260</t>
  </si>
  <si>
    <t>Dated 27.12.2021, done at 799 hours vide tracking no.: CC-00505227</t>
  </si>
  <si>
    <t>Dated on 15.02.2022, done at 1436 hours vide tracking no.: CC-00540418 Valve kit &amp; Separator Changed</t>
  </si>
  <si>
    <t>Dated on 11.05.2022, done at 2088 hours vide tracking no.: CC-00603337</t>
  </si>
  <si>
    <t>Dated on 03.08.2022, done at 2296 hours vide tracking no.: CC-00671988</t>
  </si>
  <si>
    <t>Dated on 15.10.2022, done at 2865 hours vide tracking no.: CC-00734279</t>
  </si>
  <si>
    <t>Dated on 27.01.2023, done at 3070 hours vide tracking no.: CC-00823460</t>
  </si>
  <si>
    <t>CC-01819288</t>
  </si>
  <si>
    <t>BULL160564</t>
  </si>
  <si>
    <t>Dated 17.08.2021, done at 923 hours vide tracking no.:  CC-00419832</t>
  </si>
  <si>
    <t xml:space="preserve">Air filter change 923 hours </t>
  </si>
  <si>
    <t>Bhushan attend the customer &amp; changed saparator &amp; oil,oil filter but call not logged</t>
  </si>
  <si>
    <t>Dated 27.01.2022, done at 2695 hours vide tracking no.: CC-00526394</t>
  </si>
  <si>
    <t>Dated on 31.03.2022, Done 3419 hours vide tracking number CC-00572700</t>
  </si>
  <si>
    <t>CC-01116097</t>
  </si>
  <si>
    <t>CC-00572700</t>
  </si>
  <si>
    <t>BUKD162535</t>
  </si>
  <si>
    <t xml:space="preserve">Dated on 09.06.2021, Done at 575 hours vide tracking number CC-00381919 </t>
  </si>
  <si>
    <t xml:space="preserve">Air filter change 575 hours </t>
  </si>
  <si>
    <t xml:space="preserve">Dated on 10.08.2021, Done at 1113 hours vide tracking number CC-00415424 </t>
  </si>
  <si>
    <t xml:space="preserve">Dated on 06.10.2021, Done at 1604 hours vide tracking number CC-00453953 </t>
  </si>
  <si>
    <t>Dated 25.11.2021, done at 2100 hours vide tracking no.: CC-00484086</t>
  </si>
  <si>
    <t>Dated 14.01.2022, done at 2604 hours vide tracking no.: CC-00517626</t>
  </si>
  <si>
    <t>Dated 07.03.2022, done at 3126 hours vide tracking no.: CC-00555681/ Valve Kit &amp; Separator changed</t>
  </si>
  <si>
    <t>Dated 28.04.2022, done at 3647 hours vide tracking no.: CC-00594343</t>
  </si>
  <si>
    <t>Dated 03.08.2022, done at 4660 hours vide tracking no.: CC-00674536</t>
  </si>
  <si>
    <t>Dated 005.11.2022, done at 5171 hours vide tracking no.: CC-00749637</t>
  </si>
  <si>
    <t>CC-01842864</t>
  </si>
  <si>
    <t>Inactive</t>
  </si>
  <si>
    <t>BUAD162625</t>
  </si>
  <si>
    <t>MYTHRI INFRASTRUCTURE AND MINING INDIA PVT LTD</t>
  </si>
  <si>
    <t>purchaseucil@mythriinfra.com</t>
  </si>
  <si>
    <t>Dated on 21.09.2021, done at 673 hours vide tracking no.: CC-00443460</t>
  </si>
  <si>
    <t xml:space="preserve">Air filter change 673 hours </t>
  </si>
  <si>
    <t>Dated on 30.09.2021, done 1110 at hours vide tracking no.: CC-00450764</t>
  </si>
  <si>
    <t>Dated on 30.09.2021, done 1110 at hours vide tracking no.: CC-00450764 separator also changed</t>
  </si>
  <si>
    <t>Dated 23.04.2022, done at 2687 hours vide tracking no.: CC-00590337</t>
  </si>
  <si>
    <t>CC-01224008</t>
  </si>
  <si>
    <t>CC-00994902</t>
  </si>
  <si>
    <t>Customer delay</t>
  </si>
  <si>
    <t>BUJD162460</t>
  </si>
  <si>
    <t>Dated on 15.04.2022, done at 690 hours vide tracking no.: CC-00584262</t>
  </si>
  <si>
    <t xml:space="preserve">Air filter change 690 hours </t>
  </si>
  <si>
    <t>Dated 16.07.2022, done at 1146 hours vide tracking no.: CC-00656781</t>
  </si>
  <si>
    <t>CC-00656781</t>
  </si>
  <si>
    <t>CC-00312824</t>
  </si>
  <si>
    <t>BUAL160585</t>
  </si>
  <si>
    <t>Not done</t>
  </si>
  <si>
    <t>Not Done</t>
  </si>
  <si>
    <t>Dated 27.01.2021, done at 1576 hours vide tracking no.: CC-00526398</t>
  </si>
  <si>
    <t>Dated 04.06.2022, done at 2474 hours vide tracking no.: CC-00622376</t>
  </si>
  <si>
    <t>CC-01140828</t>
  </si>
  <si>
    <t>CC-00622376</t>
  </si>
  <si>
    <t>BUCD230856</t>
  </si>
  <si>
    <t>KALPATARU POWER TRANSMISSION LIMITED</t>
  </si>
  <si>
    <t>devendra.srivastava@kalpataru.com</t>
  </si>
  <si>
    <t>Dated on 24.06.2022, Done at 564 hours vide tracking number CC-00638612</t>
  </si>
  <si>
    <t>Air filter Changed 564 hours</t>
  </si>
  <si>
    <t>CC-00638612</t>
  </si>
  <si>
    <t>CC-00397805</t>
  </si>
  <si>
    <t>Project closed</t>
  </si>
  <si>
    <t>BULD162568</t>
  </si>
  <si>
    <t xml:space="preserve">Dated on 19.08.2021, Done at 530 hours vide tracking number CC-00421424 </t>
  </si>
  <si>
    <t>Air filter Changed 530 hours</t>
  </si>
  <si>
    <t>Dated 18.01.2022, done at 1033 hours vide tracking no. : CC-00520035</t>
  </si>
  <si>
    <t>Dated 14.04.2022, done at 1537 hours vide tracking no. : CC-00583566</t>
  </si>
  <si>
    <t>Dated 14.06.2022, done at 2061 hours vide tracking no. : CC-00629857</t>
  </si>
  <si>
    <t>Dated on 26.07.2022, done at 2465 hours vide tracking no.: CC-00667524</t>
  </si>
  <si>
    <t>Dated on 19.09.2022, done at 3127 hours vide tracking no.: CC-00711103</t>
  </si>
  <si>
    <t>Dated 09.11.2022, done at 3664 hours vide tracking no.: CC-00753033</t>
  </si>
  <si>
    <t>Dated 22.12.2022, done at 4186 hours vide tracking no.: CC-00792580</t>
  </si>
  <si>
    <t>CC-01116183</t>
  </si>
  <si>
    <t>CC-00711103</t>
  </si>
  <si>
    <t>BUCD162696</t>
  </si>
  <si>
    <t>Dated 09.04.2022, done at 1048 hours vide tracking no. : CC-00566130</t>
  </si>
  <si>
    <t>Dated 20.05.2022, done at 1480 hours vide tracking no. : CC-00610647</t>
  </si>
  <si>
    <t>Dated on 24.08.2022, done at 2500 hours vide tracking no.: CC-00669001</t>
  </si>
  <si>
    <t>Dated on 28.09.2022, done at 3000 hours vide tracking no.: CC-00719996</t>
  </si>
  <si>
    <t>Dated on 28.12.2022, done at 3512 hours vide tracking no.: CC-00798077</t>
  </si>
  <si>
    <t>Dated on 06.03.2023, done at 4005 hours vide tracking no.: CC-00858149</t>
  </si>
  <si>
    <t>CC-01985219</t>
  </si>
  <si>
    <t>BULD162577</t>
  </si>
  <si>
    <t xml:space="preserve">Dated on 30.07.2021, Done at 571 hours vide tracking number CC-00408528 </t>
  </si>
  <si>
    <t>Air filter changed 571 hours</t>
  </si>
  <si>
    <t>Dated 22.09.2021, done at 1102 hours vide tracking no.: CC-00443664</t>
  </si>
  <si>
    <t>Dated 13.11.2021, done at 1608 hours vide tracking no.: CC-00475405</t>
  </si>
  <si>
    <t>Dated 07.01.2022, done at 2083 hours vide tracking no.: CC-00513338</t>
  </si>
  <si>
    <t>Dated 08.02.2022, done at 2603 hours vide tracking no.: CC-00534885</t>
  </si>
  <si>
    <t>Dated 05.04.2022, done at 3062 hours vide tracking no.: CC-00576367 Valve kit &amp; Separator Changed</t>
  </si>
  <si>
    <t>Dated 23.05.2022, done at 3592 hours vide tracking no.: CC-00613322</t>
  </si>
  <si>
    <t>Dated 12.07.2022, done at 4108 hours vide tracking no.: CC-00652741</t>
  </si>
  <si>
    <t>Dated 30.08.2022, done at 4509 hours vide tracking no.: CC-00694340</t>
  </si>
  <si>
    <t>Dated 17.10.2022, done at 5110 hours vide tracking no.: CC-00735880</t>
  </si>
  <si>
    <t>Dated 05.12.2022, done at 5635 hours vide tracking no.: CC-00775931</t>
  </si>
  <si>
    <t>CC-01842873</t>
  </si>
  <si>
    <t>BUBD162649</t>
  </si>
  <si>
    <t>PG500-175</t>
  </si>
  <si>
    <t>RAJIB KUMAR BHAGAT</t>
  </si>
  <si>
    <t>Dated on 25.04.2022, done at 963 hours vide tracking no.: CC-00591405</t>
  </si>
  <si>
    <t xml:space="preserve">Air filter change 963 hours </t>
  </si>
  <si>
    <t>CC-01115214</t>
  </si>
  <si>
    <t>CC-00417214</t>
  </si>
  <si>
    <t>CC-00591405</t>
  </si>
  <si>
    <t>BUDD220683</t>
  </si>
  <si>
    <t>PG 450-200</t>
  </si>
  <si>
    <t>SHREE LAXMI EXPLOSIVE</t>
  </si>
  <si>
    <t>neerajkumarchirawa@gmail.com</t>
  </si>
  <si>
    <t>Dated 24.01.2022, done at 675 hours vide tracking no.: CC-00524471</t>
  </si>
  <si>
    <t>Air filter changed 675 hours</t>
  </si>
  <si>
    <t>CC-00527178</t>
  </si>
  <si>
    <t>CC-00439765</t>
  </si>
  <si>
    <t>Shifted Surat (UNITRADE INDIA - CU1U00001 (Baroda)</t>
  </si>
  <si>
    <t>BTHD162350</t>
  </si>
  <si>
    <t>DOLLY DEVI</t>
  </si>
  <si>
    <t>Dated 25.02.2022, done at 529 hours vide tracking no.: CC-00548660</t>
  </si>
  <si>
    <t>Air filter changed 529 Hours</t>
  </si>
  <si>
    <t>Dated 11.06.2022, done at 1278 hours vide tracking no.: CC-00627600</t>
  </si>
  <si>
    <t>Dated 19.08.2022, done at 1547 hours vide tracking no.: CC-00684545</t>
  </si>
  <si>
    <t>Dated 09.01.2023, done at 2401 hours vide tracking no.: CC-00807244</t>
  </si>
  <si>
    <t>Dated 03.08.2023, done at 3095 hours vide tracking no.: CC-00998606</t>
  </si>
  <si>
    <t>CC-01222033</t>
  </si>
  <si>
    <t>CC-00998606</t>
  </si>
  <si>
    <t>BUFD162814</t>
  </si>
  <si>
    <t>PG 550S-200S</t>
  </si>
  <si>
    <t>SSK RIG SERVICE</t>
  </si>
  <si>
    <t>Dated 23.05.2022, done at 1495 hours vide tracking no.: CC-00612867</t>
  </si>
  <si>
    <t>Dated 14.06.2022, done at 1902 hours vide tracking no.: CC-00629916</t>
  </si>
  <si>
    <t>Dated on 11.08.2022, done at 2508 hours vide tracking no.: CC-00679001</t>
  </si>
  <si>
    <t>Dated on 15.11.2022, done at 3034 hours vide tracking no.: CC-00757964</t>
  </si>
  <si>
    <t>Dated on 01-02-2023, done at 3666 hours vide tracking no.: CC-00827555</t>
  </si>
  <si>
    <t>Dated on 12.04.2023, done at 4443 hours vide tracking no.: CC-00892781</t>
  </si>
  <si>
    <t>Dated on 26.06.2023, done at 5278 hours vide tracking no.: CC-00960020</t>
  </si>
  <si>
    <t>Dated on 19.12.2023, done at 6312hours vide tracking no.: CC-01129574</t>
  </si>
  <si>
    <t>CC-01889471</t>
  </si>
  <si>
    <t>BUHD121280</t>
  </si>
  <si>
    <t xml:space="preserve">PG 300 - 100 2W HINO </t>
  </si>
  <si>
    <t>AFCONS INFRASTRUCTURE LIMITED</t>
  </si>
  <si>
    <t>riteshkumar@afcons.com</t>
  </si>
  <si>
    <t>CC-00507210</t>
  </si>
  <si>
    <t>BUID121299</t>
  </si>
  <si>
    <t>CC-00507208</t>
  </si>
  <si>
    <t>BUGD162826</t>
  </si>
  <si>
    <t xml:space="preserve">PG 500-185 </t>
  </si>
  <si>
    <t>ANWAR HUSSAIN</t>
  </si>
  <si>
    <t>Dated on 21.03.2022, Done at 511 hours vide tracking number CC-00565945</t>
  </si>
  <si>
    <t>Air filter changed 511 hours</t>
  </si>
  <si>
    <t>Dated 22.06.2022, done at 1017 hours vide tracking no.: CC-00636487</t>
  </si>
  <si>
    <t>Dated 30.11.2022, done at 1879 hours vide tracking no.: CC-00771731</t>
  </si>
  <si>
    <t>Dated on 08.04.2023, done at 3375 hours vide tracking no.: CC-00889188</t>
  </si>
  <si>
    <t>Dated on 03.07.2023, done at 4297 hours vide tracking no.: CC-00967448</t>
  </si>
  <si>
    <t>Dated on 15.11.2023, done at 5388 hours vide tracking no.: CC-01095459</t>
  </si>
  <si>
    <t>CC-01095459</t>
  </si>
  <si>
    <t>BUCD121174</t>
  </si>
  <si>
    <t>CHANDAN SINGH INFRASTRUCTURE PVT. LTD.</t>
  </si>
  <si>
    <t>Dated on 25.04.2022, done at 894 hours vide tracking no.: CC-00904929</t>
  </si>
  <si>
    <t>Air filter changed 894 Hours</t>
  </si>
  <si>
    <t>CC-01634122</t>
  </si>
  <si>
    <t>CC-00506821</t>
  </si>
  <si>
    <t>BUHL152930</t>
  </si>
  <si>
    <t xml:space="preserve">PG 45 ES-7 </t>
  </si>
  <si>
    <t xml:space="preserve">JITENDRA CONSTRUCTIONS </t>
  </si>
  <si>
    <t>jitenderaconstruction2013@gmail.com</t>
  </si>
  <si>
    <t>CC-01224267</t>
  </si>
  <si>
    <t>CC-00513112</t>
  </si>
  <si>
    <t>CC-00839808</t>
  </si>
  <si>
    <t>BUGD162852</t>
  </si>
  <si>
    <t>UNIVERSAL MINING SOLUTIONS</t>
  </si>
  <si>
    <t>Dated on 18.04.2022, Done at 527 hours vide tracking number CC-00586180</t>
  </si>
  <si>
    <t>Air filter changed 527 hours</t>
  </si>
  <si>
    <t>Dated 17.06.2022, done at 1084 hours vide tracking no.: CC-00632561</t>
  </si>
  <si>
    <t>Dated 07.09.2022, done at 1478 hours vide tracking no.: CC-00700709</t>
  </si>
  <si>
    <t>Dated 05.12.2022, done at 1996 hours vide tracking no.: CC-00776079</t>
  </si>
  <si>
    <t>Dated 03.04.2023, done at 2430 hours vide tracking no.: CC-00883612</t>
  </si>
  <si>
    <t>Dated 05.12.2023, done at 3490 hours vide tracking no.: CC-01115191</t>
  </si>
  <si>
    <t>CC-01115191</t>
  </si>
  <si>
    <t>BUFL152860</t>
  </si>
  <si>
    <t>PG 45 E-7</t>
  </si>
  <si>
    <t>S N SINGH</t>
  </si>
  <si>
    <t>admin@mssns.com.in</t>
  </si>
  <si>
    <t>Dated on 08.05.2022, done at 513 hours vide tracking no.: CC-00915769</t>
  </si>
  <si>
    <t>Air filter changed 513 Hours</t>
  </si>
  <si>
    <t>CC-00915769</t>
  </si>
  <si>
    <t>CC-00513129</t>
  </si>
  <si>
    <t>BUID162940</t>
  </si>
  <si>
    <t>Dated on 23.09.2022, Done at 532 hours vide tracking number CC-00715475</t>
  </si>
  <si>
    <t>Air filter changed 532 hours</t>
  </si>
  <si>
    <t>Dated 1.05.2023, done at 1282 hours vide tracking no.: CC-00926527</t>
  </si>
  <si>
    <t>Dated 16.06.2023, done at 1500 hours vide tracking no.: CC-009951769</t>
  </si>
  <si>
    <t>Dated 19.06.2023, done at 2456 hours vide tracking no.: CC-01042023</t>
  </si>
  <si>
    <t>Dated on 29.12.2023, done at 3004 hours vide tracking no.: CC-01141481</t>
  </si>
  <si>
    <t>CC-01948051</t>
  </si>
  <si>
    <t>BUED220691</t>
  </si>
  <si>
    <t>SHIVALAYA CONSTRUCTION, CHARKHI DADRI</t>
  </si>
  <si>
    <t>Dated on 27.01.2022, done at 698 hours vide tracking no.: CC-00526649</t>
  </si>
  <si>
    <t>Air filter changed 698 Hours</t>
  </si>
  <si>
    <t>Dated 13.05.2022, done at 970 hours vide tracking no.: CC-00605597</t>
  </si>
  <si>
    <t>CC-00605597</t>
  </si>
  <si>
    <t>BUDD162719</t>
  </si>
  <si>
    <t>NITESH SHARDA</t>
  </si>
  <si>
    <t>sardamining@gmail.com</t>
  </si>
  <si>
    <t>Dated on 23.06.2022, done at 547 hours vide tracking no.: CC-00637631</t>
  </si>
  <si>
    <t>Air filter changed 547 Hours</t>
  </si>
  <si>
    <t>Dated 01.05.2023, Dode at 1850 hours vide tracking no.: CC-00907417</t>
  </si>
  <si>
    <t>Dated 30.09.2023, done at 2112 hours vide tracking no.: CC-01053737</t>
  </si>
  <si>
    <t>CC-01983775</t>
  </si>
  <si>
    <t>BUAD162630</t>
  </si>
  <si>
    <t>Dated 06.09.2021, done at 519 hours vide tracking no.: CC-00432710</t>
  </si>
  <si>
    <t>Air filter change 519 hours</t>
  </si>
  <si>
    <t>Dated 13.12.2021, done at 1010 hours vide tracking no.: CC-00495406</t>
  </si>
  <si>
    <t>Dated 09.02.2022, Dode at 1653 hours vide tracking no.: CC-00544344</t>
  </si>
  <si>
    <t>Dated 26.04.2022, Dode at 2000 hours vide tracking no.: CC-00592633</t>
  </si>
  <si>
    <t>Dated on 24.08.2022, done at 2519 hours vide tracking no.: CC-00688528</t>
  </si>
  <si>
    <t>Dated on 11.11.2022, done at 3027 hours vide tracking no.: CC-00755086</t>
  </si>
  <si>
    <t>Dated on 21.01.2023, done at 3615 hours vide tracking no.: CC-00829505</t>
  </si>
  <si>
    <t>CC-01115221</t>
  </si>
  <si>
    <t>CC-00994906</t>
  </si>
  <si>
    <t>BUID162953</t>
  </si>
  <si>
    <t>Dated on 07.05.2022, Done at 487 hours vide tracking number CC-00600621</t>
  </si>
  <si>
    <t>Air filter changed 487 hours</t>
  </si>
  <si>
    <t>Dated 27.07.2022, done at 1011 hours vide tracking no.: CC-00666179</t>
  </si>
  <si>
    <t>Dated 14.11.2022, Dode at 1508 hours vide tracking no.: CC-00756972</t>
  </si>
  <si>
    <t>Dated 07.02.2023, Dode at 2105 hours vide tracking no.: CC-00832575</t>
  </si>
  <si>
    <t>Dated 21.02.2023, Dode at 2509 hours vide tracking no.: CC-00901461</t>
  </si>
  <si>
    <t>Dated 21.07.2023, Dode at 3089 hours vide tracking no.: CC-00985936</t>
  </si>
  <si>
    <t>Dated 06.10.2023, Dode at 3550 hours vide tracking no.: CC-01069677</t>
  </si>
  <si>
    <t>Dated 26.12.2023, Dode at 4034 hours vide tracking no.: CC-01137601</t>
  </si>
  <si>
    <t>CC-01983782</t>
  </si>
  <si>
    <t>BUAD162634</t>
  </si>
  <si>
    <t>Dated 16.04.2022, done at 507 hours vide tracking no.: CC-00585423</t>
  </si>
  <si>
    <t xml:space="preserve">Air filter change 507 hours </t>
  </si>
  <si>
    <t>Dated 10.08.2022, done at 1016 hours vide tracking no.: CC-006677994</t>
  </si>
  <si>
    <t>Dated 20.10.2022, done at 1489 hours vide tracking no.: CC-00738792</t>
  </si>
  <si>
    <t>Dated 20.12.2022, done at 2002 hours vide tracking no.: CC-00789833</t>
  </si>
  <si>
    <t>Dated 27.02.2023, done at 2502 hours vide tracking no.: CC-00852125</t>
  </si>
  <si>
    <t>Dated 07.06.2023, done at 3060 hours vide tracking no.: CC-00943123</t>
  </si>
  <si>
    <t>Dated 17.02.2024, done at 4184 hours vide tracking no.: CC-01188975</t>
  </si>
  <si>
    <t>CC-01188975</t>
  </si>
  <si>
    <t>CC-00943123</t>
  </si>
  <si>
    <t>CC-00738792</t>
  </si>
  <si>
    <t>BUID162912</t>
  </si>
  <si>
    <t>PLR PROJECTS PVT LTD</t>
  </si>
  <si>
    <t>asokastores@plrprojects.com</t>
  </si>
  <si>
    <t>Dated 04.04.2022, done at 501 hours vide tracking no.: CC-00575743</t>
  </si>
  <si>
    <t>Dated 01.07.2022, done at 1500 hours vide tracking no.: CC-00643755</t>
  </si>
  <si>
    <t>Dated 29.10.2022, done at 2530 hours vide tracking no.: CC-00743780</t>
  </si>
  <si>
    <t>Dated 17.12.2022, done at 3005 hours vide tracking no.: CC-00787746</t>
  </si>
  <si>
    <t>Dated 10.03.2023, done at 3504 hours vide tracking no.: CC-00861455</t>
  </si>
  <si>
    <t>Dated 16.05.2023, done at 4004 hours vide tracking no.: CC-00924043</t>
  </si>
  <si>
    <t>Dated 08.07.2023, done at 4503 hours vide tracking no.: CC-00973333</t>
  </si>
  <si>
    <t>Dated 19.08.2023, done at 5052 hours vide tracking no.: CC-01014074</t>
  </si>
  <si>
    <t>CC-01906603</t>
  </si>
  <si>
    <t>BVJD162957</t>
  </si>
  <si>
    <t>RAJ TRAVEL BOREWELLS</t>
  </si>
  <si>
    <t>rajtravels.prasad@gmail.com</t>
  </si>
  <si>
    <t>Dated 28.01.2023, done at 524 hours vide tracking no.: CC-00824756</t>
  </si>
  <si>
    <t>Air filter change 524 hours</t>
  </si>
  <si>
    <t>Dated 15.11.2022, done at 1470 hours vide tracking no.: CC-01095606</t>
  </si>
  <si>
    <t>Dated 06.06.2024, done at 2381 hours vide tracking no.: CC-01297959</t>
  </si>
  <si>
    <t>CC-01983786</t>
  </si>
  <si>
    <t>BUKD121059</t>
  </si>
  <si>
    <t>VRINDA ENGINEERS PVT LTD</t>
  </si>
  <si>
    <t>2009.dalmia@gmail.com</t>
  </si>
  <si>
    <t>Dated on 02.10.2021, done at 463 hours vide tracking no.: CC-00452084</t>
  </si>
  <si>
    <t>Air filter changed 463 Hours</t>
  </si>
  <si>
    <t>Dated 10.05.2022, done at 971 hours vide tracking no.: CC-00602911</t>
  </si>
  <si>
    <t>CC-00602911</t>
  </si>
  <si>
    <t>BUAD121111</t>
  </si>
  <si>
    <t>PG 300 - 150 HINO</t>
  </si>
  <si>
    <t>LGL ENTERPRISES /BOKARO STEEL</t>
  </si>
  <si>
    <t>sp.mishra@sail.in; lglenterprises.bokaro@yahoo.in</t>
  </si>
  <si>
    <t>CC-00590273</t>
  </si>
  <si>
    <t>BTGD120943</t>
  </si>
  <si>
    <t>ANIL KUMAR PRABHAKAR</t>
  </si>
  <si>
    <t>prabhakaranil99@gmail.com</t>
  </si>
  <si>
    <t>CC-00302147</t>
  </si>
  <si>
    <t>BUDD162713</t>
  </si>
  <si>
    <t xml:space="preserve">MAA TARA ENTERPRISES </t>
  </si>
  <si>
    <t>Dated on 10.05.2022, done at 752 hours vide tracking no.: CC-00602843</t>
  </si>
  <si>
    <t>Air filter changed 752 Hours</t>
  </si>
  <si>
    <t>CC-00602843</t>
  </si>
  <si>
    <t>Shifted to Maharashtra</t>
  </si>
  <si>
    <t>BVKD163010</t>
  </si>
  <si>
    <t>PG 575S-225</t>
  </si>
  <si>
    <t>PG 575S</t>
  </si>
  <si>
    <t>RAVI PASWAN</t>
  </si>
  <si>
    <t>Dated on 30.06.2022, done at 308 hours vide tracking no.: CC-00642828</t>
  </si>
  <si>
    <t>Air filter changed 734 Hours</t>
  </si>
  <si>
    <t>Dated 30.11.2022, done at 734 hours vide tracking no.: CC-00771752</t>
  </si>
  <si>
    <t>Dated 08.05.2023, done at 1532 hours vide tracking no.: CC-00915787</t>
  </si>
  <si>
    <t>Dated 09.12.2023, done at 2640 hours vide tracking no.: CC-01119861</t>
  </si>
  <si>
    <t>Dated 13.05.204, done at 3474 hours vide tracking no.: CC-01275282</t>
  </si>
  <si>
    <t>Dated 17.01.2025, done at 4350 hours vide tracking no.: CC-01532335</t>
  </si>
  <si>
    <t>CC-01970111</t>
  </si>
  <si>
    <t>BVLD163040</t>
  </si>
  <si>
    <t>Dated on 29.07.2022, done at 507 hours vide tracking no.: CC-00668520</t>
  </si>
  <si>
    <t>Air filter changed 507 Hours</t>
  </si>
  <si>
    <t>Dated on 10.10.2022, done at 965 hours vide tracking no.: CC-00729187</t>
  </si>
  <si>
    <t>Dated on 09.12.2022, done at 1500 hours vide tracking no.: CC-00780153</t>
  </si>
  <si>
    <t>Dated on 03.02.2023, done at 1987 hours vide tracking no.: CC-00826689</t>
  </si>
  <si>
    <t>Dated on 22.03.2023, done at 2485 hours vide tracking no.: CC-00874000</t>
  </si>
  <si>
    <t>Dated 07.08.2023, done at 3000 hours vide tracking no.: CC-01001497</t>
  </si>
  <si>
    <t>CC-01001497</t>
  </si>
  <si>
    <t>BVLD163067</t>
  </si>
  <si>
    <t>MANOJ KUMAR</t>
  </si>
  <si>
    <t>Dated on 27.07.2022, done at 545 hours vide tracking no.: CC-00666181</t>
  </si>
  <si>
    <t>Air filter changed 545 Hours</t>
  </si>
  <si>
    <t>Dated on 20.10.2022, done at 1011 hours vide tracking no.: CC-00728539</t>
  </si>
  <si>
    <t>Dated on 05.01.2023, done at 1495 hours vide tracking no.: CC-00804794</t>
  </si>
  <si>
    <t>Dated 06.04.2023, done at 2076 hours vide tracking no.: CC-00882721</t>
  </si>
  <si>
    <t>Dated 06.07.2023, done at 2700 hours vide tracking no.: CC-00971625</t>
  </si>
  <si>
    <t>Dated 27.09.2023, done at 3127 hours vide tracking no.: CC-01051003</t>
  </si>
  <si>
    <t>CC-01440454</t>
  </si>
  <si>
    <t>CC-01323091</t>
  </si>
  <si>
    <t>BVKD163026</t>
  </si>
  <si>
    <t>AKSHARA DRILLERS</t>
  </si>
  <si>
    <t>aksharadrillers@gmail.com</t>
  </si>
  <si>
    <t>Dated on 29.04.2023, done at 544 hours vide tracking no.: CC-00908530</t>
  </si>
  <si>
    <t>Air filter changed 544 Hours</t>
  </si>
  <si>
    <t>Dated 03.06.2023, done at 1008 hours vide tracking no.: CC-00939875</t>
  </si>
  <si>
    <t>Dated on 20.07.2023, done at 1630 hours vide tracking no.: CC-00984774</t>
  </si>
  <si>
    <t>Dated on 02.09.2023, done at 2035 hours vide tracking no.: CC-01026928</t>
  </si>
  <si>
    <t>Dated on 02.11.2023, done at 2598 hours vide tracking no.: CC-01085379</t>
  </si>
  <si>
    <t>CC-01842953</t>
  </si>
  <si>
    <t>BRKD160684</t>
  </si>
  <si>
    <t>A STAR BOREWELL</t>
  </si>
  <si>
    <t>C</t>
  </si>
  <si>
    <t>CC-01115095</t>
  </si>
  <si>
    <t>CC-00863980</t>
  </si>
  <si>
    <t>BQED160215</t>
  </si>
  <si>
    <t>20.08.2021 OIL FILTER, OIL</t>
  </si>
  <si>
    <t>CC-01946792</t>
  </si>
  <si>
    <t>BRKD220111</t>
  </si>
  <si>
    <t>PG 1100S - 300 DOMESTIC-SPIN O</t>
  </si>
  <si>
    <t>Sold</t>
  </si>
  <si>
    <t>01.09.2021 OIL FILTER AIR FILTER</t>
  </si>
  <si>
    <t>Change Air filter, oil filter &amp; oil on dated 09.01.2023</t>
  </si>
  <si>
    <t>CC-01947028</t>
  </si>
  <si>
    <t>SOLD OUT TO SOUTH REAGION</t>
  </si>
  <si>
    <t>BPGD220035</t>
  </si>
  <si>
    <t>CC-01947030</t>
  </si>
  <si>
    <t>BRED161131</t>
  </si>
  <si>
    <t>PG 500S-175</t>
  </si>
  <si>
    <t>ADITYA ROY</t>
  </si>
  <si>
    <t>CC-01115130</t>
  </si>
  <si>
    <t>BRKD160653</t>
  </si>
  <si>
    <t>AMAN ANSARI</t>
  </si>
  <si>
    <t>CC-01222549</t>
  </si>
  <si>
    <t>BSFD161809</t>
  </si>
  <si>
    <t>PG 400-175 AC</t>
  </si>
  <si>
    <t>AMRAPALI CYLINDERS</t>
  </si>
  <si>
    <t>BSFD161819</t>
  </si>
  <si>
    <t>ANKIT ACCESSORIESS</t>
  </si>
  <si>
    <t>13.05.2020, Changed air filter, oil filter &amp; oil</t>
  </si>
  <si>
    <t>Air filter change 690 hours</t>
  </si>
  <si>
    <t>30.07.2020, Replaced oil, oil filter, air filter, actuator kit, pressure regulator kit &amp; BDV kit.</t>
  </si>
  <si>
    <t>CC-01188965</t>
  </si>
  <si>
    <t>BSAD161567</t>
  </si>
  <si>
    <t xml:space="preserve">ANPR PROJECTS PVT.LTD	</t>
  </si>
  <si>
    <t>anpr.koderma@gmail.com</t>
  </si>
  <si>
    <t>Scraped</t>
  </si>
  <si>
    <t>17.06.2021, AIR FILTER, OIL FILTER, OIL</t>
  </si>
  <si>
    <t>CC-01053849</t>
  </si>
  <si>
    <t>CC-01116197</t>
  </si>
  <si>
    <t>BRJD160598</t>
  </si>
  <si>
    <t>ASHIF NAIYER</t>
  </si>
  <si>
    <t>CC-01878173</t>
  </si>
  <si>
    <t>BPID120091</t>
  </si>
  <si>
    <t>ASHOKA BUILDCON</t>
  </si>
  <si>
    <t>sharad.sax007@gmail.com</t>
  </si>
  <si>
    <t>16.08.2021,GASKET, FLEX HOSE, 1 1/2", 10S , DISCHARGE CHECK VALVE - 60A, GASKET DCV 60 A</t>
  </si>
  <si>
    <t>CC-00948545</t>
  </si>
  <si>
    <t>BQED160222</t>
  </si>
  <si>
    <t>BABA BOREWELL</t>
  </si>
  <si>
    <t>20.06.2019 Air Filter, Oil Filter &amp; oil</t>
  </si>
  <si>
    <t>CC-01843284</t>
  </si>
  <si>
    <t>BIED200036</t>
  </si>
  <si>
    <t>PG 900S - 200 NTA</t>
  </si>
  <si>
    <t>PG 900S</t>
  </si>
  <si>
    <t>BL SONI</t>
  </si>
  <si>
    <t>CC-01115215</t>
  </si>
  <si>
    <t>BJGD200109</t>
  </si>
  <si>
    <t>CC-01222575</t>
  </si>
  <si>
    <t>BRCD160948</t>
  </si>
  <si>
    <t>CLASSIC ENGICON  PVT. LTD</t>
  </si>
  <si>
    <t>ceplmechenical@gmail.com; classic_cepl@rediffmail.com</t>
  </si>
  <si>
    <t>03.09.2021 Air Filter, oil filter and oil</t>
  </si>
  <si>
    <t>CC-01053847</t>
  </si>
  <si>
    <t>CC-01140901</t>
  </si>
  <si>
    <t>BNBD160162</t>
  </si>
  <si>
    <t>DADA JEETU BUILDCON PVT LTD</t>
  </si>
  <si>
    <t>CC-01116065</t>
  </si>
  <si>
    <t>BRCD160978</t>
  </si>
  <si>
    <t>DANDAR NIRMAN PVT. LTD</t>
  </si>
  <si>
    <t>24.05.2019 Air Filter, Oil Filter &amp; Oil</t>
  </si>
  <si>
    <t>11.02.2020 Air Filter, Oil Filter &amp; Oil</t>
  </si>
  <si>
    <t>02.10.2020 Air filter, Oil filter, Air Oil Separator and oil</t>
  </si>
  <si>
    <t>CC-01553901</t>
  </si>
  <si>
    <t>CC-00570642</t>
  </si>
  <si>
    <t>BSLD161503</t>
  </si>
  <si>
    <t>BSKD161476</t>
  </si>
  <si>
    <t>13.07.2019 Replace oil filter, air filter.</t>
  </si>
  <si>
    <t>BRBD160856</t>
  </si>
  <si>
    <t>DURODHAN MAHTO</t>
  </si>
  <si>
    <t>29.11.2018 Air Filter, Oil Filter &amp; Oil</t>
  </si>
  <si>
    <t>09.02.2019 Air Filter, Oil Filter &amp; Oil</t>
  </si>
  <si>
    <t>30.04.2019 Air  Filter, Oil Filter, Air Oil seperator &amp; Oil</t>
  </si>
  <si>
    <t>09-08-2019 Air Filter, Oil Filter &amp; oil</t>
  </si>
  <si>
    <t>17.10.2019 Air Filter, Oil Filter &amp; Oil</t>
  </si>
  <si>
    <t>02.11.2020 ELGI AIR LUBE PLUS, AIR FILTER, OIL FILTER, ACTUATER KIT, BDV, PRE REG, MPV,SEPARATOR</t>
  </si>
  <si>
    <t>CC-01843295</t>
  </si>
  <si>
    <t>GPLL150106</t>
  </si>
  <si>
    <t>ELECTRO MECH ENGINEERS</t>
  </si>
  <si>
    <t>electro_mech@yahoo.com</t>
  </si>
  <si>
    <t>CC-01115110</t>
  </si>
  <si>
    <t>BRCD160998</t>
  </si>
  <si>
    <t>FUTURE MINING TOOLS PVT LTD</t>
  </si>
  <si>
    <t>13.10.2018 Air Filter, Oil filter and oil</t>
  </si>
  <si>
    <t>27.09.2019 Air Filter, Oil Filter &amp; Oil</t>
  </si>
  <si>
    <t>15.11.2021 Change Air filter, oil filter, BDV, MPV, Actuator, pressure regulator kit and oil</t>
  </si>
  <si>
    <t>CC-01189299</t>
  </si>
  <si>
    <t>BRJD160600</t>
  </si>
  <si>
    <t>25.01.2019 Ait Filter, Oil Filter &amp; Oil</t>
  </si>
  <si>
    <t>CC-01188961</t>
  </si>
  <si>
    <t>BSCD120656</t>
  </si>
  <si>
    <t>GANNON DUNKERLEY &amp; CO LIMITED</t>
  </si>
  <si>
    <t>echpkaranpura.dc@gdcl.in</t>
  </si>
  <si>
    <t>CC-01878153</t>
  </si>
  <si>
    <t>BQED160244</t>
  </si>
  <si>
    <t>GANPATI ROCK DRILLES</t>
  </si>
  <si>
    <t>CC-01188966</t>
  </si>
  <si>
    <t>CC-00830891</t>
  </si>
  <si>
    <t>BQHD160416</t>
  </si>
  <si>
    <t>GM BOREWEL</t>
  </si>
  <si>
    <t>22.09.2018 Air oil separator</t>
  </si>
  <si>
    <t>19.07.2021 Air Filter, Oil Filter &amp; oil</t>
  </si>
  <si>
    <t>CC-01140859</t>
  </si>
  <si>
    <t>CC-00807809</t>
  </si>
  <si>
    <t>BSDD120664</t>
  </si>
  <si>
    <t>HARISH SINGH</t>
  </si>
  <si>
    <t>harishsingh.rnc@gmail.com</t>
  </si>
  <si>
    <t>CC-01843323</t>
  </si>
  <si>
    <t>BRGL151468</t>
  </si>
  <si>
    <t>HEERU CORROSION PROTECTION SERVICES (I) PVT LTD</t>
  </si>
  <si>
    <t>shashikant.sharma@heerugroup.in</t>
  </si>
  <si>
    <t>26.03.2019 Air Filter, Oil Filter &amp; Oil</t>
  </si>
  <si>
    <t>16.12.2019 Air Filter, Oil Filter, Air oil seperator &amp; oil</t>
  </si>
  <si>
    <t>CC-01914455</t>
  </si>
  <si>
    <t>BRBL150944</t>
  </si>
  <si>
    <t>23.03.2019 Air Filter, Oil Filter &amp; oil</t>
  </si>
  <si>
    <t>17.12.2019 Air filter, Oil filter, Air oil Seperator &amp; oil</t>
  </si>
  <si>
    <t>08.02.2021 oil Filter, Air Filter, Air Oil seperator &amp; Oil</t>
  </si>
  <si>
    <t>21.07..2021 Air Filter, Oil Filter &amp; Oil</t>
  </si>
  <si>
    <t>CC-0150944</t>
  </si>
  <si>
    <t>BRGL151464</t>
  </si>
  <si>
    <t>21.07.2021 Air Filter, Oilfilter and oil</t>
  </si>
  <si>
    <t>CC-01914449</t>
  </si>
  <si>
    <t>BSGD161861</t>
  </si>
  <si>
    <t>JAGDISH CHANDRA MANJHI</t>
  </si>
  <si>
    <t>BQBD200008</t>
  </si>
  <si>
    <t>PG 600S-230S</t>
  </si>
  <si>
    <t>JALDHARA BOREWELL</t>
  </si>
  <si>
    <t>14.11.2018 Air Filter &amp; Oil</t>
  </si>
  <si>
    <t>CC-01985228</t>
  </si>
  <si>
    <t>BOID200223</t>
  </si>
  <si>
    <t>CC-01985232</t>
  </si>
  <si>
    <t>BQHD160412</t>
  </si>
  <si>
    <t>JB MINES AND CONSTRUCTION CO</t>
  </si>
  <si>
    <t>CC-01666935</t>
  </si>
  <si>
    <t>BPKD200020</t>
  </si>
  <si>
    <t>CC-01990422</t>
  </si>
  <si>
    <t>BQGD160344</t>
  </si>
  <si>
    <t>09.03.2019 Air Filter, Oil Filter &amp; oil</t>
  </si>
  <si>
    <t>CC-01990426</t>
  </si>
  <si>
    <t>BQHD160361</t>
  </si>
  <si>
    <t>11.03.2020 Air Filter, Oil Filter and oil</t>
  </si>
  <si>
    <t>CC-01878178</t>
  </si>
  <si>
    <t>BRJD160543</t>
  </si>
  <si>
    <t>JHARKHAND BOREWELL</t>
  </si>
  <si>
    <t>11.12.2019 Oil filter</t>
  </si>
  <si>
    <t>CC-01878154</t>
  </si>
  <si>
    <t>BOLD200057</t>
  </si>
  <si>
    <t>PG 600S - 200 6CTA</t>
  </si>
  <si>
    <t>CC-01986153</t>
  </si>
  <si>
    <t>BNJD200008</t>
  </si>
  <si>
    <t>CC-01140820</t>
  </si>
  <si>
    <t>BRHD161314</t>
  </si>
  <si>
    <t>CC-01990430</t>
  </si>
  <si>
    <t>BPED160082</t>
  </si>
  <si>
    <t>CC-01878176</t>
  </si>
  <si>
    <t>BQBD160060</t>
  </si>
  <si>
    <t>17.06.2019 Air Filter, Oil Filter &amp; oil</t>
  </si>
  <si>
    <t>CC-01990431</t>
  </si>
  <si>
    <t>BQFD160263</t>
  </si>
  <si>
    <t>18.06.2020 Oil filter, Air filter &amp; oil</t>
  </si>
  <si>
    <t>CC-01990436</t>
  </si>
  <si>
    <t>BOJD160012</t>
  </si>
  <si>
    <t>JITENDRA KUMAR SINGH</t>
  </si>
  <si>
    <t>CC-01985235</t>
  </si>
  <si>
    <t>GOBD160007</t>
  </si>
  <si>
    <t>CC-01985239</t>
  </si>
  <si>
    <t>GPBD160107</t>
  </si>
  <si>
    <t>PG450-150</t>
  </si>
  <si>
    <t>CC-01985242</t>
  </si>
  <si>
    <t>BQKD160115</t>
  </si>
  <si>
    <t>06.11.2019 Air filter, Oil filter, Air Oil eparator and oil</t>
  </si>
  <si>
    <t>02.08.2021 AIR FILTER, OIL FILTER, OIL, ACTUATOR KIT</t>
  </si>
  <si>
    <t>CC-01224020</t>
  </si>
  <si>
    <t>CC-00971241</t>
  </si>
  <si>
    <t>BQKD160099</t>
  </si>
  <si>
    <t>15.09.2021, AIR FILTER , OIL FILTER, OIL</t>
  </si>
  <si>
    <t>CC-01053807</t>
  </si>
  <si>
    <t>BQJD160040</t>
  </si>
  <si>
    <t>27.11.2018 Oil Filter &amp; oil</t>
  </si>
  <si>
    <t>CC-01224028</t>
  </si>
  <si>
    <t>BQJD200011</t>
  </si>
  <si>
    <t>JWALAMATI ENTERPRISES</t>
  </si>
  <si>
    <t>01.10.2020,ELGI AIR LUBE , OIL FILTER</t>
  </si>
  <si>
    <t>CC-01844218</t>
  </si>
  <si>
    <t>BSKD120530</t>
  </si>
  <si>
    <t>kunwar.akhilesh@kalpatrupower.com</t>
  </si>
  <si>
    <t>BSKD120522</t>
  </si>
  <si>
    <t>BSKD120524</t>
  </si>
  <si>
    <t>BSKD120521</t>
  </si>
  <si>
    <t>BSKD120520</t>
  </si>
  <si>
    <t>BSFD161833</t>
  </si>
  <si>
    <t>PG400-175</t>
  </si>
  <si>
    <t>CC-00833117</t>
  </si>
  <si>
    <t>BSFD161825</t>
  </si>
  <si>
    <t>BSGD161854</t>
  </si>
  <si>
    <t>CC-00994879</t>
  </si>
  <si>
    <t>CC-00832932</t>
  </si>
  <si>
    <t>BRKD120212</t>
  </si>
  <si>
    <t>PG 300 - 100</t>
  </si>
  <si>
    <t>LIKHITHA INFRASTRUCTURE LTD.</t>
  </si>
  <si>
    <t>somanath@likhithain</t>
  </si>
  <si>
    <t>BRHD161303</t>
  </si>
  <si>
    <t>M.A.S SABARI</t>
  </si>
  <si>
    <t>27.04.2019 Air Filter, oil filter &amp; oil</t>
  </si>
  <si>
    <t>BSFD161799</t>
  </si>
  <si>
    <t>M/S AAMBIKA SAW</t>
  </si>
  <si>
    <t>aambika123@gmail.com</t>
  </si>
  <si>
    <t>04.12.2020, Changed air filter, oil filter &amp; oil</t>
  </si>
  <si>
    <t>Air filter change 628</t>
  </si>
  <si>
    <t>CC-01080223</t>
  </si>
  <si>
    <t>CC-00660913</t>
  </si>
  <si>
    <t>BRKD120213</t>
  </si>
  <si>
    <t>CC-01189504</t>
  </si>
  <si>
    <t>BSAD120582</t>
  </si>
  <si>
    <t>M/S NIRMAL FABRICATION PVT.LTD</t>
  </si>
  <si>
    <t>rahulsaboo@nirmanfab.com</t>
  </si>
  <si>
    <t>CC-00882724</t>
  </si>
  <si>
    <t>BRAD160777</t>
  </si>
  <si>
    <t>MAA BORE WELLS</t>
  </si>
  <si>
    <t>20.02.2021, ELGI AIR LUBE PLUS, AIR FILTER, OIL FILTER</t>
  </si>
  <si>
    <t>CC-01115148</t>
  </si>
  <si>
    <t>BOHD200197</t>
  </si>
  <si>
    <t>16.12.2019 Air filter, oil filter &amp; oil</t>
  </si>
  <si>
    <t>CC-01116165</t>
  </si>
  <si>
    <t>CC-00524461</t>
  </si>
  <si>
    <t>BPED200187</t>
  </si>
  <si>
    <t>MAA DURGA BOREWELL</t>
  </si>
  <si>
    <t>CC-01907180</t>
  </si>
  <si>
    <t>BSBD161629</t>
  </si>
  <si>
    <t>MAA DURGA STONE</t>
  </si>
  <si>
    <t>06.10.2020, changed air filter, oil filter &amp; oil</t>
  </si>
  <si>
    <t>Air filter change 515 hours</t>
  </si>
  <si>
    <t>CC-01843340</t>
  </si>
  <si>
    <t>BSKD220275</t>
  </si>
  <si>
    <t>PG600-100</t>
  </si>
  <si>
    <t>MANI VIJAY INFRATECH PVT.LTD</t>
  </si>
  <si>
    <t>CC-00867005</t>
  </si>
  <si>
    <t>BRHD161299</t>
  </si>
  <si>
    <t>11.05.2019 Air Filter, Oil Filter &amp; Oil</t>
  </si>
  <si>
    <t>20.07.2019 Air Filter, oil Filter &amp; Oil</t>
  </si>
  <si>
    <t>24.05.2020 Air filter, oil filter, air oil separator, oil, BDV Kit, MPV Kit and oil</t>
  </si>
  <si>
    <t>CC-01843312</t>
  </si>
  <si>
    <t>BSCD161704</t>
  </si>
  <si>
    <t xml:space="preserve">28.11.2020, changed air filter, oil filter &amp; oil </t>
  </si>
  <si>
    <t>Air filter change 441</t>
  </si>
  <si>
    <t>26.05.2021,change Air Filter, Oil Filter and oil, air oil separator &amp; 2 no BDV Kit, 2 no Actuator kit</t>
  </si>
  <si>
    <t>Change Air Filter, Oil Filter and oil on dated09.01.2023</t>
  </si>
  <si>
    <t>CC-01843281</t>
  </si>
  <si>
    <t>BRGD161218</t>
  </si>
  <si>
    <t>MD. KHALID CONSTRUCTIONS</t>
  </si>
  <si>
    <t>04.05.2019 Air filter, oil filter and oil</t>
  </si>
  <si>
    <t>BNID160316</t>
  </si>
  <si>
    <t>PG 475S - 150 6BTA</t>
  </si>
  <si>
    <t>PG 475</t>
  </si>
  <si>
    <t>NABIL ENTERPRISES</t>
  </si>
  <si>
    <t>GOCD160022</t>
  </si>
  <si>
    <t>CC-01116062</t>
  </si>
  <si>
    <t>BQDD160156</t>
  </si>
  <si>
    <t>NEW BHARATHIYA BOREWELL</t>
  </si>
  <si>
    <t>mdshababkhan5@gmail.com</t>
  </si>
  <si>
    <t>04.12.2018 Air Filter, Oil Filter, Air Oil Separator and oil</t>
  </si>
  <si>
    <t>CC-00812790</t>
  </si>
  <si>
    <t>BPED200181</t>
  </si>
  <si>
    <t>NEW KUMARAN ROCK DRILLERS</t>
  </si>
  <si>
    <t>CC-01115145</t>
  </si>
  <si>
    <t>BPED160088</t>
  </si>
  <si>
    <t>NGM RIG SERVICE</t>
  </si>
  <si>
    <t>CC-01115125</t>
  </si>
  <si>
    <t>BQBD160067</t>
  </si>
  <si>
    <t>NILAM JOSHI</t>
  </si>
  <si>
    <t>11.12.2018 Air Filter, Oil Filter, Air Oil Separator &amp; Oil</t>
  </si>
  <si>
    <t>CC-01844211</t>
  </si>
  <si>
    <t>BQID200160</t>
  </si>
  <si>
    <t>NR BOREWELL</t>
  </si>
  <si>
    <t>17.05.2019 Aif Filter, Actuator kit</t>
  </si>
  <si>
    <t>CC-00918234</t>
  </si>
  <si>
    <t>BQHD160418</t>
  </si>
  <si>
    <t>OM PRAKASH GURJAR</t>
  </si>
  <si>
    <t>CC-01878180</t>
  </si>
  <si>
    <t>BOID200231</t>
  </si>
  <si>
    <t>PIPAWAR BOREWELL</t>
  </si>
  <si>
    <t xml:space="preserve">Change Air filter, oil filter, separator,BDV kit, temperature sensor and oil on dated 05.01.2023 </t>
  </si>
  <si>
    <t>CC-01140834</t>
  </si>
  <si>
    <t>CC-01053889</t>
  </si>
  <si>
    <t>BSGD161864</t>
  </si>
  <si>
    <t>CC-01906607</t>
  </si>
  <si>
    <t>BSJD161406</t>
  </si>
  <si>
    <t>PRAMOD KUMAR BARNAWAL</t>
  </si>
  <si>
    <t>06.09.2019 Air Filter, Oil Filter &amp; Oil</t>
  </si>
  <si>
    <t>11.11.2019 Air Filter, Oil Filter, Air Oil Seperator &amp; Oil</t>
  </si>
  <si>
    <t>20.10.2020 ELGI AIR LUBE PLUS, AIR FILTER, OIL FILTER, ACTUATER KIT, BDV, PRE REG, MPV</t>
  </si>
  <si>
    <t>CC-01842328</t>
  </si>
  <si>
    <t>BSEL152198</t>
  </si>
  <si>
    <t>PG45E-7</t>
  </si>
  <si>
    <t>PG 45E</t>
  </si>
  <si>
    <t>INDIAN TRADING CO. - CRI000004</t>
  </si>
  <si>
    <t>BRHD120445</t>
  </si>
  <si>
    <t>CC-01189506</t>
  </si>
  <si>
    <t>GPGD160208</t>
  </si>
  <si>
    <t>R.S.MINERALS AND SERVICES</t>
  </si>
  <si>
    <t>CC-01348250</t>
  </si>
  <si>
    <t>BRLD160756</t>
  </si>
  <si>
    <t>RAJ BOREWELLS</t>
  </si>
  <si>
    <t>CC-01878183</t>
  </si>
  <si>
    <t>BQID160499</t>
  </si>
  <si>
    <t>02.06.2021 RUBBER ELOW, AIRFILTER</t>
  </si>
  <si>
    <t>CC-01843301</t>
  </si>
  <si>
    <t>BSFD161830</t>
  </si>
  <si>
    <t>RAJEEV KUMAR MAHATO</t>
  </si>
  <si>
    <t>BRAD160811</t>
  </si>
  <si>
    <t>RK ENTERPRISES</t>
  </si>
  <si>
    <t>chunuvishwakarma502@gmail.com</t>
  </si>
  <si>
    <t>07.03.2020 Air filter, oil filter and oil</t>
  </si>
  <si>
    <t>AAR VEE PNEUMATIC SERVICES - CU1A00851</t>
  </si>
  <si>
    <t>BSCL152143</t>
  </si>
  <si>
    <t>ROYAL ENTERPRISES</t>
  </si>
  <si>
    <t>CC-01116152</t>
  </si>
  <si>
    <t>BRCD160968</t>
  </si>
  <si>
    <t>SADGURU SAI DRILLERS</t>
  </si>
  <si>
    <t>25.12.2018 Air filter, oil filter &amp; oil</t>
  </si>
  <si>
    <t>06.03.2019 Oil Filter, Air Filter &amp; oil</t>
  </si>
  <si>
    <t>03.06.2019 Air Filter, Oil Filter, Air Oil Separator and oil</t>
  </si>
  <si>
    <t>21.10.2019 Air filter, oil filter, Air oil Separator &amp; oil</t>
  </si>
  <si>
    <t>16.03.2020 Air filter, Oil Filter &amp; oil</t>
  </si>
  <si>
    <t>29.07.2019  ELGI AIR LUBE PLUS, AIR FILTER, OIL FILTER , BDV</t>
  </si>
  <si>
    <t>CC-01116101</t>
  </si>
  <si>
    <t>Shifted to Hydrabad (NATIONAL EQUIPMENT AGENGIES)</t>
  </si>
  <si>
    <t>BRCD160967</t>
  </si>
  <si>
    <t>CC-01189509</t>
  </si>
  <si>
    <t>BSJD161438</t>
  </si>
  <si>
    <t>SAJAL ENTERPRISES</t>
  </si>
  <si>
    <t>CC-01140812</t>
  </si>
  <si>
    <t>CC-00867020</t>
  </si>
  <si>
    <t>BRGD161229</t>
  </si>
  <si>
    <t>CC-01140803</t>
  </si>
  <si>
    <t>CC-00832928</t>
  </si>
  <si>
    <t>GPCD160123</t>
  </si>
  <si>
    <t>SANJAY BHAGAT</t>
  </si>
  <si>
    <t>CC-01184674</t>
  </si>
  <si>
    <t>BSID161961</t>
  </si>
  <si>
    <t>SANJAY KUMAR</t>
  </si>
  <si>
    <t>CC-01878171</t>
  </si>
  <si>
    <t>GPBD160097</t>
  </si>
  <si>
    <t>SATISH KUMAR MEHTA</t>
  </si>
  <si>
    <t>BPJD200007</t>
  </si>
  <si>
    <t>SATYAM BOREWELL</t>
  </si>
  <si>
    <t>12.04.2021, ELGI AIR LUBE PLUS</t>
  </si>
  <si>
    <t>CC-01844203</t>
  </si>
  <si>
    <t>BQKD200034</t>
  </si>
  <si>
    <t>CC-01116134</t>
  </si>
  <si>
    <t>BNDD160224</t>
  </si>
  <si>
    <t>DT 400-175 AC TRLY 6BTA</t>
  </si>
  <si>
    <t>DT 400</t>
  </si>
  <si>
    <t>SHIVANAND MISRA</t>
  </si>
  <si>
    <t>CC-01140808</t>
  </si>
  <si>
    <t>BQKD160076</t>
  </si>
  <si>
    <t>SHUBHAM BOREWELL</t>
  </si>
  <si>
    <t>13.05.2021,AIR FILTER ASSY,BDV (SHUT DOWN) 2 STAGE,ELGI MAKE AIR LUBE PLUS - 20 LTR.,SPARE KIT - STRAINER PG 500</t>
  </si>
  <si>
    <t>CC-01843314</t>
  </si>
  <si>
    <t>BSKD161477</t>
  </si>
  <si>
    <t>Dated on 08.08.2019, done at 537 hours vide tracking no.: CC-00094009</t>
  </si>
  <si>
    <t>Air Filter changed 537 Hours</t>
  </si>
  <si>
    <t>Dated on 30.01.2020, done at 1541 hours vide tracking no.: CC-00153996</t>
  </si>
  <si>
    <t>Dated on 18.04.2020, done at 2000 hours vide tracking no.: CC-00177684</t>
  </si>
  <si>
    <t>Dated on 03.10.2020, done at 2631 hours vide tracking no.: CC-00247315</t>
  </si>
  <si>
    <t>Dated on 22.12.2020, done at 3156 hours vide tracking no.: CC-00292922</t>
  </si>
  <si>
    <t>Dated on 26.02.2021, done at 3667 hours vide tracking no.: CC-00332027</t>
  </si>
  <si>
    <t>CC-01222553</t>
  </si>
  <si>
    <t>low running</t>
  </si>
  <si>
    <t>BPHD160162</t>
  </si>
  <si>
    <t>SK BROTHERS</t>
  </si>
  <si>
    <t>CC-00685567</t>
  </si>
  <si>
    <t>BQCD160106</t>
  </si>
  <si>
    <t>SMR BOREWELLS</t>
  </si>
  <si>
    <t>CC-01843290</t>
  </si>
  <si>
    <t>BRCD160984</t>
  </si>
  <si>
    <t xml:space="preserve">SPECIALITY PRODUCT AND SERVICES </t>
  </si>
  <si>
    <t>chandra.baronia@spsig.com</t>
  </si>
  <si>
    <t>CC-01978136</t>
  </si>
  <si>
    <t>BQGD230029</t>
  </si>
  <si>
    <t>sahityagrawal009@gmail.com</t>
  </si>
  <si>
    <t>08.06.2020 Air Filter, Air oil Separator, oil filter &amp; oil</t>
  </si>
  <si>
    <t>14.08.2021 AIR OIL SEPARATOR-6,BLOW DOWN VALVE KIT-89</t>
  </si>
  <si>
    <t>CC-01184683</t>
  </si>
  <si>
    <t>CC-01140890</t>
  </si>
  <si>
    <t>CC-00161725</t>
  </si>
  <si>
    <t>BQLD160182</t>
  </si>
  <si>
    <t>SRI GANESH BOREWELL</t>
  </si>
  <si>
    <t>CC-01115196</t>
  </si>
  <si>
    <t>CC-00685425</t>
  </si>
  <si>
    <t>BRED161124</t>
  </si>
  <si>
    <t>SRI LAKSHMI BORE WELLS</t>
  </si>
  <si>
    <t>CC-01844200</t>
  </si>
  <si>
    <t>BRHD161312</t>
  </si>
  <si>
    <t>19.08.2019 Air filter, oil Filter, Air oil Seperator &amp; oil</t>
  </si>
  <si>
    <t>14.02.2020 Oil Filter &amp; Oil</t>
  </si>
  <si>
    <t>26.08.2021 ELGI AIR LUBE PLUS, AIR FILTER, OIL FILTER</t>
  </si>
  <si>
    <t>CC-01115138</t>
  </si>
  <si>
    <t>BRBD160901</t>
  </si>
  <si>
    <t>13.09.2018 Oil Filter, Air Filter &amp; Oil</t>
  </si>
  <si>
    <t>04.10.2018 Oil Filter, Air Filter &amp; Oil</t>
  </si>
  <si>
    <t>06-12.2018 Air Filter, oil Filter, Air Oil Seperator &amp; Oil</t>
  </si>
  <si>
    <t>09.02.2019 Air Filter, Oil Filter &amp; oil</t>
  </si>
  <si>
    <t>19.04.2019 Air Filter, Oil Filter &amp; Oil</t>
  </si>
  <si>
    <t>16.06.2019 Air Filter, Oil Filter, Air Oil seperator 7 Oil</t>
  </si>
  <si>
    <t>17.08.2021 ELGI AIR LUBE PLUS, AIR FILTER, OIL FILTER</t>
  </si>
  <si>
    <t>CC-01023399</t>
  </si>
  <si>
    <t>Scrapped</t>
  </si>
  <si>
    <t>BRBD160892</t>
  </si>
  <si>
    <t>15.09.2021, ELGI AIR LUBE , OIL FILTER</t>
  </si>
  <si>
    <t>CC-01023414</t>
  </si>
  <si>
    <t>BRGD161225</t>
  </si>
  <si>
    <t>17.3.2021,RUBBER ELBOW 5-6 INCH,TEMP GAUGE WITH SWITCH JUMO,AIR LUBE PLUS LONG LIFE OIL 210LTR,OIL FILTER 90LPM-25BAR</t>
  </si>
  <si>
    <t>CC-01023429</t>
  </si>
  <si>
    <t>BRKD230139</t>
  </si>
  <si>
    <t>SRI PONKALI AMMAN DRILLERS</t>
  </si>
  <si>
    <t>CC-00493010</t>
  </si>
  <si>
    <t>BRAD160816</t>
  </si>
  <si>
    <t>SRI SHIVA SHAKTHI BORE WELLS</t>
  </si>
  <si>
    <t>CC-01115134</t>
  </si>
  <si>
    <t>CC-00185307</t>
  </si>
  <si>
    <t>BSDD161729</t>
  </si>
  <si>
    <t>SRI VENKATESHWARA DRILLING</t>
  </si>
  <si>
    <t>25.01.2020, Changed air filter, oil filter &amp; oil</t>
  </si>
  <si>
    <t>Air filter change 532</t>
  </si>
  <si>
    <t>11.03.2020, changed oil filter &amp; oil</t>
  </si>
  <si>
    <t xml:space="preserve">29-05-2020 Replaced the oil, oil filter , air filter, actuator kit, MPV kit, BDV kit, pressure regulator kit &amp; separator element filter. </t>
  </si>
  <si>
    <t>08.08.2020, replaced oil filter, air filter &amp; oil</t>
  </si>
  <si>
    <t>02-02-2021, Replace oil, oil filter, air filter, separator, Butterfly Valve</t>
  </si>
  <si>
    <t>CC-01958527</t>
  </si>
  <si>
    <t>RJD230103</t>
  </si>
  <si>
    <t>SRI VETRI RIGS</t>
  </si>
  <si>
    <t>27.04.2019 Replace Main oil filter element, air end oil filter, separator, oil.</t>
  </si>
  <si>
    <t>08.07.2021,AIR FILTER KIT 1390 CFM,ELGI MAKE AIR LUBE PLUS - 50 LTR.,AIR OIL SEPARATOR-6,SPIN ON FILTER ELEMENT 378.5 M,OIL FILTER 90LPM-25BAR</t>
  </si>
  <si>
    <t>AIR FILTER KIT 1390 CFM</t>
  </si>
  <si>
    <t>CC-01116123</t>
  </si>
  <si>
    <t>CC-00579184</t>
  </si>
  <si>
    <t>CC-00109962</t>
  </si>
  <si>
    <t>BQID160519</t>
  </si>
  <si>
    <t>SRINIVASA REDDY SAKTHI</t>
  </si>
  <si>
    <t>17.12.2018 Oil filer and oil</t>
  </si>
  <si>
    <t>CC-01950829</t>
  </si>
  <si>
    <t>BSKD161467</t>
  </si>
  <si>
    <t>CC-01950857</t>
  </si>
  <si>
    <t>BQKD200047</t>
  </si>
  <si>
    <t>SURAJMAL ONKARMAL</t>
  </si>
  <si>
    <t>17.02.2021 Replaced Air Filter, Oil Filter, and Seprator element</t>
  </si>
  <si>
    <t>02.06.2021 change air filter, oil filter and oil.</t>
  </si>
  <si>
    <t>08.11.2021 Change air filter, oil filter, seperatore and oil</t>
  </si>
  <si>
    <t>CC-01844213</t>
  </si>
  <si>
    <t>BRGD230256</t>
  </si>
  <si>
    <t>CC-01933483</t>
  </si>
  <si>
    <t>BPLD200068</t>
  </si>
  <si>
    <t>08.07.2021 Replaced Oil, oil filter, air filter, separator, achivator assy, MPV kit, pressure regulator kit &amp; pressure gauge</t>
  </si>
  <si>
    <t>30.11.2021 Change air filter, oil filter, seperatore &amp; oil</t>
  </si>
  <si>
    <t>CC-01985245</t>
  </si>
  <si>
    <t>BQKD200048</t>
  </si>
  <si>
    <t>CC-01844209</t>
  </si>
  <si>
    <t>BRJD160577</t>
  </si>
  <si>
    <t>SURENDRA YADAV</t>
  </si>
  <si>
    <t>CC-01843331</t>
  </si>
  <si>
    <t>BRAD160803</t>
  </si>
  <si>
    <t>SURYA BORE WELLS</t>
  </si>
  <si>
    <t>26.01.2021,VALVE ASSY, BUTTERFLY, 4" ,ELGI MAKE AIR LUBE PLUS - 20 LTR.HOSE ASSY; 1/4 INCH X1000MM,BDV (SHUT DOWN) 2 STAGE,PRESS REG. KIT</t>
  </si>
  <si>
    <t>CC-01843333</t>
  </si>
  <si>
    <t>BSGD161898</t>
  </si>
  <si>
    <t>CC-01224040</t>
  </si>
  <si>
    <t>CC-01116129</t>
  </si>
  <si>
    <t>BSGD161904</t>
  </si>
  <si>
    <t>CC-00750535</t>
  </si>
  <si>
    <t>CC-01116188</t>
  </si>
  <si>
    <t>BPBD200118</t>
  </si>
  <si>
    <t>TAZAPANI BOREWELL</t>
  </si>
  <si>
    <t>Change Air filter oil filter and oil ondate 09.01.2023</t>
  </si>
  <si>
    <t>CC-01184679</t>
  </si>
  <si>
    <t>CC-00971377</t>
  </si>
  <si>
    <t>CC-00868849</t>
  </si>
  <si>
    <t>BMED200254</t>
  </si>
  <si>
    <t>CC-01844224</t>
  </si>
  <si>
    <t>BQJD120016</t>
  </si>
  <si>
    <t>TRIDEV ENGICON PVT LTD</t>
  </si>
  <si>
    <t>psp.sp98@gmail.com</t>
  </si>
  <si>
    <t>CC-01115136</t>
  </si>
  <si>
    <t>BRDD161021</t>
  </si>
  <si>
    <t>UDAY PRATAP SINGH</t>
  </si>
  <si>
    <t>08.06.2019 Air Filter, oil Filter &amp; Oil</t>
  </si>
  <si>
    <t>24.06.2019 Air Filter, oil Filter &amp; Oil</t>
  </si>
  <si>
    <t>04.09.2021, AIR FILTER, OIL FILTER</t>
  </si>
  <si>
    <t>BQBD160040</t>
  </si>
  <si>
    <t>CC-01986147</t>
  </si>
  <si>
    <t>BLGL160201</t>
  </si>
  <si>
    <t>E75T-9.5</t>
  </si>
  <si>
    <t>E75</t>
  </si>
  <si>
    <t>UNIQUE SERVICES PVT LTD</t>
  </si>
  <si>
    <t>tment909@gmail.com</t>
  </si>
  <si>
    <t>CC-01844221</t>
  </si>
  <si>
    <t>BLGL160217</t>
  </si>
  <si>
    <t>CC-00809781</t>
  </si>
  <si>
    <t>BQGD160315</t>
  </si>
  <si>
    <t>UNIVERSAL MINE TECH CORPORATION</t>
  </si>
  <si>
    <t>BRDD161019</t>
  </si>
  <si>
    <t>02.03.2019 Air filter, Oil filter &amp; Oil</t>
  </si>
  <si>
    <t xml:space="preserve">25.02.2021 BDV </t>
  </si>
  <si>
    <t>BRJD160606</t>
  </si>
  <si>
    <t>BRLD160724</t>
  </si>
  <si>
    <t>31.10.2018 Air Filter, oil Filter, Air Oil separator &amp; Oil</t>
  </si>
  <si>
    <t>BSBD161624</t>
  </si>
  <si>
    <t>BSAD161576</t>
  </si>
  <si>
    <t>BRED161077</t>
  </si>
  <si>
    <t>VEERA VINAYAKA BOREWELL</t>
  </si>
  <si>
    <t>08.01.2019 Air Filter, oil Filter &amp; Oil</t>
  </si>
  <si>
    <t>11.06.2019 Air Filter, Oil Filter, Air Oil seperator &amp; Oil</t>
  </si>
  <si>
    <t>18.08.2021 ELEMENT COUPLING 2800 GR1913 OIL FILTER</t>
  </si>
  <si>
    <t>CC-01115174</t>
  </si>
  <si>
    <t>CC-01053884</t>
  </si>
  <si>
    <t>BRDD161036</t>
  </si>
  <si>
    <t>VENKATESHWARA BOREWELL</t>
  </si>
  <si>
    <t>20.11.2018 Air Filter, oil Filter &amp; Oil</t>
  </si>
  <si>
    <t>28.01.2019 Air Filter, oil Filter &amp; Oil</t>
  </si>
  <si>
    <t>03.04.2019 Air filter, Oil filter, Air oi separator and oil</t>
  </si>
  <si>
    <t>12.01.2021, ELGI AIRLUBE PLUS, OIL FILTER</t>
  </si>
  <si>
    <t>CC-01958518</t>
  </si>
  <si>
    <t>BRCD160940</t>
  </si>
  <si>
    <t>08.02.2021 OIL, OIL FILTER , AIR FILTER</t>
  </si>
  <si>
    <t>CC-01053853</t>
  </si>
  <si>
    <t>BQCD160129</t>
  </si>
  <si>
    <t>03.06.2019 Oil Filter &amp; Oil</t>
  </si>
  <si>
    <t>CC-01116178</t>
  </si>
  <si>
    <t>CC-00830009</t>
  </si>
  <si>
    <t>BQJD160027</t>
  </si>
  <si>
    <t xml:space="preserve">17.08.2021, AIR FILTER , OIL FILTER, </t>
  </si>
  <si>
    <t>CC-01115199</t>
  </si>
  <si>
    <t>CC-00830004</t>
  </si>
  <si>
    <t>BRHD161304</t>
  </si>
  <si>
    <t>VNR DRILLERS</t>
  </si>
  <si>
    <t>25.07.2019 Oil Filter, Air filter, Air oil separator &amp; oil</t>
  </si>
  <si>
    <t>24.09.2019 Oil Filter, Air Filter, Air oil separator &amp; Oil</t>
  </si>
  <si>
    <t>05.02.2020 Air Filter, Oil Filter, Air oil Separator &amp; oil</t>
  </si>
  <si>
    <t>28.08.2021  ELGI MAKE AIR LUBE PLUS - 20 LTR. -2 pic</t>
  </si>
  <si>
    <t>CC-01116162</t>
  </si>
  <si>
    <t>BRGD161233</t>
  </si>
  <si>
    <t>PG550-200</t>
  </si>
  <si>
    <t>PG 550</t>
  </si>
  <si>
    <t>CC-01990698</t>
  </si>
  <si>
    <t>BSAD161582</t>
  </si>
  <si>
    <t>SRI RAM BOREWELLS</t>
  </si>
  <si>
    <t>Change Air filter, oil filter and oil also change engine side air filter on dated 09.01.2023</t>
  </si>
  <si>
    <t>CC-01224048</t>
  </si>
  <si>
    <t>CC-00550886</t>
  </si>
  <si>
    <t>BSID161968</t>
  </si>
  <si>
    <t>Change Air oil separator and BDV kit, Actuator kit, pressure regulator kit, solenoid valve kit, ADV kit on dated 09.01.2023</t>
  </si>
  <si>
    <t>CC-01115183</t>
  </si>
  <si>
    <t>CC-01053887</t>
  </si>
  <si>
    <t>BSID220375</t>
  </si>
  <si>
    <t>PG450-200</t>
  </si>
  <si>
    <t>CC-01140813</t>
  </si>
  <si>
    <t>BSID161979</t>
  </si>
  <si>
    <t>AMRESH KUMAR</t>
  </si>
  <si>
    <t>28.05.2020, Replaced the oil, oil filter &amp; air filter</t>
  </si>
  <si>
    <t>Air filter change 821</t>
  </si>
  <si>
    <t>30.07.2020, oil, oil filter, air filter, actuator kit, pressure regulator kit &amp; BDV kit</t>
  </si>
  <si>
    <t>CC-01116230</t>
  </si>
  <si>
    <t>CC-00568563</t>
  </si>
  <si>
    <t>BSGL152297</t>
  </si>
  <si>
    <t>CC-01116086</t>
  </si>
  <si>
    <t>BSED161766</t>
  </si>
  <si>
    <t>BIRENDRA KUMAR</t>
  </si>
  <si>
    <t>CC-01878172</t>
  </si>
  <si>
    <t>BSHD161938</t>
  </si>
  <si>
    <t>GAURAV HITECH COMPANY</t>
  </si>
  <si>
    <t>CC-01116075</t>
  </si>
  <si>
    <t>BTKD162074</t>
  </si>
  <si>
    <t>CC-01188969</t>
  </si>
  <si>
    <t>BSHD120739</t>
  </si>
  <si>
    <t>BSHD120741</t>
  </si>
  <si>
    <t>BSHD120740</t>
  </si>
  <si>
    <t>CC-00832972</t>
  </si>
  <si>
    <t>BSBD120630</t>
  </si>
  <si>
    <t>CC-01188959</t>
  </si>
  <si>
    <t>BSGL152296</t>
  </si>
  <si>
    <t>CC-01116081</t>
  </si>
  <si>
    <t>BTKD162077</t>
  </si>
  <si>
    <t>CC-01958510</t>
  </si>
  <si>
    <t>BSJD161378</t>
  </si>
  <si>
    <t>M/S AYAD DRILLS</t>
  </si>
  <si>
    <t>CC-01224051</t>
  </si>
  <si>
    <t>CC-01140886</t>
  </si>
  <si>
    <t>BSJD161422</t>
  </si>
  <si>
    <t>HAR HAR MAHADEV</t>
  </si>
  <si>
    <t>CC-01116225</t>
  </si>
  <si>
    <t>BSKD161500</t>
  </si>
  <si>
    <t>CC-01878174</t>
  </si>
  <si>
    <t>BSLD200427</t>
  </si>
  <si>
    <t>CC-01986155</t>
  </si>
  <si>
    <t>BSLD230358</t>
  </si>
  <si>
    <t>POWER BOREWELL</t>
  </si>
  <si>
    <t>CC-01704619</t>
  </si>
  <si>
    <t>BSLD230361</t>
  </si>
  <si>
    <t>KRISHNA BOREWELL SERVICE</t>
  </si>
  <si>
    <t>CC-00971355</t>
  </si>
  <si>
    <t>CC-00824322</t>
  </si>
  <si>
    <t>BTJD162047</t>
  </si>
  <si>
    <t>19.11.2020, Changed Air filter, oil filter &amp; oil</t>
  </si>
  <si>
    <t xml:space="preserve">Air filter change 628 hours </t>
  </si>
  <si>
    <t>16-02-2021, Air filter, Oil filter &amp; oil</t>
  </si>
  <si>
    <t>CC-01116116</t>
  </si>
  <si>
    <t>BTJD162040</t>
  </si>
  <si>
    <t>15.08.2021 Replaced Oil filter, Air Filter &amp; Oil</t>
  </si>
  <si>
    <t xml:space="preserve">Air filter change 495 hours </t>
  </si>
  <si>
    <t>CC-00218185</t>
  </si>
  <si>
    <t>BTKD162080</t>
  </si>
  <si>
    <t>BAM BAM SINGH</t>
  </si>
  <si>
    <t>CC-00603828</t>
  </si>
  <si>
    <t>BTCD162149</t>
  </si>
  <si>
    <t>CC-01983794</t>
  </si>
  <si>
    <t>BTKD162112</t>
  </si>
  <si>
    <t>CC-01983796</t>
  </si>
  <si>
    <t>BTDD162169</t>
  </si>
  <si>
    <t>CC-01983799</t>
  </si>
  <si>
    <t>BTCD162162</t>
  </si>
  <si>
    <t>CC-01842957</t>
  </si>
  <si>
    <t>BVAD121386</t>
  </si>
  <si>
    <t>PG 330-100</t>
  </si>
  <si>
    <t xml:space="preserve">MANGLU ORAON	</t>
  </si>
  <si>
    <t>Dated on 27.12.2022, done at 528 hours vide tracking no.: CC-00797090</t>
  </si>
  <si>
    <t>Air filter changed 528 Hours</t>
  </si>
  <si>
    <t>Dated 01.06.2023, done at 1067 hours vide tracking no.: CC-00937983</t>
  </si>
  <si>
    <t>Dated 04.05.2024, done at 1902 hours vide tracking no.: CC-01266093</t>
  </si>
  <si>
    <t>CC-01785618</t>
  </si>
  <si>
    <t>BUKD162537</t>
  </si>
  <si>
    <t xml:space="preserve">MODERN HIRING SERVICES	</t>
  </si>
  <si>
    <t>BVDD163198</t>
  </si>
  <si>
    <t>DIVYA CONSTRUCTION</t>
  </si>
  <si>
    <t>Dated on 06.03.2023, done at 426 hours vide tracking no.: CC-00858301</t>
  </si>
  <si>
    <t>Air filter changed 426 Hours</t>
  </si>
  <si>
    <t>CC-00858301</t>
  </si>
  <si>
    <t>CC-00690410</t>
  </si>
  <si>
    <t>BVED163231</t>
  </si>
  <si>
    <t xml:space="preserve">PG 550S-200	</t>
  </si>
  <si>
    <t>Dated on 13.01.2023, done at 535 hours vide tracking no.: CC-00811920</t>
  </si>
  <si>
    <t>Air filter changed 535 Hours</t>
  </si>
  <si>
    <t>Dated on 27.02.2023, done 1474 at hours vide tracking no.: CC-00852471 separator also changed</t>
  </si>
  <si>
    <t>Dated 22.07.2023, Dode at 2675 hours vide tracking no.: CC-00986562</t>
  </si>
  <si>
    <t>CC-01024432</t>
  </si>
  <si>
    <t>BVED163235</t>
  </si>
  <si>
    <t>Dated on 25.11.2022, Done at 506 hours vide tracking number CC-00767893</t>
  </si>
  <si>
    <t>Air filter changed 506 hours</t>
  </si>
  <si>
    <t>Dated on 27.02.2023, done 1524 at hours vide tracking no.: CC-00852473 separator also changed</t>
  </si>
  <si>
    <t>Dated 22.07.2023, Dode at 2575 hours vide tracking no.: CC-00986569</t>
  </si>
  <si>
    <t>CC-01024434</t>
  </si>
  <si>
    <t>BVED231179</t>
  </si>
  <si>
    <t>Dated on 05.01.2022, done at 571 hours vide tracking no.: CC-00804456</t>
  </si>
  <si>
    <t>Air filter changed 571 Hours</t>
  </si>
  <si>
    <t>Dated on 23.03.2023, done at 1285 hours vide tracking no.: CC-00874524</t>
  </si>
  <si>
    <t>Dated on 13.06.2023, done at 1600 hours vide tracking no.: CC-00948489</t>
  </si>
  <si>
    <t>Dated on 29.06.2023, done at 2145 hours vide tracking no.: CC-00964174</t>
  </si>
  <si>
    <t>Dated 09.11.2023, Dode at 3100 hours vide tracking no.: CC-01091820</t>
  </si>
  <si>
    <t>Dated 09.02.2024, Dode at 3879 hours vide tracking no.: CC-01180297</t>
  </si>
  <si>
    <t>CC-011080297</t>
  </si>
  <si>
    <t>CC-01091820</t>
  </si>
  <si>
    <t>Shifted to MP (ADARSH TYRES &amp; TREAD PVT LTD - CU1A00704)</t>
  </si>
  <si>
    <t>BVDD121453</t>
  </si>
  <si>
    <t>GALVANO INDIA PVT LTD</t>
  </si>
  <si>
    <t>info@galvanoindia.com</t>
  </si>
  <si>
    <t>Dated on 27.04.2023, done at 549 hours vide tracking no.: CC-00906584</t>
  </si>
  <si>
    <t>Air filter changed 549 Hours</t>
  </si>
  <si>
    <t>CC-00906584</t>
  </si>
  <si>
    <t>CC-00715887</t>
  </si>
  <si>
    <t>BVJD162972</t>
  </si>
  <si>
    <t>Dated on 20.10.2022, done at 502 hours vide tracking no.: CC-00738615</t>
  </si>
  <si>
    <t>Air filter changed 502 Hours</t>
  </si>
  <si>
    <t>Dated on 26.12.2022, done at 1095 hours vide tracking no.: CC-00795690</t>
  </si>
  <si>
    <t>Dated on 02.02.2023, done at 1505 hours vide tracking no.: CC-00828633</t>
  </si>
  <si>
    <t>Dated on 08.04.2023, done at 2093 hours vide tracking no.: CC-00888354</t>
  </si>
  <si>
    <t>Dated on 27.10.2023, done at 2650 hours vide tracking no.: CC-01079628</t>
  </si>
  <si>
    <t>Dated on 30.120.2023, done at 3323 hours vide tracking no.: CC-01142313</t>
  </si>
  <si>
    <t>CC-01909356</t>
  </si>
  <si>
    <t>BSKD200409</t>
  </si>
  <si>
    <t>CC-01990442</t>
  </si>
  <si>
    <t>BTKD200646</t>
  </si>
  <si>
    <t>AJAY KUMAR SINGH</t>
  </si>
  <si>
    <t>ajaysingh@gmail.com</t>
  </si>
  <si>
    <t>CC-00971372</t>
  </si>
  <si>
    <t>CC-00731132</t>
  </si>
  <si>
    <t>BTJD162038</t>
  </si>
  <si>
    <t>DUNDURIA MINES DEPOSIT PVT. LTD.</t>
  </si>
  <si>
    <t>19.01.2021, Changed air filter, oil filter &amp; oil</t>
  </si>
  <si>
    <t xml:space="preserve">Air filter change 526 hours </t>
  </si>
  <si>
    <t>CC-01983804</t>
  </si>
  <si>
    <t>BSFD161795</t>
  </si>
  <si>
    <t>CC-01140810</t>
  </si>
  <si>
    <t>BSHD120746</t>
  </si>
  <si>
    <t>THRIVENI SAINIK MINING PRIVATE LIMITED,</t>
  </si>
  <si>
    <t>bdy@thriveni.com; sksg@thriveni.com</t>
  </si>
  <si>
    <t>CC-00829886</t>
  </si>
  <si>
    <t>BSHD120743</t>
  </si>
  <si>
    <t>CC-00640065</t>
  </si>
  <si>
    <t>BSHD120752</t>
  </si>
  <si>
    <t>ATULYA CONSTRUCTION PVT. LTD.</t>
  </si>
  <si>
    <t>vinod.ssingh@adityabirla.com</t>
  </si>
  <si>
    <t>CC-00615855</t>
  </si>
  <si>
    <t>BMJD200014</t>
  </si>
  <si>
    <t>PG600-200</t>
  </si>
  <si>
    <t>G.M BOREWELL</t>
  </si>
  <si>
    <t>CC-01140852</t>
  </si>
  <si>
    <t>CC-00595139</t>
  </si>
  <si>
    <t>BSCD161691</t>
  </si>
  <si>
    <t xml:space="preserve">14.08.2021,Replaced oil, oil filter, air filter, separator &amp; actuator kit. </t>
  </si>
  <si>
    <t>Chamge air filter, oil filter and oil on dated 10.01.2023</t>
  </si>
  <si>
    <t>CC-01695504</t>
  </si>
  <si>
    <t>BQKD200046</t>
  </si>
  <si>
    <t>AS DRILLING</t>
  </si>
  <si>
    <t>CC-01184668</t>
  </si>
  <si>
    <t>BTDD162190</t>
  </si>
  <si>
    <t>VPR MINING INFRA</t>
  </si>
  <si>
    <t>ramesh.gollapally@vprmininginfra.com</t>
  </si>
  <si>
    <t>CC-01907117</t>
  </si>
  <si>
    <t>BNFD210070</t>
  </si>
  <si>
    <t>PG 1100S-300 NTA855 MODIFIED</t>
  </si>
  <si>
    <t>CC-00781286</t>
  </si>
  <si>
    <t>BNJD120010</t>
  </si>
  <si>
    <t>LARSEN &amp; TOUBRO LTD</t>
  </si>
  <si>
    <t>CC-01116058</t>
  </si>
  <si>
    <t>BSBD120631</t>
  </si>
  <si>
    <t>skanand@intecc.com</t>
  </si>
  <si>
    <t>CC-01958532</t>
  </si>
  <si>
    <t>GOHD160077</t>
  </si>
  <si>
    <t>RVNL</t>
  </si>
  <si>
    <t>BSJD120492</t>
  </si>
  <si>
    <t>SHINGH ENTERPRISE</t>
  </si>
  <si>
    <t>rakeshkumar088@gmail.com</t>
  </si>
  <si>
    <t>CC-01189510</t>
  </si>
  <si>
    <t>BPGD220036</t>
  </si>
  <si>
    <t>PG 1100S - 300 DOMESTIC-SPIN</t>
  </si>
  <si>
    <t>CC-01958514</t>
  </si>
  <si>
    <t>BVGD121497</t>
  </si>
  <si>
    <t>PG 330-150</t>
  </si>
  <si>
    <t>SHAILENDRA KUMAR SINGH</t>
  </si>
  <si>
    <t>Dated on 04.04.2023, done at 595 hours vide tracking no.: CC-00884364</t>
  </si>
  <si>
    <t>Air filter changed 595 Hours</t>
  </si>
  <si>
    <t>Dated on 07.12.2023, done at 1247 hours vide tracking no.: CC-01117710</t>
  </si>
  <si>
    <t>Dated on 21.02.2024, done at 1505 hours vide tracking no.: CC-01192624</t>
  </si>
  <si>
    <t>Dated on 16.08..2024, done at 2390 hours vide tracking no.: CC-01374112</t>
  </si>
  <si>
    <t>Dated on 08.07.2025, done at 4330 hours vide tracking no.: CC-01721199</t>
  </si>
  <si>
    <t>CC-01721199</t>
  </si>
  <si>
    <t>CC-01192624</t>
  </si>
  <si>
    <t>BUKD162500</t>
  </si>
  <si>
    <t>Rajesh.bosa@vprmininginfra.com; Stores.magadh@vprmininginfra.com</t>
  </si>
  <si>
    <t>Dated on 14.06.2021, done at 448 hours vide tracking no.: CC-00383582</t>
  </si>
  <si>
    <t>Air filter changed 448 Hours</t>
  </si>
  <si>
    <t>Dated on 05.10.2021, done at 1295 hours vide tracking no.: CC-00383582</t>
  </si>
  <si>
    <t>Dated on 10.11.2021, done at 1499 hours vide tracking no.: CC-00473197</t>
  </si>
  <si>
    <t>Dated on 05.01.2022, done at 1938 hours vide tracking no.: CC-00511629</t>
  </si>
  <si>
    <t>Dated on 12.03.2022, done at 2510 hours vide tracking no.: CC-00559852</t>
  </si>
  <si>
    <t>Dated on 22.12.2022, done at 3298 hours vide tracking no.: CC-00792761</t>
  </si>
  <si>
    <t>CC-01907119</t>
  </si>
  <si>
    <t>CC-01842030</t>
  </si>
  <si>
    <t>BUKD162491</t>
  </si>
  <si>
    <t>Rajesh.bosa@vprmininginfra.com Stores.magadh@vprmininginfra.com</t>
  </si>
  <si>
    <t>Dated on 10.06.2021, done at 597 hours vide tracking no.: CC-00382104</t>
  </si>
  <si>
    <t>Air filter changed 597 Hours</t>
  </si>
  <si>
    <t>Dated on 04.09.2021, done at 1223 hours vide tracking no.: CC-00431596</t>
  </si>
  <si>
    <t>Dated on 10.11.2021, done at 1654 hours vide tracking no.: CC-00473161</t>
  </si>
  <si>
    <t>Dated on 05.01.2022, done at 2060 hours vide tracking no.: CC-00511612</t>
  </si>
  <si>
    <t>Dated on 12.03.2022, done at 2465 hours vide tracking no.: CC-00559848</t>
  </si>
  <si>
    <t>Dated on 22.12.2022, done at 3480 hours vide tracking no.: CC-00792756</t>
  </si>
  <si>
    <t>Dated on 13.02.2024, done at 4233 hours vide tracking no.: CC-01184700</t>
  </si>
  <si>
    <t>CC-01907121</t>
  </si>
  <si>
    <t>BVCD163165</t>
  </si>
  <si>
    <t>PG 550-200</t>
  </si>
  <si>
    <t>Dated on 09.01.2023, done at 480 hours vide tracking no.: CC-00807247</t>
  </si>
  <si>
    <t>Air filter changed 480 Hours</t>
  </si>
  <si>
    <t>Dated on 22.02.2023, done at 1000 hours vide tracking no.: CC-00847671</t>
  </si>
  <si>
    <t>Dated on 20.04.2023, done at 2009 hours vide tracking no.: CC-00900147</t>
  </si>
  <si>
    <t>Dated on 12.05.2023, done at 2197 hours vide tracking no.: CC-00920568</t>
  </si>
  <si>
    <t>Dated on 20.06.2023, done at 2700 hours vide tracking no.: CC-00955124</t>
  </si>
  <si>
    <t>Dated on 09.08.2023, done at 3500 hours vide tracking no.: CC-01004657</t>
  </si>
  <si>
    <t>Dated on 21.09.2023, done at 3961 hours vide tracking no.: CC-01044416</t>
  </si>
  <si>
    <t>Dated on 10.11.2023, done at 4455 hours vide tracking no.: CC-01093279</t>
  </si>
  <si>
    <t>CC-01948493</t>
  </si>
  <si>
    <t>CC-01877526</t>
  </si>
  <si>
    <t>BUAD230823</t>
  </si>
  <si>
    <t>somanath@likhitha.in</t>
  </si>
  <si>
    <t>Dated on 26.02.2022, done at 491 hours vide tracking no.: CC-00549751</t>
  </si>
  <si>
    <t>Air filter changed 491 Hours</t>
  </si>
  <si>
    <t>BUIL152973</t>
  </si>
  <si>
    <t>BVHD163366</t>
  </si>
  <si>
    <t>RNT TRANSPORT</t>
  </si>
  <si>
    <t>transportrnt@gmail.com</t>
  </si>
  <si>
    <t>Dated on 04.04.2023, done at 543 hours vide tracking no.: CC-00884842</t>
  </si>
  <si>
    <t>Air filter changed 543 Hours</t>
  </si>
  <si>
    <t>Dated 02.05.2024, done at 1458 hours vide tracking no.: CC-01263639</t>
  </si>
  <si>
    <t>CC-01983810</t>
  </si>
  <si>
    <t>BVHD163336</t>
  </si>
  <si>
    <t>HARDROCK INFRA</t>
  </si>
  <si>
    <t>Dated on 24.03.2023, done at 586 hours vide tracking no.: CC-00875476</t>
  </si>
  <si>
    <t>Air filter changed 586 Hours</t>
  </si>
  <si>
    <t>Dated on 13.07.2022, done at 1000 hours vide tracking no.: CC-00978227</t>
  </si>
  <si>
    <t>Dated on 06.01.2024, done at 1550 hours vide tracking no.: CC-01149234</t>
  </si>
  <si>
    <t>CC-01983817</t>
  </si>
  <si>
    <t>BVGD163308</t>
  </si>
  <si>
    <t>PG 575-225 (SKID)</t>
  </si>
  <si>
    <t>PG 575</t>
  </si>
  <si>
    <t>Dated on 31.01.2023, done at 559 hours vide tracking no.: CC-00827018</t>
  </si>
  <si>
    <t>Air filter changed 559 Hours</t>
  </si>
  <si>
    <t>Dated on 24.04.2023, done at 1016 hours vide tracking no.: CC-00903525</t>
  </si>
  <si>
    <t>Dated on 11.09.2023, done at 1518 hours vide tracking no.: CC-01035291</t>
  </si>
  <si>
    <t>Dated on 15.12.2023, done at 2000 hours vide tracking no.: CC-01124975</t>
  </si>
  <si>
    <t>Dated on 21.02.2024, done at 2618 hours vide tracking no.: CC-01193146</t>
  </si>
  <si>
    <t>Dated on 31.05.2024, done at 3170 hours vide tracking no.: CC-01293476</t>
  </si>
  <si>
    <t>Dated 11.11.2024, Dode at 3712 hours vide tracking no.: CC-01461501</t>
  </si>
  <si>
    <t>CC-01461501</t>
  </si>
  <si>
    <t>CC-01293476</t>
  </si>
  <si>
    <t>Shifted to WB</t>
  </si>
  <si>
    <t>BVJD162958</t>
  </si>
  <si>
    <t>M K DRILLS</t>
  </si>
  <si>
    <t>Dated on 30.07.2022, done at 538 hours vide tracking no.: CC-00669205</t>
  </si>
  <si>
    <t>Air filter changed 538 Hours</t>
  </si>
  <si>
    <t>Dated on 28.12.2022, done at 1062 hours vide tracking no.: CC-00797909</t>
  </si>
  <si>
    <t>Dated on 10.04.2023, done at 1526 hours vide tracking no.: CC-00890081</t>
  </si>
  <si>
    <t>Dated on 29.07.2023, done at 2047 hours vide tracking no.: CC-00993859</t>
  </si>
  <si>
    <t>Dated on 20.12.2023, done at 2660 hours vide tracking no.: CC-01131105</t>
  </si>
  <si>
    <t>CC-01131105</t>
  </si>
  <si>
    <t>CC-00890081</t>
  </si>
  <si>
    <t>BUGD162825</t>
  </si>
  <si>
    <t>PG 550-185</t>
  </si>
  <si>
    <t>SANJAY AJMERA</t>
  </si>
  <si>
    <t>BUID220795</t>
  </si>
  <si>
    <t>KESHAV GENERATORS PRIVATE LIMITED</t>
  </si>
  <si>
    <t>Dated on 20.09.2022, done at 582 hours vide tracking no.: CC-00712183</t>
  </si>
  <si>
    <t>Air filter changed 582 Hours</t>
  </si>
  <si>
    <t>Dated 18.05.2023, done at 1531 hours vide tracking no.: CC-00925753</t>
  </si>
  <si>
    <t>CC-01224065</t>
  </si>
  <si>
    <t>TIME EQUIPMENT PRIVATE LIMITED - CRT000006</t>
  </si>
  <si>
    <t>BVLD163043</t>
  </si>
  <si>
    <t>VIJAY KUMAR SAHU INFRASTRUCTURE PVT. LTD</t>
  </si>
  <si>
    <t>Dated on 03.04.2023, done at 520 hours vide tracking no.: CC-00882725</t>
  </si>
  <si>
    <t>Air filter changed 520 Hours</t>
  </si>
  <si>
    <t>Dated on 13.05.2024, done at 1695 hours vide tracking no.: CC-01274797</t>
  </si>
  <si>
    <t>CC-01274797</t>
  </si>
  <si>
    <t>BVHD163374</t>
  </si>
  <si>
    <t>Dated on 14.03.2023, done at 526 hours vide tracking no.: CC-00865742</t>
  </si>
  <si>
    <t>Air filter changed 526 Hours</t>
  </si>
  <si>
    <t>Dated on 12.05.2023, done at 1118 hours vide tracking no.: CC-00920166</t>
  </si>
  <si>
    <t>Dated on 14.07.2023, done at 1533 hours vide tracking no.: CC-00979797</t>
  </si>
  <si>
    <t>Dated on 09.10.2023, done at 2837hours vide tracking no.: CC-01065443</t>
  </si>
  <si>
    <t>Dated on 23.01.2024, done at 3345 hours vide tracking no.: CC-01164515</t>
  </si>
  <si>
    <t>CC-01983820</t>
  </si>
  <si>
    <t>BVID121546</t>
  </si>
  <si>
    <t>CC-00807767</t>
  </si>
  <si>
    <t>BVHD163393</t>
  </si>
  <si>
    <t>Dated on 04.04.2023, done at 515 hours vide tracking no.: CC-00884796</t>
  </si>
  <si>
    <t>Air filter changed 515 Hours</t>
  </si>
  <si>
    <t>Dated on 27.05.2023, done at 1031 hours vide tracking no.: CC-00934500</t>
  </si>
  <si>
    <t>Dated on 20.10.2023, done at 1597 hours vide tracking no.: CC-01075228</t>
  </si>
  <si>
    <t>Dated on 15.01.2024, done at 2095 hours vide tracking no.: CC-01156332</t>
  </si>
  <si>
    <t>CC-01412665</t>
  </si>
  <si>
    <t>Shifted to Sonepur Bazari, WB ( MITRA COMMERCIAL &amp; AUTOMOBILES LLP.)</t>
  </si>
  <si>
    <t>BVID121539</t>
  </si>
  <si>
    <t>CC-00823940</t>
  </si>
  <si>
    <t>BVIL161081</t>
  </si>
  <si>
    <t>M/S PRANAV KUMAR SINGH</t>
  </si>
  <si>
    <t>Dated on 27.07.2023, done at 570 hours vide tracking no.: CC-00991844</t>
  </si>
  <si>
    <t>Air filter changed 570 Hours</t>
  </si>
  <si>
    <t>CC-00991844</t>
  </si>
  <si>
    <t>CC-00822243</t>
  </si>
  <si>
    <t>BVID121541</t>
  </si>
  <si>
    <t>CC-00808957</t>
  </si>
  <si>
    <t>BVID121544</t>
  </si>
  <si>
    <t>CC-00807775</t>
  </si>
  <si>
    <t>BVID163429</t>
  </si>
  <si>
    <t>THRIVENI ENGICONS PVT LTD</t>
  </si>
  <si>
    <t>CC-00834049</t>
  </si>
  <si>
    <t>BVIL161084</t>
  </si>
  <si>
    <t>PG 90E</t>
  </si>
  <si>
    <t>JYOTI CONSTRUCTION AND ENGINEERING PRIVATE LIMITED</t>
  </si>
  <si>
    <t>Dated on 22.07.2023, done at 582 hours vide tracking no.: CC-00986794</t>
  </si>
  <si>
    <t>Dated on 22.12.2023, done at 1259 hours vide tracking no.: CC-01134050</t>
  </si>
  <si>
    <t>Dated on 18.03.2024, done at 1854 hours vide tracking no.: CC-01220124</t>
  </si>
  <si>
    <t>CC-01338320</t>
  </si>
  <si>
    <t>CC-01220124</t>
  </si>
  <si>
    <t>BQGD220072</t>
  </si>
  <si>
    <t>PG 600-100 WITH 6BTA ENGINE</t>
  </si>
  <si>
    <t>JRL ENGICONS PRIVATE LIMITED</t>
  </si>
  <si>
    <t>CC-01211055</t>
  </si>
  <si>
    <t>CC-00997952</t>
  </si>
  <si>
    <t>CC-00857357</t>
  </si>
  <si>
    <t>BVID163401</t>
  </si>
  <si>
    <t>Dated on 20.04.2023, done at 516 hours vide tracking no.: CC-00900114</t>
  </si>
  <si>
    <t>Air filter changed 516 Hours</t>
  </si>
  <si>
    <t>Dated on 22.05.2023, done at 990 hours vide tracking no.: CC-00929312</t>
  </si>
  <si>
    <t>Dated on 30.06.2023, done at 1502 hours vide tracking no.: CC-00995573</t>
  </si>
  <si>
    <t>Dated on 17.08.2023, done at 2131 hours vide tracking no.: CC-01012189</t>
  </si>
  <si>
    <t>Dated on 29.11.2023, done at 2808 hours vide tracking no.: CC-01108849</t>
  </si>
  <si>
    <t>BWJL153355</t>
  </si>
  <si>
    <t xml:space="preserve">TUSHAR KANT TRIPATHY	</t>
  </si>
  <si>
    <t>Dated on 14.07.2023, done at 465 hours vide tracking no.: CC-00979415</t>
  </si>
  <si>
    <t>Air filter changed 465 Hours</t>
  </si>
  <si>
    <t>Dated on 06.01.2024, done at 1925 hours vide tracking no.: CC-01149179</t>
  </si>
  <si>
    <t>CC-01149179</t>
  </si>
  <si>
    <t>CC-00848806</t>
  </si>
  <si>
    <t>BVFD163261</t>
  </si>
  <si>
    <t>Dated on 11.09.2023, done at 513 hours vide tracking no.: CC-01035285</t>
  </si>
  <si>
    <t>Dated on 23.11.2023, done at 1000 hours vide tracking no.: CC-01102750</t>
  </si>
  <si>
    <t>Dated on 01.02.2024, done at 1530 hours vide tracking no.: CC-01172348</t>
  </si>
  <si>
    <t>Dated on 21.05.2024, done at 2049 hours vide tracking no.: CC-01282802</t>
  </si>
  <si>
    <t>CC-01374104</t>
  </si>
  <si>
    <t>CC-01172348</t>
  </si>
  <si>
    <t>BVJD162966</t>
  </si>
  <si>
    <t>BUID220797</t>
  </si>
  <si>
    <t>Dated on 13.04.2023, done at 510 hours vide tracking no.: CC-00893328</t>
  </si>
  <si>
    <t>Air filter changed 510 Hours</t>
  </si>
  <si>
    <t>Dated on 17.02.2024, done at 971 hours vide tracking no.: CC-01188979</t>
  </si>
  <si>
    <t>Dated on 25.05.2024, done at 1778 hours vide tracking no.: CC-01285619</t>
  </si>
  <si>
    <t>CC-01285619</t>
  </si>
  <si>
    <t>BUDD162740</t>
  </si>
  <si>
    <t>PG 450-150</t>
  </si>
  <si>
    <t>Dated on 06.06.2023, done at 2103 hours vide tracking no.: CC-00942096</t>
  </si>
  <si>
    <t>Dated on11.10.2023, done at 2556 hours vide tracking no.: CC-01065207</t>
  </si>
  <si>
    <t>Dated on13.02.2024, done at 3543 hours vide tracking no.: CC-01184687</t>
  </si>
  <si>
    <t>CC-01184687</t>
  </si>
  <si>
    <t>CC-01065207</t>
  </si>
  <si>
    <t>BWKD163512</t>
  </si>
  <si>
    <t>Dated on 21.11.2023, done at 550 hours vide tracking no.: CC-01100090</t>
  </si>
  <si>
    <t>Air filter changed 550 Hours</t>
  </si>
  <si>
    <t>Dated on 16.01.2024, done at 1186 hours vide tracking no.: CC-01157877</t>
  </si>
  <si>
    <t>CC-01842847</t>
  </si>
  <si>
    <t>BWKD163543</t>
  </si>
  <si>
    <t>Dated on 14.09.2023, done at 503 hours vide tracking no.: CC-01035285</t>
  </si>
  <si>
    <t>Air filter changed 503 Hours</t>
  </si>
  <si>
    <t>Dated on 21.11.2023, done at 1022 hours vide tracking no.: CC-01100895</t>
  </si>
  <si>
    <t>Dated on 19.01.2024, done at 1550 hours vide tracking no.: CC-01161537</t>
  </si>
  <si>
    <t>Dated on 28.02.2024, done at 2059 hours vide tracking no.: CC-01200986</t>
  </si>
  <si>
    <t>BVED163244</t>
  </si>
  <si>
    <t>Dated on 23.05.2023, done at 579 hours vide tracking no.: CC-00929966</t>
  </si>
  <si>
    <t>Air filter changed 579 Hours</t>
  </si>
  <si>
    <t>Dated on 24.06.2023, done at 1030 hours vide tracking no.: CC-00960524</t>
  </si>
  <si>
    <t>Dated on 22.08.2023, done at 1510 hours vide tracking no.: CC-01017017</t>
  </si>
  <si>
    <t>Dated on 06.10.2023, done at 1964 hours vide tracking no.: CC-01059664</t>
  </si>
  <si>
    <t>Dated on 09.12.2023, done at 2500 hours vide tracking no.: CC-01119777</t>
  </si>
  <si>
    <t>Dated on 01.02.2024, done at 3070 hours vide tracking no.: CC-01172358</t>
  </si>
  <si>
    <t>Dated on 22.05.2024, done at 3555 hours vide tracking no.: CC-0128373</t>
  </si>
  <si>
    <t>CC-01842959</t>
  </si>
  <si>
    <t>BWJL153357</t>
  </si>
  <si>
    <t>BOKARO STEEL LIMITED</t>
  </si>
  <si>
    <t>CC-00905762</t>
  </si>
  <si>
    <t>BWAD163680</t>
  </si>
  <si>
    <t>Lakecity infraprojects Pvt. Ltd.</t>
  </si>
  <si>
    <t>rroy@lakecityinfra.com</t>
  </si>
  <si>
    <t>Dated on 27.02.2024, done at 499 hours vide tracking no.: CC-01198783</t>
  </si>
  <si>
    <t>Air filter changed 499 Hours</t>
  </si>
  <si>
    <t>Dated on 29.05.2024, done at 1220 hours vide tracking no.: CC-01290945</t>
  </si>
  <si>
    <t>Dated 24.10.2024, done at 1973 hours vide tracking no.: CC-01446268</t>
  </si>
  <si>
    <t>CC-01983823</t>
  </si>
  <si>
    <t>BWLD163608</t>
  </si>
  <si>
    <t>PRAMOD ENTERPRISES</t>
  </si>
  <si>
    <t>Dated on 23.11.2023, done at 505 hours vide tracking no.: CC-01101715</t>
  </si>
  <si>
    <t>Air filter changed 505 Hours</t>
  </si>
  <si>
    <t>Dated 14.02.2024, done at 850 hours vide tracking no.: CC-01185698</t>
  </si>
  <si>
    <t>CC-01582635</t>
  </si>
  <si>
    <t>CC-01330830</t>
  </si>
  <si>
    <t>BWAD163648</t>
  </si>
  <si>
    <t>Dated on 24.06.2023, done at 509 hours vide tracking no.: CC-00960489</t>
  </si>
  <si>
    <t>Air filter changed 509 Hours</t>
  </si>
  <si>
    <t>Dated on 02.08.2023, done at 1054 hours vide tracking no.: CC-00997203</t>
  </si>
  <si>
    <t>Dated on 15.09.2023, done at 1537 hours vide tracking no.: CC-01039487</t>
  </si>
  <si>
    <t>Dated on 23.12.2023, done at 2500 hours vide tracking no.: CC-01135271</t>
  </si>
  <si>
    <t>CC-01979683</t>
  </si>
  <si>
    <t>CC-01838579</t>
  </si>
  <si>
    <t>BWKD163559</t>
  </si>
  <si>
    <t>SUDERSHAN BOREWELL</t>
  </si>
  <si>
    <t>Dated on 04.07.2023, done at 505 hours vide tracking no.: CC-00972504</t>
  </si>
  <si>
    <t>CC-01030043</t>
  </si>
  <si>
    <t>CC-00905977</t>
  </si>
  <si>
    <t>BWBD163707</t>
  </si>
  <si>
    <t>ELITE INFRASTRUCTURE</t>
  </si>
  <si>
    <t>Dated on 04.09.2023, done at 681 hours vide tracking no.: CC-01028397</t>
  </si>
  <si>
    <t>Air filter changed 681 Hours</t>
  </si>
  <si>
    <t>CC-01028397</t>
  </si>
  <si>
    <t>CC-00938500</t>
  </si>
  <si>
    <t>BWJD163499</t>
  </si>
  <si>
    <t>THE MULTI TRADE CORPORATION</t>
  </si>
  <si>
    <t>Dated on 29.03.2024, done at 590 hours vide tracking no.: CC-01230925</t>
  </si>
  <si>
    <t>Air filter changed 590 Hours</t>
  </si>
  <si>
    <t>CC-01230925</t>
  </si>
  <si>
    <t>CC-00942492</t>
  </si>
  <si>
    <t>Spurious Parts</t>
  </si>
  <si>
    <t>BWBD163738</t>
  </si>
  <si>
    <t>YUGARTH INFRA LLP</t>
  </si>
  <si>
    <t>Dated 29.03.2024, done at 1086 hours vide tracking no.: CC-01230660</t>
  </si>
  <si>
    <t>CC-01230660</t>
  </si>
  <si>
    <t>CC-00945978</t>
  </si>
  <si>
    <t>BWAD163674</t>
  </si>
  <si>
    <t>V.R.R ENTERPRISES</t>
  </si>
  <si>
    <t>Dated on 18.09.2023, done at 490 hours vide tracking no.: CC-01041189</t>
  </si>
  <si>
    <t>Air filter changed 490 Hours</t>
  </si>
  <si>
    <t>Dated 15.11.2023, done at 855 hours vide tracking no.: CC-01095545</t>
  </si>
  <si>
    <t>Dated on 04.03.2024, done at 1497 hours vide tracking no.: CC-01205425</t>
  </si>
  <si>
    <t>CC-01837635</t>
  </si>
  <si>
    <t>BWLD163586</t>
  </si>
  <si>
    <t>BROSHAN INDIA PVT LTD</t>
  </si>
  <si>
    <t>Dated on 10.10.2023, done at 557 hours vide tracking no.: CC-01064075</t>
  </si>
  <si>
    <t>Air filter changed 557 Hours</t>
  </si>
  <si>
    <t>Dated 15.12.2023, done at 1050 hours vide tracking no.: CC-01126364</t>
  </si>
  <si>
    <t>Dated on 01.02.2024, done at 1521 hours vide tracking no.: CC-01172353</t>
  </si>
  <si>
    <t>Dated on 29.03.2024, done at 2070 hours vide tracking no.: CC-01230753</t>
  </si>
  <si>
    <t>Dated on 20.05.2024, done at 2575 hours vide tracking no.: CC-01287310</t>
  </si>
  <si>
    <t>CC-01393405</t>
  </si>
  <si>
    <t>CC-01385589</t>
  </si>
  <si>
    <t>DTFD120926</t>
  </si>
  <si>
    <t>PG 430-100</t>
  </si>
  <si>
    <t>PG 430</t>
  </si>
  <si>
    <t>GALA PROTEK LLP</t>
  </si>
  <si>
    <t>Dated on 30.10.2023, done at 1717 hours vide tracking no.: CC-01081271</t>
  </si>
  <si>
    <t>CC-01081271</t>
  </si>
  <si>
    <t>CC-00922278</t>
  </si>
  <si>
    <t>ATID121006</t>
  </si>
  <si>
    <t>PG 330</t>
  </si>
  <si>
    <t>Dated on 30.10.2023, done at 1821 hours vide tracking no.: CC-01081761</t>
  </si>
  <si>
    <t>CC-01081761</t>
  </si>
  <si>
    <t>CC-00922275</t>
  </si>
  <si>
    <t>BWBD163701</t>
  </si>
  <si>
    <t>PRAKASH RAM C/O MAA BOREWELL</t>
  </si>
  <si>
    <t>Dated on 28.08.2023, done at 594 hours vide tracking no.: CC-01022699</t>
  </si>
  <si>
    <t>Air filter changed 594 Hours</t>
  </si>
  <si>
    <t>Dated 12.12.2023, done at 1331 hours vide tracking no.: CC-01122589</t>
  </si>
  <si>
    <t>CC-01908667</t>
  </si>
  <si>
    <t>BRLD120253</t>
  </si>
  <si>
    <t>RAM BARAN SINGH</t>
  </si>
  <si>
    <t>CC-00867062</t>
  </si>
  <si>
    <t>CC-00965481</t>
  </si>
  <si>
    <t>BRGD161212</t>
  </si>
  <si>
    <t>SRI SAI DRILLING COMPANY</t>
  </si>
  <si>
    <t>CC-01116088</t>
  </si>
  <si>
    <t>CC-00948500</t>
  </si>
  <si>
    <t>BQCD160098</t>
  </si>
  <si>
    <t>CC-01843308</t>
  </si>
  <si>
    <t>BRCD160939</t>
  </si>
  <si>
    <t>SRI LAKSHMI DRILLERS</t>
  </si>
  <si>
    <t>CC-01023540</t>
  </si>
  <si>
    <t>BRJD160605</t>
  </si>
  <si>
    <t>SHILPA MINING WORKS</t>
  </si>
  <si>
    <t>CC-01115208</t>
  </si>
  <si>
    <t>BWCD121690</t>
  </si>
  <si>
    <t>TARA ENGINEERING</t>
  </si>
  <si>
    <t>Dated on 02.04.2024, done at 682 hours vide tracking no.: CC-01233981</t>
  </si>
  <si>
    <t>Air filter changed 682 Hours</t>
  </si>
  <si>
    <t>Dated on 18.04.2025, done at 1450 hours vide tracking no.: CC-01631532</t>
  </si>
  <si>
    <t>CC-01631532</t>
  </si>
  <si>
    <t>CC-00995819</t>
  </si>
  <si>
    <t>BWLD231345</t>
  </si>
  <si>
    <t>Dated on 09.11.2023, done at 575 hours vide tracking no.: CC-01092320</t>
  </si>
  <si>
    <t>Air filter changed 575 Hours</t>
  </si>
  <si>
    <t>Dated 09.02.2024, done at 1270 hours vide tracking no.: CC-01179850</t>
  </si>
  <si>
    <t>Dated 25.12.2024, done at 2658 hours vide tracking no.: CC-01508550</t>
  </si>
  <si>
    <t>Dated 23.01.2025, done at 3500 hours vide tracking no.: CC-01538697</t>
  </si>
  <si>
    <t>Dated 23.04.2025, done at 4176 hours vide tracking no.: CC-01636214</t>
  </si>
  <si>
    <t>CC-01636214</t>
  </si>
  <si>
    <t>CC-01545794</t>
  </si>
  <si>
    <t>BWLD231334</t>
  </si>
  <si>
    <t>Dated on 09.11.2023, done at 548 hours vide tracking no.: CC-01092307</t>
  </si>
  <si>
    <t>Air filter changed 548 Hours</t>
  </si>
  <si>
    <t>Dated 13.05.2024, done at 1310 hours vide tracking no.: CC-01274837</t>
  </si>
  <si>
    <t>Dated 25.12.2024, done at 2681 hours vide tracking no.: CC-01508002</t>
  </si>
  <si>
    <t>Dated 21.01.2025, done at 3056 hours vide tracking no.: CC-01536795</t>
  </si>
  <si>
    <t>Dated 22.04.2025, done at 3793 hours vide tracking no.: CC-01635614</t>
  </si>
  <si>
    <t>CC-01990672</t>
  </si>
  <si>
    <t>BWKD163522</t>
  </si>
  <si>
    <t>BADA BAZAR DHARGRAM</t>
  </si>
  <si>
    <t>Dated on 16.06.2023, done at 640 hours vide tracking no.: CC-00950664</t>
  </si>
  <si>
    <t>Air filter changed 640 Hours</t>
  </si>
  <si>
    <t>CC-00950664</t>
  </si>
  <si>
    <t>CC-00845419</t>
  </si>
  <si>
    <t>BWAD163687</t>
  </si>
  <si>
    <t>Dated on 14.08.2023, done at 504 hours vide tracking no.: CC-01009587</t>
  </si>
  <si>
    <t>Air filter changed 504 Hours</t>
  </si>
  <si>
    <t>Dated on 06.09.2023, done at 950 hours vide tracking no.: CC-01026919</t>
  </si>
  <si>
    <t>Dated on 03.11.2023, done at 1558 hours vide tracking no.: CC-01086535</t>
  </si>
  <si>
    <t>Dated on 12.02.2024, done at 2500 hours vide tracking no.: CC-01183093</t>
  </si>
  <si>
    <t>Dated on 21.05.2024, done at 3500 hours vide tracking no.: CC-01283382</t>
  </si>
  <si>
    <t>Dated on 27.09.2024, done at 4250 hours vide tracking no.: CC-01418631</t>
  </si>
  <si>
    <t>Dated on 26.10.2024, done at 4850 hours vide tracking no.: CC-01448684</t>
  </si>
  <si>
    <t>Dated on 31.01.2025, done at 6000 hours vide tracking no.: CC-01548130</t>
  </si>
  <si>
    <t>Dated on 04.04.2025, done at 6665 hours vide tracking no.: CC-01616965</t>
  </si>
  <si>
    <t>CC-01986151</t>
  </si>
  <si>
    <t>BUED162762</t>
  </si>
  <si>
    <t>Dated on 11.01.2022, done at 579 hours vide tracking no.: CC-00515830</t>
  </si>
  <si>
    <t>Dated on 04.03.2022, done at 1030 hours vide tracking no.: CC-00553401</t>
  </si>
  <si>
    <t>Dated on 06.08.2022, done at 1700 hours vide tracking no.: CC-00675118</t>
  </si>
  <si>
    <t>Dated on 03.02.2023, done at 2569 hours vide tracking no.: CC-00829478</t>
  </si>
  <si>
    <t>Dated on 23.08.2023, done at 3608 hours vide tracking no.: CC-01017956</t>
  </si>
  <si>
    <t>CC-01017956</t>
  </si>
  <si>
    <t>CC-00675118</t>
  </si>
  <si>
    <t>BVHD163388</t>
  </si>
  <si>
    <t>KEERATHA ENTERPRISES</t>
  </si>
  <si>
    <t>Dated on 20.03.2023, done at 440 hours vide tracking no.: CC-00871573</t>
  </si>
  <si>
    <t>Air filter changed 440 Hours</t>
  </si>
  <si>
    <t>Dated 15.11.2023, done at 1089 hours vide tracking no.: CC-01095467</t>
  </si>
  <si>
    <t>Dated 15.03.2024, done at 1870 hours vide tracking no.: CC-01218372</t>
  </si>
  <si>
    <t>CC-01514328</t>
  </si>
  <si>
    <t>CC-01423989</t>
  </si>
  <si>
    <t>BWLS031915</t>
  </si>
  <si>
    <t>PG 22EN-7 V2 TROLLEY MOUNTED</t>
  </si>
  <si>
    <t>PG 22</t>
  </si>
  <si>
    <t>LARSEN &amp; TURBO LIMITED</t>
  </si>
  <si>
    <t>CC-01058027</t>
  </si>
  <si>
    <t>BWFD121755</t>
  </si>
  <si>
    <t>GREYHUND ENGINEERING INDIA PVT. LTD.</t>
  </si>
  <si>
    <t>Dated on 15.03.2024, done at 613 hours vide tracking no.: CC-01217949</t>
  </si>
  <si>
    <t>Air filter changed 613 Hours</t>
  </si>
  <si>
    <t>CC-01908673</t>
  </si>
  <si>
    <t>BWGD163984</t>
  </si>
  <si>
    <t>JHARKHAND SANITARY</t>
  </si>
  <si>
    <t>Dated on 13.03.2023, done at 621 hours vide tracking no.: CC-01215464</t>
  </si>
  <si>
    <t>Air filter changed 621 Hours</t>
  </si>
  <si>
    <t>Dated on 08.06.2024, done at 1073 hours vide tracking no.: CC-01301684</t>
  </si>
  <si>
    <t>CC-01907589</t>
  </si>
  <si>
    <t>BWED163893</t>
  </si>
  <si>
    <t>Dated on 04.04.2024, done at 519 hours vide tracking no.: CC-01236547</t>
  </si>
  <si>
    <t>Air filter changed 519 Hours</t>
  </si>
  <si>
    <t>Dated on 01.06.2024, done at 1148 hours vide tracking no.: CC-01294223</t>
  </si>
  <si>
    <t>CC-01970684</t>
  </si>
  <si>
    <t>BWJD163475</t>
  </si>
  <si>
    <t>UNIVERSAL MINING</t>
  </si>
  <si>
    <t>Dated on 24.11.2023, done at 499 hours vide tracking no.: CC-01103645</t>
  </si>
  <si>
    <t>Dated on 03.02.2024, done at 1213 hours vide tracking no.: CC-01175157</t>
  </si>
  <si>
    <t>Dated on 16.03.2024, done at 1630 hours vide tracking no.: CC-01217031</t>
  </si>
  <si>
    <t>CC-01217031</t>
  </si>
  <si>
    <t>CC-00841216</t>
  </si>
  <si>
    <t>Shifted to Odisha (INDIA TRADING CO. - CR1000004)</t>
  </si>
  <si>
    <t>BWFD163940</t>
  </si>
  <si>
    <t>MAA AMBEY BOREWELL</t>
  </si>
  <si>
    <t>Dated on 06.02.2024, done at 403 hours vide tracking no.: CC-01177861</t>
  </si>
  <si>
    <t>Air filter changed 403 Hours</t>
  </si>
  <si>
    <t>Dated on 01.05.2024, done at 1123 hours vide tracking no.: CC-01263284</t>
  </si>
  <si>
    <t>Dated on 31.05.2024, done at 1450 hours vide tracking no.: CC-01292751</t>
  </si>
  <si>
    <t>Dated 28.03.2025, done at 2913 hours vide tracking no.: CC-01609685</t>
  </si>
  <si>
    <t>Dated 2810.2025, done at 2790 hours vide tracking no.: CC-01847168</t>
  </si>
  <si>
    <t>CC-01977450</t>
  </si>
  <si>
    <t>CC-01609685</t>
  </si>
  <si>
    <t>CC-01847168</t>
  </si>
  <si>
    <t>BWFD163937</t>
  </si>
  <si>
    <t>SHIV SHAKTHI BOREWELL</t>
  </si>
  <si>
    <t>Dated on 17.12.2024, done at 624 hours vide tracking no.: CC-01500750</t>
  </si>
  <si>
    <t>Air filter changed 624 Hours</t>
  </si>
  <si>
    <t>Dated on 16.06.2025, done at 1081 hours vide tracking no.: CC-01698239</t>
  </si>
  <si>
    <t>CC-01903588</t>
  </si>
  <si>
    <t>BWFD163947</t>
  </si>
  <si>
    <t>SAE IMPERIAL HOLDINGS</t>
  </si>
  <si>
    <t>saeimperial@gmail.com</t>
  </si>
  <si>
    <t>Dated on 27.01.2024, done at 521 hours vide tracking no.: CC-01168312</t>
  </si>
  <si>
    <t>Air filter changed 521 Hours</t>
  </si>
  <si>
    <t>Dated 16.04.2024, done at 1006 hours vide tracking no.: CC-01248718</t>
  </si>
  <si>
    <t>CC-01351461</t>
  </si>
  <si>
    <t>BWHD164015</t>
  </si>
  <si>
    <t>Dated on 07.03.2024, done at 530 hours vide tracking no.: CC-01208070</t>
  </si>
  <si>
    <t>Air filter changed 530 Hours</t>
  </si>
  <si>
    <t>Dated 28.07.2024, done at 1244 hours vide tracking no.: CC-01354648</t>
  </si>
  <si>
    <t>Dated 05.12.2024, done at 2500 hours vide tracking no.: CC-01487478</t>
  </si>
  <si>
    <t>Dated 10.04.2025, done at 3100 hours vide tracking no.: CC-01622777</t>
  </si>
  <si>
    <t>Dated 29.07.2025, done at 3850 hours vide tracking no.: CC-01744691</t>
  </si>
  <si>
    <t>Dated 15.11.2025, done at 4250 hours vide tracking no.: CC-01868482</t>
  </si>
  <si>
    <t>CC-01910512</t>
  </si>
  <si>
    <t>CC-01868482</t>
  </si>
  <si>
    <t>CC-01622777</t>
  </si>
  <si>
    <t>BWFD163931</t>
  </si>
  <si>
    <t>ALISHA SANITARY AND HARDWARE</t>
  </si>
  <si>
    <t>kayumborewell@23gmail.com</t>
  </si>
  <si>
    <t>Dated on 06.05.2024, done at 522 hours vide tracking no.: CC-01267534</t>
  </si>
  <si>
    <t>Air filter changed 522 Hours</t>
  </si>
  <si>
    <t>CC-01477129</t>
  </si>
  <si>
    <t>CC-01125250</t>
  </si>
  <si>
    <t>BWHD121813</t>
  </si>
  <si>
    <t>navneetgns@gmail.com</t>
  </si>
  <si>
    <t>Dated on 17.01.2024, done at 156 hours vide tracking no.: CC-01159334</t>
  </si>
  <si>
    <t>Air filter changed 156 Hours</t>
  </si>
  <si>
    <t>Dated on 20.05.2024, done at 830 hours vide tracking no.: CC-01282377</t>
  </si>
  <si>
    <t>Dated on 07.02.2024, done at 1556 hours vide tracking no.: CC-01489574</t>
  </si>
  <si>
    <t>Dated on 07.08.2025, done at 2348 hours vide tracking no.: CC-01757525</t>
  </si>
  <si>
    <t>CC-01757525</t>
  </si>
  <si>
    <t>CC-01489574</t>
  </si>
  <si>
    <t>BWJD163502</t>
  </si>
  <si>
    <t>Dated on 07.11.2023, done at 500 hours vide tracking no.: CC-01090174</t>
  </si>
  <si>
    <t>Air filter changed 500 Hours</t>
  </si>
  <si>
    <t>CC-01958521</t>
  </si>
  <si>
    <t>BWHD164004</t>
  </si>
  <si>
    <t>JMD RIG SERVICE</t>
  </si>
  <si>
    <t>Dated on 08.04.2024, done at 501 hours vide tracking no.: CC-01240123</t>
  </si>
  <si>
    <t>Air filter changed 501 Hours</t>
  </si>
  <si>
    <t>Dated on 21.06.2024, done at 1230 hours vide tracking no.: CC-01314429</t>
  </si>
  <si>
    <t>Dated on 04.07.2024, done at 1536 hours vide tracking no.: CC-01328662</t>
  </si>
  <si>
    <t>Dated on 05.10.2024, done at 1992 hours vide tracking no.: CC-01426777</t>
  </si>
  <si>
    <t>Dated on 25.01.2025, done at 2547 hours vide tracking no.: CC-01541984</t>
  </si>
  <si>
    <t>Dated on 03.04.2025, done at 3005 hours vide tracking no.: CC-01615224</t>
  </si>
  <si>
    <t>Dated on 04.09.2025, done at 3750 hours vide tracking no.: CC-01787104</t>
  </si>
  <si>
    <t>CC-01787104</t>
  </si>
  <si>
    <t>CC-01615224</t>
  </si>
  <si>
    <t>BWHD163996</t>
  </si>
  <si>
    <t>Dated on 03.04.2024, done at 540 hours vide tracking no.: CC-01235833</t>
  </si>
  <si>
    <t>Air filter changed 540 Hours</t>
  </si>
  <si>
    <t>Dated on 03.06.2024, done at 1220 hours vide tracking no.: CC-01296068</t>
  </si>
  <si>
    <t>Dated on 01.10.2024, done at 1765 hours vide tracking no.: CC-01422539</t>
  </si>
  <si>
    <t>Dated on 27.01.2025, done at 2474 hours vide tracking no.: CC-01551520</t>
  </si>
  <si>
    <t>Dated on 02.04.2025, done at 3074 hours vide tracking no.: CC-01614833</t>
  </si>
  <si>
    <t>CC-01973017</t>
  </si>
  <si>
    <t>BWHD231642</t>
  </si>
  <si>
    <t>Dated on 21.02.2024, done at 538 hours vide tracking no.: CC-01192538</t>
  </si>
  <si>
    <t>Dated on 29.05.2024, done at 1350 hours vide tracking no.: CC-01290915</t>
  </si>
  <si>
    <t>Dated on 16.07.2024, done at 11896 hours vide tracking no.: CC-01342702</t>
  </si>
  <si>
    <t>Dated on 04.10.2024, done at 2540 hours vide tracking no.: CC-01422642</t>
  </si>
  <si>
    <t>Dated on 16.11.2024, done at 3077 hours vide tracking no.: CC-01467433</t>
  </si>
  <si>
    <t>Dated on 13.03.2025, done at 4110 hours vide tracking no.: CC-01594771</t>
  </si>
  <si>
    <t>Dated on 16.06.2025, done at 4933 hours vide tracking no.: CC-01696493</t>
  </si>
  <si>
    <t>CC-01695493</t>
  </si>
  <si>
    <t>BSKD161499</t>
  </si>
  <si>
    <t>SHREENATH INFRA SOLUTIONS PVT. LTD.</t>
  </si>
  <si>
    <t>CC-01141879</t>
  </si>
  <si>
    <t>BVBD121409</t>
  </si>
  <si>
    <t>PG 300-100</t>
  </si>
  <si>
    <t>A R ENTERPRISES</t>
  </si>
  <si>
    <t>NOT DONE</t>
  </si>
  <si>
    <t>Dated 29.12.2023, done at 1139 hours vide tracking no.: CC-01127257</t>
  </si>
  <si>
    <t>CC-01127257</t>
  </si>
  <si>
    <t>Shifted to Sonbhadta, UP</t>
  </si>
  <si>
    <t>BVGD163301</t>
  </si>
  <si>
    <t>MAA TARA ENTERPRISES</t>
  </si>
  <si>
    <t>Dated on 10.04.2023, done at 586 hours vide tracking no.: CC-00890361</t>
  </si>
  <si>
    <t>Dated 22.08.2023, done at 1100 hours vide tracking no.: CC-01016750</t>
  </si>
  <si>
    <t>CC-01356298</t>
  </si>
  <si>
    <t>BWID220970</t>
  </si>
  <si>
    <t>BUILDING SOLUTION</t>
  </si>
  <si>
    <t>Dated on 15.03.2024, done at 908 hours vide tracking no.: CC-01218431</t>
  </si>
  <si>
    <t>Air filter changed 908 Hours</t>
  </si>
  <si>
    <t>CC-01218431</t>
  </si>
  <si>
    <t>CC-01147213</t>
  </si>
  <si>
    <t>BWLD163588</t>
  </si>
  <si>
    <t>EVERGREEN ENTERPRISES</t>
  </si>
  <si>
    <t>Dated on 16.01.2024, done at 106 hours vide tracking no.: CC-01157966</t>
  </si>
  <si>
    <t>Air filter changed 106 Hours</t>
  </si>
  <si>
    <t>CC-01374254</t>
  </si>
  <si>
    <t>CC-00877856</t>
  </si>
  <si>
    <t>CC-01157966</t>
  </si>
  <si>
    <t>BWID164086</t>
  </si>
  <si>
    <t>Dated on 07.04.2025, done at 531 hours vide tracking no.: CC-01619830</t>
  </si>
  <si>
    <t>Air filter changed 531 Hours</t>
  </si>
  <si>
    <t>CC-01938502</t>
  </si>
  <si>
    <t>BWED163889</t>
  </si>
  <si>
    <t>Dated on06.03.2024, done at 482 hours vide tracking no.: CC-01208084</t>
  </si>
  <si>
    <t>Air filter changed 482 Hours</t>
  </si>
  <si>
    <t>Dated on 21.05.2024, done at 1020 hours vide tracking no.: CC-01283079</t>
  </si>
  <si>
    <t>Dated on 22.06.2024, done at 1453 hours vide tracking no.: CC-01316969</t>
  </si>
  <si>
    <t>Dated on 20.07.2024, done at 1746 hours vide tracking no.: CC-01347498</t>
  </si>
  <si>
    <t>Dated on 23.11.2024, done at 2294 hours vide tracking no.: CC-01479743</t>
  </si>
  <si>
    <t>Dated on 03.02.2025, done at 2850 hours vide tracking no.: CC-01550190</t>
  </si>
  <si>
    <t>Dated on 29.04.2025, done at 3536 hours vide tracking no.: CC-01643585</t>
  </si>
  <si>
    <t>Dated on 01.07.2025, done at 4172 hours vide tracking no.: CC-01712798</t>
  </si>
  <si>
    <t>Dated on 05.09.2025, done at 4564 hours vide tracking no.: CC-01789099</t>
  </si>
  <si>
    <t>CC-01947838</t>
  </si>
  <si>
    <t>BWID164054</t>
  </si>
  <si>
    <t>SWASTIK BOREWELL</t>
  </si>
  <si>
    <t>Dated on 02.04.2024, done at 512 hours vide tracking no.: CC-01233975</t>
  </si>
  <si>
    <t>Air filter changed 512 Hours</t>
  </si>
  <si>
    <t>Dated on 10.06.2024, done at 1101 hours vide tracking no.: CC-01302921</t>
  </si>
  <si>
    <t>Dated on 12.11.2024, done at 1640 hours vide tracking no.: CC-01463120</t>
  </si>
  <si>
    <t>CC-01653605</t>
  </si>
  <si>
    <t>BWID164091</t>
  </si>
  <si>
    <t>MD FAIYAJ KHAN</t>
  </si>
  <si>
    <t>CC-01908680</t>
  </si>
  <si>
    <t>BXJD231745</t>
  </si>
  <si>
    <t>CC-01190192</t>
  </si>
  <si>
    <t>BWID164076</t>
  </si>
  <si>
    <t>BLA PROJECTS PVT LTD</t>
  </si>
  <si>
    <t>Dated on 22.11.2024, done at 582 hours vide tracking no.: CC-01473075</t>
  </si>
  <si>
    <t>CC-01695945</t>
  </si>
  <si>
    <t>CC-01183055</t>
  </si>
  <si>
    <t>BXJD121872</t>
  </si>
  <si>
    <t>NIVAS YADAV - N K Electronics</t>
  </si>
  <si>
    <t>CC-01908691</t>
  </si>
  <si>
    <t>BXJD164143</t>
  </si>
  <si>
    <t>KRITH ENTERPRISES</t>
  </si>
  <si>
    <t>Dated on 24.06.2024, done at 523 hours vide tracking no.: CC-01318053</t>
  </si>
  <si>
    <t>Air filter changed 523 Hours</t>
  </si>
  <si>
    <t>CC-01566677</t>
  </si>
  <si>
    <t>CC-01446191</t>
  </si>
  <si>
    <t>CC-01193728</t>
  </si>
  <si>
    <t>BXKD121881</t>
  </si>
  <si>
    <t>DAEWOO L&amp;T JV</t>
  </si>
  <si>
    <t>CC-01190562</t>
  </si>
  <si>
    <t>BXKD231814</t>
  </si>
  <si>
    <t>CC-01195659</t>
  </si>
  <si>
    <t>BXJD164130</t>
  </si>
  <si>
    <t>Dated on 25.04.2024, done at 445 hours vide tracking no.: CC-01257160</t>
  </si>
  <si>
    <t>Air filter changed 445 Hours</t>
  </si>
  <si>
    <t>CC-01446196</t>
  </si>
  <si>
    <t>CC-01257160</t>
  </si>
  <si>
    <t>CC-01198054</t>
  </si>
  <si>
    <t>BXJD164132</t>
  </si>
  <si>
    <t>ANKIT VERMA</t>
  </si>
  <si>
    <t>Dated on 02.05.2024, done at 503 hours vide tracking no.: CC-01263836</t>
  </si>
  <si>
    <t>CC-01513972</t>
  </si>
  <si>
    <t>CC-0XXXXXXX</t>
  </si>
  <si>
    <t>BWCD163769</t>
  </si>
  <si>
    <t>MARUTI INFRA &amp; MINING</t>
  </si>
  <si>
    <t>Dated on 09.11.2023, done at 400 hours vide tracking no.: CC-01091700</t>
  </si>
  <si>
    <t>Air filter changed 400 Hours</t>
  </si>
  <si>
    <t>CC-01091700</t>
  </si>
  <si>
    <t>CC-00998300</t>
  </si>
  <si>
    <t>BWHD164039</t>
  </si>
  <si>
    <t>PRASHANT BOREWELL</t>
  </si>
  <si>
    <t>Dated on 20.05.2024, done at 520 hours vide tracking no.: CC-01282515</t>
  </si>
  <si>
    <t>Dated on 13.05.2025, done at 1586 hours vide tracking no.: CC-01657461</t>
  </si>
  <si>
    <t>Dated on 19.02.2026, done at 3300 hours vide tracking no.: CC-01983710</t>
  </si>
  <si>
    <t>CC-01983710</t>
  </si>
  <si>
    <t>BXKD231832</t>
  </si>
  <si>
    <t>CC-01203284</t>
  </si>
  <si>
    <t>BXJD121862</t>
  </si>
  <si>
    <t>SHIV SHAKTI ENTERPRISES</t>
  </si>
  <si>
    <t>No Service Dues</t>
  </si>
  <si>
    <t>CC-01205194</t>
  </si>
  <si>
    <t>BXKD164174</t>
  </si>
  <si>
    <t>SHIV ENTERPRISES</t>
  </si>
  <si>
    <t>Dated on 07.08.2024, done at 541 hours vide tracking no.: CC-01365548</t>
  </si>
  <si>
    <t>Air filter changed 541 Hours</t>
  </si>
  <si>
    <t>Dated on 03.03.2025, done at 1001 hours vide tracking no.: CC-01582389</t>
  </si>
  <si>
    <t>Dated on 19.02.2026, done at 1750 hours vide tracking no.: CC-01984204</t>
  </si>
  <si>
    <t>CC-01984204</t>
  </si>
  <si>
    <t>BXKS035317</t>
  </si>
  <si>
    <t>L&amp;T LTD. CONSTRUCTION</t>
  </si>
  <si>
    <t>CC-01210919</t>
  </si>
  <si>
    <t>BWID164096</t>
  </si>
  <si>
    <t>SUBHAM BOREWELL</t>
  </si>
  <si>
    <t>Dated on 15.05.2024, done at 496 hours vide tracking no.: CC-01281181</t>
  </si>
  <si>
    <t>Air filter changed 496 Hours</t>
  </si>
  <si>
    <t>Dated on 17.09.2024, done at 1206 hours vide tracking no.: CC-01405600</t>
  </si>
  <si>
    <t>Dated on 26.12.2024, done at 1600 hours vide tracking no.: CC-01508818</t>
  </si>
  <si>
    <t>Dated on 08.03.2025, done at 2006 hours vide tracking no.: CC-01588865</t>
  </si>
  <si>
    <t>Dated on 05.06.2025, done at 2421 hours vide tracking no.: CC-01683627</t>
  </si>
  <si>
    <t>Dated on 06.02.2026, done at 3386 hours vide tracking no.: CC-01967264</t>
  </si>
  <si>
    <t>CC-01967264</t>
  </si>
  <si>
    <t>CC-01683627</t>
  </si>
  <si>
    <t>BXKD164166</t>
  </si>
  <si>
    <t>MD MUBARAK HUSSAIN</t>
  </si>
  <si>
    <t>Dated on 30.05.2024, done at 510 hours vide tracking no.: CC-01292698</t>
  </si>
  <si>
    <t>CC-01292698</t>
  </si>
  <si>
    <t>CC-01218792</t>
  </si>
  <si>
    <t>BXKD164191</t>
  </si>
  <si>
    <t>Dated on 03.06.2024, done at 501 hours vide tracking no.: CC-01296094</t>
  </si>
  <si>
    <t>Dated on 09.08.2024, done at 1010 hours vide tracking no.: CC-01368368</t>
  </si>
  <si>
    <t>Dated on 07.10.2024, done at 1501 hours vide tracking no.: CC-01428431</t>
  </si>
  <si>
    <t>Dated on 22.11.2024, done at 2010 hours vide tracking no.: CC-01472569</t>
  </si>
  <si>
    <t>Dated on 18.02.2025, done at 2997 hours vide tracking no.: CC-01567486</t>
  </si>
  <si>
    <t>Dated on 17.04.2025, done at 3511 hours vide tracking no.: CC-011630030</t>
  </si>
  <si>
    <t>Dated on 02.09.2025, done at 4066 hours vide tracking no.: CC-01785253</t>
  </si>
  <si>
    <t>Dated on 06.10.2025, done at 4500 hours vide tracking no.: CC-01821895</t>
  </si>
  <si>
    <t>Dated on 11.11.2025, done at 5029 hours vide tracking no.: CC-0185174</t>
  </si>
  <si>
    <t>CC-01865174</t>
  </si>
  <si>
    <t>CC-01821895</t>
  </si>
  <si>
    <t>BXKD121877</t>
  </si>
  <si>
    <t>MITHLESH MAHALDAR</t>
  </si>
  <si>
    <t>BHAGALPUR</t>
  </si>
  <si>
    <t>CC-01234645</t>
  </si>
  <si>
    <t>BXKD164199</t>
  </si>
  <si>
    <t>ADITYA KUMAR</t>
  </si>
  <si>
    <t>Dated on 06.06.2024, done at 434 hours vide tracking no.: CC-01298548</t>
  </si>
  <si>
    <t>Air filter changed 434 Hours</t>
  </si>
  <si>
    <t>CC-01298548</t>
  </si>
  <si>
    <t>CC-01236773</t>
  </si>
  <si>
    <t>BXLL153793</t>
  </si>
  <si>
    <t>RANJEET KUMAR SINGH</t>
  </si>
  <si>
    <t>CC-01506290</t>
  </si>
  <si>
    <t>CC-01238447</t>
  </si>
  <si>
    <t>BWED163867</t>
  </si>
  <si>
    <t>PG 575S-225 (SKID)</t>
  </si>
  <si>
    <t>INDU EARTH MOVERS</t>
  </si>
  <si>
    <t>Dated on 01.05.2024, done at 641 hours vide tracking no.: CC-01262877</t>
  </si>
  <si>
    <t>Air filter changed 641 Hours</t>
  </si>
  <si>
    <t>CC-01451506</t>
  </si>
  <si>
    <t>CC-01044743</t>
  </si>
  <si>
    <t>BWED163871</t>
  </si>
  <si>
    <t>Dated on 01.05.2024, done at 686 hours vide tracking no.: CC-01262880</t>
  </si>
  <si>
    <t>Air filter changed 686 Hours</t>
  </si>
  <si>
    <t>CC-01451512</t>
  </si>
  <si>
    <t>CC-01062268</t>
  </si>
  <si>
    <t>BVED163229</t>
  </si>
  <si>
    <t>Dated on 17.06.2023, done at 500 hours vide tracking no.: CC-00953410</t>
  </si>
  <si>
    <t>Dated on 01-05.2024, done at 1127 hours vide tracking no.: CC-01262883</t>
  </si>
  <si>
    <t>CC-01262883</t>
  </si>
  <si>
    <t>CC-00883844</t>
  </si>
  <si>
    <t>BXKD164206</t>
  </si>
  <si>
    <t>Dated on 04.07.2024, done at 555 hours vide tracking no.: CC-01329645</t>
  </si>
  <si>
    <t>Air filter changed 555 Hours</t>
  </si>
  <si>
    <t>Dated on 24.09.2024, done at 1078 hours vide tracking no.: CC-01414318</t>
  </si>
  <si>
    <t>Dated on 02.12.2024, done at 1550 hours vide tracking no.: CC-01483977</t>
  </si>
  <si>
    <t>Dated on13.02.2025, done at 2216 hours vide tracking no.: CC-01562760</t>
  </si>
  <si>
    <t>Dated on29.03.2025, done at 2642 hours vide tracking no.: CC-01611465</t>
  </si>
  <si>
    <t>Dated on13.05.2025, done at 3186 hours vide tracking no.: CC-01657820</t>
  </si>
  <si>
    <t>Dated on 06.08.2025, done at 3700 hours vide tracking no.: CC-01756543</t>
  </si>
  <si>
    <t>Dated on 26.09.2025, done at 4606 hours vide tracking no.: CC-01813619</t>
  </si>
  <si>
    <t>Dated on 18.11.2025, done at 5160 hours vide tracking no.: CC-01873241</t>
  </si>
  <si>
    <t>Dated on 20.01.2026, done at 5574 hours vide tracking no.: CC-01946388</t>
  </si>
  <si>
    <t>BXAD164288</t>
  </si>
  <si>
    <t>Dated on 20.11.2024, done at 733 hours vide tracking no.: CC-01471341</t>
  </si>
  <si>
    <t>Air filter changed 733 Hours</t>
  </si>
  <si>
    <t>Dated 10.10.2025, done at 1923 hours vide tracking no.: CC-01830792</t>
  </si>
  <si>
    <t>CC-01830792</t>
  </si>
  <si>
    <t>CC-01254393</t>
  </si>
  <si>
    <t>BXKD164219</t>
  </si>
  <si>
    <t>Jharkhand Borewells</t>
  </si>
  <si>
    <t>Dated on 10.07.2024, done at 476 hours vide tracking no.: CC-01336007</t>
  </si>
  <si>
    <t>CC-01336007</t>
  </si>
  <si>
    <t>CC-01257093</t>
  </si>
  <si>
    <t>BXLD164263</t>
  </si>
  <si>
    <t>ARS ENTERPRISES</t>
  </si>
  <si>
    <t>Dated on 10.07.2024, done at 598 hours vide tracking no.: CC-01335739</t>
  </si>
  <si>
    <t>Air filter changed 598 Hours</t>
  </si>
  <si>
    <t>Dated on 04.04.2025, done at 1581 hours vide tracking no.: CC-01616960</t>
  </si>
  <si>
    <t>CC-01616960</t>
  </si>
  <si>
    <t>BWID231682</t>
  </si>
  <si>
    <t>Dated on 14.11.2024, done at 494 hours vide tracking no.: CC-01465213</t>
  </si>
  <si>
    <t>Air filter changed 494 Hours</t>
  </si>
  <si>
    <t>CC-01465213</t>
  </si>
  <si>
    <t>CC-01273945</t>
  </si>
  <si>
    <t>BXAD121939</t>
  </si>
  <si>
    <t>BRBA INFRATECH LLP</t>
  </si>
  <si>
    <t xml:space="preserve">0
</t>
  </si>
  <si>
    <t>CC-01491306</t>
  </si>
  <si>
    <t>CC-01274916</t>
  </si>
  <si>
    <t>BXLD121932</t>
  </si>
  <si>
    <t>CC-01491303</t>
  </si>
  <si>
    <t>CC-01274921</t>
  </si>
  <si>
    <t>DNM SERVICES - CUSD00038</t>
  </si>
  <si>
    <t>BWID164050</t>
  </si>
  <si>
    <t>RAVINDRA KUMAR SINGH</t>
  </si>
  <si>
    <t>Dated on 20.06.2024, done at 570 hours vide tracking no.: CC-01314350</t>
  </si>
  <si>
    <t>Dated on 14.11.2024, done at 1230 hours vide tracking no.: CC-01463206</t>
  </si>
  <si>
    <t>Dated on 29.01.2025, done at 1615 hours vide tracking no.: CC-01544136</t>
  </si>
  <si>
    <t>Dated on 04.04.2025, done at 2054 hours vide tracking no.: CC-01616957</t>
  </si>
  <si>
    <t>CC-01888460</t>
  </si>
  <si>
    <t>CC-01544136</t>
  </si>
  <si>
    <t>BXJD231746</t>
  </si>
  <si>
    <t>Dated on 10.06.2024, done at 544 hours vide tracking no.: CC-01302909</t>
  </si>
  <si>
    <t>Dated 10.01.2025, done at 1270 hours vide tracking no.: CC-01533639</t>
  </si>
  <si>
    <t>Dated 28.03.2025, done at 1510 hours vide tracking no.: CC-01608343</t>
  </si>
  <si>
    <t>Dated 29.07.2025, done at 2031 hours vide tracking no.: CC-01746262</t>
  </si>
  <si>
    <t>CC-01977692</t>
  </si>
  <si>
    <t>CC-01608343</t>
  </si>
  <si>
    <t>BKID210531</t>
  </si>
  <si>
    <t>GANPATI BOREWELL ,</t>
  </si>
  <si>
    <t>Dated on 17.05.2024, done at 3041 hours vide tracking no.: CC-01278460</t>
  </si>
  <si>
    <t>CC-01278460</t>
  </si>
  <si>
    <t>BWHD163991</t>
  </si>
  <si>
    <t>Vicky Borewell</t>
  </si>
  <si>
    <t>Dated on 13.05.2024, done at 523 hours vide tracking no.: CC-01274904</t>
  </si>
  <si>
    <t>CC-01622176</t>
  </si>
  <si>
    <t>CC-01095317</t>
  </si>
  <si>
    <t>BQDD160190</t>
  </si>
  <si>
    <t>PG 650-100</t>
  </si>
  <si>
    <t>PG 650</t>
  </si>
  <si>
    <t>SINTU KUMAR YADAV</t>
  </si>
  <si>
    <t>CC-01257116</t>
  </si>
  <si>
    <t>TIME EQUIPMENTS PRIVATE LIMITED</t>
  </si>
  <si>
    <t>BWHD164003</t>
  </si>
  <si>
    <t>BHARTI BOREWELL</t>
  </si>
  <si>
    <t>Dated on 15.04.2024, done at 502 hours vide tracking no.: CC-01247561</t>
  </si>
  <si>
    <t>Dated on 25.11.2024, done at 1188 hours vide tracking no.: CC-01475536</t>
  </si>
  <si>
    <t>CC-01475536</t>
  </si>
  <si>
    <t>CC-01095316</t>
  </si>
  <si>
    <t>BVGD163297</t>
  </si>
  <si>
    <t>Dated on 24.01.2024, done at 740 hours vide tracking no.: CC-01165939</t>
  </si>
  <si>
    <t>Air filter changed 740 Hours</t>
  </si>
  <si>
    <t>Dated on 22.07.2024, done at 1511 hours vide tracking no.: CC-01348254</t>
  </si>
  <si>
    <t>CC-01983828</t>
  </si>
  <si>
    <t>BUCD121176</t>
  </si>
  <si>
    <t>Keshav Generators Private Limited</t>
  </si>
  <si>
    <t>Dated on 17.03.2023, done at 1043 hours vide tracking no.: CC-00869536</t>
  </si>
  <si>
    <t>Dated on 05.12.2023, done at 1650 hours vide tracking no.: CC-01115211</t>
  </si>
  <si>
    <t>CC-01115211</t>
  </si>
  <si>
    <t>SCRAPPED</t>
  </si>
  <si>
    <t>BRBD160859</t>
  </si>
  <si>
    <t>CC-01875500</t>
  </si>
  <si>
    <t>BVED163240</t>
  </si>
  <si>
    <t>CC-01695513</t>
  </si>
  <si>
    <t>BRID161341</t>
  </si>
  <si>
    <t>NANDGOPAL PRASAD</t>
  </si>
  <si>
    <t>CC-01004154</t>
  </si>
  <si>
    <t>BMKD120057</t>
  </si>
  <si>
    <t>PG 400 - 100 2W HINO</t>
  </si>
  <si>
    <t>KUSHAL DIVERSIFIED  RESOURCES LLP</t>
  </si>
  <si>
    <t>CC-00906024</t>
  </si>
  <si>
    <t>BXAD231954</t>
  </si>
  <si>
    <t>CC-01300518</t>
  </si>
  <si>
    <t>BXLD164272</t>
  </si>
  <si>
    <t>PG 575-225</t>
  </si>
  <si>
    <t>G S ENTERPRISES</t>
  </si>
  <si>
    <t>CC-01916006</t>
  </si>
  <si>
    <t>BXCD164415</t>
  </si>
  <si>
    <t>RAJ TRAVELLS</t>
  </si>
  <si>
    <t>CC-01314522</t>
  </si>
  <si>
    <t>BXAD231957</t>
  </si>
  <si>
    <t>PG 1250</t>
  </si>
  <si>
    <t>VEERAPAN SPRS</t>
  </si>
  <si>
    <t>CC-01683637</t>
  </si>
  <si>
    <t>CC-01323700</t>
  </si>
  <si>
    <t>BXAD164301</t>
  </si>
  <si>
    <t>AJAY KUMAR MAHTO</t>
  </si>
  <si>
    <t>Dated on 25.11.2024, done at 614 hours vide tracking no.: CC-01475414</t>
  </si>
  <si>
    <t>Air filter changed 614 Hours</t>
  </si>
  <si>
    <t>CC-01333049</t>
  </si>
  <si>
    <t>Qtotation shared but not purchases (OW unit)</t>
  </si>
  <si>
    <t>BXKD220975</t>
  </si>
  <si>
    <t>SUKRITI PEBBLES</t>
  </si>
  <si>
    <t>CC-01335836</t>
  </si>
  <si>
    <t>BXCD164464</t>
  </si>
  <si>
    <t>CC-01339436</t>
  </si>
  <si>
    <t>BXCD220990</t>
  </si>
  <si>
    <t>LAMBENT INFRA</t>
  </si>
  <si>
    <t>CC-01343540</t>
  </si>
  <si>
    <t>BXCD164420</t>
  </si>
  <si>
    <t>Dated on 18.11.2024, done at 494 hours vide tracking no.: CC-01469186</t>
  </si>
  <si>
    <t>Dated 27.02.2025, done at 1701 hours vide tracking no.: CC-01578900</t>
  </si>
  <si>
    <t>Dated 06.06.2025, done at 2032 hours vide tracking no.: CC-01687876</t>
  </si>
  <si>
    <t>Dated 23.10.2025, done at 2346 hours vide tracking no.: CC-01842147</t>
  </si>
  <si>
    <t>CC-01842147</t>
  </si>
  <si>
    <t>CC-01687876</t>
  </si>
  <si>
    <t>BWID231694</t>
  </si>
  <si>
    <t>INDU EARTHMOVERS</t>
  </si>
  <si>
    <t>Dated on 14.11.2024, done at 536 hours vide tracking no.: CC-01465724</t>
  </si>
  <si>
    <t>Air filter changed 536 Hours</t>
  </si>
  <si>
    <t>CC-01641055</t>
  </si>
  <si>
    <t>BWHD164019</t>
  </si>
  <si>
    <t>RAHUL BOREWELL</t>
  </si>
  <si>
    <t>CC-01348628</t>
  </si>
  <si>
    <t>BVHD163331</t>
  </si>
  <si>
    <t>Dated on 28.05.2024, done at 513 hours vide tracking no.: CC-01290048</t>
  </si>
  <si>
    <t>Dated on 01.08.2024, done at 998 hours vide tracking no.: CC-01358657</t>
  </si>
  <si>
    <t>CC-01687929</t>
  </si>
  <si>
    <t>BXBD164357</t>
  </si>
  <si>
    <t>CC-01664938</t>
  </si>
  <si>
    <t>BXCD164422</t>
  </si>
  <si>
    <t>Dated on 04.04.2025, done at 578hours vide tracking no.: CC-01616982</t>
  </si>
  <si>
    <t>Air filter changed 578 Hours</t>
  </si>
  <si>
    <t>Dated 10.10.2025, done at 1208 hours vide tracking no.: CC-01839722</t>
  </si>
  <si>
    <t>Dated 02.02.2026, done at 1613 hours vide tracking no.: CC-01961365</t>
  </si>
  <si>
    <t>CC-01961365</t>
  </si>
  <si>
    <t>CC-01839722</t>
  </si>
  <si>
    <t>CC-01372754</t>
  </si>
  <si>
    <t>BXBD164381</t>
  </si>
  <si>
    <t>Dated on 05.11.2024, done at 500 hours vide tracking no.: CC-01455733</t>
  </si>
  <si>
    <t>CC-01455733</t>
  </si>
  <si>
    <t>CC-01374627</t>
  </si>
  <si>
    <t>BXED122035</t>
  </si>
  <si>
    <t>CC-01904996</t>
  </si>
  <si>
    <t>CC-01682928</t>
  </si>
  <si>
    <t>BSAD161563</t>
  </si>
  <si>
    <t>M/S JITENDER MISTRI</t>
  </si>
  <si>
    <t>BWCD163785</t>
  </si>
  <si>
    <t>R.S. BOREWELL</t>
  </si>
  <si>
    <t>Dated on 20.05.2024, done at 628 hours vide tracking no.: CC-01282403</t>
  </si>
  <si>
    <t>CC-01282403</t>
  </si>
  <si>
    <t>CC-01046651</t>
  </si>
  <si>
    <t>Shifted to Odisha (SAMBEET EQUIPMENTS PRIVATE LIMITED - CRS000229)</t>
  </si>
  <si>
    <t>BXAD164317</t>
  </si>
  <si>
    <t>VANKATESHWARA ASSOCIATES</t>
  </si>
  <si>
    <t>Dated on 24.10.2024, done at 571 hours vide tracking no.: CC-01446185</t>
  </si>
  <si>
    <t>Dated 17.12.2024, done at 1270 hours vide tracking no.: CC-01500015</t>
  </si>
  <si>
    <t>Dated 13.01.2025, done at 1620 hours vide tracking no.: CC-01528594</t>
  </si>
  <si>
    <t>Dated 12.02.2025, done at 1940 hours vide tracking no.: CC-01560842</t>
  </si>
  <si>
    <t>Dated 15.07.2025, done at 2771 hours vide tracking no.: CC-01730115</t>
  </si>
  <si>
    <t>Dated 11.10.2025, done at 3096 hours vide tracking no.: CC-01831491</t>
  </si>
  <si>
    <t>CC-01831491</t>
  </si>
  <si>
    <t>BXCD164399</t>
  </si>
  <si>
    <t>Yogesh Mining &amp; Contractor</t>
  </si>
  <si>
    <t>Dated on 09.11.2024, done at 590 hours vide tracking no.: CC-01460040</t>
  </si>
  <si>
    <t>Dated on 07.05.2025, done at 1200 hours vide tracking no.: CC-01649896</t>
  </si>
  <si>
    <t>Dated on 02.07.2025, done at 1493 hours vide tracking no.: CC-01713509</t>
  </si>
  <si>
    <t>Dated on 23.09.2025, done at 2000 hours vide tracking no.: CC-01809038</t>
  </si>
  <si>
    <t>CC-01713509</t>
  </si>
  <si>
    <t>BXFD164599</t>
  </si>
  <si>
    <t>BHUNESHWAR SHARMA CONSTRUCTION</t>
  </si>
  <si>
    <t>CC-01642390</t>
  </si>
  <si>
    <t>CC-01436851</t>
  </si>
  <si>
    <t>BXKD164160</t>
  </si>
  <si>
    <t>YOGESH KUMAR DANGI,</t>
  </si>
  <si>
    <t>Dated on 20.06.2024, done at 741 hours vide tracking no.: CC-01314306</t>
  </si>
  <si>
    <t>CC-01314306</t>
  </si>
  <si>
    <t>CC-01195174</t>
  </si>
  <si>
    <t>BXLD231873</t>
  </si>
  <si>
    <t>Dated on 14.11.2024, done at 512 hours vide tracking no.: CC-01465736</t>
  </si>
  <si>
    <t>Dated 11.01.2025, done at 1253 hours vide tracking no.: CC-01527375</t>
  </si>
  <si>
    <t>Dated 13.02.2025, done at 1550 hours vide tracking no.: CC-01562502</t>
  </si>
  <si>
    <t>CC-01958507</t>
  </si>
  <si>
    <t>BXLD231897</t>
  </si>
  <si>
    <t>MANJUNATHAA ROCK DRILLS</t>
  </si>
  <si>
    <t>Dated on 19.06.2024, done at 488 hours vide tracking no.: CC-01313202</t>
  </si>
  <si>
    <t>Dated on 02.01.2025, done at 1251 hours vide tracking no.: CC-01517339</t>
  </si>
  <si>
    <t>CC-01938473</t>
  </si>
  <si>
    <t>CC-01636743</t>
  </si>
  <si>
    <t>BXAL153828</t>
  </si>
  <si>
    <t>SHREE JAY HANUMAN CONTRACTORS</t>
  </si>
  <si>
    <t>Dated on 14.08.2025, done at 537 hours vide tracking no.: CC-01765780</t>
  </si>
  <si>
    <t>CC-01765780</t>
  </si>
  <si>
    <t>CC-01451070</t>
  </si>
  <si>
    <t>BXBD164346</t>
  </si>
  <si>
    <t>JHARKHAND WORK SHOP</t>
  </si>
  <si>
    <t>Dated on 21.05.2025, done at 521 hours vide tracking no.: CC-01667010</t>
  </si>
  <si>
    <t>BXDD232126</t>
  </si>
  <si>
    <t>PG 900-INTL</t>
  </si>
  <si>
    <t>PG 900</t>
  </si>
  <si>
    <t>Dated on 19.05.2025, done at 595 hours vide tracking no.: CC-01664934</t>
  </si>
  <si>
    <t>Dated on 11.09.2025, done at 1261 hours vide tracking no.: CC-01795845</t>
  </si>
  <si>
    <t>Dated 24.10.2025, done at 1504 hours vide tracking no.: CC-01842519</t>
  </si>
  <si>
    <t>Dated 14.02.2026, done at 2114 hours vide tracking no.: CC-01977681</t>
  </si>
  <si>
    <t>CC-01977681</t>
  </si>
  <si>
    <t>CC-01842519</t>
  </si>
  <si>
    <t>BXCL153907</t>
  </si>
  <si>
    <t>PG 37 E-7</t>
  </si>
  <si>
    <t>PG 37</t>
  </si>
  <si>
    <t>greyhund engineering india pvt ltd</t>
  </si>
  <si>
    <t>Warranty</t>
  </si>
  <si>
    <t>Dated on 08.07.2025, done at 530 hours vide tracking no.: CC-01721568</t>
  </si>
  <si>
    <t>CC-01721568</t>
  </si>
  <si>
    <t>CC-01495749</t>
  </si>
  <si>
    <t>BXFD232221</t>
  </si>
  <si>
    <t>PG 900 - 100 4W 6CTA</t>
  </si>
  <si>
    <t>CC-01503980</t>
  </si>
  <si>
    <t>BXGD164632</t>
  </si>
  <si>
    <t>AJAY KUMAR</t>
  </si>
  <si>
    <t>Dated on 05.04.2025, done at 551 hours vide tracking no.: CC-01618224</t>
  </si>
  <si>
    <t>Air filter changed 551 Hours</t>
  </si>
  <si>
    <t>Dated 19.02.2026, done at 1501 hours vide tracking no.: CC-01984209</t>
  </si>
  <si>
    <t>CC-01984209</t>
  </si>
  <si>
    <t>BXGD232278</t>
  </si>
  <si>
    <t>WARSA EARTH MOVERS</t>
  </si>
  <si>
    <t>Dated on23.03.2025, done at 550 hours vide tracking no.: CC-01604573</t>
  </si>
  <si>
    <t>NA</t>
  </si>
  <si>
    <t>Dated on 17.11.2025, done at 1434 hours vide tracking no.: CC-01871360</t>
  </si>
  <si>
    <t>Dated on 24.02.2026, done at 2063 hours vide tracking no.: CC-01989856</t>
  </si>
  <si>
    <t>CC-01989856</t>
  </si>
  <si>
    <t>CC-01906625</t>
  </si>
  <si>
    <t>BXID122117</t>
  </si>
  <si>
    <t>SAILENDRA SINGH</t>
  </si>
  <si>
    <t>CC-01509973</t>
  </si>
  <si>
    <t>BXID164748</t>
  </si>
  <si>
    <t>SHIV KUMAR SAHU</t>
  </si>
  <si>
    <t>CC-01512148</t>
  </si>
  <si>
    <t>BXID164737</t>
  </si>
  <si>
    <t>CC-01908698</t>
  </si>
  <si>
    <t>BXFD164605</t>
  </si>
  <si>
    <t>CC-01888445</t>
  </si>
  <si>
    <t>BXFD232225</t>
  </si>
  <si>
    <t>TATA CAPITAL LIMITED</t>
  </si>
  <si>
    <t>Dated on 16.04.2025, done at 564 hours vide tracking no.: CC-01629281</t>
  </si>
  <si>
    <t>Air filter changed 564 Hours</t>
  </si>
  <si>
    <t>Dated on 08.01.2025, done at 1921 hours vide tracking no.: CC-01934206</t>
  </si>
  <si>
    <t>CC-01934208</t>
  </si>
  <si>
    <t>BXGD164662</t>
  </si>
  <si>
    <t>Dated on 05.04.2025, done at 560 hours vide tracking no.: CC-01618624</t>
  </si>
  <si>
    <t>Air filter changed 560 Hours</t>
  </si>
  <si>
    <t>Dated 13.10.2025, done at 1517 hours vide tracking no.: CC-01833122</t>
  </si>
  <si>
    <t>CC-01833122</t>
  </si>
  <si>
    <t>BXHD164701</t>
  </si>
  <si>
    <t>Dated on 29.04.2025, done at 625 hours vide tracking no.: CC-01643671</t>
  </si>
  <si>
    <t>Air filter changed 625 Hours</t>
  </si>
  <si>
    <t>Dated on 13.09.2025, done at 1367 hours vide tracking no.: CC-01797731</t>
  </si>
  <si>
    <t>Dated on 14.01.2025, done at 2073 hours vide tracking no.: CC-01941106</t>
  </si>
  <si>
    <t>CC-01941106</t>
  </si>
  <si>
    <t>BXID164764</t>
  </si>
  <si>
    <t>CHAMAN TULSIYAN</t>
  </si>
  <si>
    <t>Dated on 18.03.2025, done at 478 hours vide tracking no.: CC-01598403</t>
  </si>
  <si>
    <t>Air filter changed 478 Hours</t>
  </si>
  <si>
    <t>Dated on 09.09.2025, done at 1023 hours vide tracking no.: CC-01792145</t>
  </si>
  <si>
    <t>Dated on 03.01.2026, done at 1516 hours vide tracking no.: CC-01935847</t>
  </si>
  <si>
    <t>CC-01927156</t>
  </si>
  <si>
    <t>BXJD231726</t>
  </si>
  <si>
    <t>CC-01616544</t>
  </si>
  <si>
    <t>CC-01206720</t>
  </si>
  <si>
    <t>BXJD231749</t>
  </si>
  <si>
    <t>CC-01615652</t>
  </si>
  <si>
    <t>CC-01207002</t>
  </si>
  <si>
    <t>BXBD164358</t>
  </si>
  <si>
    <t>Dated on 07.05.2025 done at 526 hours vide tracking no.: CC-01761089</t>
  </si>
  <si>
    <t>Dated on 01.07.2025, done at 1070 hours vide tracking no.: CC-01713120</t>
  </si>
  <si>
    <t>Dated on 11.08.2025, done at 1550 hours vide tracking no.: CC-01761089</t>
  </si>
  <si>
    <t>Dated on 22.09.2025, done at 2038 hours vide tracking no.: CC-01807902</t>
  </si>
  <si>
    <t>Dated on 18.11.2025, done at 2744 hours vide tracking no.: CC-01873082</t>
  </si>
  <si>
    <t>Dated on 28.01.2026, done at 3488 hours vide tracking no.: CC-01955264</t>
  </si>
  <si>
    <t>CC-01955264</t>
  </si>
  <si>
    <t>BXFD164587</t>
  </si>
  <si>
    <t>VENKATESHWARA HATCHERICS PVT. LTD.</t>
  </si>
  <si>
    <t>Dated on 21.12.2024, done at 563 hours vide tracking no.: CC-01505058</t>
  </si>
  <si>
    <t>Air filter changed 563 Hours</t>
  </si>
  <si>
    <t>Dated on 13.02.2025, done at 1033 hours vide tracking no.: CC-01562799</t>
  </si>
  <si>
    <t>Dated on 27.03.2025, done at 1500 hours vide tracking no.: CC-01609199</t>
  </si>
  <si>
    <t>Dated on 21.07.2025, done at 2010 hours vide tracking no.: CC-01737252</t>
  </si>
  <si>
    <t>Dated on 27.01.2025, done at 2671 hours vide tracking no.: CC-01950970</t>
  </si>
  <si>
    <t>CC-01950970</t>
  </si>
  <si>
    <t>CC-01609199</t>
  </si>
  <si>
    <t>BXHD232312</t>
  </si>
  <si>
    <t>Dated on 11.04.2025 done at 490 hours vide tracking no.: CC-01624877</t>
  </si>
  <si>
    <t>Dated on 13.08.2025, done at 1069 hours vide tracking no.: CC-01764150</t>
  </si>
  <si>
    <t>Dated on 26.00.2025, done at 1550 hours vide tracking no.: CC-01882759</t>
  </si>
  <si>
    <t>Dated on 26.12.2025, done at 1735 hours vide tracking no.: CC-01917980</t>
  </si>
  <si>
    <t>Dated on 26.02.2026, done at 2262 hours vide tracking no.: CC-01992432</t>
  </si>
  <si>
    <t>CC-01917980</t>
  </si>
  <si>
    <t>CC-01513744</t>
  </si>
  <si>
    <t>BYLD164901</t>
  </si>
  <si>
    <t>CC-01878185</t>
  </si>
  <si>
    <t>CC-01599735</t>
  </si>
  <si>
    <t>BYKD164879</t>
  </si>
  <si>
    <t>Pratap trading company</t>
  </si>
  <si>
    <t>Dated on 04.09.2025 done at 500 hours vide tracking no.: CC-01787105</t>
  </si>
  <si>
    <t>CC-01915747</t>
  </si>
  <si>
    <t>CC-01582538</t>
  </si>
  <si>
    <t>BXCD164396</t>
  </si>
  <si>
    <t>CC-01593762</t>
  </si>
  <si>
    <t>BXAD231963</t>
  </si>
  <si>
    <t>SRI RANGANATHAR BOREWELLS</t>
  </si>
  <si>
    <t>CC-01583590</t>
  </si>
  <si>
    <t>CC-01262842</t>
  </si>
  <si>
    <t>BXHD164673</t>
  </si>
  <si>
    <t>CC-01711973</t>
  </si>
  <si>
    <t>CC-01582960</t>
  </si>
  <si>
    <t>BXIS038530</t>
  </si>
  <si>
    <t>EG 75-10.5 400V/50HZ</t>
  </si>
  <si>
    <t>EG 75</t>
  </si>
  <si>
    <t>HARI CONSTRUCTION &amp; ASSOCIATED PVT. LTD.</t>
  </si>
  <si>
    <t>CC-01544675</t>
  </si>
  <si>
    <t>BXHD232326</t>
  </si>
  <si>
    <t>PG1500S-COMBO 400 (INTL)</t>
  </si>
  <si>
    <t>PG 1500</t>
  </si>
  <si>
    <t>EE  CGWB DIV- V Ranchi</t>
  </si>
  <si>
    <t>Dated on 04.02.2026, done at 178 hours vide tracking no.: CC-01964391</t>
  </si>
  <si>
    <t>CC-01964391</t>
  </si>
  <si>
    <t>CC-01606313</t>
  </si>
  <si>
    <t>BYLD232523</t>
  </si>
  <si>
    <t>CC-01703891</t>
  </si>
  <si>
    <t>CC-01617364</t>
  </si>
  <si>
    <t>BYLD164919</t>
  </si>
  <si>
    <t>Dated on 13.08.2025 done at 546 hours vide tracking no.: CC-01764155</t>
  </si>
  <si>
    <t>Dated on 03.02.2026, done at 1279 hours vide tracking no.: CC-01962973</t>
  </si>
  <si>
    <t>CC-01962973</t>
  </si>
  <si>
    <t>CC-01618492</t>
  </si>
  <si>
    <t>BYAD164973</t>
  </si>
  <si>
    <t>dtak@lakecityinfra.com</t>
  </si>
  <si>
    <t>Dated on 11.06.2025, done at 500 hours vide tracking no.: CC-01690137</t>
  </si>
  <si>
    <t>Dated on 10.01.2026, done at 1508 hours vide tracking no.: CC-01937151</t>
  </si>
  <si>
    <t>CC-01908483</t>
  </si>
  <si>
    <t>CC-01937151</t>
  </si>
  <si>
    <t>BYLD201693</t>
  </si>
  <si>
    <t>PG 850S-290</t>
  </si>
  <si>
    <t>PG 850</t>
  </si>
  <si>
    <t>Dated on 31.07.2025, done at 460 hours vide tracking no.: CC-01749386</t>
  </si>
  <si>
    <t>Air filter changed 460 Hours</t>
  </si>
  <si>
    <t>Dated on 07.02.2026, done at 1410 hours vide tracking no.: CC-01968405</t>
  </si>
  <si>
    <t>CC-01968405</t>
  </si>
  <si>
    <t>BYLD164891</t>
  </si>
  <si>
    <t>CC-01648682</t>
  </si>
  <si>
    <t>BXID201595</t>
  </si>
  <si>
    <t>Dated on 08.08.2025 done at 617 hours vide tracking no.: CC-01758943</t>
  </si>
  <si>
    <t>Air filter changed 617 Hours</t>
  </si>
  <si>
    <t>Dated 06.10.2024, done at 1106 hours vide tracking no.: CC-01821879</t>
  </si>
  <si>
    <t>CC-01831879</t>
  </si>
  <si>
    <t>CC-01655744</t>
  </si>
  <si>
    <t>BWHD231603</t>
  </si>
  <si>
    <t>Dated on 15.03.2024, done at 670 hours vide tracking no.: CC-01218052</t>
  </si>
  <si>
    <t>Air filter changed 670 Hours</t>
  </si>
  <si>
    <t>Dated on 15.06.2024, done at 1340 hours vide tracking no.: CC-01309194</t>
  </si>
  <si>
    <t>Dated on 02.09.2024, done at 1900 hours vide tracking no.: CC-01390450</t>
  </si>
  <si>
    <t>Dated on 12.09.2024, done at 1980 hours vide tracking no.: CC-01401314</t>
  </si>
  <si>
    <t>Dated on 09.05.2025, done at 2840 hours vide tracking no.: CC-01654051</t>
  </si>
  <si>
    <t>Dated on 10.05.2025, done at 3243 hours vide tracking no.: CC-01654051</t>
  </si>
  <si>
    <t>CC-01654051</t>
  </si>
  <si>
    <t>BWED163890</t>
  </si>
  <si>
    <t>Dated on 01.12.2023, done at 530 hours vide tracking no.: CC-01110954</t>
  </si>
  <si>
    <t>Dated on 02.02.2024, done at 1020 hours vide tracking no.: CC-01174034</t>
  </si>
  <si>
    <t>Dated on 16.03.2024, done at 1660 hours vide tracking no.: CC-01221264</t>
  </si>
  <si>
    <t>Dated on 30.05.2024, done at 2490 hours vide tracking no.: 329723</t>
  </si>
  <si>
    <t>Dated on 15.07.2024, done at 3060 hours vide tracking no.: CC-01341510</t>
  </si>
  <si>
    <t>Dated on 24.07.2024, done at 3140 hours vide tracking no.: CC-01350418</t>
  </si>
  <si>
    <t>Dated on 21.10.2024, done at 3887 hours vide tracking no.: CC-01442641</t>
  </si>
  <si>
    <t>Dated on 21.01.2025, done at 4021 hours vide tracking no.: CC-01539112</t>
  </si>
  <si>
    <t>Dated on 24.03.2025, done at 4500 hours vide tracking no.: CC-01604578</t>
  </si>
  <si>
    <t>CC-01656655</t>
  </si>
  <si>
    <t>CC-01604578</t>
  </si>
  <si>
    <t>BYJD232405</t>
  </si>
  <si>
    <t>SM DRILLING PRIVATE LIMITED</t>
  </si>
  <si>
    <t>Dated on 06.05.2025, done at 540 hours vide tracking no.: CC-01649939</t>
  </si>
  <si>
    <t>Dated on 11.11.2025, done at 1344 hours vide tracking no.: CC-01865097</t>
  </si>
  <si>
    <t>CC-01865097</t>
  </si>
  <si>
    <t>CC-01537618</t>
  </si>
  <si>
    <t>BYAS044618</t>
  </si>
  <si>
    <t>EG37-10 400V/50HZ</t>
  </si>
  <si>
    <t>EG 37</t>
  </si>
  <si>
    <t>Jana Metalising</t>
  </si>
  <si>
    <t>CC-01688261</t>
  </si>
  <si>
    <t>BYCL161693</t>
  </si>
  <si>
    <t>JAMSHEDPUR</t>
  </si>
  <si>
    <t>randhirdcsl@gmail.com</t>
  </si>
  <si>
    <t>CC-01720577</t>
  </si>
  <si>
    <t>BYAL154188</t>
  </si>
  <si>
    <t>VIBHA CONTRACTORS PRIVATE LIMITED</t>
  </si>
  <si>
    <t>CC-01765758</t>
  </si>
  <si>
    <t>BYBL161686</t>
  </si>
  <si>
    <t>PG 75E - 9.5 BAR</t>
  </si>
  <si>
    <t>PG 75</t>
  </si>
  <si>
    <t>RADHA ENTERPRISES</t>
  </si>
  <si>
    <t>CC-01765772</t>
  </si>
  <si>
    <t>BXAD231960</t>
  </si>
  <si>
    <t>BARKAGAON</t>
  </si>
  <si>
    <t>indumovers1972@gmail.com</t>
  </si>
  <si>
    <t>Dated on 09.02.2026, done at 947 hours vide tracking no.: CC-01970510</t>
  </si>
  <si>
    <t>Air Filter changed 947 Hours</t>
  </si>
  <si>
    <t>CC-01970510</t>
  </si>
  <si>
    <t>CC-01776761</t>
  </si>
  <si>
    <t>BYEL161723</t>
  </si>
  <si>
    <t>PG 55E - 9.5 BAR</t>
  </si>
  <si>
    <t>PG 55E</t>
  </si>
  <si>
    <t>UDAY ENGINEERING WORKS</t>
  </si>
  <si>
    <t>IOCL REFINARY, BARAUNI, BIHAR</t>
  </si>
  <si>
    <t>CC-01789853</t>
  </si>
  <si>
    <t>BWFD121746</t>
  </si>
  <si>
    <t>ANIL KUMAR MANDHYANI</t>
  </si>
  <si>
    <t>Site at Silliguri</t>
  </si>
  <si>
    <t>Dated on 21.02.2024, done at 579 hours vide tracking no.: CC-01193186</t>
  </si>
  <si>
    <t>Dated on 27.02.2025, done at 1088 hours vide tracking no.: CC-01579101</t>
  </si>
  <si>
    <t>CC-01579101</t>
  </si>
  <si>
    <t>CC-01063303</t>
  </si>
  <si>
    <t>Shifted to Silliguri, WB ( MITRA COMMERCIAL &amp; AUTOMOBILES LLP.)</t>
  </si>
  <si>
    <t>BVFD163274</t>
  </si>
  <si>
    <t>Dated on 21..01.2023, done at 498 hours vide tracking no.: CC-00820121</t>
  </si>
  <si>
    <t>Air filter changed 498 Hours</t>
  </si>
  <si>
    <t>Dated on 04.03.2023, done at 1082 hours vide tracking no.: CC-00883120</t>
  </si>
  <si>
    <t>Dated on 17.05.2023, done at 1558 hours vide tracking no.: CC-00924389</t>
  </si>
  <si>
    <t>Dated on 01.09.2023, done at 2060 hours vide tracking no.: CC-01036159</t>
  </si>
  <si>
    <t>Dated on 27.06.2024, done at 2745 hours vide tracking no.: CC-01322003</t>
  </si>
  <si>
    <t>Dated on 12.08.2024, done at 3137 hours vide tracking no.: CC-01370904</t>
  </si>
  <si>
    <t>Dated on 13.08.2025, done at 3500 hours vide tracking no.: CC-01764163</t>
  </si>
  <si>
    <t>CC-01764163</t>
  </si>
  <si>
    <t>CC-01370904</t>
  </si>
  <si>
    <t>BXBD164388</t>
  </si>
  <si>
    <t>Dated on 21..01.2025, done at 720 hours vide tracking no.: CC-01536198</t>
  </si>
  <si>
    <t>Air filter changed 720 Hours</t>
  </si>
  <si>
    <t>Dated on 13.09.2025, done at 1485 hours vide tracking no.: CC-0797740</t>
  </si>
  <si>
    <t>CC-01797740</t>
  </si>
  <si>
    <t>BYED165208</t>
  </si>
  <si>
    <t>Purvi Aggregate Solution Private Limited</t>
  </si>
  <si>
    <t>KODERMA</t>
  </si>
  <si>
    <t>purviaspl@gmail.com</t>
  </si>
  <si>
    <t>9382899393, 8969868540</t>
  </si>
  <si>
    <t>Dated on 20.01.2026, done at 549 hours vide tracking no.: CC-01946386</t>
  </si>
  <si>
    <t>Air Filter changed 549 Hours</t>
  </si>
  <si>
    <t>CC-01791744</t>
  </si>
  <si>
    <t>BYLD232534</t>
  </si>
  <si>
    <t>SM DRILLING COMPANY</t>
  </si>
  <si>
    <t>PIPARWAR</t>
  </si>
  <si>
    <t>Dated on 14.08.2025, done at 564 hours vide tracking no.: CC-01765042</t>
  </si>
  <si>
    <t>BYGD232855</t>
  </si>
  <si>
    <t>R.P.S. ENTERPRISES</t>
  </si>
  <si>
    <t>BARUN, AURANGABAD</t>
  </si>
  <si>
    <t>CC-01839438</t>
  </si>
  <si>
    <t>BYFD165256</t>
  </si>
  <si>
    <t>Kumhara Stone Mine</t>
  </si>
  <si>
    <t>PIPRA, CHATTARPUR</t>
  </si>
  <si>
    <t>CC-01828638</t>
  </si>
  <si>
    <t>BYFD165254</t>
  </si>
  <si>
    <t>CC-01849713</t>
  </si>
  <si>
    <t>BYFD232840</t>
  </si>
  <si>
    <t>URIMARI</t>
  </si>
  <si>
    <t>Dated on 02.02.2026, done at 504 hours vide tracking no.: CC-01962005</t>
  </si>
  <si>
    <t>Air Filter changed 504 Hours</t>
  </si>
  <si>
    <t>Dated on 19.02.2026, done at 1279 hours vide tracking no.: CC-01983995</t>
  </si>
  <si>
    <t>BYDD165173</t>
  </si>
  <si>
    <t>Sushee Infra and Mining Ltd</t>
  </si>
  <si>
    <t>CC-01841879</t>
  </si>
  <si>
    <t>BYGD165317</t>
  </si>
  <si>
    <t>CC-01884905</t>
  </si>
  <si>
    <t>BYCD165091</t>
  </si>
  <si>
    <t>VAJRABHU MINING PRIVATE LIMITED</t>
  </si>
  <si>
    <t>CC-01872120</t>
  </si>
  <si>
    <t>CC-01739344</t>
  </si>
  <si>
    <t>BYFD165260</t>
  </si>
  <si>
    <t>SIDDESHWARA BOREWELLS</t>
  </si>
  <si>
    <t>Dated on 21.01.2026, done at 533 hours vide tracking no.: CC-01948388</t>
  </si>
  <si>
    <t>Air Filter changed 533 Hours</t>
  </si>
  <si>
    <t>CC-01948388</t>
  </si>
  <si>
    <t>CC-01870364</t>
  </si>
  <si>
    <t>BYCD201765</t>
  </si>
  <si>
    <t>SIRI INFRA</t>
  </si>
  <si>
    <t>CC-01868761</t>
  </si>
  <si>
    <t>BYLD164914</t>
  </si>
  <si>
    <t>S S CONSTRUCTION</t>
  </si>
  <si>
    <t>CC-01778168</t>
  </si>
  <si>
    <t>BYHD232906</t>
  </si>
  <si>
    <t>KALYANI, PHUSHRO</t>
  </si>
  <si>
    <t>CC-01897693</t>
  </si>
  <si>
    <t>BYHD165336</t>
  </si>
  <si>
    <t>HAZARIBAGH</t>
  </si>
  <si>
    <t>Dated on 24.02.2026, done at 525 hours vide tracking no.: CC-01989749</t>
  </si>
  <si>
    <t>Air Filter changed 525 Hours</t>
  </si>
  <si>
    <t>CC-01989849</t>
  </si>
  <si>
    <t>CC-01900367</t>
  </si>
  <si>
    <t>BYHD165347</t>
  </si>
  <si>
    <t>Pratap Trading Company</t>
  </si>
  <si>
    <t>SAHIBGANJ</t>
  </si>
  <si>
    <t>Dated on 25.02.2026, done at 515 hours vide tracking no.: CC-01991271</t>
  </si>
  <si>
    <t>Air Filter changed 515 Hours</t>
  </si>
  <si>
    <t>CC-01991271</t>
  </si>
  <si>
    <t>CC-01903107</t>
  </si>
  <si>
    <t>BYID165412</t>
  </si>
  <si>
    <t>M/S V.R.R ENTERPRISES</t>
  </si>
  <si>
    <t>BHOWRA, DHANBAD</t>
  </si>
  <si>
    <t>CC-01918647</t>
  </si>
  <si>
    <t>BYFD201821</t>
  </si>
  <si>
    <t>MASTER DRILLERS</t>
  </si>
  <si>
    <t>AMRAPALI PROJECT, TANDWA</t>
  </si>
  <si>
    <t>CC-01891951</t>
  </si>
  <si>
    <t>BYBD201743</t>
  </si>
  <si>
    <t>Dated on 20.11.2025, done at 500 hours vide tracking no.: CC-01875504</t>
  </si>
  <si>
    <t>CC-01875504</t>
  </si>
  <si>
    <t>CC-01754699</t>
  </si>
  <si>
    <t>BZJD165455</t>
  </si>
  <si>
    <t>RANIGANJ, WB</t>
  </si>
  <si>
    <t>CC-01994991</t>
  </si>
  <si>
    <t>BYHD201877</t>
  </si>
  <si>
    <t>CC-01903192</t>
  </si>
  <si>
    <t>BYID201894</t>
  </si>
  <si>
    <t>CC-01931645</t>
  </si>
  <si>
    <t>BZJD165470</t>
  </si>
  <si>
    <t>CC-02001341</t>
  </si>
  <si>
    <t>BYGD165294</t>
  </si>
  <si>
    <t>SUSHEE INFRAPVT LTD</t>
  </si>
  <si>
    <t>TANDWA, CHATRA</t>
  </si>
  <si>
    <t>CC-02008411</t>
  </si>
  <si>
    <t>Unit Status</t>
  </si>
  <si>
    <t>Active</t>
  </si>
  <si>
    <t>Comm Date</t>
  </si>
  <si>
    <t>Warranty Expires On</t>
  </si>
  <si>
    <t>Current Month HMR</t>
  </si>
  <si>
    <t>Current Month HMR Date</t>
  </si>
  <si>
    <t>CC-00600430</t>
  </si>
  <si>
    <t>CC-00379825</t>
  </si>
  <si>
    <t>CC-00379828</t>
  </si>
  <si>
    <t>CC-00524471</t>
  </si>
  <si>
    <t>CC-01842955</t>
  </si>
  <si>
    <t>CC-00085932</t>
  </si>
  <si>
    <t>CC-01914464</t>
  </si>
  <si>
    <t>CC-00061825</t>
  </si>
  <si>
    <t>CC-00915994</t>
  </si>
  <si>
    <t>CC-00948506</t>
  </si>
  <si>
    <t>CC-00833863</t>
  </si>
  <si>
    <t>CC-00833858</t>
  </si>
  <si>
    <t>CC-00047304</t>
  </si>
  <si>
    <t>CC-00916084</t>
  </si>
  <si>
    <t>CC-00059148</t>
  </si>
  <si>
    <t>CC-00079395</t>
  </si>
  <si>
    <t>CC-00834307</t>
  </si>
  <si>
    <t>CC-00046199</t>
  </si>
  <si>
    <t>CC-00007637</t>
  </si>
  <si>
    <t>CC-00014743</t>
  </si>
  <si>
    <t>CC-00075706</t>
  </si>
  <si>
    <t>CC-01843327</t>
  </si>
  <si>
    <t>CC-00243400</t>
  </si>
  <si>
    <t>CC-01180297</t>
  </si>
  <si>
    <t>CC-00642498</t>
  </si>
  <si>
    <t>CC-01577589</t>
  </si>
  <si>
    <t>CC-02006702</t>
  </si>
  <si>
    <t>CC-01842849</t>
  </si>
  <si>
    <t>CC-00968636</t>
  </si>
  <si>
    <t>CC-01693405</t>
  </si>
  <si>
    <t>CC-01636219</t>
  </si>
  <si>
    <t>CC-02029065</t>
  </si>
  <si>
    <t>CC-01907572</t>
  </si>
  <si>
    <t>CC-01597680</t>
  </si>
  <si>
    <t>CC-02005911</t>
  </si>
  <si>
    <t>CC-01641825</t>
  </si>
  <si>
    <t>CC-01577593</t>
  </si>
  <si>
    <t>CC-01577785</t>
  </si>
  <si>
    <t>CC-01622178</t>
  </si>
  <si>
    <t>CC-01996250</t>
  </si>
  <si>
    <t>CC-01284219</t>
  </si>
  <si>
    <t>CC-01886031</t>
  </si>
  <si>
    <t>CC-02006689</t>
  </si>
  <si>
    <t>CC-02019850</t>
  </si>
  <si>
    <t>CC-02010093</t>
  </si>
  <si>
    <t>CC-02012387</t>
  </si>
  <si>
    <t>CC-02004490</t>
  </si>
  <si>
    <t>CC-01992432</t>
  </si>
  <si>
    <t>CC-02019335</t>
  </si>
  <si>
    <t>CC-01711943</t>
  </si>
  <si>
    <t>CC-02018993</t>
  </si>
  <si>
    <t>CC-01821879</t>
  </si>
  <si>
    <t>CC-01774924</t>
  </si>
  <si>
    <t>CC-02011167</t>
  </si>
  <si>
    <t>CC-02025183</t>
  </si>
  <si>
    <t>CC-02002799</t>
  </si>
  <si>
    <t>CC-02008610</t>
  </si>
  <si>
    <t>CC-01996246</t>
  </si>
  <si>
    <t>CC-01989749</t>
  </si>
  <si>
    <t>CC-02002600</t>
  </si>
  <si>
    <t>CC-02012922</t>
  </si>
  <si>
    <t>CC-02012923</t>
  </si>
  <si>
    <t>Attend the site for scheduled service so drain oil from the tank and drained oil from the cooler total 36 liters oil drain then change air filter for compressor and engine both sides, change oil filter, change air oil separator and change all valve kit and change ELGI air lube Plus oil 40 liters. Then start the unit found running ok.</t>
  </si>
  <si>
    <t>Done</t>
  </si>
  <si>
    <t>Attend the site for scheduled service so drain oil from the tank and drained oil from the cooler total 37 liters oil drain. Then change air filter for compressor and engine both sides, change oil filter and ELGI air lube Plus oil 40 liters. Then start the unit found running ok.</t>
  </si>
  <si>
    <t>Attend the site for scheduled service so drain oil from the tank and drained oil from the cooler total 117 liters oil drain. Then change the air filter for the compressor and engine both sides, change the oil filter, change the air oil separator, change the All valve kit and change the ELGI air lube Plus oil 120 liters. Then start the unit found running ok.</t>
  </si>
  <si>
    <t>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t>
  </si>
  <si>
    <t>Attend and drain oil from tank and oil cooler 37 litres, replace oil filter 90 lpm 2nos., replace air filter engine side and compressor side.</t>
  </si>
  <si>
    <t>Due</t>
  </si>
  <si>
    <t>Attend the site for scheduled service so drain oil from the tank and drained oil from the cooler total 37 liters oil drain. Then change the air filter for the compressor and engine both sides, change the oil filter, change the air oil separator, change the All valve kit and change the ELGI air lube Plus oil 40 liters. Then start the unit found running ok.</t>
  </si>
  <si>
    <t>Customers are scheduled for service by itself by local parts procured from local vendors. So they change the air filter for the compressor and engine both sides, oil filter and ELGI air lube Plus oil 40 liters.</t>
  </si>
  <si>
    <t>Service spares purchase from us and done scheduled service by itself and change air filter, oil filter, air oil separator, MPV KIT, BDV KIT, ARV KIT, PRESSURE REGULATOR SWITCH AND ELGI air lube Plus oil 40 liters.</t>
  </si>
  <si>
    <t>Attend the site for scheduled service so drain oil from the tank and drained oil from the cooler total 36 liters oil drain. Then air filter for compressor and engine both sides, change air oil separator, change all valve kit, change oil filter and ELGI air lube Plus oil 40 liters. Then start the unit found running ok.</t>
  </si>
  <si>
    <t>Attend the site for schedule service so drain oil from tank and drain oil from cooler to 18 liters oil drain then change air filter for compressor and engine both side then change oil filter and oil 20 liters after then start the unit found running ok.</t>
  </si>
  <si>
    <t>Attend the site for schedule service so drain oil from tand and drail oil from cooler total 32 liters oil drain then change air filter for complressor side, oil filter, air oil seperator, pressure regulator kit, MPV kit, acctuator kit, stainer ass., intake valve, BDV, solenoide valve, and 35 liters ELGI air lube plus oil. .Then start the unit found running ok.</t>
  </si>
  <si>
    <t>Attend the site for schedule service so drain oil from tank and drain oil from cooler to 38 liters oil drain then change oil filter, air filter for compressor side, change BDV kit, ADV kit, ARV kit, pressure regulator kit, actuator kit and oil 40 liters after then start the unit found running ok.</t>
  </si>
  <si>
    <t>Attend the site for scheduled service so drain oil from the tank and drained oil from the cooler total 37 liters oil drain. Then change the air filter for the compressor side, change the oil filter, change the air oil separator, change all valve kit and change ELGI air lube Plus oil 40 liters then start the unit found running ok.</t>
  </si>
  <si>
    <t>Attend the site for schedule service so drain oil from cooler and drain oil from tank total 18 liters oil drain then Change air filter for compressor side and change oil filter and change air oil separator and change BDV KIT, MPV kit, ARV kit, actuator kit, pressure regulator kit and oil 20 liters. Then start the unit found running ok.</t>
  </si>
  <si>
    <t>Attend the site for schedule service so drain oil from tank and drain oil from cooler to 38 liters oil drain then change oil filter, air filter for compressor and engine both side, change BDV kit, ADV kit, ARV kit, pressure regulator kit, actuator kit and oil 40 liters after then start the unit found running ok.</t>
  </si>
  <si>
    <t>Attend the site for schedule service so drain oil from tank and drain oil from cooler to 38 liters oil drain then change air filter for compressor and engine both side then change oil filter and oil 40 liters after then start the unit found running ok.</t>
  </si>
  <si>
    <t>Attend the site for scheduled service so drain oil from the tank and drained oil from the cooler total 36 liters oil drain. Then change the air filter for the compressor and engine both sides, change the oil filter, change the air oil separator, change the All valve kit and change the ELGI air lube Plus oil 40 liters. Then start the unit found running ok.</t>
  </si>
  <si>
    <t>REPLACE AIR FILTER, OIL FILTER AND  OIL</t>
  </si>
  <si>
    <t>Attend the site for scheduled service so drain oil from the tank and drained oil from the cooler total 37 liters oil drain then change air filter oil filter for compressor and engine both sides change, change the oil filter, change the air oil separator, change all valve kit and ELGI air lube Plus oil 40 liters. Then start the unit found running ok.</t>
  </si>
  <si>
    <t>Attend the site for schedule service so drain oil from cooler and drain oil from tank total 37 liter oil drain then Change air filter for compressor and engine both side side, change oil filter, change air oil separator and change BDV KIT, MPV kit, ARV kit, actuator kit, pressure regulator kit and oil 40. Then start the unit found running ok.</t>
  </si>
  <si>
    <t>Attend the site for schedule service so drain oil from tank and drain oil from cooler to 38 liters oil drain then change air oil separator and BDV Kit, ADV kit, ARV kit, pressure regulator kit and actuator kit and oil 40 liters after then start the unit found running ok.</t>
  </si>
  <si>
    <t>Attend the site for schedule service so replace compressor side air filter, replace oil 38 litres, replace oil filter. After all work done start the unit and checked on load condition found unit is running in proper condition.</t>
  </si>
  <si>
    <t>Attend the site for schedule service so drain oil from tank and drain oil from cooler total 38 liters oil drain then change oil filter and compressor side air filter then then oil 40 liters after then start the unit found running ok.</t>
  </si>
  <si>
    <t>Attend the site for scheduled service so drain oil from the tank and drained oil from the cooler total 38 liters oil drain then change air filter for compressor side, change oil filter, change pressure regulator switch, change solenoid valve kit, change thermal valve and change 40 liters ELGi air lube Plus oil. Then start the unit found running ok.</t>
  </si>
  <si>
    <t>Change Air filter, oil filter,air oil separator and oil</t>
  </si>
  <si>
    <t>Cummins dealer Garuda Power submitted the sparse quotation to customer dated on 31-05-2021, quotation no - GP-RN-2122-000263. Still they have waiting for customer payment. After receive the payment they will complete the job.</t>
  </si>
  <si>
    <t>Cummins attend the customer &amp; complete the schedule service. we already send mail to Cummins for share the FSR copy with us. today after collect the same we will close the call.
Engine side schedule service. Engine side engineer Cummins engineer attend the site and carried our maintenance by changing oil filter lube oil.</t>
  </si>
  <si>
    <t>Attend the site for schedule service so drain oil from cooler and drain oil from tank total 18 liters oil drain then Change air filter for compressor side and change oil filter and oil 20 liters. Then start the unit found running ok.</t>
  </si>
  <si>
    <t>Attend the site for scheduled service so drain oil from the tank and drained oil from the cooler total 38.5 liters oil drain. Then change air filter for compressor side, change oil filter and ELGI air lube Plus oil 40 liters. Then start the unit found running ok.</t>
  </si>
  <si>
    <t>Attend the site for schedule service so drain oil from cooler and drain oil from tank total 37 liter oil drain then Change air filter for compressor and engine both side then change oil filter and oil 40 liter then start the unit found running ok.</t>
  </si>
  <si>
    <t>Attend the site for schedule service so drain oil from tank and oil cooler, over all drain oil 37 litres with two dead crank, after then replace oil filter 90 lpm 2pcs, replace air filter 2nos., plugged in all drain plugs and fill oil in separator tank up to full guage level and start the unit for some time after then again fill oil in tank up to half guage level. Over all topped up oil in tank 38 litres. After schedule service done start the unit and checked on load condition found unit is running in proper condition with all parameters under limit.</t>
  </si>
  <si>
    <t>Attend the site for schedule service so drain oil from cooler and drain oil from tank total 37 liter oil drain then Change air filter for compressor side, change air oil separator and change BDV KIT, MPV kit, ARV kit, actuator kit, pressure regulator kit and oil 40. Then start the unit found running ok.</t>
  </si>
  <si>
    <t>Change Air filter, oil filter &amp; oil</t>
  </si>
  <si>
    <t>Attend the site for schedule service so drain oil from tank and drain oil from cooler to 38 liters oil drain then change oil filter, air filter for compressor and engine both side and oil 40 liters after then start the unit found running ok.</t>
  </si>
  <si>
    <t>Attend the site for scheduled service so drain oil from the tank and drained oil from the cooler total 38 liters oil drain. Then change the air filter for the compressor and engine both sides, change the oil filter, change the air oil separator, change the BDV kit, ADV kit, pressure regulator kit, actuator kit ARV kit and ELGI air lube Plus oil 40 liters. Then start the unit found running ok.</t>
  </si>
  <si>
    <t>ttend the site for schedule service so drain oil from tank and drain oil from cooler to 38 liters oil drain then change air filter for compressor side then change oil filter and oil 40 liters after then start the unit found running ok.</t>
  </si>
  <si>
    <t>Change air filter, oil filter &amp; oil</t>
  </si>
  <si>
    <t>Attend the aite for schedule service so replaced parts are air filter 2nos. , oil filter 2nos, over all drained oil 37 litres and topped up oil in tank 39 litres. Starting power relay is not not working so replace the relay by new one. After all replacement start the unit and checked on load condition found unit is running in good condition anand all parameters are in ok condition.</t>
  </si>
  <si>
    <t>Attend the site for scheduled service so drain oil from the tank and drained oil from the cooler total 36 liters oil drain then change air filter for compressor and engine both sides, change oil filter, change air oil separator and ELGI air lube Plus 40 liters. Then start the unit found running ok.</t>
  </si>
  <si>
    <t>Attend the site for schedule service so drain oil from tank and drain oil from cooler total 38 litre oil drain then change air filter for compressor and engine both side then change oil filter, MPV kit, ADV kit, ARV kit, pressure regulator kit, actuator kit and 40 liters oil. Then start the unit found running ok.</t>
  </si>
  <si>
    <t>Upon attending the site for the airend fitment, the installation of the airend was successfully completed. Following this, a scheduled service was conducted, which included several essential maintenance tasks. The air filters for both the compressor and engine were replaced, ensuring optimal performance. Additionally, the oil filter was changed, and the air oil separator was also replaced to maintain system efficiency. Furthermore, 40 liters of ELGI air lube plus oil were added to the system. After completing these tasks, the unit was started and observed to be running smoothly, indicating that all maintenance procedures were effectively executed. This thorough approach not only enhances the reliability of the equipment but also extends its operational lifespan, ensuring that it continues to meet performance expectations.</t>
  </si>
  <si>
    <t>Attend the site for schedule service so total drain oil from tank and oil cooler 39 litres, after then replace oil filter, separator filter, air filter engine and compressor both side. Valve kit replaced are - osv kit, mpv kit, bdv kit, arv kit, pressure regulator kit, actuator kit engine and compressor both side. After then plugged in all drain plugs and fill oil in tank upto full gauge level. Start the unit for sometime and stop the unit. Again fill oil in tank upto half gauge level . Over all topped oil 40 litres. Start the unit and set the air pressure to 14.5 bar and run the unit for sometime found unit is running in ok condition with all parameters under limit. Customer changed Oil filter 2 nos. and oil 40 liters on dated 27-07-2023 by itself.</t>
  </si>
  <si>
    <t>Change oil filter, compressor side air filter, air oil separator &amp; oil 40 liters</t>
  </si>
  <si>
    <t>Change Air filter oil filter and oil</t>
  </si>
  <si>
    <t>Attend the site for schedule service so drain oil from tank and drain oil from cooler total 37 liter oil drained then change ADV kit, BDV kit, ARV kit, actuator kit, pressure regulator kit and air oil separator side then start the unit found running ok.</t>
  </si>
  <si>
    <t>Attend the site for schedule service so drain oil from cooler and drain oil from tank total 37 liter oil drain then Change air filter for compressor and engine both side then change oil filter and oil 40 liter then start the unit found running ok</t>
  </si>
  <si>
    <t>Attend the site for scheduled service so drained oil from the tank and drained oil from the cooler total 37 liters oil from, then change air filter for compressor and engine both sides, change oil filter change air oil separator,change All valve kit and change ELGi air Plus oil 40 liters . Then start the unit found running ok.</t>
  </si>
  <si>
    <t>Change air filter, oil filter and oil</t>
  </si>
  <si>
    <t>Change Air filter, oil filter and oil</t>
  </si>
  <si>
    <t>Attend the site for scheduled service so drain oil from the tank and drained oil from the cooler total 37 liters oil drain. Then change, air filter for compressor and engine both sides, change the oil filter, change the air oil separator, change BDV kit, ARV kit, pressure regulator kit, actuator kit and ELGI air lube Plus oil 40 liters. Then start the unit found running ok.</t>
  </si>
  <si>
    <t>Attend the site for 3000 hours schedule service so overall drain lil from tank and oil cooler 39 litres. After then replace separator filter , oil filter nos., Air filter engine and compressor both side. As per elgi schedule maintenance service valve kit replaced are mpv kit, bdv kit, arv kit, pressure regulator kit, rpm regulator kit, actuator kit compressor side and engine side and osv kit. After valve kit replacement plugged in the drain plugs and fill oil in separator tank upto full gauge level. Start the unit for sometime and stop it , again fill oil in tank upto half guage level. Overall topped up oil 40 litres. After all work done start the unit and set the line pressure 17.5 bar at 1300 idle rpm. Unit is running satisfactory condition.</t>
  </si>
  <si>
    <t>Attend the site for schedule service so following jobs are done, drain oil from tank and oil cooler 38 litres, replace oil filter, air filter engine and compressor both side. Plugged in the drain plugs and fill oil in tank upto full guage level. Start the unit for sometime and again maintain the oil level upto half guage level. Overall topped up oil in tank 40 litres. After schedule service done start the unit and checked on load condition found unit is running in normal parameters.</t>
  </si>
  <si>
    <t>Attend the site for schedule service so drain oil from tank and drain oil from cooler total 37 liter oil drained then change oil filter, air filter for compressor and engine both side then start the unit found running ok.</t>
  </si>
  <si>
    <t>Attend the site for scheduled service so drain oil from the tank and drained oil from the cooler total 36 liters oil drain. Then air filter for compressor and engine both sides, change oil filter and ELGI air lube Plus oil 40 liters. Then start the unit found running ok.</t>
  </si>
  <si>
    <t>Attend the site for scheduled service so drain oil from the tank and drained oil from the cooler total 110 liters oil drain. Then air filter for compressor and engine both sides, change air oil separator, change all valve kit, change oil filter and ELGI air lube Plus oil 120 liters. Then start the unit found running ok.</t>
  </si>
  <si>
    <t>Attend the site for scheduled service so drain oil from the tank and drained oil from the cooler total 115 liters oil drain. Then air filter for compressor and engine both sides, change air oil separator, change all valve kit, change oil filter and ELGI air lube Plus oil 120 liters. Then start the unit found running ok.</t>
  </si>
  <si>
    <t>Attend the site for schedule service so drain oil from tank and drain oil from cooler to 38 liters oil drain then change oil filter and oil 40 liters after then start the unit found running ok.</t>
  </si>
  <si>
    <t>Attend the site for schedule service so drain oil from cooler and drain oil from tank total 37 liter oil drain then Change air filter for compressor and engine both side then change oil filter and change BDV KIT, MPV kit, ARV kit, actuator kit, pressure regulator kit and air oil separator and change oil 40 liter then start the unit found running ok.</t>
  </si>
  <si>
    <t>Valve kit service done by customer itself</t>
  </si>
  <si>
    <t>Attend the site for schedule service so drain oil from tank and cooler about 38 liter after that change oil filter, air filter compress or and engine both side and oil 40 liters. After that start the unit found running ok.</t>
  </si>
  <si>
    <t>Attend the site for schedule service so change air oil separator and change BDV kit, ARV kit, pressure regulator kit, ADV kit then start the unit found running ok.</t>
  </si>
  <si>
    <t>Attend the site for schedule service so drain oil from cooler and drain oil from tank total 38 liter oil drain then Change air filter for compressor and change oil filter filter, change air oil separator, Change BDV KIT, MPV kit, ARV kit, actuator kit, pressure regulator kit and oil 40 liter then start the unit found running ok.</t>
  </si>
  <si>
    <t>Attend the site for schedule service so drain oil from cooler and drain oil from tank total 37 liter oil drain then Change air oil separator and change BDV KIT, MPV kit, ARV kit, actuator kit, pressure regulator kit and oil 40. Then start the unit found running ok.</t>
  </si>
  <si>
    <t>Upon attending the site, the scheduled service commenced with the draining of oil from both the tank and the cooler, totaling 38 liters. Following this, the air filters for both the compressor and the engine were replaced to ensure optimal performance. Additionally, the oil filter was changed, and ELGI air lube was replenished with 40 liters of oil. After completing these tasks, the unit was started and found to be running smoothly, indicating that the service was successful and effective.</t>
  </si>
  <si>
    <t>Attend the site for schedule service so drain oil from tank and drain oil from cooler to 38 liters oil drain then change air filter for compressor side then change oil filter and oil 40 liters after then start the unit found running ok.</t>
  </si>
  <si>
    <t>Attend the site for schedule service so drain oil from cooler and drain oil from tank total 37 liter drain then Change air filter for compressor and engine both side then change oil filter and oil 40. Then start the unit found running ok.</t>
  </si>
  <si>
    <t>Attend the site for scheduled service so drained oil from the tank and drained oil from the cooler total 17 liters oil drained then change air filter for compressor side, change oil filter, change valve kit MPV kit, BDV kit, solenoid valve kit, change intake valve kit, change pressure regulator kit, change actuator assembly, change safety pressure switch and change ELGI air lube Plus oil 20 liters. Then start the unit found running ok.</t>
  </si>
  <si>
    <t>Attend the site for schedule service so total amount of drain oil from tank and oil cooler 38 litres with one dead crank ,after then replace air filter engine and compressor both side, replace oil filter 2nos. Replaced air oil separator, replaved MPV kit, BDV kit 2nos, replaced pressure regulator Plugged in the drain plugs and total topped up oil in tank with one start up 40 litres. After schedule service done start and run the unit on load condition found unit is running in normal parameters.</t>
  </si>
  <si>
    <t>Attend the site for scheduled service so drain oil from the tank and drained oil from the cooler total 37 liters oil drain, then change air filter for compressor and engine both sides, change oil filter,change the air oil separator, change all valve kit and ELGI air lube Plus oil 40 liters. Then start the unit found running ok.</t>
  </si>
  <si>
    <t>Attend site for schedule service so following job are done- overall drained oil from tank and oil cooler 38 liter replace oil filter 90 lpm 2 nos, replace air oil separators, replace air filter engine and compressor side, plugged in all drain plugs and fill oil in tank upto full gauge level, replace new MPV kit, ARV kit, actuator kit 2 nos, pressure regulator kit 2 nos, BDV kit. Start the unit for sometimes and stop and again fill oil in tank upto half gauge levels. Overall topped up oil 40 liter. After then run the unit on load condition found unit is running in good condition.</t>
  </si>
  <si>
    <t>Attend the site for scheduled service so drain oil from the tank and drained oil from the cooler total 38 liters oil drain. Then change the air filter for the compressor and engine both sides, change the oil filter, change the air oil separator, change all valve kit and ELGI AIR lube Plus oil 40 liters. Then start the unit found running ok.</t>
  </si>
  <si>
    <t>Attend the site for scheduled service so drain oil from the tank and drained oil from the cooler total 37 liters oil drain then change air filter for compressor and engine both sides change oil filter, change air oil separator, change BDV kit, ADV kit, ARV kit, change actuator kit and ELGI AIR lube Plus oil 40 liters . Then start the unit found running ok.</t>
  </si>
  <si>
    <t>Attend the site for scheduled service so dain oil from tank and drain oil from cooler total 38 liters oil drain then change air filter kit for compressor and engine both side then change oil filter and air oil separator and all valve kit then 40 liters oil.</t>
  </si>
  <si>
    <t>Customers are scheduled for service by themselves. Customer purchase services spares from local vendors and changes air filter for compressor side and ELGI air lube Plus oil 40 liters. Then start the unit found running ok.</t>
  </si>
  <si>
    <t>Attend the site for schedule service so drain oil from tank and cooler about 38 liter after that change oil filter, air filter compress or and engine both sote and oil 40 liters. After that start the unit found running ok.</t>
  </si>
  <si>
    <t>Attend the site for schedule service so drain oil from tank and drain oil from cooler total 38 liters oil drain then change air filter for engine and compressor both side then change air oil separator, change oil filter, change arv kit, bdv kit, mpv kit, pressure regulator and oil 40 liters. Then start the unit found running ok.</t>
  </si>
  <si>
    <t>Attend the site for schedule service so drain oil from cooler and drain oil from tank total 37 liter oil drain then Change air oil separator and change air filter for compressor and engine both side then change oil filter and change BDV KIT, MPV kit, ARV kit, actuator kit, pressure regulator kit and oil 40 liter then start the unit found running ok.</t>
  </si>
  <si>
    <t>Replace air filter engine and compressor side, Replace new MPV kit ARV kit, actuator kit 2 nos, pressure regulator kit 2 nos, BDV kit and change 40 liters ELGI air lube oil plus.</t>
  </si>
  <si>
    <t>Attend the site for schedule service so drain oil from tank and drain oil from cooler to 38 liters oil drain then change oil filter, air filter for compressor side and oil 40 liters after then start the unit found running ok.</t>
  </si>
  <si>
    <t>Attend the site for scheduled service so drain oil from the tank and drained oil from the cooler total 37 liters oil drain, then change air filter for compressor and engine both sides, change oil filter, change air oil separator, change all valve kit and change ELGI air lube Plus oil 40 liters. Then start the unit found running ok.</t>
  </si>
  <si>
    <t>Change Air filter, oil filter, separator, oil and valve kit.</t>
  </si>
  <si>
    <t>Attend the site for schedule service so drain oil from tank and cooler about 38 liter after that change oil filter, air oil separator, air filter compress or and engine both site, MPV kit, BDV kit, pressure regulator kit, actuator kit and oil 40 liters. After that start the unit found running ok.</t>
  </si>
  <si>
    <t>Change Air filter, oil filter, separator, valve kit, oil and also change engine side air filter.</t>
  </si>
  <si>
    <t>Attend the site for schedule service so drain oil from tank and drain oil from cooler total 37 liter oil drained then change oil filter, air filter for compressor side then start the unit found running ok.</t>
  </si>
  <si>
    <t>Change oil filter and oil 40 liters</t>
  </si>
  <si>
    <t>Attend the site for schedule service so drain oil from cooler and drain oil from tank total 37 liter oil drain then Change air filter for compressor side and change oil filter and oil 40 liter. After then start the unit found running ok.</t>
  </si>
  <si>
    <t>Attend the site for shedule service so following Job are done Oil drain from tank and cooler after cranking two times again oil drain from tank and cooler total drain oil is 24 litter after change parts oil Air lube plus 27 litter separator filter, actuator kit 1nos Oil filter 2nos 75 lpm air filter 1nos after shedule service done than start the unit running good condition no air leakeag no oil leakage unit running good condition</t>
  </si>
  <si>
    <t>Please visit the site to schedule the service for draining 35 liters of oil from the tank and cooler. Additionally, replace the air filter for both the compressor and engine, as well as the oil filter, BDV kit, actuator kit, pressure regulator kit, MPV kit, air oil separator, and add 40 liters of oil. Finally, start the unit to ensure it is running properly.</t>
  </si>
  <si>
    <t>Change Air filter, oil filter and oil and also change engine side air filter</t>
  </si>
  <si>
    <t>Attend the site for schedule service so drain oil from cooler and drain oil from tank total 37 liter oil drain then change air oil separator, change air filter for compressor side and change oil filter, BDV KIT, ADV kit, ARV kit, actuator kit, pressure regulator kit and oil 40 liter. After then start the unit found running ok.</t>
  </si>
  <si>
    <t>Attend the site for schedule service so drain oil from cooler and drain oil from tank total 37 liter oil drain then Change air filter for compressor side and change oil filter filter and oil 40 liter then start the unit found running ok.</t>
  </si>
  <si>
    <t>Attend the site for schedule service so total drain oil from tank and oil cooler 37 litres with two dead cranks, after the replace air filter engine and compressor both side, replace oil filters 2 nos. 90 lpm, plugged in the drain plugs and total topped up oil in tank 38 litres. After schedule service done start and run the unit on load condition found unit is running in normal parameters.</t>
  </si>
  <si>
    <t>Attend the site for schedule service so drain oil from cooler and drain oil from tank total 37 liter oil drain then Change air filter for compressor side and change oil filter and oil 40 liter then start the unit found running ok and.</t>
  </si>
  <si>
    <t>Attend the site for schedule service so drain oil from tank and drain oil from cooler total 38 liters oil drain then change oil filter, air filter compressor and engine both side and change 40 liters oil. After then start the unit found running ok.</t>
  </si>
  <si>
    <t>Attend the site for scheduled service so drain oil from the tank and drained oil from the cooler total 37 liters oil drain. Then change the air filter for the compressor and engine both sides, change the oil filter, change the air oil separator, change all valve kit and ELGI air lube Plus oil 40 liters. Then start the unit found running ok.</t>
  </si>
  <si>
    <t>Attend the site for scheduled service so drain oil from the tank and drained oil from the cooler total 118 liters oil drain, then change air filter for compressor and engine both sides change oil filter and ELGI air lube Plus oil 120 liters. Then start the unit found running ok.</t>
  </si>
  <si>
    <t>Change Air filter, oil filter, air oil separator, and oil</t>
  </si>
  <si>
    <t>Attend the site for scheduled service so dain oil from tank and drain oil from cooler total 38 liters oil drain then change air filter kit compressor and engine both side then change oil filter and oil 40 liters</t>
  </si>
  <si>
    <t>Attend the site for schedule service so drain oil from tank and drain oil from cooler to 38 liters oil drain then change oil filter 2 nos and oil 40 liters after then start the unit found running ok.</t>
  </si>
  <si>
    <t>Change Air filter, oil filter, separator, valve kit and oil also change engine side air filter.</t>
  </si>
  <si>
    <t>Attend the site for schedule service so drain oil from tank and drain oil from cooler to 38 liters oil drain then change oil filters 2no and oil 40 liters after then start the unit found running ok.</t>
  </si>
  <si>
    <t>Attend the site for schedule service so following jobs are done, total Drain oil from tank and oil cooler 130 litres, replace main oil filter 2nos, by pass oil filter 1no, replace separator filter. Plugged in the drain plugs and fill oil in tank upto full guage level, start the unit for sometime and again maintain the oil level upto half guage level. Total topped up oil 140 litres . After schedule service done start and run the unit found all parameters are under limit.</t>
  </si>
  <si>
    <t>Attend the site for schedule service so drain oil approx 118 liters from cooler and tank after that replace air filter compressor side, change MPV kit, BDV kit, ADV kit, pressure regulator kit and actuator kit also changed and oil 120 litres, oil filter 90 lpm 2nos. After all work done start the unit after then check the unit on load condition found unit is running in normal with all parameters under limit.</t>
  </si>
  <si>
    <t>Attend the site for scheduled service so drain oil from the tank and drained oil from the cooler total 37 liters oil drain then change air filter for compressor and engine both sides, change oil filter, change air oil separator, change BDV kit, ADV kit, pressure regulator kit, actuator kit and ELGI air lube Plus oil 40 liters. Then start the unit found running ok.</t>
  </si>
  <si>
    <t>Attend the site for scheduled service so change air filter for compressor and engine both sides, change oil filter , change air oil separator, change all valve kit and change ELGI air lube Plus oil 40 liters. Then start the unit found running ok.</t>
  </si>
  <si>
    <t>Change air filter, oil filter, air oil separator and oil</t>
  </si>
  <si>
    <t>Trend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t>
  </si>
  <si>
    <t>Attend the site for schedule service so job started as follows - overall drained oil from tank and oil cooler 38 liters, changed oil filter 90 lpm 2 nos, changed air oil separators, change air filter engine ans compressor side, plugged in all drain plugs and fill oil in tank upto full gauge level. Changed new MPV kit, ARV kit, Actuator kit 2 nos, pressure regulator kit 2 nos. BDV kit. Start the unit for sometime and stop ans again fill oil in tank upto half gauge level. Overall topped up oil 40 liters, after then run the unit on load condition found running in good condition.</t>
  </si>
  <si>
    <t>Attend the site for schedule service so following jobs are done- Start the unit fot sometime and checked on load and in condition found unit is running in normal parameters. After sometime drain oil from tank and oil cooler found over all drained oil 113 litres, replace air filter, replace main oil filter and bearing oil filter. Plugged in the drain plugs and fill oil in tank upto full guage level . Start the unit and stop it and again fill oil in tank upto half gauge level, overall topped up oil 117 litres. After all work done run the unit on load condition found unit is running with normal parameters.</t>
  </si>
  <si>
    <t>Attend the site for schedule service start the work oil drain tank and cooler after cranking 2 Time total oil drain 38 liter change parts-oil 38lit oil filter 2 nos replace the parts and start the unit unit running good condition</t>
  </si>
  <si>
    <t>Attend the site for schedule service so drain oil approx 38 liters from cooler and tank after that replace air filter compressor side and oil 40 litres, oil filter 90 lpm 2nos. After all work done start the unit after then check the unit on load condition found unit is running in normal with all parameters under limit.</t>
  </si>
  <si>
    <t>Attend the site for schedule service, so drain oil from tank and drain oil from cooler total 37 liters oil drain then change air filter for compressor and engine both side, change oil filter , change all valve kit, change air oil separator and change ELGI air lube plus oil 40 liters. Then start the unit found running ok.</t>
  </si>
  <si>
    <t>Attend the site for schedule service so drain oil from cooler and drain oil from tank total 37 liter oil drain then Change BDV KIT, MPV kit, ARV kit, actuator kit, pressure regulator kit and oil 40 liter then start the unit found running ok.</t>
  </si>
  <si>
    <t>Attend the site for schedule service so drain oil from tank and drain oil from cooler total 19 liters oil drain. Then change oil filter 2 nos, change air filter 2 nos for compressor and engine both side, and change ELGI air lube plus oil 20 liters. Then start the unit found running ok.</t>
  </si>
  <si>
    <t>Attend the site for scheduled so change Air filter for compressor and engine both sides and change oil filter. Then start the unit found running ok.</t>
  </si>
  <si>
    <t>Attend the site for schedule service so following Job are done Oil drain from tank and cooler after cranking two times again drain oil form tank and cooler total drain oil is 37 liter after repalce oil filter 2nos air filter 2nos compressor and engine both side topped oil in tank 39 liter with one dead Crank after shedule service done than start the unit running good condition no air leakeag no oil leakage unit running satisfaction</t>
  </si>
  <si>
    <t>Attend the site for schedule service so replace oil 40litres , oil filter, air filter engine and compressor both side. Total drain oil 37 litres. After schedule service done start and run the unit on load condition found unit is running in normal condition.</t>
  </si>
  <si>
    <t>Attend the site for schedule service so drain oil fromtankanddraonoil from cooler then change air filter for compressor engine both side then change oil filter and oil then change 40 liter oil. After then start then found running OK.</t>
  </si>
  <si>
    <t>Attend the site for schedule service so drain oil from cooler and drain oil from tank total 37 liter oil drain then Change air filter for compressor and engine both side then change oil filter, change air oil separator, pressure regulator kit, actuator kit and BDV KIT and oil 40 liter then start the unit found running ok.</t>
  </si>
  <si>
    <t>Attend the site for schedule service so following jobs are done- Drain oil from tank and oil cooler 38 litres, replace oil filter 2nos., replace air filter engine and compressor both side. Valve kit are replaced- Actuator kit 2 nos., BDV kit, ARV kit, MPV kit, OSV kit and discharge check valve. Plugged in the drain plugs and fill oil in tank upto full guage level. Dead crank the unit one time and maintain the oil level upto half guage level. Overall topped oil 40 litres. Start the unit and run on load condition found unit is running in ok condition.</t>
  </si>
  <si>
    <t>Attend the site for schedule service so drain oil approx 18 liters after oil drain change air filter, oil filter and change oil 20 liters after that start the unit found running ok.</t>
  </si>
  <si>
    <t>Visit the site to schedule a service to drain oil from the tank and cooler, totaling 17 liters of oil. Replace the air filter for both the compressor and engine, followed by changing the oil filter and adding 20 liters of oil. Finally, start the unit and ensure it is running smoothly</t>
  </si>
  <si>
    <t>Upon attending the site for scheduled service, the following tasks were performed: the air filters for both the compressor and engine were replaced, and the oil filter was also changed. Additionally, 40 liters of ELGI air lube plus oil were added to ensure optimal performance. After completing these maintenance activities, the unit was started and found to be running smoothly, indicating that all services were successfully executed.</t>
  </si>
  <si>
    <t>Attend the site for scheduled service so drain oil from the tank and drained oil from the cooler total 37 liters oil drain. Then change air filter for compressor and engine both sides change oil filter, change air oil separator, change all valve kit and ELGI AIR lube Plus oil 40 liters then start the unit found running ok</t>
  </si>
  <si>
    <t>Attend the site for schedule service so drain oil from cooler and drain oil from tank total 18 liters oil drain then Change oil filter and air filter for compressor side and change oil 20 liters. Then start the unit found running ok.</t>
  </si>
  <si>
    <t>Please visit the site to schedule the service. Begin by draining 37 liters of oil from the tank and cooler. Proceed to replace the air filters for both the compressor and engine. After that, replace the oil filter and add 40 liters of oil. Finally, start the unit to ensure it is running properly.</t>
  </si>
  <si>
    <t>SERVICE DONE</t>
  </si>
  <si>
    <t>To ensure optimal performance and maintenance of the equipment, the following service schedule was executed: 1. **Oil Drainage**: A total of 37 liters of oil was drained from the system, comprising 35 liters from the tank and 2 liters from the cooler. This step is crucial for maintaining the integrity and efficiency of the machinery. 2. **Filter Changes**: The air filters for both the compressor and engine were replaced to enhance air quality and performance. Additionally, the oil filter was changed to ensure that the lubrication system operates effectively. 3. **Oil Replacement**: The ELGI air lube plus oil was replenished with 40 liters of fresh oil, which is essential for the smooth operation of the machinery. 4. **Unit Start-Up**: After completing the maintenance tasks, the unit was started and observed to be running smoothly, indicating that the service was successful. This comprehensive service not only prolongs the life of the equipment but also ensures that it operates at peak efficiency. Regular maintenance is key to preventing unexpected breakdowns and ensuring reliability in operations.</t>
  </si>
  <si>
    <t>Attend the site for schedule service so following jobs are sone :- Start the unit and run the unit until DOT reaches 90 deg. cel. After th drain the oil found oil red in colour with burning smell so crank the unit three times and drain oil from tank, oil cooler and radial outlet temperature sensor port total drain oil 28 litres only . So fill oil in tank air lube plus 15 litres and run the unit in 100 deg.cel. for 10 minutes and again flush the oil with three dead cranks. Total flush oil 13 litres. After then replace oil filter 90 lpm 2nos. Replace air filter compressor side . Engine side air filter found in good condition also it was replaced by customer in 300 running hours. After then fill oil in tank 40 litres in level. After all work done run the unit on load condition found before casing dot reaches 90 deg.cel. and after casing 86 deg.cel. in 1600 drilling rpm. Now unit is running with limit parameters.</t>
  </si>
  <si>
    <t>Attend the site for schedule service so drain oil from frank, drain oil from oil cooler after crank 2 times again dain oil from tank, drain oil from oil cooler total 36 liter oil drain then change air filters compressor and engine side, change oil filters and change 4 liter oil after then start the unit found running ok</t>
  </si>
  <si>
    <t>Attend the site for schedule service so drain oil from cooler and drain oil from tank total 38 liter oil drain then Change air filter for compressor and engine both side then change oil filter and oil 40 liter then start the unit found running ok...</t>
  </si>
  <si>
    <t>Attend the site for schedule service so total drain oil from tank and oil cooler 38 litres, replace air filter kit engine and compressor both side, replace separator filter, oil filter 2nos, actuator kit 2nos., arv kit and main pressure regulator kit. Plugged in drain plugs and total fill oil in tank 40 litres with one crank. After all work done start and run the unit and adjust the idle pressure 240 psi at 1300 idle rpm, flushing rpm 2100 at 160 psi and check basic setting drilling rpm 1550 at 220 psi , unit is running in normal parameters.</t>
  </si>
  <si>
    <t>Attend the site for schedule service, so drain oil from tank and drain oil from cooler total 37 liters oil drain then change air filter for compressor and engine both side, change oil filter and change ELGI air lube plus oil 40 liters. Then start the unit found running ok.</t>
  </si>
  <si>
    <t>Attend the site for schedule service so drain oil from tank and drain oil from cooler total 17 liters oil drain then change air filter for engine and compressor both side then change oil filter then change 20 liters oil after then start the unit found running ok.Attend the site for schedule service so drain oil from tank and drain oil from cooler total 17 liters oil drain then change air filter for engine and compressor both side then change oil filter then change 20 liters oil after then start the unit found running ok..</t>
  </si>
  <si>
    <t>Attend the site for schedule service so drain oil from tank and drain oil from cooler total 17 liter oil drain then Chand air filter for compressor and engine both side then change oil filter then change 19 liters oil. After then start the unit found running ok.</t>
  </si>
  <si>
    <t>Attend the site for scheduled service so drain oil from the tank and drained oil from the cooler total 36 liters oil drain. Then change the air filter for the compressor and engine both sides, change the oil filter, change the air oil separator, change all valve kit and ELGI air lube Plus oil 40 liters. Then start the unit found running ok.</t>
  </si>
  <si>
    <t>Change Air filter, oil filter also change engine side air filter</t>
  </si>
  <si>
    <t>Attend the site for 1450 hours schedule service so following Job are done Oil drain from tank and cooler 17 litter overall oil topped in separator tank 19 liters with One dead crank.repalce Air filter 2nos engine and compressor both side,oil filter 2nos separator filter,After shedule service done,strat the unit Runining good condition at present</t>
  </si>
  <si>
    <t>Attend the site for shedule service 3700 so following Job are done Total drain Oil from tank and cooler 108 liters after replace air filter 1nos compressor side Oil filter 2nos and 75lpm oilfilter 1nos overall topped oil in tank 112 liters with One dead Crank after shedule service donthan start the unit running good condition no air leakeag no oil leakage at</t>
  </si>
  <si>
    <t>Attend the site for schedule service so drain oil from tank and cooler about 38 liter after that change oil filter, air filter compress or and engine both site and oil 40 liters. After that start the unit found running ok.</t>
  </si>
  <si>
    <t>Attend the site for schedule service so drain oil from tank, drain oil from cooler approximately 37 liter oil drain, after oil drain change oil filter 2 nos, air filter 2 nos for engine and compressor both side and change 40 liter oil after that start the unit found running ok.</t>
  </si>
  <si>
    <t>Attend the site for 3780 hours schedule service so following jobs are done - Total drain oil from tank and oil cooler 38 litres, after then replace air filter engine and compressor both side, replace WORKDONE oil filter 2nos, Overall topped up oil in tank 40 litres with one dead crank. After schedule service done start the unit and run on load condition found unit is running in normal condition.</t>
  </si>
  <si>
    <t>Sales call carried out for HMR update</t>
  </si>
  <si>
    <t>Attend the site for schedule service so replace oil 40 litres, replace oil filter 90 lpm 2nos., and separator filter. After schedule service done start the unit and check on load condition found unit is running in ok condition with all parameters under limit.</t>
  </si>
  <si>
    <t>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t>
  </si>
  <si>
    <t>Attend the site for shedule service so following Job are done Oil drain from tank and cooler after cranking two times again Oil drain from tank and cooler total drain oil is 37 liter after repalce parts oil filter 2 nos air filter 2nos engine and compressor both side oil topped in separator tank with one dead Crank 39 liter after shedule service done than start the unit running good condition no air leakeag no oil leakage unit running satisfaction</t>
  </si>
  <si>
    <t>Attend the site for scheduled service so drain oil from the tank and drained oil from the cooler total 36 liters oil drain then change air filter for compressor and engine both sides, change oil filter and change ELGI air lube Plus oil 40 liters. Then start the unit found running ok.</t>
  </si>
  <si>
    <t>Attend the site for schedule service start the work oil drain tank and cooler after cranking 2 Time total oil drain 38 liter change parts-oil 38lit, oil filter 2 nos, actuator kit 1nos engine side replaced the parts and start the unit unit running good condition all parameters proper work</t>
  </si>
  <si>
    <t>Attend the site for schedule service so drain oil from tank and drain oil from cooler total 38 liters oil drain. Then change air filter for compressor and engine both side, change oil filter and change 40 liters ELGI air lube oil plus. Then start the unit found running ok.</t>
  </si>
  <si>
    <t>Attend the site for scheduled service so drained oil from tank 17 liters, drain oil from cooler 1.5 liters total 18.5 liters oil drain. Then change the air filter for the compressor and engine both sides, change the oil filter 2 numbers and change ELGI air lube Plus oil 20 liters. Then start the unit found running ok.</t>
  </si>
  <si>
    <t>Attend the site for scheduled service so drain oil from the tank and drain oil from cooler total 38 liters oil drain, then change air filter for compressor and engine both sides, change oil filter and ELGI air lube Plus oil 40 liters. Then start the unit found running ok.</t>
  </si>
  <si>
    <t>Attend the site for scheduled service so drain oil from the tank and drained oil from the cooler total 37 liters oil drain. Then change the air filter for the compressor and engine both sides, change the air oil separator, change the ARV kit, change the actuator kit both sides change the pressure regulator and ELGI air lube Plus oil 40 liters. Then start the unit found running ok.</t>
  </si>
  <si>
    <t>Attend the site for schedule service so following jobs are done, total drain oil from tank and oil cooler 110 litres, after then replace aircikter, main oil filters, by pass oil filter and separator filter. Actuator kit replaced 3 nos., pressure regulator kit replaced 3nos., and ARV kit. After service parts replaced plugged in the drain plugs and fill oil in tank upto full guage level. Start and stop the unit and maintain the oil level upto half guage level. Total topped up oil in tank 114 litres. After schedule service done start and run the unit on load condition found unit is running in normal parameters.</t>
  </si>
  <si>
    <t>Attend the site for schedule service so drain oil from cooler and drain oil from tank total 37 liter oil drain then Change air filter for compressor and engine both side then change oil filter, change air oil separator, change BDV KIT, MPV kit, ARV kit, actuator kit, pressure regulator kit and oil 40 liter. After then start the unit found running ok.</t>
  </si>
  <si>
    <t>Attend the site for schedule service so drain oil from tank and drain oil from cooler total 17 liters oil drain then Change air filter for compressor and engine both side then change oil filter, air oil separator, BDV KIT, PRV KIT and oil 20 liters. Then start the unit found running ok.</t>
  </si>
  <si>
    <t>Please visit the site to schedule a service appointment. The service includes draining 37 liters of oil from the tank and cooler, replacing the air filter for both the compressor and engine, changing the oil filter, replacing the air oil separator, performing the 1500 hours service kit, and adding 40 liters of oil. After completion, the unit was tested and found to be running smoothly.</t>
  </si>
  <si>
    <t>Attend the site for schedule service so drain oil from tank and oil cooler 35 litres, replace air filter engine and compressor both side , replace oil filter 2nos., plugged in the drain plugs and topped up oil in tank upto 38 litres. After schedule service done start the unit and check on load condition found unit is running in ok condition.</t>
  </si>
  <si>
    <t>Attend the site for scheduled service so drained oil from the cooler and drained oil from the tank total 37 liters oil drain. Then change the air filter for the compressor and engine both sides, change oil filter, change the air oil separator, change the spare kit for 1500 hours. Then change ELGi air lube Plus oil 40 liters. Then start the unit found running ok.</t>
  </si>
  <si>
    <t>Attend the site for scheduled service so drain oil from the tank and drained oil from the cooler total 37 liters oil drain. Then change the air filter for the compressor and engine both sides, change the oil filter,change the air oil separator, change all valve kits and change ELGI air lube Plus oil 40 liters. Then start the unit found running ok.</t>
  </si>
  <si>
    <t>The scheduled service was successfully conducted on the unit, which involved a comprehensive oil management procedure. Initially, a total of 37 litres of drain oil was extracted from the tank and oil cooler, accompanied by the removal of two dead cranks. Following this, the oil filter was replaced with two units rated at 90 litres per minute, ensuring optimal flow and filtration. In addition to the oil filter replacement, both the engine and compressor air filters were replaced to maintain air quality and efficiency. The BDV kit, ARV kit, APV kit, Pressure regulator kit, acctuator kit was also replaced as part of the service protocol. After completing these tasks, the drain plugs were securely plugged in, and the oil tank was topped up with 40 litres of oil, accommodating one dead crank. Upon completion of the scheduled service, the unit was started and operated under load conditions. It was observed that the unit was running within normal parameters, indicating that the service was effective and the unit is functioning optimally.</t>
  </si>
  <si>
    <t>Attend the site for schedule service, so drain oil from tank and drain oil from cooler total 38 liters oil drain, then change air filter for compressor and engine both side, change oil filter, change air oil separator and change ELGI air lube plus oil 40 liters. Then start the unit found running ok.</t>
  </si>
  <si>
    <t>Attend the site for schedule service.so start the work. Oil drain from tank and cooler . Total oil drain 37 litres.after change parts.oil air lube Plus 40 litres,oil filter 2nos.air filter engine and compressor both side 2nos, actuator assembly 1nos after schedule service done start the unit found running good condition.</t>
  </si>
  <si>
    <t>Attend the site for 2500 hours shedule service so following Job are done total drain oil from36 litter after replace air filter 2 nos compressor and engine both side oil filter 2nos overall topped oil in tank 38 liters with One dead after shedule service done than start the unit runing good condition</t>
  </si>
  <si>
    <t>Attend the site for schedule service so replace saprator filter, air filter engine and compressor both side, oil filter, oil 40 litres , arv kit , main pressure regulator kit and actuator kit engine and compressor both side. After schedule service done start and run the unit on load condition found unit is running in ok condition with all parameters under limit.</t>
  </si>
  <si>
    <t>Attend the site for shedule service so following Job are done Oil drain from tank and cooler after cranking two times again Oil drain from tank and cooler total drain oil is 37 liter after change parts oil topped in tank with one dead Crank 40 litters oil filter 2 nos after shedule service done than start the unit running good condition no air leakeag no oil leakage unit running satisfaction</t>
  </si>
  <si>
    <t>service done</t>
  </si>
  <si>
    <t>Attend the site for schedule service start the work oil drain tank and cooler after cranking 2 Time total oil drain 38 liter change parts-oil 38lit, oil filter 2 nos, air filter 2 nos replace the parts and start the unit unit running good condition all parmanent working under limit</t>
  </si>
  <si>
    <t>Visit the site to schedule a service. Drain 38 liters of oil from the tank and cooler in a friendly manner. Replace the air filter for both the compressor and engine. Change the oil filter and add 40 liters of oil. Once the service is completed, start the unit to ensure everything is running smoothly.</t>
  </si>
  <si>
    <t>Attend the site for schedule service so drain oil from tank and drain oil from cooler total 17 liters oil drain then change air filter for compressor and engine both side, then change oil filter and ELGI air lube plus oil 20 liters. Then start the unit found running ok,.</t>
  </si>
  <si>
    <t>Attend the site for schedule service so replace oil , oil filter, air filter and separator filter. Overall drained oil 39 litres, and total topped up oil 42 litres.After schedule service done start and run the unit on load condition found unit is running in normal parameters.</t>
  </si>
  <si>
    <t>Attend the site for schedule service so drain oil from cooler and drain oil from tank total 37 liter oil drain then Change air filter for compressor and engine both side then change oil filter and air oil separator and oil 40 liter then start the unit found running ok.</t>
  </si>
  <si>
    <t>Attend the site for 3000 HMR services so start the work oil drain tank and cooler after cranking 2 Time total oil drain 38 liter change parts-oil 40lit, Air filter 2 nos,and 3000 service kit replace the parts and start the unit unit running good condition all parameters proper work</t>
  </si>
  <si>
    <t>Attend the site for scheduled service so drain oil from the tank and drained oil from the cooler total 37 liters oil drain then change air filter for compressor and engine both sides, change oil filter, air oil separator and ELGI air lube Plus oil 40 liters. Then start the unit found running ok.</t>
  </si>
  <si>
    <t>Visit the location to schedule a service to drain oil from the tank and cooler, totaling 34 liters of oil. Replace the oil filter and add 40 liters of fresh oil. Afterwards, start the unit and ensure it is running smoothly.</t>
  </si>
  <si>
    <t>Wrong call logged</t>
  </si>
  <si>
    <t>Attend the site for schedule service so drain oil from tank and drain oil from cooler total 110 liters oil drain. Then change air filter for compressor side, change oil filter and chaange 120 liters oil. Then start the unit found running ok.</t>
  </si>
  <si>
    <t>To ensure optimal performance and longevity of the equipment, please proceed with the following scheduled service tasks at the site: 1. Replace the air filter for both the compressor and engine. 2. Change the oil filter. 3. Install a new BDV kit. 4. Replace the pressure regulator kit. 5. Change the actuator kit. 6. Replace the air oil separator. 7. Add 40 liters of ELGI Air Lube plus oil. After completing these tasks, start the unit and verify that it is operating correctly. This comprehensive maintenance will help maintain efficiency and prevent potential issues in the future.</t>
  </si>
  <si>
    <t>Attend the site for scheduled service so drain oil from the tank and drained oil from the cooler total 37 liters oil from then change the air filter for compressor and engine both sides, change oil filter and ELGI air lube Plus oil 40 liters. Then start the unit found running ok.</t>
  </si>
  <si>
    <t>Attend the site for scheduled service so drain oil from the tank and drained oil from the cooler total 110 liters oil drain then change spin on oil filter 2 nos, oil filter 75 lpm 1 nos and ELGI air lube Plus oil 150 liters. Then start the unit found running ok.</t>
  </si>
  <si>
    <t>Attend the site for schedule service so drain oil from cooler and drain oil from tank total 38 liter oil drain then Change air filter for compressor and engine both side then change oil filter, change air oil separator, Change BDV KIT, MPV kit, ARV kit, actuator kit, thermal valve kit and oil 40 liter then start the unit found running ok.</t>
  </si>
  <si>
    <t>To ensure optimal performance and maintenance of the equipment, please attend the site to carry out the scheduled service. The tasks include draining a total of 33 liters of oil from both the tank and the cooler. Following this, it is essential to replace the air filters for both the compressor and the engine on each side. Additionally, the oil filter should be changed, along with the air oil separator. Furthermore, please refill with 40 liters of ELGI air lube plus oil. After completing these maintenance tasks, start the unit to confirm that it is running smoothly and efficiently. This thorough service will help maintain the longevity and reliability of the equipment.</t>
  </si>
  <si>
    <t>Attend the site for schedule service so drain oil from cooler and drain oil from tank total 37 liter oil drain then Change air filter for compressor and engine both side then change oil filter, change air oil separator and change BDV KIT, MPV kit, ARV kit, actuator kit, pressure regulator kit and oil 40 liter then start the unit found running ok</t>
  </si>
  <si>
    <t>Attend the site for schedule service so, drain oil from tank and drain oil from cooler total 38 liters oil drain. Then Change air filter for compressor and engine both side, change oil filter and change ELGI air lube oil please 40 liters. Then start the unit found running ok.</t>
  </si>
  <si>
    <t>Attend the site for schedule service so drain oil from tank and drain oil from cooler to 18 liters oil drain then change air filter for compressor side then change oil filter and oil 20 liters after then start the unit found running ok.</t>
  </si>
  <si>
    <t>Attend the site for scheduled service so drain oil from the tank and drained oil from the cooler total 37 liters oil drain then change air filter for compressor and engine both sides, change oil filter, change air oil separator and ELGI air lube Plus oil 40 liters. Then star, change all valve kit the unit found running ok.</t>
  </si>
  <si>
    <t>Attend the site as per customer complaint for seperator burnt, so inspect the unit found oil in burnt condition , seperator filter in burnt condition, mpv in broken condition, compressor side pre cleaner in burnt condition,ARV kit in burnt condition , discharge hose and control hose 3 no. found in burnt condition. This will happen may be any valve malfunction during operation and DOT sudden go high which cause for separator filter burnt. So open all hoses and cooler assembly clean cooler , tank and hoses internally, clean OSV,TV block and DCV assembly. Clean airend by new compressor oil with three dead cranks. After all cleaning procedure completed, fitted new seperator filter, oil filter, air filter, MPV assembly, actuator kit 2nos., ARV kit and fill oil in tank upto full guage level. Clean bdv assembly and pressure regulator assembly and refitted the same kit. Discharge hose and control hose arranged by customer locally, pre cleaner fitted by customer stock. Fan belt replaced by new from customer stock. After all work completed start and run the unit in operation found DOT is 85 deg.cel and all parameters are under limit.</t>
  </si>
  <si>
    <t>Attend the site for schedule service so drain oil from tank and cooler after 2 times crank again drain oil from tank and cooler total 37 liters oil drain after that change air filter 2 nos for engine and compressor side, change oil filter 2 nos, change actuator kit, change pressure regulator kit and change 40 liters oil. After that start the unit found running ok.</t>
  </si>
  <si>
    <t>Change air filter, oil filter, oil 40 liters, air oil separator also change engine side air filter</t>
  </si>
  <si>
    <t>Attend the site for 1500 hours schedule service so following Job done so replace oil, oil filter, separator filter, pressure regulator kit,arv kit, actuator kit engine and compressor both side.overall Drain oil is 37 litter with three dead crank also oil condition is good.overall topped up oil in tank 40 liter with one dead crank after shedule service done than start the unit running good condition no air leckege no oil lekeage unit running satisfactory</t>
  </si>
  <si>
    <t>Attend the site for schedule service so following jobs are done, total drain oil from tank and oil cooler 105 litres after then replace air filter kit, main oil filter 2nos, by pass oil filter 1no and separator filter. Plugged in the drain and fill oil in tank upto full guage level, total topped up oil 112 litres. After schedule service done start and run the unit on load condition found unit is running in normal parameters.</t>
  </si>
  <si>
    <t>Attend the site for scheduled service so drain oil from the tank and drained oil from the cooler total 37 liters oil drain. Then change the air filter for compressors and engine both sides, change the oil filter, Change then air oil separator, change BDV kit, ADV kit, ARV kit, pressure regulator kit and ELGI air lube Plus oil 40 liters. Then start the unit found running ok</t>
  </si>
  <si>
    <t>Attend the site for schedule service abhishek soni urimari ramghar.So start the work oil drain from tank and cooler after crank interval 15 sec Total oil drain 36 litre.after change parts.oil air lube 40 litre.oil filter 2 nos.air filter 2 nos engine and compressor side. This service done by air lube oil with customer recommend. After all work done.start the unit running found satisfactory.all parameters working under limit.</t>
  </si>
  <si>
    <t>Attend the site for schedule service so total drain oil from tank and oil cooler 102 litres, after then replace air filter compressor side, replace main oil filter 2nos, replace bearing oil filter 1no, replace separator filter, valve kit are replaced actuator kit 3nos, pressure regulator kit 3nos, ARV kit. After then plugged in the drain plug and total topped up oil in tank 112 litres with one dead crank , start the unit and set the load pressure to 330 psi at 1200 idle rpm. Schedule service work done ok unit running parameters are under limit.</t>
  </si>
  <si>
    <t>Attend the site for shedule service so following Job are done oil drain from tank and cooler after Cranking two' time's again oil drain from tank and cooler total drain oil is 38 liters after change parts, Air filter 2nos compressor and engine both side oil filter 2nos separator filter.arv kit,bdv kit, MPV kit, pressure regulator kit,1 nos , actuator kit 1nos engine side,osv kit dcv, after overall oil topped in separator tank in 39 litter with One dead Crank after shedule service done than start the unit running good condition no air leakeag no oil leakage unit running satisfaction</t>
  </si>
  <si>
    <t>Attend the site for shedule service so following Job are done Oil drain from tank and cooler after Cranking two' time's again oil drain from tank and cooler total drain oil is 39 litter after replace separator filter, arv kit, Prv kit, actuator kit 2nos oil filter 2nos oil topped in tank 40 litter after shedule service done than start the unit running good condition no air leakeag no oil leakage unit running satisfaction</t>
  </si>
  <si>
    <t>Attend the site for scheduled service so drain oil from the tank and drained oil from the cooler total 37 liters oil drain. Then change the air filter for the compressor and engine both sides, change the oil filter, change the air oil separator , change all valve kits and change ELGI air lube Plus oil 40 liters. Then start the unit found running ok.</t>
  </si>
  <si>
    <t>Attend the site for schedule service so replace oil, oil filter and air filter engine and compressor both side. Total drained oil 39 litres and total topped up oil 40 litres. after schedule service done start and run the unit found unit parameters are under normal condition.</t>
  </si>
  <si>
    <t>Attend the site for scheduled service so drained oil from the tank and drained oil from the cooler total 14 liters oil drain. Then change air lube Plus oil 20 liters, oil filter 2 no. Air filter 2 nos. Then start the unit found running ok.</t>
  </si>
  <si>
    <t>Attend the site for schedule service so drain oil from cooler and drain oil from tank total 37 liter oil drain then Change air filter for compressor and engine both side then change BDV KIT, MPV kit, ARV kit, actuator kit, pressure regulator kit and, air oil separator and change oil 40 liter then start the unit found running ok.</t>
  </si>
  <si>
    <t>Compressoe Schedule service already done dated 02-03-2024, but I customer logged call for engine side service so we refer call to AL dealer.</t>
  </si>
  <si>
    <t>Attend the site for schedule service so start the work oil drain from tank and cooler after crank interval 15 sec Total oil drain 36 litre after change parts oil 40 litre air lube plus oil filter 2 nos Air filter 2 nos engine and compressor side after Start the unit running satisfactory found</t>
  </si>
  <si>
    <t>Attend the site for scheduled service change oil filter and air filter for compressor and engine both sides then start the unit found running ok.</t>
  </si>
  <si>
    <t>Attend the site for schedule service so total drain oil from tank and oil cooler 37 litres with two dead cranks, after then replace oil filter 90lpm 2nos, replace air filter engine and compressor both side, plugged in the drain plugs and total topped up oil in tank 40 litres with one dead crank. After schedule service done start and run the unit on load condition found unit is running in normal parameters.</t>
  </si>
  <si>
    <t>Visited the site as per the schedule to drain 38 liters of oil from the tank and cooler. Proceed to replace the air filter for both the compressor and engine, followed by changing the oil filter and adding 40 liters of oil. Finally, start the unit and confirm that it is running smoothly.</t>
  </si>
  <si>
    <t>Attend the site for scheduled service so drain oil from the tank and drained oil from the cooler total 117 liters oil drain. Then change the air filter for the compressor side, change the oil filter, change the air oil separator, change all valve kit and change ELGI air lube Plus oil 112 liters then start the unit found running ok.</t>
  </si>
  <si>
    <t>Attend the site for scheduled service so drain oil from the tank and drained oil from the cooler total 100 liters oil drain, change air filter for compressor and engine both sides, change oil filter and change air oil separator then change ELGI air lube Plus 120 liters. Then start the unit found running ok.</t>
  </si>
  <si>
    <t>Attend the site for scheduled service so drain oil from tank 17 litres, drain oil from cooler 1 liters total 18 liters oil drain then change air filter 1 number, change oil filter 1 number and change ELGI elair lube Plus oil 20 liters. Then start the unit found running ok.</t>
  </si>
  <si>
    <t>Attend the site for 1500 hours scheduled service repalce separator filter. Arv kit. Actuator kit 2 nos compressor and engine both side pressure regulator kit 1 nos after shedule service done than start the unit running good condition no air leakeag no oil leakage unit running satisfaction all parameters work in under limit</t>
  </si>
  <si>
    <t>Attend the site for scheduled service so oil from the tank and drained oil from the cooler total 115 liters oil drain then change spin on filter 2 nos, oil filter 75 lpm 1 number, air filter 1 number and ELGI AIR lube Plus oil 120 liters. Then start the unit found running ok.</t>
  </si>
  <si>
    <t>Attend the site for schedule service so drain oil from tank and drain oil from cooler total 19 liters oil drain. Then change oil filter 2 nos, change air filter 2 nos for compressor side only, and change ELGI air lube plus oil 20 liters. Then start the unit found running ok.</t>
  </si>
  <si>
    <t>Attend the site for scheduled service so drain oil from the tank and drained oil from the cooler total 115 liters oil drain. Then change the air filter for the compressor and change spin on the oil filter 2 nos, change the oil filter 75 lpm 1 nos and ELGI air lube Plus oil 120 liters. Then start the unit found running ok.</t>
  </si>
  <si>
    <t>Attend the site for schedule service so total drain oil from tank and oil cooler 110 litres, after then replace main oil filter 2 nos., by pass oil filter 1no., separator filter, air filter, after then replace valve kits actuator kit 3nos., pressure regulator kit 3nos., arv kit 1no. After replacement topped up oil in tank upto full guage level, start the unit and stop the unit and maintain the oil level upto half guage level, total topped up oil in tank 112 litres. After all work done start the unit and set the air pressure to 24 bar at 1200 idle rpm also unit is running in satisfactory condition.</t>
  </si>
  <si>
    <t>Attend the site for schedule service start the work oil drain tank and cooler after cranking 2 Time total oil drain 35 lit, replace the parts separate,oil ,oil filter,air filter, actuator kit, pressure regulator kit,arv kit after change the parts and start the unit unit running good condition all parameters proper work</t>
  </si>
  <si>
    <t>Attend the site for schedule service so total drain oil from tank and oil cooler 38 litres after then replace air filter engine and compressor both side, replace main oil filter 2nos, replace separator filter, valve kit are replaced actuator kit 2 nos., pressure regulator kit 2nos., arv kit 1 no. After replacement of all parts plugged in the drain plugs and total topped up oil in tank 42 litres with two dead cranks. After schedule service done start and run the unit on load condition adjust the line pressure to 17 bar at 1300 idle rpm unit is running in normal parameters.</t>
  </si>
  <si>
    <t>Attend the site for schedule service so following Job are done Oil drain from tank and cooler after cranking two times again Oil drain from tank and cooler total drain oil is 37 liter after repalce parts air filter 2 nos compressor and engine both side oil filter 2nos 90 lpm Oil topped in separator tank with one dead Crank 39 liter after shedule service done than start the unit running good condition no air leakeag no oil leakage unit running satisfaction</t>
  </si>
  <si>
    <t>Attend the site for shedule service 900 hours so following Job are done Total drain Oil from tank and cooler 105 liters after replace air filter 1nos compressor side Oil filter 2nos and 75lpm oil filter 1nos overall topped oil in tank 112 liters with One dead Crank after shedule service done than start the unit running good condition no air leakeag no oil leakage at</t>
  </si>
  <si>
    <t>Attend the site for schedule service so following jobs are done total drain oil from tank and oil cooler 105 litres with one dead crank, after then replace air filter compressor side , replace main oil filter 2nos and bearing oil filter, plugged in the drain plugs and fill oil in tank upto full guage level. Start the unit for sometime and stop . Maintain the oil level in tank upto half guage level. Total topped up oil 112 litres. After schedule service done start and run the unit found unit is running in ok condition.</t>
  </si>
  <si>
    <t>Attend the site for schedule service start the work oil drain tank and cooler after cranking 2 Time total oil drain 38 liter change parts-oil 40lit,Air filter 2 nos oil filter 2 nos replace the parts and start the unit unit running good condition</t>
  </si>
  <si>
    <t>Attend the site for shedule service so following Job are done oil drain form tank oil drain form cooler after cranking tow time again drain oil from tank and cooler total drain oil is 38liter replaced oil filter 2nos air filter 2nos engine and compressor both side oil topped in tank with one dead crack after shedule service done than start the unit running good condition at present unit running satisfaction</t>
  </si>
  <si>
    <t>Attend the site for schedule service so following Job are done Oil drain from tank and cooler total drain oil is 110 litter after replace parts oil filter 180 lpm 2 nos 90 lpm Oil filter 1 nos air filter 1nos compressor side oil topped in separator tank with one dead Crank 112 litter after shedule service done than start the unit running good condition no air leakeag no oil leakage unit running satisfaction</t>
  </si>
  <si>
    <t>Attend the site for scheduled service so drain oil from the tank and drained oil from the cooler total 37 liters oil drain then change air filter for compressor and engine both sides, change oil filter and ELGI air lube Plus oil 40 liters. Then start the unit found running ok.</t>
  </si>
  <si>
    <t>Attend the site for scheduled service so drained oil from the tank and drained oil from the cooler total 37 liters oil drain then change air filter for compressor and engine both sides, change oil filter and change ELGI air lube Plus oil 40 liters. Then start the unit found running ok.</t>
  </si>
  <si>
    <t>Wrong entry closed</t>
  </si>
  <si>
    <t>Upon attending the site, the scheduled service commenced with the draining of oil from both the tank and the cooler, totaling an impressive 109 liters. Following this, the air filter on the compressor side was replaced, ensuring optimal performance. Additionally, the oil filter was changed, and the ELGI air lube was replenished with 120 liters of fresh oil. After completing these essential maintenance tasks, the unit was started and was found to be operating smoothly and efficiently.</t>
  </si>
  <si>
    <t>Attend the site for schedule service so, drain oil from tank and drail oil from cooler total 37 liters oil drain. Then change air filter for compressor and engine both side, change oil filter and change ELGI lube oil 40 liters. Then start the unit found running ok.</t>
  </si>
  <si>
    <t>Attend the site for schedule service so total drain oil from tank and oil cooler 150 litres after then replace mail oil filter 2nos and by pass oil filter 1no., replace air filter, after then plugged in the drain plugs and total topped up oil in tank 170 litres. After schedule service done start and run the unit found unit is running in satisfactory condition .</t>
  </si>
  <si>
    <t>Attend the site for scheduled service so change air filter and oil filter. Then start the unit found running ok.</t>
  </si>
  <si>
    <t>Attend the site for schedule service start the work oil drain tank and cooler after cranking 2 Time total oil drain 38 liter change parts-oil 40lit, Air filter 2 nos, oil filter 2 nos replace the parts and start the unit unit running good condition all the parameters proper work</t>
  </si>
  <si>
    <t>Attend the site for 1500 hours shedule service so following Job are done replace separator filter,arv kit, prv kit,, actuator kit 1nos after shedule service done than start the unit running good condition no air leakeag no oil leakage unit running good condition unit running satisfaction.</t>
  </si>
  <si>
    <t>Customer complaint is sedule service due. We attend the work drain the oil from reciver tank and coolar 64 litres after flushing change the all oil filters and top up air lube plus oil 70 litres check the fan belt found OK then started the unit check the all mounting and mounting bolts are found ok check the all parameters and safeties are found ok</t>
  </si>
  <si>
    <t>Attend the site for schrdie service so drain oil from tank and drain oil from cooler total 37 liters oil drained, then change air filter, oil filter and ELGI air lube plus oil 40 liters. then start the unit found running ok.</t>
  </si>
  <si>
    <t>Attend the site as per customer complaint for low drilling rpm and low working pressure so check the unit found drilling rpm 1300 at 280 psi air pressure, so as per observation actuator kit 3 nos. replaced and replace main pressure regulator kit 1 no. After the fitment start the unit and set the line pressure to 340 psi at 1220 idle rpm and flushing pressure found 210 psi at 1800 flushing rpm. Drilling rpm set 1430 at 300 psi air pressure by adjusting the water yield regulator. Now unit is running as per our specification. Correct contact No. 86176 28112</t>
  </si>
  <si>
    <t>Attend the site for shedule service so following Job are done Oil drain from tank and cooler after Cranking two' time's again oil drain from tank and cooler total drain oil is 38 litter after replace air filter compressor and engine both side oil filter and oil topped in tank 40 liter with one dead Crank after shedule service done than start the unit running good condition at present unit running satisfaction</t>
  </si>
  <si>
    <t>Attend the site for shedule service so following Job are done Oil drain from tank and cooler total drain oil is 112 litter after replacing parts oil filter 180 lpm 2nos air filter 1nos compressor side Oil filter 75 lpm 1nos , Oil topped in separator tank with one dead Crank 115 liter again oil topped 3 liter after shedule service done than start the unit running good condition no air leakeag no oil leakage unit running good condition all parameters work in under limit unit running satisfaction</t>
  </si>
  <si>
    <t>Upon attending the site, the scheduled service commenced with the draining of oil from both the tank and the cooler, totaling an impressive 16.5 liters. Following this, the air filter on the compressor side was replaced to ensure optimal performance. Additionally, the oil filter was changed, and ELGI air lube was added, along with 20 liters of fresh oil. After completing these essential maintenance tasks, the unit was started and was found to be running smoothly, indicating that the service was successful and effective.</t>
  </si>
  <si>
    <t>Attend the site for schedule service so following Job are done Oil drain from tank and cooler after cranking two times oil drain from tank and cooler total drain oil is 38 litter then change parts Oil Air lube plus 40 litter Air filter 2nos engine and compressor both side oil filter 2nos after shedule service done than start the unit running good condition no air leakeag no oil leakage unit running satisfaction</t>
  </si>
  <si>
    <t>Attend the site for shedule service so following Job are done Oil drain from tank and cooler after cranking two times again oil drain from tank and cooler total drain oil is 36 litter after change parts oil Air lube plus 38 litter, Oil filter 2nos air filter engine and compressor both side arv kit,prv kit, actuator kit 2nos engine and compressor both side after shedule service done than start the unit running good condition no air leakeag no oil leakage unit running satisfaction</t>
  </si>
  <si>
    <t>Attend the site for shedule service so following Job are done Oil drain from tank and cooler after cranking two times again Oil drain from tank and cooler total drain oil is 37 liter after repalce parts air filter engine and compressor both side oil filter 2 nos oil topped in separator tank with one dead Crank 39 liter after shedule service done than start the unit running good condition no air leakeag no oil leakage unit running satisfaction</t>
  </si>
  <si>
    <t>Attend the site for 1500 hours valve kit replaced so following Job are done replace both actuator kit 3nos pressure regulator kit 3nos Arv kit 1nos after shedule service done than start the unit running good condition no air leakeag no oil leakage unit running satisfaction all parameters work in under limit.</t>
  </si>
  <si>
    <t>Attend the site for 1500HMR service start the work change separater filter, actuator kit 3nos pressure regulator kit 3 nos,arv kit replace the parts and start the unit unit running good condition</t>
  </si>
  <si>
    <t>Attend the site for schedule service start the work oil drain tank and cooler after cranking 2 Time total oil drain 38 liter change parts-oil 40lit, Air filter 2 nos, oil filter 2 nos replace the parts and start the unit unit running good condition all parameters proper work</t>
  </si>
  <si>
    <t>Attend the site for scheduled service so drain oil from the tank and drained oil from the cooler total 37 liters oil drain. Then change the air filter for compressors and engine both sides, change the oil filter and ELGI air lube Plus oil 40 liters. Then start the unit found running ok</t>
  </si>
  <si>
    <t>Attend the site for scheduled service so drain oil from the tank and drained oil from the cooler total 37 liters oil drain. Then change the air filter for the compressor and engine both sides, change the oil filter and ELGI AIR lube Plus oil 40 liters. Then start the unit found running ok.</t>
  </si>
  <si>
    <t>Attend the site for schedule service so following Job are done Oil drain from tank and cooler after cranking two times again Oil drain from tank and cooler total drain oil is 37 liter after repalce parts.air filter 2 nos engine and compressor both side oil filter 2 nos oil topped in tank with one dead Crank 39 liter after shedule service done than start the unit running good condition no air leakeag no oil leakage unit running satisfaction</t>
  </si>
  <si>
    <t>Attend the site for schedule service start the work oil drain tank and cooler after cranking 2 Time total oil drain 38 liter change parts-oil 40lit, Air filter 1 nos, oil filter 2 nos and actuator ass for FOC basis change the parts and start the unit unit running good condition all parameters proper work</t>
  </si>
  <si>
    <t>Attend the site for scheduled service so drain oil from the tank and drained oil from the cooler total 62 liters oil drain. Then change the air filter for compressor and engine both sides, change oil filter and ELGI air lube Plus oil 65 liters. Then start the unit found running ok. closed</t>
  </si>
  <si>
    <t>Attend the site for scheduled service so drain oil from the tank and drained oil from the cooler total 62 liters oil drain. Then change the air filter for compressor and engine both sides, change oil filter and ELGI air lube Plus oil 65 liters. Then start the unit found running ok.</t>
  </si>
  <si>
    <t>CURRENT Month HMR - TODAY Diff.</t>
  </si>
  <si>
    <t>HMR Running Diff. TODAY</t>
  </si>
  <si>
    <t>LIVE - Oil remaining</t>
  </si>
  <si>
    <t>LIVE - Air filter replaced - Compressor Remaining Hours</t>
  </si>
  <si>
    <t>LIVE - Air filter replaced - Engine Remaining Hours</t>
  </si>
  <si>
    <t>LIVE - Main Oil filter Remaining Hours</t>
  </si>
  <si>
    <t>LIVE - Return Oil filter Remaining Hours</t>
  </si>
  <si>
    <t>LIVE - Separator remaining</t>
  </si>
  <si>
    <t>LIVE - Motor regressed remaining</t>
  </si>
  <si>
    <t>LIVE - 1500 Valve kit Remaining Hours</t>
  </si>
  <si>
    <t>LIVE - 3000 Valve kit Remaining Hours</t>
  </si>
  <si>
    <t>620</t>
  </si>
  <si>
    <t>1370</t>
  </si>
  <si>
    <t>1000</t>
  </si>
  <si>
    <t>A (100% potential spares purchased)</t>
  </si>
  <si>
    <t>Air lube Plus</t>
  </si>
  <si>
    <t>1500</t>
  </si>
  <si>
    <t>750</t>
  </si>
  <si>
    <t>780</t>
  </si>
  <si>
    <t>500</t>
  </si>
  <si>
    <t>3000</t>
  </si>
  <si>
    <t>5 Service Due</t>
  </si>
  <si>
    <t>40</t>
  </si>
  <si>
    <t>125</t>
  </si>
  <si>
    <t>10</t>
  </si>
  <si>
    <t>1240</t>
  </si>
  <si>
    <t>490</t>
  </si>
  <si>
    <t>1155</t>
  </si>
  <si>
    <t>405</t>
  </si>
  <si>
    <t>1478</t>
  </si>
  <si>
    <t>735</t>
  </si>
  <si>
    <t>230</t>
  </si>
  <si>
    <t>380</t>
  </si>
  <si>
    <t>1380</t>
  </si>
  <si>
    <t>340</t>
  </si>
  <si>
    <t>840</t>
  </si>
  <si>
    <t>B (Below 100% potential spares purchased)</t>
  </si>
  <si>
    <t>4 Service Due</t>
  </si>
  <si>
    <t>350</t>
  </si>
  <si>
    <t>850</t>
  </si>
  <si>
    <t>3 Service Due</t>
  </si>
  <si>
    <t>980</t>
  </si>
  <si>
    <t>60</t>
  </si>
  <si>
    <t>375</t>
  </si>
  <si>
    <t>675</t>
  </si>
  <si>
    <t>410</t>
  </si>
  <si>
    <t>580</t>
  </si>
  <si>
    <t>1330</t>
  </si>
  <si>
    <t>70</t>
  </si>
  <si>
    <t>450</t>
  </si>
  <si>
    <t>1210</t>
  </si>
  <si>
    <t>1150</t>
  </si>
  <si>
    <t>740</t>
  </si>
  <si>
    <t>1490</t>
  </si>
  <si>
    <t>15</t>
  </si>
  <si>
    <t>30</t>
  </si>
  <si>
    <t>330</t>
  </si>
  <si>
    <t>1260</t>
  </si>
  <si>
    <t>890</t>
  </si>
  <si>
    <t>730</t>
  </si>
  <si>
    <t>1470</t>
  </si>
  <si>
    <t>1340</t>
  </si>
  <si>
    <t>1475</t>
  </si>
  <si>
    <t>725</t>
  </si>
  <si>
    <t>680</t>
  </si>
  <si>
    <t>870</t>
  </si>
  <si>
    <t>540</t>
  </si>
  <si>
    <t>650</t>
  </si>
  <si>
    <t>285</t>
  </si>
  <si>
    <t>165</t>
  </si>
  <si>
    <t>90</t>
  </si>
  <si>
    <t>150</t>
  </si>
  <si>
    <t>159</t>
  </si>
  <si>
    <t>430</t>
  </si>
  <si>
    <t>550</t>
  </si>
  <si>
    <t>605</t>
  </si>
  <si>
    <t>855</t>
  </si>
  <si>
    <t>160</t>
  </si>
  <si>
    <t>1160</t>
  </si>
  <si>
    <t>300</t>
  </si>
  <si>
    <t>600</t>
  </si>
  <si>
    <t>1100</t>
  </si>
  <si>
    <t>2600</t>
  </si>
  <si>
    <t>760</t>
  </si>
  <si>
    <t>1485</t>
  </si>
  <si>
    <t>C (Not Buying Spares or buying lubricants)</t>
  </si>
  <si>
    <t>1200</t>
  </si>
  <si>
    <t>685</t>
  </si>
  <si>
    <t>1285</t>
  </si>
  <si>
    <t>25</t>
  </si>
  <si>
    <t>0</t>
  </si>
  <si>
    <t>370</t>
  </si>
  <si>
    <t>D (Compressor scrapped/ Company shut)</t>
  </si>
  <si>
    <t>2 Service Due</t>
  </si>
  <si>
    <t>395</t>
  </si>
  <si>
    <t>275</t>
  </si>
  <si>
    <t>510</t>
  </si>
  <si>
    <t>530</t>
  </si>
  <si>
    <t>965</t>
  </si>
  <si>
    <t>155</t>
  </si>
  <si>
    <t>290</t>
  </si>
  <si>
    <t>105</t>
  </si>
  <si>
    <t>690</t>
  </si>
  <si>
    <t>745</t>
  </si>
  <si>
    <t>1290</t>
  </si>
  <si>
    <t>590</t>
  </si>
  <si>
    <t>1395</t>
  </si>
  <si>
    <t>645</t>
  </si>
  <si>
    <t>320</t>
  </si>
  <si>
    <t>Air lube</t>
  </si>
  <si>
    <t>420</t>
  </si>
  <si>
    <t>1170</t>
  </si>
  <si>
    <t>1590</t>
  </si>
  <si>
    <t>345</t>
  </si>
  <si>
    <t>180</t>
  </si>
  <si>
    <t>280</t>
  </si>
  <si>
    <t>1440</t>
  </si>
  <si>
    <t>1180</t>
  </si>
  <si>
    <t>190</t>
  </si>
  <si>
    <t>1450</t>
  </si>
  <si>
    <t>1420</t>
  </si>
  <si>
    <t>50</t>
  </si>
  <si>
    <t>695</t>
  </si>
  <si>
    <t>1445</t>
  </si>
  <si>
    <t>135</t>
  </si>
  <si>
    <t>1120</t>
  </si>
  <si>
    <t>570</t>
  </si>
  <si>
    <t>1070</t>
  </si>
  <si>
    <t>670</t>
  </si>
  <si>
    <t>250</t>
  </si>
  <si>
    <t>630</t>
  </si>
  <si>
    <t>240</t>
  </si>
  <si>
    <t>575</t>
  </si>
  <si>
    <t>825</t>
  </si>
  <si>
    <t>390</t>
  </si>
  <si>
    <t>810</t>
  </si>
  <si>
    <t>610</t>
  </si>
  <si>
    <t>1110</t>
  </si>
  <si>
    <t>170</t>
  </si>
  <si>
    <t>800</t>
  </si>
  <si>
    <t>720</t>
  </si>
  <si>
    <t>520</t>
  </si>
  <si>
    <t>1270</t>
  </si>
  <si>
    <t>100</t>
  </si>
  <si>
    <t>470</t>
  </si>
  <si>
    <t>660</t>
  </si>
  <si>
    <t>1410</t>
  </si>
  <si>
    <t>80</t>
  </si>
  <si>
    <t>252</t>
  </si>
  <si>
    <t>752</t>
  </si>
  <si>
    <t>805</t>
  </si>
  <si>
    <t>718</t>
  </si>
  <si>
    <t>640</t>
  </si>
  <si>
    <t>140</t>
  </si>
  <si>
    <t>995</t>
  </si>
  <si>
    <t>1460</t>
  </si>
  <si>
    <t>710</t>
  </si>
  <si>
    <t>360</t>
  </si>
  <si>
    <t>1455</t>
  </si>
  <si>
    <t>705</t>
  </si>
  <si>
    <t>2070</t>
  </si>
  <si>
    <t>880</t>
  </si>
  <si>
    <t>215</t>
  </si>
  <si>
    <t>715</t>
  </si>
  <si>
    <t>120</t>
  </si>
  <si>
    <t>460</t>
  </si>
  <si>
    <t>210</t>
  </si>
  <si>
    <t>Synthetic</t>
  </si>
  <si>
    <t>335</t>
  </si>
  <si>
    <t>435</t>
  </si>
  <si>
    <t>200</t>
  </si>
  <si>
    <t>130</t>
  </si>
  <si>
    <t>195</t>
  </si>
  <si>
    <t>400</t>
  </si>
  <si>
    <t>365</t>
  </si>
  <si>
    <t>263</t>
  </si>
  <si>
    <t>1813</t>
  </si>
  <si>
    <t>813</t>
  </si>
  <si>
    <t>110</t>
  </si>
  <si>
    <t>1465</t>
  </si>
  <si>
    <t>547</t>
  </si>
  <si>
    <t>1297</t>
  </si>
  <si>
    <t>561</t>
  </si>
  <si>
    <t>1311</t>
  </si>
  <si>
    <t>482</t>
  </si>
  <si>
    <t>1232</t>
  </si>
  <si>
    <t>1050</t>
  </si>
  <si>
    <t>860</t>
  </si>
  <si>
    <t>700</t>
  </si>
  <si>
    <t>910</t>
  </si>
  <si>
    <t>1422</t>
  </si>
  <si>
    <t>560</t>
  </si>
  <si>
    <t>1355</t>
  </si>
  <si>
    <t>77</t>
  </si>
  <si>
    <t>27</t>
  </si>
  <si>
    <t>1435</t>
  </si>
  <si>
    <t>775</t>
  </si>
  <si>
    <t>2275</t>
  </si>
  <si>
    <t>2950</t>
  </si>
  <si>
    <t>224</t>
  </si>
  <si>
    <t>14</t>
  </si>
  <si>
    <t>480</t>
  </si>
  <si>
    <t>1700</t>
  </si>
  <si>
    <t>841</t>
  </si>
  <si>
    <t>2341</t>
  </si>
  <si>
    <t>445</t>
  </si>
  <si>
    <t>185</t>
  </si>
  <si>
    <t>1 Service Due</t>
  </si>
  <si>
    <t>260</t>
  </si>
  <si>
    <t>2500</t>
  </si>
  <si>
    <t>1327</t>
  </si>
  <si>
    <t>310</t>
  </si>
  <si>
    <t>204</t>
  </si>
  <si>
    <t>245</t>
  </si>
  <si>
    <t>1080</t>
  </si>
  <si>
    <t>1580</t>
  </si>
  <si>
    <t>1174</t>
  </si>
  <si>
    <t>424</t>
  </si>
  <si>
    <t>440</t>
  </si>
  <si>
    <t>830</t>
  </si>
  <si>
    <t>950</t>
  </si>
  <si>
    <t>714</t>
  </si>
  <si>
    <t>615</t>
  </si>
  <si>
    <t>115</t>
  </si>
  <si>
    <t>1426</t>
  </si>
  <si>
    <t>676</t>
  </si>
  <si>
    <t>1190</t>
  </si>
  <si>
    <t>1189</t>
  </si>
  <si>
    <t>1171</t>
  </si>
  <si>
    <t>5</t>
  </si>
  <si>
    <t>84</t>
  </si>
  <si>
    <t>584</t>
  </si>
  <si>
    <t>1310</t>
  </si>
  <si>
    <t>1480</t>
  </si>
  <si>
    <t>XD</t>
  </si>
  <si>
    <t>465</t>
  </si>
  <si>
    <t>990</t>
  </si>
  <si>
    <t>385</t>
  </si>
  <si>
    <t>225</t>
  </si>
  <si>
    <t>635</t>
  </si>
  <si>
    <t>485</t>
  </si>
  <si>
    <t>486</t>
  </si>
  <si>
    <t>1236</t>
  </si>
  <si>
    <t>270</t>
  </si>
  <si>
    <t>220</t>
  </si>
  <si>
    <t>970</t>
  </si>
  <si>
    <t>1130</t>
  </si>
  <si>
    <t>1230</t>
  </si>
  <si>
    <t>35</t>
  </si>
  <si>
    <t>875</t>
  </si>
  <si>
    <t>1020</t>
  </si>
  <si>
    <t>1280</t>
  </si>
  <si>
    <t>1400</t>
  </si>
  <si>
    <t>900</t>
  </si>
  <si>
    <t>820</t>
  </si>
  <si>
    <t>933</t>
  </si>
  <si>
    <t>665</t>
  </si>
  <si>
    <t>1415</t>
  </si>
  <si>
    <t>565</t>
  </si>
  <si>
    <t>1315</t>
  </si>
  <si>
    <t>255</t>
  </si>
  <si>
    <t>322</t>
  </si>
  <si>
    <t>323</t>
  </si>
  <si>
    <t>1322</t>
  </si>
  <si>
    <t>1822</t>
  </si>
  <si>
    <t>107</t>
  </si>
  <si>
    <t>357</t>
  </si>
  <si>
    <t>1857</t>
  </si>
  <si>
    <t>20</t>
  </si>
  <si>
    <t>2520</t>
  </si>
  <si>
    <t>2780</t>
  </si>
  <si>
    <t>175</t>
  </si>
  <si>
    <t>1175</t>
  </si>
  <si>
    <t>2700</t>
  </si>
  <si>
    <t>2050</t>
  </si>
  <si>
    <t>1105</t>
  </si>
  <si>
    <t>2605</t>
  </si>
  <si>
    <t>2490</t>
  </si>
  <si>
    <t>1560</t>
  </si>
  <si>
    <t>2900</t>
  </si>
  <si>
    <t>2830</t>
  </si>
  <si>
    <t>1220</t>
  </si>
  <si>
    <t>2720</t>
  </si>
  <si>
    <t>1350</t>
  </si>
  <si>
    <t>975</t>
  </si>
  <si>
    <t>475</t>
  </si>
  <si>
    <t>2475</t>
  </si>
  <si>
    <t>2985</t>
  </si>
  <si>
    <t>415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</si>
</sst>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F800]dddd\,\ mmmm\ dd\,\ yyyy"/>
    <numFmt numFmtId="165" formatCode="[$-409]d\-mmm\-yy;@"/>
    <numFmt numFmtId="166" formatCode="[$-409]mmm/yy;@"/>
    <numFmt numFmtId="167" formatCode="_ * #,##0_ ;_ * \-#,##0_ ;_ * &quot;-&quot;??_ ;_ @_ "/>
    <numFmt numFmtId="168" formatCode="d/mmm/yy;;;@"/>
    <numFmt numFmtId="169" formatCode="#,##0;\-#,##0;;@"/>
  </numFmts>
  <fonts count="7" x14ac:knownFonts="1">
    <font>
      <sz val="8"/>
      <color theme="1"/>
      <name val="Verdana"/>
      <family val="2"/>
    </font>
    <font>
      <sz val="8"/>
      <color theme="1"/>
      <name val="Verdana"/>
      <family val="2"/>
    </font>
    <font>
      <b/>
      <sz val="8"/>
      <color theme="0"/>
      <name val="Verdana"/>
      <family val="2"/>
    </font>
    <font>
      <u/>
      <sz val="8"/>
      <color theme="10"/>
      <name val="Verdana"/>
      <family val="2"/>
    </font>
    <font>
      <b/>
      <sz val="10"/>
      <color theme="0"/>
      <name val="Verdana"/>
      <family val="2"/>
    </font>
    <font>
      <sz val="8"/>
      <name val="Verdana"/>
      <family val="2"/>
    </font>
    <font>
      <sz val="7"/>
      <color theme="1"/>
      <name val="Verdana"/>
      <family val="2"/>
    </font>
  </fonts>
  <fills count="4">
    <fill>
      <patternFill patternType="none"/>
    </fill>
    <fill>
      <patternFill patternType="gray125"/>
    </fill>
    <fill>
      <patternFill patternType="solid">
        <fgColor rgb="FFFF0000"/>
        <bgColor indexed="64"/>
      </patternFill>
    </fill>
    <fill>
      <patternFill patternType="solid">
        <fgColor rgb="FFFF0000"/>
        <bgColor rgb="FFFF0000"/>
      </patternFill>
    </fill>
  </fills>
  <borders count="1">
    <border>
      <left/>
      <right/>
      <top/>
      <bottom/>
      <diagonal/>
    </border>
  </borders>
  <cellStyleXfs count="4">
    <xf numFmtId="0" fontId="0" fillId="0" borderId="0"/>
    <xf numFmtId="43" fontId="1" fillId="0" borderId="0" applyFont="0" applyFill="0" applyBorder="0" applyAlignment="0" applyProtection="0"/>
    <xf numFmtId="0" fontId="3" fillId="0" borderId="0" applyNumberFormat="0" applyFill="0" applyBorder="0" applyAlignment="0" applyProtection="0"/>
    <xf numFmtId="0" fontId="5" fillId="0" borderId="0"/>
  </cellStyleXfs>
  <cellXfs count="32">
    <xf numFmtId="0" fontId="0" fillId="0" borderId="0" xfId="0"/>
    <xf numFmtId="0" fontId="4" fillId="2" borderId="0" xfId="0" applyFont="1" applyFill="1" applyAlignment="1">
      <alignment horizontal="center" vertical="center" wrapText="1"/>
    </xf>
    <xf numFmtId="0" fontId="4" fillId="3" borderId="0" xfId="0" applyFont="1" applyFill="1" applyAlignment="1">
      <alignment horizontal="center" vertical="center" wrapText="1"/>
    </xf>
    <xf numFmtId="0" fontId="4" fillId="3" borderId="0" xfId="0" applyFont="1" applyFill="1" applyAlignment="1">
      <alignment vertical="center" wrapText="1"/>
    </xf>
    <xf numFmtId="15" fontId="4" fillId="3" borderId="0" xfId="0" applyNumberFormat="1" applyFont="1" applyFill="1" applyAlignment="1">
      <alignment horizontal="center" vertical="center" wrapText="1"/>
    </xf>
    <xf numFmtId="164" fontId="4" fillId="3" borderId="0" xfId="0" applyNumberFormat="1" applyFont="1" applyFill="1" applyAlignment="1">
      <alignment horizontal="center" vertical="center" wrapText="1"/>
    </xf>
    <xf numFmtId="164" fontId="2" fillId="3" borderId="0" xfId="0" applyNumberFormat="1" applyFont="1" applyFill="1" applyAlignment="1">
      <alignment horizontal="center" vertical="center" wrapText="1"/>
    </xf>
    <xf numFmtId="164" fontId="2" fillId="3" borderId="0" xfId="3" applyNumberFormat="1" applyFont="1" applyFill="1" applyAlignment="1">
      <alignment horizontal="center" vertical="center" wrapText="1"/>
    </xf>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horizontal="left" vertical="center"/>
    </xf>
    <xf numFmtId="15" fontId="1" fillId="0" borderId="0" xfId="0" applyNumberFormat="1" applyFont="1" applyAlignment="1">
      <alignment horizontal="center" vertical="center"/>
    </xf>
    <xf numFmtId="2" fontId="1" fillId="0" borderId="0" xfId="0" applyNumberFormat="1" applyFont="1" applyAlignment="1">
      <alignment horizontal="center" vertical="center"/>
    </xf>
    <xf numFmtId="15" fontId="1" fillId="0" borderId="0" xfId="0" applyNumberFormat="1" applyFont="1" applyAlignment="1">
      <alignment horizontal="center"/>
    </xf>
    <xf numFmtId="0" fontId="1" fillId="0" borderId="0" xfId="0" applyFont="1"/>
    <xf numFmtId="15" fontId="1" fillId="0" borderId="0" xfId="0" applyNumberFormat="1" applyFont="1"/>
    <xf numFmtId="14" fontId="1" fillId="0" borderId="0" xfId="0" applyNumberFormat="1" applyFont="1"/>
    <xf numFmtId="165" fontId="1" fillId="0" borderId="0" xfId="0" applyNumberFormat="1" applyFont="1"/>
    <xf numFmtId="1" fontId="1" fillId="0" borderId="0" xfId="0" applyNumberFormat="1" applyFont="1" applyAlignment="1">
      <alignment horizontal="center"/>
    </xf>
    <xf numFmtId="15" fontId="6" fillId="0" borderId="0" xfId="0" applyNumberFormat="1" applyFont="1"/>
    <xf numFmtId="0" fontId="1" fillId="0" borderId="0" xfId="0" applyFont="1" applyAlignment="1">
      <alignment horizontal="center" wrapText="1"/>
    </xf>
    <xf numFmtId="168" fontId="1" fillId="0" borderId="0" xfId="0" applyNumberFormat="1" applyFont="1" applyAlignment="1">
      <alignment horizontal="center"/>
    </xf>
    <xf numFmtId="169" fontId="1" fillId="0" borderId="0" xfId="0" applyNumberFormat="1" applyFont="1" applyAlignment="1">
      <alignment horizontal="center"/>
    </xf>
    <xf numFmtId="0" fontId="1" fillId="0" borderId="0" xfId="0" applyFont="1" applyAlignment="1">
      <alignment horizontal="left"/>
    </xf>
    <xf numFmtId="0" fontId="3" fillId="0" borderId="0" xfId="2" applyBorder="1" applyAlignment="1">
      <alignment horizontal="left"/>
    </xf>
    <xf numFmtId="0" fontId="3" fillId="0" borderId="0" xfId="2" applyFill="1" applyBorder="1" applyAlignment="1">
      <alignment horizontal="left"/>
    </xf>
    <xf numFmtId="0" fontId="1" fillId="0" borderId="0" xfId="0" applyFont="1" applyAlignment="1">
      <alignment horizontal="left" wrapText="1"/>
    </xf>
    <xf numFmtId="166" fontId="5" fillId="0" borderId="0" xfId="1" applyNumberFormat="1" applyFont="1" applyFill="1" applyBorder="1" applyAlignment="1">
      <alignment horizontal="center" vertical="center"/>
    </xf>
    <xf numFmtId="167" fontId="5" fillId="0" borderId="0" xfId="1" applyNumberFormat="1" applyFont="1" applyFill="1" applyBorder="1" applyAlignment="1">
      <alignment horizontal="center" vertical="center"/>
    </xf>
    <xf numFmtId="167" fontId="5"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lignment horizontal="center" vertical="center" wrapText="1"/>
    </xf>
  </cellXfs>
  <cellStyles count="4">
    <cellStyle name="Comma" xfId="1" builtinId="3"/>
    <cellStyle name="Hyperlink" xfId="2" builtinId="8"/>
    <cellStyle name="Normal" xfId="0" builtinId="0"/>
    <cellStyle name="Normal 4" xfId="3" xr:uid="{FEF9E777-0801-4F6F-866C-7F75420742F0}"/>
  </cellStyles>
  <dxfs count="915">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68" formatCode="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theme="4" tint="0.79998168889431442"/>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7"/>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alignment horizontal="center" vertical="bottom" textRotation="0" wrapText="0" indent="0" justifyLastLine="0" shrinkToFit="0" readingOrder="0"/>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i val="0"/>
        <color theme="0"/>
      </font>
      <fill>
        <patternFill>
          <bgColor rgb="FFC00000"/>
        </patternFill>
      </fill>
    </dxf>
    <dxf>
      <font>
        <color auto="1"/>
      </font>
      <fill>
        <patternFill>
          <bgColor rgb="FFFFFF00"/>
        </patternFill>
      </fill>
    </dxf>
    <dxf>
      <fill>
        <patternFill>
          <bgColor rgb="FF00B050"/>
        </patternFill>
      </fill>
    </dxf>
    <dxf>
      <fill>
        <patternFill>
          <bgColor rgb="FF00B050"/>
        </patternFill>
      </fill>
    </dxf>
    <dxf>
      <font>
        <color auto="1"/>
      </font>
      <fill>
        <patternFill>
          <bgColor rgb="FFFFFF00"/>
        </patternFill>
      </fill>
    </dxf>
    <dxf>
      <font>
        <b/>
        <i val="0"/>
        <color theme="0"/>
      </font>
      <fill>
        <patternFill>
          <bgColor rgb="FFC00000"/>
        </patternFill>
      </fill>
    </dxf>
    <dxf>
      <fill>
        <patternFill>
          <bgColor rgb="FF00B050"/>
        </patternFill>
      </fill>
    </dxf>
    <dxf>
      <fill>
        <patternFill>
          <bgColor rgb="FFFFFF00"/>
        </patternFill>
      </fill>
    </dxf>
    <dxf>
      <fill>
        <patternFill>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fill>
        <patternFill patternType="none">
          <bgColor auto="1"/>
        </patternFill>
      </fill>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strike val="0"/>
        <outline val="0"/>
        <shadow val="0"/>
        <vertAlign val="baseline"/>
        <sz val="8"/>
        <color theme="1"/>
        <name val="Verdana"/>
        <family val="2"/>
        <scheme val="none"/>
      </font>
      <numFmt numFmtId="0" formatCode="General"/>
      <fill>
        <patternFill patternType="none">
          <bgColor auto="1"/>
        </patternFill>
      </fill>
      <alignment wrapText="0"/>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b val="0"/>
        <i val="0"/>
        <strike val="0"/>
        <condense val="0"/>
        <extend val="0"/>
        <outline val="0"/>
        <shadow val="0"/>
        <u val="none"/>
        <vertAlign val="baseline"/>
        <sz val="8"/>
        <color theme="1"/>
        <name val="Verdana"/>
        <family val="2"/>
        <scheme val="none"/>
      </font>
      <numFmt numFmtId="165" formatCode="[$-409]d\-mmm\-yy;@"/>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dxf>
    <dxf>
      <font>
        <strike val="0"/>
        <outline val="0"/>
        <shadow val="0"/>
        <vertAlign val="baseline"/>
        <sz val="8"/>
        <color theme="1"/>
        <name val="Verdana"/>
        <family val="2"/>
        <scheme val="none"/>
      </font>
      <numFmt numFmtId="0" formatCode="General"/>
      <fill>
        <patternFill patternType="none">
          <bgColor auto="1"/>
        </patternFill>
      </fill>
    </dxf>
    <dxf>
      <font>
        <strike val="0"/>
        <outline val="0"/>
        <shadow val="0"/>
        <vertAlign val="baseline"/>
        <sz val="8"/>
        <color theme="1"/>
        <name val="Verdana"/>
        <family val="2"/>
        <scheme val="none"/>
      </font>
      <numFmt numFmtId="20" formatCode="dd/mmm/yy"/>
      <fill>
        <patternFill patternType="none">
          <bgColor auto="1"/>
        </patternFill>
      </fill>
    </dxf>
    <dxf>
      <font>
        <strike val="0"/>
        <outline val="0"/>
        <shadow val="0"/>
        <vertAlign val="baseline"/>
        <sz val="8"/>
        <color theme="1"/>
        <name val="Verdana"/>
        <family val="2"/>
        <scheme val="none"/>
      </font>
      <numFmt numFmtId="19" formatCode="dd/mm/yyyy"/>
      <fill>
        <patternFill patternType="none">
          <bgColor auto="1"/>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fill>
        <patternFill patternType="none">
          <bgColor auto="1"/>
        </patternFill>
      </fill>
      <alignment horizontal="center" vertical="center" textRotation="0" wrapText="0" indent="0" justifyLastLine="0" shrinkToFit="0" readingOrder="0"/>
    </dxf>
    <dxf>
      <font>
        <strike val="0"/>
        <outline val="0"/>
        <shadow val="0"/>
        <vertAlign val="baseline"/>
        <sz val="8"/>
        <color theme="1"/>
        <name val="Verdana"/>
        <family val="2"/>
        <scheme val="none"/>
      </font>
      <numFmt numFmtId="20" formatCode="dd/mmm/yy"/>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left" vertical="center"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center"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ill>
        <patternFill>
          <bgColor theme="9" tint="0.79998168889431442"/>
        </patternFill>
      </fill>
    </dxf>
    <dxf>
      <fill>
        <patternFill>
          <bgColor theme="5" tint="0.79998168889431442"/>
        </patternFill>
      </fill>
    </dxf>
    <dxf>
      <fill>
        <patternFill>
          <bgColor rgb="FF00B050"/>
        </patternFill>
      </fill>
    </dxf>
    <dxf>
      <font>
        <color auto="1"/>
      </font>
      <fill>
        <patternFill>
          <bgColor rgb="FFFFFF00"/>
        </patternFill>
      </fill>
    </dxf>
    <dxf>
      <font>
        <b/>
        <i val="0"/>
        <color theme="0"/>
      </font>
      <fill>
        <patternFill>
          <bgColor rgb="FFC00000"/>
        </patternFill>
      </fill>
    </dxf>
    <dxf>
      <fill>
        <patternFill>
          <bgColor rgb="FF00B050"/>
        </patternFill>
      </fill>
    </dxf>
    <dxf>
      <font>
        <color auto="1"/>
      </font>
      <fill>
        <patternFill>
          <bgColor rgb="FFFFFF00"/>
        </patternFill>
      </fill>
    </dxf>
    <dxf>
      <font>
        <b/>
        <i val="0"/>
        <color theme="0"/>
      </font>
      <fill>
        <patternFill>
          <bgColor rgb="FFC00000"/>
        </patternFill>
      </fill>
    </dxf>
    <dxf>
      <fill>
        <patternFill>
          <bgColor rgb="FF00B050"/>
        </patternFill>
      </fill>
    </dxf>
    <dxf>
      <fill>
        <patternFill>
          <bgColor rgb="FFFFFF00"/>
        </patternFill>
      </fill>
    </dxf>
    <dxf>
      <fill>
        <patternFill>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ont>
        <color rgb="FFFFFF00"/>
      </font>
      <fill>
        <patternFill patternType="solid">
          <bgColor rgb="FFFF33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ont>
        <color rgb="FFFFFF00"/>
      </font>
      <fill>
        <patternFill patternType="solid">
          <bgColor rgb="FFFF3300"/>
        </patternFill>
      </fill>
    </dxf>
    <dxf>
      <fill>
        <patternFill>
          <bgColor rgb="FFFF0000"/>
        </patternFill>
      </fill>
    </dxf>
    <dxf>
      <fill>
        <patternFill>
          <bgColor rgb="FF0070C0"/>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FF00"/>
      </font>
      <fill>
        <patternFill patternType="solid">
          <bgColor rgb="FFFF3300"/>
        </patternFill>
      </fill>
    </dxf>
    <dxf>
      <fill>
        <patternFill>
          <bgColor rgb="FF0070C0"/>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ont>
        <color rgb="FFFFFF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ill>
        <patternFill>
          <bgColor rgb="FF0070C0"/>
        </patternFill>
      </fill>
    </dxf>
    <dxf>
      <font>
        <color rgb="FFFFC000"/>
      </font>
      <fill>
        <patternFill patternType="solid">
          <bgColor rgb="FFFF330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ill>
        <patternFill>
          <bgColor rgb="FF0070C0"/>
        </patternFill>
      </fill>
    </dxf>
    <dxf>
      <font>
        <color rgb="FFFFC000"/>
      </font>
      <fill>
        <patternFill patternType="solid">
          <bgColor rgb="FFFF3300"/>
        </patternFill>
      </fill>
    </dxf>
    <dxf>
      <fill>
        <patternFill>
          <bgColor rgb="FFFF00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C000"/>
      </font>
      <fill>
        <patternFill patternType="solid">
          <bgColor rgb="FFFF3300"/>
        </patternFill>
      </fill>
    </dxf>
    <dxf>
      <font>
        <color rgb="FF9C0006"/>
      </font>
      <fill>
        <patternFill>
          <bgColor rgb="FFFFC7CE"/>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ont>
        <color rgb="FFFFC000"/>
      </font>
      <fill>
        <patternFill patternType="solid">
          <bgColor rgb="FFFF3300"/>
        </patternFill>
      </fill>
    </dxf>
    <dxf>
      <fill>
        <patternFill>
          <bgColor rgb="FF0070C0"/>
        </patternFill>
      </fill>
    </dxf>
    <dxf>
      <fill>
        <patternFill>
          <bgColor rgb="FFFF00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ill>
        <patternFill>
          <bgColor rgb="FFFF00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FF0000"/>
        </patternFill>
      </fill>
    </dxf>
    <dxf>
      <font>
        <color rgb="FF9C0006"/>
      </font>
      <fill>
        <patternFill>
          <bgColor rgb="FFFFC7CE"/>
        </patternFill>
      </fill>
    </dxf>
    <dxf>
      <fill>
        <patternFill>
          <bgColor rgb="FF0070C0"/>
        </patternFill>
      </fill>
    </dxf>
    <dxf>
      <font>
        <color rgb="FFFFC000"/>
      </font>
      <fill>
        <patternFill patternType="solid">
          <bgColor rgb="FFFF3300"/>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ill>
        <patternFill>
          <bgColor rgb="FF0070C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ont>
        <color rgb="FFFFFF00"/>
      </font>
      <fill>
        <patternFill patternType="solid">
          <bgColor rgb="FFFF3300"/>
        </patternFill>
      </fill>
    </dxf>
    <dxf>
      <font>
        <color rgb="FF9C0006"/>
      </font>
      <fill>
        <patternFill>
          <bgColor rgb="FFFFC7CE"/>
        </patternFill>
      </fill>
    </dxf>
    <dxf>
      <fill>
        <patternFill>
          <bgColor rgb="FFFF0000"/>
        </patternFill>
      </fill>
    </dxf>
    <dxf>
      <font>
        <color rgb="FFFFFF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ont>
        <color rgb="FFFFFF00"/>
      </font>
      <fill>
        <patternFill patternType="solid">
          <bgColor rgb="FFFF3300"/>
        </patternFill>
      </fill>
    </dxf>
    <dxf>
      <font>
        <color rgb="FF9C0006"/>
      </font>
      <fill>
        <patternFill>
          <bgColor rgb="FFFFC7CE"/>
        </patternFill>
      </fill>
    </dxf>
    <dxf>
      <fill>
        <patternFill>
          <bgColor rgb="FF0070C0"/>
        </patternFill>
      </fill>
    </dxf>
    <dxf>
      <fill>
        <patternFill>
          <bgColor rgb="FFFF0000"/>
        </patternFill>
      </fill>
    </dxf>
    <dxf>
      <font>
        <color rgb="FFFFC000"/>
      </font>
      <fill>
        <patternFill patternType="solid">
          <bgColor rgb="FFFF3300"/>
        </patternFill>
      </fill>
    </dxf>
    <dxf>
      <fill>
        <patternFill>
          <bgColor rgb="FFFF0000"/>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theme="8" tint="0.39994506668294322"/>
        </patternFill>
      </fill>
    </dxf>
    <dxf>
      <font>
        <color rgb="FF9C0006"/>
      </font>
      <fill>
        <patternFill>
          <bgColor rgb="FFFFC7CE"/>
        </patternFill>
      </fill>
    </dxf>
    <dxf>
      <font>
        <color rgb="FF9C0006"/>
      </font>
      <fill>
        <patternFill>
          <bgColor rgb="FFFFC7CE"/>
        </patternFill>
      </fill>
    </dxf>
    <dxf>
      <font>
        <color rgb="FFFFFF00"/>
      </font>
      <fill>
        <patternFill patternType="solid">
          <bgColor rgb="FFFF3300"/>
        </patternFill>
      </fill>
    </dxf>
    <dxf>
      <font>
        <color rgb="FFFFC000"/>
      </font>
      <fill>
        <patternFill patternType="solid">
          <bgColor rgb="FFFF3300"/>
        </patternFill>
      </fill>
    </dxf>
    <dxf>
      <font>
        <color rgb="FFFFC000"/>
      </font>
      <fill>
        <patternFill patternType="solid">
          <bgColor rgb="FFFF3300"/>
        </patternFill>
      </fill>
    </dxf>
    <dxf>
      <fill>
        <patternFill>
          <bgColor rgb="FF0070C0"/>
        </patternFill>
      </fill>
    </dxf>
    <dxf>
      <fill>
        <patternFill>
          <bgColor rgb="FFFF0000"/>
        </patternFill>
      </fill>
    </dxf>
    <dxf>
      <font>
        <color rgb="FF9C0006"/>
      </font>
      <fill>
        <patternFill>
          <bgColor rgb="FFFFC7CE"/>
        </patternFill>
      </fill>
    </dxf>
    <dxf>
      <fill>
        <patternFill>
          <bgColor theme="9" tint="0.79998168889431442"/>
        </patternFill>
      </fill>
    </dxf>
    <dxf>
      <fill>
        <patternFill>
          <bgColor theme="5" tint="0.79998168889431442"/>
        </patternFill>
      </fill>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7" formatCode="_ * #,##0_ ;_ * \-#,##0_ ;_ * &quot;-&quot;??_ ;_ @_ "/>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auto="1"/>
        <name val="Verdana"/>
        <family val="2"/>
        <scheme val="none"/>
      </font>
      <numFmt numFmtId="166" formatCode="[$-409]mmm/yy;@"/>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1" formatCode="dd/mmm"/>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dxf>
    <dxf>
      <font>
        <strike val="0"/>
        <outline val="0"/>
        <shadow val="0"/>
        <vertAlign val="baseline"/>
        <sz val="8"/>
        <color theme="1"/>
        <name val="Verdana"/>
        <family val="2"/>
        <scheme val="none"/>
      </font>
      <numFmt numFmtId="0" formatCode="General"/>
      <fill>
        <patternFill patternType="none">
          <bgColor auto="1"/>
        </patternFill>
      </fill>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strike val="0"/>
        <outline val="0"/>
        <shadow val="0"/>
        <vertAlign val="baseline"/>
        <sz val="8"/>
        <color theme="1"/>
        <name val="Verdana"/>
        <family val="2"/>
        <scheme val="none"/>
      </font>
      <numFmt numFmtId="0" formatCode="General"/>
      <fill>
        <patternFill patternType="none">
          <bgColor auto="1"/>
        </patternFill>
      </fill>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numFmt numFmtId="20" formatCode="dd/mmm/yy"/>
    </dxf>
    <dxf>
      <font>
        <b val="0"/>
        <i val="0"/>
        <strike val="0"/>
        <condense val="0"/>
        <extend val="0"/>
        <outline val="0"/>
        <shadow val="0"/>
        <u val="none"/>
        <vertAlign val="baseline"/>
        <sz val="8"/>
        <color theme="1"/>
        <name val="Verdana"/>
        <family val="2"/>
        <scheme val="none"/>
      </font>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numFmt numFmtId="20" formatCode="dd/mmm/yy"/>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left"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bottom" textRotation="0" wrapText="0" indent="0" justifyLastLine="0" shrinkToFit="0" readingOrder="0"/>
    </dxf>
    <dxf>
      <font>
        <b val="0"/>
        <i val="0"/>
        <strike val="0"/>
        <condense val="0"/>
        <extend val="0"/>
        <outline val="0"/>
        <shadow val="0"/>
        <u val="none"/>
        <vertAlign val="baseline"/>
        <sz val="8"/>
        <color theme="1"/>
        <name val="Verdana"/>
        <family val="2"/>
        <scheme val="none"/>
      </font>
      <alignment horizontal="center"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8"/>
        <color theme="1"/>
        <name val="Verdana"/>
        <family val="2"/>
        <scheme val="none"/>
      </font>
      <fill>
        <patternFill patternType="none">
          <bgColor auto="1"/>
        </patternFill>
      </fill>
      <alignment horizontal="center" vertical="bottom" textRotation="0" wrapText="0" indent="0" justifyLastLine="0" shrinkToFit="0" readingOrder="0"/>
    </dxf>
    <dxf>
      <font>
        <b/>
        <i val="0"/>
        <strike val="0"/>
        <condense val="0"/>
        <extend val="0"/>
        <outline val="0"/>
        <shadow val="0"/>
        <u val="none"/>
        <vertAlign val="baseline"/>
        <sz val="8"/>
        <color theme="0"/>
        <name val="Verdana"/>
        <family val="2"/>
        <scheme val="none"/>
      </font>
      <numFmt numFmtId="164" formatCode="[$-F800]dddd\,\ mmmm\ dd\,\ yyyy"/>
      <fill>
        <patternFill patternType="solid">
          <fgColor rgb="FFFF0000"/>
          <bgColor rgb="FFFF000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2.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E72D8F634BB60008/PP%20Files/Complaint%20Register%20Updated.xlsx" TargetMode="External"/><Relationship Id="rId1" Type="http://schemas.openxmlformats.org/officeDocument/2006/relationships/externalLinkPath" Target="https://d.docs.live.net/e72d8f634bb60008/PP%20Files/Complaint%20Register%20Updated.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d.docs.live.net/e72d8f634bb60008/PP%20Files/PP%20sheet%20W%20-%20NW%20-%20Update.xlsm" TargetMode="External"/><Relationship Id="rId1" Type="http://schemas.openxmlformats.org/officeDocument/2006/relationships/externalLinkPath" Target="https://d.docs.live.net/e72d8f634bb60008/PP%20Files/PP%20sheet%20W%20-%20NW%20-%20Updat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E72D8F634BB60008" itemId="E72D8F634BB60008!216765">
      <xxl21:absoluteUrl r:id="rId2"/>
    </xxl21:alternateUrls>
    <sheetNames>
      <sheetName val="File_Location"/>
      <sheetName val="Sheet1"/>
      <sheetName val="E&amp;DPSAC"/>
      <sheetName val="EPSAC"/>
      <sheetName val="DPSAC"/>
      <sheetName val="RECIP"/>
      <sheetName val="Assets Data"/>
      <sheetName val="Active-FOC"/>
      <sheetName val="FOC_Pay_List"/>
      <sheetName val="Active Service Claims"/>
      <sheetName val="Service_Claim_Pay"/>
      <sheetName val="Order_acknowledge"/>
      <sheetName val="LR Details"/>
      <sheetName val="Dispatch Details"/>
      <sheetName val="Contacts 040323"/>
      <sheetName val="All_Asset_Pivot"/>
      <sheetName val="AO Vs Invoice"/>
    </sheetNames>
    <sheetDataSet>
      <sheetData sheetId="0" refreshError="1"/>
      <sheetData sheetId="1" refreshError="1"/>
      <sheetData sheetId="2" refreshError="1">
        <row r="1">
          <cell r="E1" t="str">
            <v>Address</v>
          </cell>
          <cell r="G1" t="str">
            <v>MobileNo</v>
          </cell>
          <cell r="K1" t="str">
            <v>Fabrication Number</v>
          </cell>
        </row>
        <row r="2">
          <cell r="E2" t="str">
            <v>TATISILWAY</v>
          </cell>
          <cell r="G2">
            <v>6201580224</v>
          </cell>
          <cell r="K2" t="str">
            <v>BOID200223</v>
          </cell>
        </row>
        <row r="3">
          <cell r="E3" t="str">
            <v>JAPLA</v>
          </cell>
          <cell r="G3">
            <v>7979713783</v>
          </cell>
          <cell r="K3" t="str">
            <v>GOBD160007</v>
          </cell>
        </row>
        <row r="4">
          <cell r="E4" t="str">
            <v>ASHOK NAGAR, RANCHI</v>
          </cell>
          <cell r="G4">
            <v>9304011261</v>
          </cell>
          <cell r="K4" t="str">
            <v>BPLD200068</v>
          </cell>
        </row>
        <row r="5">
          <cell r="E5" t="str">
            <v>POLICE LINR, SHEIKHPURA</v>
          </cell>
          <cell r="G5">
            <v>7782976533</v>
          </cell>
          <cell r="K5" t="str">
            <v>BOJD160012</v>
          </cell>
        </row>
        <row r="6">
          <cell r="E6" t="str">
            <v>NICHITPUR</v>
          </cell>
          <cell r="G6">
            <v>7903412157</v>
          </cell>
          <cell r="K6" t="str">
            <v>BUCD162696</v>
          </cell>
        </row>
        <row r="7">
          <cell r="E7" t="str">
            <v>GAYA</v>
          </cell>
          <cell r="G7">
            <v>9798724120</v>
          </cell>
          <cell r="K7" t="str">
            <v>BQBD200008</v>
          </cell>
        </row>
        <row r="8">
          <cell r="E8" t="str">
            <v>SHEKHPURA, BIHAR</v>
          </cell>
          <cell r="G8">
            <v>79791713783</v>
          </cell>
          <cell r="K8" t="str">
            <v>GPBD160107</v>
          </cell>
        </row>
        <row r="9">
          <cell r="E9" t="str">
            <v>SAHEBGANJ</v>
          </cell>
          <cell r="G9">
            <v>8059000900</v>
          </cell>
          <cell r="K9" t="str">
            <v>BYKD164879</v>
          </cell>
        </row>
        <row r="10">
          <cell r="E10" t="str">
            <v>LOHARDAGAH</v>
          </cell>
          <cell r="G10">
            <v>8406939642</v>
          </cell>
          <cell r="K10" t="str">
            <v>BUFS046839</v>
          </cell>
        </row>
        <row r="11">
          <cell r="E11" t="str">
            <v>TAPIN HAZARIBAGH</v>
          </cell>
          <cell r="G11">
            <v>8002177613</v>
          </cell>
          <cell r="K11" t="str">
            <v>BTGD162289</v>
          </cell>
        </row>
        <row r="12">
          <cell r="E12" t="str">
            <v>NEAR HUTAR, KHUNTI</v>
          </cell>
          <cell r="G12">
            <v>9308112212</v>
          </cell>
          <cell r="K12" t="str">
            <v>BUDD162719</v>
          </cell>
        </row>
        <row r="13">
          <cell r="E13" t="str">
            <v>TAPIN PROJECT, TAPIN</v>
          </cell>
          <cell r="G13">
            <v>7644045555</v>
          </cell>
          <cell r="K13" t="str">
            <v>BUID162953</v>
          </cell>
        </row>
        <row r="14">
          <cell r="E14" t="str">
            <v>DASMILE, RANCHI</v>
          </cell>
          <cell r="G14">
            <v>8002234200</v>
          </cell>
          <cell r="K14" t="str">
            <v>BVHD163366</v>
          </cell>
        </row>
        <row r="15">
          <cell r="E15" t="str">
            <v>JAMSHEDPUR</v>
          </cell>
          <cell r="G15">
            <v>9431373731</v>
          </cell>
          <cell r="K15" t="str">
            <v>BVJD162957</v>
          </cell>
        </row>
        <row r="16">
          <cell r="E16" t="str">
            <v>KULI, RAMGRAH</v>
          </cell>
          <cell r="G16">
            <v>9691773091</v>
          </cell>
          <cell r="K16" t="str">
            <v>BVGD163297</v>
          </cell>
        </row>
        <row r="17">
          <cell r="E17" t="str">
            <v>SAYAL, RAMGARH</v>
          </cell>
          <cell r="G17">
            <v>8946096277</v>
          </cell>
          <cell r="K17" t="str">
            <v>BXGD164632</v>
          </cell>
        </row>
        <row r="18">
          <cell r="E18" t="str">
            <v>PIPARWAR</v>
          </cell>
          <cell r="G18">
            <v>90066179909</v>
          </cell>
          <cell r="K18" t="str">
            <v>BYFD232840</v>
          </cell>
        </row>
        <row r="19">
          <cell r="E19" t="str">
            <v>KULI, RAMGRAH</v>
          </cell>
          <cell r="G19">
            <v>7987318893</v>
          </cell>
          <cell r="K19" t="str">
            <v>BWAD163680</v>
          </cell>
        </row>
        <row r="20">
          <cell r="E20" t="str">
            <v>DUMRI, DHANBAD</v>
          </cell>
          <cell r="G20">
            <v>7654254469</v>
          </cell>
          <cell r="K20" t="str">
            <v>BVHD163374</v>
          </cell>
        </row>
        <row r="21">
          <cell r="E21" t="str">
            <v>RANCHI</v>
          </cell>
          <cell r="G21">
            <v>8709503035</v>
          </cell>
          <cell r="K21" t="str">
            <v>BWHD164039</v>
          </cell>
        </row>
        <row r="22">
          <cell r="E22" t="str">
            <v>LODNA</v>
          </cell>
          <cell r="G22">
            <v>7644045555</v>
          </cell>
          <cell r="K22" t="str">
            <v>BTDD162169</v>
          </cell>
        </row>
        <row r="23">
          <cell r="E23" t="str">
            <v>GHATO</v>
          </cell>
          <cell r="G23">
            <v>7260958963</v>
          </cell>
          <cell r="K23" t="str">
            <v>BXKD164174</v>
          </cell>
        </row>
        <row r="24">
          <cell r="E24" t="str">
            <v>SHEETLA PRASAD SINGH,, MISHRA PADA, NEAR DURGA MANDIR,, JHARIA, DHANBAD - 828 111, JHARKHAND.</v>
          </cell>
          <cell r="G24">
            <v>7644045555</v>
          </cell>
          <cell r="K24" t="str">
            <v>BTKD162112</v>
          </cell>
        </row>
        <row r="25">
          <cell r="E25" t="str">
            <v>LODNA</v>
          </cell>
          <cell r="G25">
            <v>9044360313</v>
          </cell>
          <cell r="K25" t="str">
            <v>BTCD162149</v>
          </cell>
        </row>
        <row r="26">
          <cell r="E26" t="str">
            <v>C/O - NAVEEN KUMAR SINGH, PLOT NO.-538,718, DUNDURIA, GUMLA</v>
          </cell>
          <cell r="G26">
            <v>8757678474</v>
          </cell>
          <cell r="K26" t="str">
            <v>BTJD162038</v>
          </cell>
        </row>
        <row r="27">
          <cell r="E27" t="str">
            <v>ORMANJHI</v>
          </cell>
          <cell r="G27">
            <v>6205364351</v>
          </cell>
          <cell r="K27" t="str">
            <v>BVHD163336</v>
          </cell>
        </row>
        <row r="28">
          <cell r="E28" t="str">
            <v>RAHELA, DALTAINGANJ</v>
          </cell>
          <cell r="G28">
            <v>6201185767</v>
          </cell>
          <cell r="K28" t="str">
            <v>BUGS035879</v>
          </cell>
        </row>
        <row r="29">
          <cell r="E29" t="str">
            <v>KOKAR</v>
          </cell>
          <cell r="G29">
            <v>7764923737</v>
          </cell>
          <cell r="K29" t="str">
            <v>BPLF150007</v>
          </cell>
        </row>
        <row r="30">
          <cell r="E30" t="str">
            <v>GROUND FLOOR, 8H AND 81, NATION PRINTERS, NAMKUM INDUSTRIAL AREA,, LOWADIH, RANCHI
GROUND FLOOR, 8H AND 81, NATION PRINTERS, NAMKUM INDUSTRIAL AREA,, LOWADIH, RANCHI
834010</v>
          </cell>
          <cell r="G30">
            <v>9709225271</v>
          </cell>
          <cell r="K30" t="str">
            <v>BRCC372871</v>
          </cell>
        </row>
        <row r="31">
          <cell r="E31" t="str">
            <v>KOKAR INDUSTRIAL AREA,,RANCHI
834002
KOKAR INDUSTRIAL AREA RANCHI</v>
          </cell>
          <cell r="G31">
            <v>9794331589</v>
          </cell>
          <cell r="K31" t="str">
            <v>GNDC370057</v>
          </cell>
        </row>
        <row r="32">
          <cell r="E32" t="str">
            <v>9.P .INDUSTRIAL AREA  KOKAR, RANCHI, TIN-20880200515
9.P .INDUSTRIAL AREA  KOKAR, RANCHI, TIN-20880200515
834001</v>
          </cell>
          <cell r="G32">
            <v>7764923737</v>
          </cell>
          <cell r="K32" t="str">
            <v>BTGS031205</v>
          </cell>
        </row>
        <row r="33">
          <cell r="E33" t="str">
            <v>NAMKUM INDUSTRIAL AREA,RANCHI
834010</v>
          </cell>
          <cell r="G33">
            <v>9386408111</v>
          </cell>
          <cell r="K33" t="str">
            <v>BRHS035337</v>
          </cell>
        </row>
        <row r="34">
          <cell r="E34" t="str">
            <v>BARWADA</v>
          </cell>
          <cell r="G34">
            <v>9443323223</v>
          </cell>
          <cell r="K34" t="str">
            <v>BULD232523</v>
          </cell>
        </row>
        <row r="35">
          <cell r="E35" t="str">
            <v>REG. OFFICE: UNIT 106, MAHABIR TOWER, JOKHIRAM LANE, MAIN ROAD, RANCHI - 834 001
REG. OFFICE: UNIT 106, MAHABIR TOWER, JOKHIRAM LANE, MAIN ROAD, RANCHI - 834 001
835214</v>
          </cell>
          <cell r="G35">
            <v>9608520802</v>
          </cell>
          <cell r="K35" t="str">
            <v>BSDS043254</v>
          </cell>
        </row>
        <row r="36">
          <cell r="E36" t="str">
            <v>ADITYAPUR KANDRA ROAD
831013</v>
          </cell>
          <cell r="G36">
            <v>8709350884</v>
          </cell>
          <cell r="K36" t="str">
            <v>BRCD160984</v>
          </cell>
        </row>
        <row r="37">
          <cell r="E37" t="str">
            <v>RANCHI</v>
          </cell>
          <cell r="G37">
            <v>9234682919</v>
          </cell>
          <cell r="K37" t="str">
            <v>GORF110094</v>
          </cell>
        </row>
        <row r="38">
          <cell r="E38" t="str">
            <v>SAYAL, RAMGARH</v>
          </cell>
          <cell r="G38">
            <v>8946096277</v>
          </cell>
          <cell r="K38" t="str">
            <v>BXGD164632</v>
          </cell>
        </row>
        <row r="39">
          <cell r="E39" t="str">
            <v>KOKAR, RANCHI</v>
          </cell>
          <cell r="G39">
            <v>7488061091</v>
          </cell>
          <cell r="K39" t="str">
            <v>BWIC371555</v>
          </cell>
        </row>
        <row r="40">
          <cell r="E40" t="str">
            <v>KOKAR,INDUSTRIAL AREA,RANCHI
834002
RANCHI</v>
          </cell>
          <cell r="G40">
            <v>9031002194</v>
          </cell>
          <cell r="K40" t="str">
            <v>BMKC370048</v>
          </cell>
        </row>
        <row r="41">
          <cell r="E41" t="str">
            <v>GAIGHATA, WB</v>
          </cell>
          <cell r="G41">
            <v>8617628112</v>
          </cell>
          <cell r="K41" t="str">
            <v>BXID201595</v>
          </cell>
        </row>
        <row r="42">
          <cell r="E42" t="str">
            <v>TUBED MINES, LATEHAR</v>
          </cell>
          <cell r="G42">
            <v>7979098236</v>
          </cell>
          <cell r="K42" t="str">
            <v>BXGD232278</v>
          </cell>
        </row>
        <row r="43">
          <cell r="E43" t="str">
            <v>DALADALI, RANCHI</v>
          </cell>
          <cell r="G43">
            <v>9835538524</v>
          </cell>
          <cell r="K43" t="str">
            <v>BWFD163940</v>
          </cell>
        </row>
        <row r="44">
          <cell r="E44" t="str">
            <v>RAHELA, DALTAINGANJ</v>
          </cell>
          <cell r="G44">
            <v>7992431955</v>
          </cell>
          <cell r="K44" t="str">
            <v>BWCS032720</v>
          </cell>
        </row>
        <row r="45">
          <cell r="E45" t="str">
            <v>RANCHI</v>
          </cell>
          <cell r="G45">
            <v>7981516056</v>
          </cell>
          <cell r="K45" t="str">
            <v>BWJC378261</v>
          </cell>
        </row>
        <row r="46">
          <cell r="E46" t="str">
            <v>KRISHNA NAGAR, BOOTY MORE, RANCHI</v>
          </cell>
          <cell r="G46">
            <v>8910434312</v>
          </cell>
          <cell r="K46" t="str">
            <v>BUES034926</v>
          </cell>
        </row>
        <row r="47">
          <cell r="E47" t="str">
            <v>RANCHI</v>
          </cell>
          <cell r="G47">
            <v>9234682919</v>
          </cell>
          <cell r="K47" t="str">
            <v>GORF110094</v>
          </cell>
        </row>
        <row r="48">
          <cell r="E48" t="str">
            <v>SEMBO, RANCHI</v>
          </cell>
          <cell r="G48">
            <v>9470526002</v>
          </cell>
          <cell r="K48" t="str">
            <v>BXHD232326</v>
          </cell>
        </row>
        <row r="49">
          <cell r="E49" t="str">
            <v>BELANGI, RATU</v>
          </cell>
          <cell r="G49">
            <v>9504196698</v>
          </cell>
          <cell r="K49" t="str">
            <v>BYIS032660</v>
          </cell>
        </row>
        <row r="50">
          <cell r="E50" t="str">
            <v>BARHI INDUSTRIAL ARE BARHI</v>
          </cell>
          <cell r="G50">
            <v>6299191237</v>
          </cell>
          <cell r="K50" t="str">
            <v>BUES034992</v>
          </cell>
        </row>
        <row r="51">
          <cell r="E51" t="str">
            <v>BARHI INDUSTRIAL ARE BARHI</v>
          </cell>
          <cell r="G51">
            <v>6299191237</v>
          </cell>
          <cell r="K51" t="str">
            <v>BUES035120</v>
          </cell>
        </row>
        <row r="52">
          <cell r="E52" t="str">
            <v>BARHI INDUSTRIAL ARE BARHI</v>
          </cell>
          <cell r="G52">
            <v>6299191237</v>
          </cell>
          <cell r="K52" t="str">
            <v>BUAF111226</v>
          </cell>
        </row>
        <row r="53">
          <cell r="E53" t="str">
            <v>BARHI INDUSTRIAL ARE BARHI</v>
          </cell>
          <cell r="G53">
            <v>6299191237</v>
          </cell>
          <cell r="K53" t="str">
            <v>BUBF111245</v>
          </cell>
        </row>
        <row r="54">
          <cell r="E54" t="str">
            <v>KURU, LOHARDAGA</v>
          </cell>
          <cell r="G54">
            <v>8709133364</v>
          </cell>
          <cell r="K54" t="str">
            <v>BVKD163010</v>
          </cell>
        </row>
        <row r="55">
          <cell r="E55" t="str">
            <v>BURMU, RANCHI</v>
          </cell>
          <cell r="G55">
            <v>7999889085</v>
          </cell>
          <cell r="K55" t="str">
            <v>BTES044431</v>
          </cell>
        </row>
        <row r="56">
          <cell r="E56" t="str">
            <v>TUBED MINES, LATEHAR</v>
          </cell>
          <cell r="G56">
            <v>7979098236</v>
          </cell>
          <cell r="K56" t="str">
            <v>BXGD232278</v>
          </cell>
        </row>
        <row r="57">
          <cell r="E57" t="str">
            <v>CHAS BOKARO</v>
          </cell>
          <cell r="G57">
            <v>9264207575</v>
          </cell>
          <cell r="K57" t="str">
            <v>BWID164096</v>
          </cell>
        </row>
        <row r="58">
          <cell r="E58" t="str">
            <v>GUMLA</v>
          </cell>
          <cell r="G58">
            <v>8285869956</v>
          </cell>
          <cell r="K58" t="str">
            <v>BWKS031684</v>
          </cell>
        </row>
        <row r="59">
          <cell r="E59" t="str">
            <v>ANGARA, TATISILWAI</v>
          </cell>
          <cell r="G59">
            <v>9162768423</v>
          </cell>
          <cell r="K59" t="str">
            <v>BVGF111615</v>
          </cell>
        </row>
        <row r="60">
          <cell r="E60" t="str">
            <v>ANGARA, TATISILWAI</v>
          </cell>
          <cell r="G60">
            <v>9110012919</v>
          </cell>
          <cell r="K60" t="str">
            <v>BVGF111611</v>
          </cell>
        </row>
        <row r="61">
          <cell r="E61" t="str">
            <v>BARWADA, DHANBAD</v>
          </cell>
          <cell r="G61">
            <v>9123424186</v>
          </cell>
          <cell r="K61" t="str">
            <v>BXAD231957</v>
          </cell>
        </row>
        <row r="62">
          <cell r="E62" t="str">
            <v>BARKAGAON</v>
          </cell>
          <cell r="G62">
            <v>8555086753</v>
          </cell>
          <cell r="K62" t="str">
            <v>BVKD163021</v>
          </cell>
        </row>
        <row r="63">
          <cell r="E63" t="str">
            <v>BARKAGAON</v>
          </cell>
          <cell r="G63">
            <v>8555086753</v>
          </cell>
          <cell r="K63" t="str">
            <v>BVKD163021</v>
          </cell>
        </row>
        <row r="64">
          <cell r="E64" t="str">
            <v>NAMKUM, RANCHI</v>
          </cell>
          <cell r="G64">
            <v>7633813349</v>
          </cell>
          <cell r="K64" t="str">
            <v>BTIS045034</v>
          </cell>
        </row>
        <row r="65">
          <cell r="E65" t="str">
            <v>NAMKUM, RANCHI</v>
          </cell>
          <cell r="G65">
            <v>9608478432</v>
          </cell>
          <cell r="K65" t="str">
            <v>BTIS044981</v>
          </cell>
        </row>
        <row r="66">
          <cell r="E66" t="str">
            <v>DALADALI, RANCHI</v>
          </cell>
          <cell r="G66">
            <v>9835538524</v>
          </cell>
          <cell r="K66" t="str">
            <v>BWFD163940</v>
          </cell>
        </row>
        <row r="67">
          <cell r="E67" t="str">
            <v>JHALDA</v>
          </cell>
          <cell r="G67">
            <v>9331665000</v>
          </cell>
          <cell r="K67" t="str">
            <v>BTIS045073</v>
          </cell>
        </row>
        <row r="68">
          <cell r="E68" t="str">
            <v>JHALDA</v>
          </cell>
          <cell r="G68">
            <v>9331665000</v>
          </cell>
          <cell r="K68" t="str">
            <v>BTIS044954</v>
          </cell>
        </row>
        <row r="69">
          <cell r="E69" t="str">
            <v>DEMOTAND, HAZARIBAGH</v>
          </cell>
          <cell r="G69">
            <v>9905758949</v>
          </cell>
          <cell r="K69" t="str">
            <v>BWGC370777</v>
          </cell>
        </row>
        <row r="70">
          <cell r="E70" t="str">
            <v>SIMRAHI, SUPOL, BIHAR</v>
          </cell>
          <cell r="G70">
            <v>9752654141</v>
          </cell>
          <cell r="K70" t="str">
            <v>BUCD121174</v>
          </cell>
        </row>
        <row r="71">
          <cell r="E71" t="str">
            <v>BARKAGAON</v>
          </cell>
          <cell r="G71">
            <v>855006735</v>
          </cell>
          <cell r="K71" t="str">
            <v>BXAD231960</v>
          </cell>
        </row>
        <row r="72">
          <cell r="E72" t="str">
            <v>SISAI, GUMLA</v>
          </cell>
          <cell r="G72">
            <v>6379844619</v>
          </cell>
          <cell r="K72" t="str">
            <v>BXLD231897</v>
          </cell>
        </row>
        <row r="73">
          <cell r="E73" t="str">
            <v>KOTTADIH, WB</v>
          </cell>
          <cell r="G73">
            <v>6203130363</v>
          </cell>
          <cell r="K73" t="str">
            <v>BYLD164919</v>
          </cell>
        </row>
        <row r="74">
          <cell r="E74" t="str">
            <v>RAMGARH
829103
NAYA MORE</v>
          </cell>
          <cell r="G74">
            <v>8271433755</v>
          </cell>
          <cell r="K74" t="str">
            <v>BPCS030196</v>
          </cell>
        </row>
        <row r="75">
          <cell r="E75" t="str">
            <v>RAMGARH
829103
NAYA MORE</v>
          </cell>
          <cell r="G75">
            <v>8271433755</v>
          </cell>
          <cell r="K75" t="str">
            <v>BRGS035169</v>
          </cell>
        </row>
        <row r="76">
          <cell r="E76" t="str">
            <v>NAGRI</v>
          </cell>
          <cell r="G76">
            <v>7061231604</v>
          </cell>
          <cell r="K76" t="str">
            <v>BQAC373734</v>
          </cell>
        </row>
        <row r="77">
          <cell r="E77" t="str">
            <v>KOKAR</v>
          </cell>
          <cell r="G77">
            <v>7520091181</v>
          </cell>
          <cell r="K77" t="str">
            <v>BYLC376289</v>
          </cell>
        </row>
        <row r="78">
          <cell r="E78" t="str">
            <v>NTPC BARKAGAON</v>
          </cell>
          <cell r="G78">
            <v>7070010949</v>
          </cell>
          <cell r="K78" t="str">
            <v>BYLD201693</v>
          </cell>
        </row>
        <row r="79">
          <cell r="E79" t="str">
            <v>GOVINDPUR, PHUSHRO</v>
          </cell>
          <cell r="G79">
            <v>7672025601</v>
          </cell>
          <cell r="K79" t="str">
            <v>BXCD164422</v>
          </cell>
        </row>
        <row r="80">
          <cell r="E80" t="str">
            <v>RANCHI</v>
          </cell>
          <cell r="G80">
            <v>9973686006</v>
          </cell>
          <cell r="K80" t="str">
            <v>BLIS031950</v>
          </cell>
        </row>
        <row r="81">
          <cell r="E81" t="str">
            <v>BARKAGAON, HAZARIBAGH</v>
          </cell>
          <cell r="G81">
            <v>7070010949</v>
          </cell>
          <cell r="K81" t="str">
            <v>BWLD231334</v>
          </cell>
        </row>
        <row r="82">
          <cell r="E82" t="str">
            <v>SEMBO, RANCHI</v>
          </cell>
          <cell r="G82">
            <v>9470526002</v>
          </cell>
          <cell r="K82" t="str">
            <v>BXHD232326</v>
          </cell>
        </row>
        <row r="83">
          <cell r="E83" t="str">
            <v>SEMBO, RANCHI</v>
          </cell>
          <cell r="G83">
            <v>9470526002</v>
          </cell>
          <cell r="K83" t="str">
            <v>BXHD232326</v>
          </cell>
        </row>
        <row r="84">
          <cell r="E84" t="str">
            <v>JARANDIH, PHUSHRO</v>
          </cell>
          <cell r="G84">
            <v>9342669513</v>
          </cell>
          <cell r="K84" t="str">
            <v>BTKD162077</v>
          </cell>
        </row>
        <row r="85">
          <cell r="E85" t="str">
            <v>KEREDARI, HAZARIBAGH</v>
          </cell>
          <cell r="G85">
            <v>9348067513</v>
          </cell>
          <cell r="K85" t="str">
            <v>BXLD231873</v>
          </cell>
        </row>
        <row r="86">
          <cell r="E86" t="str">
            <v>BENIDIH</v>
          </cell>
          <cell r="G86">
            <v>9006617909</v>
          </cell>
          <cell r="K86" t="str">
            <v>BPGD220036</v>
          </cell>
        </row>
        <row r="87">
          <cell r="E87" t="str">
            <v>KUSUNDA DHANBAD</v>
          </cell>
          <cell r="G87">
            <v>8210106692</v>
          </cell>
          <cell r="K87" t="str">
            <v>BRDD161036</v>
          </cell>
        </row>
        <row r="88">
          <cell r="E88" t="str">
            <v>GODDA</v>
          </cell>
          <cell r="G88">
            <v>7259210950</v>
          </cell>
          <cell r="K88" t="str">
            <v>BWJD163502</v>
          </cell>
        </row>
        <row r="89">
          <cell r="E89" t="str">
            <v>PATNA</v>
          </cell>
          <cell r="G89">
            <v>8744075416</v>
          </cell>
          <cell r="K89" t="str">
            <v>BSBD120631</v>
          </cell>
        </row>
        <row r="90">
          <cell r="E90" t="str">
            <v>GANGA BRIDGE, BAKHTIYARPUR, PATNA</v>
          </cell>
          <cell r="G90">
            <v>8544557188</v>
          </cell>
          <cell r="K90" t="str">
            <v>BULD121094</v>
          </cell>
        </row>
        <row r="91">
          <cell r="E91" t="str">
            <v>NIRSA</v>
          </cell>
          <cell r="G91">
            <v>7873039065</v>
          </cell>
          <cell r="K91" t="str">
            <v>BSDD161729</v>
          </cell>
        </row>
        <row r="92">
          <cell r="E92" t="str">
            <v>GANGA BRIDGE, BAKHTIYARPUR, PATNA</v>
          </cell>
          <cell r="G92">
            <v>8544557188</v>
          </cell>
          <cell r="K92" t="str">
            <v>BTDD120878</v>
          </cell>
        </row>
        <row r="93">
          <cell r="E93" t="str">
            <v>TATISILWAI, RANCHI</v>
          </cell>
          <cell r="G93">
            <v>6201580224</v>
          </cell>
          <cell r="K93" t="str">
            <v>BWHD163996</v>
          </cell>
        </row>
        <row r="94">
          <cell r="E94" t="str">
            <v>JUMRI TELAIYA</v>
          </cell>
          <cell r="G94">
            <v>7981797616</v>
          </cell>
          <cell r="K94" t="str">
            <v>BUKC370499</v>
          </cell>
        </row>
        <row r="95">
          <cell r="E95" t="str">
            <v>GROUND FLOOR, 8H AND 81, NATION PRINTERS, NAMKUM INDUSTRIAL AREA,, LOWADIH, RANCHI
GROUND FLOOR, 8H AND 81, NATION PRINTERS, NAMKUM INDUSTRIAL AREA,, LOWADIH, RANCHI
834010</v>
          </cell>
          <cell r="G95">
            <v>9709225271</v>
          </cell>
          <cell r="K95" t="str">
            <v>BRFC373676</v>
          </cell>
        </row>
        <row r="96">
          <cell r="E96" t="str">
            <v>DEWRI,TATA ROAD,JHARKHAND
GOSAIGIH BUNDU NH-33, RANCHI
815314
TATA ROAD, BUNDU,</v>
          </cell>
          <cell r="G96">
            <v>9973223350</v>
          </cell>
          <cell r="K96" t="str">
            <v>BJDS030976</v>
          </cell>
        </row>
        <row r="97">
          <cell r="E97" t="str">
            <v>DEWRI,TATA ROAD,JHARKHAND
GOSAIGIH BUNDU NH-33, RANCHI
815314
TATA ROAD, BUNDU,</v>
          </cell>
          <cell r="G97">
            <v>9972113350</v>
          </cell>
          <cell r="K97" t="str">
            <v>BLLS030352</v>
          </cell>
        </row>
        <row r="98">
          <cell r="E98" t="str">
            <v>PTPS, PATRATU</v>
          </cell>
          <cell r="G98">
            <v>7380666940</v>
          </cell>
          <cell r="K98" t="str">
            <v>BXGS043605</v>
          </cell>
        </row>
        <row r="99">
          <cell r="E99" t="str">
            <v>FLAT NO. 300, BLOCK - A, MP SRIRAM, CHHOTA GAMHARIA, P.S. - GAMHARIA, DIST.- SARAIKELA KHARSAWAN</v>
          </cell>
          <cell r="G99">
            <v>7600700814</v>
          </cell>
          <cell r="K99" t="str">
            <v>BRGL151468</v>
          </cell>
        </row>
        <row r="100">
          <cell r="E100" t="str">
            <v>PATRATU</v>
          </cell>
          <cell r="G100">
            <v>9546335099</v>
          </cell>
          <cell r="K100" t="str">
            <v>BRDD161021</v>
          </cell>
        </row>
        <row r="101">
          <cell r="E101" t="str">
            <v>NAGRI,RANCHI
835202
RANCHI</v>
          </cell>
          <cell r="G101">
            <v>7004248429</v>
          </cell>
          <cell r="K101" t="str">
            <v>BRIS035698</v>
          </cell>
        </row>
        <row r="102">
          <cell r="E102" t="str">
            <v>DALTAINGANJ</v>
          </cell>
          <cell r="G102">
            <v>9431138290</v>
          </cell>
          <cell r="K102" t="str">
            <v>BWHS034307</v>
          </cell>
        </row>
        <row r="103">
          <cell r="E103" t="str">
            <v>PIPARWAR, ASHOKA PROJECT, ASHOKA</v>
          </cell>
          <cell r="G103">
            <v>7541872921</v>
          </cell>
          <cell r="K103" t="str">
            <v>102373</v>
          </cell>
        </row>
        <row r="104">
          <cell r="E104" t="str">
            <v>MANJULA ENTERPRISES, KOKAR INDUSTRIAL AREA KOKAR</v>
          </cell>
          <cell r="G104">
            <v>9334826499</v>
          </cell>
          <cell r="K104" t="str">
            <v>BUFC372952</v>
          </cell>
        </row>
        <row r="105">
          <cell r="E105" t="str">
            <v>PISKA MORE, RANCHI</v>
          </cell>
          <cell r="G105">
            <v>8051191796</v>
          </cell>
          <cell r="K105" t="str">
            <v>BWED163889</v>
          </cell>
        </row>
        <row r="106">
          <cell r="E106" t="str">
            <v>PITHORIA</v>
          </cell>
          <cell r="G106">
            <v>7004993117</v>
          </cell>
          <cell r="K106" t="str">
            <v>BWJC378445</v>
          </cell>
        </row>
        <row r="107">
          <cell r="E107" t="str">
            <v>TUPUDANA, RANCHI</v>
          </cell>
          <cell r="G107">
            <v>9835352369</v>
          </cell>
          <cell r="K107" t="str">
            <v>BYIS032790</v>
          </cell>
        </row>
        <row r="108">
          <cell r="E108" t="str">
            <v>KOKAR INDUSTRIAL AREA,RANCHI
834002
KOKAR INDUSTRIAL AREA</v>
          </cell>
          <cell r="G108">
            <v>6202536795</v>
          </cell>
          <cell r="K108" t="str">
            <v>BQAC373733</v>
          </cell>
        </row>
        <row r="109">
          <cell r="E109" t="str">
            <v>SEMBO, RANCHI</v>
          </cell>
          <cell r="G109">
            <v>9470526002</v>
          </cell>
          <cell r="K109" t="str">
            <v>BXHD232326</v>
          </cell>
        </row>
        <row r="110">
          <cell r="E110" t="str">
            <v>TATISILWAI</v>
          </cell>
          <cell r="G110">
            <v>6203337309</v>
          </cell>
          <cell r="K110" t="str">
            <v>BYLC376467</v>
          </cell>
        </row>
        <row r="111">
          <cell r="E111" t="str">
            <v>HARMU, RANCHI</v>
          </cell>
          <cell r="G111">
            <v>8298018061</v>
          </cell>
          <cell r="K111" t="str">
            <v>BXDC373827</v>
          </cell>
        </row>
        <row r="112">
          <cell r="E112" t="str">
            <v>UPPER BAZAR, RANCHI</v>
          </cell>
          <cell r="G112">
            <v>7292931639</v>
          </cell>
          <cell r="K112" t="str">
            <v>BVKC375893</v>
          </cell>
        </row>
        <row r="113">
          <cell r="E113" t="str">
            <v>REHLA,GARWA,JHARKHAND
822124
RANCHI</v>
          </cell>
          <cell r="G113">
            <v>7004623399</v>
          </cell>
          <cell r="K113" t="str">
            <v>BMFS031346</v>
          </cell>
        </row>
        <row r="114">
          <cell r="E114" t="str">
            <v>KOKAR,INDUSTRIAL AREA,RANCHI
834002
RANCHI</v>
          </cell>
          <cell r="G114">
            <v>9031002194</v>
          </cell>
          <cell r="K114" t="str">
            <v>BMKC370048</v>
          </cell>
        </row>
        <row r="115">
          <cell r="E115" t="str">
            <v>ANGADA</v>
          </cell>
          <cell r="G115">
            <v>9110012919</v>
          </cell>
          <cell r="K115" t="str">
            <v>BYAS044711</v>
          </cell>
        </row>
        <row r="116">
          <cell r="E116" t="str">
            <v>KUCHU, ORMANJHI</v>
          </cell>
          <cell r="G116">
            <v>9935301771</v>
          </cell>
          <cell r="K116" t="str">
            <v>BKAS040272</v>
          </cell>
        </row>
        <row r="117">
          <cell r="E117" t="str">
            <v>KUCHU, ORMANJHI</v>
          </cell>
          <cell r="G117">
            <v>9935301771</v>
          </cell>
          <cell r="K117" t="str">
            <v>BKAS040272</v>
          </cell>
        </row>
        <row r="118">
          <cell r="E118" t="str">
            <v>NAMKUM, RANCHI</v>
          </cell>
          <cell r="G118">
            <v>7633813349</v>
          </cell>
          <cell r="K118" t="str">
            <v>BTIS044982</v>
          </cell>
        </row>
        <row r="119">
          <cell r="E119" t="str">
            <v>SISAI, GUMLA</v>
          </cell>
          <cell r="G119">
            <v>6379844619</v>
          </cell>
          <cell r="K119" t="str">
            <v>BXLD231897</v>
          </cell>
        </row>
        <row r="120">
          <cell r="E120" t="str">
            <v>TETULMARI, DHANBAD</v>
          </cell>
          <cell r="G120">
            <v>7488698499</v>
          </cell>
          <cell r="K120" t="str">
            <v>BWID164086</v>
          </cell>
        </row>
        <row r="121">
          <cell r="E121" t="str">
            <v>KATHITAND, RANCHI</v>
          </cell>
          <cell r="G121">
            <v>8383018375</v>
          </cell>
          <cell r="K121" t="str">
            <v>BYHS032167</v>
          </cell>
        </row>
        <row r="122">
          <cell r="E122" t="str">
            <v>RAMGARH,JHARKHAND
829122</v>
          </cell>
          <cell r="G122">
            <v>9377481071</v>
          </cell>
          <cell r="K122" t="str">
            <v>BSIC376940</v>
          </cell>
        </row>
        <row r="123">
          <cell r="E123" t="str">
            <v>TRIDENT PNEUMATICS PVT LTD   5/232,KNG PUDUR ROADSOMAYAMPALAYAM POSTCOIMBATORE IND</v>
          </cell>
          <cell r="G123">
            <v>7079053079</v>
          </cell>
          <cell r="K123" t="str">
            <v>BRCC373040</v>
          </cell>
        </row>
        <row r="124">
          <cell r="E124" t="str">
            <v>DHANSAR, DHANBAD</v>
          </cell>
          <cell r="G124">
            <v>7033267093</v>
          </cell>
          <cell r="K124" t="str">
            <v>BYLD164914</v>
          </cell>
        </row>
        <row r="125">
          <cell r="E125" t="str">
            <v>BARABAZAR</v>
          </cell>
          <cell r="G125">
            <v>9438348720</v>
          </cell>
          <cell r="K125" t="str">
            <v>BXKD220975</v>
          </cell>
        </row>
        <row r="126">
          <cell r="E126" t="str">
            <v>PHUSHRO, BOKARO</v>
          </cell>
          <cell r="G126">
            <v>9931519401</v>
          </cell>
          <cell r="K126" t="str">
            <v>BYFD165260</v>
          </cell>
        </row>
        <row r="127">
          <cell r="E127" t="str">
            <v>AMRAPALI PROJECT, TANDWA</v>
          </cell>
          <cell r="G127">
            <v>8765754628</v>
          </cell>
          <cell r="K127" t="str">
            <v>BYFD201821</v>
          </cell>
        </row>
        <row r="128">
          <cell r="E128" t="str">
            <v>BARKAGAON</v>
          </cell>
          <cell r="G128">
            <v>9234615009</v>
          </cell>
          <cell r="K128" t="str">
            <v>BXDD232126</v>
          </cell>
        </row>
        <row r="129">
          <cell r="E129" t="str">
            <v>DEOGHAR</v>
          </cell>
          <cell r="G129">
            <v>7507772397</v>
          </cell>
          <cell r="K129" t="str">
            <v>BVDC378047</v>
          </cell>
        </row>
        <row r="130">
          <cell r="E130" t="str">
            <v>PHOOLWARTAND, DHANBAD</v>
          </cell>
          <cell r="G130">
            <v>8210106692</v>
          </cell>
          <cell r="K130" t="str">
            <v>BVHD163393</v>
          </cell>
        </row>
        <row r="131">
          <cell r="E131" t="str">
            <v>RANCHI</v>
          </cell>
          <cell r="G131">
            <v>9835831689</v>
          </cell>
          <cell r="K131" t="str">
            <v>BYIS032660</v>
          </cell>
        </row>
        <row r="132">
          <cell r="E132" t="str">
            <v>DALTAINGANJ</v>
          </cell>
          <cell r="G132">
            <v>9431138290</v>
          </cell>
          <cell r="K132" t="str">
            <v>BWHS034307</v>
          </cell>
        </row>
        <row r="133">
          <cell r="E133" t="str">
            <v>GAIGHATA, WB</v>
          </cell>
          <cell r="G133">
            <v>8617628112</v>
          </cell>
          <cell r="K133" t="str">
            <v>BXID201595</v>
          </cell>
        </row>
        <row r="134">
          <cell r="E134" t="str">
            <v>GAIGHATA, WB</v>
          </cell>
          <cell r="G134">
            <v>8617628112</v>
          </cell>
          <cell r="K134" t="str">
            <v>BXID201595</v>
          </cell>
        </row>
        <row r="135">
          <cell r="E135" t="str">
            <v>HAZARIBAGH</v>
          </cell>
          <cell r="G135">
            <v>7905424302</v>
          </cell>
          <cell r="K135" t="str">
            <v>BUIS036401</v>
          </cell>
        </row>
        <row r="136">
          <cell r="E136" t="str">
            <v>RANCHI PATNA ROAD
DEMOTAND
825301
HAZARIBAGH</v>
          </cell>
          <cell r="G136">
            <v>7905424302</v>
          </cell>
          <cell r="K136" t="str">
            <v>BIFS040367</v>
          </cell>
        </row>
        <row r="137">
          <cell r="E137" t="str">
            <v>RANCHI PATNA ROAD
DEMOTAND
825301
HAZARIBAGH</v>
          </cell>
          <cell r="G137">
            <v>7905424302</v>
          </cell>
          <cell r="K137" t="str">
            <v>BMBL160078</v>
          </cell>
        </row>
        <row r="138">
          <cell r="E138" t="str">
            <v>NAGRI</v>
          </cell>
          <cell r="G138">
            <v>9100031264</v>
          </cell>
          <cell r="K138" t="str">
            <v>BYCS045058</v>
          </cell>
        </row>
        <row r="139">
          <cell r="E139" t="str">
            <v>GAIGHATA, WB</v>
          </cell>
          <cell r="G139">
            <v>8617628112</v>
          </cell>
          <cell r="K139" t="str">
            <v>BXID201595</v>
          </cell>
        </row>
        <row r="140">
          <cell r="E140" t="str">
            <v>ANGADA</v>
          </cell>
          <cell r="G140">
            <v>9110012919</v>
          </cell>
          <cell r="K140" t="str">
            <v>BYAS044711</v>
          </cell>
        </row>
        <row r="141">
          <cell r="E141" t="str">
            <v>ANGARA, TATISILWAI</v>
          </cell>
          <cell r="G141">
            <v>9162768423</v>
          </cell>
          <cell r="K141" t="str">
            <v>BVGF111615</v>
          </cell>
        </row>
        <row r="142">
          <cell r="E142" t="str">
            <v>ANGARA, TATISILWAI</v>
          </cell>
          <cell r="G142">
            <v>9110012919</v>
          </cell>
          <cell r="K142" t="str">
            <v>BVGF111611</v>
          </cell>
        </row>
        <row r="143">
          <cell r="E143" t="str">
            <v>SARNATOLI,ANGADA,RANCHI
835222</v>
          </cell>
          <cell r="G143">
            <v>9162768423</v>
          </cell>
          <cell r="K143" t="str">
            <v>BSAF110719</v>
          </cell>
        </row>
        <row r="144">
          <cell r="E144" t="str">
            <v>NAGARI, RANCHI
834006</v>
          </cell>
          <cell r="G144">
            <v>9297787773</v>
          </cell>
          <cell r="K144" t="str">
            <v>BRAC372524</v>
          </cell>
        </row>
        <row r="145">
          <cell r="E145" t="str">
            <v>JAMSHEDPUR</v>
          </cell>
          <cell r="G145">
            <v>6287901833</v>
          </cell>
          <cell r="K145" t="str">
            <v>BXBC373276</v>
          </cell>
        </row>
        <row r="146">
          <cell r="E146" t="str">
            <v>SAHEBGANJ</v>
          </cell>
          <cell r="G146">
            <v>6204834831</v>
          </cell>
          <cell r="K146" t="str">
            <v>BXID164764</v>
          </cell>
        </row>
        <row r="147">
          <cell r="E147" t="str">
            <v>MARRAR RAMGRAH</v>
          </cell>
          <cell r="G147">
            <v>7654107064</v>
          </cell>
          <cell r="K147" t="str">
            <v>BXFS037363</v>
          </cell>
        </row>
        <row r="148">
          <cell r="E148" t="str">
            <v>BALIDIH, BIKARO</v>
          </cell>
          <cell r="G148">
            <v>8858506533</v>
          </cell>
          <cell r="K148" t="str">
            <v>BRAF110427</v>
          </cell>
        </row>
        <row r="149">
          <cell r="E149" t="str">
            <v>TATISILWAI, RANCHI</v>
          </cell>
          <cell r="G149">
            <v>9708039203</v>
          </cell>
          <cell r="K149" t="str">
            <v>BWEC370314</v>
          </cell>
        </row>
        <row r="150">
          <cell r="E150" t="str">
            <v>NAGRI</v>
          </cell>
          <cell r="G150">
            <v>8555882797</v>
          </cell>
          <cell r="K150" t="str">
            <v>BYCS030580</v>
          </cell>
        </row>
        <row r="151">
          <cell r="E151" t="str">
            <v>PITHORIA, RANCHI</v>
          </cell>
          <cell r="G151">
            <v>9262899082</v>
          </cell>
          <cell r="K151" t="str">
            <v>BXFC374337</v>
          </cell>
        </row>
        <row r="152">
          <cell r="E152" t="str">
            <v>ADITYAPUR KANDRA ROAD
831013</v>
          </cell>
          <cell r="G152">
            <v>9204058991</v>
          </cell>
          <cell r="K152" t="str">
            <v>BRDC373261</v>
          </cell>
        </row>
        <row r="153">
          <cell r="E153" t="str">
            <v>RAMGARH,JHARKHAND
829122</v>
          </cell>
          <cell r="G153">
            <v>9377481071</v>
          </cell>
          <cell r="K153" t="str">
            <v>BSIC376940</v>
          </cell>
        </row>
        <row r="154">
          <cell r="E154" t="str">
            <v>KATITARH,RANCHI
835222</v>
          </cell>
          <cell r="G154">
            <v>7779980009</v>
          </cell>
          <cell r="K154" t="str">
            <v>BSAS036940</v>
          </cell>
        </row>
        <row r="155">
          <cell r="E155" t="str">
            <v>NAGARI,</v>
          </cell>
          <cell r="G155">
            <v>8864003869</v>
          </cell>
          <cell r="K155" t="str">
            <v>BLGS040582</v>
          </cell>
        </row>
        <row r="156">
          <cell r="E156" t="str">
            <v>HOSHIR GIDDI,RAMGARH
NEAR P.N. BANK MAIN ROAD, RAMGARH CANTT. 829122
829110</v>
          </cell>
          <cell r="G156">
            <v>9835381268</v>
          </cell>
          <cell r="K156" t="str">
            <v>BRHS035368</v>
          </cell>
        </row>
        <row r="157">
          <cell r="E157" t="str">
            <v>MAHESHPUR, KATRAS, DHANBAD</v>
          </cell>
          <cell r="G157">
            <v>9225530583</v>
          </cell>
          <cell r="K157" t="str">
            <v>BYCD201765</v>
          </cell>
        </row>
        <row r="158">
          <cell r="E158" t="str">
            <v>PAKUR</v>
          </cell>
          <cell r="G158">
            <v>9585918025</v>
          </cell>
          <cell r="K158" t="str">
            <v>BXHD232312</v>
          </cell>
        </row>
        <row r="159">
          <cell r="E159" t="str">
            <v>HORHAP ROAD, MAHILONG, RANCHI
835103</v>
          </cell>
          <cell r="G159">
            <v>9708039203</v>
          </cell>
          <cell r="K159" t="str">
            <v>BRIC374329</v>
          </cell>
        </row>
        <row r="160">
          <cell r="E160" t="str">
            <v>PITHORIA</v>
          </cell>
          <cell r="G160">
            <v>7050471419</v>
          </cell>
          <cell r="K160" t="str">
            <v>BWED163893</v>
          </cell>
        </row>
        <row r="161">
          <cell r="E161" t="str">
            <v>BIT MESRA, RANCHI
835215
BIT MISRA, RANCHI</v>
          </cell>
          <cell r="G161">
            <v>9693768894</v>
          </cell>
          <cell r="K161" t="str">
            <v>BPHS030467</v>
          </cell>
        </row>
        <row r="162">
          <cell r="E162" t="str">
            <v>OPP. WAXPOLE TATISILWAY</v>
          </cell>
          <cell r="G162">
            <v>8987495120</v>
          </cell>
          <cell r="K162" t="str">
            <v>BVDC376415</v>
          </cell>
        </row>
        <row r="163">
          <cell r="E163" t="str">
            <v>PAKUR</v>
          </cell>
          <cell r="G163">
            <v>9585918025</v>
          </cell>
          <cell r="K163" t="str">
            <v>BXHD232312</v>
          </cell>
        </row>
        <row r="164">
          <cell r="E164" t="str">
            <v>VINAIKA’S COMPLEX RANCHI TATA ROAD, R.S. PLOT NO.:-615,VILLAGE-PANCHA,THANA-BUNDU RANCHI, JHARKHAND.
834002</v>
          </cell>
          <cell r="G164">
            <v>9818905980</v>
          </cell>
          <cell r="K164" t="str">
            <v>BXCS042723</v>
          </cell>
        </row>
        <row r="165">
          <cell r="E165" t="str">
            <v>DEMOTAND, HAZARIBAGH</v>
          </cell>
          <cell r="G165">
            <v>9905758949</v>
          </cell>
          <cell r="K165" t="str">
            <v>BWGC370777</v>
          </cell>
        </row>
        <row r="166">
          <cell r="E166" t="str">
            <v>KHATHITAND, RANCHI</v>
          </cell>
          <cell r="G166">
            <v>8383018375</v>
          </cell>
          <cell r="K166" t="str">
            <v>BXJC371965</v>
          </cell>
        </row>
        <row r="167">
          <cell r="E167" t="str">
            <v>RATU ROAD KMT</v>
          </cell>
          <cell r="G167">
            <v>7520090086</v>
          </cell>
          <cell r="K167" t="str">
            <v>BUIC373911</v>
          </cell>
        </row>
        <row r="168">
          <cell r="E168" t="str">
            <v>KOKAR, RANCHI</v>
          </cell>
          <cell r="G168">
            <v>8825268687</v>
          </cell>
          <cell r="K168" t="str">
            <v>BWGC370755</v>
          </cell>
        </row>
        <row r="169">
          <cell r="E169" t="str">
            <v>JHALDA</v>
          </cell>
          <cell r="G169">
            <v>7001349489</v>
          </cell>
          <cell r="K169" t="str">
            <v>BUGS047249</v>
          </cell>
        </row>
        <row r="170">
          <cell r="E170" t="str">
            <v>NAMKUM, RANCHI</v>
          </cell>
          <cell r="G170">
            <v>7001349489</v>
          </cell>
          <cell r="K170" t="str">
            <v>BUGHS047439</v>
          </cell>
        </row>
        <row r="171">
          <cell r="E171" t="str">
            <v>PIPARWAR,JHARKHAND</v>
          </cell>
          <cell r="G171">
            <v>8637667173</v>
          </cell>
          <cell r="K171" t="str">
            <v>BSCC375819</v>
          </cell>
        </row>
        <row r="172">
          <cell r="E172" t="str">
            <v>GOBINDPUR INDUSTRIAL AREA, DHANBAD</v>
          </cell>
          <cell r="G172">
            <v>9110998099</v>
          </cell>
          <cell r="K172" t="str">
            <v>BVJS047894</v>
          </cell>
        </row>
        <row r="173">
          <cell r="E173" t="str">
            <v>TATISILWAI, RANCHI</v>
          </cell>
          <cell r="G173">
            <v>9708039203</v>
          </cell>
          <cell r="K173" t="str">
            <v>BWCC379947</v>
          </cell>
        </row>
        <row r="174">
          <cell r="E174" t="str">
            <v>HORHAP ROAD, MAHILONG, RANCHI
835103</v>
          </cell>
          <cell r="G174">
            <v>9708039203</v>
          </cell>
          <cell r="K174" t="str">
            <v>BRIC374329</v>
          </cell>
        </row>
        <row r="175">
          <cell r="E175" t="str">
            <v>TATISILWAI, RANCHI</v>
          </cell>
          <cell r="G175">
            <v>9708039203</v>
          </cell>
          <cell r="K175" t="str">
            <v>BWEC370314</v>
          </cell>
        </row>
        <row r="176">
          <cell r="E176" t="str">
            <v>HORHAP ROAD, MAHILONG, RANCHI
835103</v>
          </cell>
          <cell r="G176">
            <v>9708039203</v>
          </cell>
          <cell r="K176" t="str">
            <v>BYBS030225</v>
          </cell>
        </row>
        <row r="177">
          <cell r="E177" t="str">
            <v>RANCHI</v>
          </cell>
          <cell r="G177">
            <v>9693589003</v>
          </cell>
          <cell r="K177" t="str">
            <v>BVJC374172</v>
          </cell>
        </row>
        <row r="178">
          <cell r="E178" t="str">
            <v>RANCHI
834002</v>
          </cell>
          <cell r="G178">
            <v>9540167108</v>
          </cell>
          <cell r="K178" t="str">
            <v>BTIS032025</v>
          </cell>
        </row>
        <row r="179">
          <cell r="E179" t="str">
            <v>RANCHI
834002</v>
          </cell>
          <cell r="G179">
            <v>9540167108</v>
          </cell>
          <cell r="K179" t="str">
            <v>BULS033141</v>
          </cell>
        </row>
        <row r="180">
          <cell r="E180" t="str">
            <v>RANCHI
834002</v>
          </cell>
          <cell r="G180">
            <v>9540167108</v>
          </cell>
          <cell r="K180" t="str">
            <v>BTIS032020</v>
          </cell>
        </row>
        <row r="181">
          <cell r="E181" t="str">
            <v>AMRAPALI, TANDWA</v>
          </cell>
          <cell r="G181">
            <v>8555913918</v>
          </cell>
          <cell r="K181" t="str">
            <v>BXLD164272</v>
          </cell>
        </row>
        <row r="182">
          <cell r="E182" t="str">
            <v>RANCHI
834002</v>
          </cell>
          <cell r="G182">
            <v>9540167108</v>
          </cell>
          <cell r="K182" t="str">
            <v>BXBS036173</v>
          </cell>
        </row>
        <row r="183">
          <cell r="E183" t="str">
            <v>AMRAPALI, TANDWA</v>
          </cell>
          <cell r="G183">
            <v>8555913918</v>
          </cell>
          <cell r="K183" t="str">
            <v>BXLD164272</v>
          </cell>
        </row>
        <row r="184">
          <cell r="E184" t="str">
            <v>SAHEBGANJ</v>
          </cell>
          <cell r="G184">
            <v>8059000900</v>
          </cell>
          <cell r="K184" t="str">
            <v>BYKD164879</v>
          </cell>
        </row>
        <row r="185">
          <cell r="E185" t="str">
            <v>BALIDIH BOKARO</v>
          </cell>
          <cell r="G185">
            <v>9031742261</v>
          </cell>
          <cell r="K185" t="str">
            <v>BYLS039512</v>
          </cell>
        </row>
        <row r="186">
          <cell r="E186" t="str">
            <v>DEVIMANDAP, PISKA MORE</v>
          </cell>
          <cell r="G186">
            <v>7361824979</v>
          </cell>
          <cell r="K186" t="str">
            <v>BYHC379469</v>
          </cell>
        </row>
        <row r="187">
          <cell r="E187" t="str">
            <v>PLOT NO. 79, KAPASARA,, SUNDERNAGAR, CHIRKUNDA,, DHANBAD - 828 202
PLOT NO. 79, KAPASARA,, SUNDERNAGAR, CHIRKUNDA,, DHANBAD - 828 202
828202</v>
          </cell>
          <cell r="G187">
            <v>8101005542</v>
          </cell>
          <cell r="K187" t="str">
            <v>BTFS031006</v>
          </cell>
        </row>
        <row r="188">
          <cell r="E188" t="str">
            <v>CHIRKUNDA, DHANBAD</v>
          </cell>
          <cell r="G188">
            <v>8101005542</v>
          </cell>
          <cell r="K188" t="str">
            <v>BWHC371250</v>
          </cell>
        </row>
        <row r="189">
          <cell r="E189" t="str">
            <v>KEREDARI, HAZARIBAGH</v>
          </cell>
          <cell r="G189">
            <v>9348067514</v>
          </cell>
          <cell r="K189" t="str">
            <v>BXAD164317</v>
          </cell>
        </row>
        <row r="190">
          <cell r="E190" t="str">
            <v>KODERMA
825410</v>
          </cell>
          <cell r="G190">
            <v>7070098712</v>
          </cell>
          <cell r="K190" t="str">
            <v>BLIS040713</v>
          </cell>
        </row>
        <row r="191">
          <cell r="E191" t="str">
            <v>BARKAGAON, HAZARIBAGH</v>
          </cell>
          <cell r="G191">
            <v>6200193662</v>
          </cell>
          <cell r="K191" t="str">
            <v>BSLC375116</v>
          </cell>
        </row>
        <row r="192">
          <cell r="E192" t="str">
            <v>BARKAGAON</v>
          </cell>
          <cell r="G192">
            <v>6200193662</v>
          </cell>
          <cell r="K192" t="str">
            <v>BNCS030904</v>
          </cell>
        </row>
        <row r="193">
          <cell r="E193" t="str">
            <v>MARRAR, RAMGRAH</v>
          </cell>
          <cell r="G193">
            <v>8981616788</v>
          </cell>
          <cell r="K193" t="str">
            <v>BXJS035074</v>
          </cell>
        </row>
        <row r="194">
          <cell r="E194" t="str">
            <v>MORANGI, HAZARIBAGH</v>
          </cell>
          <cell r="G194">
            <v>9304664534</v>
          </cell>
          <cell r="K194" t="str">
            <v>BYFS045580</v>
          </cell>
        </row>
        <row r="195">
          <cell r="E195" t="str">
            <v>RANCHI</v>
          </cell>
          <cell r="G195">
            <v>8809098866</v>
          </cell>
          <cell r="K195" t="str">
            <v>BVJC374172</v>
          </cell>
        </row>
        <row r="196">
          <cell r="E196" t="str">
            <v>KOKAR
834001</v>
          </cell>
          <cell r="G196">
            <v>9297888190</v>
          </cell>
          <cell r="K196" t="str">
            <v>BSDC375892</v>
          </cell>
        </row>
        <row r="197">
          <cell r="E197" t="str">
            <v>BHURKUNDA</v>
          </cell>
          <cell r="G197">
            <v>6200279030</v>
          </cell>
          <cell r="K197" t="str">
            <v>BWHD164015</v>
          </cell>
        </row>
        <row r="198">
          <cell r="E198" t="str">
            <v>GODDA</v>
          </cell>
          <cell r="G198">
            <v>7397748887</v>
          </cell>
          <cell r="K198" t="str">
            <v>BYJD232405</v>
          </cell>
        </row>
        <row r="199">
          <cell r="E199" t="str">
            <v>KOKAR</v>
          </cell>
          <cell r="G199">
            <v>7764923737</v>
          </cell>
          <cell r="K199" t="str">
            <v>BPLF150007</v>
          </cell>
        </row>
        <row r="200">
          <cell r="E200" t="str">
            <v>9.P .INDUSTRIAL AREA  KOKAR, RANCHI, TIN-20880200515
9.P .INDUSTRIAL AREA  KOKAR, RANCHI, TIN-20880200515
834001</v>
          </cell>
          <cell r="G200">
            <v>7764923737</v>
          </cell>
          <cell r="K200" t="str">
            <v>BTGS031205</v>
          </cell>
        </row>
        <row r="201">
          <cell r="E201" t="str">
            <v>11 PINJRAPOLE, HARMU ROAD, RANCHI
11 PINJRAPOLE, HARMU ROAD, RANCHI
834001
MAHILONG, TATISILWAY</v>
          </cell>
          <cell r="G201">
            <v>9709000070</v>
          </cell>
          <cell r="K201" t="str">
            <v>BNCC370425</v>
          </cell>
        </row>
        <row r="202">
          <cell r="E202" t="str">
            <v>FLAT NO. 300, BLOCK - A, MP SRIRAM, CHHOTA GAMHARIA, P.S. - GAMHARIA, DIST.- SARAIKELA KHARSAWAN</v>
          </cell>
          <cell r="G202">
            <v>8756386052</v>
          </cell>
          <cell r="K202" t="str">
            <v>BRBL150944</v>
          </cell>
        </row>
        <row r="203">
          <cell r="E203" t="str">
            <v>FLAT NO. 300, BLOCK - A, MP SRIRAM, CHHOTA GAMHARIA, P.S. - GAMHARIA, DIST.- SARAIKELA KHARSAWAN</v>
          </cell>
          <cell r="G203">
            <v>8756386052</v>
          </cell>
          <cell r="K203" t="str">
            <v>BRGL151468</v>
          </cell>
        </row>
        <row r="204">
          <cell r="E204" t="str">
            <v>FLAT NO. 300, BLOCK - A, MP SRIRAM, CHHOTA GAMHARIA, P.S. - GAMHARIA, DIST.- SARAIKELA KHARSAWAN</v>
          </cell>
          <cell r="G204">
            <v>8756386052</v>
          </cell>
          <cell r="K204" t="str">
            <v>BRGL151464</v>
          </cell>
        </row>
        <row r="205">
          <cell r="E205" t="str">
            <v>9.P .INDUSTRIAL AREA  KOKAR, RANCHI, TIN-20880200515
9.P .INDUSTRIAL AREA  KOKAR, RANCHI, TIN-20880200515
834001</v>
          </cell>
          <cell r="G205">
            <v>7764923737</v>
          </cell>
          <cell r="K205" t="str">
            <v>BTGS031205</v>
          </cell>
        </row>
        <row r="206">
          <cell r="E206" t="str">
            <v>MAHUDA MORE</v>
          </cell>
          <cell r="G206">
            <v>6204702963</v>
          </cell>
          <cell r="K206" t="str">
            <v>BXGD164662</v>
          </cell>
        </row>
        <row r="207">
          <cell r="E207" t="str">
            <v xml:space="preserve">RAMGARH </v>
          </cell>
          <cell r="G207">
            <v>8294028310</v>
          </cell>
          <cell r="K207" t="str">
            <v>BYIS046047</v>
          </cell>
        </row>
        <row r="208">
          <cell r="E208" t="str">
            <v>KOKAR INDUSTRIAL AREA, RANCHI
834002</v>
          </cell>
          <cell r="G208">
            <v>7633885415</v>
          </cell>
          <cell r="K208" t="str">
            <v>BRJS040951</v>
          </cell>
        </row>
        <row r="209">
          <cell r="E209" t="str">
            <v>HAZARINAGH</v>
          </cell>
          <cell r="G209">
            <v>6200015827</v>
          </cell>
          <cell r="K209" t="str">
            <v>BUHC373622</v>
          </cell>
        </row>
        <row r="210">
          <cell r="E210" t="str">
            <v>SIKIDARI, ORMANJHI</v>
          </cell>
          <cell r="G210">
            <v>9296509260</v>
          </cell>
          <cell r="K210" t="str">
            <v>BYAD164973</v>
          </cell>
        </row>
        <row r="211">
          <cell r="E211" t="str">
            <v>CHATRA</v>
          </cell>
          <cell r="G211">
            <v>8102075973</v>
          </cell>
          <cell r="K211" t="str">
            <v>BWGD163984</v>
          </cell>
        </row>
        <row r="212">
          <cell r="E212" t="str">
            <v>LODNA</v>
          </cell>
          <cell r="G212">
            <v>7644045555</v>
          </cell>
          <cell r="K212" t="str">
            <v>BVJD162972</v>
          </cell>
        </row>
        <row r="213">
          <cell r="E213" t="str">
            <v>INDIA - NEPAL - BHUTAN BORDER</v>
          </cell>
          <cell r="G213">
            <v>7033484612</v>
          </cell>
          <cell r="K213" t="str">
            <v>BWFD121755</v>
          </cell>
        </row>
        <row r="214">
          <cell r="E214" t="str">
            <v>GAYA, BIHAR</v>
          </cell>
          <cell r="G214">
            <v>8521057778</v>
          </cell>
          <cell r="K214" t="str">
            <v>BWID164091</v>
          </cell>
        </row>
        <row r="215">
          <cell r="E215" t="str">
            <v>BHAGALPUR</v>
          </cell>
          <cell r="G215">
            <v>9939352785</v>
          </cell>
          <cell r="K215" t="str">
            <v>BXJD121872</v>
          </cell>
        </row>
        <row r="216">
          <cell r="E216" t="str">
            <v>RANCHI PATNA ROAD
DEMOTAND
825301
HAZARIBAGH</v>
          </cell>
          <cell r="G216">
            <v>6203465926</v>
          </cell>
          <cell r="K216" t="str">
            <v>BSCS037531</v>
          </cell>
        </row>
        <row r="217">
          <cell r="E217" t="str">
            <v>CHATRA</v>
          </cell>
          <cell r="G217">
            <v>7004915623</v>
          </cell>
          <cell r="K217" t="str">
            <v>BXID164737</v>
          </cell>
        </row>
        <row r="218">
          <cell r="E218" t="str">
            <v>C/O PRAKASH RAM, PHUSHRO</v>
          </cell>
          <cell r="G218">
            <v>8789232926</v>
          </cell>
          <cell r="K218" t="str">
            <v>BWBD163701</v>
          </cell>
        </row>
        <row r="219">
          <cell r="E219" t="str">
            <v>RAMGRAH</v>
          </cell>
          <cell r="G219">
            <v>9155729786</v>
          </cell>
          <cell r="K219" t="str">
            <v>BVAS038005</v>
          </cell>
        </row>
        <row r="220">
          <cell r="E220" t="str">
            <v>NAMKUM, RANCHI</v>
          </cell>
          <cell r="G220">
            <v>9608478432</v>
          </cell>
          <cell r="K220" t="str">
            <v>BTIS044981</v>
          </cell>
        </row>
        <row r="221">
          <cell r="E221" t="str">
            <v>TUBED MINES, LATEHAR</v>
          </cell>
          <cell r="G221">
            <v>7979098236</v>
          </cell>
          <cell r="K221" t="str">
            <v>BXGD232278</v>
          </cell>
        </row>
        <row r="222">
          <cell r="E222" t="str">
            <v>LATEHAR</v>
          </cell>
          <cell r="G222">
            <v>7979098236</v>
          </cell>
          <cell r="K222" t="str">
            <v>NA</v>
          </cell>
        </row>
        <row r="223">
          <cell r="E223" t="str">
            <v>PAKUR</v>
          </cell>
          <cell r="G223">
            <v>9133666330</v>
          </cell>
          <cell r="K223" t="str">
            <v>BUKD162500</v>
          </cell>
        </row>
        <row r="224">
          <cell r="E224" t="str">
            <v>PAKUR</v>
          </cell>
          <cell r="G224">
            <v>9133666330</v>
          </cell>
          <cell r="K224" t="str">
            <v>BUKD162491</v>
          </cell>
        </row>
        <row r="225">
          <cell r="E225" t="str">
            <v>GHATSHILA,JAMSHEDPUR</v>
          </cell>
          <cell r="G225">
            <v>7992362488</v>
          </cell>
          <cell r="K225" t="str">
            <v>BPED200187</v>
          </cell>
        </row>
        <row r="226">
          <cell r="E226" t="str">
            <v>AKASHKANARI</v>
          </cell>
          <cell r="G226">
            <v>9031032277</v>
          </cell>
          <cell r="K226" t="str">
            <v>BWFD163947</v>
          </cell>
        </row>
        <row r="227">
          <cell r="E227" t="str">
            <v>DHANBAD, CONT PERSON :MR. IKTEKHAR AHMAD, PH.NO :9431316718</v>
          </cell>
          <cell r="G227">
            <v>8675594243</v>
          </cell>
          <cell r="K227" t="str">
            <v>BSKD161462</v>
          </cell>
        </row>
        <row r="228">
          <cell r="E228" t="str">
            <v>PANDWA, RANCHI</v>
          </cell>
          <cell r="G228">
            <v>7909069824</v>
          </cell>
          <cell r="K228" t="str">
            <v>BWEC370313</v>
          </cell>
        </row>
        <row r="229">
          <cell r="E229" t="str">
            <v>DIBDIH, RANCHI
834002</v>
          </cell>
          <cell r="G229">
            <v>8102715589</v>
          </cell>
          <cell r="K229" t="str">
            <v>BTEC378588</v>
          </cell>
        </row>
        <row r="230">
          <cell r="E230" t="str">
            <v>TUPUDANA, RANCHI</v>
          </cell>
          <cell r="G230">
            <v>8102915586</v>
          </cell>
          <cell r="K230" t="str">
            <v>BUDC372327</v>
          </cell>
        </row>
        <row r="231">
          <cell r="E231" t="str">
            <v>ORMANJHI,RANCHI
835219</v>
          </cell>
          <cell r="G231">
            <v>9905273242</v>
          </cell>
          <cell r="K231" t="str">
            <v>BSGC376577</v>
          </cell>
        </row>
        <row r="232">
          <cell r="E232" t="str">
            <v>ASHOKA PROJECT PIPARWAR</v>
          </cell>
          <cell r="G232">
            <v>9102994454</v>
          </cell>
          <cell r="K232" t="str">
            <v>BUID162912</v>
          </cell>
        </row>
        <row r="233">
          <cell r="E233" t="str">
            <v xml:space="preserve">TOPIN SOUTH  </v>
          </cell>
          <cell r="G233">
            <v>9102994453</v>
          </cell>
          <cell r="K233" t="str">
            <v>BSGD161864</v>
          </cell>
        </row>
        <row r="234">
          <cell r="E234" t="str">
            <v>MAGADH PROJECT, BALUMATH</v>
          </cell>
          <cell r="G234">
            <v>9102402602</v>
          </cell>
          <cell r="K234" t="str">
            <v>BTDD162190</v>
          </cell>
        </row>
        <row r="235">
          <cell r="E235" t="str">
            <v>DEOGHAR</v>
          </cell>
          <cell r="G235">
            <v>7507772397</v>
          </cell>
          <cell r="K235" t="str">
            <v>BVDC378047</v>
          </cell>
        </row>
        <row r="236">
          <cell r="E236" t="str">
            <v>RAMGARH CANTT, RAMGARH
RAMGARH
829122
RAMGARH</v>
          </cell>
          <cell r="G236">
            <v>9984684577</v>
          </cell>
          <cell r="K236" t="str">
            <v>BNKS030423</v>
          </cell>
        </row>
        <row r="237">
          <cell r="E237" t="str">
            <v>MORANGI, HAZARIBAGH</v>
          </cell>
          <cell r="G237">
            <v>9304664534</v>
          </cell>
          <cell r="K237" t="str">
            <v>BYFS045580</v>
          </cell>
        </row>
        <row r="238">
          <cell r="E238" t="str">
            <v>MALDA</v>
          </cell>
          <cell r="G238">
            <v>6204058763</v>
          </cell>
          <cell r="K238" t="str">
            <v>BXED122035</v>
          </cell>
        </row>
        <row r="239">
          <cell r="E239" t="str">
            <v>SAHIBGANJ</v>
          </cell>
          <cell r="G239">
            <v>8059000900</v>
          </cell>
          <cell r="K239" t="str">
            <v>BYHD165347</v>
          </cell>
        </row>
        <row r="240">
          <cell r="E240" t="str">
            <v>DALADALI, RANCHI</v>
          </cell>
          <cell r="G240">
            <v>9579597970</v>
          </cell>
          <cell r="K240" t="str">
            <v>BXES037106</v>
          </cell>
        </row>
        <row r="241">
          <cell r="E241" t="str">
            <v>RING ROAD, TUPUDANA</v>
          </cell>
          <cell r="G241">
            <v>9264401517</v>
          </cell>
          <cell r="K241" t="str">
            <v>BWLS031931</v>
          </cell>
        </row>
        <row r="242">
          <cell r="E242" t="str">
            <v>DEOGRAH</v>
          </cell>
          <cell r="G242">
            <v>6299737730</v>
          </cell>
          <cell r="K242" t="str">
            <v>BWFD163937</v>
          </cell>
        </row>
        <row r="243">
          <cell r="E243" t="str">
            <v>VINAIKA’S COMPLEX RANCHI TATA ROAD, R.S. PLOT NO.:-615,VILLAGE-PANCHA,THANA-BUNDU RANCHI, JHARKHAND.
834002</v>
          </cell>
          <cell r="G243">
            <v>9818905980</v>
          </cell>
          <cell r="K243" t="str">
            <v>BXCS042723</v>
          </cell>
        </row>
        <row r="244">
          <cell r="E244" t="str">
            <v>VINAIKA’S COMPLEX RANCHI TATA ROAD, R.S. PLOT NO.:-615,VILLAGE-PANCHA,THANA-BUNDU RANCHI, JHARKHAND.
834002</v>
          </cell>
          <cell r="G244">
            <v>9818905980</v>
          </cell>
          <cell r="K244" t="str">
            <v>BUDS046275</v>
          </cell>
        </row>
        <row r="245">
          <cell r="E245" t="str">
            <v>RAMGRAH</v>
          </cell>
          <cell r="G245">
            <v>9155729786</v>
          </cell>
          <cell r="K245" t="str">
            <v>BVAS038005</v>
          </cell>
        </row>
        <row r="246">
          <cell r="E246" t="str">
            <v>MARRAR, RAMGRAH</v>
          </cell>
          <cell r="G246">
            <v>9102975843</v>
          </cell>
          <cell r="K246" t="str">
            <v>BWGS033844</v>
          </cell>
        </row>
        <row r="247">
          <cell r="E247" t="str">
            <v>C&amp;W HATIA</v>
          </cell>
          <cell r="G247">
            <v>7781002740</v>
          </cell>
          <cell r="K247" t="str">
            <v>EVLL062069</v>
          </cell>
        </row>
        <row r="248">
          <cell r="E248" t="str">
            <v>ITKI, RANCHI</v>
          </cell>
          <cell r="G248">
            <v>6200347294</v>
          </cell>
          <cell r="K248" t="str">
            <v>BYHS032301</v>
          </cell>
        </row>
        <row r="249">
          <cell r="E249" t="str">
            <v>JAI RAMPUR</v>
          </cell>
          <cell r="G249">
            <v>7623886938</v>
          </cell>
          <cell r="K249" t="str">
            <v>BUAD162634</v>
          </cell>
        </row>
        <row r="250">
          <cell r="E250" t="str">
            <v>BHOWRA</v>
          </cell>
          <cell r="G250">
            <v>7488119074</v>
          </cell>
          <cell r="K250" t="str">
            <v>BULD162568</v>
          </cell>
        </row>
        <row r="251">
          <cell r="E251" t="str">
            <v>LODNA MORE</v>
          </cell>
          <cell r="G251">
            <v>8658834483</v>
          </cell>
          <cell r="K251" t="str">
            <v>BWKD163543</v>
          </cell>
        </row>
        <row r="252">
          <cell r="E252" t="str">
            <v>NAYA MORE, RAMGRAH</v>
          </cell>
          <cell r="G252">
            <v>7004541681</v>
          </cell>
          <cell r="K252" t="str">
            <v>BUKS045388</v>
          </cell>
        </row>
        <row r="253">
          <cell r="E253" t="str">
            <v>NAYA MORE, RAMGRAH</v>
          </cell>
          <cell r="G253">
            <v>7004541681</v>
          </cell>
          <cell r="K253" t="str">
            <v>BUKS045387</v>
          </cell>
        </row>
        <row r="254">
          <cell r="E254" t="str">
            <v>BASTAWLA DHANBAD</v>
          </cell>
          <cell r="G254">
            <v>9693269669</v>
          </cell>
          <cell r="K254" t="str">
            <v>BTJD162046</v>
          </cell>
        </row>
        <row r="255">
          <cell r="E255" t="str">
            <v>KALYANI, PHUSHRO</v>
          </cell>
          <cell r="G255">
            <v>7070010949</v>
          </cell>
          <cell r="K255" t="str">
            <v>BYHD232906</v>
          </cell>
        </row>
        <row r="256">
          <cell r="E256" t="str">
            <v>HAZARIBAGH</v>
          </cell>
          <cell r="G256">
            <v>9939988225</v>
          </cell>
          <cell r="K256" t="str">
            <v>BUIS036401</v>
          </cell>
        </row>
        <row r="257">
          <cell r="E257" t="str">
            <v>KOTTADIH, WB</v>
          </cell>
          <cell r="G257">
            <v>9508963299</v>
          </cell>
          <cell r="K257" t="str">
            <v>BYLD164919</v>
          </cell>
        </row>
        <row r="258">
          <cell r="E258" t="str">
            <v>GIRIDIH</v>
          </cell>
          <cell r="G258">
            <v>7488238319</v>
          </cell>
          <cell r="K258" t="str">
            <v>BXAC372848</v>
          </cell>
        </row>
        <row r="259">
          <cell r="E259" t="str">
            <v>HAZARIBAGH</v>
          </cell>
          <cell r="G259">
            <v>6362114355</v>
          </cell>
          <cell r="K259" t="str">
            <v>BVJC375621</v>
          </cell>
        </row>
        <row r="260">
          <cell r="E260" t="str">
            <v>DHANBAD</v>
          </cell>
          <cell r="G260">
            <v>9294578541</v>
          </cell>
          <cell r="K260" t="str">
            <v>BVGD163308</v>
          </cell>
        </row>
        <row r="261">
          <cell r="E261" t="str">
            <v>GOBINDPUR INDUSTRIAL AREA, DHANBAD</v>
          </cell>
          <cell r="G261">
            <v>9110998099</v>
          </cell>
          <cell r="K261" t="str">
            <v>BVJS047894</v>
          </cell>
        </row>
        <row r="262">
          <cell r="E262" t="str">
            <v>GOVINDPUR DHANBAD</v>
          </cell>
          <cell r="G262">
            <v>9110154620</v>
          </cell>
          <cell r="K262" t="str">
            <v>BYBS030219</v>
          </cell>
        </row>
        <row r="263">
          <cell r="E263" t="str">
            <v>GOVINDPUR, DHANBAD</v>
          </cell>
          <cell r="G263">
            <v>9110154620</v>
          </cell>
          <cell r="K263" t="str">
            <v>BXHS038093</v>
          </cell>
        </row>
        <row r="264">
          <cell r="E264" t="str">
            <v>ASANSOL WB</v>
          </cell>
          <cell r="G264">
            <v>8617494518</v>
          </cell>
          <cell r="K264" t="str">
            <v>BXFD232225</v>
          </cell>
        </row>
        <row r="265">
          <cell r="E265" t="str">
            <v>LALPUR</v>
          </cell>
          <cell r="G265">
            <v>9047727677</v>
          </cell>
          <cell r="K265" t="str">
            <v>BVKS048013</v>
          </cell>
        </row>
        <row r="266">
          <cell r="E266" t="str">
            <v>OPP. WAXPOLE TATISILWAY</v>
          </cell>
          <cell r="G266">
            <v>8987495120</v>
          </cell>
          <cell r="K266" t="str">
            <v>BVDC376415</v>
          </cell>
        </row>
        <row r="267">
          <cell r="E267" t="str">
            <v>PIPARWAR</v>
          </cell>
          <cell r="G267">
            <v>90066179909</v>
          </cell>
          <cell r="K267" t="str">
            <v>BYFD232840</v>
          </cell>
        </row>
        <row r="268">
          <cell r="E268" t="str">
            <v>NAGARI,</v>
          </cell>
          <cell r="G268">
            <v>8864003869</v>
          </cell>
          <cell r="K268" t="str">
            <v>BLGS040582</v>
          </cell>
        </row>
        <row r="269">
          <cell r="E269" t="str">
            <v>GODDA</v>
          </cell>
          <cell r="G269">
            <v>9095488887</v>
          </cell>
          <cell r="K269" t="str">
            <v>BYJD232405</v>
          </cell>
        </row>
        <row r="270">
          <cell r="E270" t="str">
            <v>GIRIDIH</v>
          </cell>
          <cell r="G270">
            <v>9234615009</v>
          </cell>
          <cell r="K270" t="str">
            <v>BXCD164420</v>
          </cell>
        </row>
        <row r="271">
          <cell r="E271" t="str">
            <v>DALADALI, RANCHI</v>
          </cell>
          <cell r="G271">
            <v>7903260686</v>
          </cell>
          <cell r="K271" t="str">
            <v>BXFD164605</v>
          </cell>
        </row>
        <row r="272">
          <cell r="E272" t="str">
            <v>SENEGARAH, HAZARIBAGH</v>
          </cell>
          <cell r="G272">
            <v>9931934819</v>
          </cell>
          <cell r="K272" t="str">
            <v>BXDS036842</v>
          </cell>
        </row>
        <row r="273">
          <cell r="E273" t="str">
            <v>CHATRA, HAZARIBAGH</v>
          </cell>
          <cell r="G273">
            <v>9955183229</v>
          </cell>
          <cell r="K273" t="str">
            <v>BWID164050</v>
          </cell>
        </row>
        <row r="274">
          <cell r="E274" t="str">
            <v>KEREDARI, HAZARIBAGH</v>
          </cell>
          <cell r="G274">
            <v>9348067514</v>
          </cell>
          <cell r="K274" t="str">
            <v>BXAD164317</v>
          </cell>
        </row>
        <row r="275">
          <cell r="E275" t="str">
            <v>DUMKA</v>
          </cell>
          <cell r="G275">
            <v>9955009511</v>
          </cell>
          <cell r="K275" t="str">
            <v>BXCC373541</v>
          </cell>
        </row>
        <row r="276">
          <cell r="E276" t="str">
            <v>PIPRA, CHATTARPUR, DALTAINGANJ</v>
          </cell>
          <cell r="G276">
            <v>9825940815</v>
          </cell>
          <cell r="K276" t="str">
            <v>BYGD165317</v>
          </cell>
        </row>
        <row r="277">
          <cell r="E277" t="str">
            <v>KODERMA</v>
          </cell>
          <cell r="G277">
            <v>7970949373</v>
          </cell>
          <cell r="K277" t="str">
            <v>BYED165208</v>
          </cell>
        </row>
        <row r="278">
          <cell r="E278" t="str">
            <v>RAMGARH</v>
          </cell>
          <cell r="G278">
            <v>9523364242</v>
          </cell>
          <cell r="K278" t="str">
            <v>BXHS037937</v>
          </cell>
        </row>
        <row r="279">
          <cell r="E279" t="str">
            <v>TUPUDANA INDUSTRIAL AREA</v>
          </cell>
          <cell r="G279">
            <v>9534249500</v>
          </cell>
          <cell r="K279" t="str">
            <v>BMBS030816</v>
          </cell>
        </row>
        <row r="280">
          <cell r="E280" t="str">
            <v>PLOT NO. 148, TUPUDANA, INDUSTRIAL AREA, HATIA, RANCHI
834002</v>
          </cell>
          <cell r="G280">
            <v>9534249500</v>
          </cell>
          <cell r="K280" t="str">
            <v>BSLS036682</v>
          </cell>
        </row>
        <row r="281">
          <cell r="E281" t="str">
            <v>PLOT NO. 148, TUPUDANA, INDUSTRIAL AREA, HATIA, RANCHI
834002</v>
          </cell>
          <cell r="G281">
            <v>9534249500</v>
          </cell>
          <cell r="K281" t="str">
            <v>BXKS035161</v>
          </cell>
        </row>
        <row r="282">
          <cell r="E282" t="str">
            <v>PLOT NO. 148, TUPUDANA, INDUSTRIAL AREA, HATIA, RANCHI
834002</v>
          </cell>
          <cell r="G282">
            <v>9534249500</v>
          </cell>
          <cell r="K282" t="str">
            <v>BRIS035838</v>
          </cell>
        </row>
        <row r="283">
          <cell r="E283" t="str">
            <v>PLOT NO. 148, TUPUDANA, INDUSTRIAL AREA, HATIA, RANCHI
834002</v>
          </cell>
          <cell r="G283">
            <v>9534249500</v>
          </cell>
          <cell r="K283" t="str">
            <v>BRIS035838</v>
          </cell>
        </row>
        <row r="284">
          <cell r="E284" t="str">
            <v>RAMGRAH</v>
          </cell>
          <cell r="G284">
            <v>7010835271</v>
          </cell>
          <cell r="K284" t="str">
            <v>BXLD231897</v>
          </cell>
        </row>
        <row r="285">
          <cell r="E285" t="str">
            <v>SIDRAUL, NAMKUM, RANCHI
834010
SIDRAUL, NAMKUM, RANCHI</v>
          </cell>
          <cell r="G285">
            <v>9993423669</v>
          </cell>
          <cell r="K285" t="str">
            <v>UOHS030121</v>
          </cell>
        </row>
        <row r="286">
          <cell r="E286" t="str">
            <v>ARGORA, RANCHI
834002</v>
          </cell>
          <cell r="G286">
            <v>9661549583</v>
          </cell>
          <cell r="K286" t="str">
            <v>BSKC374901</v>
          </cell>
        </row>
        <row r="287">
          <cell r="E287" t="str">
            <v>GARIKHANA, RANCHI</v>
          </cell>
          <cell r="G287">
            <v>7004253721</v>
          </cell>
          <cell r="K287" t="str">
            <v>BXGC374746</v>
          </cell>
        </row>
        <row r="288">
          <cell r="E288" t="str">
            <v>PAKUR</v>
          </cell>
          <cell r="G288">
            <v>9585918025</v>
          </cell>
          <cell r="K288" t="str">
            <v>BXHD232312</v>
          </cell>
        </row>
        <row r="289">
          <cell r="E289" t="str">
            <v>FLAT NO. 300, BLOCK - A, MP SRIRAM, CHHOTA GAMHARIA, P.S. - GAMHARIA, DIST.- SARAIKELA KHARSAWAN</v>
          </cell>
          <cell r="G289">
            <v>8756386052</v>
          </cell>
          <cell r="K289" t="str">
            <v>BRGL151464</v>
          </cell>
        </row>
        <row r="290">
          <cell r="E290" t="str">
            <v>FLAT NO. 300, BLOCK - A, MP SRIRAM, CHHOTA GAMHARIA, P.S. - GAMHARIA, DIST.- SARAIKELA KHARSAWAN</v>
          </cell>
          <cell r="G290">
            <v>8756386052</v>
          </cell>
          <cell r="K290" t="str">
            <v>BRGL151468</v>
          </cell>
        </row>
        <row r="291">
          <cell r="E291" t="str">
            <v>HESLA,RAMGARH
829101</v>
          </cell>
          <cell r="G291">
            <v>7562823341</v>
          </cell>
          <cell r="K291" t="str">
            <v>BSDS037710</v>
          </cell>
        </row>
        <row r="292">
          <cell r="E292" t="str">
            <v>RAMGARH</v>
          </cell>
          <cell r="G292">
            <v>9523364242</v>
          </cell>
          <cell r="K292" t="str">
            <v>BXHS037937</v>
          </cell>
        </row>
        <row r="293">
          <cell r="E293" t="str">
            <v>MARRAR, RAMGARH</v>
          </cell>
          <cell r="G293">
            <v>8809620540</v>
          </cell>
          <cell r="K293">
            <v>105606</v>
          </cell>
        </row>
        <row r="294">
          <cell r="E294" t="str">
            <v>BALIDIH INDUSTRIAL AREA, BOKARO
BYE PASS ROAD, CHAS, BOKARO, JHARKHAND.
827014</v>
          </cell>
          <cell r="G294">
            <v>6290095065</v>
          </cell>
          <cell r="K294" t="str">
            <v>BRCC373034</v>
          </cell>
        </row>
        <row r="295">
          <cell r="E295" t="str">
            <v>KWJAMA COLLIERY, DHANBAD</v>
          </cell>
          <cell r="G295">
            <v>7644045555</v>
          </cell>
          <cell r="K295" t="str">
            <v>BVCD163165</v>
          </cell>
        </row>
        <row r="296">
          <cell r="E296" t="str">
            <v>BARKAGAON</v>
          </cell>
          <cell r="G296">
            <v>8978792036</v>
          </cell>
          <cell r="K296" t="str">
            <v>BWID231694</v>
          </cell>
        </row>
        <row r="297">
          <cell r="E297" t="str">
            <v>HESLA, RAMGARH</v>
          </cell>
          <cell r="G297">
            <v>7562823341</v>
          </cell>
          <cell r="K297" t="str">
            <v>BYBS030095</v>
          </cell>
        </row>
        <row r="298">
          <cell r="E298" t="str">
            <v>PIPARWAR</v>
          </cell>
          <cell r="G298">
            <v>90066179909</v>
          </cell>
          <cell r="K298" t="str">
            <v>BYFD232840</v>
          </cell>
        </row>
        <row r="299">
          <cell r="E299" t="str">
            <v>ITKI MORE, RANCHI</v>
          </cell>
          <cell r="G299">
            <v>6200327294</v>
          </cell>
          <cell r="K299" t="str">
            <v>BWFC370723</v>
          </cell>
        </row>
        <row r="300">
          <cell r="E300" t="str">
            <v>NAGRI,RANCHI
835202
RANCHI</v>
          </cell>
          <cell r="G300">
            <v>8877024924</v>
          </cell>
          <cell r="K300" t="str">
            <v>BMJS040004</v>
          </cell>
        </row>
        <row r="301">
          <cell r="E301" t="str">
            <v>KEDLA, BOKARO</v>
          </cell>
          <cell r="G301">
            <v>7903459252</v>
          </cell>
          <cell r="K301" t="str">
            <v>BYLD164901</v>
          </cell>
        </row>
        <row r="302">
          <cell r="E302" t="str">
            <v>NAGARI,</v>
          </cell>
          <cell r="G302">
            <v>8864003869</v>
          </cell>
          <cell r="K302" t="str">
            <v>BLGS040582</v>
          </cell>
        </row>
        <row r="303">
          <cell r="E303" t="str">
            <v>KOKAR INDUSTRIAL AREA,RANCHI
834001</v>
          </cell>
          <cell r="G303">
            <v>8709740232</v>
          </cell>
          <cell r="K303" t="str">
            <v>BPIC370386</v>
          </cell>
        </row>
        <row r="304">
          <cell r="E304" t="str">
            <v>RAMGARH</v>
          </cell>
          <cell r="G304">
            <v>7004332970</v>
          </cell>
          <cell r="K304" t="str">
            <v>BRBD160859</v>
          </cell>
        </row>
        <row r="305">
          <cell r="E305" t="str">
            <v>BARKAGON</v>
          </cell>
          <cell r="G305">
            <v>7339548887</v>
          </cell>
          <cell r="K305" t="str">
            <v>BYLD232524</v>
          </cell>
        </row>
        <row r="306">
          <cell r="E306" t="str">
            <v>PALAMU,GARWA, JHARKHAND
822124
GARHWA ROAD, NEAR BCCL PALAMU,</v>
          </cell>
          <cell r="G306">
            <v>9973686006</v>
          </cell>
          <cell r="K306" t="str">
            <v>GOCS030806</v>
          </cell>
        </row>
        <row r="307">
          <cell r="E307" t="str">
            <v>JINAGORA, JHARIA</v>
          </cell>
          <cell r="G307">
            <v>7644045555</v>
          </cell>
          <cell r="K307" t="str">
            <v>BULD162559</v>
          </cell>
        </row>
        <row r="308">
          <cell r="E308" t="str">
            <v>DEOGHAR</v>
          </cell>
          <cell r="G308">
            <v>7507772397</v>
          </cell>
          <cell r="K308" t="str">
            <v>BVDC378047</v>
          </cell>
        </row>
        <row r="309">
          <cell r="E309" t="str">
            <v>JHALDA</v>
          </cell>
          <cell r="G309">
            <v>9331665000</v>
          </cell>
          <cell r="K309" t="str">
            <v>BTIS045073</v>
          </cell>
        </row>
        <row r="310">
          <cell r="E310" t="str">
            <v>GOVINDPUR, PHUSHRO</v>
          </cell>
          <cell r="G310">
            <v>7250002096</v>
          </cell>
          <cell r="K310" t="str">
            <v>BXCD164422</v>
          </cell>
        </row>
        <row r="311">
          <cell r="E311" t="str">
            <v>DALTAINGANJ</v>
          </cell>
          <cell r="G311">
            <v>9431138290</v>
          </cell>
          <cell r="K311" t="str">
            <v>BWHS034307</v>
          </cell>
        </row>
        <row r="312">
          <cell r="E312" t="str">
            <v>KODERMA</v>
          </cell>
          <cell r="G312">
            <v>8210413459</v>
          </cell>
          <cell r="K312" t="str">
            <v>BVFS049398</v>
          </cell>
        </row>
        <row r="313">
          <cell r="E313" t="str">
            <v>KODERMA</v>
          </cell>
          <cell r="G313">
            <v>8210413459</v>
          </cell>
          <cell r="K313" t="str">
            <v>BVFS049426</v>
          </cell>
        </row>
        <row r="314">
          <cell r="E314" t="str">
            <v>KODERMA</v>
          </cell>
          <cell r="G314">
            <v>8210413459</v>
          </cell>
          <cell r="K314" t="str">
            <v>BVFS049421</v>
          </cell>
        </row>
        <row r="315">
          <cell r="E315" t="str">
            <v>KODERMA</v>
          </cell>
          <cell r="G315">
            <v>8210413459</v>
          </cell>
          <cell r="K315" t="str">
            <v>BVFS049407</v>
          </cell>
        </row>
        <row r="316">
          <cell r="E316" t="str">
            <v>REHLA, GARHWA ROAD, PALAMU D.T, JHARKHAND
PALAMU JHARKHAND 822124
INDIA</v>
          </cell>
          <cell r="G316">
            <v>7367882775</v>
          </cell>
          <cell r="K316" t="str">
            <v>BLFS031469</v>
          </cell>
        </row>
        <row r="317">
          <cell r="E317" t="str">
            <v>HATIA, RANCHI</v>
          </cell>
          <cell r="G317">
            <v>9937348946</v>
          </cell>
          <cell r="K317" t="str">
            <v>BXHD232326</v>
          </cell>
        </row>
        <row r="318">
          <cell r="E318" t="str">
            <v>TALIPN, RAMGARH</v>
          </cell>
          <cell r="G318">
            <v>8340617969</v>
          </cell>
          <cell r="K318" t="str">
            <v>BYCD165091</v>
          </cell>
        </row>
        <row r="319">
          <cell r="E319" t="str">
            <v>REG. OFFICE: UNIT 106, MAHABIR TOWER, JOKHIRAM LANE, MAIN ROAD, RANCHI - 834 001
REG. OFFICE: UNIT 106, MAHABIR TOWER, JOKHIRAM LANE, MAIN ROAD, RANCHI - 834 001
835214</v>
          </cell>
          <cell r="G319">
            <v>8207010500</v>
          </cell>
          <cell r="K319" t="str">
            <v>BSDS043254</v>
          </cell>
        </row>
        <row r="320">
          <cell r="E320" t="str">
            <v>ITI ROAD</v>
          </cell>
          <cell r="G320">
            <v>9031026774</v>
          </cell>
          <cell r="K320" t="str">
            <v>BXFC374338</v>
          </cell>
        </row>
        <row r="321">
          <cell r="E321" t="str">
            <v>JHARIA</v>
          </cell>
          <cell r="G321">
            <v>7644045555</v>
          </cell>
          <cell r="K321" t="str">
            <v>BXBD164358</v>
          </cell>
        </row>
        <row r="322">
          <cell r="E322" t="str">
            <v>JINAGORA, JHARIA</v>
          </cell>
          <cell r="G322">
            <v>7644045555</v>
          </cell>
          <cell r="K322" t="str">
            <v>BXKD164206</v>
          </cell>
        </row>
        <row r="323">
          <cell r="E323" t="str">
            <v>AT: SENEGARHA, P.O-RABODH, P.S-GIDDI,(RAMGARH),, DISTT. HAZARIBAGH,JHARKHAND-825330
829108
AT: SENEGARHA, P.O-RABODH, P.S-GIDDI,(RAMGARH),</v>
          </cell>
          <cell r="G323">
            <v>9006877583</v>
          </cell>
          <cell r="K323" t="str">
            <v>BSCS037349</v>
          </cell>
        </row>
        <row r="324">
          <cell r="E324" t="str">
            <v>DEOGRAH</v>
          </cell>
          <cell r="G324">
            <v>9431158169</v>
          </cell>
          <cell r="K324" t="str">
            <v>BLBS030847</v>
          </cell>
        </row>
        <row r="325">
          <cell r="E325" t="str">
            <v>KHATHITAND, RANCHI</v>
          </cell>
          <cell r="G325">
            <v>7779980009</v>
          </cell>
          <cell r="K325" t="str">
            <v>BXJC371965</v>
          </cell>
        </row>
        <row r="326">
          <cell r="E326" t="str">
            <v>REG. OFFICE: UNIT 106, MAHABIR TOWER, JOKHIRAM LANE, MAIN ROAD, RANCHI - 834 001
REG. OFFICE: UNIT 106, MAHABIR TOWER, JOKHIRAM LANE, MAIN ROAD, RANCHI - 834 001
835214</v>
          </cell>
          <cell r="G326">
            <v>8207010500</v>
          </cell>
          <cell r="K326" t="str">
            <v>BSDS043254</v>
          </cell>
        </row>
        <row r="327">
          <cell r="E327" t="str">
            <v>MAHESHPUR, KATRAS, DHANBAD</v>
          </cell>
          <cell r="G327">
            <v>9225530583</v>
          </cell>
          <cell r="K327" t="str">
            <v>BYCD201765</v>
          </cell>
        </row>
        <row r="328">
          <cell r="E328" t="str">
            <v>DEMO TANND HAZAIBAGH JHARKHAND,
825301
DEMO TANND HAZAIBAGH JHARKHAND</v>
          </cell>
          <cell r="G328">
            <v>9304717159</v>
          </cell>
          <cell r="K328" t="str">
            <v>BMDS040417</v>
          </cell>
        </row>
        <row r="329">
          <cell r="E329" t="str">
            <v>FLAT NO. 300, BLOCK - A, MP SRIRAM, CHHOTA GAMHARIA, P.S. - GAMHARIA, DIST.- SARAIKELA KHARSAWAN</v>
          </cell>
          <cell r="G329">
            <v>8756386052</v>
          </cell>
          <cell r="K329" t="str">
            <v>BRBL150944</v>
          </cell>
        </row>
        <row r="330">
          <cell r="E330" t="str">
            <v>MANDU, RAMGARH
JAISWAL COLONY, THANA CHOW,, RAMGARH CANTT. DIST. RAMGARH, JHARKHAND
825316
MANDU</v>
          </cell>
          <cell r="G330">
            <v>7908864486</v>
          </cell>
          <cell r="K330">
            <v>123399</v>
          </cell>
        </row>
        <row r="331">
          <cell r="E331" t="str">
            <v>MANDU, RAMGARH
JAISWAL COLONY, THANA CHOW,, RAMGARH CANTT. DIST. RAMGARH, JHARKHAND
825316
MANDU</v>
          </cell>
          <cell r="G331">
            <v>7979930284</v>
          </cell>
          <cell r="K331" t="str">
            <v>BTLS039748</v>
          </cell>
        </row>
        <row r="332">
          <cell r="E332" t="str">
            <v>MANDU, RAMGARH
JAISWAL COLONY, THANA CHOW,, RAMGARH CANTT. DIST. RAMGARH, JHARKHAND
825316
MANDU</v>
          </cell>
          <cell r="G332">
            <v>7979930284</v>
          </cell>
          <cell r="K332" t="str">
            <v>BTLS039851</v>
          </cell>
        </row>
        <row r="333">
          <cell r="E333" t="str">
            <v>MANDU, RAMGARH
JAISWAL COLONY, THANA CHOW,, RAMGARH CANTT. DIST. RAMGARH, JHARKHAND
825316
MANDU</v>
          </cell>
          <cell r="G333">
            <v>7979930284</v>
          </cell>
          <cell r="K333" t="str">
            <v>BTLS039719</v>
          </cell>
        </row>
        <row r="334">
          <cell r="E334" t="str">
            <v>MANDU, RAMGARH
JAISWAL COLONY, THANA CHOW,, RAMGARH CANTT. DIST. RAMGARH, JHARKHAND
825316
MANDU</v>
          </cell>
          <cell r="G334">
            <v>7979930284</v>
          </cell>
          <cell r="K334" t="str">
            <v>BTLS039793</v>
          </cell>
        </row>
        <row r="335">
          <cell r="E335" t="str">
            <v>MANDU, RAMGARH
JAISWAL COLONY, THANA CHOW,, RAMGARH CANTT. DIST. RAMGARH, JHARKHAND
825316
MANDU</v>
          </cell>
          <cell r="G335">
            <v>8797891051</v>
          </cell>
          <cell r="K335" t="str">
            <v>BSGS043527</v>
          </cell>
        </row>
        <row r="336">
          <cell r="E336" t="str">
            <v>MANDU, RAMGARH
JAISWAL COLONY, THANA CHOW,, RAMGARH CANTT. DIST. RAMGARH, JHARKHAND
825316
MANDU</v>
          </cell>
          <cell r="G336">
            <v>8797891051</v>
          </cell>
          <cell r="K336" t="str">
            <v>BWCS032691</v>
          </cell>
        </row>
        <row r="337">
          <cell r="E337" t="str">
            <v>KHATHITAND, RANCHI</v>
          </cell>
          <cell r="G337">
            <v>7779980009</v>
          </cell>
          <cell r="K337" t="str">
            <v>BXJC371965</v>
          </cell>
        </row>
        <row r="338">
          <cell r="E338" t="str">
            <v>KATITARH,RANCHI
835222</v>
          </cell>
          <cell r="G338">
            <v>7779980009</v>
          </cell>
          <cell r="K338" t="str">
            <v>BSAS036940</v>
          </cell>
        </row>
        <row r="339">
          <cell r="E339" t="str">
            <v>BHURKUNDA</v>
          </cell>
          <cell r="G339">
            <v>7481041391</v>
          </cell>
          <cell r="K339" t="str">
            <v>BWHD164015</v>
          </cell>
        </row>
        <row r="340">
          <cell r="E340" t="str">
            <v>PAKUR</v>
          </cell>
          <cell r="G340">
            <v>9585918025</v>
          </cell>
          <cell r="K340" t="str">
            <v>BXHD232312</v>
          </cell>
        </row>
        <row r="341">
          <cell r="E341" t="str">
            <v>BANDHIYA RAOD, NAGRI RANCHI, MOB.8709325266
834006
BANDHIYA ROAD, NAGARI RANCHI</v>
          </cell>
          <cell r="G341">
            <v>9110033639</v>
          </cell>
          <cell r="K341" t="str">
            <v>BLFS040558</v>
          </cell>
        </row>
        <row r="342">
          <cell r="E342" t="str">
            <v>BANDHTOLI, NAGRI</v>
          </cell>
          <cell r="G342">
            <v>6201457979</v>
          </cell>
          <cell r="K342" t="str">
            <v>BUFS046813</v>
          </cell>
        </row>
        <row r="343">
          <cell r="E343" t="str">
            <v>PHUSHRO, BOKARO</v>
          </cell>
          <cell r="G343">
            <v>9931519401</v>
          </cell>
          <cell r="K343" t="str">
            <v>BYFD165260</v>
          </cell>
        </row>
        <row r="344">
          <cell r="E344" t="str">
            <v>RANCHI
834002</v>
          </cell>
          <cell r="G344">
            <v>9540167108</v>
          </cell>
          <cell r="K344" t="str">
            <v>BTIS032025</v>
          </cell>
        </row>
        <row r="345">
          <cell r="E345" t="str">
            <v>RANCHI
834002</v>
          </cell>
          <cell r="G345">
            <v>9540167108</v>
          </cell>
          <cell r="K345" t="str">
            <v>BULS033141</v>
          </cell>
        </row>
        <row r="346">
          <cell r="E346" t="str">
            <v>RANCHI
834002</v>
          </cell>
          <cell r="G346">
            <v>9540167108</v>
          </cell>
          <cell r="K346" t="str">
            <v>BXBS036173</v>
          </cell>
        </row>
        <row r="347">
          <cell r="E347" t="str">
            <v>RANCHI</v>
          </cell>
          <cell r="G347">
            <v>9973880780</v>
          </cell>
          <cell r="K347" t="str">
            <v>BKDS031405</v>
          </cell>
        </row>
        <row r="348">
          <cell r="E348" t="str">
            <v>DALTAINGANJ</v>
          </cell>
          <cell r="G348">
            <v>8271937639</v>
          </cell>
          <cell r="K348" t="str">
            <v>BWHS034307</v>
          </cell>
        </row>
        <row r="349">
          <cell r="E349" t="str">
            <v>TUBED MINES, LATEHAR</v>
          </cell>
          <cell r="G349">
            <v>7979098236</v>
          </cell>
          <cell r="K349" t="str">
            <v>BXGD232278</v>
          </cell>
        </row>
        <row r="350">
          <cell r="E350" t="str">
            <v>GOVINDPUR, PHUSHRO</v>
          </cell>
          <cell r="G350">
            <v>7250002096</v>
          </cell>
          <cell r="K350" t="str">
            <v>BXCD164422</v>
          </cell>
        </row>
        <row r="351">
          <cell r="E351" t="str">
            <v>MARRAR RAMGRAH</v>
          </cell>
          <cell r="G351">
            <v>7654107064</v>
          </cell>
          <cell r="K351" t="str">
            <v>BXFS037363</v>
          </cell>
        </row>
        <row r="352">
          <cell r="E352" t="str">
            <v>AMLO PHUSHRO</v>
          </cell>
          <cell r="G352">
            <v>9006617909</v>
          </cell>
          <cell r="K352" t="str">
            <v>BXKD164191</v>
          </cell>
        </row>
        <row r="353">
          <cell r="E353" t="str">
            <v>HESLA, RAMGARH</v>
          </cell>
          <cell r="G353">
            <v>7562823341</v>
          </cell>
          <cell r="K353" t="str">
            <v>BYBS030095</v>
          </cell>
        </row>
        <row r="354">
          <cell r="E354" t="str">
            <v>GUMLA</v>
          </cell>
          <cell r="G354">
            <v>8709972418</v>
          </cell>
          <cell r="K354" t="str">
            <v>BRGD161218</v>
          </cell>
        </row>
        <row r="355">
          <cell r="E355" t="str">
            <v>RANCHI
834002</v>
          </cell>
          <cell r="G355">
            <v>9540167108</v>
          </cell>
          <cell r="K355" t="str">
            <v>BTIS032020</v>
          </cell>
        </row>
        <row r="356">
          <cell r="E356" t="str">
            <v>BALIDIH INDUSTRIAL AREA, BALIDIH BOKARO</v>
          </cell>
          <cell r="G356">
            <v>8100184482</v>
          </cell>
          <cell r="K356">
            <v>164253</v>
          </cell>
        </row>
        <row r="357">
          <cell r="E357" t="str">
            <v>OPERATIONS OFFICER, BOKARO BP, KIND ATTEN.ABHISHEK TRIPATHI, MOB. NO.8789972995, VENDOR CODE-11970380
OPERATIONS OFFICER, BOKARO BP, KIND ATTEN.ABHISHEK TRIPATHI, MOB. NO.8789972995, VENDOR CODE-11970380
827014
LPG BOTTALING PLANT, BALIDIH,</v>
          </cell>
          <cell r="G357">
            <v>8797456432</v>
          </cell>
          <cell r="K357" t="str">
            <v>BOCS040147</v>
          </cell>
        </row>
        <row r="358">
          <cell r="E358" t="str">
            <v>DIBDIH, RANCHI
834002</v>
          </cell>
          <cell r="G358">
            <v>8102715589</v>
          </cell>
          <cell r="K358" t="str">
            <v>BTEC378588</v>
          </cell>
        </row>
        <row r="359">
          <cell r="E359" t="str">
            <v>NAGRI,RANCHI
835202
RANCHI</v>
          </cell>
          <cell r="G359">
            <v>7004248429</v>
          </cell>
          <cell r="K359" t="str">
            <v>BRIS035698</v>
          </cell>
        </row>
        <row r="360">
          <cell r="E360" t="str">
            <v>TUPUDANA, RANCHI</v>
          </cell>
          <cell r="G360">
            <v>8102915586</v>
          </cell>
          <cell r="K360" t="str">
            <v>BUDC372327</v>
          </cell>
        </row>
        <row r="361">
          <cell r="E361" t="str">
            <v>GODDA</v>
          </cell>
          <cell r="G361">
            <v>7397748887</v>
          </cell>
          <cell r="K361" t="str">
            <v>BYJD232405</v>
          </cell>
        </row>
        <row r="362">
          <cell r="E362" t="str">
            <v>RAMGRAH</v>
          </cell>
          <cell r="G362">
            <v>9113780729</v>
          </cell>
          <cell r="K362" t="str">
            <v>BIBS040161</v>
          </cell>
        </row>
        <row r="363">
          <cell r="E363" t="str">
            <v>GODDA</v>
          </cell>
          <cell r="G363">
            <v>9095488887</v>
          </cell>
          <cell r="K363" t="str">
            <v>BYJD232405</v>
          </cell>
        </row>
        <row r="364">
          <cell r="E364" t="str">
            <v>RAHELA, DALTAINGANJ</v>
          </cell>
          <cell r="G364">
            <v>9973686006</v>
          </cell>
          <cell r="K364" t="str">
            <v>BVAS038319</v>
          </cell>
        </row>
        <row r="365">
          <cell r="E365" t="str">
            <v>RAMGARH
829103
NAYA MORE</v>
          </cell>
          <cell r="G365">
            <v>8271433755</v>
          </cell>
          <cell r="K365" t="str">
            <v>BRGS035169</v>
          </cell>
        </row>
        <row r="366">
          <cell r="E366" t="str">
            <v>PIPARWAR</v>
          </cell>
          <cell r="G366">
            <v>90066179909</v>
          </cell>
          <cell r="K366" t="str">
            <v>BYFD232840</v>
          </cell>
        </row>
        <row r="367">
          <cell r="E367" t="str">
            <v>SIDRAUL, NAMKUM, RANCHI
834010
SIDRAUL, NAMKUM, RANCHI</v>
          </cell>
          <cell r="G367">
            <v>8051011919</v>
          </cell>
          <cell r="K367" t="str">
            <v>UOIS030128</v>
          </cell>
        </row>
        <row r="368">
          <cell r="E368" t="str">
            <v>GROUND FLOOR, 8H AND 81, NATION PRINTERS, NAMKUM INDUSTRIAL AREA,, LOWADIH, RANCHI
GROUND FLOOR, 8H AND 81, NATION PRINTERS, NAMKUM INDUSTRIAL AREA,, LOWADIH, RANCHI
834010</v>
          </cell>
          <cell r="G368">
            <v>9709225271</v>
          </cell>
          <cell r="K368" t="str">
            <v>BRCC372871</v>
          </cell>
        </row>
        <row r="369">
          <cell r="E369" t="str">
            <v>KOKAR INDUSTRIAL AREA,RANCHI
834001</v>
          </cell>
          <cell r="G369">
            <v>8709740232</v>
          </cell>
          <cell r="K369" t="str">
            <v>BPIC370386</v>
          </cell>
        </row>
        <row r="370">
          <cell r="E370" t="str">
            <v>SIMDEGA</v>
          </cell>
          <cell r="G370">
            <v>6203122946</v>
          </cell>
          <cell r="K370" t="str">
            <v>BVDS039269</v>
          </cell>
        </row>
        <row r="371">
          <cell r="E371" t="str">
            <v>PANDRA</v>
          </cell>
          <cell r="G371">
            <v>9153898612</v>
          </cell>
          <cell r="K371" t="str">
            <v>BUIC373011</v>
          </cell>
        </row>
        <row r="372">
          <cell r="E372" t="str">
            <v>GODDA</v>
          </cell>
          <cell r="G372">
            <v>9631808120</v>
          </cell>
          <cell r="K372" t="str">
            <v>BVAS038341</v>
          </cell>
        </row>
        <row r="373">
          <cell r="E373" t="str">
            <v>BHURKUNDA</v>
          </cell>
          <cell r="G373">
            <v>7481041391</v>
          </cell>
          <cell r="K373" t="str">
            <v>BWHD164015</v>
          </cell>
        </row>
        <row r="374">
          <cell r="E374" t="str">
            <v>NAYA MORE, RAMGRAH</v>
          </cell>
          <cell r="G374">
            <v>7004541681</v>
          </cell>
          <cell r="K374" t="str">
            <v>BUKS045388</v>
          </cell>
        </row>
        <row r="375">
          <cell r="E375" t="str">
            <v>NAYA MORE, RAMGRAH</v>
          </cell>
          <cell r="G375">
            <v>7004541681</v>
          </cell>
          <cell r="K375" t="str">
            <v>BUKS045387</v>
          </cell>
        </row>
        <row r="376">
          <cell r="E376" t="str">
            <v>KOKAR
834001</v>
          </cell>
          <cell r="G376">
            <v>9297888190</v>
          </cell>
          <cell r="K376" t="str">
            <v>BSDC375892</v>
          </cell>
        </row>
        <row r="377">
          <cell r="E377" t="str">
            <v>RAMGARH</v>
          </cell>
          <cell r="G377">
            <v>7004332970</v>
          </cell>
          <cell r="K377" t="str">
            <v>BRCD160948</v>
          </cell>
        </row>
        <row r="378">
          <cell r="E378" t="str">
            <v>RAMGARH</v>
          </cell>
          <cell r="G378">
            <v>7004332970</v>
          </cell>
          <cell r="K378" t="str">
            <v>BRBD160859</v>
          </cell>
        </row>
        <row r="379">
          <cell r="E379" t="str">
            <v>GOPALI CHOWK, DHANBAD</v>
          </cell>
          <cell r="G379">
            <v>7004686026</v>
          </cell>
          <cell r="K379" t="str">
            <v>BWLD163586</v>
          </cell>
        </row>
        <row r="380">
          <cell r="E380" t="str">
            <v>GROUND AND 1 ST FLOOR, BESIDE DAINIK BHASKAR, GOVINDPUR ROAD, DIST :- DHANBAD
GROUND AND 1 ST FLOOR, BESIDE DAINIK BHASKAR, GOVINDPUR ROAD, DIST :- DHANBAD
828109</v>
          </cell>
          <cell r="G380">
            <v>8789061377</v>
          </cell>
          <cell r="K380" t="str">
            <v>BRES034488</v>
          </cell>
        </row>
        <row r="381">
          <cell r="E381" t="str">
            <v>NTPC BARKAGAON</v>
          </cell>
          <cell r="G381">
            <v>7070010949</v>
          </cell>
          <cell r="K381" t="str">
            <v>BYLD201693</v>
          </cell>
        </row>
        <row r="382">
          <cell r="E382" t="str">
            <v>RAMGRAH</v>
          </cell>
          <cell r="G382">
            <v>6201883447</v>
          </cell>
          <cell r="K382" t="str">
            <v>BWBC379643</v>
          </cell>
        </row>
        <row r="383">
          <cell r="E383" t="str">
            <v>TATISILWAI</v>
          </cell>
          <cell r="G383">
            <v>9708039203</v>
          </cell>
          <cell r="K383" t="str">
            <v>BWIS042002</v>
          </cell>
        </row>
        <row r="384">
          <cell r="E384" t="str">
            <v>MANDU, RAMGARH
JAISWAL COLONY, THANA CHOW,, RAMGARH CANTT. DIST. RAMGARH, JHARKHAND
825316
MANDU</v>
          </cell>
          <cell r="G384">
            <v>6205951815</v>
          </cell>
          <cell r="K384" t="str">
            <v>BSGS043528</v>
          </cell>
        </row>
        <row r="385">
          <cell r="E385" t="str">
            <v>MANDU, RAMGRAH</v>
          </cell>
          <cell r="G385">
            <v>7908864486</v>
          </cell>
          <cell r="K385" t="str">
            <v>BWKS040437</v>
          </cell>
        </row>
        <row r="386">
          <cell r="E386" t="str">
            <v>BARKAGAON, HAZARIBAGH</v>
          </cell>
          <cell r="G386">
            <v>7070010949</v>
          </cell>
          <cell r="K386" t="str">
            <v>BWLD231334</v>
          </cell>
        </row>
        <row r="387">
          <cell r="E387" t="str">
            <v>Tandwa, Chatra</v>
          </cell>
          <cell r="G387">
            <v>954495885</v>
          </cell>
          <cell r="K387" t="str">
            <v>BYDD165173</v>
          </cell>
        </row>
        <row r="388">
          <cell r="E388" t="str">
            <v>KODERMA</v>
          </cell>
          <cell r="G388">
            <v>7970949373</v>
          </cell>
          <cell r="K388" t="str">
            <v>BYFD165254</v>
          </cell>
        </row>
        <row r="389">
          <cell r="E389" t="str">
            <v>DALADALI, RANCHI</v>
          </cell>
          <cell r="G389">
            <v>9835538524</v>
          </cell>
          <cell r="K389" t="str">
            <v>BWFD163940</v>
          </cell>
        </row>
        <row r="390">
          <cell r="E390" t="str">
            <v>RAMGARH,JHARKHAND
829122</v>
          </cell>
          <cell r="G390">
            <v>9377481071</v>
          </cell>
          <cell r="K390" t="str">
            <v>BSIC376940</v>
          </cell>
        </row>
        <row r="391">
          <cell r="E391" t="str">
            <v>RAMGARH,JHARKHAND
829122</v>
          </cell>
          <cell r="G391">
            <v>8756960171</v>
          </cell>
          <cell r="K391" t="str">
            <v>BPAS030126</v>
          </cell>
        </row>
        <row r="392">
          <cell r="E392" t="str">
            <v>SUNDI, RAMGARH</v>
          </cell>
          <cell r="G392">
            <v>8294028310</v>
          </cell>
          <cell r="K392">
            <v>123054</v>
          </cell>
        </row>
        <row r="393">
          <cell r="E393" t="str">
            <v>DHANSAR, DHANBAD</v>
          </cell>
          <cell r="G393">
            <v>7033267093</v>
          </cell>
          <cell r="K393" t="str">
            <v>BYLD164914</v>
          </cell>
        </row>
        <row r="394">
          <cell r="E394" t="str">
            <v>RAMGRAH BAZAR SAMITI, RAMGRAH</v>
          </cell>
          <cell r="G394">
            <v>8092762251</v>
          </cell>
          <cell r="K394" t="str">
            <v>BULC370861</v>
          </cell>
        </row>
        <row r="395">
          <cell r="E395" t="str">
            <v>BARKAGAON</v>
          </cell>
          <cell r="G395">
            <v>9234615009</v>
          </cell>
          <cell r="K395" t="str">
            <v>BXDD232126</v>
          </cell>
        </row>
        <row r="396">
          <cell r="E396" t="str">
            <v>PIPARWAR</v>
          </cell>
          <cell r="G396">
            <v>90066179909</v>
          </cell>
          <cell r="K396" t="str">
            <v>BYFD232840</v>
          </cell>
        </row>
        <row r="397">
          <cell r="E397" t="str">
            <v>GIRIDIH</v>
          </cell>
          <cell r="G397">
            <v>9234615009</v>
          </cell>
          <cell r="K397" t="str">
            <v>BXCD164420</v>
          </cell>
        </row>
        <row r="398">
          <cell r="E398" t="str">
            <v>NIMIAGHAT,GIRIDIH</v>
          </cell>
          <cell r="G398">
            <v>9279550963</v>
          </cell>
          <cell r="K398" t="str">
            <v>BSJD161406</v>
          </cell>
        </row>
        <row r="399">
          <cell r="E399" t="str">
            <v>MANJULA ENTERPRISES, KOKAR INDUSTRIAL AREA KOKAR</v>
          </cell>
          <cell r="G399">
            <v>9334826499</v>
          </cell>
          <cell r="K399" t="str">
            <v>BUFC372952</v>
          </cell>
        </row>
        <row r="400">
          <cell r="E400" t="str">
            <v>RANCHI</v>
          </cell>
          <cell r="G400">
            <v>9234682919</v>
          </cell>
          <cell r="K400" t="str">
            <v>GORF110094</v>
          </cell>
        </row>
        <row r="401">
          <cell r="E401" t="str">
            <v>RANCHI</v>
          </cell>
          <cell r="G401">
            <v>9234682919</v>
          </cell>
          <cell r="K401" t="str">
            <v>GORF110094</v>
          </cell>
        </row>
        <row r="402">
          <cell r="E402" t="str">
            <v>LOHAR BHARWA, DHANBAD</v>
          </cell>
          <cell r="G402">
            <v>7004225629</v>
          </cell>
          <cell r="K402" t="str">
            <v>BWKC378511</v>
          </cell>
        </row>
        <row r="403">
          <cell r="E403" t="str">
            <v>BARKAGAON</v>
          </cell>
          <cell r="G403">
            <v>855006735</v>
          </cell>
          <cell r="K403" t="str">
            <v>BXAD231960</v>
          </cell>
        </row>
        <row r="404">
          <cell r="E404" t="str">
            <v>BARUN, AURANGABAD</v>
          </cell>
          <cell r="G404">
            <v>6302014360</v>
          </cell>
          <cell r="K404" t="str">
            <v>BYGD232855</v>
          </cell>
        </row>
        <row r="405">
          <cell r="E405" t="str">
            <v>GOVINDPUR, PHUSHRO</v>
          </cell>
          <cell r="G405">
            <v>7672025601</v>
          </cell>
          <cell r="K405" t="str">
            <v>BXCD164422</v>
          </cell>
        </row>
        <row r="406">
          <cell r="E406" t="str">
            <v>BARWADA</v>
          </cell>
          <cell r="G406">
            <v>6380540177</v>
          </cell>
          <cell r="K406" t="str">
            <v>BULD232523</v>
          </cell>
        </row>
        <row r="407">
          <cell r="E407" t="str">
            <v>KATRAS, DHANBAD</v>
          </cell>
          <cell r="G407">
            <v>9386596420</v>
          </cell>
          <cell r="K407" t="str">
            <v>BWAD163674</v>
          </cell>
        </row>
        <row r="408">
          <cell r="E408" t="str">
            <v>RANCHI,JHARKHAND
834001
RANCHI</v>
          </cell>
          <cell r="G408">
            <v>9431571200</v>
          </cell>
          <cell r="K408" t="str">
            <v>BJHS031586</v>
          </cell>
        </row>
        <row r="409">
          <cell r="E409" t="str">
            <v>BALIDIH INDUSTRIAL AREA
827014</v>
          </cell>
          <cell r="G409">
            <v>8100184482</v>
          </cell>
          <cell r="K409" t="str">
            <v>BTDS044313</v>
          </cell>
        </row>
        <row r="410">
          <cell r="E410" t="str">
            <v>BALIDIH INDUSTRIAL AREA
827014</v>
          </cell>
          <cell r="G410">
            <v>8100184482</v>
          </cell>
          <cell r="K410" t="str">
            <v>BTDS044304</v>
          </cell>
        </row>
        <row r="411">
          <cell r="E411" t="str">
            <v>NAGRI,RANCHI
835202
RANCHI</v>
          </cell>
          <cell r="G411">
            <v>7004248429</v>
          </cell>
          <cell r="K411" t="str">
            <v>BRIS035698</v>
          </cell>
        </row>
        <row r="412">
          <cell r="E412" t="str">
            <v>LOHARDAGA,JHARKHAND
LOHARDAGA, MOB. NO.9661111900
835302
LOHARDAGA</v>
          </cell>
          <cell r="G412">
            <v>9973880780</v>
          </cell>
          <cell r="K412" t="str">
            <v>BQFS031084</v>
          </cell>
        </row>
        <row r="413">
          <cell r="E413" t="str">
            <v>RANCHI</v>
          </cell>
          <cell r="G413">
            <v>9973880780</v>
          </cell>
          <cell r="K413" t="str">
            <v>BKDS031405</v>
          </cell>
        </row>
        <row r="414">
          <cell r="E414" t="str">
            <v>LOHARDAGAH</v>
          </cell>
          <cell r="G414">
            <v>8406939642</v>
          </cell>
          <cell r="K414" t="str">
            <v>BUFS046839</v>
          </cell>
        </row>
        <row r="415">
          <cell r="E415" t="str">
            <v>RAMGARH</v>
          </cell>
          <cell r="G415">
            <v>9155906960</v>
          </cell>
          <cell r="K415" t="str">
            <v>BYAS044775</v>
          </cell>
        </row>
        <row r="416">
          <cell r="E416" t="str">
            <v>NAMKUM INDUSTRIAL AREA,RANCHI
834010</v>
          </cell>
          <cell r="G416">
            <v>9386408111</v>
          </cell>
          <cell r="K416" t="str">
            <v>BRHS035337</v>
          </cell>
        </row>
        <row r="417">
          <cell r="E417" t="str">
            <v>KEREDARI, HAZARIBAGH</v>
          </cell>
          <cell r="G417">
            <v>9348067514</v>
          </cell>
          <cell r="K417" t="str">
            <v>BXAD164317</v>
          </cell>
        </row>
        <row r="418">
          <cell r="E418" t="str">
            <v>KEREDARI, HAZARIBAGH</v>
          </cell>
          <cell r="G418">
            <v>9348067514</v>
          </cell>
          <cell r="K418" t="str">
            <v>BXAD164317</v>
          </cell>
        </row>
        <row r="419">
          <cell r="E419" t="str">
            <v>KEREDARI, HAZARIBAGH</v>
          </cell>
          <cell r="G419">
            <v>9348067513</v>
          </cell>
          <cell r="K419" t="str">
            <v>BXLD231873</v>
          </cell>
        </row>
        <row r="420">
          <cell r="E420" t="str">
            <v>PLOT NO. 148, TUPUDANA, INDUSTRIAL AREA, HATIA, RANCHI
834002</v>
          </cell>
          <cell r="G420">
            <v>9534249500</v>
          </cell>
          <cell r="K420" t="str">
            <v>BSLS036682</v>
          </cell>
        </row>
        <row r="421">
          <cell r="E421" t="str">
            <v>TIPUDANA INDUSTRIAL AREA, HATIA,</v>
          </cell>
          <cell r="G421">
            <v>9534249500</v>
          </cell>
          <cell r="K421" t="str">
            <v>BJGS031396</v>
          </cell>
        </row>
        <row r="422">
          <cell r="E422" t="str">
            <v>PLOT NO. 148, TUPUDANA, INDUSTRIAL AREA, HATIA, RANCHI
834002</v>
          </cell>
          <cell r="G422">
            <v>9534249500</v>
          </cell>
          <cell r="K422" t="str">
            <v>BRIS035838</v>
          </cell>
        </row>
        <row r="423">
          <cell r="E423" t="str">
            <v>TUPUDANA INDUSTRIAL AREA,RANCHI
834003</v>
          </cell>
          <cell r="G423">
            <v>9534249500</v>
          </cell>
          <cell r="K423" t="str">
            <v>BRIS035695</v>
          </cell>
        </row>
        <row r="424">
          <cell r="E424" t="str">
            <v>NAMKUM INDUSTRIAL AREA,RANCHI
834010</v>
          </cell>
          <cell r="G424">
            <v>9386408111</v>
          </cell>
          <cell r="K424" t="str">
            <v>BRHS035337</v>
          </cell>
        </row>
        <row r="425">
          <cell r="E425" t="str">
            <v>DEWRI,TATA ROAD,JHARKHAND
GOSAIGIH BUNDU NH-33, RANCHI
815314
TATA ROAD, BUNDU,</v>
          </cell>
          <cell r="G425">
            <v>8789952385</v>
          </cell>
          <cell r="K425" t="str">
            <v>BNAS040264</v>
          </cell>
        </row>
        <row r="426">
          <cell r="E426" t="str">
            <v>SARAIKELA, JAMSHEDPUR</v>
          </cell>
          <cell r="G426">
            <v>8809697867</v>
          </cell>
          <cell r="K426" t="str">
            <v>BXAD164288</v>
          </cell>
        </row>
        <row r="427">
          <cell r="E427" t="str">
            <v>JHALDA</v>
          </cell>
          <cell r="G427">
            <v>7001349489</v>
          </cell>
          <cell r="K427" t="str">
            <v>BUGS047120</v>
          </cell>
        </row>
        <row r="428">
          <cell r="E428" t="str">
            <v>GIRIDIH</v>
          </cell>
          <cell r="G428">
            <v>9006617909</v>
          </cell>
          <cell r="K428" t="str">
            <v>BQED160215</v>
          </cell>
        </row>
        <row r="429">
          <cell r="E429" t="str">
            <v>NIRSA</v>
          </cell>
          <cell r="G429">
            <v>9348331797</v>
          </cell>
          <cell r="K429" t="str">
            <v>BULD162561</v>
          </cell>
        </row>
        <row r="430">
          <cell r="E430" t="str">
            <v>BHURKUNDA</v>
          </cell>
          <cell r="G430">
            <v>7481041391</v>
          </cell>
          <cell r="K430" t="str">
            <v>BWHD164015</v>
          </cell>
        </row>
        <row r="431">
          <cell r="E431" t="str">
            <v>RAHELA, DALTAINGANJ</v>
          </cell>
          <cell r="G431">
            <v>7367882775</v>
          </cell>
          <cell r="K431" t="str">
            <v>BUGS035879</v>
          </cell>
        </row>
        <row r="432">
          <cell r="E432" t="str">
            <v>RANCHI</v>
          </cell>
          <cell r="G432">
            <v>7461022572</v>
          </cell>
          <cell r="K432" t="str">
            <v>BWLS031913</v>
          </cell>
        </row>
        <row r="433">
          <cell r="E433" t="str">
            <v>TIPUDANA, RANCHI</v>
          </cell>
          <cell r="G433">
            <v>9620857681</v>
          </cell>
          <cell r="K433" t="str">
            <v>BYEC378348</v>
          </cell>
        </row>
        <row r="434">
          <cell r="E434" t="str">
            <v>MESRA, RANCHI</v>
          </cell>
          <cell r="G434">
            <v>9523535955</v>
          </cell>
          <cell r="K434" t="str">
            <v>BXJF111817</v>
          </cell>
        </row>
        <row r="435">
          <cell r="E435" t="str">
            <v>GETALATU, RANCHI</v>
          </cell>
          <cell r="G435">
            <v>9153986557</v>
          </cell>
          <cell r="K435" t="str">
            <v>BUFC372853</v>
          </cell>
        </row>
        <row r="436">
          <cell r="E436" t="str">
            <v>PIPRA, PALAMU, DALTAINGANJ</v>
          </cell>
          <cell r="G436">
            <v>9825940815</v>
          </cell>
          <cell r="K436" t="str">
            <v>BYFD165256</v>
          </cell>
        </row>
        <row r="437">
          <cell r="E437" t="str">
            <v>SHOP NO. 201, MODI HEIGHTS, PHASE 2
OPPO. RADIO STATION
834001</v>
          </cell>
          <cell r="G437">
            <v>9264474896</v>
          </cell>
          <cell r="K437" t="str">
            <v>BTHC379417</v>
          </cell>
        </row>
        <row r="438">
          <cell r="E438" t="str">
            <v>RAMGARAH</v>
          </cell>
          <cell r="G438">
            <v>9982793174</v>
          </cell>
          <cell r="K438" t="str">
            <v>BVES049149</v>
          </cell>
        </row>
        <row r="439">
          <cell r="E439" t="str">
            <v>RAMGARAH</v>
          </cell>
          <cell r="G439">
            <v>9982793174</v>
          </cell>
          <cell r="K439" t="str">
            <v>BVES049148</v>
          </cell>
        </row>
        <row r="440">
          <cell r="E440" t="str">
            <v>KOKAR INDUSTRIAL AREA,,RANCHI
834002
KOKAR INDUSTRIAL AREA RANCHI</v>
          </cell>
          <cell r="G440">
            <v>9794331589</v>
          </cell>
          <cell r="K440" t="str">
            <v>GNDC370057</v>
          </cell>
        </row>
        <row r="441">
          <cell r="E441" t="str">
            <v>NAGRI, RANCHI
TIKRATOLI, P.O:- NAGRI, RANCHI
834006</v>
          </cell>
          <cell r="G441">
            <v>7549287704</v>
          </cell>
          <cell r="K441" t="str">
            <v>BKKS030393</v>
          </cell>
        </row>
        <row r="442">
          <cell r="E442" t="str">
            <v>AMLO PHUSHRO</v>
          </cell>
          <cell r="G442">
            <v>9006617909</v>
          </cell>
          <cell r="K442" t="str">
            <v>BXKD164191</v>
          </cell>
        </row>
        <row r="443">
          <cell r="E443" t="str">
            <v>ANGARPATHRA</v>
          </cell>
          <cell r="G443">
            <v>7004686026</v>
          </cell>
          <cell r="K443" t="str">
            <v>BYLD164919</v>
          </cell>
        </row>
        <row r="444">
          <cell r="E444" t="str">
            <v>BANK MOTE, GOMIA</v>
          </cell>
          <cell r="G444">
            <v>9006785151</v>
          </cell>
          <cell r="K444" t="str">
            <v>BWJC378352</v>
          </cell>
        </row>
        <row r="445">
          <cell r="E445" t="str">
            <v>NAYA MORE,RAMGARH
ARA SARU BERA ROAD, NAYA, RAMGARH,JHARKHAND
829110
NAYA MORE</v>
          </cell>
          <cell r="G445">
            <v>8789325754</v>
          </cell>
          <cell r="K445" t="str">
            <v>BQBS033796</v>
          </cell>
        </row>
        <row r="446">
          <cell r="E446" t="str">
            <v>GAIGHATA, WB</v>
          </cell>
          <cell r="G446">
            <v>8617628112</v>
          </cell>
          <cell r="K446" t="str">
            <v>BXID201595</v>
          </cell>
        </row>
        <row r="447">
          <cell r="E447" t="str">
            <v>AT: SENEGARHA, P.O-RABODH, P.S-GIDDI,(RAMGARH),, DISTT. HAZARIBAGH,JHARKHAND-825330
829108
AT: SENEGARHA, P.O-RABODH, P.S-GIDDI,(RAMGARH),</v>
          </cell>
          <cell r="G447">
            <v>9006877583</v>
          </cell>
          <cell r="K447" t="str">
            <v>BSCS037349</v>
          </cell>
        </row>
        <row r="448">
          <cell r="E448" t="str">
            <v>AT: SENEGARHA, P.O-RABODH, P.S-GIDDI,(RAMGARH),, DISTT. HAZARIBAGH,JHARKHAND-825330
829108
AT: SENEGARHA, P.O-RABODH, P.S-GIDDI,(RAMGARH),</v>
          </cell>
          <cell r="G448">
            <v>9006877583</v>
          </cell>
          <cell r="K448" t="str">
            <v>BRAS033261</v>
          </cell>
        </row>
        <row r="449">
          <cell r="E449" t="str">
            <v>NEAR P.N BANK MAIN ROAD,, RAMGARH CANTT-829122, DIST. RAMGARH
829122
BUDHAKHOP, AMBRELA, KARMA,</v>
          </cell>
          <cell r="G449">
            <v>9973636494</v>
          </cell>
          <cell r="K449" t="str">
            <v>BQBS030091</v>
          </cell>
        </row>
        <row r="450">
          <cell r="E450" t="str">
            <v>JHUMRI TILAIYA</v>
          </cell>
          <cell r="G450">
            <v>7061052272</v>
          </cell>
          <cell r="K450" t="str">
            <v>GPLS030458</v>
          </cell>
        </row>
        <row r="451">
          <cell r="E451" t="str">
            <v>C/O - PREM PRAKASH AGARWAL, OPP - HILLVIEW FUEL STATION, GODHUR, P.O - KUSUNDA, DHANBAD</v>
          </cell>
          <cell r="G451">
            <v>7903412157</v>
          </cell>
          <cell r="K451" t="str">
            <v>BTED162217</v>
          </cell>
        </row>
        <row r="452">
          <cell r="E452" t="str">
            <v>RANCHI</v>
          </cell>
          <cell r="G452">
            <v>9234682919</v>
          </cell>
          <cell r="K452" t="str">
            <v>GORF110094</v>
          </cell>
        </row>
        <row r="453">
          <cell r="E453" t="str">
            <v>ITI ROAD</v>
          </cell>
          <cell r="G453">
            <v>9031026776</v>
          </cell>
          <cell r="K453" t="str">
            <v>BXFC374338</v>
          </cell>
        </row>
        <row r="454">
          <cell r="E454" t="str">
            <v>KOKAR,INDUSTRIAL AREA,RANCHI
834002
RANCHI</v>
          </cell>
          <cell r="G454">
            <v>9031102143</v>
          </cell>
          <cell r="K454" t="str">
            <v>BMKC370048</v>
          </cell>
        </row>
        <row r="455">
          <cell r="E455" t="str">
            <v>RATU ROAD, RANCHI</v>
          </cell>
          <cell r="G455">
            <v>7070091150</v>
          </cell>
          <cell r="K455" t="str">
            <v>BVEC377128</v>
          </cell>
        </row>
        <row r="456">
          <cell r="E456" t="str">
            <v>KWJAMA COLLIERY, DHANBAD</v>
          </cell>
          <cell r="G456">
            <v>9572325352</v>
          </cell>
          <cell r="K456" t="str">
            <v>BVCD163165</v>
          </cell>
        </row>
        <row r="457">
          <cell r="E457" t="str">
            <v>KOKAR INDUSTRIAL AREA,RANCHI
834001</v>
          </cell>
          <cell r="G457">
            <v>8709740232</v>
          </cell>
          <cell r="K457" t="str">
            <v>BPIC370386</v>
          </cell>
        </row>
        <row r="458">
          <cell r="E458" t="str">
            <v>RAHELA, DALTAINGANJ</v>
          </cell>
          <cell r="G458">
            <v>8789075522</v>
          </cell>
          <cell r="K458" t="str">
            <v>BUGS035879</v>
          </cell>
        </row>
        <row r="459">
          <cell r="E459" t="str">
            <v>BARHI, HAZARIBAGH</v>
          </cell>
          <cell r="G459">
            <v>6478681455</v>
          </cell>
          <cell r="K459" t="str">
            <v>BUCS034287</v>
          </cell>
        </row>
        <row r="460">
          <cell r="E460" t="str">
            <v>ADDRESS-PLOT-57B,BARAHI INDUSTRIAL AREA,ON DELHI HOWRAH NATIONAL HIGHWAY,BARHI,JAHARKHAND.</v>
          </cell>
          <cell r="G460">
            <v>9178681455</v>
          </cell>
          <cell r="K460" t="str">
            <v>BUBS033778</v>
          </cell>
        </row>
        <row r="461">
          <cell r="E461" t="str">
            <v>PATRATU</v>
          </cell>
          <cell r="G461">
            <v>9095444151</v>
          </cell>
          <cell r="K461" t="str">
            <v>BXAD164301</v>
          </cell>
        </row>
        <row r="462">
          <cell r="E462" t="str">
            <v>SAHEBGANJ</v>
          </cell>
          <cell r="G462">
            <v>8102674203</v>
          </cell>
          <cell r="K462" t="str">
            <v>BXCD164399</v>
          </cell>
        </row>
        <row r="463">
          <cell r="E463" t="str">
            <v>HARMU, RANCHI</v>
          </cell>
          <cell r="G463">
            <v>8298018061</v>
          </cell>
          <cell r="K463" t="str">
            <v>BXDC373827</v>
          </cell>
        </row>
        <row r="464">
          <cell r="E464" t="str">
            <v>MARRAR, RAMGRAH</v>
          </cell>
          <cell r="G464">
            <v>7654107064</v>
          </cell>
          <cell r="K464" t="str">
            <v>BXJS035074</v>
          </cell>
        </row>
        <row r="465">
          <cell r="E465" t="str">
            <v>BEGUSARAI, BIHAR</v>
          </cell>
          <cell r="G465">
            <v>9973237962</v>
          </cell>
          <cell r="K465" t="str">
            <v>BVGD121497</v>
          </cell>
        </row>
        <row r="466">
          <cell r="E466" t="str">
            <v>LODNA</v>
          </cell>
          <cell r="G466">
            <v>7644045555</v>
          </cell>
          <cell r="K466" t="str">
            <v>BTDD162169</v>
          </cell>
        </row>
        <row r="467">
          <cell r="E467" t="str">
            <v>JHARIA</v>
          </cell>
          <cell r="G467">
            <v>7644045555</v>
          </cell>
          <cell r="K467" t="str">
            <v>BXBD164358</v>
          </cell>
        </row>
        <row r="468">
          <cell r="E468" t="str">
            <v>KOKAR INDUSTRIAL AREA,RANCHI
834001</v>
          </cell>
          <cell r="G468">
            <v>8405804742</v>
          </cell>
          <cell r="K468" t="str">
            <v>BSBC375535</v>
          </cell>
        </row>
        <row r="469">
          <cell r="E469" t="str">
            <v>RATU ROAD, RANCHI</v>
          </cell>
          <cell r="G469">
            <v>7070091150</v>
          </cell>
          <cell r="K469" t="str">
            <v>BVEC377128</v>
          </cell>
        </row>
        <row r="470">
          <cell r="E470" t="str">
            <v>RANCHI,JHARKHAND
834001
RANCHI</v>
          </cell>
          <cell r="G470">
            <v>9559820432</v>
          </cell>
          <cell r="K470" t="str">
            <v>BJHS031586</v>
          </cell>
        </row>
        <row r="471">
          <cell r="E471" t="str">
            <v>KALAUNGA, ROURKELA</v>
          </cell>
          <cell r="G471">
            <v>8895059081</v>
          </cell>
          <cell r="K471" t="str">
            <v>BQIS040909</v>
          </cell>
        </row>
        <row r="472">
          <cell r="E472" t="str">
            <v>MANDU, RAMGARH
JAISWAL COLONY, THANA CHOW,, RAMGARH CANTT. DIST. RAMGARH, JHARKHAND
825316
MANDU</v>
          </cell>
          <cell r="G472">
            <v>8797891051</v>
          </cell>
          <cell r="K472" t="str">
            <v>BLDS040403</v>
          </cell>
        </row>
        <row r="473">
          <cell r="E473" t="str">
            <v>JHUMRI TELAIYA, KODARMA
825409</v>
          </cell>
          <cell r="G473">
            <v>7753025487</v>
          </cell>
          <cell r="K473" t="str">
            <v>BSBC375530</v>
          </cell>
        </row>
        <row r="474">
          <cell r="E474" t="str">
            <v>GETALATU, RANCHI</v>
          </cell>
          <cell r="G474">
            <v>9153986557</v>
          </cell>
          <cell r="K474" t="str">
            <v>BUFC372853</v>
          </cell>
        </row>
        <row r="475">
          <cell r="E475" t="str">
            <v>RANCHI</v>
          </cell>
          <cell r="G475">
            <v>9891199804</v>
          </cell>
          <cell r="K475" t="str">
            <v>BWJC378261</v>
          </cell>
        </row>
        <row r="476">
          <cell r="E476" t="str">
            <v>ORMANJHI,RANCHI
835219</v>
          </cell>
          <cell r="G476">
            <v>9905273242</v>
          </cell>
          <cell r="K476" t="str">
            <v>BSGC376577</v>
          </cell>
        </row>
        <row r="477">
          <cell r="E477" t="str">
            <v>BIT MESRA, RANCHI</v>
          </cell>
          <cell r="G477">
            <v>6204753010</v>
          </cell>
          <cell r="K477" t="str">
            <v>BVIC378175</v>
          </cell>
        </row>
        <row r="478">
          <cell r="E478" t="str">
            <v>KOKAR INDUSTRIAL AREA,RANCHI
834001</v>
          </cell>
          <cell r="G478">
            <v>8709740232</v>
          </cell>
          <cell r="K478" t="str">
            <v>BPIC370386</v>
          </cell>
        </row>
        <row r="479">
          <cell r="E479" t="str">
            <v>MANJULA ENTERPRISES, KOKAR INDUSTRIAL AREA KOKAR</v>
          </cell>
          <cell r="G479">
            <v>9334826499</v>
          </cell>
          <cell r="K479" t="str">
            <v>BUFC372952</v>
          </cell>
        </row>
        <row r="480">
          <cell r="E480" t="str">
            <v>HESLA,RAMGARH
829101</v>
          </cell>
          <cell r="G480">
            <v>7562823341</v>
          </cell>
          <cell r="K480" t="str">
            <v>BSDS037710</v>
          </cell>
        </row>
        <row r="481">
          <cell r="E481" t="str">
            <v>PAKUR</v>
          </cell>
          <cell r="G481">
            <v>9585918025</v>
          </cell>
          <cell r="K481" t="str">
            <v>BXHD232312</v>
          </cell>
        </row>
        <row r="482">
          <cell r="E482" t="str">
            <v>AT: SENEGARHA, P.O-RABODH, P.S-GIDDI,(RAMGARH),, DISTT. HAZARIBAGH,JHARKHAND-825330
829108
AT: SENEGARHA, P.O-RABODH, P.S-GIDDI,(RAMGARH),</v>
          </cell>
          <cell r="G482">
            <v>9006877583</v>
          </cell>
          <cell r="K482" t="str">
            <v>BRAS033261</v>
          </cell>
        </row>
        <row r="483">
          <cell r="E483" t="str">
            <v>SENEGARAH, HAZARIBAGH</v>
          </cell>
          <cell r="G483">
            <v>9006877583</v>
          </cell>
          <cell r="K483" t="str">
            <v>BXDS036842</v>
          </cell>
        </row>
        <row r="484">
          <cell r="E484" t="str">
            <v>HORHAP ROAD, MAHILONG, RANCHI
835103</v>
          </cell>
          <cell r="G484">
            <v>9708039203</v>
          </cell>
          <cell r="K484" t="str">
            <v>BRIC374329</v>
          </cell>
        </row>
        <row r="485">
          <cell r="E485" t="str">
            <v>HAZARIBAGH
RANCHI JHARKHAND 834002
INDIA</v>
          </cell>
          <cell r="G485">
            <v>7361044448</v>
          </cell>
          <cell r="K485" t="str">
            <v>BKAS030685</v>
          </cell>
        </row>
        <row r="486">
          <cell r="E486" t="str">
            <v>KODERMA</v>
          </cell>
          <cell r="G486">
            <v>7970949373</v>
          </cell>
          <cell r="K486" t="str">
            <v>BYED165208</v>
          </cell>
        </row>
        <row r="487">
          <cell r="E487" t="str">
            <v>HARMU, RANCHI</v>
          </cell>
          <cell r="G487">
            <v>8298018061</v>
          </cell>
          <cell r="K487" t="str">
            <v>BXDC373827</v>
          </cell>
        </row>
        <row r="488">
          <cell r="E488" t="str">
            <v>BALIAPUR ROAD, DHANBAD</v>
          </cell>
          <cell r="G488">
            <v>7004723376</v>
          </cell>
          <cell r="K488" t="str">
            <v>BXHD164701</v>
          </cell>
        </row>
        <row r="489">
          <cell r="E489" t="str">
            <v>SAHEBGANJ</v>
          </cell>
          <cell r="G489">
            <v>8059000900</v>
          </cell>
          <cell r="K489" t="str">
            <v>BYKD164879</v>
          </cell>
        </row>
        <row r="490">
          <cell r="E490" t="str">
            <v>HORHAP ROAD, MAHILONG, RANCHI
835103</v>
          </cell>
          <cell r="G490">
            <v>9708039203</v>
          </cell>
          <cell r="K490" t="str">
            <v>BRIC374329</v>
          </cell>
        </row>
        <row r="491">
          <cell r="E491" t="str">
            <v>TATISILWAI, RANCHI</v>
          </cell>
          <cell r="G491">
            <v>9708039203</v>
          </cell>
          <cell r="K491" t="str">
            <v>BWCC379947</v>
          </cell>
        </row>
        <row r="492">
          <cell r="E492" t="str">
            <v>TATISILWAI, RANCHI</v>
          </cell>
          <cell r="G492">
            <v>9708039203</v>
          </cell>
          <cell r="K492" t="str">
            <v>BWEC370314</v>
          </cell>
        </row>
        <row r="493">
          <cell r="E493" t="str">
            <v>SAHIBGANJ</v>
          </cell>
          <cell r="G493">
            <v>9333505126</v>
          </cell>
          <cell r="K493" t="str">
            <v>BXBD164388</v>
          </cell>
        </row>
        <row r="494">
          <cell r="E494" t="str">
            <v>NAGARI, RANCHI
834006</v>
          </cell>
          <cell r="G494">
            <v>7061231604</v>
          </cell>
          <cell r="K494" t="str">
            <v>BRAC372524</v>
          </cell>
        </row>
        <row r="495">
          <cell r="E495" t="str">
            <v>GOVINDPUR</v>
          </cell>
          <cell r="G495">
            <v>8789118935</v>
          </cell>
          <cell r="K495" t="str">
            <v>BHKS040048</v>
          </cell>
        </row>
        <row r="496">
          <cell r="E496" t="str">
            <v>GOVINDPUR</v>
          </cell>
          <cell r="G496">
            <v>8789118935</v>
          </cell>
          <cell r="K496" t="str">
            <v>BHKS040053</v>
          </cell>
        </row>
        <row r="497">
          <cell r="E497" t="str">
            <v>PANDARA</v>
          </cell>
          <cell r="G497">
            <v>8340387508</v>
          </cell>
          <cell r="K497" t="str">
            <v>GOHC370857</v>
          </cell>
        </row>
        <row r="498">
          <cell r="E498" t="str">
            <v>SAHIBGANJ</v>
          </cell>
          <cell r="G498">
            <v>9333505126</v>
          </cell>
          <cell r="K498" t="str">
            <v>BXBD164388</v>
          </cell>
        </row>
        <row r="499">
          <cell r="E499" t="str">
            <v>BARKAGAON</v>
          </cell>
          <cell r="G499">
            <v>9234615009</v>
          </cell>
          <cell r="K499" t="str">
            <v>BXDD232126</v>
          </cell>
        </row>
        <row r="500">
          <cell r="E500" t="str">
            <v>KOKAR INDUSTRIAL AREA,RANCHI
834002
KOKAR INDUSTRIAL AREA</v>
          </cell>
          <cell r="G500">
            <v>8102671167</v>
          </cell>
          <cell r="K500" t="str">
            <v>BRKC371988</v>
          </cell>
        </row>
        <row r="501">
          <cell r="E501" t="str">
            <v>LATEHAR</v>
          </cell>
          <cell r="G501">
            <v>6263452330</v>
          </cell>
          <cell r="K501" t="str">
            <v>BYHD165336</v>
          </cell>
        </row>
        <row r="502">
          <cell r="E502" t="str">
            <v>NAGRI</v>
          </cell>
          <cell r="G502">
            <v>9113375737</v>
          </cell>
          <cell r="K502" t="str">
            <v>BWAS040762</v>
          </cell>
        </row>
        <row r="503">
          <cell r="E503" t="str">
            <v>RAHELA, DALTAINGANJ</v>
          </cell>
          <cell r="G503">
            <v>8877136770</v>
          </cell>
          <cell r="K503" t="str">
            <v>BVAS038319</v>
          </cell>
        </row>
        <row r="504">
          <cell r="E504" t="str">
            <v>TUPUDAN</v>
          </cell>
          <cell r="G504">
            <v>9234600187</v>
          </cell>
          <cell r="K504" t="str">
            <v>BKCS031160</v>
          </cell>
        </row>
        <row r="505">
          <cell r="E505" t="str">
            <v>SAYAL, RAMGARH</v>
          </cell>
          <cell r="G505">
            <v>8946096277</v>
          </cell>
          <cell r="K505" t="str">
            <v>BXGD164632</v>
          </cell>
        </row>
        <row r="506">
          <cell r="E506" t="str">
            <v>HOWRAH, WB</v>
          </cell>
          <cell r="G506">
            <v>9830340221</v>
          </cell>
          <cell r="K506" t="str">
            <v>BVIS040024</v>
          </cell>
        </row>
        <row r="507">
          <cell r="E507" t="str">
            <v>RANCHI PATNA ROAD
DEMOTAND
825301
HAZARIBAGH</v>
          </cell>
          <cell r="G507">
            <v>7905424302</v>
          </cell>
          <cell r="K507" t="str">
            <v>BIFS040367</v>
          </cell>
        </row>
        <row r="508">
          <cell r="E508" t="str">
            <v>GIRIDIH</v>
          </cell>
          <cell r="G508">
            <v>9931921808</v>
          </cell>
          <cell r="K508" t="str">
            <v>BXCD164420</v>
          </cell>
        </row>
        <row r="509">
          <cell r="E509" t="str">
            <v>SAHEBGANJ</v>
          </cell>
          <cell r="G509">
            <v>8059000900</v>
          </cell>
          <cell r="K509" t="str">
            <v>BYKD164879</v>
          </cell>
        </row>
        <row r="510">
          <cell r="E510" t="str">
            <v>PHULWARITAND</v>
          </cell>
          <cell r="G510">
            <v>8299601020</v>
          </cell>
          <cell r="K510" t="str">
            <v>BYJC375787</v>
          </cell>
        </row>
        <row r="511">
          <cell r="E511" t="str">
            <v>KOKAR,INDUSTRIAL AREA,RANCHI
834002
RANCHI</v>
          </cell>
          <cell r="G511">
            <v>9031102143</v>
          </cell>
          <cell r="K511" t="str">
            <v>BMKC370048</v>
          </cell>
        </row>
        <row r="512">
          <cell r="E512" t="str">
            <v>NTPC BARKAKANA</v>
          </cell>
          <cell r="G512">
            <v>8434769547</v>
          </cell>
          <cell r="K512" t="str">
            <v>124540</v>
          </cell>
        </row>
        <row r="513">
          <cell r="E513" t="str">
            <v>HATIA, RANCHI</v>
          </cell>
          <cell r="G513">
            <v>9470526002</v>
          </cell>
          <cell r="K513" t="str">
            <v>BXHD232326</v>
          </cell>
        </row>
        <row r="514">
          <cell r="E514" t="str">
            <v>GOVINDPUR</v>
          </cell>
          <cell r="G514">
            <v>7979098975</v>
          </cell>
          <cell r="K514" t="str">
            <v>BWCC379823</v>
          </cell>
        </row>
        <row r="515">
          <cell r="E515" t="str">
            <v>BALIDIH BOKARO</v>
          </cell>
          <cell r="G515">
            <v>9733293030</v>
          </cell>
          <cell r="K515" t="str">
            <v>BVFS049365</v>
          </cell>
        </row>
        <row r="516">
          <cell r="E516" t="str">
            <v>BALIDIH BOKARO</v>
          </cell>
          <cell r="G516">
            <v>8118095065</v>
          </cell>
          <cell r="K516" t="str">
            <v>BVHS049699</v>
          </cell>
        </row>
        <row r="517">
          <cell r="E517" t="str">
            <v>BALIDIH BOKARO</v>
          </cell>
          <cell r="G517">
            <v>9733293030</v>
          </cell>
          <cell r="K517" t="str">
            <v>BVFS049364</v>
          </cell>
        </row>
        <row r="518">
          <cell r="E518" t="str">
            <v>BALIDIH BOKARO</v>
          </cell>
          <cell r="G518">
            <v>9733293030</v>
          </cell>
          <cell r="K518" t="str">
            <v>BVFS049358</v>
          </cell>
        </row>
        <row r="519">
          <cell r="E519" t="str">
            <v>BALIDIH, BOKARO</v>
          </cell>
          <cell r="G519">
            <v>7260851711</v>
          </cell>
          <cell r="K519" t="str">
            <v>BVEL062291</v>
          </cell>
        </row>
        <row r="520">
          <cell r="E520" t="str">
            <v>SAHEBGANJ</v>
          </cell>
          <cell r="G520">
            <v>7061082690</v>
          </cell>
          <cell r="K520" t="str">
            <v>BXID164764</v>
          </cell>
        </row>
        <row r="521">
          <cell r="E521" t="str">
            <v>NUTAN NAGAR, HAZARIBAGH</v>
          </cell>
          <cell r="G521">
            <v>9241828090</v>
          </cell>
          <cell r="K521" t="str">
            <v>BXKC372344</v>
          </cell>
        </row>
        <row r="522">
          <cell r="E522" t="str">
            <v>IOCL REFINARY, BARAUNI</v>
          </cell>
          <cell r="G522">
            <v>9431029792</v>
          </cell>
          <cell r="K522" t="str">
            <v>BYEL161723</v>
          </cell>
        </row>
        <row r="523">
          <cell r="E523" t="str">
            <v>JHALDA</v>
          </cell>
          <cell r="G523">
            <v>7001349489</v>
          </cell>
          <cell r="K523" t="str">
            <v>BUGS047249</v>
          </cell>
        </row>
        <row r="524">
          <cell r="E524" t="str">
            <v>JHALDA</v>
          </cell>
          <cell r="G524">
            <v>9331665000</v>
          </cell>
          <cell r="K524" t="str">
            <v>BTIS044954</v>
          </cell>
        </row>
        <row r="525">
          <cell r="E525" t="str">
            <v>C/O CREATIVE TEXTILES
KUNJLAL,UPPER BAZAR, RANCHI
834001</v>
          </cell>
          <cell r="G525">
            <v>7667468600</v>
          </cell>
          <cell r="K525" t="str">
            <v>BULC371071</v>
          </cell>
        </row>
        <row r="526">
          <cell r="E526" t="str">
            <v>KUCHU, ORMANJHI</v>
          </cell>
          <cell r="G526">
            <v>9341509055</v>
          </cell>
          <cell r="K526" t="str">
            <v>BKAS040272</v>
          </cell>
        </row>
        <row r="527">
          <cell r="E527" t="str">
            <v>RANCHI ROAD,RAMGARH 
DIGWAR,RAMGARH
829122
DIGWAR , RANCHI ROAD ,</v>
          </cell>
          <cell r="G527">
            <v>7004848564</v>
          </cell>
          <cell r="K527" t="str">
            <v>BSFC376459</v>
          </cell>
        </row>
        <row r="528">
          <cell r="E528" t="str">
            <v>DALADALI, RANCHI</v>
          </cell>
          <cell r="G528">
            <v>8051191796</v>
          </cell>
          <cell r="K528" t="str">
            <v>BWED163889</v>
          </cell>
        </row>
        <row r="529">
          <cell r="E529" t="str">
            <v>CHANDWAY CHOWK,RANCHI
834006</v>
          </cell>
          <cell r="G529">
            <v>7870472388</v>
          </cell>
          <cell r="K529" t="str">
            <v>BRAC372352</v>
          </cell>
        </row>
        <row r="530">
          <cell r="E530" t="str">
            <v>PETERWAR, BOKARO</v>
          </cell>
          <cell r="G530">
            <v>7004263425</v>
          </cell>
          <cell r="K530" t="str">
            <v>BWES033256</v>
          </cell>
        </row>
        <row r="531">
          <cell r="E531" t="str">
            <v>DHANBAD</v>
          </cell>
          <cell r="G531">
            <v>6369069679</v>
          </cell>
          <cell r="K531" t="str">
            <v>BVHC377855</v>
          </cell>
        </row>
        <row r="532">
          <cell r="E532" t="str">
            <v>KRISHNA NAGAR, BOOTY MORE, RANCHI</v>
          </cell>
          <cell r="G532">
            <v>8910434312</v>
          </cell>
          <cell r="K532" t="str">
            <v>BUES034926</v>
          </cell>
        </row>
        <row r="533">
          <cell r="E533" t="str">
            <v>BIT MESRA, RANCHI</v>
          </cell>
          <cell r="G533">
            <v>8008708826</v>
          </cell>
          <cell r="K533" t="str">
            <v>BXBS036231</v>
          </cell>
        </row>
        <row r="534">
          <cell r="E534" t="str">
            <v>PIPARWAR</v>
          </cell>
          <cell r="G534">
            <v>7541869555</v>
          </cell>
          <cell r="K534" t="str">
            <v>BXJD231746</v>
          </cell>
        </row>
        <row r="535">
          <cell r="E535" t="str">
            <v>HAZARIBAGH</v>
          </cell>
          <cell r="G535">
            <v>8340298312</v>
          </cell>
          <cell r="K535" t="str">
            <v>BYJC375693</v>
          </cell>
        </row>
        <row r="536">
          <cell r="E536" t="str">
            <v>RAMGRAH</v>
          </cell>
          <cell r="G536">
            <v>9695125903</v>
          </cell>
          <cell r="K536" t="str">
            <v>BWFC370700</v>
          </cell>
        </row>
        <row r="537">
          <cell r="E537" t="str">
            <v>MURHU
C/O ASHISH SABOO, MURHU, DIST- KHUNTI
835216</v>
          </cell>
          <cell r="G537">
            <v>8862826990</v>
          </cell>
          <cell r="K537" t="str">
            <v>BTLC377591</v>
          </cell>
        </row>
        <row r="538">
          <cell r="E538" t="str">
            <v>RING ROAD, RANCHI</v>
          </cell>
          <cell r="G538">
            <v>8862826990</v>
          </cell>
          <cell r="K538" t="str">
            <v>BULC371019</v>
          </cell>
        </row>
        <row r="539">
          <cell r="E539" t="str">
            <v>REHLA,GARWA,JHARKHAND 822124</v>
          </cell>
          <cell r="G539">
            <v>7367882775</v>
          </cell>
          <cell r="K539" t="str">
            <v>BYDS030966</v>
          </cell>
        </row>
        <row r="540">
          <cell r="E540" t="str">
            <v>GOVINDPUR, DHANBAD</v>
          </cell>
          <cell r="G540">
            <v>9386474690</v>
          </cell>
          <cell r="K540" t="str">
            <v>BMHS040567</v>
          </cell>
        </row>
        <row r="541">
          <cell r="E541" t="str">
            <v>NEW MADHUKAM, RANCHI</v>
          </cell>
          <cell r="G541">
            <v>9934173770</v>
          </cell>
          <cell r="K541" t="str">
            <v>BXKC372444</v>
          </cell>
        </row>
        <row r="542">
          <cell r="E542" t="str">
            <v>KOKAR INDUSTRIAL AREA,,RANCHI
834002
KOKAR INDUSTRIAL AREA RANCHI</v>
          </cell>
          <cell r="G542">
            <v>9794331589</v>
          </cell>
          <cell r="K542" t="str">
            <v>GNDC370057</v>
          </cell>
        </row>
        <row r="543">
          <cell r="E543" t="str">
            <v>TATISILWAI, RANCHI</v>
          </cell>
          <cell r="G543">
            <v>9334678672</v>
          </cell>
          <cell r="K543" t="str">
            <v>BWCC379950</v>
          </cell>
        </row>
        <row r="544">
          <cell r="E544" t="str">
            <v>UPPER BAZAR,RANCHI
834001
UPPER BAZAR,</v>
          </cell>
          <cell r="G544">
            <v>9334678672</v>
          </cell>
          <cell r="K544" t="str">
            <v>BRJC371828</v>
          </cell>
        </row>
        <row r="545">
          <cell r="E545" t="str">
            <v>NAMKUM INDUSTRIAL AREA,RANCHI
834010</v>
          </cell>
          <cell r="G545">
            <v>9386408111</v>
          </cell>
          <cell r="K545" t="str">
            <v>BRHS035337</v>
          </cell>
        </row>
        <row r="546">
          <cell r="E546" t="str">
            <v>BIT MESRA, RANCHI</v>
          </cell>
          <cell r="G546">
            <v>8008708826</v>
          </cell>
          <cell r="K546" t="str">
            <v>BXBS036231</v>
          </cell>
        </row>
        <row r="547">
          <cell r="E547" t="str">
            <v>PIPARWAR</v>
          </cell>
          <cell r="G547">
            <v>7541869555</v>
          </cell>
          <cell r="K547" t="str">
            <v>BXJD231746</v>
          </cell>
        </row>
        <row r="548">
          <cell r="E548" t="str">
            <v>BOOTY MORE
835217</v>
          </cell>
          <cell r="G548">
            <v>9153898615</v>
          </cell>
          <cell r="K548" t="str">
            <v>BTHC379543</v>
          </cell>
        </row>
        <row r="549">
          <cell r="E549" t="str">
            <v>TUPUDANA, RANCHI</v>
          </cell>
          <cell r="G549">
            <v>8969978501</v>
          </cell>
          <cell r="K549" t="str">
            <v>BVAD121386</v>
          </cell>
        </row>
        <row r="550">
          <cell r="E550" t="str">
            <v>BALIDIH, BOKARO</v>
          </cell>
          <cell r="G550">
            <v>8507118229</v>
          </cell>
          <cell r="K550" t="str">
            <v>BQIS031915</v>
          </cell>
        </row>
        <row r="551">
          <cell r="E551" t="str">
            <v>BALIDIH, BOKARO</v>
          </cell>
          <cell r="G551">
            <v>9122209999</v>
          </cell>
          <cell r="K551" t="str">
            <v>BNJC370072</v>
          </cell>
        </row>
        <row r="552">
          <cell r="E552" t="str">
            <v>RAHELA, DALTAINGANJ</v>
          </cell>
          <cell r="G552">
            <v>7992431955</v>
          </cell>
          <cell r="K552" t="str">
            <v>BWCS032720</v>
          </cell>
        </row>
        <row r="553">
          <cell r="E553" t="str">
            <v>BALIDIH INDUSTRIAL AREA, BOKARO
BYE PASS ROAD, CHAS, BOKARO, JHARKHAND.
827014</v>
          </cell>
          <cell r="G553">
            <v>6290095065</v>
          </cell>
          <cell r="K553" t="str">
            <v>BRCC373034</v>
          </cell>
        </row>
        <row r="554">
          <cell r="E554" t="str">
            <v>BALIDIH INDUSTRIAL AREA,BOKARO
PLOT NO. - A/2 (P) INDUSTRIAL AREA, BALIDIH BOKARO STEEL CITY - 14, BOKARO
827014
BOKARO INDUSTRIAL ESTATE</v>
          </cell>
          <cell r="G554">
            <v>8797867925</v>
          </cell>
          <cell r="K554" t="str">
            <v>BSJS035946</v>
          </cell>
        </row>
        <row r="555">
          <cell r="E555" t="str">
            <v>BALIDIH, BOKARO</v>
          </cell>
          <cell r="G555">
            <v>9523599901</v>
          </cell>
          <cell r="K555" t="str">
            <v>BVCC376207</v>
          </cell>
        </row>
        <row r="556">
          <cell r="E556" t="str">
            <v>RAMGARH</v>
          </cell>
          <cell r="G556">
            <v>7004848564</v>
          </cell>
          <cell r="K556" t="str">
            <v>BXES037132</v>
          </cell>
        </row>
        <row r="557">
          <cell r="E557" t="str">
            <v>PITHORIYA, RANCHI</v>
          </cell>
          <cell r="G557">
            <v>9546089443</v>
          </cell>
          <cell r="K557" t="str">
            <v>BVIC377970</v>
          </cell>
        </row>
        <row r="558">
          <cell r="E558" t="str">
            <v>REG. OFFICE: UNIT 106, MAHABIR TOWER, JOKHIRAM LANE, MAIN ROAD, RANCHI - 834 001
REG. OFFICE: UNIT 106, MAHABIR TOWER, JOKHIRAM LANE, MAIN ROAD, RANCHI - 834 001
835214</v>
          </cell>
          <cell r="G558">
            <v>9608520802</v>
          </cell>
          <cell r="K558" t="str">
            <v>BSDS043254</v>
          </cell>
        </row>
        <row r="559">
          <cell r="E559" t="str">
            <v>NEW MADHUKAM, RANCHI</v>
          </cell>
          <cell r="G559">
            <v>9934173770</v>
          </cell>
          <cell r="K559" t="str">
            <v>BXKC372444</v>
          </cell>
        </row>
        <row r="560">
          <cell r="E560" t="str">
            <v>OPERATIONS OFFICER, BOKARO BP, KIND ATTEN.ABHISHEK TRIPATHI, MOB. NO.8789972995, VENDOR CODE-11970380
OPERATIONS OFFICER, BOKARO BP, KIND ATTEN.ABHISHEK TRIPATHI, MOB. NO.8789972995, VENDOR CODE-11970380
827014
LPG BOTTALING PLANT, BALIDIH,</v>
          </cell>
          <cell r="G560">
            <v>8797456432</v>
          </cell>
          <cell r="K560" t="str">
            <v>BOCS040147</v>
          </cell>
        </row>
        <row r="561">
          <cell r="E561" t="str">
            <v>BOKARO</v>
          </cell>
          <cell r="G561">
            <v>9629403458</v>
          </cell>
          <cell r="K561" t="str">
            <v>BSLC374985</v>
          </cell>
        </row>
        <row r="562">
          <cell r="E562" t="str">
            <v>BALIDIH, BOKARO</v>
          </cell>
          <cell r="G562">
            <v>8797300962</v>
          </cell>
          <cell r="K562" t="str">
            <v>BWIC371523</v>
          </cell>
        </row>
        <row r="563">
          <cell r="E563" t="str">
            <v>PHASE - IV, PLOT NO. - IV-C/3 P AND IV-C/2 P, BOKARO INDUSTRIAL AREA, BALIDIH, BOKARO
PHASE - IV, PLOT NO. - IV-C/3 P AND IV-C/2 P, BOKARO INDUSTRIAL AREA, BALIDIH, BOKARO
827014</v>
          </cell>
          <cell r="G563">
            <v>9341099033</v>
          </cell>
          <cell r="K563" t="str">
            <v>BSDS037649</v>
          </cell>
        </row>
        <row r="564">
          <cell r="E564" t="str">
            <v>BALIDIH, BIKARO</v>
          </cell>
          <cell r="G564">
            <v>8858506533</v>
          </cell>
          <cell r="K564" t="str">
            <v>BRAF110427</v>
          </cell>
        </row>
        <row r="565">
          <cell r="E565" t="str">
            <v>DHANBAD</v>
          </cell>
          <cell r="G565">
            <v>8617628112</v>
          </cell>
          <cell r="K565" t="str">
            <v>BWHD231603</v>
          </cell>
        </row>
        <row r="566">
          <cell r="E566" t="str">
            <v>ARGORA, RANCHI
834002</v>
          </cell>
          <cell r="G566">
            <v>9661549583</v>
          </cell>
          <cell r="K566" t="str">
            <v>BSKC374901</v>
          </cell>
        </row>
        <row r="567">
          <cell r="E567" t="str">
            <v>TUPUDANA</v>
          </cell>
          <cell r="G567">
            <v>9304758120</v>
          </cell>
          <cell r="K567" t="str">
            <v>BVIC378165</v>
          </cell>
        </row>
        <row r="568">
          <cell r="E568" t="str">
            <v>KOKAR INDUSTRIAL AREA,RANCHI
834001</v>
          </cell>
          <cell r="G568">
            <v>9835799343</v>
          </cell>
          <cell r="K568" t="str">
            <v>BSBC375535</v>
          </cell>
        </row>
        <row r="569">
          <cell r="E569" t="str">
            <v>RATU ROAD, RANCHI</v>
          </cell>
          <cell r="G569">
            <v>9297928081</v>
          </cell>
          <cell r="K569" t="str">
            <v>BVEC377128</v>
          </cell>
        </row>
        <row r="570">
          <cell r="E570" t="str">
            <v>KHATHITAND, RANCHI</v>
          </cell>
          <cell r="G570">
            <v>8383018375</v>
          </cell>
          <cell r="K570" t="str">
            <v>BXJC371965</v>
          </cell>
        </row>
        <row r="571">
          <cell r="E571" t="str">
            <v>KATITARH,RANCHI
835222</v>
          </cell>
          <cell r="G571">
            <v>7779980009</v>
          </cell>
          <cell r="K571" t="str">
            <v>BSAS036940</v>
          </cell>
        </row>
        <row r="572">
          <cell r="E572" t="str">
            <v>TUPUDANA, RANCHI</v>
          </cell>
          <cell r="G572">
            <v>8102915586</v>
          </cell>
          <cell r="K572" t="str">
            <v>BUDC372327</v>
          </cell>
        </row>
        <row r="573">
          <cell r="E573" t="str">
            <v>MARRAR, RAMGRAH</v>
          </cell>
          <cell r="G573">
            <v>7654107064</v>
          </cell>
          <cell r="K573" t="str">
            <v>BXJS035074</v>
          </cell>
        </row>
        <row r="574">
          <cell r="E574" t="str">
            <v>KWJAMA COLLIERY, DHANBAD</v>
          </cell>
          <cell r="G574">
            <v>9208299089</v>
          </cell>
          <cell r="K574" t="str">
            <v>BVCD163165</v>
          </cell>
        </row>
        <row r="575">
          <cell r="E575" t="str">
            <v>SHOP NO. 201, MODI HEIGHTS, PHASE 2
OPPO. RADIO STATION
834001</v>
          </cell>
          <cell r="G575">
            <v>9264474899</v>
          </cell>
          <cell r="K575" t="str">
            <v>BTHC379417</v>
          </cell>
        </row>
        <row r="576">
          <cell r="E576" t="str">
            <v>DALTAINGANJ</v>
          </cell>
          <cell r="G576">
            <v>9534024565</v>
          </cell>
          <cell r="K576" t="str">
            <v>BYEC378148</v>
          </cell>
        </row>
        <row r="577">
          <cell r="E577" t="str">
            <v>DHANBAD</v>
          </cell>
          <cell r="G577">
            <v>8617628112</v>
          </cell>
          <cell r="K577" t="str">
            <v>BWHD231603</v>
          </cell>
        </row>
        <row r="578">
          <cell r="E578" t="str">
            <v>9.P .INDUSTRIAL AREA  KOKAR, RANCHI, TIN-20880200515
9.P .INDUSTRIAL AREA  KOKAR, RANCHI, TIN-20880200515
834001</v>
          </cell>
          <cell r="G578">
            <v>9955178750</v>
          </cell>
          <cell r="K578" t="str">
            <v>BTGS031205</v>
          </cell>
        </row>
        <row r="579">
          <cell r="E579" t="str">
            <v>KOKAR</v>
          </cell>
          <cell r="G579">
            <v>7903315808</v>
          </cell>
          <cell r="K579" t="str">
            <v>BPLF150007</v>
          </cell>
        </row>
        <row r="580">
          <cell r="E580" t="str">
            <v>BALIDIH INDUSTRIAL AREA, BALIDIH BOKARO</v>
          </cell>
          <cell r="G580">
            <v>8100184482</v>
          </cell>
          <cell r="K580">
            <v>164253</v>
          </cell>
        </row>
        <row r="581">
          <cell r="E581" t="str">
            <v>BALIDIH INDUSTRIAL AREA
827014</v>
          </cell>
          <cell r="G581">
            <v>8100184482</v>
          </cell>
          <cell r="K581" t="str">
            <v>BTDS044313</v>
          </cell>
        </row>
        <row r="582">
          <cell r="E582" t="str">
            <v>BALIDIH INDUSTRIAL AREA
827014</v>
          </cell>
          <cell r="G582">
            <v>8100184482</v>
          </cell>
          <cell r="K582" t="str">
            <v>BTDS044304</v>
          </cell>
        </row>
        <row r="583">
          <cell r="E583" t="str">
            <v>BALIDIH INDUSTRIAL AREA
827014</v>
          </cell>
          <cell r="G583">
            <v>8100184482</v>
          </cell>
          <cell r="K583" t="str">
            <v>BYJS038729</v>
          </cell>
        </row>
        <row r="584">
          <cell r="E584" t="str">
            <v>ANGARPATHRA</v>
          </cell>
          <cell r="G584">
            <v>62027028892</v>
          </cell>
          <cell r="K584" t="str">
            <v>BYLD164919</v>
          </cell>
        </row>
        <row r="585">
          <cell r="E585" t="str">
            <v>MARRAR RAMGRAH</v>
          </cell>
          <cell r="G585">
            <v>7654107064</v>
          </cell>
          <cell r="K585" t="str">
            <v>BXFS037363</v>
          </cell>
        </row>
        <row r="586">
          <cell r="E586" t="str">
            <v>MANDU, RAMGARH
JAISWAL COLONY, THANA CHOW,, RAMGARH CANTT. DIST. RAMGARH, JHARKHAND
825316
MANDU</v>
          </cell>
          <cell r="G586">
            <v>7979930284</v>
          </cell>
          <cell r="K586" t="str">
            <v>BTLS039851</v>
          </cell>
        </row>
        <row r="587">
          <cell r="E587" t="str">
            <v>RAMGARH</v>
          </cell>
          <cell r="G587">
            <v>7979930284</v>
          </cell>
          <cell r="K587" t="str">
            <v>BYAS039931</v>
          </cell>
        </row>
        <row r="588">
          <cell r="E588" t="str">
            <v>MANDU, RAMGARH
JAISWAL COLONY, THANA CHOW,, RAMGARH CANTT. DIST. RAMGARH, JHARKHAND
825316
MANDU</v>
          </cell>
          <cell r="G588">
            <v>7979930284</v>
          </cell>
          <cell r="K588" t="str">
            <v>BTLS039748</v>
          </cell>
        </row>
        <row r="589">
          <cell r="E589" t="str">
            <v>MANDU, RAMGARH
JAISWAL COLONY, THANA CHOW,, RAMGARH CANTT. DIST. RAMGARH, JHARKHAND
825316
MANDU</v>
          </cell>
          <cell r="G589">
            <v>7979930284</v>
          </cell>
          <cell r="K589" t="str">
            <v>BTLS039719</v>
          </cell>
        </row>
        <row r="590">
          <cell r="E590" t="str">
            <v>MANDU, RAMGARH
JAISWAL COLONY, THANA CHOW,, RAMGARH CANTT. DIST. RAMGARH, JHARKHAND
825316
MANDU</v>
          </cell>
          <cell r="G590">
            <v>7979930284</v>
          </cell>
          <cell r="K590" t="str">
            <v>BTLS039787</v>
          </cell>
        </row>
        <row r="591">
          <cell r="E591" t="str">
            <v>MANDU, RAMGARH
JAISWAL COLONY, THANA CHOW,, RAMGARH CANTT. DIST. RAMGARH, JHARKHAND
825316
MANDU</v>
          </cell>
          <cell r="G591">
            <v>7979930284</v>
          </cell>
          <cell r="K591" t="str">
            <v>BTLS039793</v>
          </cell>
        </row>
        <row r="592">
          <cell r="E592" t="str">
            <v>MANDU, RAMGARH
JAISWAL COLONY, THANA CHOW,, RAMGARH CANTT. DIST. RAMGARH, JHARKHAND
825316
MANDU</v>
          </cell>
          <cell r="G592">
            <v>7654107064</v>
          </cell>
          <cell r="K592" t="str">
            <v>BWLS032057</v>
          </cell>
        </row>
        <row r="593">
          <cell r="E593" t="str">
            <v>HAZARIBAGH</v>
          </cell>
          <cell r="G593">
            <v>9431141152</v>
          </cell>
          <cell r="K593" t="str">
            <v>BUKC370622</v>
          </cell>
        </row>
        <row r="594">
          <cell r="E594" t="str">
            <v>BARHI</v>
          </cell>
          <cell r="G594">
            <v>7068236282</v>
          </cell>
          <cell r="K594" t="str">
            <v>BXFC374369</v>
          </cell>
        </row>
        <row r="595">
          <cell r="E595" t="str">
            <v>NAGRI</v>
          </cell>
          <cell r="G595">
            <v>9100031264</v>
          </cell>
          <cell r="K595" t="str">
            <v>BYCS030580</v>
          </cell>
        </row>
        <row r="596">
          <cell r="E596" t="str">
            <v>NAGRI</v>
          </cell>
          <cell r="G596">
            <v>9100031264</v>
          </cell>
          <cell r="K596" t="str">
            <v>BYCS045058</v>
          </cell>
        </row>
        <row r="597">
          <cell r="E597" t="str">
            <v>NUTAN NAGAR, HAZARIBAGH</v>
          </cell>
          <cell r="G597">
            <v>9798220119</v>
          </cell>
          <cell r="K597" t="str">
            <v>BXKC372344</v>
          </cell>
        </row>
        <row r="598">
          <cell r="E598" t="str">
            <v>DEMOTAND, HAZARIBAGH</v>
          </cell>
          <cell r="G598">
            <v>9905758949</v>
          </cell>
          <cell r="K598" t="str">
            <v>BWGC370777</v>
          </cell>
        </row>
        <row r="599">
          <cell r="E599" t="str">
            <v>KATHITAND
835222,RANCHI
835222</v>
          </cell>
          <cell r="G599">
            <v>9905122556</v>
          </cell>
          <cell r="K599" t="str">
            <v>GPAC370341</v>
          </cell>
        </row>
        <row r="600">
          <cell r="E600" t="str">
            <v>C&amp;W HATIA</v>
          </cell>
          <cell r="G600">
            <v>7781002740</v>
          </cell>
          <cell r="K600" t="str">
            <v>EVLL062069</v>
          </cell>
        </row>
        <row r="601">
          <cell r="E601" t="str">
            <v>RAMGARH,JHARKHAND
825101
RAMGARH</v>
          </cell>
          <cell r="G601">
            <v>9431394348</v>
          </cell>
          <cell r="K601" t="str">
            <v>BSGC376585</v>
          </cell>
        </row>
        <row r="602">
          <cell r="E602" t="str">
            <v>RAMGARH</v>
          </cell>
          <cell r="G602">
            <v>7004848564</v>
          </cell>
          <cell r="K602" t="str">
            <v>BXES037132</v>
          </cell>
        </row>
        <row r="603">
          <cell r="E603" t="str">
            <v>RANCHI ROAD,RAMGARH 
DIGWAR,RAMGARH
829122
DIGWAR , RANCHI ROAD ,</v>
          </cell>
          <cell r="G603">
            <v>7004848564</v>
          </cell>
          <cell r="K603" t="str">
            <v>BSFC376459</v>
          </cell>
        </row>
        <row r="604">
          <cell r="E604" t="str">
            <v>NAYA MORE, RAMGRAH</v>
          </cell>
          <cell r="G604">
            <v>7004541681</v>
          </cell>
          <cell r="K604" t="str">
            <v>BUKS045388</v>
          </cell>
        </row>
        <row r="605">
          <cell r="E605" t="str">
            <v>NAYA MORE, RAMGRAH</v>
          </cell>
          <cell r="G605">
            <v>7004541681</v>
          </cell>
          <cell r="K605" t="str">
            <v>BUKS045387</v>
          </cell>
        </row>
        <row r="606">
          <cell r="E606" t="str">
            <v>RAMGARH,JHARKHAND
825101
RAMGARH</v>
          </cell>
          <cell r="G606">
            <v>9431394348</v>
          </cell>
          <cell r="K606" t="str">
            <v>BSGC376585</v>
          </cell>
        </row>
        <row r="607">
          <cell r="E607" t="str">
            <v>RAMGARH
829103
NAYA MORE</v>
          </cell>
          <cell r="G607">
            <v>6201225253</v>
          </cell>
          <cell r="K607" t="str">
            <v>BPCS030196</v>
          </cell>
        </row>
        <row r="608">
          <cell r="E608" t="str">
            <v>NAYA MORE,RAMGARH
ARA SARU BERA ROAD, NAYA, RAMGARH,JHARKHAND
829110
NAYA MORE</v>
          </cell>
          <cell r="G608">
            <v>6201225253</v>
          </cell>
          <cell r="K608" t="str">
            <v>BQBS033796</v>
          </cell>
        </row>
        <row r="609">
          <cell r="E609" t="str">
            <v>RAMGARH
829103
NAYA MORE</v>
          </cell>
          <cell r="G609">
            <v>6201225253</v>
          </cell>
          <cell r="K609" t="str">
            <v>BRGS035169</v>
          </cell>
        </row>
        <row r="610">
          <cell r="E610" t="str">
            <v>HORHAP ROAD, MAHILONG, RANCHI
835103
MAHILONG, TATISILWAI</v>
          </cell>
          <cell r="G610">
            <v>9608787404</v>
          </cell>
          <cell r="K610" t="str">
            <v>GPFC370737</v>
          </cell>
        </row>
        <row r="611">
          <cell r="E611" t="str">
            <v>NAGRI</v>
          </cell>
          <cell r="G611">
            <v>7061231604</v>
          </cell>
          <cell r="K611" t="str">
            <v>BQAC373734</v>
          </cell>
        </row>
        <row r="612">
          <cell r="E612" t="str">
            <v>NAGARI, RANCHI
834006</v>
          </cell>
          <cell r="G612">
            <v>7061231604</v>
          </cell>
          <cell r="K612" t="str">
            <v>BRAC372524</v>
          </cell>
        </row>
        <row r="613">
          <cell r="E613" t="str">
            <v>SARWARI, ASANSOL, WB</v>
          </cell>
          <cell r="G613">
            <v>6202045477</v>
          </cell>
          <cell r="K613" t="str">
            <v>BXJS034965</v>
          </cell>
        </row>
        <row r="614">
          <cell r="E614" t="str">
            <v>ASANSOL</v>
          </cell>
          <cell r="G614">
            <v>9431101890</v>
          </cell>
          <cell r="K614" t="str">
            <v>BSCS037494</v>
          </cell>
        </row>
        <row r="615">
          <cell r="E615" t="str">
            <v>LALGUTUWA, RANCHI</v>
          </cell>
          <cell r="G615">
            <v>7004052584</v>
          </cell>
          <cell r="K615" t="str">
            <v>BSES037922</v>
          </cell>
        </row>
        <row r="616">
          <cell r="E616" t="str">
            <v>TATISILWAI, RANCHI</v>
          </cell>
          <cell r="G616">
            <v>7004028506</v>
          </cell>
          <cell r="K616" t="str">
            <v>BWEC370314</v>
          </cell>
        </row>
        <row r="617">
          <cell r="E617" t="str">
            <v>HORHAP ROAD, MAHILONG, RANCHI
835103</v>
          </cell>
          <cell r="G617">
            <v>7004028506</v>
          </cell>
          <cell r="K617" t="str">
            <v>BRIC374329</v>
          </cell>
        </row>
        <row r="618">
          <cell r="E618" t="str">
            <v>HORHAP ROAD, MAHILONG, RANCHI
835103</v>
          </cell>
          <cell r="G618">
            <v>7004028506</v>
          </cell>
          <cell r="K618" t="str">
            <v>BYBS030225</v>
          </cell>
        </row>
        <row r="619">
          <cell r="E619" t="str">
            <v>KAMRE
835222</v>
          </cell>
          <cell r="G619">
            <v>7541898135</v>
          </cell>
          <cell r="K619" t="str">
            <v>BTCC377923</v>
          </cell>
        </row>
        <row r="620">
          <cell r="E620" t="str">
            <v>LAXMI NAGAR HEHAL</v>
          </cell>
          <cell r="G620">
            <v>9835390276</v>
          </cell>
          <cell r="K620" t="str">
            <v>BVEC376770</v>
          </cell>
        </row>
        <row r="621">
          <cell r="E621" t="str">
            <v>SHADEV NAGAR
834002
SHADEV NAGAR</v>
          </cell>
          <cell r="G621">
            <v>6202640946</v>
          </cell>
          <cell r="K621" t="str">
            <v>GOHC370857</v>
          </cell>
        </row>
        <row r="622">
          <cell r="E622" t="str">
            <v>UPPER BAZAR,RANCHI
834001
UPPER BAZAR,</v>
          </cell>
          <cell r="G622">
            <v>9334678672</v>
          </cell>
          <cell r="K622" t="str">
            <v>BRJC371828</v>
          </cell>
        </row>
        <row r="623">
          <cell r="E623" t="str">
            <v>TATISILWAI, RANCHI</v>
          </cell>
          <cell r="G623">
            <v>9334678672</v>
          </cell>
          <cell r="K623" t="str">
            <v>BWCC379950</v>
          </cell>
        </row>
        <row r="624">
          <cell r="E624" t="str">
            <v>NAMKUM, RANCHI</v>
          </cell>
          <cell r="G624">
            <v>7004828227</v>
          </cell>
          <cell r="K624" t="str">
            <v>BVKS037559</v>
          </cell>
        </row>
        <row r="625">
          <cell r="E625" t="str">
            <v>PISKA MORE, RANCHI</v>
          </cell>
          <cell r="G625">
            <v>9431364097</v>
          </cell>
          <cell r="K625" t="str">
            <v>BWKC378700</v>
          </cell>
        </row>
        <row r="626">
          <cell r="E626" t="str">
            <v>RAMGARH,JHARKHAND
829122</v>
          </cell>
          <cell r="G626">
            <v>9934012594</v>
          </cell>
          <cell r="K626" t="str">
            <v>BSIC376940</v>
          </cell>
        </row>
        <row r="627">
          <cell r="E627" t="str">
            <v>RAMGARH,JHARKHAND
829122</v>
          </cell>
          <cell r="G627">
            <v>9934012694</v>
          </cell>
          <cell r="K627" t="str">
            <v>BPAS030126</v>
          </cell>
        </row>
        <row r="628">
          <cell r="E628" t="str">
            <v>MARRAR RAMGRAH</v>
          </cell>
          <cell r="G628">
            <v>9909982362</v>
          </cell>
          <cell r="K628" t="str">
            <v>GNFS040092</v>
          </cell>
        </row>
        <row r="629">
          <cell r="E629" t="str">
            <v>RAMGARH,JHARKHAND
829122</v>
          </cell>
          <cell r="G629">
            <v>9934012694</v>
          </cell>
          <cell r="K629" t="str">
            <v>BOKC370020</v>
          </cell>
        </row>
        <row r="630">
          <cell r="E630" t="str">
            <v>BALIDIH, BOKARO</v>
          </cell>
          <cell r="G630">
            <v>7978131496</v>
          </cell>
          <cell r="K630" t="str">
            <v>BULS045646</v>
          </cell>
        </row>
        <row r="631">
          <cell r="E631" t="str">
            <v>MUNGMA</v>
          </cell>
          <cell r="G631">
            <v>7439816339</v>
          </cell>
          <cell r="K631" t="str">
            <v>BNEC370483</v>
          </cell>
        </row>
        <row r="632">
          <cell r="E632" t="str">
            <v>MUNGMA</v>
          </cell>
          <cell r="G632">
            <v>7978676318</v>
          </cell>
          <cell r="K632" t="str">
            <v>GNGS030424</v>
          </cell>
        </row>
        <row r="633">
          <cell r="E633" t="str">
            <v>MUNGMA</v>
          </cell>
          <cell r="G633">
            <v>7978676318</v>
          </cell>
          <cell r="K633" t="str">
            <v>BNCS030884</v>
          </cell>
        </row>
        <row r="634">
          <cell r="E634" t="str">
            <v>MUNGMA</v>
          </cell>
          <cell r="G634">
            <v>7978676318</v>
          </cell>
          <cell r="K634" t="str">
            <v>BWEC370334</v>
          </cell>
        </row>
        <row r="635">
          <cell r="E635" t="str">
            <v>PLOT NO. 79, KAPASARA,, SUNDERNAGAR, CHIRKUNDA,, DHANBAD - 828 202
PLOT NO. 79, KAPASARA,, SUNDERNAGAR, CHIRKUNDA,, DHANBAD - 828 202
828202</v>
          </cell>
          <cell r="G635">
            <v>8101005542</v>
          </cell>
          <cell r="K635" t="str">
            <v>BTFS031006</v>
          </cell>
        </row>
        <row r="636">
          <cell r="E636" t="str">
            <v>CHIRKUNDA, DHANBAD</v>
          </cell>
          <cell r="G636">
            <v>8101005542</v>
          </cell>
          <cell r="K636" t="str">
            <v>BWHC371250</v>
          </cell>
        </row>
        <row r="637">
          <cell r="E637" t="str">
            <v>REHLA,GARWA,JHARKHAND
822124
RANCHI</v>
          </cell>
          <cell r="G637">
            <v>7004623399</v>
          </cell>
          <cell r="K637" t="str">
            <v>BMFS031346</v>
          </cell>
        </row>
        <row r="638">
          <cell r="E638" t="str">
            <v>PITHORIYA, RANCHI</v>
          </cell>
          <cell r="G638">
            <v>9546089443</v>
          </cell>
          <cell r="K638" t="str">
            <v>BVIC377970</v>
          </cell>
        </row>
        <row r="639">
          <cell r="E639" t="str">
            <v>BARKAGAON</v>
          </cell>
          <cell r="G639">
            <v>8978792036</v>
          </cell>
          <cell r="K639" t="str">
            <v>BWID231694</v>
          </cell>
        </row>
        <row r="640">
          <cell r="E640" t="str">
            <v>KANKE, RANCHI
834002</v>
          </cell>
          <cell r="G640">
            <v>7979732853</v>
          </cell>
          <cell r="K640" t="str">
            <v>BSFC376396</v>
          </cell>
        </row>
        <row r="641">
          <cell r="E641" t="str">
            <v>KOKAR</v>
          </cell>
          <cell r="G641">
            <v>7903315808</v>
          </cell>
          <cell r="K641" t="str">
            <v>BPLF150007</v>
          </cell>
        </row>
        <row r="642">
          <cell r="E642" t="str">
            <v>MANJULA ENTERPRISES, KOKAR INDUSTRIAL AREA KOKAR</v>
          </cell>
          <cell r="G642">
            <v>9155398092</v>
          </cell>
          <cell r="K642" t="str">
            <v>BUFC372952</v>
          </cell>
        </row>
        <row r="643">
          <cell r="E643" t="str">
            <v>9.P .INDUSTRIAL AREA  KOKAR, RANCHI, TIN-20880200515
9.P .INDUSTRIAL AREA  KOKAR, RANCHI, TIN-20880200515
834001</v>
          </cell>
          <cell r="G643">
            <v>9955178750</v>
          </cell>
          <cell r="K643" t="str">
            <v>BTGS031205</v>
          </cell>
        </row>
        <row r="644">
          <cell r="E644" t="str">
            <v>DALADALI, RANCHI</v>
          </cell>
          <cell r="G644">
            <v>9579597970</v>
          </cell>
          <cell r="K644" t="str">
            <v>BXES037106</v>
          </cell>
        </row>
        <row r="645">
          <cell r="E645" t="str">
            <v>BARKAGAON</v>
          </cell>
          <cell r="G645">
            <v>855006735</v>
          </cell>
          <cell r="K645" t="str">
            <v>BXAD231960</v>
          </cell>
        </row>
        <row r="646">
          <cell r="E646" t="str">
            <v>PAKURIA</v>
          </cell>
          <cell r="G646">
            <v>9982132791</v>
          </cell>
          <cell r="K646" t="str">
            <v>BUKD162497</v>
          </cell>
        </row>
        <row r="647">
          <cell r="E647" t="str">
            <v>RANCHI</v>
          </cell>
          <cell r="G647">
            <v>9958849590</v>
          </cell>
          <cell r="K647" t="str">
            <v>BWLS031913</v>
          </cell>
        </row>
        <row r="648">
          <cell r="E648" t="str">
            <v>KATITAND, RATU, RANCHI, JHARKHAND
835222</v>
          </cell>
          <cell r="G648">
            <v>9798542502</v>
          </cell>
          <cell r="K648" t="str">
            <v>BQFC370928</v>
          </cell>
        </row>
        <row r="649">
          <cell r="E649" t="str">
            <v>PANDWA, RANCHI</v>
          </cell>
          <cell r="G649">
            <v>7909069824</v>
          </cell>
          <cell r="K649" t="str">
            <v>BWEC370313</v>
          </cell>
        </row>
        <row r="650">
          <cell r="E650" t="str">
            <v>KOKAR, RANCHI</v>
          </cell>
          <cell r="G650">
            <v>8825268687</v>
          </cell>
          <cell r="K650" t="str">
            <v>BWGC370755</v>
          </cell>
        </row>
        <row r="651">
          <cell r="E651" t="str">
            <v>SARWARI, ASANSOL, WB</v>
          </cell>
          <cell r="G651">
            <v>6202045477</v>
          </cell>
          <cell r="K651" t="str">
            <v>BXJS034965</v>
          </cell>
        </row>
        <row r="652">
          <cell r="E652" t="str">
            <v>ASANSOL</v>
          </cell>
          <cell r="G652">
            <v>9431101890</v>
          </cell>
          <cell r="K652" t="str">
            <v>BSCS037494</v>
          </cell>
        </row>
        <row r="653">
          <cell r="E653" t="str">
            <v>BANDHTOLI, NAGRI</v>
          </cell>
          <cell r="G653">
            <v>6201457979</v>
          </cell>
          <cell r="K653" t="str">
            <v>BUFS046813</v>
          </cell>
        </row>
        <row r="654">
          <cell r="E654" t="str">
            <v>HAZARIBAGH
RANCHI JHARKHAND 834002
INDIA</v>
          </cell>
          <cell r="G654">
            <v>9304664534</v>
          </cell>
          <cell r="K654" t="str">
            <v>BKAS030685</v>
          </cell>
        </row>
        <row r="655">
          <cell r="E655" t="str">
            <v>RANIGANJ, WB</v>
          </cell>
          <cell r="G655">
            <v>7004686026</v>
          </cell>
          <cell r="K655" t="str">
            <v>BWED163890</v>
          </cell>
        </row>
        <row r="656">
          <cell r="E656" t="str">
            <v>GROUND FLOOR, 8H AND 81, NATION PRINTERS, NAMKUM INDUSTRIAL AREA,, LOWADIH, RANCHI
GROUND FLOOR, 8H AND 81, NATION PRINTERS, NAMKUM INDUSTRIAL AREA,, LOWADIH, RANCHI
834010</v>
          </cell>
          <cell r="G656">
            <v>9709225271</v>
          </cell>
          <cell r="K656" t="str">
            <v>BRFC373676</v>
          </cell>
        </row>
        <row r="657">
          <cell r="E657" t="str">
            <v>TUPUDANA INDUSTRIAL AREA,RANCHI
834003</v>
          </cell>
          <cell r="G657">
            <v>9534249500</v>
          </cell>
          <cell r="K657" t="str">
            <v>BRIS035695</v>
          </cell>
        </row>
        <row r="658">
          <cell r="E658" t="str">
            <v>GOVINDPUR, DHANBAD</v>
          </cell>
          <cell r="G658">
            <v>7254622131</v>
          </cell>
          <cell r="K658" t="str">
            <v>BVDS039346</v>
          </cell>
        </row>
        <row r="659">
          <cell r="E659" t="str">
            <v>ADDRESS-PLOT-57B,BARAHI INDUSTRIAL AREA,ON DELHI HOWRAH NATIONAL HIGHWAY,BARHI,JAHARKHAND.</v>
          </cell>
          <cell r="G659">
            <v>9178681455</v>
          </cell>
          <cell r="K659" t="str">
            <v>BUBS033778</v>
          </cell>
        </row>
        <row r="660">
          <cell r="E660" t="str">
            <v>BARHI, HAZARIBAGH</v>
          </cell>
          <cell r="G660">
            <v>9559291224</v>
          </cell>
          <cell r="K660" t="str">
            <v>BUCS034287</v>
          </cell>
        </row>
        <row r="661">
          <cell r="E661" t="str">
            <v>ENA COLLEARY</v>
          </cell>
          <cell r="G661">
            <v>7294155515</v>
          </cell>
          <cell r="K661" t="str">
            <v>BXJD164132</v>
          </cell>
        </row>
        <row r="662">
          <cell r="E662" t="str">
            <v>AMARAPARA</v>
          </cell>
          <cell r="G662">
            <v>7070450777</v>
          </cell>
          <cell r="K662" t="str">
            <v>BXFS043344</v>
          </cell>
        </row>
        <row r="663">
          <cell r="E663" t="str">
            <v>VILLAGE - PANDRA
P.O. - KANKE
835222</v>
          </cell>
          <cell r="G663">
            <v>8969299455</v>
          </cell>
          <cell r="K663" t="str">
            <v>BUJS032230</v>
          </cell>
        </row>
        <row r="664">
          <cell r="E664" t="str">
            <v>RAMGARH CANTT, RAMGARH
RAMGARH
829122
RAMGARH</v>
          </cell>
          <cell r="G664">
            <v>9984684577</v>
          </cell>
          <cell r="K664" t="str">
            <v>BNKS030423</v>
          </cell>
        </row>
        <row r="665">
          <cell r="E665" t="str">
            <v>GIRIDIH</v>
          </cell>
          <cell r="G665">
            <v>6206095370</v>
          </cell>
          <cell r="K665" t="str">
            <v>BXCD164420</v>
          </cell>
        </row>
        <row r="666">
          <cell r="E666" t="str">
            <v>HOWRAH, WB</v>
          </cell>
          <cell r="G666">
            <v>9830340221</v>
          </cell>
          <cell r="K666" t="str">
            <v>BVIS040024</v>
          </cell>
        </row>
        <row r="667">
          <cell r="E667" t="str">
            <v>HOWRAH, WB</v>
          </cell>
          <cell r="G667">
            <v>9830340221</v>
          </cell>
          <cell r="K667" t="str">
            <v>BVIS040024</v>
          </cell>
        </row>
        <row r="668">
          <cell r="E668" t="str">
            <v>BARKAGAON</v>
          </cell>
          <cell r="G668">
            <v>8978792036</v>
          </cell>
          <cell r="K668" t="str">
            <v>BTID142410</v>
          </cell>
        </row>
        <row r="669">
          <cell r="E669" t="str">
            <v>TATISILWAI, RANCHI</v>
          </cell>
          <cell r="G669">
            <v>7004028506</v>
          </cell>
          <cell r="K669" t="str">
            <v>BWCC379947</v>
          </cell>
        </row>
        <row r="670">
          <cell r="E670" t="str">
            <v>DEOGRAH</v>
          </cell>
          <cell r="G670">
            <v>7033098255</v>
          </cell>
          <cell r="K670" t="str">
            <v>BYCC377390</v>
          </cell>
        </row>
        <row r="671">
          <cell r="E671" t="str">
            <v>PITHORIA, RANCHI</v>
          </cell>
          <cell r="G671">
            <v>9262899082</v>
          </cell>
          <cell r="K671" t="str">
            <v>BXFC374337</v>
          </cell>
        </row>
        <row r="672">
          <cell r="E672" t="str">
            <v>BEGUSARAI, BIHAR</v>
          </cell>
          <cell r="G672">
            <v>7979826214</v>
          </cell>
          <cell r="K672" t="str">
            <v>BXAL153828</v>
          </cell>
        </row>
        <row r="673">
          <cell r="E673" t="str">
            <v>BEGUSARAI, BIHAR</v>
          </cell>
          <cell r="G673">
            <v>8797273184</v>
          </cell>
          <cell r="K673" t="str">
            <v>BYAL154188</v>
          </cell>
        </row>
        <row r="674">
          <cell r="E674" t="str">
            <v>HATIA PATHAR ZILA SCHOOL ROAD DUMKA JHARKHAND
834002</v>
          </cell>
          <cell r="G674">
            <v>6201062824</v>
          </cell>
          <cell r="K674" t="str">
            <v>BTEC378536</v>
          </cell>
        </row>
        <row r="675">
          <cell r="E675" t="str">
            <v>KOKAR INDUSTRIAL AREA KOKAR</v>
          </cell>
          <cell r="G675">
            <v>9308408219</v>
          </cell>
          <cell r="K675" t="str">
            <v>BXDC373881</v>
          </cell>
        </row>
        <row r="676">
          <cell r="E676" t="str">
            <v>ANGARPATHRA</v>
          </cell>
          <cell r="G676">
            <v>7004686026</v>
          </cell>
          <cell r="K676" t="str">
            <v>BYLD164919</v>
          </cell>
        </row>
        <row r="677">
          <cell r="E677" t="str">
            <v>CHATRA</v>
          </cell>
          <cell r="G677">
            <v>8946096277</v>
          </cell>
          <cell r="K677" t="str">
            <v>BXHD164673</v>
          </cell>
        </row>
        <row r="678">
          <cell r="E678" t="str">
            <v>RANIGANJ, WB</v>
          </cell>
          <cell r="G678">
            <v>7004686026</v>
          </cell>
          <cell r="K678" t="str">
            <v>BVFD163274</v>
          </cell>
        </row>
        <row r="679">
          <cell r="E679" t="str">
            <v>PAKUR</v>
          </cell>
          <cell r="G679">
            <v>9585918025</v>
          </cell>
          <cell r="K679" t="str">
            <v>BXHD232312</v>
          </cell>
        </row>
        <row r="680">
          <cell r="E680" t="str">
            <v>NAMKUM INDUSTRIAL AREA,RANCHI
RANCHI
834010
INDIA</v>
          </cell>
          <cell r="G680">
            <v>7070993638</v>
          </cell>
          <cell r="K680" t="str">
            <v>GOCC370465</v>
          </cell>
        </row>
        <row r="681">
          <cell r="E681" t="str">
            <v>BEGUSARAI, BIHAR</v>
          </cell>
          <cell r="G681">
            <v>9006233597</v>
          </cell>
          <cell r="K681" t="str">
            <v>BYBL161686</v>
          </cell>
        </row>
        <row r="682">
          <cell r="E682" t="str">
            <v>PAKURIA</v>
          </cell>
          <cell r="G682">
            <v>9982132791</v>
          </cell>
          <cell r="K682" t="str">
            <v>BUKD162497</v>
          </cell>
        </row>
        <row r="683">
          <cell r="E683" t="str">
            <v>GOVINDPUR DHANBAD</v>
          </cell>
          <cell r="G683">
            <v>9110154620</v>
          </cell>
          <cell r="K683" t="str">
            <v>BYBS030219</v>
          </cell>
        </row>
        <row r="684">
          <cell r="E684" t="str">
            <v>RANCHI PATNA ROAD
DEMOTAND
825301
HAZARIBAGH</v>
          </cell>
          <cell r="G684">
            <v>7905424302</v>
          </cell>
          <cell r="K684" t="str">
            <v>BMBL160078</v>
          </cell>
        </row>
        <row r="685">
          <cell r="E685" t="str">
            <v>KOKAR, RANCHI</v>
          </cell>
          <cell r="G685">
            <v>7488061091</v>
          </cell>
          <cell r="K685" t="str">
            <v>BWIC371555</v>
          </cell>
        </row>
        <row r="686">
          <cell r="E686" t="str">
            <v>JUMRI TELAIYA</v>
          </cell>
          <cell r="G686">
            <v>7981797616</v>
          </cell>
          <cell r="K686" t="str">
            <v>BUKC370499</v>
          </cell>
        </row>
        <row r="687">
          <cell r="E687" t="str">
            <v>AMLO PHUSHRO</v>
          </cell>
          <cell r="G687">
            <v>8757131605</v>
          </cell>
          <cell r="K687" t="str">
            <v>BXKD164191</v>
          </cell>
        </row>
        <row r="688">
          <cell r="E688" t="str">
            <v>LODNA MORE</v>
          </cell>
          <cell r="G688">
            <v>9550053031</v>
          </cell>
          <cell r="K688" t="str">
            <v>BWKD163512</v>
          </cell>
        </row>
        <row r="689">
          <cell r="E689" t="str">
            <v>AMLO, PHUSHRO</v>
          </cell>
          <cell r="G689">
            <v>9006617909</v>
          </cell>
          <cell r="K689" t="str">
            <v>BTGD162296</v>
          </cell>
        </row>
        <row r="690">
          <cell r="E690" t="str">
            <v>DURGAPUR</v>
          </cell>
          <cell r="G690">
            <v>7906904449</v>
          </cell>
          <cell r="K690">
            <v>205335</v>
          </cell>
        </row>
        <row r="691">
          <cell r="E691" t="str">
            <v>JHARIA</v>
          </cell>
          <cell r="G691">
            <v>7644045555</v>
          </cell>
          <cell r="K691" t="str">
            <v>BXBD164358</v>
          </cell>
        </row>
        <row r="692">
          <cell r="E692" t="str">
            <v>RAMGARH
829103
NAYA MORE</v>
          </cell>
          <cell r="G692">
            <v>6201225253</v>
          </cell>
          <cell r="K692" t="str">
            <v>BPCS030196</v>
          </cell>
        </row>
        <row r="693">
          <cell r="E693" t="str">
            <v>BARIATU</v>
          </cell>
          <cell r="G693">
            <v>7620900412</v>
          </cell>
          <cell r="K693" t="str">
            <v>BUGS047159</v>
          </cell>
        </row>
        <row r="694">
          <cell r="E694" t="str">
            <v>GROUND FLOOR,, OFFICE NO.448A, ROAD NO.4, ASHOK NAGAR
GROUND FLOOR,, OFFICE NO.448A, ROAD NO.4, ASHOK NAGAR
829118
PLOT NO:- 47P, PATRATU INDUSTRIAL AREA</v>
          </cell>
          <cell r="G694">
            <v>8102928348</v>
          </cell>
          <cell r="K694" t="str">
            <v>GOGC370754</v>
          </cell>
        </row>
        <row r="695">
          <cell r="E695" t="str">
            <v>GROUND FLOOR,, OFFICE NO.448A, ROAD NO.4, ASHOK NAGAR
GROUND FLOOR,, OFFICE NO.448A, ROAD NO.4, ASHOK NAGAR
829118
PLOT NO:- 47P, PATRATU INDUSTRIAL AREA</v>
          </cell>
          <cell r="G695">
            <v>7541959323</v>
          </cell>
          <cell r="K695" t="str">
            <v>ONIC370102</v>
          </cell>
        </row>
        <row r="696">
          <cell r="E696" t="str">
            <v>BARAUNI</v>
          </cell>
          <cell r="G696">
            <v>8228896589</v>
          </cell>
          <cell r="K696" t="str">
            <v>BWHD121813</v>
          </cell>
        </row>
        <row r="697">
          <cell r="E697" t="str">
            <v>SAPAROM, NAGRI</v>
          </cell>
          <cell r="G697">
            <v>7488690694</v>
          </cell>
          <cell r="K697" t="str">
            <v>BYAS039710</v>
          </cell>
        </row>
        <row r="698">
          <cell r="E698" t="str">
            <v>GOVINDPUR, DHANBAD</v>
          </cell>
          <cell r="G698">
            <v>7254622131</v>
          </cell>
          <cell r="K698" t="str">
            <v>BVDS039346</v>
          </cell>
        </row>
        <row r="699">
          <cell r="E699" t="str">
            <v>PATRATU</v>
          </cell>
          <cell r="G699">
            <v>9252288599</v>
          </cell>
          <cell r="K699" t="str">
            <v>BVIC378149</v>
          </cell>
        </row>
        <row r="700">
          <cell r="E700" t="str">
            <v>LODNA</v>
          </cell>
          <cell r="G700">
            <v>7644045555</v>
          </cell>
          <cell r="K700" t="str">
            <v>BVJD162972</v>
          </cell>
        </row>
        <row r="701">
          <cell r="E701" t="str">
            <v>RAMGARH
829103
NAYA MORE</v>
          </cell>
          <cell r="G701">
            <v>6201225253</v>
          </cell>
          <cell r="K701" t="str">
            <v>BRGS035169</v>
          </cell>
        </row>
        <row r="702">
          <cell r="E702" t="str">
            <v>JHUMRI TELAIYA, KODARMA
825409</v>
          </cell>
          <cell r="G702">
            <v>7753025487</v>
          </cell>
          <cell r="K702" t="str">
            <v>BSBC375530</v>
          </cell>
        </row>
        <row r="703">
          <cell r="E703" t="str">
            <v>JUMRI TELAIYA</v>
          </cell>
          <cell r="G703">
            <v>7981797616</v>
          </cell>
          <cell r="K703" t="str">
            <v>BUKC370499</v>
          </cell>
        </row>
        <row r="704">
          <cell r="E704" t="str">
            <v>TRIDENT PNEUMATICS PVT LTD   5/232,KNG PUDUR ROADSOMAYAMPALAYAM POSTCOIMBATORE IND</v>
          </cell>
          <cell r="G704">
            <v>7079053079</v>
          </cell>
          <cell r="K704" t="str">
            <v>BRCC373040</v>
          </cell>
        </row>
        <row r="705">
          <cell r="E705" t="str">
            <v>BHORA</v>
          </cell>
          <cell r="G705">
            <v>9550053031</v>
          </cell>
          <cell r="K705" t="str">
            <v>BVHD163331</v>
          </cell>
        </row>
        <row r="706">
          <cell r="E706" t="str">
            <v>DHANBAD</v>
          </cell>
          <cell r="G706">
            <v>8651033015</v>
          </cell>
          <cell r="K706" t="str">
            <v>BXKD164192</v>
          </cell>
        </row>
        <row r="707">
          <cell r="E707" t="str">
            <v>RAMGARH CANTT, RAMGARH
RAMGARH
829122
RAMGARH</v>
          </cell>
          <cell r="G707">
            <v>9905511245</v>
          </cell>
          <cell r="K707" t="str">
            <v>BNKS030423</v>
          </cell>
        </row>
        <row r="708">
          <cell r="E708" t="str">
            <v>PLOT NO. 148, TUPUDANA, INDUSTRIAL AREA, HATIA, RANCHI
834002</v>
          </cell>
          <cell r="G708">
            <v>9534249500</v>
          </cell>
          <cell r="K708" t="str">
            <v>BXKS035161</v>
          </cell>
        </row>
        <row r="709">
          <cell r="E709" t="str">
            <v>PLOT NO. 148, TUPUDANA, INDUSTRIAL AREA, HATIA, RANCHI
834002</v>
          </cell>
          <cell r="G709">
            <v>9534249500</v>
          </cell>
          <cell r="K709" t="str">
            <v>BSLS036682</v>
          </cell>
        </row>
        <row r="710">
          <cell r="E710" t="str">
            <v>JINAGORA, JHARIA</v>
          </cell>
          <cell r="G710">
            <v>7644045555</v>
          </cell>
          <cell r="K710" t="str">
            <v>BULD162559</v>
          </cell>
        </row>
        <row r="711">
          <cell r="E711" t="str">
            <v>JHARIA</v>
          </cell>
          <cell r="G711">
            <v>7644045555</v>
          </cell>
          <cell r="K711" t="str">
            <v>BXBD164358</v>
          </cell>
        </row>
        <row r="712">
          <cell r="E712" t="str">
            <v>GOVINDPUR DHANBAD</v>
          </cell>
          <cell r="G712">
            <v>9110154620</v>
          </cell>
          <cell r="K712" t="str">
            <v>BRBS041574</v>
          </cell>
        </row>
        <row r="713">
          <cell r="E713" t="str">
            <v>CHATTARPUR</v>
          </cell>
          <cell r="G713">
            <v>9939405706</v>
          </cell>
          <cell r="K713" t="str">
            <v>BSDD161708</v>
          </cell>
        </row>
        <row r="714">
          <cell r="E714" t="str">
            <v>BANDHTOLI, NAGRI</v>
          </cell>
          <cell r="G714">
            <v>6201457979</v>
          </cell>
          <cell r="K714" t="str">
            <v>BUFS046813</v>
          </cell>
        </row>
        <row r="715">
          <cell r="E715" t="str">
            <v>JINAGORA, JHARIA</v>
          </cell>
          <cell r="G715">
            <v>7644045555</v>
          </cell>
          <cell r="K715" t="str">
            <v>BXKD164206</v>
          </cell>
        </row>
        <row r="716">
          <cell r="E716" t="str">
            <v>JINAGORA, JHARIA</v>
          </cell>
          <cell r="G716">
            <v>7644045555</v>
          </cell>
          <cell r="K716" t="str">
            <v>BVJD162972</v>
          </cell>
        </row>
        <row r="717">
          <cell r="E717" t="str">
            <v>NTPC BARKAGAON</v>
          </cell>
          <cell r="G717">
            <v>7070010949</v>
          </cell>
          <cell r="K717" t="str">
            <v>BYLD201693</v>
          </cell>
        </row>
        <row r="718">
          <cell r="E718" t="str">
            <v>SIMDEGA</v>
          </cell>
          <cell r="G718">
            <v>6203122946</v>
          </cell>
          <cell r="K718" t="str">
            <v>BVDS039269</v>
          </cell>
        </row>
        <row r="719">
          <cell r="E719" t="str">
            <v>CHAS BOKARO</v>
          </cell>
          <cell r="G719">
            <v>7988915501</v>
          </cell>
          <cell r="K719" t="str">
            <v>BXFS037389</v>
          </cell>
        </row>
        <row r="720">
          <cell r="E720" t="str">
            <v>PLOT NO.-806, HARDAGKHUTI ROAD,RANCHI
KHUNTI ROAD HARDAG
835221</v>
          </cell>
          <cell r="G720">
            <v>6201750703</v>
          </cell>
          <cell r="K720" t="str">
            <v>BLGS031576</v>
          </cell>
        </row>
        <row r="721">
          <cell r="E721" t="str">
            <v>BASKATOLA</v>
          </cell>
          <cell r="G721">
            <v>8521311810</v>
          </cell>
          <cell r="K721" t="str">
            <v>BULD162577</v>
          </cell>
        </row>
        <row r="722">
          <cell r="E722" t="str">
            <v>BASKATOLA</v>
          </cell>
          <cell r="G722">
            <v>8521311810</v>
          </cell>
          <cell r="K722" t="str">
            <v>BQKD168115</v>
          </cell>
        </row>
        <row r="723">
          <cell r="E723" t="str">
            <v>BASTAKOLA, DHANBAD</v>
          </cell>
          <cell r="G723">
            <v>8521311810</v>
          </cell>
          <cell r="K723" t="str">
            <v>BQKD160099</v>
          </cell>
        </row>
        <row r="724">
          <cell r="E724" t="str">
            <v>BASTCOLA</v>
          </cell>
          <cell r="G724">
            <v>8521311810</v>
          </cell>
          <cell r="K724" t="str">
            <v>BTDD162186</v>
          </cell>
        </row>
        <row r="725">
          <cell r="E725" t="str">
            <v>MUNGMA</v>
          </cell>
          <cell r="G725">
            <v>8770159290</v>
          </cell>
          <cell r="K725" t="str">
            <v>BWEC370334</v>
          </cell>
        </row>
        <row r="726">
          <cell r="E726" t="str">
            <v>UNIT OF HERITAGE LANDMARKS AUTOWORLD PVT. LTD., NEAR KAMRE AASHRAM, P.O. KAMRE, RATU ROAD, RANCHI
835214</v>
          </cell>
          <cell r="G726">
            <v>8102800076</v>
          </cell>
          <cell r="K726" t="str">
            <v>BTJC377158</v>
          </cell>
        </row>
        <row r="727">
          <cell r="E727" t="str">
            <v>UNIT OF HERITAGE LANDMARKS AUTOWORLD PVT. LTD., NEAR KAMRE AASHRAM, P.O. KAMRE, RATU ROAD, RANCHI
835214</v>
          </cell>
          <cell r="G727">
            <v>8102800076</v>
          </cell>
          <cell r="K727" t="str">
            <v>BQFC370869</v>
          </cell>
        </row>
        <row r="728">
          <cell r="E728" t="str">
            <v>GOVINDPUR, PHUSHRO</v>
          </cell>
          <cell r="G728">
            <v>7250002096</v>
          </cell>
          <cell r="K728" t="str">
            <v>BXCD164422</v>
          </cell>
        </row>
        <row r="729">
          <cell r="E729" t="str">
            <v>BHURKUNDA</v>
          </cell>
          <cell r="G729">
            <v>7481041391</v>
          </cell>
          <cell r="K729" t="str">
            <v>BWHD164015</v>
          </cell>
        </row>
        <row r="730">
          <cell r="E730" t="str">
            <v>PIPARWAR</v>
          </cell>
          <cell r="G730">
            <v>7488660978</v>
          </cell>
          <cell r="K730" t="str">
            <v>BXJD231746</v>
          </cell>
        </row>
        <row r="731">
          <cell r="E731" t="str">
            <v>NTPC BARKAGAON</v>
          </cell>
          <cell r="G731">
            <v>7070010949</v>
          </cell>
          <cell r="K731" t="str">
            <v>BYLD201693</v>
          </cell>
        </row>
        <row r="732">
          <cell r="E732" t="str">
            <v>BALIDIH INDUSTRIAL AREA
827014</v>
          </cell>
          <cell r="G732">
            <v>7004333419</v>
          </cell>
          <cell r="K732" t="str">
            <v>BYJS038729</v>
          </cell>
        </row>
        <row r="733">
          <cell r="E733" t="str">
            <v>BARIATU,RANCHI
834009
BARIATU</v>
          </cell>
          <cell r="G733">
            <v>9504901125</v>
          </cell>
          <cell r="K733" t="str">
            <v>BQLC370193</v>
          </cell>
        </row>
        <row r="734">
          <cell r="E734" t="str">
            <v>KOKAR INDUSTRIAL AREA,,RANCHI
834002
KOKAR INDUSTRIAL AREA RANCHI</v>
          </cell>
          <cell r="G734">
            <v>9431101890</v>
          </cell>
          <cell r="K734" t="str">
            <v>GNDC370057</v>
          </cell>
        </row>
        <row r="735">
          <cell r="E735" t="str">
            <v>NAGRI,RANCHI
835202
RANCHI</v>
          </cell>
          <cell r="G735">
            <v>8877024924</v>
          </cell>
          <cell r="K735" t="str">
            <v>BMJS040004</v>
          </cell>
        </row>
        <row r="736">
          <cell r="E736" t="str">
            <v>RANCHI
834002</v>
          </cell>
          <cell r="G736">
            <v>9540167108</v>
          </cell>
          <cell r="K736" t="str">
            <v>BXBS036173</v>
          </cell>
        </row>
        <row r="737">
          <cell r="E737" t="str">
            <v>RANCHI
834002</v>
          </cell>
          <cell r="G737">
            <v>9540167108</v>
          </cell>
          <cell r="K737" t="str">
            <v>BULS033141</v>
          </cell>
        </row>
        <row r="738">
          <cell r="E738" t="str">
            <v>RANCHI
834002</v>
          </cell>
          <cell r="G738">
            <v>9540167108</v>
          </cell>
          <cell r="K738" t="str">
            <v>BTIS032020</v>
          </cell>
        </row>
        <row r="739">
          <cell r="E739" t="str">
            <v>GROUND FLOOR, 8H AND 81, NATION PRINTERS, NAMKUM INDUSTRIAL AREA,, LOWADIH, RANCHI
GROUND FLOOR, 8H AND 81, NATION PRINTERS, NAMKUM INDUSTRIAL AREA,, LOWADIH, RANCHI
834010</v>
          </cell>
          <cell r="G739">
            <v>9386895542</v>
          </cell>
          <cell r="K739" t="str">
            <v>BRCC372871</v>
          </cell>
        </row>
        <row r="740">
          <cell r="E740" t="str">
            <v>PHULWAR TAND</v>
          </cell>
          <cell r="G740">
            <v>7004387228</v>
          </cell>
          <cell r="K740" t="str">
            <v>BQID160467</v>
          </cell>
        </row>
        <row r="741">
          <cell r="E741" t="str">
            <v>RANCHI
834002</v>
          </cell>
          <cell r="G741">
            <v>9540167108</v>
          </cell>
          <cell r="K741" t="str">
            <v>BTIS032025</v>
          </cell>
        </row>
        <row r="742">
          <cell r="E742" t="str">
            <v>SAHEBGANJ</v>
          </cell>
          <cell r="G742">
            <v>8059000900</v>
          </cell>
          <cell r="K742" t="str">
            <v>BYKD164879</v>
          </cell>
        </row>
        <row r="743">
          <cell r="E743" t="str">
            <v>SAHEBGANJ</v>
          </cell>
          <cell r="G743">
            <v>8059000900</v>
          </cell>
          <cell r="K743" t="str">
            <v>BYKD164879</v>
          </cell>
        </row>
        <row r="744">
          <cell r="E744" t="str">
            <v>REHLA,GARWA,JHARKHAND
822124
RANCHI</v>
          </cell>
          <cell r="G744">
            <v>7004623399</v>
          </cell>
          <cell r="K744" t="str">
            <v>GOIS031795</v>
          </cell>
        </row>
        <row r="745">
          <cell r="E745" t="str">
            <v>ANGADA</v>
          </cell>
          <cell r="G745">
            <v>9110012919</v>
          </cell>
          <cell r="K745" t="str">
            <v>BYAS044711</v>
          </cell>
        </row>
        <row r="746">
          <cell r="E746" t="str">
            <v>DHANBAD</v>
          </cell>
          <cell r="G746">
            <v>9348067513</v>
          </cell>
          <cell r="K746" t="str">
            <v>BXFD164587</v>
          </cell>
        </row>
        <row r="747">
          <cell r="E747" t="str">
            <v>RANCHI,JHARKHAND
834001
RANCHI</v>
          </cell>
          <cell r="G747">
            <v>9559820432</v>
          </cell>
          <cell r="K747" t="str">
            <v>BJHS031586</v>
          </cell>
        </row>
        <row r="748">
          <cell r="E748" t="str">
            <v>BHOWRA</v>
          </cell>
          <cell r="G748">
            <v>6207821701</v>
          </cell>
          <cell r="K748" t="str">
            <v>BXCD164396</v>
          </cell>
        </row>
        <row r="749">
          <cell r="E749" t="str">
            <v>NIRSA</v>
          </cell>
          <cell r="G749">
            <v>7873039065</v>
          </cell>
          <cell r="K749" t="str">
            <v>BSDD161729</v>
          </cell>
        </row>
        <row r="750">
          <cell r="E750" t="str">
            <v>C/O - PREM PRAKASH AGARWAL, OPP - HILLVIEW FUEL STATION, GODHUR, P.O - KUSUNDA, DHANBAD</v>
          </cell>
          <cell r="G750">
            <v>7903412157</v>
          </cell>
          <cell r="K750" t="str">
            <v>BTED162217</v>
          </cell>
        </row>
        <row r="751">
          <cell r="E751" t="str">
            <v>NAGRI,RANCHI
835202
RANCHI</v>
          </cell>
          <cell r="G751">
            <v>7004248429</v>
          </cell>
          <cell r="K751" t="str">
            <v>BRIS035698</v>
          </cell>
        </row>
        <row r="752">
          <cell r="E752" t="str">
            <v>ANGARPATHRA</v>
          </cell>
          <cell r="G752">
            <v>6202702892</v>
          </cell>
          <cell r="K752" t="str">
            <v>BXLD164919</v>
          </cell>
        </row>
        <row r="753">
          <cell r="E753" t="str">
            <v>CHUTIA, RANCHI</v>
          </cell>
          <cell r="G753">
            <v>9793976818</v>
          </cell>
          <cell r="K753" t="str">
            <v>BVKC374485</v>
          </cell>
        </row>
        <row r="754">
          <cell r="E754" t="str">
            <v>PHUSHRO</v>
          </cell>
          <cell r="G754">
            <v>7979946647</v>
          </cell>
          <cell r="K754" t="str">
            <v>BVED163240</v>
          </cell>
        </row>
        <row r="755">
          <cell r="E755" t="str">
            <v>PHUSHRO</v>
          </cell>
          <cell r="G755">
            <v>7979946647</v>
          </cell>
          <cell r="K755" t="str">
            <v>BWAD163687</v>
          </cell>
        </row>
        <row r="756">
          <cell r="E756" t="str">
            <v>BALIDIH, BOKARO</v>
          </cell>
          <cell r="G756">
            <v>9119693082</v>
          </cell>
          <cell r="K756" t="str">
            <v>BVES039711</v>
          </cell>
        </row>
        <row r="757">
          <cell r="E757" t="str">
            <v>UPPER BAZAR, RANCHI</v>
          </cell>
          <cell r="G757">
            <v>7292931639</v>
          </cell>
          <cell r="K757" t="str">
            <v>BVKC375893</v>
          </cell>
        </row>
        <row r="758">
          <cell r="E758" t="str">
            <v>BHOWRA</v>
          </cell>
          <cell r="G758">
            <v>7488119074</v>
          </cell>
          <cell r="K758" t="str">
            <v>BULD162568</v>
          </cell>
        </row>
        <row r="759">
          <cell r="E759" t="str">
            <v>SUNDI, RAMGARH</v>
          </cell>
          <cell r="G759">
            <v>9431395073</v>
          </cell>
          <cell r="K759">
            <v>123054</v>
          </cell>
        </row>
        <row r="760">
          <cell r="E760" t="str">
            <v>JINAGORA, JHARIA</v>
          </cell>
          <cell r="G760">
            <v>9625257399</v>
          </cell>
          <cell r="K760" t="str">
            <v>BVJD162072</v>
          </cell>
        </row>
        <row r="761">
          <cell r="E761" t="str">
            <v>KASUNDA</v>
          </cell>
          <cell r="G761">
            <v>9101968918</v>
          </cell>
          <cell r="K761" t="str">
            <v>BTCD162162</v>
          </cell>
        </row>
        <row r="762">
          <cell r="E762" t="str">
            <v>501, H.NO.3-4-136/B., ROYAL ASHOK, RESIDENCY , BARKATPURA, HYDERABAD, TELANGANA - 500027</v>
          </cell>
          <cell r="G762">
            <v>9692791885</v>
          </cell>
          <cell r="K762" t="str">
            <v>BTJD162045</v>
          </cell>
        </row>
        <row r="763">
          <cell r="E763" t="str">
            <v>PHUSHRO</v>
          </cell>
          <cell r="G763">
            <v>9101868418</v>
          </cell>
          <cell r="K763" t="str">
            <v>BRFD161164</v>
          </cell>
        </row>
        <row r="764">
          <cell r="E764" t="str">
            <v>BANK MOTE, GOMIA</v>
          </cell>
          <cell r="G764">
            <v>9431128648</v>
          </cell>
          <cell r="K764" t="str">
            <v>BYCL376417</v>
          </cell>
        </row>
        <row r="765">
          <cell r="E765" t="str">
            <v>RAMGARH</v>
          </cell>
          <cell r="G765">
            <v>6201883447</v>
          </cell>
          <cell r="K765" t="str">
            <v>BXCD373793</v>
          </cell>
        </row>
        <row r="766">
          <cell r="E766" t="str">
            <v>RAMGARH</v>
          </cell>
          <cell r="G766">
            <v>6201883447</v>
          </cell>
          <cell r="K766" t="str">
            <v>BXCD373793</v>
          </cell>
        </row>
        <row r="767">
          <cell r="E767" t="str">
            <v>HAZARIBAGH</v>
          </cell>
          <cell r="G767">
            <v>9905784279</v>
          </cell>
          <cell r="K767" t="str">
            <v>BVJC375621</v>
          </cell>
        </row>
        <row r="768">
          <cell r="E768" t="str">
            <v>RAMGRAH</v>
          </cell>
          <cell r="G768">
            <v>6201883447</v>
          </cell>
          <cell r="K768" t="str">
            <v>BWBC379643</v>
          </cell>
        </row>
        <row r="769">
          <cell r="E769" t="str">
            <v>MAHUDA MORE</v>
          </cell>
          <cell r="G769">
            <v>6204702963</v>
          </cell>
          <cell r="K769" t="str">
            <v>BXGD164662</v>
          </cell>
        </row>
        <row r="770">
          <cell r="E770" t="str">
            <v>BASTAWLA DHANBAD</v>
          </cell>
          <cell r="G770">
            <v>9693269669</v>
          </cell>
          <cell r="K770" t="str">
            <v>BTJD162046</v>
          </cell>
        </row>
        <row r="771">
          <cell r="E771" t="str">
            <v>BANK MOTE, GOMIA</v>
          </cell>
          <cell r="G771">
            <v>9006785151</v>
          </cell>
          <cell r="K771" t="str">
            <v>BWJC378352</v>
          </cell>
        </row>
        <row r="772">
          <cell r="E772" t="str">
            <v>RANCHI</v>
          </cell>
          <cell r="G772">
            <v>9973686006</v>
          </cell>
          <cell r="K772" t="str">
            <v>BLIS031950</v>
          </cell>
        </row>
        <row r="773">
          <cell r="E773" t="str">
            <v>RAMGRAH</v>
          </cell>
          <cell r="G773">
            <v>9155729786</v>
          </cell>
          <cell r="K773" t="str">
            <v>BVAS038005</v>
          </cell>
        </row>
        <row r="774">
          <cell r="E774" t="str">
            <v>RANCHI</v>
          </cell>
          <cell r="G774">
            <v>9973686006</v>
          </cell>
          <cell r="K774" t="str">
            <v>BLIS031950</v>
          </cell>
        </row>
        <row r="775">
          <cell r="E775" t="str">
            <v>NTA LODNA, DHANBAD</v>
          </cell>
          <cell r="G775">
            <v>7644045555</v>
          </cell>
          <cell r="K775" t="str">
            <v>BULD162559</v>
          </cell>
        </row>
        <row r="776">
          <cell r="E776" t="str">
            <v>JINAGORA, JHARIA</v>
          </cell>
          <cell r="G776">
            <v>9625257399</v>
          </cell>
          <cell r="K776" t="str">
            <v>BVJD162072</v>
          </cell>
        </row>
        <row r="777">
          <cell r="E777" t="str">
            <v>JHALDA</v>
          </cell>
          <cell r="G777">
            <v>9331665000</v>
          </cell>
          <cell r="K777" t="str">
            <v>BUGS047120</v>
          </cell>
        </row>
        <row r="778">
          <cell r="E778" t="str">
            <v>JHALDA</v>
          </cell>
          <cell r="G778">
            <v>9331665000</v>
          </cell>
          <cell r="K778" t="str">
            <v>BTIS045073</v>
          </cell>
        </row>
        <row r="779">
          <cell r="E779" t="str">
            <v>ITBP CAMP, SUKURHUTTU</v>
          </cell>
          <cell r="G779">
            <v>7488762314</v>
          </cell>
          <cell r="K779" t="str">
            <v>BRGC373918</v>
          </cell>
        </row>
        <row r="780">
          <cell r="E780" t="str">
            <v>AMLO PHUSHRO</v>
          </cell>
          <cell r="G780">
            <v>8757131605</v>
          </cell>
          <cell r="K780" t="str">
            <v>BXKD164191</v>
          </cell>
        </row>
        <row r="781">
          <cell r="E781" t="str">
            <v>PALAMU,JHARKHAND
822126
PALAMU</v>
          </cell>
          <cell r="G781">
            <v>8809099354</v>
          </cell>
          <cell r="K781" t="str">
            <v>GPGC370758</v>
          </cell>
        </row>
        <row r="782">
          <cell r="E782" t="str">
            <v>DUMRI, DHANBAD</v>
          </cell>
          <cell r="G782">
            <v>7654254469</v>
          </cell>
          <cell r="K782" t="str">
            <v>BVHD163374</v>
          </cell>
        </row>
        <row r="783">
          <cell r="E783" t="str">
            <v>RANIGANJ, WB</v>
          </cell>
          <cell r="G783">
            <v>7654254469</v>
          </cell>
          <cell r="K783" t="str">
            <v>BWED163890</v>
          </cell>
        </row>
        <row r="784">
          <cell r="E784" t="str">
            <v>TUPUDANA INDUSTRIAL AREA, RANCHI
PLOT NO. - 45 &amp; 46, TUPUDAN AINDUSTRIAL AREA, TUPUDANA, HATIA, RANCHI
834003
TIPUDANA INDUSTRIAL AREA</v>
          </cell>
          <cell r="G784">
            <v>8003055884</v>
          </cell>
          <cell r="K784" t="str">
            <v>BVDS039458</v>
          </cell>
        </row>
        <row r="785">
          <cell r="E785" t="str">
            <v>TUPUDANA INDUSTRIAL AREA, RANCHI
PLOT NO. - 45 &amp; 46, TUPUDAN AINDUSTRIAL AREA, TUPUDANA, HATIA, RANCHI
834003
TIPUDANA INDUSTRIAL AREA</v>
          </cell>
          <cell r="G785">
            <v>8003055884</v>
          </cell>
          <cell r="K785" t="str">
            <v>BQBS033819</v>
          </cell>
        </row>
        <row r="786">
          <cell r="E786" t="str">
            <v>ANGARA, TATISILWAI</v>
          </cell>
          <cell r="G786">
            <v>9162768423</v>
          </cell>
          <cell r="K786" t="str">
            <v>BVGF111615</v>
          </cell>
        </row>
        <row r="787">
          <cell r="E787" t="str">
            <v>ANGARA, TATISILWAI</v>
          </cell>
          <cell r="G787">
            <v>9110012919</v>
          </cell>
          <cell r="K787" t="str">
            <v>BVGF111611</v>
          </cell>
        </row>
        <row r="788">
          <cell r="E788" t="str">
            <v>KATRAS, DHANBAD</v>
          </cell>
          <cell r="G788">
            <v>7004088335</v>
          </cell>
          <cell r="K788" t="str">
            <v>BWAD163674</v>
          </cell>
        </row>
        <row r="789">
          <cell r="E789" t="str">
            <v>CHUTIA, RANCHI</v>
          </cell>
          <cell r="G789">
            <v>9060975013</v>
          </cell>
          <cell r="K789" t="str">
            <v>BUFD162814</v>
          </cell>
        </row>
        <row r="790">
          <cell r="E790" t="str">
            <v>RANCHI</v>
          </cell>
          <cell r="G790">
            <v>9973686006</v>
          </cell>
          <cell r="K790" t="str">
            <v>BLIS031950</v>
          </cell>
        </row>
        <row r="791">
          <cell r="E791" t="str">
            <v>ANGAR PATRA,DHANBAD</v>
          </cell>
          <cell r="G791">
            <v>7004686028</v>
          </cell>
          <cell r="K791" t="str">
            <v>BSGD161898</v>
          </cell>
        </row>
        <row r="792">
          <cell r="E792" t="str">
            <v>KATRAS, DHANBAD</v>
          </cell>
          <cell r="G792">
            <v>6299066158</v>
          </cell>
          <cell r="K792" t="str">
            <v>BSKD161477</v>
          </cell>
        </row>
        <row r="793">
          <cell r="E793" t="str">
            <v>PAKUR</v>
          </cell>
          <cell r="G793">
            <v>9133666330</v>
          </cell>
          <cell r="K793" t="str">
            <v>BUKD162491</v>
          </cell>
        </row>
        <row r="794">
          <cell r="E794" t="str">
            <v>SINDRI,DHANBAD
828122</v>
          </cell>
          <cell r="G794">
            <v>7004661850</v>
          </cell>
          <cell r="K794" t="str">
            <v>GOEC370640</v>
          </cell>
        </row>
        <row r="795">
          <cell r="E795" t="str">
            <v>DUMKA</v>
          </cell>
          <cell r="G795">
            <v>8920483522</v>
          </cell>
          <cell r="K795" t="str">
            <v>BXCL153907</v>
          </cell>
        </row>
        <row r="796">
          <cell r="E796" t="str">
            <v>BEGUSARAI, BIHAR</v>
          </cell>
          <cell r="G796">
            <v>9973237962</v>
          </cell>
          <cell r="K796" t="str">
            <v>BVGD121497</v>
          </cell>
        </row>
        <row r="797">
          <cell r="E797" t="str">
            <v>MALDA</v>
          </cell>
          <cell r="G797">
            <v>6204058763</v>
          </cell>
          <cell r="K797" t="str">
            <v>BXED122035</v>
          </cell>
        </row>
        <row r="798">
          <cell r="E798" t="str">
            <v>NAGRI,RANCHI
835303</v>
          </cell>
          <cell r="G798">
            <v>9771432711</v>
          </cell>
          <cell r="K798" t="str">
            <v>BJDET70060</v>
          </cell>
        </row>
        <row r="799">
          <cell r="E799" t="str">
            <v>RAMGARH</v>
          </cell>
          <cell r="G799">
            <v>9523364242</v>
          </cell>
          <cell r="K799" t="str">
            <v>BXHS037937</v>
          </cell>
        </row>
        <row r="800">
          <cell r="E800" t="str">
            <v>TIPUDANA, RANCHI</v>
          </cell>
          <cell r="G800">
            <v>9431708248</v>
          </cell>
          <cell r="K800" t="str">
            <v>BUGC373215</v>
          </cell>
        </row>
        <row r="801">
          <cell r="E801" t="str">
            <v>GOPALI CHOWK, DHANBAD</v>
          </cell>
          <cell r="G801">
            <v>7004686026</v>
          </cell>
          <cell r="K801" t="str">
            <v>BWLD163586</v>
          </cell>
        </row>
        <row r="802">
          <cell r="E802" t="str">
            <v>BAGSUMA,GOVINDPUR, DHANBAD
GT ROAD, BAGSUMA
828109</v>
          </cell>
          <cell r="G802">
            <v>9835999999</v>
          </cell>
          <cell r="K802" t="str">
            <v>BTJC377259</v>
          </cell>
        </row>
        <row r="803">
          <cell r="E803" t="str">
            <v>MARRAR, RAMGRAH</v>
          </cell>
          <cell r="G803">
            <v>7654107064</v>
          </cell>
          <cell r="K803" t="str">
            <v>BXJS035074</v>
          </cell>
        </row>
        <row r="804">
          <cell r="E804" t="str">
            <v>RANCHI</v>
          </cell>
          <cell r="G804">
            <v>9279230981</v>
          </cell>
          <cell r="K804" t="str">
            <v>GORF110094</v>
          </cell>
        </row>
        <row r="805">
          <cell r="E805" t="str">
            <v>NAWAPAHAR, JAMSHEDPUR</v>
          </cell>
          <cell r="G805">
            <v>7718987183</v>
          </cell>
          <cell r="K805" t="str">
            <v>BYCL161693</v>
          </cell>
        </row>
        <row r="806">
          <cell r="E806" t="str">
            <v>SAHIBGANJ</v>
          </cell>
          <cell r="G806">
            <v>9333505126</v>
          </cell>
          <cell r="K806" t="str">
            <v>BXBD164388</v>
          </cell>
        </row>
        <row r="807">
          <cell r="E807" t="str">
            <v>DIBDIH, RANCHI
834002</v>
          </cell>
          <cell r="G807">
            <v>8102715589</v>
          </cell>
          <cell r="K807" t="str">
            <v>BTEC378588</v>
          </cell>
        </row>
        <row r="808">
          <cell r="E808" t="str">
            <v>HORHAP ROAD, MAHILONG, RANCHI
835103</v>
          </cell>
          <cell r="G808">
            <v>9708039203</v>
          </cell>
          <cell r="K808" t="str">
            <v>BRIC374329</v>
          </cell>
        </row>
        <row r="809">
          <cell r="E809" t="str">
            <v>DALTAINGANJ</v>
          </cell>
          <cell r="G809">
            <v>9431138290</v>
          </cell>
          <cell r="K809" t="str">
            <v>BWHS034307</v>
          </cell>
        </row>
        <row r="810">
          <cell r="E810" t="str">
            <v>GOVINDPUR DHANBAD</v>
          </cell>
          <cell r="G810">
            <v>9110154620</v>
          </cell>
          <cell r="K810" t="str">
            <v>BRFS034901</v>
          </cell>
        </row>
        <row r="811">
          <cell r="E811" t="str">
            <v>BHULI, DHANBAD</v>
          </cell>
          <cell r="G811">
            <v>7541046561</v>
          </cell>
          <cell r="K811" t="str">
            <v>BVFS039912</v>
          </cell>
        </row>
        <row r="812">
          <cell r="E812" t="str">
            <v>BHULI, DHANBAD</v>
          </cell>
          <cell r="G812">
            <v>7541046561</v>
          </cell>
          <cell r="K812" t="str">
            <v>BWEC370394</v>
          </cell>
        </row>
        <row r="813">
          <cell r="E813" t="str">
            <v>BHULI, DHANBAD</v>
          </cell>
          <cell r="G813">
            <v>7541046561</v>
          </cell>
          <cell r="K813" t="str">
            <v>BVFS039912</v>
          </cell>
        </row>
        <row r="814">
          <cell r="E814" t="str">
            <v>BARHI INDUSTRIAL ARE BARHI</v>
          </cell>
          <cell r="G814">
            <v>8795889641</v>
          </cell>
          <cell r="K814" t="str">
            <v>BUBF111245</v>
          </cell>
        </row>
        <row r="815">
          <cell r="E815" t="str">
            <v>BARHI INDUSTRIAL ARE BARHI</v>
          </cell>
          <cell r="G815">
            <v>8795889641</v>
          </cell>
          <cell r="K815" t="str">
            <v>BUAF111226</v>
          </cell>
        </row>
        <row r="816">
          <cell r="E816" t="str">
            <v>HORHAP ROAD, MAHILONG, RANCHI
835103</v>
          </cell>
          <cell r="G816">
            <v>9708039203</v>
          </cell>
          <cell r="K816" t="str">
            <v>BYBS030225</v>
          </cell>
        </row>
        <row r="817">
          <cell r="E817" t="str">
            <v>SUNRISE COMPLEX, KATRAS ROAD,, MATKURIA, DHANBAD, JHARKHAND-826001, WORKS: BHELATAND, GOVINDPUR,, DHANBAD, JHARKHAND - 828109.
828109</v>
          </cell>
          <cell r="G817">
            <v>7004746001</v>
          </cell>
          <cell r="K817" t="str">
            <v>BTLS044130</v>
          </cell>
        </row>
        <row r="818">
          <cell r="E818" t="str">
            <v>GOVINDPUR</v>
          </cell>
          <cell r="G818">
            <v>7979098975</v>
          </cell>
          <cell r="K818" t="str">
            <v>BWCC379823</v>
          </cell>
        </row>
        <row r="819">
          <cell r="E819" t="str">
            <v>GOVINDPUR, DHANBAD</v>
          </cell>
          <cell r="G819">
            <v>7254622131</v>
          </cell>
          <cell r="K819" t="str">
            <v>BVDS039346</v>
          </cell>
        </row>
        <row r="820">
          <cell r="E820" t="str">
            <v>ITKI MORE, RANCHI</v>
          </cell>
          <cell r="G820">
            <v>6200327294</v>
          </cell>
          <cell r="K820" t="str">
            <v>BWFC370723</v>
          </cell>
        </row>
        <row r="821">
          <cell r="E821" t="str">
            <v>NAGRI,RANCHI
835202
RANCHI</v>
          </cell>
          <cell r="G821">
            <v>6200327294</v>
          </cell>
          <cell r="K821" t="str">
            <v>BMJS040004</v>
          </cell>
        </row>
        <row r="822">
          <cell r="E822" t="str">
            <v>LODNA NTS</v>
          </cell>
          <cell r="G822">
            <v>7644045555</v>
          </cell>
          <cell r="K822" t="str">
            <v>BXKD164206</v>
          </cell>
        </row>
        <row r="823">
          <cell r="E823" t="str">
            <v>SAHEBGANJ</v>
          </cell>
          <cell r="G823">
            <v>9813666674</v>
          </cell>
          <cell r="K823" t="str">
            <v>BXCD164399</v>
          </cell>
        </row>
        <row r="824">
          <cell r="E824" t="str">
            <v>JHARIA</v>
          </cell>
          <cell r="G824">
            <v>7644045555</v>
          </cell>
          <cell r="K824" t="str">
            <v>BXBD164358</v>
          </cell>
        </row>
        <row r="825">
          <cell r="E825" t="str">
            <v>DHANBAD</v>
          </cell>
          <cell r="G825">
            <v>7977960515</v>
          </cell>
          <cell r="K825" t="str">
            <v>BXKD164192</v>
          </cell>
        </row>
        <row r="826">
          <cell r="E826" t="str">
            <v>HESLA, RAMGARH</v>
          </cell>
          <cell r="G826">
            <v>7562823341</v>
          </cell>
          <cell r="K826" t="str">
            <v>BYBS030095</v>
          </cell>
        </row>
        <row r="827">
          <cell r="E827" t="str">
            <v>KWJAMA COLLIERY, DHANBAD</v>
          </cell>
          <cell r="G827">
            <v>7644045555</v>
          </cell>
          <cell r="K827" t="str">
            <v>BVCD163165</v>
          </cell>
        </row>
        <row r="828">
          <cell r="E828" t="str">
            <v>CHATRA</v>
          </cell>
          <cell r="G828">
            <v>8946096277</v>
          </cell>
          <cell r="K828" t="str">
            <v>BXHD164673</v>
          </cell>
        </row>
        <row r="829">
          <cell r="E829" t="str">
            <v>JARANDIH</v>
          </cell>
          <cell r="G829">
            <v>8946096277</v>
          </cell>
          <cell r="K829" t="str">
            <v>BYLD164891</v>
          </cell>
        </row>
        <row r="830">
          <cell r="E830" t="str">
            <v>PHUSHRO</v>
          </cell>
          <cell r="G830">
            <v>9101868418</v>
          </cell>
          <cell r="K830" t="str">
            <v>BRFD161164</v>
          </cell>
        </row>
        <row r="831">
          <cell r="E831" t="str">
            <v>JAI RAMPUR</v>
          </cell>
          <cell r="G831">
            <v>7623886938</v>
          </cell>
          <cell r="K831" t="str">
            <v>BUAD162634</v>
          </cell>
        </row>
        <row r="832">
          <cell r="E832" t="str">
            <v>LODNA MORE</v>
          </cell>
          <cell r="G832">
            <v>6206007342</v>
          </cell>
          <cell r="K832" t="str">
            <v>BWKD163512</v>
          </cell>
        </row>
        <row r="833">
          <cell r="E833" t="str">
            <v>BASTAWLA DHANBAD</v>
          </cell>
          <cell r="G833">
            <v>7623886938</v>
          </cell>
          <cell r="K833" t="str">
            <v>BTJD162046</v>
          </cell>
        </row>
        <row r="834">
          <cell r="E834" t="str">
            <v>KASUNDA</v>
          </cell>
          <cell r="G834">
            <v>9101968918</v>
          </cell>
          <cell r="K834" t="str">
            <v>BTCD162162</v>
          </cell>
        </row>
        <row r="835">
          <cell r="E835" t="str">
            <v>GOVINDPUR, DHANBAD</v>
          </cell>
          <cell r="G835">
            <v>9110154620</v>
          </cell>
          <cell r="K835" t="str">
            <v>BXHS038093</v>
          </cell>
        </row>
        <row r="836">
          <cell r="E836" t="str">
            <v>KRISHNA NAGAR, BOOTY MORE, RANCHI</v>
          </cell>
          <cell r="G836">
            <v>8910434312</v>
          </cell>
          <cell r="K836" t="str">
            <v>BUES034926</v>
          </cell>
        </row>
        <row r="837">
          <cell r="E837" t="str">
            <v>SIMALIYA</v>
          </cell>
          <cell r="G837">
            <v>9334948596</v>
          </cell>
          <cell r="K837" t="str">
            <v>BWFC370687</v>
          </cell>
        </row>
        <row r="838">
          <cell r="E838" t="str">
            <v>RAMGARH</v>
          </cell>
          <cell r="G838">
            <v>7979930284</v>
          </cell>
          <cell r="K838" t="str">
            <v>BYAS039931</v>
          </cell>
        </row>
        <row r="839">
          <cell r="E839" t="str">
            <v>DALADALI, RANCHI</v>
          </cell>
          <cell r="G839">
            <v>8051191796</v>
          </cell>
          <cell r="K839" t="str">
            <v>BWED163889</v>
          </cell>
        </row>
        <row r="840">
          <cell r="E840" t="str">
            <v>JHUMRI TELAIYA, KODARMA
825409</v>
          </cell>
          <cell r="G840">
            <v>9955928845</v>
          </cell>
          <cell r="K840" t="str">
            <v>BSBC375530</v>
          </cell>
        </row>
        <row r="841">
          <cell r="E841" t="str">
            <v>BALIDIH INDUSTRIAL AREA, BOKARO
BYE PASS ROAD, CHAS, BOKARO, JHARKHAND.
827014</v>
          </cell>
          <cell r="G841">
            <v>9153885504</v>
          </cell>
          <cell r="K841" t="str">
            <v>BRCC373034</v>
          </cell>
        </row>
        <row r="842">
          <cell r="E842" t="str">
            <v>PETRWAR, BAHADURPUR</v>
          </cell>
          <cell r="G842">
            <v>7004263425</v>
          </cell>
          <cell r="K842" t="str">
            <v>BUYCS030413</v>
          </cell>
        </row>
        <row r="843">
          <cell r="E843" t="str">
            <v>BHORA</v>
          </cell>
          <cell r="G843">
            <v>8658854483</v>
          </cell>
          <cell r="K843" t="str">
            <v>BVHD163331</v>
          </cell>
        </row>
        <row r="844">
          <cell r="E844" t="str">
            <v>LODNA MORE</v>
          </cell>
          <cell r="G844">
            <v>8658834483</v>
          </cell>
          <cell r="K844" t="str">
            <v>BWKD163543</v>
          </cell>
        </row>
        <row r="845">
          <cell r="E845" t="str">
            <v>SONPUR BAZARI</v>
          </cell>
          <cell r="G845">
            <v>7977960515</v>
          </cell>
          <cell r="K845" t="str">
            <v>BXKD164192</v>
          </cell>
        </row>
        <row r="846">
          <cell r="E846" t="str">
            <v>NAGARI,</v>
          </cell>
          <cell r="G846">
            <v>8864003869</v>
          </cell>
          <cell r="K846" t="str">
            <v>BLGS040582</v>
          </cell>
        </row>
        <row r="847">
          <cell r="E847" t="str">
            <v>NAGRI,RANCHI
835202
RANCHI</v>
          </cell>
          <cell r="G847">
            <v>7004248429</v>
          </cell>
          <cell r="K847" t="str">
            <v>BRIS035698</v>
          </cell>
        </row>
        <row r="848">
          <cell r="E848" t="str">
            <v>NTPC BARKAGAON</v>
          </cell>
          <cell r="G848">
            <v>7070010949</v>
          </cell>
          <cell r="K848" t="str">
            <v>BYLD201693</v>
          </cell>
        </row>
        <row r="849">
          <cell r="E849" t="str">
            <v>SUNDI, RAMGARH</v>
          </cell>
          <cell r="G849">
            <v>8294028310</v>
          </cell>
          <cell r="K849">
            <v>123054</v>
          </cell>
        </row>
        <row r="850">
          <cell r="E850" t="str">
            <v>BASKATOLA</v>
          </cell>
          <cell r="G850">
            <v>8521311810</v>
          </cell>
          <cell r="K850" t="str">
            <v>BULD162577</v>
          </cell>
        </row>
        <row r="851">
          <cell r="E851" t="str">
            <v>DHANBAD JHARKHAND</v>
          </cell>
          <cell r="G851">
            <v>8521311810</v>
          </cell>
          <cell r="K851" t="str">
            <v>BQKD160115</v>
          </cell>
        </row>
        <row r="852">
          <cell r="E852" t="str">
            <v>BALIDIH</v>
          </cell>
          <cell r="G852">
            <v>7978131496</v>
          </cell>
          <cell r="K852" t="str">
            <v>BULS045646</v>
          </cell>
        </row>
        <row r="853">
          <cell r="E853" t="str">
            <v>BIHAR</v>
          </cell>
          <cell r="G853">
            <v>9334110701</v>
          </cell>
          <cell r="K853" t="str">
            <v>BWGC370765</v>
          </cell>
        </row>
        <row r="854">
          <cell r="E854" t="str">
            <v>SIMDEGA</v>
          </cell>
          <cell r="G854">
            <v>7488007843</v>
          </cell>
          <cell r="K854" t="str">
            <v>BVDS039269</v>
          </cell>
        </row>
        <row r="855">
          <cell r="E855" t="str">
            <v>RANCHI</v>
          </cell>
          <cell r="G855"/>
          <cell r="K855" t="str">
            <v>GORF110094</v>
          </cell>
        </row>
        <row r="856">
          <cell r="E856" t="str">
            <v>RANCHI PATNA ROAD
DEMOTAND
825301
HAZARIBAGH</v>
          </cell>
          <cell r="G856">
            <v>6203465926</v>
          </cell>
          <cell r="K856" t="str">
            <v>BIFS040367</v>
          </cell>
        </row>
        <row r="857">
          <cell r="E857" t="str">
            <v>RANCHI PATNA ROAD
DEMOTAND
825301
HAZARIBAGH</v>
          </cell>
          <cell r="G857">
            <v>6203465926</v>
          </cell>
          <cell r="K857" t="str">
            <v>BSCS037531</v>
          </cell>
        </row>
        <row r="858">
          <cell r="E858" t="str">
            <v>RAMGARH,JHARKHAND
825101
RAMGARH</v>
          </cell>
          <cell r="G858">
            <v>8306336548</v>
          </cell>
          <cell r="K858" t="str">
            <v>BSGC376585</v>
          </cell>
        </row>
        <row r="859">
          <cell r="E859" t="str">
            <v>SIMDEGA</v>
          </cell>
          <cell r="G859">
            <v>7488007843</v>
          </cell>
          <cell r="K859" t="str">
            <v>BVDS039269</v>
          </cell>
        </row>
        <row r="860">
          <cell r="E860" t="str">
            <v>AMLO PHUSHRO</v>
          </cell>
          <cell r="G860">
            <v>8757131605</v>
          </cell>
          <cell r="K860" t="str">
            <v>BXKD164191</v>
          </cell>
        </row>
        <row r="861">
          <cell r="E861" t="str">
            <v>AMLO, PHUSHRO</v>
          </cell>
          <cell r="G861">
            <v>9006617909</v>
          </cell>
          <cell r="K861" t="str">
            <v>BTGD162296</v>
          </cell>
        </row>
        <row r="862">
          <cell r="E862" t="str">
            <v>VINAIKA’S COMPLEX RANCHI TATA ROAD, R.S. PLOT NO.:-615,VILLAGE-PANCHA,THANA-BUNDU RANCHI, JHARKHAND.
834002</v>
          </cell>
          <cell r="G862">
            <v>9818905980</v>
          </cell>
          <cell r="K862" t="str">
            <v>BXCS042723</v>
          </cell>
        </row>
        <row r="863">
          <cell r="E863" t="str">
            <v>DALADALI, RANCHI</v>
          </cell>
          <cell r="G863">
            <v>8002261962</v>
          </cell>
          <cell r="K863" t="str">
            <v>BSLD230358</v>
          </cell>
        </row>
        <row r="864">
          <cell r="E864" t="str">
            <v>HOSHIR GIDDI,RAMGARH
NEAR P.N. BANK MAIN ROAD, RAMGARH CANTT. 829122
829110</v>
          </cell>
          <cell r="G864">
            <v>9835381268</v>
          </cell>
          <cell r="K864" t="str">
            <v>GPJS030042</v>
          </cell>
        </row>
        <row r="865">
          <cell r="E865" t="str">
            <v>HOSHIR GIDDI,RAMGARH
NEAR P.N. BANK MAIN ROAD, RAMGARH CANTT. 829122
829110</v>
          </cell>
          <cell r="G865">
            <v>9835381268</v>
          </cell>
          <cell r="K865" t="str">
            <v>BRHS035368</v>
          </cell>
        </row>
        <row r="866">
          <cell r="E866" t="str">
            <v>TUPUDANA</v>
          </cell>
          <cell r="G866">
            <v>7004580983</v>
          </cell>
          <cell r="K866" t="str">
            <v>BYKS044266</v>
          </cell>
        </row>
        <row r="867">
          <cell r="E867" t="str">
            <v>PALAMU,GARWA, JHARKHAND
822124
GARHWA ROAD, NEAR BCCL PALAMU,</v>
          </cell>
          <cell r="G867">
            <v>9973686006</v>
          </cell>
          <cell r="K867" t="str">
            <v>GOCS030806</v>
          </cell>
        </row>
        <row r="868">
          <cell r="E868" t="str">
            <v>RANGAPANI, SILIGIRI, WB</v>
          </cell>
          <cell r="G868">
            <v>7872580985</v>
          </cell>
          <cell r="K868" t="str">
            <v>AKKD120022</v>
          </cell>
        </row>
        <row r="869">
          <cell r="E869" t="str">
            <v>MARRAR, RAMGRAH</v>
          </cell>
          <cell r="G869">
            <v>7837789340</v>
          </cell>
          <cell r="K869" t="str">
            <v>BXJC371867</v>
          </cell>
        </row>
        <row r="870">
          <cell r="E870" t="str">
            <v>LODNA NTS</v>
          </cell>
          <cell r="G870">
            <v>7644045555</v>
          </cell>
          <cell r="K870" t="str">
            <v>BXKD164206</v>
          </cell>
        </row>
        <row r="871">
          <cell r="E871" t="str">
            <v>NAYA MORE, RAMGRAH</v>
          </cell>
          <cell r="G871">
            <v>7004541681</v>
          </cell>
          <cell r="K871" t="str">
            <v>BUKS045387</v>
          </cell>
        </row>
        <row r="872">
          <cell r="E872" t="str">
            <v>NAYA MORE, RAMGRAH</v>
          </cell>
          <cell r="G872">
            <v>7004541681</v>
          </cell>
          <cell r="K872" t="str">
            <v>BUKS045388</v>
          </cell>
        </row>
        <row r="873">
          <cell r="E873" t="str">
            <v>BARWADA</v>
          </cell>
          <cell r="G873">
            <v>9443323223</v>
          </cell>
          <cell r="K873" t="str">
            <v>BULD232523</v>
          </cell>
        </row>
        <row r="874">
          <cell r="E874" t="str">
            <v>MUNGMA</v>
          </cell>
          <cell r="G874">
            <v>8517025849</v>
          </cell>
          <cell r="K874" t="str">
            <v>GNGS030424</v>
          </cell>
        </row>
        <row r="875">
          <cell r="E875" t="str">
            <v>MARRAR, RAMGRAH</v>
          </cell>
          <cell r="G875">
            <v>7654107064</v>
          </cell>
          <cell r="K875" t="str">
            <v>BXJS035074</v>
          </cell>
        </row>
        <row r="876">
          <cell r="E876" t="str">
            <v>REHLA,GARWA,JHARKHAND
822124
RANCHI</v>
          </cell>
          <cell r="G876">
            <v>7004623399</v>
          </cell>
          <cell r="K876" t="str">
            <v>GOIS031795</v>
          </cell>
        </row>
        <row r="877">
          <cell r="E877" t="str">
            <v>KATITARH,RANCHI
835222</v>
          </cell>
          <cell r="G877">
            <v>7779980009</v>
          </cell>
          <cell r="K877" t="str">
            <v>BSAS036940</v>
          </cell>
        </row>
        <row r="878">
          <cell r="E878" t="str">
            <v>NAGARI,</v>
          </cell>
          <cell r="G878">
            <v>8864003869</v>
          </cell>
          <cell r="K878" t="str">
            <v>BLGS040582</v>
          </cell>
        </row>
        <row r="879">
          <cell r="E879" t="str">
            <v>1, KOCP, DHANSAR, Dhanbad, Jharkhand, 828106</v>
          </cell>
          <cell r="G879">
            <v>6360902039</v>
          </cell>
          <cell r="K879" t="str">
            <v>BUIC373701</v>
          </cell>
        </row>
        <row r="880">
          <cell r="E880" t="str">
            <v>MESRA, RANCHI</v>
          </cell>
          <cell r="G880">
            <v>9523535955</v>
          </cell>
          <cell r="K880" t="str">
            <v>BXJF111817</v>
          </cell>
        </row>
        <row r="881">
          <cell r="E881" t="str">
            <v>RING ROAD, TUPUDANA</v>
          </cell>
          <cell r="G881">
            <v>9264401517</v>
          </cell>
          <cell r="K881" t="str">
            <v>BWLS031931</v>
          </cell>
        </row>
        <row r="882">
          <cell r="E882" t="str">
            <v>PLOT NO. 148, TUPUDANA, INDUSTRIAL AREA, HATIA, RANCHI
834002</v>
          </cell>
          <cell r="G882">
            <v>9534249500</v>
          </cell>
          <cell r="K882" t="str">
            <v>BRIS035838</v>
          </cell>
        </row>
        <row r="883">
          <cell r="E883" t="str">
            <v>ANGARA, TATISILWAI</v>
          </cell>
          <cell r="G883">
            <v>9110012919</v>
          </cell>
          <cell r="K883" t="str">
            <v>BVGF111611</v>
          </cell>
        </row>
        <row r="884">
          <cell r="E884" t="str">
            <v>ANGARA, TATISILWAI</v>
          </cell>
          <cell r="G884">
            <v>9162768423</v>
          </cell>
          <cell r="K884" t="str">
            <v>BVGF111615</v>
          </cell>
        </row>
        <row r="885">
          <cell r="E885" t="str">
            <v>TIPUDANA INDUSTRIAL AREA, HATIA,</v>
          </cell>
          <cell r="G885">
            <v>9534249500</v>
          </cell>
          <cell r="K885" t="str">
            <v>BJGS031396</v>
          </cell>
        </row>
        <row r="886">
          <cell r="E886" t="str">
            <v>MANJULA ENTERPRISES, KOKAR INDUSTRIAL AREA KOKAR</v>
          </cell>
          <cell r="G886">
            <v>9155398092</v>
          </cell>
          <cell r="K886" t="str">
            <v>BUFC372952</v>
          </cell>
        </row>
        <row r="887">
          <cell r="E887" t="str">
            <v>DURGAPUR</v>
          </cell>
          <cell r="G887">
            <v>9131766705</v>
          </cell>
          <cell r="K887">
            <v>205335</v>
          </cell>
        </row>
        <row r="888">
          <cell r="E888" t="str">
            <v>GAIGHATA, WB</v>
          </cell>
          <cell r="G888">
            <v>8617628112</v>
          </cell>
          <cell r="K888" t="str">
            <v>BXID201595</v>
          </cell>
        </row>
        <row r="889">
          <cell r="E889" t="str">
            <v>DEOGRAH</v>
          </cell>
          <cell r="G889">
            <v>6299737730</v>
          </cell>
          <cell r="K889" t="str">
            <v>BWFD163937</v>
          </cell>
        </row>
        <row r="890">
          <cell r="E890" t="str">
            <v>AT - HEHAL, POST - BARKAKANA
BARKAKANA
829103</v>
          </cell>
          <cell r="G890">
            <v>6200896545</v>
          </cell>
          <cell r="K890" t="str">
            <v>BUAS033580</v>
          </cell>
        </row>
        <row r="891">
          <cell r="E891" t="str">
            <v>ASANSOL WB</v>
          </cell>
          <cell r="G891">
            <v>8617494518</v>
          </cell>
          <cell r="K891" t="str">
            <v>BXFD232225</v>
          </cell>
        </row>
        <row r="892">
          <cell r="E892" t="str">
            <v>PHUSHRO</v>
          </cell>
          <cell r="G892">
            <v>7979946647</v>
          </cell>
          <cell r="K892" t="str">
            <v>BVED163240</v>
          </cell>
        </row>
        <row r="893">
          <cell r="E893" t="str">
            <v>RAHELA, DALTAINGANJ</v>
          </cell>
          <cell r="G893">
            <v>8789075522</v>
          </cell>
          <cell r="K893" t="str">
            <v>BUGS035879</v>
          </cell>
        </row>
        <row r="894">
          <cell r="E894" t="str">
            <v>GOPI MORE GAYA</v>
          </cell>
          <cell r="G894">
            <v>8340606631</v>
          </cell>
          <cell r="K894" t="str">
            <v>BSCD161704</v>
          </cell>
        </row>
        <row r="895">
          <cell r="E895" t="str">
            <v>PHUSHRO, BOKARO</v>
          </cell>
          <cell r="G895">
            <v>9430702649</v>
          </cell>
          <cell r="K895" t="str">
            <v>BWID164076</v>
          </cell>
        </row>
        <row r="896">
          <cell r="E896" t="str">
            <v>HORHAP ROAD, MAHILONG, RANCHI
835103</v>
          </cell>
          <cell r="G896">
            <v>9708039203</v>
          </cell>
          <cell r="K896" t="str">
            <v>BRIC374329</v>
          </cell>
        </row>
        <row r="897">
          <cell r="E897" t="str">
            <v>PHUSHRO</v>
          </cell>
          <cell r="G897">
            <v>7979947746</v>
          </cell>
          <cell r="K897" t="str">
            <v>BWHD231642</v>
          </cell>
        </row>
        <row r="898">
          <cell r="E898" t="str">
            <v>TUPUDANA</v>
          </cell>
          <cell r="G898">
            <v>6200457988</v>
          </cell>
          <cell r="K898" t="str">
            <v>BVIC378165</v>
          </cell>
        </row>
        <row r="899">
          <cell r="E899" t="str">
            <v>BARKAGAON, HAZARIBAGH</v>
          </cell>
          <cell r="G899">
            <v>7070010949</v>
          </cell>
          <cell r="K899" t="str">
            <v>BWLD231334</v>
          </cell>
        </row>
        <row r="900">
          <cell r="E900" t="str">
            <v>BARKAGAON, HAZARIBAGH</v>
          </cell>
          <cell r="G900">
            <v>7070010949</v>
          </cell>
          <cell r="K900" t="str">
            <v>BWLD231345</v>
          </cell>
        </row>
        <row r="901">
          <cell r="E901" t="str">
            <v>KANKE, RANCHI
834002</v>
          </cell>
          <cell r="G901">
            <v>7979732853</v>
          </cell>
          <cell r="K901" t="str">
            <v>BSFC376396</v>
          </cell>
        </row>
        <row r="902">
          <cell r="E902" t="str">
            <v>GOBINDPUR INDUSTRIAL AREA, DHANBAD</v>
          </cell>
          <cell r="G902">
            <v>9110998099</v>
          </cell>
          <cell r="K902" t="str">
            <v>BVJS047894</v>
          </cell>
        </row>
        <row r="903">
          <cell r="E903" t="str">
            <v>ITKI MORE, RANCHI</v>
          </cell>
          <cell r="G903">
            <v>6200327294</v>
          </cell>
          <cell r="K903" t="str">
            <v>BWFC370723</v>
          </cell>
        </row>
        <row r="904">
          <cell r="E904" t="str">
            <v>NAGRI,RANCHI
835202
RANCHI</v>
          </cell>
          <cell r="G904">
            <v>6200327294</v>
          </cell>
          <cell r="K904" t="str">
            <v>BMJS040004</v>
          </cell>
        </row>
        <row r="905">
          <cell r="E905" t="str">
            <v>BAGODAR ROAD, HAZARIBAGH</v>
          </cell>
          <cell r="G905">
            <v>9122547623</v>
          </cell>
          <cell r="K905" t="str">
            <v>BREC373531</v>
          </cell>
        </row>
        <row r="906">
          <cell r="E906" t="str">
            <v>PAKUR</v>
          </cell>
          <cell r="G906">
            <v>9133666330</v>
          </cell>
          <cell r="K906" t="str">
            <v>BUKD162500</v>
          </cell>
        </row>
        <row r="907">
          <cell r="E907" t="str">
            <v>GONDUDIH</v>
          </cell>
          <cell r="G907">
            <v>9113788032</v>
          </cell>
          <cell r="K907" t="str">
            <v>BSCD161691</v>
          </cell>
        </row>
        <row r="908">
          <cell r="E908" t="str">
            <v>TATISILWAI</v>
          </cell>
          <cell r="G908">
            <v>6203337309</v>
          </cell>
          <cell r="K908" t="str">
            <v>BYLC376467</v>
          </cell>
        </row>
        <row r="909">
          <cell r="E909" t="str">
            <v>GOBINDPUR INDUSTRIAL AREA, DHANBAD</v>
          </cell>
          <cell r="G909">
            <v>9110998099</v>
          </cell>
          <cell r="K909" t="str">
            <v>BVJS047894</v>
          </cell>
        </row>
        <row r="910">
          <cell r="E910" t="str">
            <v>TATISILWAI</v>
          </cell>
          <cell r="G910">
            <v>8077989439</v>
          </cell>
          <cell r="K910" t="str">
            <v>BUKS039032</v>
          </cell>
        </row>
        <row r="911">
          <cell r="E911" t="str">
            <v>RAMNAGAR , HAZARIBAGH,JHARKHAND
825302</v>
          </cell>
          <cell r="G911">
            <v>9113183803</v>
          </cell>
          <cell r="K911" t="str">
            <v>BQAC373617</v>
          </cell>
        </row>
        <row r="912">
          <cell r="E912" t="str">
            <v>GOPALI CHOWK, DHANBAD</v>
          </cell>
          <cell r="G912">
            <v>7004686026</v>
          </cell>
          <cell r="K912" t="str">
            <v>BWLD163586</v>
          </cell>
        </row>
        <row r="913">
          <cell r="E913" t="str">
            <v>BALIDIH INDUSTRIAL AREA
827014</v>
          </cell>
          <cell r="G913">
            <v>7004333419</v>
          </cell>
          <cell r="K913" t="str">
            <v>BYJS038729</v>
          </cell>
        </row>
        <row r="914">
          <cell r="E914" t="str">
            <v>DEMOTAND, HAZARINAGH</v>
          </cell>
          <cell r="G914">
            <v>9431118916</v>
          </cell>
          <cell r="K914" t="str">
            <v>BYJC375628</v>
          </cell>
        </row>
        <row r="915">
          <cell r="E915" t="str">
            <v>PARSAI, GOVINDPUR</v>
          </cell>
          <cell r="G915">
            <v>8348686307</v>
          </cell>
          <cell r="K915" t="str">
            <v>BXLS042384</v>
          </cell>
        </row>
        <row r="916">
          <cell r="E916" t="str">
            <v>PARSAI, GOVINDPUR</v>
          </cell>
          <cell r="G916">
            <v>9142517660</v>
          </cell>
          <cell r="K916" t="str">
            <v>BXLS042397</v>
          </cell>
        </row>
        <row r="917">
          <cell r="E917" t="str">
            <v>HAZARIBAGH
RANCHI JHARKHAND 834002
INDIA</v>
          </cell>
          <cell r="G917">
            <v>9304664534</v>
          </cell>
          <cell r="K917" t="str">
            <v>BKAS030685</v>
          </cell>
        </row>
        <row r="918">
          <cell r="E918" t="str">
            <v>ASANSOL</v>
          </cell>
          <cell r="G918">
            <v>6202046477</v>
          </cell>
          <cell r="K918" t="str">
            <v>BSCS037494</v>
          </cell>
        </row>
        <row r="919">
          <cell r="E919" t="str">
            <v>SARWARI, ASANSOL, WB</v>
          </cell>
          <cell r="G919">
            <v>6202045477</v>
          </cell>
          <cell r="K919" t="str">
            <v>BXJS034965</v>
          </cell>
        </row>
        <row r="920">
          <cell r="E920" t="str">
            <v>PATRATU</v>
          </cell>
          <cell r="G920">
            <v>8946096277</v>
          </cell>
          <cell r="K920" t="str">
            <v>BXAD164301</v>
          </cell>
        </row>
        <row r="921">
          <cell r="E921" t="str">
            <v>SANTOSHPURA, WEST BENGAL</v>
          </cell>
          <cell r="G921">
            <v>9830340221</v>
          </cell>
          <cell r="K921" t="str">
            <v>BYAS044618</v>
          </cell>
        </row>
        <row r="922">
          <cell r="E922" t="str">
            <v>KODERMA</v>
          </cell>
          <cell r="G922">
            <v>8102924905</v>
          </cell>
          <cell r="K922" t="str">
            <v>BVFS049407</v>
          </cell>
        </row>
        <row r="923">
          <cell r="E923" t="str">
            <v>KODERMA</v>
          </cell>
          <cell r="G923">
            <v>8210413459</v>
          </cell>
          <cell r="K923" t="str">
            <v>BVFS049421</v>
          </cell>
        </row>
        <row r="924">
          <cell r="E924" t="str">
            <v>KODERMA</v>
          </cell>
          <cell r="G924">
            <v>9924893989</v>
          </cell>
          <cell r="K924" t="str">
            <v>BVFS049398</v>
          </cell>
        </row>
        <row r="925">
          <cell r="E925" t="str">
            <v>GIRIDIH</v>
          </cell>
          <cell r="G925">
            <v>9931921808</v>
          </cell>
          <cell r="K925" t="str">
            <v>BXCD164420</v>
          </cell>
        </row>
        <row r="926">
          <cell r="E926" t="str">
            <v>PITHORIA</v>
          </cell>
          <cell r="G926">
            <v>9835321621</v>
          </cell>
          <cell r="K926" t="str">
            <v>BVCC376206</v>
          </cell>
        </row>
        <row r="927">
          <cell r="E927" t="str">
            <v>BHORA</v>
          </cell>
          <cell r="G927">
            <v>9550035031</v>
          </cell>
          <cell r="K927" t="str">
            <v>BVHD163331</v>
          </cell>
        </row>
        <row r="928">
          <cell r="E928" t="str">
            <v>BARWADA</v>
          </cell>
          <cell r="G928">
            <v>6380540177</v>
          </cell>
          <cell r="K928" t="str">
            <v>BULD232523</v>
          </cell>
        </row>
        <row r="929">
          <cell r="E929" t="str">
            <v>KOKAR INDUSTRIAL AREA,RANCHI
834002
KOKAR INDUSTRIAL AREA</v>
          </cell>
          <cell r="G929">
            <v>9264452263</v>
          </cell>
          <cell r="K929" t="str">
            <v>BQAC373733</v>
          </cell>
        </row>
        <row r="930">
          <cell r="E930" t="str">
            <v>BARWADA, DHANBAD</v>
          </cell>
          <cell r="G930">
            <v>9123424186</v>
          </cell>
          <cell r="K930" t="str">
            <v>BXAD231957</v>
          </cell>
        </row>
        <row r="931">
          <cell r="E931" t="str">
            <v>MANJULA ENTERPRISES, KOKAR INDUSTRIAL AREA KOKAR</v>
          </cell>
          <cell r="G931">
            <v>9155398092</v>
          </cell>
          <cell r="K931" t="str">
            <v>BUFC372952</v>
          </cell>
        </row>
        <row r="932">
          <cell r="E932" t="str">
            <v>MALDA</v>
          </cell>
          <cell r="G932">
            <v>6203686576</v>
          </cell>
          <cell r="K932" t="str">
            <v>BXED122035</v>
          </cell>
        </row>
        <row r="933">
          <cell r="E933" t="str">
            <v>DHANBAD</v>
          </cell>
          <cell r="G933">
            <v>9550386894</v>
          </cell>
          <cell r="K933" t="str">
            <v>BXAD231963</v>
          </cell>
        </row>
        <row r="934">
          <cell r="E934" t="str">
            <v>KOKAR,INDUSTRIAL AREA,RANCHI
834002
RANCHI</v>
          </cell>
          <cell r="G934">
            <v>7781017197</v>
          </cell>
          <cell r="K934" t="str">
            <v>BMKC370048</v>
          </cell>
        </row>
        <row r="935">
          <cell r="E935" t="str">
            <v>PLOT NO. 79, KAPASARA,, SUNDERNAGAR, CHIRKUNDA,, DHANBAD - 828 202
PLOT NO. 79, KAPASARA,, SUNDERNAGAR, CHIRKUNDA,, DHANBAD - 828 202
828202</v>
          </cell>
          <cell r="G935">
            <v>8101005542</v>
          </cell>
          <cell r="K935" t="str">
            <v>BTFS031006</v>
          </cell>
        </row>
        <row r="936">
          <cell r="E936" t="str">
            <v>ASANSOL</v>
          </cell>
          <cell r="G936">
            <v>6202046477</v>
          </cell>
          <cell r="K936" t="str">
            <v>BSCS037494</v>
          </cell>
        </row>
        <row r="937">
          <cell r="E937" t="str">
            <v>SARWARI, ASANSOL, WB</v>
          </cell>
          <cell r="G937">
            <v>6202045477</v>
          </cell>
          <cell r="K937" t="str">
            <v>BXJS034965</v>
          </cell>
        </row>
        <row r="938">
          <cell r="E938" t="str">
            <v>ANGARA, TATISILWAI</v>
          </cell>
          <cell r="G938">
            <v>9507321781</v>
          </cell>
          <cell r="K938" t="str">
            <v>BWFC370703</v>
          </cell>
        </row>
        <row r="939">
          <cell r="E939" t="str">
            <v>A-3, 2ND PHASE, ADITYAPUR INDUSTRIAL AREA, ADITYAPUR, JAMSHEDPUR, JHARKHAND
A-3, 2ND PHASE, ADITYAPUR INDUSTRIAL AREA, ADITYAPUR, JAMSHEDPUR, JHARKHAND
831013
JAMHEDPUR</v>
          </cell>
          <cell r="G939">
            <v>9608189810</v>
          </cell>
          <cell r="K939" t="str">
            <v>GPBC370442</v>
          </cell>
        </row>
        <row r="940">
          <cell r="E940" t="str">
            <v>KODERMA</v>
          </cell>
          <cell r="G940">
            <v>6205630431</v>
          </cell>
          <cell r="K940" t="str">
            <v>BXGS043540</v>
          </cell>
        </row>
        <row r="941">
          <cell r="E941" t="str">
            <v>RANCHI PATNA ROAD
DEMOTAND
825301
HAZARIBAGH</v>
          </cell>
          <cell r="G941">
            <v>6203465926</v>
          </cell>
          <cell r="K941" t="str">
            <v>BSCS037531</v>
          </cell>
        </row>
        <row r="942">
          <cell r="E942" t="str">
            <v>GAIGHATA, WB</v>
          </cell>
          <cell r="G942">
            <v>8617628112</v>
          </cell>
          <cell r="K942" t="str">
            <v>BXID201595</v>
          </cell>
        </row>
        <row r="943">
          <cell r="E943" t="str">
            <v>RAMGARAH</v>
          </cell>
          <cell r="G943">
            <v>9523364242</v>
          </cell>
          <cell r="K943" t="str">
            <v>BVES049148</v>
          </cell>
        </row>
        <row r="944">
          <cell r="E944" t="str">
            <v>AURANGABAD, BIHAR</v>
          </cell>
          <cell r="G944">
            <v>9771012500</v>
          </cell>
          <cell r="K944" t="str">
            <v>BWHD163991</v>
          </cell>
        </row>
        <row r="945">
          <cell r="E945" t="str">
            <v>CHAS BOKARO</v>
          </cell>
          <cell r="G945">
            <v>9006537516</v>
          </cell>
          <cell r="K945" t="str">
            <v>BWID164096</v>
          </cell>
        </row>
        <row r="946">
          <cell r="E946" t="str">
            <v>BEGUSARAI</v>
          </cell>
          <cell r="G946">
            <v>6201785442</v>
          </cell>
          <cell r="K946" t="str">
            <v>BWHD164003</v>
          </cell>
        </row>
        <row r="947">
          <cell r="E947" t="str">
            <v>RAJGIR, BIHAR</v>
          </cell>
          <cell r="G947">
            <v>6301447200</v>
          </cell>
          <cell r="K947" t="str">
            <v>BXHD232326</v>
          </cell>
        </row>
        <row r="948">
          <cell r="E948" t="str">
            <v>KANKE, RANCHI
834002</v>
          </cell>
          <cell r="G948">
            <v>7979732853</v>
          </cell>
          <cell r="K948" t="str">
            <v>BSFC376396</v>
          </cell>
        </row>
        <row r="949">
          <cell r="E949" t="str">
            <v>NEAR P.N BANK MAIN ROAD,, RAMGARH CANTT-829122, DIST. RAMGARH
829122
BUDHAKHOP, AMBRELA, KARMA,</v>
          </cell>
          <cell r="G949">
            <v>9693796748</v>
          </cell>
          <cell r="K949" t="str">
            <v>BSHS038806</v>
          </cell>
        </row>
        <row r="950">
          <cell r="E950" t="str">
            <v>NEAR P.N BANK MAIN ROAD,, RAMGARH CANTT-829122, DIST. RAMGARH
829122
BUDHAKHOP, AMBRELA, KARMA,</v>
          </cell>
          <cell r="G950">
            <v>9973636494</v>
          </cell>
          <cell r="K950" t="str">
            <v>BQBS030091</v>
          </cell>
        </row>
        <row r="951">
          <cell r="E951" t="str">
            <v>PARSAI, GOVINDPUR</v>
          </cell>
          <cell r="G951">
            <v>9142517660</v>
          </cell>
          <cell r="K951" t="str">
            <v>BXLS042397</v>
          </cell>
        </row>
        <row r="952">
          <cell r="E952" t="str">
            <v>NAMCHI, SIKKIM</v>
          </cell>
          <cell r="G952">
            <v>8768362527</v>
          </cell>
          <cell r="K952" t="str">
            <v>BXFD164584</v>
          </cell>
        </row>
        <row r="953">
          <cell r="E953" t="str">
            <v>VINAIKA’S COMPLEX RANCHI TATA ROAD, R.S. PLOT NO.:-615,VILLAGE-PANCHA,THANA-BUNDU RANCHI, JHARKHAND.
834002</v>
          </cell>
          <cell r="G953">
            <v>9818905980</v>
          </cell>
          <cell r="K953" t="str">
            <v>BUDS046275</v>
          </cell>
        </row>
        <row r="954">
          <cell r="E954" t="str">
            <v>MAHUDA MORE, DHANBAD</v>
          </cell>
          <cell r="G954">
            <v>6204702963</v>
          </cell>
          <cell r="K954" t="str">
            <v>BWHD164004</v>
          </cell>
        </row>
        <row r="955">
          <cell r="E955" t="str">
            <v>JHALDA</v>
          </cell>
          <cell r="G955">
            <v>9331665000</v>
          </cell>
          <cell r="K955" t="str">
            <v>BUGS047120</v>
          </cell>
        </row>
        <row r="956">
          <cell r="E956" t="str">
            <v>TATISIWAI INDUSTRIAL AREA, RANCHI
835103
TATISILWAY RANCHI</v>
          </cell>
          <cell r="G956">
            <v>7488690694</v>
          </cell>
          <cell r="K956" t="str">
            <v>BSAS036958</v>
          </cell>
        </row>
        <row r="957">
          <cell r="E957" t="str">
            <v>JHALDA</v>
          </cell>
          <cell r="G957">
            <v>9331665000</v>
          </cell>
          <cell r="K957" t="str">
            <v>BTIS044954</v>
          </cell>
        </row>
        <row r="958">
          <cell r="E958" t="str">
            <v>HAZARIBAGH</v>
          </cell>
          <cell r="G958">
            <v>9905784279</v>
          </cell>
          <cell r="K958" t="str">
            <v>BVJC375621</v>
          </cell>
        </row>
        <row r="959">
          <cell r="E959" t="str">
            <v>GUMLA</v>
          </cell>
          <cell r="G959">
            <v>8285869956</v>
          </cell>
          <cell r="K959" t="str">
            <v>BWKS031684</v>
          </cell>
        </row>
        <row r="960">
          <cell r="E960" t="str">
            <v>BARWADA</v>
          </cell>
          <cell r="G960">
            <v>6380540177</v>
          </cell>
          <cell r="K960" t="str">
            <v>BULD232523</v>
          </cell>
        </row>
        <row r="961">
          <cell r="E961" t="str">
            <v>KULI, RAMGRAH</v>
          </cell>
          <cell r="G961">
            <v>7987318893</v>
          </cell>
          <cell r="K961" t="str">
            <v>BWAD163680</v>
          </cell>
        </row>
        <row r="962">
          <cell r="E962" t="str">
            <v>KULI, RAMGRAH</v>
          </cell>
          <cell r="G962">
            <v>9691773091</v>
          </cell>
          <cell r="K962" t="str">
            <v>BVGD163297</v>
          </cell>
        </row>
        <row r="963">
          <cell r="E963" t="str">
            <v>HAWAI NAGAR, RANCHI</v>
          </cell>
          <cell r="G963">
            <v>9826945050</v>
          </cell>
          <cell r="K963" t="str">
            <v>BUEC372458</v>
          </cell>
        </row>
        <row r="964">
          <cell r="E964" t="str">
            <v>TATISILWAI</v>
          </cell>
          <cell r="G964">
            <v>8077989439</v>
          </cell>
          <cell r="K964" t="str">
            <v>BUYKS039032</v>
          </cell>
        </row>
        <row r="965">
          <cell r="E965" t="str">
            <v>DALADALI, RANCHI</v>
          </cell>
          <cell r="G965">
            <v>9835538524</v>
          </cell>
          <cell r="K965" t="str">
            <v>BWFD163940</v>
          </cell>
        </row>
        <row r="966">
          <cell r="E966" t="str">
            <v>MARRAR RAMGRAH</v>
          </cell>
          <cell r="G966">
            <v>7654107064</v>
          </cell>
          <cell r="K966" t="str">
            <v>BXFS037363</v>
          </cell>
        </row>
        <row r="967">
          <cell r="E967" t="str">
            <v>KOKAR INDUSTRIAL AREA,RANCHI
834001</v>
          </cell>
          <cell r="G967">
            <v>7520091181</v>
          </cell>
          <cell r="K967" t="str">
            <v>BPIC370386</v>
          </cell>
        </row>
        <row r="968">
          <cell r="E968" t="str">
            <v>RAHELA, DALTAINGANJ</v>
          </cell>
          <cell r="G968">
            <v>7004971081</v>
          </cell>
          <cell r="K968" t="str">
            <v>NA</v>
          </cell>
        </row>
        <row r="969">
          <cell r="E969" t="str">
            <v>KOKAR INDUSTRIAL AREA KOKAR</v>
          </cell>
          <cell r="G969">
            <v>9308408219</v>
          </cell>
          <cell r="K969" t="str">
            <v>BXDC373881</v>
          </cell>
        </row>
        <row r="970">
          <cell r="E970" t="str">
            <v>RAMGARH</v>
          </cell>
          <cell r="G970">
            <v>9155906960</v>
          </cell>
          <cell r="K970" t="str">
            <v>BYAS044775</v>
          </cell>
        </row>
        <row r="971">
          <cell r="E971" t="str">
            <v>RAMGARAH</v>
          </cell>
          <cell r="G971">
            <v>9939115073</v>
          </cell>
          <cell r="K971" t="str">
            <v>BVES049148</v>
          </cell>
        </row>
        <row r="972">
          <cell r="E972" t="str">
            <v>DEOGRAH</v>
          </cell>
          <cell r="G972">
            <v>9065522796</v>
          </cell>
          <cell r="K972" t="str">
            <v>BWCC379822</v>
          </cell>
        </row>
        <row r="973">
          <cell r="E973" t="str">
            <v>BALIDIH INDUSTRIAL AREA
827014</v>
          </cell>
          <cell r="G973">
            <v>7004333419</v>
          </cell>
          <cell r="K973" t="str">
            <v>BYJS038729</v>
          </cell>
        </row>
        <row r="974">
          <cell r="E974" t="str">
            <v>CHATRA</v>
          </cell>
          <cell r="G974">
            <v>8102075973</v>
          </cell>
          <cell r="K974" t="str">
            <v>BWGD163984</v>
          </cell>
        </row>
        <row r="975">
          <cell r="E975" t="str">
            <v>BARKAGAON</v>
          </cell>
          <cell r="G975">
            <v>9234615009</v>
          </cell>
          <cell r="K975" t="str">
            <v>BXDD232126</v>
          </cell>
        </row>
        <row r="976">
          <cell r="E976" t="str">
            <v>DASMILE, RANCHI</v>
          </cell>
          <cell r="G976">
            <v>8002234200</v>
          </cell>
          <cell r="K976" t="str">
            <v>BVHD163366</v>
          </cell>
        </row>
        <row r="977">
          <cell r="E977" t="str">
            <v>RANCHI
834002</v>
          </cell>
          <cell r="G977">
            <v>9540167108</v>
          </cell>
          <cell r="K977" t="str">
            <v>BTIS032020</v>
          </cell>
        </row>
        <row r="978">
          <cell r="E978" t="str">
            <v>RANCHI
834002</v>
          </cell>
          <cell r="G978">
            <v>8210241710</v>
          </cell>
          <cell r="K978" t="str">
            <v>BULS033141</v>
          </cell>
        </row>
        <row r="979">
          <cell r="E979" t="str">
            <v>RANCHI
834002</v>
          </cell>
          <cell r="G979">
            <v>9540167108</v>
          </cell>
          <cell r="K979" t="str">
            <v>BTIS032025</v>
          </cell>
        </row>
        <row r="980">
          <cell r="E980" t="str">
            <v>ANGARA, TATISILWAI</v>
          </cell>
          <cell r="G980">
            <v>9162768423</v>
          </cell>
          <cell r="K980" t="str">
            <v>BVGF111615</v>
          </cell>
        </row>
        <row r="981">
          <cell r="E981" t="str">
            <v>ANGARA, TATISILWAI</v>
          </cell>
          <cell r="G981">
            <v>9110012919</v>
          </cell>
          <cell r="K981" t="str">
            <v>BVGF111611</v>
          </cell>
        </row>
        <row r="982">
          <cell r="E982" t="str">
            <v>ASANSOL WB</v>
          </cell>
          <cell r="G982">
            <v>7908100638</v>
          </cell>
          <cell r="K982" t="str">
            <v>BXFD232225</v>
          </cell>
        </row>
        <row r="983">
          <cell r="E983" t="str">
            <v>RANCHI
834002</v>
          </cell>
          <cell r="G983">
            <v>8210241710</v>
          </cell>
          <cell r="K983" t="str">
            <v>BXBS036173</v>
          </cell>
        </row>
        <row r="984">
          <cell r="E984" t="str">
            <v>RAHELA, DALTAINGANJ</v>
          </cell>
          <cell r="G984">
            <v>7992431955</v>
          </cell>
          <cell r="K984" t="str">
            <v>BWCS032720</v>
          </cell>
        </row>
        <row r="985">
          <cell r="E985" t="str">
            <v>REHLA,GARWA,JHARKHAND
822124
RANCHI</v>
          </cell>
          <cell r="G985">
            <v>7004623399</v>
          </cell>
          <cell r="K985" t="str">
            <v>BMFS031346</v>
          </cell>
        </row>
        <row r="986">
          <cell r="E986" t="str">
            <v>CHANDIL BAZAR</v>
          </cell>
          <cell r="G986">
            <v>9123594446</v>
          </cell>
          <cell r="K986" t="str">
            <v>BRKD160684</v>
          </cell>
        </row>
        <row r="987">
          <cell r="E987" t="str">
            <v>CHATRO, JAMUA</v>
          </cell>
          <cell r="G987">
            <v>7903781073</v>
          </cell>
          <cell r="K987" t="str">
            <v>BXCD164415</v>
          </cell>
        </row>
        <row r="988">
          <cell r="E988" t="str">
            <v>TUPUDANA INDUSTRIAL AREA,RANCHI
834003</v>
          </cell>
          <cell r="G988">
            <v>9534249500</v>
          </cell>
          <cell r="K988" t="str">
            <v>BRIS035695</v>
          </cell>
        </row>
        <row r="989">
          <cell r="E989" t="str">
            <v>KOKAR INDUSTRIAL AREA,,RANCHI
834002
KOKAR INDUSTRIAL AREA RANCHI</v>
          </cell>
          <cell r="G989">
            <v>9431101890</v>
          </cell>
          <cell r="K989" t="str">
            <v>GNDC370057</v>
          </cell>
        </row>
        <row r="990">
          <cell r="E990" t="str">
            <v>BARKAGAON</v>
          </cell>
          <cell r="G990">
            <v>9234615009</v>
          </cell>
          <cell r="K990" t="str">
            <v>BXDD232126</v>
          </cell>
        </row>
        <row r="991">
          <cell r="E991" t="str">
            <v>AMRAPALI PROJECT, TANDWA</v>
          </cell>
          <cell r="G991">
            <v>7032052579</v>
          </cell>
          <cell r="K991" t="str">
            <v>BXBD164357</v>
          </cell>
        </row>
        <row r="992">
          <cell r="E992" t="str">
            <v>TANDWA, CHATRA</v>
          </cell>
          <cell r="G992">
            <v>7032052579</v>
          </cell>
          <cell r="K992" t="str">
            <v>BXJD164130</v>
          </cell>
        </row>
        <row r="993">
          <cell r="E993" t="str">
            <v>TANDWA, CHATRA</v>
          </cell>
          <cell r="G993">
            <v>7032052579</v>
          </cell>
          <cell r="K993" t="str">
            <v>BXJD164143</v>
          </cell>
        </row>
        <row r="994">
          <cell r="E994" t="str">
            <v>PHUSHRO, KARO</v>
          </cell>
          <cell r="G994">
            <v>6203800757</v>
          </cell>
          <cell r="K994" t="str">
            <v>BTED162209</v>
          </cell>
        </row>
        <row r="995">
          <cell r="E995" t="str">
            <v>AMLO PHUSHRO</v>
          </cell>
          <cell r="G995">
            <v>9006617909</v>
          </cell>
          <cell r="K995" t="str">
            <v>BXKD164191</v>
          </cell>
        </row>
        <row r="996">
          <cell r="E996" t="str">
            <v>HAZARIBAGH</v>
          </cell>
          <cell r="G996">
            <v>9431141152</v>
          </cell>
          <cell r="K996" t="str">
            <v>BUKC370622</v>
          </cell>
        </row>
        <row r="997">
          <cell r="E997" t="str">
            <v>NISCHITPUR</v>
          </cell>
          <cell r="G997">
            <v>9110052858</v>
          </cell>
          <cell r="K997" t="str">
            <v>BQHD160412</v>
          </cell>
        </row>
        <row r="998">
          <cell r="E998" t="str">
            <v>NAGRI,RANCHI
835202
RANCHI</v>
          </cell>
          <cell r="G998">
            <v>7549287704</v>
          </cell>
          <cell r="K998" t="str">
            <v>BIGS030904</v>
          </cell>
        </row>
        <row r="999">
          <cell r="E999" t="str">
            <v>PAKUR</v>
          </cell>
          <cell r="G999">
            <v>9133666330</v>
          </cell>
          <cell r="K999" t="str">
            <v>BUKD162500</v>
          </cell>
        </row>
        <row r="1000">
          <cell r="E1000" t="str">
            <v>RANIGANJ, WEST BENGAL</v>
          </cell>
          <cell r="G1000">
            <v>9064863793</v>
          </cell>
          <cell r="K1000" t="str">
            <v>BXHD164672</v>
          </cell>
        </row>
        <row r="1001">
          <cell r="E1001" t="str">
            <v>RANCHI ROAD,RAMGARH 
DIGWAR,RAMGARH
829122
DIGWAR , RANCHI ROAD ,</v>
          </cell>
          <cell r="G1001">
            <v>7004848564</v>
          </cell>
          <cell r="K1001" t="str">
            <v>BSFC376459</v>
          </cell>
        </row>
        <row r="1002">
          <cell r="E1002" t="str">
            <v>RAMGARH
829103
NAYA MORE</v>
          </cell>
          <cell r="G1002">
            <v>8271433755</v>
          </cell>
          <cell r="K1002" t="str">
            <v>BRGS035169</v>
          </cell>
        </row>
        <row r="1003">
          <cell r="E1003" t="str">
            <v>TATISIWAI INDUSTRIAL AREA, RANCHI
835103
TATISILWAY RANCHI</v>
          </cell>
          <cell r="G1003">
            <v>7488690694</v>
          </cell>
          <cell r="K1003" t="str">
            <v>BSAS036958</v>
          </cell>
        </row>
        <row r="1004">
          <cell r="E1004" t="str">
            <v>KISHOREGANJ, RANCHI
834001
KAMRE RAVI STEEL,</v>
          </cell>
          <cell r="G1004">
            <v>9939777881</v>
          </cell>
          <cell r="K1004" t="str">
            <v>GPKC370113</v>
          </cell>
        </row>
        <row r="1005">
          <cell r="E1005" t="str">
            <v>REG. OFFICE: UNIT 106, MAHABIR TOWER, JOKHIRAM LANE, MAIN ROAD, RANCHI - 834 001
REG. OFFICE: UNIT 106, MAHABIR TOWER, JOKHIRAM LANE, MAIN ROAD, RANCHI - 834 001
835214</v>
          </cell>
          <cell r="G1005">
            <v>8207010500</v>
          </cell>
          <cell r="K1005" t="str">
            <v>BSDS043254</v>
          </cell>
        </row>
        <row r="1006">
          <cell r="E1006" t="str">
            <v>GOPI MORE GAYA</v>
          </cell>
          <cell r="G1006">
            <v>8340606631</v>
          </cell>
          <cell r="K1006" t="str">
            <v>BSCD161704</v>
          </cell>
        </row>
        <row r="1007">
          <cell r="E1007" t="str">
            <v>TAPIN PROJECT, TAPIN</v>
          </cell>
          <cell r="G1007">
            <v>7644045555</v>
          </cell>
          <cell r="K1007" t="str">
            <v>BUID162953</v>
          </cell>
        </row>
        <row r="1008">
          <cell r="E1008" t="str">
            <v>RANCHI</v>
          </cell>
          <cell r="G1008">
            <v>8709503035</v>
          </cell>
          <cell r="K1008" t="str">
            <v>BWHD164039</v>
          </cell>
        </row>
        <row r="1009">
          <cell r="E1009" t="str">
            <v>LODHMA</v>
          </cell>
          <cell r="G1009">
            <v>9110052858</v>
          </cell>
          <cell r="K1009" t="str">
            <v>BQHD160412</v>
          </cell>
        </row>
        <row r="1010">
          <cell r="E1010" t="str">
            <v>LODNA NTS</v>
          </cell>
          <cell r="G1010">
            <v>7644045555</v>
          </cell>
          <cell r="K1010" t="str">
            <v>BXKD164206</v>
          </cell>
        </row>
        <row r="1011">
          <cell r="E1011" t="str">
            <v>HAZARIBAGH</v>
          </cell>
          <cell r="G1011">
            <v>7255084681</v>
          </cell>
          <cell r="K1011" t="str">
            <v>BWLS031775</v>
          </cell>
        </row>
        <row r="1012">
          <cell r="E1012" t="str">
            <v>RANCHI</v>
          </cell>
          <cell r="G1012">
            <v>8709503035</v>
          </cell>
          <cell r="K1012" t="str">
            <v>BWHD164039</v>
          </cell>
        </row>
        <row r="1013">
          <cell r="E1013" t="str">
            <v>KOKAR INDUSTRIAL AREA,RANCHI
834001</v>
          </cell>
          <cell r="G1013">
            <v>8797321813</v>
          </cell>
          <cell r="K1013" t="str">
            <v>BSBC375532</v>
          </cell>
        </row>
        <row r="1014">
          <cell r="E1014" t="str">
            <v>C/O - ANUP JOSHI, DOCTOR GALI FRONT OF JAIN MANDIR, P.O. - JHUMRITILAIYA, KODERMA</v>
          </cell>
          <cell r="G1014">
            <v>9762686087</v>
          </cell>
          <cell r="K1014" t="str">
            <v>BSBD161629</v>
          </cell>
        </row>
        <row r="1015">
          <cell r="E1015" t="str">
            <v>MUNGMA</v>
          </cell>
          <cell r="G1015">
            <v>8770159290</v>
          </cell>
          <cell r="K1015" t="str">
            <v>BWEC370334</v>
          </cell>
        </row>
        <row r="1016">
          <cell r="E1016" t="str">
            <v>RANIGANJ, WB</v>
          </cell>
          <cell r="G1016">
            <v>8789685581</v>
          </cell>
          <cell r="K1016" t="str">
            <v>BWED163890</v>
          </cell>
        </row>
        <row r="1017">
          <cell r="E1017" t="str">
            <v>KWJAMA COLLIERY, DHANBAD</v>
          </cell>
          <cell r="G1017">
            <v>7644045555</v>
          </cell>
          <cell r="K1017" t="str">
            <v>BVCD163165</v>
          </cell>
        </row>
        <row r="1018">
          <cell r="E1018" t="str">
            <v>NAMKUM INDUSTRIAL AREA,RANCHI
834010</v>
          </cell>
          <cell r="G1018">
            <v>9386408111</v>
          </cell>
          <cell r="K1018" t="str">
            <v>BRHS035337</v>
          </cell>
        </row>
        <row r="1019">
          <cell r="E1019" t="str">
            <v>NAMKUM INDUSTRIAL AREA,RANCHI
834010</v>
          </cell>
          <cell r="G1019">
            <v>9386408111</v>
          </cell>
          <cell r="K1019" t="str">
            <v>GOCC370403</v>
          </cell>
        </row>
        <row r="1020">
          <cell r="E1020" t="str">
            <v>GOPALI CHOWK, DHANBAD</v>
          </cell>
          <cell r="G1020">
            <v>7004686026</v>
          </cell>
          <cell r="K1020" t="str">
            <v>BWLD163586</v>
          </cell>
        </row>
        <row r="1021">
          <cell r="E1021" t="str">
            <v>MARRAR, RAMGRAH</v>
          </cell>
          <cell r="G1021">
            <v>7654107064</v>
          </cell>
          <cell r="K1021" t="str">
            <v>BXJS035074</v>
          </cell>
        </row>
        <row r="1022">
          <cell r="E1022" t="str">
            <v>DHANBAD</v>
          </cell>
          <cell r="G1022">
            <v>8617628112</v>
          </cell>
          <cell r="K1022" t="str">
            <v>BWHD231603</v>
          </cell>
        </row>
        <row r="1023">
          <cell r="E1023" t="str">
            <v>BARWADA, DHANBAD</v>
          </cell>
          <cell r="G1023">
            <v>9123424186</v>
          </cell>
          <cell r="K1023" t="str">
            <v>BXAD231957</v>
          </cell>
        </row>
        <row r="1024">
          <cell r="E1024" t="str">
            <v>KURU, LOHARDAGA</v>
          </cell>
          <cell r="G1024">
            <v>8709133364</v>
          </cell>
          <cell r="K1024" t="str">
            <v>BVKD163010</v>
          </cell>
        </row>
        <row r="1025">
          <cell r="E1025" t="str">
            <v>GAIGHATA, WB</v>
          </cell>
          <cell r="G1025">
            <v>8617628112</v>
          </cell>
          <cell r="K1025" t="str">
            <v>BXID201595</v>
          </cell>
        </row>
        <row r="1026">
          <cell r="E1026" t="str">
            <v>ASHOK NAGAR, RANCHI</v>
          </cell>
          <cell r="G1026">
            <v>9304011261</v>
          </cell>
          <cell r="K1026" t="str">
            <v>BRGD230256</v>
          </cell>
        </row>
        <row r="1027">
          <cell r="E1027" t="str">
            <v>GUMLA</v>
          </cell>
          <cell r="G1027">
            <v>8227038800</v>
          </cell>
          <cell r="K1027" t="str">
            <v>BWLS032007</v>
          </cell>
        </row>
        <row r="1028">
          <cell r="E1028" t="str">
            <v>ANGARPATHRA</v>
          </cell>
          <cell r="G1028">
            <v>7004686026</v>
          </cell>
          <cell r="K1028" t="str">
            <v>BXLD164919</v>
          </cell>
        </row>
        <row r="1029">
          <cell r="E1029" t="str">
            <v>RANIGANJ, WB</v>
          </cell>
          <cell r="G1029">
            <v>8789685581</v>
          </cell>
          <cell r="K1029" t="str">
            <v>BVFD163274</v>
          </cell>
        </row>
        <row r="1030">
          <cell r="E1030" t="str">
            <v>BIJUPARA, RANCHI</v>
          </cell>
          <cell r="G1030">
            <v>7004246502</v>
          </cell>
          <cell r="K1030" t="str">
            <v>BXDS036915</v>
          </cell>
        </row>
        <row r="1031">
          <cell r="E1031" t="str">
            <v>KATRAS, DHANBAD</v>
          </cell>
          <cell r="G1031">
            <v>9931519401</v>
          </cell>
          <cell r="K1031" t="str">
            <v>BWAD163674</v>
          </cell>
        </row>
        <row r="1032">
          <cell r="E1032" t="str">
            <v>LOHARDAGA,JHARKHAND
LOHARDAGA, MOB. NO.9661111900
835302
LOHARDAGA</v>
          </cell>
          <cell r="G1032">
            <v>9801025070</v>
          </cell>
          <cell r="K1032" t="str">
            <v>BQFS031084</v>
          </cell>
        </row>
        <row r="1033">
          <cell r="E1033" t="str">
            <v>GOBINDPUR INDUSTRIAL AREA, DHANBAD</v>
          </cell>
          <cell r="G1033">
            <v>9113169811</v>
          </cell>
          <cell r="K1033" t="str">
            <v>BVJS047894</v>
          </cell>
        </row>
        <row r="1034">
          <cell r="E1034" t="str">
            <v>SAHEBGANJ</v>
          </cell>
          <cell r="G1034">
            <v>9813666674</v>
          </cell>
          <cell r="K1034" t="str">
            <v>BXCD164399</v>
          </cell>
        </row>
        <row r="1035">
          <cell r="E1035" t="str">
            <v>GODDA</v>
          </cell>
          <cell r="G1035">
            <v>9442337273</v>
          </cell>
          <cell r="K1035" t="str">
            <v>BYJD232405</v>
          </cell>
        </row>
        <row r="1036">
          <cell r="E1036" t="str">
            <v>SAHIBGANJ</v>
          </cell>
          <cell r="G1036">
            <v>7363927732</v>
          </cell>
          <cell r="K1036" t="str">
            <v>BXBD164388</v>
          </cell>
        </row>
        <row r="1037">
          <cell r="E1037" t="str">
            <v>RAHELA, DALTAINGANJ</v>
          </cell>
          <cell r="G1037">
            <v>8877136770</v>
          </cell>
          <cell r="K1037" t="str">
            <v>BVAS038319</v>
          </cell>
        </row>
        <row r="1038">
          <cell r="E1038" t="str">
            <v>JAPLA</v>
          </cell>
          <cell r="G1038">
            <v>9431390166</v>
          </cell>
          <cell r="K1038" t="str">
            <v>BXKC372435</v>
          </cell>
        </row>
        <row r="1039">
          <cell r="E1039" t="str">
            <v>GOVINDPUR, PHUSHRO</v>
          </cell>
          <cell r="G1039">
            <v>7672025601</v>
          </cell>
          <cell r="K1039" t="str">
            <v>BXCD164422</v>
          </cell>
        </row>
        <row r="1040">
          <cell r="E1040" t="str">
            <v>JHARIA</v>
          </cell>
          <cell r="G1040">
            <v>7644045555</v>
          </cell>
          <cell r="K1040" t="str">
            <v>BXBD164358</v>
          </cell>
        </row>
        <row r="1041">
          <cell r="E1041" t="str">
            <v>SAHIBGANJ</v>
          </cell>
          <cell r="G1041">
            <v>7782892375</v>
          </cell>
          <cell r="K1041" t="str">
            <v>EVJL061995</v>
          </cell>
        </row>
        <row r="1042">
          <cell r="E1042" t="str">
            <v>DALADALI, RANCHI</v>
          </cell>
          <cell r="G1042">
            <v>9431139783</v>
          </cell>
          <cell r="K1042" t="str">
            <v>BWID164054</v>
          </cell>
        </row>
        <row r="1043">
          <cell r="E1043" t="str">
            <v>ASANSOL</v>
          </cell>
          <cell r="G1043">
            <v>6202046477</v>
          </cell>
          <cell r="K1043" t="str">
            <v>BSCS037494</v>
          </cell>
        </row>
        <row r="1044">
          <cell r="E1044" t="str">
            <v>MANATU, RANCHI</v>
          </cell>
          <cell r="G1044">
            <v>6206001020</v>
          </cell>
          <cell r="K1044" t="str">
            <v>BYLC376414</v>
          </cell>
        </row>
        <row r="1045">
          <cell r="E1045" t="str">
            <v>MANATU, RANCHI</v>
          </cell>
          <cell r="G1045">
            <v>6206001020</v>
          </cell>
          <cell r="K1045" t="str">
            <v>BYLC376414</v>
          </cell>
        </row>
        <row r="1046">
          <cell r="E1046" t="str">
            <v>SIKIDARI, ORMANJHI</v>
          </cell>
          <cell r="G1046">
            <v>9691773091</v>
          </cell>
          <cell r="K1046" t="str">
            <v>BYAD164973</v>
          </cell>
        </row>
        <row r="1047">
          <cell r="E1047" t="str">
            <v>SAHEBGANJ</v>
          </cell>
          <cell r="G1047">
            <v>9813666674</v>
          </cell>
          <cell r="K1047" t="str">
            <v>BXCD164399</v>
          </cell>
        </row>
        <row r="1048">
          <cell r="E1048" t="str">
            <v>NAMKUM INDUSTRIAL AREA,RANCHI
834010</v>
          </cell>
          <cell r="G1048">
            <v>9386408111</v>
          </cell>
          <cell r="K1048" t="str">
            <v>BRHS035337</v>
          </cell>
        </row>
        <row r="1049">
          <cell r="E1049" t="str">
            <v>NAGRI,RANCHI
835202
RANCHI</v>
          </cell>
          <cell r="G1049">
            <v>8371032418</v>
          </cell>
          <cell r="K1049">
            <v>108441</v>
          </cell>
        </row>
        <row r="1050">
          <cell r="E1050" t="str">
            <v>RAMGRAH</v>
          </cell>
          <cell r="G1050">
            <v>9944776478</v>
          </cell>
          <cell r="K1050" t="str">
            <v>BXLD231897</v>
          </cell>
        </row>
        <row r="1051">
          <cell r="E1051" t="str">
            <v>NAMKUM INDUSTRIAL AREA,RANCHI
834010</v>
          </cell>
          <cell r="G1051">
            <v>6201047012</v>
          </cell>
          <cell r="K1051" t="str">
            <v>GOCC370403</v>
          </cell>
        </row>
        <row r="1052">
          <cell r="E1052" t="str">
            <v>JARANDIH</v>
          </cell>
          <cell r="G1052">
            <v>8946096277</v>
          </cell>
          <cell r="K1052" t="str">
            <v>BYLD164891</v>
          </cell>
        </row>
        <row r="1053">
          <cell r="E1053" t="str">
            <v>PAKUR</v>
          </cell>
          <cell r="G1053">
            <v>9133666330</v>
          </cell>
          <cell r="K1053" t="str">
            <v>BUKD162500</v>
          </cell>
        </row>
        <row r="1054">
          <cell r="E1054" t="str">
            <v>ANGAR PATRA,DHANBAD</v>
          </cell>
          <cell r="G1054">
            <v>7004686028</v>
          </cell>
          <cell r="K1054" t="str">
            <v>BSGD161898</v>
          </cell>
        </row>
        <row r="1055">
          <cell r="E1055" t="str">
            <v>PAKUR</v>
          </cell>
          <cell r="G1055">
            <v>9133666330</v>
          </cell>
          <cell r="K1055" t="str">
            <v>BUKD162491</v>
          </cell>
        </row>
        <row r="1056">
          <cell r="E1056" t="str">
            <v>NEAR RING ROAD, TUPUDANA</v>
          </cell>
          <cell r="G1056">
            <v>9538292922</v>
          </cell>
          <cell r="K1056" t="str">
            <v>NA</v>
          </cell>
        </row>
        <row r="1057">
          <cell r="E1057" t="str">
            <v>GARIKHANA, RANCHI</v>
          </cell>
          <cell r="G1057">
            <v>7004253721</v>
          </cell>
          <cell r="K1057" t="str">
            <v>BXGC374746</v>
          </cell>
        </row>
        <row r="1058">
          <cell r="E1058" t="str">
            <v>BALIAPUR ROAD, DHANBAD</v>
          </cell>
          <cell r="G1058">
            <v>7004723376</v>
          </cell>
          <cell r="K1058" t="str">
            <v>BXHD164701</v>
          </cell>
        </row>
        <row r="1059">
          <cell r="E1059" t="str">
            <v>RING ROAD, MANATU, RANCHI</v>
          </cell>
          <cell r="G1059" t="str">
            <v>NA</v>
          </cell>
          <cell r="K1059" t="str">
            <v>BYLC376414</v>
          </cell>
        </row>
        <row r="1060">
          <cell r="E1060" t="str">
            <v>SENEGARAH, HAZARIBAGH</v>
          </cell>
          <cell r="G1060">
            <v>9006877583</v>
          </cell>
          <cell r="K1060" t="str">
            <v>BXDS036842</v>
          </cell>
        </row>
        <row r="1061">
          <cell r="E1061" t="str">
            <v>AT: SENEGARHA, P.O-RABODH, P.S-GIDDI,(RAMGARH),, DISTT. HAZARIBAGH,JHARKHAND-825330
829108
AT: SENEGARHA, P.O-RABODH, P.S-GIDDI,(RAMGARH),</v>
          </cell>
          <cell r="G1061">
            <v>9006877583</v>
          </cell>
          <cell r="K1061" t="str">
            <v>BSCS037349</v>
          </cell>
        </row>
        <row r="1062">
          <cell r="E1062" t="str">
            <v>BARHI, HAZARIBAGH</v>
          </cell>
          <cell r="G1062">
            <v>9265731345</v>
          </cell>
          <cell r="K1062" t="str">
            <v>BUCS034287</v>
          </cell>
        </row>
        <row r="1063">
          <cell r="E1063" t="str">
            <v>DALADALI, RANCHI</v>
          </cell>
          <cell r="G1063">
            <v>8051191796</v>
          </cell>
          <cell r="K1063" t="str">
            <v>BWED163889</v>
          </cell>
        </row>
        <row r="1064">
          <cell r="E1064" t="str">
            <v>NTPC BARKAGAON</v>
          </cell>
          <cell r="G1064">
            <v>7070010949</v>
          </cell>
          <cell r="K1064" t="str">
            <v>BYLD201693</v>
          </cell>
        </row>
        <row r="1065">
          <cell r="E1065" t="str">
            <v>GROUND FLOOR, 8H AND 81, NATION PRINTERS, NAMKUM INDUSTRIAL AREA,, LOWADIH, RANCHI
GROUND FLOOR, 8H AND 81, NATION PRINTERS, NAMKUM INDUSTRIAL AREA,, LOWADIH, RANCHI
834010</v>
          </cell>
          <cell r="G1065">
            <v>9386895542</v>
          </cell>
          <cell r="K1065" t="str">
            <v>BRCC372871</v>
          </cell>
        </row>
        <row r="1066">
          <cell r="E1066" t="str">
            <v>DALTONGANJ, JHARKHAND
834002</v>
          </cell>
          <cell r="G1066">
            <v>7004363785</v>
          </cell>
          <cell r="K1066" t="str">
            <v>AUDC372226</v>
          </cell>
        </row>
        <row r="1067">
          <cell r="E1067" t="str">
            <v>GARIKHANA, RANCHI</v>
          </cell>
          <cell r="G1067">
            <v>7004253721</v>
          </cell>
          <cell r="K1067" t="str">
            <v>BXGC374746</v>
          </cell>
        </row>
        <row r="1068">
          <cell r="E1068" t="str">
            <v>MOHAMAD ARIF ZAFAR
KHATA NO. 27, PLOT NO. 37, RIT ROAD, CHHATARBAR, JHUMRITILAIYA
825409</v>
          </cell>
          <cell r="G1068">
            <v>9971240520</v>
          </cell>
          <cell r="K1068" t="str">
            <v>BUAC371371</v>
          </cell>
        </row>
        <row r="1069">
          <cell r="E1069" t="str">
            <v>ASANSOL</v>
          </cell>
          <cell r="G1069">
            <v>6202046477</v>
          </cell>
          <cell r="K1069" t="str">
            <v>BSCS037494</v>
          </cell>
        </row>
        <row r="1070">
          <cell r="E1070" t="str">
            <v>SARWARI, ASANSOL, WB</v>
          </cell>
          <cell r="G1070">
            <v>6202045477</v>
          </cell>
          <cell r="K1070" t="str">
            <v>BXJS034965</v>
          </cell>
        </row>
        <row r="1071">
          <cell r="E1071" t="str">
            <v>MAHUDA MORE</v>
          </cell>
          <cell r="G1071">
            <v>8102116916</v>
          </cell>
          <cell r="K1071" t="str">
            <v>BXGD164662</v>
          </cell>
        </row>
        <row r="1072">
          <cell r="E1072" t="str">
            <v>MANDU, RAMGARH
JAISWAL COLONY, THANA CHOW,, RAMGARH CANTT. DIST. RAMGARH, JHARKHAND
825316
MANDU</v>
          </cell>
          <cell r="G1072">
            <v>8797891051</v>
          </cell>
          <cell r="K1072" t="str">
            <v>BWCS032691</v>
          </cell>
        </row>
        <row r="1073">
          <cell r="E1073" t="str">
            <v>GIRIDIH</v>
          </cell>
          <cell r="G1073">
            <v>9155064551</v>
          </cell>
          <cell r="K1073" t="str">
            <v>BXFD164599</v>
          </cell>
        </row>
        <row r="1074">
          <cell r="E1074" t="str">
            <v>BARIATU</v>
          </cell>
          <cell r="G1074">
            <v>7620900412</v>
          </cell>
          <cell r="K1074" t="str">
            <v>BUGS047159</v>
          </cell>
        </row>
        <row r="1075">
          <cell r="E1075" t="str">
            <v>BIT MESRA, RANCHI</v>
          </cell>
          <cell r="G1075">
            <v>8010635349</v>
          </cell>
          <cell r="K1075" t="str">
            <v>BVIC378175</v>
          </cell>
        </row>
        <row r="1076">
          <cell r="E1076" t="str">
            <v>BIT MESRA, RANCHI</v>
          </cell>
          <cell r="G1076">
            <v>9693768894</v>
          </cell>
          <cell r="K1076" t="str">
            <v>BXBS036231</v>
          </cell>
        </row>
        <row r="1077">
          <cell r="E1077" t="str">
            <v>KOKAR,INDUSTRIAL AREA,RANCHI
834002
RANCHI</v>
          </cell>
          <cell r="G1077">
            <v>7781017197</v>
          </cell>
          <cell r="K1077" t="str">
            <v>BMKC370048</v>
          </cell>
        </row>
        <row r="1078">
          <cell r="E1078" t="str">
            <v>BARKAGAON</v>
          </cell>
          <cell r="G1078">
            <v>8978792036</v>
          </cell>
          <cell r="K1078" t="str">
            <v>BWID231694</v>
          </cell>
        </row>
        <row r="1079">
          <cell r="E1079" t="str">
            <v>DHANBAD</v>
          </cell>
          <cell r="G1079">
            <v>8651033015</v>
          </cell>
          <cell r="K1079" t="str">
            <v>BXKD164192</v>
          </cell>
        </row>
        <row r="1080">
          <cell r="E1080" t="str">
            <v>KOKAR INDUSTRIAL AREA KOKAR</v>
          </cell>
          <cell r="G1080">
            <v>8404802069</v>
          </cell>
          <cell r="K1080" t="str">
            <v>BXDC373881</v>
          </cell>
        </row>
        <row r="1081">
          <cell r="E1081" t="str">
            <v>KUCHU, ORMANJHI</v>
          </cell>
          <cell r="G1081">
            <v>9935301771</v>
          </cell>
          <cell r="K1081" t="str">
            <v>BKAS040272</v>
          </cell>
        </row>
        <row r="1082">
          <cell r="E1082" t="str">
            <v>PETARWAR</v>
          </cell>
          <cell r="G1082">
            <v>7004263425</v>
          </cell>
          <cell r="K1082" t="str">
            <v>BXAC372926</v>
          </cell>
        </row>
        <row r="1083">
          <cell r="E1083" t="str">
            <v>KATRAS, DHANBAD</v>
          </cell>
          <cell r="G1083">
            <v>9931519401</v>
          </cell>
          <cell r="K1083" t="str">
            <v>BWAD163674</v>
          </cell>
        </row>
        <row r="1084">
          <cell r="E1084" t="str">
            <v>OPERATIONS OFFICER, BOKARO BP, KIND ATTEN.ABHISHEK TRIPATHI, MOB. NO.8789972995, VENDOR CODE-11970380
OPERATIONS OFFICER, BOKARO BP, KIND ATTEN.ABHISHEK TRIPATHI, MOB. NO.8789972995, VENDOR CODE-11970380
827014
LPG BOTTALING PLANT, BALIDIH,</v>
          </cell>
          <cell r="G1084">
            <v>8797456432</v>
          </cell>
          <cell r="K1084" t="str">
            <v>BOCS040147</v>
          </cell>
        </row>
        <row r="1085">
          <cell r="E1085" t="str">
            <v>B7-PHASE-3, BALIDIH INDUSTRIAL AREA BALIDIH, BOKARO STEEL CITY BOKARO, JHARKHAND
SUNDARAM STEELS PVT. LTD, B-7 PHASE-III,BOKARO INDUSTRIAL AREA,BALIDIH, BOKARO
827014</v>
          </cell>
          <cell r="G1085">
            <v>8809460014</v>
          </cell>
          <cell r="K1085" t="str">
            <v>BTHS031467</v>
          </cell>
        </row>
        <row r="1086">
          <cell r="E1086" t="str">
            <v>AMLO PHUSHRO</v>
          </cell>
          <cell r="G1086">
            <v>9006617909</v>
          </cell>
          <cell r="K1086" t="str">
            <v>BXKD164191</v>
          </cell>
        </row>
        <row r="1087">
          <cell r="E1087" t="str">
            <v>RAMGRAH</v>
          </cell>
          <cell r="G1087">
            <v>9155729786</v>
          </cell>
          <cell r="K1087" t="str">
            <v>BVAS038005</v>
          </cell>
        </row>
        <row r="1088">
          <cell r="E1088" t="str">
            <v>MARAR, RAMGARH, JHARKHAND
MARRAR RAMGARH, 9155729786
829117
MARAR</v>
          </cell>
          <cell r="G1088">
            <v>9155729786</v>
          </cell>
          <cell r="K1088" t="str">
            <v>BMIS031759</v>
          </cell>
        </row>
        <row r="1089">
          <cell r="E1089" t="str">
            <v>BARKAGAON, HAZARIBAGH</v>
          </cell>
          <cell r="G1089">
            <v>7070010949</v>
          </cell>
          <cell r="K1089" t="str">
            <v>BWLD231334</v>
          </cell>
        </row>
        <row r="1090">
          <cell r="E1090" t="str">
            <v>BARKAGAON, HAZARIBAGH</v>
          </cell>
          <cell r="G1090">
            <v>7070010949</v>
          </cell>
          <cell r="K1090" t="str">
            <v>BWLD231345</v>
          </cell>
        </row>
        <row r="1091">
          <cell r="E1091" t="str">
            <v>CHATRA</v>
          </cell>
          <cell r="G1091">
            <v>7004915623</v>
          </cell>
          <cell r="K1091" t="str">
            <v>BXID164737</v>
          </cell>
        </row>
        <row r="1092">
          <cell r="E1092" t="str">
            <v>PATRATU</v>
          </cell>
          <cell r="G1092">
            <v>9661430171</v>
          </cell>
          <cell r="K1092" t="str">
            <v>BXAD164301</v>
          </cell>
        </row>
        <row r="1093">
          <cell r="E1093" t="str">
            <v>CHAS BOKARO</v>
          </cell>
          <cell r="G1093">
            <v>9805175913</v>
          </cell>
          <cell r="K1093" t="str">
            <v>BVEC376827</v>
          </cell>
        </row>
        <row r="1094">
          <cell r="E1094" t="str">
            <v>CHAS, BOKARO
827013</v>
          </cell>
          <cell r="G1094">
            <v>7992434966</v>
          </cell>
          <cell r="K1094" t="str">
            <v>BSEC376103</v>
          </cell>
        </row>
        <row r="1095">
          <cell r="E1095" t="str">
            <v>MAHTO COLONY, TELEDIH, CHAS, BOKARO</v>
          </cell>
          <cell r="G1095">
            <v>7992434966</v>
          </cell>
          <cell r="K1095" t="str">
            <v>BVJC374285</v>
          </cell>
        </row>
        <row r="1096">
          <cell r="E1096" t="str">
            <v>HULHUNDU, RANCHI</v>
          </cell>
          <cell r="G1096">
            <v>7294116595</v>
          </cell>
          <cell r="K1096" t="str">
            <v>BXDS036810</v>
          </cell>
        </row>
        <row r="1097">
          <cell r="E1097" t="str">
            <v>NTPC BARKAGAON</v>
          </cell>
          <cell r="G1097">
            <v>7070010949</v>
          </cell>
          <cell r="K1097" t="str">
            <v>BYLD201693</v>
          </cell>
        </row>
        <row r="1098">
          <cell r="E1098" t="str">
            <v>CHATRA</v>
          </cell>
          <cell r="G1098">
            <v>9304734925</v>
          </cell>
          <cell r="K1098" t="str">
            <v>BXKD164160</v>
          </cell>
        </row>
        <row r="1099">
          <cell r="E1099" t="str">
            <v>PHUSHRO</v>
          </cell>
          <cell r="G1099">
            <v>7979946647</v>
          </cell>
          <cell r="K1099" t="str">
            <v>BVED163244</v>
          </cell>
        </row>
        <row r="1100">
          <cell r="E1100" t="str">
            <v>DUMKA</v>
          </cell>
          <cell r="G1100">
            <v>9955009511</v>
          </cell>
          <cell r="K1100" t="str">
            <v>BXCC373541</v>
          </cell>
        </row>
        <row r="1101">
          <cell r="E1101" t="str">
            <v>ASANSOL WB</v>
          </cell>
          <cell r="G1101">
            <v>7908100638</v>
          </cell>
          <cell r="K1101" t="str">
            <v>BXFD232225</v>
          </cell>
        </row>
        <row r="1102">
          <cell r="E1102" t="str">
            <v>BARHI INDUSTRIAL ARE BARHI</v>
          </cell>
          <cell r="G1102">
            <v>8795889641</v>
          </cell>
          <cell r="K1102" t="str">
            <v>BUES034992</v>
          </cell>
        </row>
        <row r="1103">
          <cell r="E1103" t="str">
            <v>SIDRAUL, NAMKUM, RANCHI
834010
SIDRAUL, NAMKUM, RANCHI</v>
          </cell>
          <cell r="G1103">
            <v>9993423669</v>
          </cell>
          <cell r="K1103" t="str">
            <v>UOHS030121</v>
          </cell>
        </row>
        <row r="1104">
          <cell r="E1104" t="str">
            <v>SIDRAUL, NAMKUM, RANCHI
834010
SIDRAUL, NAMKUM, RANCHI</v>
          </cell>
          <cell r="G1104">
            <v>9993423669</v>
          </cell>
          <cell r="K1104" t="str">
            <v>UOIS030128</v>
          </cell>
        </row>
        <row r="1105">
          <cell r="E1105" t="str">
            <v>RAMGARH</v>
          </cell>
          <cell r="G1105">
            <v>9939115073</v>
          </cell>
          <cell r="K1105" t="str">
            <v>BXHS037937</v>
          </cell>
        </row>
        <row r="1106">
          <cell r="E1106" t="str">
            <v>BHULI, DHANBAD</v>
          </cell>
          <cell r="G1106">
            <v>7541046561</v>
          </cell>
          <cell r="K1106" t="str">
            <v>BWEC370394</v>
          </cell>
        </row>
        <row r="1107">
          <cell r="E1107" t="str">
            <v>BHULI, DHANBAD</v>
          </cell>
          <cell r="G1107">
            <v>7541046561</v>
          </cell>
          <cell r="K1107" t="str">
            <v>BVFS039912</v>
          </cell>
        </row>
        <row r="1108">
          <cell r="E1108" t="str">
            <v>BALIDIH, BOKARO</v>
          </cell>
          <cell r="G1108">
            <v>8797300962</v>
          </cell>
          <cell r="K1108" t="str">
            <v>BWIC371523</v>
          </cell>
        </row>
        <row r="1109">
          <cell r="E1109" t="str">
            <v>SIKIDARI, ORMANJHI</v>
          </cell>
          <cell r="G1109">
            <v>7569937945</v>
          </cell>
          <cell r="K1109" t="str">
            <v>BYAD164973</v>
          </cell>
        </row>
        <row r="1110">
          <cell r="E1110" t="str">
            <v>MOHAGAMA</v>
          </cell>
          <cell r="G1110">
            <v>8074094680</v>
          </cell>
          <cell r="K1110" t="str">
            <v>BWCD121690</v>
          </cell>
        </row>
        <row r="1111">
          <cell r="E1111" t="str">
            <v>SAYAL, RAMGRAH</v>
          </cell>
          <cell r="G1111">
            <v>9095444151</v>
          </cell>
          <cell r="K1111" t="str">
            <v>BXAD164301</v>
          </cell>
        </row>
        <row r="1112">
          <cell r="E1112" t="str">
            <v>JHARIA</v>
          </cell>
          <cell r="G1112">
            <v>7644045555</v>
          </cell>
          <cell r="K1112" t="str">
            <v>BXBD164358</v>
          </cell>
        </row>
        <row r="1113">
          <cell r="E1113" t="str">
            <v>TATISILWAI, JHARKHAND
835103</v>
          </cell>
          <cell r="G1113">
            <v>6200160428</v>
          </cell>
          <cell r="K1113" t="str">
            <v>BQHS040705</v>
          </cell>
        </row>
        <row r="1114">
          <cell r="E1114" t="str">
            <v>ASANSOL WB</v>
          </cell>
          <cell r="G1114">
            <v>8617494518</v>
          </cell>
          <cell r="K1114" t="str">
            <v>BXFD232225</v>
          </cell>
        </row>
        <row r="1115">
          <cell r="E1115" t="str">
            <v>SIMRAHI, SUPOL, BIHAR</v>
          </cell>
          <cell r="G1115">
            <v>9752654141</v>
          </cell>
          <cell r="K1115" t="str">
            <v>BUCD121174</v>
          </cell>
        </row>
        <row r="1116">
          <cell r="E1116" t="str">
            <v>AMLO PHUSHRO</v>
          </cell>
          <cell r="G1116">
            <v>9006617909</v>
          </cell>
          <cell r="K1116" t="str">
            <v>BXKD164191</v>
          </cell>
        </row>
        <row r="1117">
          <cell r="E1117" t="str">
            <v>BARWADA</v>
          </cell>
          <cell r="G1117">
            <v>9443323223</v>
          </cell>
          <cell r="K1117" t="str">
            <v>BULD232523</v>
          </cell>
        </row>
        <row r="1118">
          <cell r="E1118" t="str">
            <v>LOHARDAGAH</v>
          </cell>
          <cell r="G1118">
            <v>9430750751</v>
          </cell>
          <cell r="K1118" t="str">
            <v>BUFS046839</v>
          </cell>
        </row>
        <row r="1119">
          <cell r="E1119" t="str">
            <v>REHLA,GARWA,JHARKHAND
822124
RANCHI</v>
          </cell>
          <cell r="G1119">
            <v>7004623399</v>
          </cell>
          <cell r="K1119" t="str">
            <v>GOIS031795</v>
          </cell>
        </row>
        <row r="1120">
          <cell r="E1120" t="str">
            <v>CHATRA,JHARKHAND</v>
          </cell>
          <cell r="G1120">
            <v>9905024960</v>
          </cell>
          <cell r="K1120" t="str">
            <v>BSKD200409</v>
          </cell>
        </row>
        <row r="1121">
          <cell r="E1121" t="str">
            <v>CHAS BOKARO</v>
          </cell>
          <cell r="G1121">
            <v>8969560475</v>
          </cell>
          <cell r="K1121" t="str">
            <v>BXBD164346</v>
          </cell>
        </row>
        <row r="1122">
          <cell r="E1122" t="str">
            <v>CHAS BOKARO</v>
          </cell>
          <cell r="G1122">
            <v>8002506007</v>
          </cell>
          <cell r="K1122" t="str">
            <v>BXBD164346</v>
          </cell>
        </row>
        <row r="1123">
          <cell r="E1123" t="str">
            <v>CHAS BOKARO</v>
          </cell>
          <cell r="G1123">
            <v>7004564809</v>
          </cell>
          <cell r="K1123" t="str">
            <v>BXBD164346</v>
          </cell>
        </row>
        <row r="1124">
          <cell r="E1124" t="str">
            <v>MARRAR, RAMGRAH</v>
          </cell>
          <cell r="G1124">
            <v>6306351211</v>
          </cell>
          <cell r="K1124" t="str">
            <v>BXJC371867</v>
          </cell>
        </row>
        <row r="1125">
          <cell r="E1125" t="str">
            <v>BARWADA, DHANBAD</v>
          </cell>
          <cell r="G1125">
            <v>9123424186</v>
          </cell>
          <cell r="K1125" t="str">
            <v>BXAD231957</v>
          </cell>
        </row>
        <row r="1126">
          <cell r="E1126" t="str">
            <v>KUCHU, ORMANJHI</v>
          </cell>
          <cell r="G1126">
            <v>9935301771</v>
          </cell>
          <cell r="K1126" t="str">
            <v>BKAS040272</v>
          </cell>
        </row>
        <row r="1127">
          <cell r="E1127" t="str">
            <v>LALPUR</v>
          </cell>
          <cell r="G1127">
            <v>9047727677</v>
          </cell>
          <cell r="K1127" t="str">
            <v>BVKS048013</v>
          </cell>
        </row>
        <row r="1128">
          <cell r="E1128" t="str">
            <v>BHURKUNDA</v>
          </cell>
          <cell r="G1128">
            <v>7672025601</v>
          </cell>
          <cell r="K1128" t="str">
            <v>BWHD164015</v>
          </cell>
        </row>
        <row r="1129">
          <cell r="E1129" t="str">
            <v>BADA TALAB, RANCHI</v>
          </cell>
          <cell r="G1129">
            <v>9471728981</v>
          </cell>
          <cell r="K1129" t="str">
            <v>BVFC377137</v>
          </cell>
        </row>
        <row r="1130">
          <cell r="E1130" t="str">
            <v>REHLA, GARHWA ROAD, PALAMU D.T, JHARKHAND
PALAMU JHARKHAND 822124
INDIA</v>
          </cell>
          <cell r="G1130">
            <v>7004971081</v>
          </cell>
          <cell r="K1130" t="str">
            <v>BLFS031469</v>
          </cell>
        </row>
        <row r="1131">
          <cell r="E1131" t="str">
            <v>NAGARI,</v>
          </cell>
          <cell r="G1131">
            <v>8864003869</v>
          </cell>
          <cell r="K1131" t="str">
            <v>BLGS040582</v>
          </cell>
        </row>
        <row r="1132">
          <cell r="E1132" t="str">
            <v>AURANGABAD, BIHAR</v>
          </cell>
          <cell r="G1132">
            <v>9771012500</v>
          </cell>
          <cell r="K1132" t="str">
            <v>BWHD163991</v>
          </cell>
        </row>
        <row r="1133">
          <cell r="E1133" t="str">
            <v>HORHAP ROAD, MAHILONG, RANCHI
835103
MAHILONG, TATISILWAI</v>
          </cell>
          <cell r="G1133">
            <v>9608787404</v>
          </cell>
          <cell r="K1133" t="str">
            <v>GPFC370737</v>
          </cell>
        </row>
        <row r="1134">
          <cell r="E1134" t="str">
            <v>AT: SENEGARHA, P.O-RABODH, P.S-GIDDI,(RAMGARH),, DISTT. HAZARIBAGH,JHARKHAND-825330
829108
AT: SENEGARHA, P.O-RABODH, P.S-GIDDI,(RAMGARH),</v>
          </cell>
          <cell r="G1134">
            <v>9006877583</v>
          </cell>
          <cell r="K1134" t="str">
            <v>BSCS037349</v>
          </cell>
        </row>
        <row r="1135">
          <cell r="E1135" t="str">
            <v>RAMGARH CANTT, RAMGARH
RAMGARH
829122
RAMGARH</v>
          </cell>
          <cell r="G1135">
            <v>9905511245</v>
          </cell>
          <cell r="K1135" t="str">
            <v>BNKS030423</v>
          </cell>
        </row>
        <row r="1136">
          <cell r="E1136" t="str">
            <v>HAZARIBAGH</v>
          </cell>
          <cell r="G1136">
            <v>9905784279</v>
          </cell>
          <cell r="K1136" t="str">
            <v>BVJC375621</v>
          </cell>
        </row>
        <row r="1137">
          <cell r="E1137" t="str">
            <v>TETULMARI, DHANBAD</v>
          </cell>
          <cell r="G1137">
            <v>6203015137</v>
          </cell>
          <cell r="K1137" t="str">
            <v>BWID164086</v>
          </cell>
        </row>
        <row r="1138">
          <cell r="E1138" t="str">
            <v>JHALDA</v>
          </cell>
          <cell r="G1138">
            <v>7001349489</v>
          </cell>
          <cell r="K1138" t="str">
            <v>BTIS044954</v>
          </cell>
        </row>
        <row r="1139">
          <cell r="E1139" t="str">
            <v>RATU ROAD, RANCHI</v>
          </cell>
          <cell r="G1139">
            <v>7070091150</v>
          </cell>
          <cell r="K1139" t="str">
            <v>BVEC377128</v>
          </cell>
        </row>
        <row r="1140">
          <cell r="E1140" t="str">
            <v>1, KOCP, DHANSAR, Dhanbad, Jharkhand, 828106</v>
          </cell>
          <cell r="G1140">
            <v>6360902039</v>
          </cell>
          <cell r="K1140" t="str">
            <v>BUIC373701</v>
          </cell>
        </row>
        <row r="1141">
          <cell r="E1141" t="str">
            <v>RANIGANJ, WB</v>
          </cell>
          <cell r="G1141">
            <v>9263996999</v>
          </cell>
          <cell r="K1141" t="str">
            <v>BPAD200098</v>
          </cell>
        </row>
        <row r="1142">
          <cell r="E1142" t="str">
            <v>BALIDIH, BOKARO</v>
          </cell>
          <cell r="G1142">
            <v>7009268216</v>
          </cell>
          <cell r="K1142" t="str">
            <v>BVCC376207</v>
          </cell>
        </row>
        <row r="1143">
          <cell r="E1143" t="str">
            <v>RAHELA, DALTAINGANJ</v>
          </cell>
          <cell r="G1143">
            <v>8789075522</v>
          </cell>
          <cell r="K1143" t="str">
            <v>BUGS035879</v>
          </cell>
        </row>
        <row r="1144">
          <cell r="E1144" t="str">
            <v>PHUSHRO</v>
          </cell>
          <cell r="G1144">
            <v>7979850751</v>
          </cell>
          <cell r="K1144" t="str">
            <v>BWAD163687</v>
          </cell>
        </row>
        <row r="1145">
          <cell r="E1145" t="str">
            <v>SAYAL, RAMGARH</v>
          </cell>
          <cell r="G1145">
            <v>9304185763</v>
          </cell>
          <cell r="K1145" t="str">
            <v>BXGD164632</v>
          </cell>
        </row>
        <row r="1146">
          <cell r="E1146" t="str">
            <v>PHUSHRO</v>
          </cell>
          <cell r="G1146">
            <v>7979850751</v>
          </cell>
          <cell r="K1146" t="str">
            <v>BVED163240</v>
          </cell>
        </row>
        <row r="1147">
          <cell r="E1147" t="str">
            <v>MAHUDA MORE</v>
          </cell>
          <cell r="G1147">
            <v>6204702963</v>
          </cell>
          <cell r="K1147" t="str">
            <v>BXGD164662</v>
          </cell>
        </row>
        <row r="1148">
          <cell r="E1148" t="str">
            <v>BARWADA</v>
          </cell>
          <cell r="G1148">
            <v>9443323223</v>
          </cell>
          <cell r="K1148" t="str">
            <v>BULD232523</v>
          </cell>
        </row>
        <row r="1149">
          <cell r="E1149" t="str">
            <v>LOHAR BHARWA, DHANBAD</v>
          </cell>
          <cell r="G1149">
            <v>7004225629</v>
          </cell>
          <cell r="K1149" t="str">
            <v>BWKC378511</v>
          </cell>
        </row>
        <row r="1150">
          <cell r="E1150" t="str">
            <v>BARKAGAON, HAZARIBAGH</v>
          </cell>
          <cell r="G1150">
            <v>8919645238</v>
          </cell>
          <cell r="K1150" t="str">
            <v>BXJD231726</v>
          </cell>
        </row>
        <row r="1151">
          <cell r="E1151" t="str">
            <v>CHATRA, HAZARIBAGH</v>
          </cell>
          <cell r="G1151">
            <v>7250253892</v>
          </cell>
          <cell r="K1151" t="str">
            <v>BWID164050</v>
          </cell>
        </row>
        <row r="1152">
          <cell r="E1152" t="str">
            <v>GOVINDPUR, PHUSHRO</v>
          </cell>
          <cell r="G1152">
            <v>7672025601</v>
          </cell>
          <cell r="K1152" t="str">
            <v>BXCD164422</v>
          </cell>
        </row>
        <row r="1153">
          <cell r="E1153" t="str">
            <v>AURANGABAD</v>
          </cell>
          <cell r="G1153">
            <v>9090169180</v>
          </cell>
          <cell r="K1153" t="str">
            <v>BXLD164263</v>
          </cell>
        </row>
        <row r="1154">
          <cell r="E1154" t="str">
            <v>BARKAGAON, HAZARIBAGH</v>
          </cell>
          <cell r="G1154">
            <v>8919645238</v>
          </cell>
          <cell r="K1154" t="str">
            <v>BXJD231749</v>
          </cell>
        </row>
        <row r="1155">
          <cell r="E1155" t="str">
            <v>KOKAR,INDUSTRIAL AREA,RANCHI
834002
RANCHI</v>
          </cell>
          <cell r="G1155">
            <v>7781017197</v>
          </cell>
          <cell r="K1155" t="str">
            <v>BMKC370048</v>
          </cell>
        </row>
        <row r="1156">
          <cell r="E1156" t="str">
            <v>ANGARPATHRA</v>
          </cell>
          <cell r="G1156">
            <v>8789685581</v>
          </cell>
          <cell r="K1156" t="str">
            <v>BXLD164919</v>
          </cell>
        </row>
        <row r="1157">
          <cell r="E1157" t="str">
            <v>GROUND FLOOR,, OFFICE NO.448A, ROAD NO.4, ASHOK NAGAR
GROUND FLOOR,, OFFICE NO.448A, ROAD NO.4, ASHOK NAGAR
829118
PLOT NO:- 47P, PATRATU INDUSTRIAL AREA</v>
          </cell>
          <cell r="G1157">
            <v>8102928348</v>
          </cell>
          <cell r="K1157" t="str">
            <v>GOGC370754</v>
          </cell>
        </row>
        <row r="1158">
          <cell r="E1158" t="str">
            <v>CHAS BOKARO</v>
          </cell>
          <cell r="G1158">
            <v>8969560475</v>
          </cell>
          <cell r="K1158" t="str">
            <v>BXBD164346</v>
          </cell>
        </row>
        <row r="1159">
          <cell r="E1159" t="str">
            <v>RAMGRAH BAZAR SAMITI, RAMGRAH</v>
          </cell>
          <cell r="G1159">
            <v>8092762251</v>
          </cell>
          <cell r="K1159" t="str">
            <v>BULC370861</v>
          </cell>
        </row>
        <row r="1160">
          <cell r="E1160" t="str">
            <v>PANDWA, RANCHI</v>
          </cell>
          <cell r="G1160">
            <v>7909069824</v>
          </cell>
          <cell r="K1160" t="str">
            <v>BWEC370313</v>
          </cell>
        </row>
        <row r="1161">
          <cell r="E1161" t="str">
            <v>MAHUDA MORE, DHANBAD</v>
          </cell>
          <cell r="G1161">
            <v>6204702963</v>
          </cell>
          <cell r="K1161" t="str">
            <v>BWHD164004</v>
          </cell>
        </row>
        <row r="1162">
          <cell r="E1162" t="str">
            <v>RAJGIR, BIHAR</v>
          </cell>
          <cell r="G1162">
            <v>6301447200</v>
          </cell>
          <cell r="K1162" t="str">
            <v>BXHD232326</v>
          </cell>
        </row>
        <row r="1163">
          <cell r="E1163" t="str">
            <v>TUPUDANA INDUSTRIAL AREA, RANCHI
PLOT NO. - 45 &amp; 46, TUPUDAN AINDUSTRIAL AREA, TUPUDANA, HATIA, RANCHI
834003
TIPUDANA INDUSTRIAL AREA</v>
          </cell>
          <cell r="G1163">
            <v>8003055884</v>
          </cell>
          <cell r="K1163" t="str">
            <v>BVDS039458</v>
          </cell>
        </row>
        <row r="1164">
          <cell r="E1164" t="str">
            <v>TATISILWAI, RANCHI</v>
          </cell>
          <cell r="G1164">
            <v>6201580224</v>
          </cell>
          <cell r="K1164" t="str">
            <v>BWHD163996</v>
          </cell>
        </row>
        <row r="1165">
          <cell r="E1165" t="str">
            <v>TUPUDANA INDUSTRIAL AREA, RANCHI
PLOT NO. - 45 &amp; 46, TUPUDAN AINDUSTRIAL AREA, TUPUDANA, HATIA, RANCHI
834003
TIPUDANA INDUSTRIAL AREA</v>
          </cell>
          <cell r="G1165">
            <v>8003055884</v>
          </cell>
          <cell r="K1165" t="str">
            <v>BQBS033819</v>
          </cell>
        </row>
        <row r="1166">
          <cell r="E1166" t="str">
            <v>TATISILWAI, RANCHI</v>
          </cell>
          <cell r="G1166">
            <v>9334678672</v>
          </cell>
          <cell r="K1166" t="str">
            <v>BWCC379950</v>
          </cell>
        </row>
        <row r="1167">
          <cell r="E1167" t="str">
            <v>UPPER BAZAR,RANCHI
834001
UPPER BAZAR,</v>
          </cell>
          <cell r="G1167">
            <v>9334678672</v>
          </cell>
          <cell r="K1167" t="str">
            <v>BRJC371828</v>
          </cell>
        </row>
        <row r="1168">
          <cell r="E1168" t="str">
            <v>VILL - BARIDARI, BOKARO</v>
          </cell>
          <cell r="G1168">
            <v>8340606631</v>
          </cell>
          <cell r="K1168" t="str">
            <v>BSCD161704</v>
          </cell>
        </row>
        <row r="1169">
          <cell r="E1169" t="str">
            <v>JHARIA</v>
          </cell>
          <cell r="G1169">
            <v>7644045555</v>
          </cell>
          <cell r="K1169" t="str">
            <v>BXBD164358</v>
          </cell>
        </row>
        <row r="1170">
          <cell r="E1170" t="str">
            <v>KOKAR,INDUSTRIAL AREA,RANCHI
834002
RANCHI</v>
          </cell>
          <cell r="G1170">
            <v>7781017197</v>
          </cell>
          <cell r="K1170" t="str">
            <v>BMKC370048</v>
          </cell>
        </row>
        <row r="1171">
          <cell r="E1171" t="str">
            <v>NIRSA</v>
          </cell>
          <cell r="G1171">
            <v>9348331797</v>
          </cell>
          <cell r="K1171" t="str">
            <v>BULD162561</v>
          </cell>
        </row>
        <row r="1172">
          <cell r="E1172" t="str">
            <v>GOVINDPUR, DHANBAD</v>
          </cell>
          <cell r="G1172">
            <v>7254622131</v>
          </cell>
          <cell r="K1172" t="str">
            <v>BVDS039346</v>
          </cell>
        </row>
        <row r="1173">
          <cell r="E1173" t="str">
            <v>LODNA NTS</v>
          </cell>
          <cell r="G1173">
            <v>7644045555</v>
          </cell>
          <cell r="K1173" t="str">
            <v>BXKD164206</v>
          </cell>
        </row>
        <row r="1174">
          <cell r="E1174" t="str">
            <v>TAPIN PROJECT, CHARHI</v>
          </cell>
          <cell r="G1174">
            <v>6204816691</v>
          </cell>
          <cell r="K1174" t="str">
            <v>BVLD163067</v>
          </cell>
        </row>
        <row r="1175">
          <cell r="E1175" t="str">
            <v>BALIDIH INDUSTRIAL AREA
827014</v>
          </cell>
          <cell r="G1175">
            <v>9553775728</v>
          </cell>
          <cell r="K1175" t="str">
            <v>BTDS044304</v>
          </cell>
        </row>
        <row r="1176">
          <cell r="E1176" t="str">
            <v>BALIDIH INDUSTRIAL AREA
827014</v>
          </cell>
          <cell r="G1176">
            <v>7004333419</v>
          </cell>
          <cell r="K1176" t="str">
            <v>BTDS044313</v>
          </cell>
        </row>
        <row r="1177">
          <cell r="E1177" t="str">
            <v>BALIDIH INDUSTRIAL AREA
827014</v>
          </cell>
          <cell r="G1177">
            <v>7004333419</v>
          </cell>
          <cell r="K1177" t="str">
            <v>BYJS038729</v>
          </cell>
        </row>
        <row r="1178">
          <cell r="E1178" t="str">
            <v>BALIDIH INDUSTRIAL AREA, BALIDIH BOKARO</v>
          </cell>
          <cell r="G1178">
            <v>7004333419</v>
          </cell>
          <cell r="K1178">
            <v>164253</v>
          </cell>
        </row>
        <row r="1179">
          <cell r="E1179" t="str">
            <v>PIPARWAR</v>
          </cell>
          <cell r="G1179">
            <v>7070010949</v>
          </cell>
          <cell r="K1179" t="str">
            <v>BXJD231746</v>
          </cell>
        </row>
        <row r="1180">
          <cell r="E1180" t="str">
            <v>DHANBAD</v>
          </cell>
          <cell r="G1180">
            <v>9348067513</v>
          </cell>
          <cell r="K1180" t="str">
            <v>BXFD164587</v>
          </cell>
        </row>
        <row r="1181">
          <cell r="E1181" t="str">
            <v>BARHI, HAZARIBAGH</v>
          </cell>
          <cell r="G1181">
            <v>7707017707</v>
          </cell>
          <cell r="K1181" t="str">
            <v>BWLS031873</v>
          </cell>
        </row>
        <row r="1182">
          <cell r="E1182" t="str">
            <v>NAGARI, RANCHI
834006</v>
          </cell>
          <cell r="G1182">
            <v>7061231604</v>
          </cell>
          <cell r="K1182" t="str">
            <v>BRAC372524</v>
          </cell>
        </row>
        <row r="1183">
          <cell r="E1183" t="str">
            <v>CHAS BOKARO</v>
          </cell>
          <cell r="G1183">
            <v>7004564809</v>
          </cell>
          <cell r="K1183" t="str">
            <v>BXBD164346</v>
          </cell>
        </row>
        <row r="1184">
          <cell r="E1184" t="str">
            <v>DALADALI, RANCHI</v>
          </cell>
          <cell r="G1184">
            <v>9835538524</v>
          </cell>
          <cell r="K1184" t="str">
            <v>BWFD163940</v>
          </cell>
        </row>
        <row r="1185">
          <cell r="E1185" t="str">
            <v>TATISILWAI, RANCHI</v>
          </cell>
          <cell r="G1185">
            <v>9334678672</v>
          </cell>
          <cell r="K1185" t="str">
            <v>BWCC379950</v>
          </cell>
        </row>
        <row r="1186">
          <cell r="E1186" t="str">
            <v>UPPER BAZAR,RANCHI
834001
UPPER BAZAR,</v>
          </cell>
          <cell r="G1186">
            <v>9334678672</v>
          </cell>
          <cell r="K1186" t="str">
            <v>BRJC371828</v>
          </cell>
        </row>
        <row r="1187">
          <cell r="E1187" t="str">
            <v>PLOT NO. 148, TUPUDANA, INDUSTRIAL AREA, HATIA, RANCHI
834002</v>
          </cell>
          <cell r="G1187">
            <v>9534249500</v>
          </cell>
          <cell r="K1187" t="str">
            <v>BSLS036682</v>
          </cell>
        </row>
        <row r="1188">
          <cell r="E1188" t="str">
            <v>PLOT NO. 148, TUPUDANA, INDUSTRIAL AREA, HATIA, RANCHI
834002</v>
          </cell>
          <cell r="G1188">
            <v>9534249500</v>
          </cell>
          <cell r="K1188" t="str">
            <v>BXKS035161</v>
          </cell>
        </row>
        <row r="1189">
          <cell r="E1189" t="str">
            <v>PLOT NO. 148, TUPUDANA, INDUSTRIAL AREA, HATIA, RANCHI
834002</v>
          </cell>
          <cell r="G1189">
            <v>9534249500</v>
          </cell>
          <cell r="K1189" t="str">
            <v>BRIS035838</v>
          </cell>
        </row>
        <row r="1190">
          <cell r="E1190" t="str">
            <v>TIPUDANA INDUSTRIAL AREA, HATIA,</v>
          </cell>
          <cell r="G1190">
            <v>9534249500</v>
          </cell>
          <cell r="K1190" t="str">
            <v>BJGS031396</v>
          </cell>
        </row>
        <row r="1191">
          <cell r="E1191" t="str">
            <v>TAPIN HAZARIBAGH</v>
          </cell>
          <cell r="G1191">
            <v>8002177613</v>
          </cell>
          <cell r="K1191" t="str">
            <v>BTGD162289</v>
          </cell>
        </row>
        <row r="1192">
          <cell r="E1192" t="str">
            <v>PARSAI, GOVINDPUR</v>
          </cell>
          <cell r="G1192">
            <v>8348686307</v>
          </cell>
          <cell r="K1192" t="str">
            <v>BXLS042384</v>
          </cell>
        </row>
        <row r="1193">
          <cell r="E1193" t="str">
            <v>PLOT NO. 79, KAPASARA,, SUNDERNAGAR, CHIRKUNDA,, DHANBAD - 828 202
PLOT NO. 79, KAPASARA,, SUNDERNAGAR, CHIRKUNDA,, DHANBAD - 828 202
828202</v>
          </cell>
          <cell r="G1193">
            <v>8101005542</v>
          </cell>
          <cell r="K1193" t="str">
            <v>BTFS031006</v>
          </cell>
        </row>
        <row r="1194">
          <cell r="E1194" t="str">
            <v>JHUMRI TELAIYA, KODARMA
825409</v>
          </cell>
          <cell r="G1194">
            <v>9455305544</v>
          </cell>
          <cell r="K1194" t="str">
            <v>BSBC375530</v>
          </cell>
        </row>
        <row r="1195">
          <cell r="E1195" t="str">
            <v>LODNA NTS</v>
          </cell>
          <cell r="G1195">
            <v>7644045555</v>
          </cell>
          <cell r="K1195" t="str">
            <v>BXKD164206</v>
          </cell>
        </row>
        <row r="1196">
          <cell r="E1196" t="str">
            <v>HAZARIBAGH
RANCHI JHARKHAND 834002
INDIA</v>
          </cell>
          <cell r="G1196">
            <v>9304664534</v>
          </cell>
          <cell r="K1196" t="str">
            <v>BKAS030685</v>
          </cell>
        </row>
        <row r="1197">
          <cell r="E1197" t="str">
            <v>CHATRA</v>
          </cell>
          <cell r="G1197">
            <v>7004915623</v>
          </cell>
          <cell r="K1197" t="str">
            <v>BSLD200427</v>
          </cell>
        </row>
        <row r="1198">
          <cell r="E1198" t="str">
            <v>DEOGRAH</v>
          </cell>
          <cell r="G1198">
            <v>8969595423</v>
          </cell>
          <cell r="K1198" t="str">
            <v>BXKD164166</v>
          </cell>
        </row>
        <row r="1199">
          <cell r="E1199" t="str">
            <v>PHUSHRO</v>
          </cell>
          <cell r="G1199">
            <v>7979946647</v>
          </cell>
          <cell r="K1199" t="str">
            <v>BWHD231642</v>
          </cell>
        </row>
        <row r="1200">
          <cell r="E1200" t="str">
            <v>NIRSA, DHANBAD</v>
          </cell>
          <cell r="G1200">
            <v>9931921808</v>
          </cell>
          <cell r="K1200" t="str">
            <v>BIED200036</v>
          </cell>
        </row>
        <row r="1201">
          <cell r="E1201" t="str">
            <v>HOSHIR GIDDI,RAMGARH
NEAR P.N. BANK MAIN ROAD, RAMGARH CANTT. 829122
829110</v>
          </cell>
          <cell r="G1201">
            <v>9835381268</v>
          </cell>
          <cell r="K1201" t="str">
            <v>GPJS030042</v>
          </cell>
        </row>
        <row r="1202">
          <cell r="E1202" t="str">
            <v>HOSHIR GIDDI,RAMGARH
NEAR P.N. BANK MAIN ROAD, RAMGARH CANTT. 829122
829110</v>
          </cell>
          <cell r="G1202">
            <v>9835381268</v>
          </cell>
          <cell r="K1202" t="str">
            <v>BRHS035368</v>
          </cell>
        </row>
        <row r="1203">
          <cell r="E1203" t="str">
            <v>RAMGARH SPONGE IRON PVT LTD VILLAGE:HOSHIR GIDDI-POHAZARIBAGH(DT)JHARKHAND IND
829110</v>
          </cell>
          <cell r="G1203">
            <v>9835381268</v>
          </cell>
          <cell r="K1203" t="str">
            <v>BKCS040470</v>
          </cell>
        </row>
        <row r="1204">
          <cell r="E1204" t="str">
            <v>PIPARWAR</v>
          </cell>
          <cell r="G1204">
            <v>7070010949</v>
          </cell>
          <cell r="K1204" t="str">
            <v>BXJD231746</v>
          </cell>
        </row>
        <row r="1205">
          <cell r="E1205" t="str">
            <v>RANIGANJ, WB</v>
          </cell>
          <cell r="G1205">
            <v>8789685581</v>
          </cell>
          <cell r="K1205" t="str">
            <v>BWED163890</v>
          </cell>
        </row>
        <row r="1206">
          <cell r="E1206" t="str">
            <v>RAMGARH</v>
          </cell>
          <cell r="G1206">
            <v>9523364242</v>
          </cell>
          <cell r="K1206" t="str">
            <v>BXHS037937</v>
          </cell>
        </row>
        <row r="1207">
          <cell r="E1207" t="str">
            <v>LODNA</v>
          </cell>
          <cell r="G1207">
            <v>7644045555</v>
          </cell>
          <cell r="K1207" t="str">
            <v>BVJD162972</v>
          </cell>
        </row>
        <row r="1208">
          <cell r="E1208" t="str">
            <v>TUBED MINES, LATEHAR</v>
          </cell>
          <cell r="G1208">
            <v>6263452330</v>
          </cell>
          <cell r="K1208" t="str">
            <v>BXGD232278</v>
          </cell>
        </row>
        <row r="1209">
          <cell r="E1209" t="str">
            <v>DUMKA</v>
          </cell>
          <cell r="G1209">
            <v>9955009511</v>
          </cell>
          <cell r="K1209" t="str">
            <v>BXCC373541</v>
          </cell>
        </row>
        <row r="1210">
          <cell r="E1210" t="str">
            <v>NTA LODNA, DHANBAD</v>
          </cell>
          <cell r="G1210">
            <v>7644045555</v>
          </cell>
          <cell r="K1210" t="str">
            <v>BULD162559</v>
          </cell>
        </row>
        <row r="1211">
          <cell r="E1211" t="str">
            <v>PITHORIA</v>
          </cell>
          <cell r="G1211">
            <v>7050471419</v>
          </cell>
          <cell r="K1211" t="str">
            <v>BWED163893</v>
          </cell>
        </row>
        <row r="1212">
          <cell r="E1212" t="str">
            <v>KODERMA</v>
          </cell>
          <cell r="G1212">
            <v>8210413459</v>
          </cell>
          <cell r="K1212" t="str">
            <v>BVFS049426</v>
          </cell>
        </row>
        <row r="1213">
          <cell r="E1213" t="str">
            <v>KODERMA</v>
          </cell>
          <cell r="G1213">
            <v>8102924905</v>
          </cell>
          <cell r="K1213" t="str">
            <v>BVFS049407</v>
          </cell>
        </row>
        <row r="1214">
          <cell r="E1214" t="str">
            <v>RANIGANJ, WB</v>
          </cell>
          <cell r="G1214">
            <v>8789685581</v>
          </cell>
          <cell r="K1214" t="str">
            <v>BWED163890</v>
          </cell>
        </row>
        <row r="1215">
          <cell r="E1215" t="str">
            <v>ENA COLLEARY</v>
          </cell>
          <cell r="G1215">
            <v>6299143649</v>
          </cell>
          <cell r="K1215" t="str">
            <v>BXJD164132</v>
          </cell>
        </row>
        <row r="1216">
          <cell r="E1216" t="str">
            <v>KULI, RAMGRAH</v>
          </cell>
          <cell r="G1216">
            <v>9691773091</v>
          </cell>
          <cell r="K1216" t="str">
            <v>BVGD163297</v>
          </cell>
        </row>
        <row r="1217">
          <cell r="E1217" t="str">
            <v>URIMARI, RAMGARH</v>
          </cell>
          <cell r="G1217">
            <v>9234615009</v>
          </cell>
          <cell r="K1217" t="str">
            <v>BXFD232221</v>
          </cell>
        </row>
        <row r="1218">
          <cell r="E1218" t="str">
            <v>BOKARO</v>
          </cell>
          <cell r="G1218">
            <v>9934169104</v>
          </cell>
          <cell r="K1218" t="str">
            <v>BYLD164901</v>
          </cell>
        </row>
        <row r="1219">
          <cell r="E1219" t="str">
            <v>KATRAS, DHANBAD</v>
          </cell>
          <cell r="G1219">
            <v>9931519401</v>
          </cell>
          <cell r="K1219" t="str">
            <v>BWAD163674</v>
          </cell>
        </row>
        <row r="1220">
          <cell r="E1220" t="str">
            <v>PAKUR</v>
          </cell>
          <cell r="G1220">
            <v>9585918025</v>
          </cell>
          <cell r="K1220" t="str">
            <v>BXHD232312</v>
          </cell>
        </row>
        <row r="1221">
          <cell r="E1221" t="str">
            <v>TUPUDANA INDUSTRIAL AREA, RANCHI
PLOT NO. - 45 &amp; 46, TUPUDAN AINDUSTRIAL AREA, TUPUDANA, HATIA, RANCHI
834003
TIPUDANA INDUSTRIAL AREA</v>
          </cell>
          <cell r="G1221">
            <v>8003055884</v>
          </cell>
          <cell r="K1221" t="str">
            <v>BQBS033819</v>
          </cell>
        </row>
        <row r="1222">
          <cell r="E1222" t="str">
            <v>TUPUDANA INDUSTRIAL AREA, RANCHI
PLOT NO. - 45 &amp; 46, TUPUDAN AINDUSTRIAL AREA, TUPUDANA, HATIA, RANCHI
834003
TIPUDANA INDUSTRIAL AREA</v>
          </cell>
          <cell r="G1222">
            <v>8003055884</v>
          </cell>
          <cell r="K1222" t="str">
            <v>BVDS039458</v>
          </cell>
        </row>
        <row r="1223">
          <cell r="E1223" t="str">
            <v>TATISILWAI, RANCHI</v>
          </cell>
          <cell r="G1223">
            <v>7004028506</v>
          </cell>
          <cell r="K1223" t="str">
            <v>BWCC379947</v>
          </cell>
        </row>
        <row r="1224">
          <cell r="E1224" t="str">
            <v>BARWADA</v>
          </cell>
          <cell r="G1224">
            <v>8059000900</v>
          </cell>
          <cell r="K1224" t="str">
            <v>BYKD164879</v>
          </cell>
        </row>
        <row r="1225">
          <cell r="E1225" t="str">
            <v>SAHEBGANJ</v>
          </cell>
          <cell r="G1225">
            <v>6204854829</v>
          </cell>
          <cell r="K1225" t="str">
            <v>BXID164764</v>
          </cell>
        </row>
        <row r="1226">
          <cell r="E1226" t="str">
            <v>TANDWA, CHATRA</v>
          </cell>
          <cell r="G1226">
            <v>7032052579</v>
          </cell>
          <cell r="K1226" t="str">
            <v>BXJD164130</v>
          </cell>
        </row>
        <row r="1227">
          <cell r="E1227" t="str">
            <v>AMRAPALI, TANDWA</v>
          </cell>
          <cell r="G1227">
            <v>8555913918</v>
          </cell>
          <cell r="K1227" t="str">
            <v>BXLD164272</v>
          </cell>
        </row>
        <row r="1228">
          <cell r="E1228" t="str">
            <v>MESRA, RANCHI</v>
          </cell>
          <cell r="G1228">
            <v>9523535955</v>
          </cell>
          <cell r="K1228" t="str">
            <v>BXJF111817</v>
          </cell>
        </row>
        <row r="1229">
          <cell r="E1229" t="str">
            <v>PHUSHRO</v>
          </cell>
          <cell r="G1229">
            <v>7091340232</v>
          </cell>
          <cell r="K1229" t="str">
            <v>BWHD231642</v>
          </cell>
        </row>
        <row r="1230">
          <cell r="E1230" t="str">
            <v>BHORA</v>
          </cell>
          <cell r="G1230">
            <v>9550035031</v>
          </cell>
          <cell r="K1230" t="str">
            <v>BVHD163331</v>
          </cell>
        </row>
        <row r="1231">
          <cell r="E1231" t="str">
            <v>PLOT NO 716,VILL-RUKKA,
835219</v>
          </cell>
          <cell r="G1231">
            <v>9791019799</v>
          </cell>
          <cell r="K1231" t="str">
            <v>BSKS036366</v>
          </cell>
        </row>
        <row r="1232">
          <cell r="E1232" t="str">
            <v>RAMGARH
829103
NAYA MORE</v>
          </cell>
          <cell r="G1232">
            <v>8789325754</v>
          </cell>
          <cell r="K1232" t="str">
            <v>BRGS035169</v>
          </cell>
        </row>
        <row r="1233">
          <cell r="E1233" t="str">
            <v>NAYA MORE,RAMGARH
ARA SARU BERA ROAD, NAYA, RAMGARH,JHARKHAND
829110
NAYA MORE</v>
          </cell>
          <cell r="G1233">
            <v>6201225253</v>
          </cell>
          <cell r="K1233" t="str">
            <v>BQBS033796</v>
          </cell>
        </row>
        <row r="1234">
          <cell r="E1234" t="str">
            <v>AKASHKANARI</v>
          </cell>
          <cell r="G1234">
            <v>9031032277</v>
          </cell>
          <cell r="K1234" t="str">
            <v>BWFD163947</v>
          </cell>
        </row>
        <row r="1235">
          <cell r="E1235" t="str">
            <v>SARWARI, ASANSOL, WB</v>
          </cell>
          <cell r="G1235">
            <v>6202045477</v>
          </cell>
          <cell r="K1235" t="str">
            <v>BXJS034965</v>
          </cell>
        </row>
        <row r="1236">
          <cell r="E1236" t="str">
            <v>NAGARI,</v>
          </cell>
          <cell r="G1236">
            <v>8864003869</v>
          </cell>
          <cell r="K1236" t="str">
            <v>BLGS040582</v>
          </cell>
        </row>
        <row r="1237">
          <cell r="E1237" t="str">
            <v>DEMO TANND HAZAIBAGH JHARKHAND,
825301
DEMO TANND HAZAIBAGH JHARKHAND</v>
          </cell>
          <cell r="G1237">
            <v>9431170157</v>
          </cell>
          <cell r="K1237" t="str">
            <v>BMDS040417</v>
          </cell>
        </row>
        <row r="1238">
          <cell r="E1238" t="str">
            <v>CHAS BOKARO</v>
          </cell>
          <cell r="G1238">
            <v>7004564809</v>
          </cell>
          <cell r="K1238" t="str">
            <v>BXBD164346</v>
          </cell>
        </row>
        <row r="1239">
          <cell r="E1239" t="str">
            <v>BARHI INDUSTRIAL ARE BARHI</v>
          </cell>
          <cell r="G1239">
            <v>8795889641</v>
          </cell>
          <cell r="K1239" t="str">
            <v>BUES035120</v>
          </cell>
        </row>
        <row r="1240">
          <cell r="E1240" t="str">
            <v>BARHI INDUSTRIAL ARE BARHI</v>
          </cell>
          <cell r="G1240">
            <v>8795889641</v>
          </cell>
          <cell r="K1240" t="str">
            <v>BUAF111226</v>
          </cell>
        </row>
        <row r="1241">
          <cell r="E1241" t="str">
            <v>GONDUDIH</v>
          </cell>
          <cell r="G1241">
            <v>9113788032</v>
          </cell>
          <cell r="K1241" t="str">
            <v>BSCD161691</v>
          </cell>
        </row>
        <row r="1242">
          <cell r="E1242" t="str">
            <v>PITHORIA, RANCHI</v>
          </cell>
          <cell r="G1242">
            <v>9010842532</v>
          </cell>
          <cell r="K1242" t="str">
            <v>BXFC374337</v>
          </cell>
        </row>
        <row r="1243">
          <cell r="E1243" t="str">
            <v>ADMINISTRATIVE BLOCK, MECHINICAL DEPARTMENT, DHANBAD</v>
          </cell>
          <cell r="G1243">
            <v>7761943999</v>
          </cell>
          <cell r="K1243" t="str">
            <v>BUIS036656</v>
          </cell>
        </row>
        <row r="1244">
          <cell r="E1244" t="str">
            <v>RAHELA, DALTAINGANJ</v>
          </cell>
          <cell r="G1244">
            <v>7992431955</v>
          </cell>
          <cell r="K1244" t="str">
            <v>BWCS032720</v>
          </cell>
        </row>
        <row r="1245">
          <cell r="E1245" t="str">
            <v>C/O - REKHA KUMARI, AT TENDER, PANDRA, KAMRE, RATU, RANCHI
C/O - REKHA KUMARI, AT TENDER, PANDRA, KAMRE, RATU, RANCHI
835103</v>
          </cell>
          <cell r="G1245">
            <v>7903881583</v>
          </cell>
          <cell r="K1245" t="str">
            <v>BREC373485</v>
          </cell>
        </row>
        <row r="1246">
          <cell r="E1246" t="str">
            <v>RANCHI,JHARKHAND
834001
RANCHI</v>
          </cell>
          <cell r="G1246">
            <v>9559820432</v>
          </cell>
          <cell r="K1246" t="str">
            <v>BJHS031586</v>
          </cell>
        </row>
        <row r="1247">
          <cell r="E1247" t="str">
            <v>SAHEBGANJ</v>
          </cell>
          <cell r="G1247">
            <v>9749077201</v>
          </cell>
          <cell r="K1247" t="str">
            <v>BXCD164399</v>
          </cell>
        </row>
        <row r="1248">
          <cell r="E1248" t="str">
            <v>NEORI,VIKAS,RANCHI.
835217</v>
          </cell>
          <cell r="G1248">
            <v>9693768894</v>
          </cell>
          <cell r="K1248" t="str">
            <v>BWKS040406</v>
          </cell>
        </row>
        <row r="1249">
          <cell r="E1249" t="str">
            <v>DALADALI, RANCHI</v>
          </cell>
          <cell r="G1249">
            <v>6201436147</v>
          </cell>
          <cell r="K1249" t="str">
            <v>BWID164054</v>
          </cell>
        </row>
        <row r="1250">
          <cell r="E1250" t="str">
            <v>CHATRA</v>
          </cell>
          <cell r="G1250">
            <v>8102075973</v>
          </cell>
          <cell r="K1250" t="str">
            <v>BWGD163984</v>
          </cell>
        </row>
        <row r="1251">
          <cell r="E1251" t="str">
            <v>CHAS BOKARO</v>
          </cell>
          <cell r="G1251">
            <v>9006537516</v>
          </cell>
          <cell r="K1251" t="str">
            <v>BWID164096</v>
          </cell>
        </row>
        <row r="1252">
          <cell r="E1252" t="str">
            <v>CHATRA</v>
          </cell>
          <cell r="G1252">
            <v>8946096277</v>
          </cell>
          <cell r="K1252" t="str">
            <v>BXHD164673</v>
          </cell>
        </row>
        <row r="1253">
          <cell r="E1253" t="str">
            <v>JHUMRI TILAIYA</v>
          </cell>
          <cell r="G1253">
            <v>7061052272</v>
          </cell>
          <cell r="K1253" t="str">
            <v>GPLS030458</v>
          </cell>
        </row>
        <row r="1254">
          <cell r="E1254" t="str">
            <v>KOKAR INDUSTRIAL AREA KOKAR</v>
          </cell>
          <cell r="G1254">
            <v>8404802069</v>
          </cell>
          <cell r="K1254" t="str">
            <v>BXDC373881</v>
          </cell>
        </row>
        <row r="1255">
          <cell r="E1255" t="str">
            <v>PHUSHRO</v>
          </cell>
          <cell r="G1255">
            <v>7091340232</v>
          </cell>
          <cell r="K1255" t="str">
            <v>BWHD231642</v>
          </cell>
        </row>
        <row r="1256">
          <cell r="E1256" t="str">
            <v>CHIRKUNDA, DHANBAD</v>
          </cell>
          <cell r="G1256">
            <v>8101005542</v>
          </cell>
          <cell r="K1256" t="str">
            <v>BWHC371250</v>
          </cell>
        </row>
        <row r="1257">
          <cell r="E1257" t="str">
            <v>PLOT NO. 79, KAPASARA,, SUNDERNAGAR, CHIRKUNDA,, DHANBAD - 828 202
PLOT NO. 79, KAPASARA,, SUNDERNAGAR, CHIRKUNDA,, DHANBAD - 828 202
828202</v>
          </cell>
          <cell r="G1257">
            <v>8101005542</v>
          </cell>
          <cell r="K1257" t="str">
            <v>BTFS031006</v>
          </cell>
        </row>
        <row r="1258">
          <cell r="E1258" t="str">
            <v>SAGUNA MORE, PATNA</v>
          </cell>
          <cell r="G1258">
            <v>7061079200</v>
          </cell>
          <cell r="K1258" t="str">
            <v>BYJC375606</v>
          </cell>
        </row>
        <row r="1259">
          <cell r="E1259" t="str">
            <v>BARWADA</v>
          </cell>
          <cell r="G1259">
            <v>8059000900</v>
          </cell>
          <cell r="K1259" t="str">
            <v>BYKD164879</v>
          </cell>
        </row>
        <row r="1260">
          <cell r="E1260" t="str">
            <v>DUMKA</v>
          </cell>
          <cell r="G1260">
            <v>9955009511</v>
          </cell>
          <cell r="K1260" t="str">
            <v>BXCC373541</v>
          </cell>
        </row>
        <row r="1261">
          <cell r="E1261" t="str">
            <v>DEOGRAH</v>
          </cell>
          <cell r="G1261">
            <v>6299737730</v>
          </cell>
          <cell r="K1261" t="str">
            <v>BWFD163937</v>
          </cell>
        </row>
        <row r="1262">
          <cell r="E1262" t="str">
            <v>FATEPUR GAYA</v>
          </cell>
          <cell r="G1262">
            <v>9631909713</v>
          </cell>
          <cell r="K1262" t="str">
            <v>BWLD163608</v>
          </cell>
        </row>
        <row r="1263">
          <cell r="E1263" t="str">
            <v>DALADALI, RANCHI</v>
          </cell>
          <cell r="G1263">
            <v>7903260686</v>
          </cell>
          <cell r="K1263" t="str">
            <v>BXFD164605</v>
          </cell>
        </row>
        <row r="1264">
          <cell r="E1264" t="str">
            <v>BOKARO,JHARKHAND
827004</v>
          </cell>
          <cell r="G1264">
            <v>9363636102</v>
          </cell>
          <cell r="K1264" t="str">
            <v>BRGC373881</v>
          </cell>
        </row>
        <row r="1265">
          <cell r="E1265" t="str">
            <v>GHATO</v>
          </cell>
          <cell r="G1265">
            <v>7260958963</v>
          </cell>
          <cell r="K1265" t="str">
            <v>BXKD164174</v>
          </cell>
        </row>
        <row r="1266">
          <cell r="E1266" t="str">
            <v>CHATRA</v>
          </cell>
          <cell r="G1266">
            <v>8946096277</v>
          </cell>
          <cell r="K1266" t="str">
            <v>BXHD164673</v>
          </cell>
        </row>
        <row r="1267">
          <cell r="E1267" t="str">
            <v>JHALDA</v>
          </cell>
          <cell r="G1267">
            <v>9331665000</v>
          </cell>
          <cell r="K1267" t="str">
            <v>BUGS047249</v>
          </cell>
        </row>
        <row r="1268">
          <cell r="E1268" t="str">
            <v>RANCHI PATNA ROAD
DEMOTAND
825301
HAZARIBAGH</v>
          </cell>
          <cell r="G1268">
            <v>6203465926</v>
          </cell>
          <cell r="K1268" t="str">
            <v>BSCS037531</v>
          </cell>
        </row>
        <row r="1269">
          <cell r="E1269" t="str">
            <v>BANDHTOLI, NAGRI</v>
          </cell>
          <cell r="G1269">
            <v>6201457979</v>
          </cell>
          <cell r="K1269" t="str">
            <v>BUFS046813</v>
          </cell>
        </row>
        <row r="1270">
          <cell r="E1270" t="str">
            <v>KATIHAR, BIHAR</v>
          </cell>
          <cell r="G1270">
            <v>7903542753</v>
          </cell>
          <cell r="K1270" t="str">
            <v>BWFD121746</v>
          </cell>
        </row>
        <row r="1271">
          <cell r="E1271" t="str">
            <v>DALADALI, RANCHI</v>
          </cell>
          <cell r="G1271">
            <v>8051191796</v>
          </cell>
          <cell r="K1271" t="str">
            <v>BWED163889</v>
          </cell>
        </row>
        <row r="1272">
          <cell r="E1272" t="str">
            <v>GIRIDIH</v>
          </cell>
          <cell r="G1272">
            <v>9931921808</v>
          </cell>
          <cell r="K1272" t="str">
            <v>BXCD164420</v>
          </cell>
        </row>
        <row r="1273">
          <cell r="E1273" t="str">
            <v>PARSAI, GOVINDPUR</v>
          </cell>
          <cell r="G1273">
            <v>8348686307</v>
          </cell>
          <cell r="K1273" t="str">
            <v>BXLS042397</v>
          </cell>
        </row>
        <row r="1274">
          <cell r="E1274" t="str">
            <v>ARARIA, BIHAR</v>
          </cell>
          <cell r="G1274">
            <v>9382901442</v>
          </cell>
          <cell r="K1274" t="str">
            <v>BXLD121932</v>
          </cell>
        </row>
        <row r="1275">
          <cell r="E1275" t="str">
            <v>PALAMU, DALTAINGANJ</v>
          </cell>
          <cell r="G1275">
            <v>9153994622</v>
          </cell>
          <cell r="K1275" t="str">
            <v>BVAC375308</v>
          </cell>
        </row>
        <row r="1276">
          <cell r="E1276" t="str">
            <v>PLOT NO 716,VILL-RUKKA,
835219</v>
          </cell>
          <cell r="G1276">
            <v>9791019799</v>
          </cell>
          <cell r="K1276" t="str">
            <v>BSKS036365</v>
          </cell>
        </row>
        <row r="1277">
          <cell r="E1277" t="str">
            <v>NAYA MORE, RAMGRAH</v>
          </cell>
          <cell r="G1277">
            <v>7004541681</v>
          </cell>
          <cell r="K1277" t="str">
            <v>BUKS045388</v>
          </cell>
        </row>
        <row r="1278">
          <cell r="E1278" t="str">
            <v>NAYA MORE, RAMGRAH</v>
          </cell>
          <cell r="G1278">
            <v>7004541681</v>
          </cell>
          <cell r="K1278" t="str">
            <v>BUKS045387</v>
          </cell>
        </row>
        <row r="1279">
          <cell r="E1279" t="str">
            <v>ARARIA, BIHAR</v>
          </cell>
          <cell r="G1279">
            <v>9801421403</v>
          </cell>
          <cell r="K1279" t="str">
            <v>BXAD121939</v>
          </cell>
        </row>
        <row r="1280">
          <cell r="E1280" t="str">
            <v>KUSAMDHANGA, PAKUR</v>
          </cell>
          <cell r="G1280">
            <v>9525750010</v>
          </cell>
          <cell r="K1280" t="str">
            <v>BQGD220072</v>
          </cell>
        </row>
        <row r="1281">
          <cell r="E1281" t="str">
            <v>GOPALI CHOWK, DHANBAD</v>
          </cell>
          <cell r="G1281">
            <v>7004686026</v>
          </cell>
          <cell r="K1281" t="str">
            <v>BWLD163586</v>
          </cell>
        </row>
        <row r="1282">
          <cell r="E1282" t="str">
            <v>VINAIKA’S COMPLEX RANCHI TATA ROAD, R.S. PLOT NO.:-615,VILLAGE-PANCHA,THANA-BUNDU RANCHI, JHARKHAND.
834002</v>
          </cell>
          <cell r="G1282">
            <v>9818905980</v>
          </cell>
          <cell r="K1282" t="str">
            <v>BXCS042723</v>
          </cell>
        </row>
        <row r="1283">
          <cell r="E1283" t="str">
            <v>CHUTIA, RANCHI</v>
          </cell>
          <cell r="G1283">
            <v>9060975013</v>
          </cell>
          <cell r="K1283" t="str">
            <v>BUFD162814</v>
          </cell>
        </row>
        <row r="1284">
          <cell r="E1284" t="str">
            <v>JHALDA</v>
          </cell>
          <cell r="G1284">
            <v>9331665000</v>
          </cell>
          <cell r="K1284" t="str">
            <v>BTIS045073</v>
          </cell>
        </row>
        <row r="1285">
          <cell r="E1285" t="str">
            <v>NAGRI,RANCHI
835202
RANCHI</v>
          </cell>
          <cell r="G1285">
            <v>6200327294</v>
          </cell>
          <cell r="K1285" t="str">
            <v>BMJS040004</v>
          </cell>
        </row>
        <row r="1286">
          <cell r="E1286" t="str">
            <v>ITKI MORE, RANCHI</v>
          </cell>
          <cell r="G1286">
            <v>8877024924</v>
          </cell>
          <cell r="K1286" t="str">
            <v>BWFC370723</v>
          </cell>
        </row>
        <row r="1287">
          <cell r="E1287" t="str">
            <v>VINAIKA’S COMPLEX RANCHI TATA ROAD, R.S. PLOT NO.:-615,VILLAGE-PANCHA,THANA-BUNDU RANCHI, JHARKHAND.
834002</v>
          </cell>
          <cell r="G1287">
            <v>9818905980</v>
          </cell>
          <cell r="K1287" t="str">
            <v>BUDS046275</v>
          </cell>
        </row>
        <row r="1288">
          <cell r="E1288" t="str">
            <v>RANCHI</v>
          </cell>
          <cell r="G1288"/>
          <cell r="K1288" t="str">
            <v>BXFC374358</v>
          </cell>
        </row>
        <row r="1289">
          <cell r="E1289" t="str">
            <v>ANGARA, TATISILWAI</v>
          </cell>
          <cell r="G1289">
            <v>9162768423</v>
          </cell>
          <cell r="K1289" t="str">
            <v>BVGF111615</v>
          </cell>
        </row>
        <row r="1290">
          <cell r="E1290" t="str">
            <v>ANGARA, TATISILWAI</v>
          </cell>
          <cell r="G1290">
            <v>9110012919</v>
          </cell>
          <cell r="K1290" t="str">
            <v>BVGF111611</v>
          </cell>
        </row>
        <row r="1291">
          <cell r="E1291" t="str">
            <v>KOKAR,INDUSTRIAL AREA,RANCHI
834002
RANCHI</v>
          </cell>
          <cell r="G1291">
            <v>7781017197</v>
          </cell>
          <cell r="K1291" t="str">
            <v>BMKC370048</v>
          </cell>
        </row>
        <row r="1292">
          <cell r="E1292" t="str">
            <v>CHAS BOKARO</v>
          </cell>
          <cell r="G1292">
            <v>7004564809</v>
          </cell>
          <cell r="K1292" t="str">
            <v>BXBD164346</v>
          </cell>
        </row>
        <row r="1293">
          <cell r="E1293" t="str">
            <v>TATISILWAI, RANCHI</v>
          </cell>
          <cell r="G1293">
            <v>6201580224</v>
          </cell>
          <cell r="K1293" t="str">
            <v>BWHD163996</v>
          </cell>
        </row>
        <row r="1294">
          <cell r="E1294" t="str">
            <v>SAHIBGANJ</v>
          </cell>
          <cell r="G1294">
            <v>7544958524</v>
          </cell>
          <cell r="K1294" t="str">
            <v>BSID161973</v>
          </cell>
        </row>
        <row r="1295">
          <cell r="E1295" t="str">
            <v>BALIDIH INDUSTRIAL AREA, BALIDIH BOKARO</v>
          </cell>
          <cell r="G1295">
            <v>7004333419</v>
          </cell>
          <cell r="K1295">
            <v>164253</v>
          </cell>
        </row>
        <row r="1296">
          <cell r="E1296" t="str">
            <v>BALIDIH INDUSTRIAL AREA
827014</v>
          </cell>
          <cell r="G1296">
            <v>9553775728</v>
          </cell>
          <cell r="K1296" t="str">
            <v>BTDS044304</v>
          </cell>
        </row>
        <row r="1297">
          <cell r="E1297" t="str">
            <v>BALIDIH INDUSTRIAL AREA
827014</v>
          </cell>
          <cell r="G1297">
            <v>7004333419</v>
          </cell>
          <cell r="K1297" t="str">
            <v>BTDS044313</v>
          </cell>
        </row>
        <row r="1298">
          <cell r="E1298" t="str">
            <v>AT: SENEGARHA, P.O-RABODH, P.S-GIDDI,(RAMGARH),, DISTT. HAZARIBAGH,JHARKHAND-825330
829108
AT: SENEGARHA, P.O-RABODH, P.S-GIDDI,(RAMGARH),</v>
          </cell>
          <cell r="G1298">
            <v>9006877583</v>
          </cell>
          <cell r="K1298" t="str">
            <v>BRAS033261</v>
          </cell>
        </row>
        <row r="1299">
          <cell r="E1299" t="str">
            <v>ASANSOL WB</v>
          </cell>
          <cell r="G1299">
            <v>7908100638</v>
          </cell>
          <cell r="K1299" t="str">
            <v>BXFD232225</v>
          </cell>
        </row>
        <row r="1300">
          <cell r="E1300" t="str">
            <v>MAHUDA MORE</v>
          </cell>
          <cell r="G1300">
            <v>6204702963</v>
          </cell>
          <cell r="K1300" t="str">
            <v>BXGD164662</v>
          </cell>
        </row>
        <row r="1301">
          <cell r="E1301" t="str">
            <v>BARABAZAR</v>
          </cell>
          <cell r="G1301">
            <v>9438348720</v>
          </cell>
          <cell r="K1301" t="str">
            <v>BXKD220975</v>
          </cell>
        </row>
        <row r="1302">
          <cell r="E1302" t="str">
            <v>GIRIDIH</v>
          </cell>
          <cell r="G1302">
            <v>9931921808</v>
          </cell>
          <cell r="K1302" t="str">
            <v>BUHD200051</v>
          </cell>
        </row>
        <row r="1303">
          <cell r="E1303" t="str">
            <v>GROUND FLOOR, 8H AND 81, NATION PRINTERS, NAMKUM INDUSTRIAL AREA,, LOWADIH, RANCHI
GROUND FLOOR, 8H AND 81, NATION PRINTERS, NAMKUM INDUSTRIAL AREA,, LOWADIH, RANCHI
834010</v>
          </cell>
          <cell r="G1303">
            <v>9709225271</v>
          </cell>
          <cell r="K1303" t="str">
            <v>BRFC373676</v>
          </cell>
        </row>
        <row r="1304">
          <cell r="E1304" t="str">
            <v>NAGRI,RANCHI
835202
RANCHI</v>
          </cell>
          <cell r="G1304">
            <v>7004849065</v>
          </cell>
          <cell r="K1304" t="str">
            <v>BRIS035698</v>
          </cell>
        </row>
        <row r="1305">
          <cell r="E1305" t="str">
            <v>TANDWA, CHATRA</v>
          </cell>
          <cell r="G1305">
            <v>7032052579</v>
          </cell>
          <cell r="K1305" t="str">
            <v>BXJD164143</v>
          </cell>
        </row>
        <row r="1306">
          <cell r="E1306" t="str">
            <v>AMLO PHUSHRO</v>
          </cell>
          <cell r="G1306">
            <v>9006617909</v>
          </cell>
          <cell r="K1306" t="str">
            <v>BXKD164191</v>
          </cell>
        </row>
        <row r="1307">
          <cell r="E1307" t="str">
            <v>GODDA</v>
          </cell>
          <cell r="G1307">
            <v>9631808120</v>
          </cell>
          <cell r="K1307" t="str">
            <v>BVAS038341</v>
          </cell>
        </row>
        <row r="1308">
          <cell r="E1308" t="str">
            <v>JAI RAMPUR</v>
          </cell>
          <cell r="G1308">
            <v>7623886938</v>
          </cell>
          <cell r="K1308" t="str">
            <v>BUAD162634</v>
          </cell>
        </row>
        <row r="1309">
          <cell r="E1309" t="str">
            <v>BASTAWLA DHANBAD</v>
          </cell>
          <cell r="G1309">
            <v>7623886938</v>
          </cell>
          <cell r="K1309" t="str">
            <v>BTJD162046</v>
          </cell>
        </row>
        <row r="1310">
          <cell r="E1310" t="str">
            <v>BASTAKOLA, DHANBAD</v>
          </cell>
          <cell r="G1310">
            <v>8521311810</v>
          </cell>
          <cell r="K1310" t="str">
            <v>BQKD160099</v>
          </cell>
        </row>
        <row r="1311">
          <cell r="E1311" t="str">
            <v>BASTCOLA</v>
          </cell>
          <cell r="G1311">
            <v>8521311810</v>
          </cell>
          <cell r="K1311" t="str">
            <v>BTDD162186</v>
          </cell>
        </row>
        <row r="1312">
          <cell r="E1312" t="str">
            <v>GUMLA</v>
          </cell>
          <cell r="G1312">
            <v>9771480433</v>
          </cell>
          <cell r="K1312" t="str">
            <v>BWKS031684</v>
          </cell>
        </row>
        <row r="1313">
          <cell r="E1313" t="str">
            <v>CHATRA</v>
          </cell>
          <cell r="G1313">
            <v>9304734925</v>
          </cell>
          <cell r="K1313" t="str">
            <v>BXKD164160</v>
          </cell>
        </row>
        <row r="1314">
          <cell r="E1314" t="str">
            <v>BEGUSARAI, BIHAR</v>
          </cell>
          <cell r="G1314">
            <v>9304337942</v>
          </cell>
          <cell r="K1314" t="str">
            <v>BXAL153828</v>
          </cell>
        </row>
        <row r="1315">
          <cell r="E1315" t="str">
            <v>HORHAP ROAD, MAHILONG, RANCHI
835103</v>
          </cell>
          <cell r="G1315">
            <v>8877192027</v>
          </cell>
          <cell r="K1315" t="str">
            <v>BRIC374329</v>
          </cell>
        </row>
        <row r="1316">
          <cell r="E1316" t="str">
            <v>C/O CREATIVE TEXTILES
KUNJLAL,UPPER BAZAR, RANCHI
834001</v>
          </cell>
          <cell r="G1316">
            <v>7549149341</v>
          </cell>
          <cell r="K1316" t="str">
            <v>BULC371071</v>
          </cell>
        </row>
        <row r="1317">
          <cell r="E1317" t="str">
            <v>HOSHIR GIDDI,RAMGARH
NEAR P.N. BANK MAIN ROAD, RAMGARH CANTT. 829122
829110</v>
          </cell>
          <cell r="G1317">
            <v>9835381268</v>
          </cell>
          <cell r="K1317" t="str">
            <v>GPJS030042</v>
          </cell>
        </row>
        <row r="1318">
          <cell r="E1318" t="str">
            <v>RANIGANJ, WB</v>
          </cell>
          <cell r="G1318">
            <v>8789685581</v>
          </cell>
          <cell r="K1318" t="str">
            <v>BWED163890</v>
          </cell>
        </row>
        <row r="1319">
          <cell r="E1319" t="str">
            <v>RANIGANJ, WB</v>
          </cell>
          <cell r="G1319">
            <v>8789685581</v>
          </cell>
          <cell r="K1319" t="str">
            <v>BVFD163274</v>
          </cell>
        </row>
        <row r="1320">
          <cell r="E1320" t="str">
            <v>TANDWA, CHATRA</v>
          </cell>
          <cell r="G1320">
            <v>7032052579</v>
          </cell>
          <cell r="K1320" t="str">
            <v>BXJD164130</v>
          </cell>
        </row>
        <row r="1321">
          <cell r="E1321" t="str">
            <v>CHATRA</v>
          </cell>
          <cell r="G1321">
            <v>8102075973</v>
          </cell>
          <cell r="K1321" t="str">
            <v>BWGD163984</v>
          </cell>
        </row>
        <row r="1322">
          <cell r="E1322" t="str">
            <v>RAMGARH</v>
          </cell>
          <cell r="G1322">
            <v>9939115073</v>
          </cell>
          <cell r="K1322" t="str">
            <v>BXHS037937</v>
          </cell>
        </row>
        <row r="1323">
          <cell r="E1323" t="str">
            <v>MUNGMA</v>
          </cell>
          <cell r="G1323">
            <v>8770159290</v>
          </cell>
          <cell r="K1323" t="str">
            <v>BWEC370334</v>
          </cell>
        </row>
        <row r="1324">
          <cell r="E1324" t="str">
            <v>BARABAZAR</v>
          </cell>
          <cell r="G1324">
            <v>9438348720</v>
          </cell>
          <cell r="K1324" t="str">
            <v>BXKD220975</v>
          </cell>
        </row>
        <row r="1325">
          <cell r="E1325" t="str">
            <v>MUNGMA</v>
          </cell>
          <cell r="G1325">
            <v>8517025849</v>
          </cell>
          <cell r="K1325" t="str">
            <v>BNCS030884</v>
          </cell>
        </row>
        <row r="1326">
          <cell r="E1326" t="str">
            <v>MUNGMA</v>
          </cell>
          <cell r="G1326">
            <v>8517025849</v>
          </cell>
          <cell r="K1326" t="str">
            <v>GNGS030424</v>
          </cell>
        </row>
        <row r="1327">
          <cell r="E1327" t="str">
            <v>DHANBAD</v>
          </cell>
          <cell r="G1327">
            <v>9348067513</v>
          </cell>
          <cell r="K1327" t="str">
            <v>BXFD164587</v>
          </cell>
        </row>
        <row r="1328">
          <cell r="E1328" t="str">
            <v>KEREDARI, HAZARIBAGH</v>
          </cell>
          <cell r="G1328">
            <v>9348067513</v>
          </cell>
          <cell r="K1328" t="str">
            <v>BXLD231873</v>
          </cell>
        </row>
        <row r="1329">
          <cell r="E1329" t="str">
            <v>LODNA NTS</v>
          </cell>
          <cell r="G1329">
            <v>7644045555</v>
          </cell>
          <cell r="K1329" t="str">
            <v>BXKD164206</v>
          </cell>
        </row>
        <row r="1330">
          <cell r="E1330" t="str">
            <v>SAHEBGANJ</v>
          </cell>
          <cell r="G1330">
            <v>6204854829</v>
          </cell>
          <cell r="K1330" t="str">
            <v>BXID164764</v>
          </cell>
        </row>
        <row r="1331">
          <cell r="E1331" t="str">
            <v>BASKATOLA</v>
          </cell>
          <cell r="G1331">
            <v>8521311810</v>
          </cell>
          <cell r="K1331" t="str">
            <v>BVLD162277</v>
          </cell>
        </row>
        <row r="1332">
          <cell r="E1332" t="str">
            <v>BASTAKOLA, DHANBAD</v>
          </cell>
          <cell r="G1332">
            <v>8521311810</v>
          </cell>
          <cell r="K1332" t="str">
            <v>BUKD162535</v>
          </cell>
        </row>
        <row r="1333">
          <cell r="E1333" t="str">
            <v>11 PINJRAPOLE, HARMU ROAD, RANCHI
11 PINJRAPOLE, HARMU ROAD, RANCHI
834001
MAHILONG, TATISILWAY</v>
          </cell>
          <cell r="G1333">
            <v>6202577125</v>
          </cell>
          <cell r="K1333" t="str">
            <v>BNCC370425</v>
          </cell>
        </row>
        <row r="1334">
          <cell r="E1334" t="str">
            <v>BARWADA, DHANBAD</v>
          </cell>
          <cell r="G1334">
            <v>9123424186</v>
          </cell>
          <cell r="K1334" t="str">
            <v>BXAD231957</v>
          </cell>
        </row>
        <row r="1335">
          <cell r="E1335" t="str">
            <v>HAZARIBAGH</v>
          </cell>
          <cell r="G1335">
            <v>7255084681</v>
          </cell>
          <cell r="K1335" t="str">
            <v>BWLS031775</v>
          </cell>
        </row>
        <row r="1336">
          <cell r="E1336" t="str">
            <v>KEREDARI, HAZARIBAGH</v>
          </cell>
          <cell r="G1336">
            <v>9348067513</v>
          </cell>
          <cell r="K1336" t="str">
            <v>BXAD164317</v>
          </cell>
        </row>
        <row r="1337">
          <cell r="E1337" t="str">
            <v>PHUSHRO</v>
          </cell>
          <cell r="G1337">
            <v>7091340232</v>
          </cell>
          <cell r="K1337" t="str">
            <v>BWHD231642</v>
          </cell>
        </row>
        <row r="1338">
          <cell r="E1338" t="str">
            <v>OPERATIONS OFFICER, BOKARO BP, KIND ATTEN.ABHISHEK TRIPATHI, MOB. NO.8789972995, VENDOR CODE-11970380
OPERATIONS OFFICER, BOKARO BP, KIND ATTEN.ABHISHEK TRIPATHI, MOB. NO.8789972995, VENDOR CODE-11970380
827014
LPG BOTTALING PLANT, BALIDIH,</v>
          </cell>
          <cell r="G1338">
            <v>8797456432</v>
          </cell>
          <cell r="K1338" t="str">
            <v>BOCS040147</v>
          </cell>
        </row>
        <row r="1339">
          <cell r="E1339" t="str">
            <v>CHUTIA, RANCHI</v>
          </cell>
          <cell r="G1339">
            <v>9060975013</v>
          </cell>
          <cell r="K1339" t="str">
            <v>BUFD162814</v>
          </cell>
        </row>
        <row r="1340">
          <cell r="E1340" t="str">
            <v>SIKIDARI, ORMANJHI</v>
          </cell>
          <cell r="G1340">
            <v>9296509260</v>
          </cell>
          <cell r="K1340" t="str">
            <v>BYAD164973</v>
          </cell>
        </row>
        <row r="1341">
          <cell r="E1341" t="str">
            <v>TUPUDANA, RANCHI</v>
          </cell>
          <cell r="G1341">
            <v>8102915586</v>
          </cell>
          <cell r="K1341" t="str">
            <v>BUDC372327</v>
          </cell>
        </row>
        <row r="1342">
          <cell r="E1342" t="str">
            <v>BALIAPUR ROAD, DHANBAD</v>
          </cell>
          <cell r="G1342">
            <v>7004723376</v>
          </cell>
          <cell r="K1342" t="str">
            <v>BXHD164701</v>
          </cell>
        </row>
        <row r="1343">
          <cell r="E1343" t="str">
            <v>BALIAPUR ROAD, DHANBAD</v>
          </cell>
          <cell r="G1343">
            <v>7004723376</v>
          </cell>
          <cell r="K1343" t="str">
            <v>BXHD164701</v>
          </cell>
        </row>
        <row r="1344">
          <cell r="E1344" t="str">
            <v>CHIYANKI, DALTAINGANJ</v>
          </cell>
          <cell r="G1344">
            <v>8340487875</v>
          </cell>
          <cell r="K1344" t="str">
            <v>BVBS048555</v>
          </cell>
        </row>
        <row r="1345">
          <cell r="E1345" t="str">
            <v>ASANSOL</v>
          </cell>
          <cell r="G1345">
            <v>602046477</v>
          </cell>
          <cell r="K1345" t="str">
            <v>BSCS037494</v>
          </cell>
        </row>
        <row r="1346">
          <cell r="E1346" t="str">
            <v>BALIDIH, BOKARO</v>
          </cell>
          <cell r="G1346">
            <v>8797300962</v>
          </cell>
          <cell r="K1346" t="str">
            <v>BWIC371523</v>
          </cell>
        </row>
        <row r="1347">
          <cell r="E1347" t="str">
            <v>RAMGARH</v>
          </cell>
          <cell r="G1347">
            <v>8102800071</v>
          </cell>
          <cell r="K1347" t="str">
            <v>BXIC375528</v>
          </cell>
        </row>
        <row r="1348">
          <cell r="E1348" t="str">
            <v>NAGARI,</v>
          </cell>
          <cell r="G1348">
            <v>7903706711</v>
          </cell>
          <cell r="K1348" t="str">
            <v>BILS030211</v>
          </cell>
        </row>
        <row r="1349">
          <cell r="E1349" t="str">
            <v>GOVINDPUR</v>
          </cell>
          <cell r="G1349">
            <v>9065522796</v>
          </cell>
          <cell r="K1349" t="str">
            <v>BWCC379823</v>
          </cell>
        </row>
        <row r="1350">
          <cell r="E1350" t="str">
            <v>LODNA</v>
          </cell>
          <cell r="G1350">
            <v>7644045555</v>
          </cell>
          <cell r="K1350" t="str">
            <v>BVJD162972</v>
          </cell>
        </row>
        <row r="1351">
          <cell r="E1351" t="str">
            <v>PITHORIA</v>
          </cell>
          <cell r="G1351">
            <v>9010848532</v>
          </cell>
          <cell r="K1351" t="str">
            <v>NA</v>
          </cell>
        </row>
        <row r="1352">
          <cell r="E1352" t="str">
            <v>RANCHI ROAD,RAMGARH 
DIGWAR,RAMGARH
829122
DIGWAR , RANCHI ROAD ,</v>
          </cell>
          <cell r="G1352">
            <v>7004848564</v>
          </cell>
          <cell r="K1352" t="str">
            <v>BSFC376459</v>
          </cell>
        </row>
        <row r="1353">
          <cell r="E1353" t="str">
            <v>GIRIDIH</v>
          </cell>
          <cell r="G1353">
            <v>9931921808</v>
          </cell>
          <cell r="K1353" t="str">
            <v>BXCD164420</v>
          </cell>
        </row>
        <row r="1354">
          <cell r="E1354" t="str">
            <v>JAPLA</v>
          </cell>
          <cell r="G1354">
            <v>7390857553</v>
          </cell>
          <cell r="K1354" t="str">
            <v>BXKC372435</v>
          </cell>
        </row>
        <row r="1355">
          <cell r="E1355" t="str">
            <v>ANGARA, TATISILWAI</v>
          </cell>
          <cell r="G1355">
            <v>9110012919</v>
          </cell>
          <cell r="K1355" t="str">
            <v>BVGF111611</v>
          </cell>
        </row>
        <row r="1356">
          <cell r="E1356" t="str">
            <v>ANGARA, TATISILWAI</v>
          </cell>
          <cell r="G1356">
            <v>9162768423</v>
          </cell>
          <cell r="K1356" t="str">
            <v>BVGF111615</v>
          </cell>
        </row>
        <row r="1357">
          <cell r="E1357" t="str">
            <v>HAZARIBAGH</v>
          </cell>
          <cell r="G1357">
            <v>9431141152</v>
          </cell>
          <cell r="K1357" t="str">
            <v>BUKC370622</v>
          </cell>
        </row>
        <row r="1358">
          <cell r="E1358" t="str">
            <v>RANCHI</v>
          </cell>
          <cell r="G1358">
            <v>9955447978</v>
          </cell>
          <cell r="K1358" t="str">
            <v>BRCD160978</v>
          </cell>
        </row>
        <row r="1359">
          <cell r="E1359" t="str">
            <v>DEOGRAH</v>
          </cell>
          <cell r="G1359">
            <v>9065522796</v>
          </cell>
          <cell r="K1359" t="str">
            <v>BWCC379822</v>
          </cell>
        </row>
        <row r="1360">
          <cell r="E1360" t="str">
            <v>GOVINDPUR, DHANBAD</v>
          </cell>
          <cell r="G1360">
            <v>9110154620</v>
          </cell>
          <cell r="K1360" t="str">
            <v>BXHS038093</v>
          </cell>
        </row>
        <row r="1361">
          <cell r="E1361" t="str">
            <v>PITHORIA</v>
          </cell>
          <cell r="G1361">
            <v>9835321621</v>
          </cell>
          <cell r="K1361" t="str">
            <v>BVCC376206</v>
          </cell>
        </row>
        <row r="1362">
          <cell r="E1362" t="str">
            <v>DALADALI, RANCHI</v>
          </cell>
          <cell r="G1362">
            <v>8051191796</v>
          </cell>
          <cell r="K1362" t="str">
            <v>BWED163889</v>
          </cell>
        </row>
        <row r="1363">
          <cell r="E1363" t="str">
            <v>SARWARI, ASANSOL, WB</v>
          </cell>
          <cell r="G1363">
            <v>6202045477</v>
          </cell>
          <cell r="K1363" t="str">
            <v>BXJS034965</v>
          </cell>
        </row>
        <row r="1364">
          <cell r="E1364" t="str">
            <v>ASANSOL</v>
          </cell>
          <cell r="G1364">
            <v>6202046977</v>
          </cell>
          <cell r="K1364" t="str">
            <v>BSCS037494</v>
          </cell>
        </row>
        <row r="1365">
          <cell r="E1365" t="str">
            <v>RANIGANJ, WB</v>
          </cell>
          <cell r="G1365">
            <v>8789685581</v>
          </cell>
          <cell r="K1365" t="str">
            <v>BWED163890</v>
          </cell>
        </row>
        <row r="1366">
          <cell r="E1366" t="str">
            <v>LODNA</v>
          </cell>
          <cell r="G1366">
            <v>7644045555</v>
          </cell>
          <cell r="K1366" t="str">
            <v>BVJD162972</v>
          </cell>
        </row>
        <row r="1367">
          <cell r="E1367" t="str">
            <v>PIPARWAR</v>
          </cell>
          <cell r="G1367">
            <v>90066179909</v>
          </cell>
          <cell r="K1367" t="str">
            <v>BYFD232840</v>
          </cell>
        </row>
        <row r="1368">
          <cell r="E1368" t="str">
            <v>NAYA MORE, RAMGRAH</v>
          </cell>
          <cell r="G1368">
            <v>7004541681</v>
          </cell>
          <cell r="K1368" t="str">
            <v>BUKS045388</v>
          </cell>
        </row>
        <row r="1369">
          <cell r="E1369" t="str">
            <v>HARMU, RANCHI</v>
          </cell>
          <cell r="G1369">
            <v>8298018061</v>
          </cell>
          <cell r="K1369" t="str">
            <v>BXDC373827</v>
          </cell>
        </row>
        <row r="1370">
          <cell r="E1370" t="str">
            <v>KOKAR INDUSTRIAL AREA,,RANCHI
834002
KOKAR INDUSTRIAL AREA RANCHI</v>
          </cell>
          <cell r="G1370">
            <v>8102976817</v>
          </cell>
          <cell r="K1370" t="str">
            <v>GNDC370057</v>
          </cell>
        </row>
        <row r="1371">
          <cell r="E1371" t="str">
            <v>MUZAFFARPUR, BIHAR</v>
          </cell>
          <cell r="G1371">
            <v>9101045169</v>
          </cell>
          <cell r="K1371" t="str">
            <v>BWLL153411</v>
          </cell>
        </row>
        <row r="1372">
          <cell r="E1372" t="str">
            <v>MUZAFFARPUR, BIHAR</v>
          </cell>
          <cell r="G1372">
            <v>9101045169</v>
          </cell>
          <cell r="K1372" t="str">
            <v>BWLL153411</v>
          </cell>
        </row>
        <row r="1373">
          <cell r="E1373" t="str">
            <v>PHUSHRO</v>
          </cell>
          <cell r="G1373">
            <v>7979850751</v>
          </cell>
          <cell r="K1373" t="str">
            <v>BWAD163687</v>
          </cell>
        </row>
        <row r="1374">
          <cell r="E1374" t="str">
            <v>PHUSHRO</v>
          </cell>
          <cell r="G1374">
            <v>7979850751</v>
          </cell>
          <cell r="K1374" t="str">
            <v>BVED163240</v>
          </cell>
        </row>
        <row r="1375">
          <cell r="E1375" t="str">
            <v>TUPUDANA, RANCHI</v>
          </cell>
          <cell r="G1375">
            <v>8102915586</v>
          </cell>
          <cell r="K1375" t="str">
            <v>BUDC372327</v>
          </cell>
        </row>
        <row r="1376">
          <cell r="E1376" t="str">
            <v>RANCHI PATNA ROAD
DEMOTAND
825301
HAZARIBAGH</v>
          </cell>
          <cell r="G1376">
            <v>6203465926</v>
          </cell>
          <cell r="K1376" t="str">
            <v>BSCS037531</v>
          </cell>
        </row>
        <row r="1377">
          <cell r="E1377" t="str">
            <v>ITI ROAD</v>
          </cell>
          <cell r="G1377">
            <v>9031026776</v>
          </cell>
          <cell r="K1377" t="str">
            <v>BXFC374338</v>
          </cell>
        </row>
        <row r="1378">
          <cell r="E1378" t="str">
            <v>RANCHI PATNA ROAD
DEMOTAND
825301
HAZARIBAGH</v>
          </cell>
          <cell r="G1378">
            <v>6203465926</v>
          </cell>
          <cell r="K1378" t="str">
            <v>BIFS040367</v>
          </cell>
        </row>
        <row r="1379">
          <cell r="E1379" t="str">
            <v>RANCHI PATNA ROAD
DEMOTAND
825301
HAZARIBAGH</v>
          </cell>
          <cell r="G1379">
            <v>6203465926</v>
          </cell>
          <cell r="K1379" t="str">
            <v>BMBL160078</v>
          </cell>
        </row>
        <row r="1380">
          <cell r="E1380" t="str">
            <v>RANCHI PATNA ROAD
DEMOTAND
825301
HAZARIBAGH</v>
          </cell>
          <cell r="G1380">
            <v>6203465926</v>
          </cell>
          <cell r="K1380" t="str">
            <v>BIFS040367</v>
          </cell>
        </row>
        <row r="1381">
          <cell r="E1381" t="str">
            <v>RANCHI PATNA ROAD
DEMOTAND
825301
HAZARIBAGH</v>
          </cell>
          <cell r="G1381">
            <v>6203465926</v>
          </cell>
          <cell r="K1381" t="str">
            <v>BMBL160078</v>
          </cell>
        </row>
        <row r="1382">
          <cell r="E1382" t="str">
            <v>ADDRESS-PLOT-57B,BARAHI INDUSTRIAL AREA,ON DELHI HOWRAH NATIONAL HIGHWAY,BARHI,JAHARKHAND.</v>
          </cell>
          <cell r="G1382">
            <v>9265731345</v>
          </cell>
          <cell r="K1382" t="str">
            <v>BUBS033778</v>
          </cell>
        </row>
        <row r="1383">
          <cell r="E1383" t="str">
            <v>BARHI, HAZARIBAGH</v>
          </cell>
          <cell r="G1383">
            <v>9265731345</v>
          </cell>
          <cell r="K1383" t="str">
            <v>BUCS034287</v>
          </cell>
        </row>
        <row r="1384">
          <cell r="E1384" t="str">
            <v>BARWADA, DHANBAD</v>
          </cell>
          <cell r="G1384">
            <v>9123424186</v>
          </cell>
          <cell r="K1384" t="str">
            <v>BXAD231957</v>
          </cell>
        </row>
        <row r="1385">
          <cell r="E1385" t="str">
            <v>RAHELA, DALTAINGANJ</v>
          </cell>
          <cell r="G1385">
            <v>7992431955</v>
          </cell>
          <cell r="K1385" t="str">
            <v>BWCS032720</v>
          </cell>
        </row>
        <row r="1386">
          <cell r="E1386" t="str">
            <v>CHATRA, HAZARIBAGH</v>
          </cell>
          <cell r="G1386">
            <v>7250253892</v>
          </cell>
          <cell r="K1386" t="str">
            <v>BWID164050</v>
          </cell>
        </row>
        <row r="1387">
          <cell r="E1387" t="str">
            <v>GAYA, BIHAR</v>
          </cell>
          <cell r="G1387">
            <v>8521057778</v>
          </cell>
          <cell r="K1387" t="str">
            <v>BWID164091</v>
          </cell>
        </row>
        <row r="1388">
          <cell r="E1388" t="str">
            <v>REHLA, GARHWA ROAD, PALAMU D.T, JHARKHAND
PALAMU JHARKHAND 822124
INDIA</v>
          </cell>
          <cell r="G1388">
            <v>7004971081</v>
          </cell>
          <cell r="K1388" t="str">
            <v>BLFS031469</v>
          </cell>
        </row>
        <row r="1389">
          <cell r="E1389" t="str">
            <v>REHLA,GARWA,JHARKHAND
822124
RANCHI</v>
          </cell>
          <cell r="G1389">
            <v>7004623399</v>
          </cell>
          <cell r="K1389" t="str">
            <v>GOIS031795</v>
          </cell>
        </row>
        <row r="1390">
          <cell r="E1390" t="str">
            <v>CHUTIA, RANCHI</v>
          </cell>
          <cell r="G1390">
            <v>9060975013</v>
          </cell>
          <cell r="K1390" t="str">
            <v>BUFD162814</v>
          </cell>
        </row>
        <row r="1391">
          <cell r="E1391" t="str">
            <v>LODNA MORE</v>
          </cell>
          <cell r="G1391">
            <v>9550053031</v>
          </cell>
          <cell r="K1391" t="str">
            <v>BWKD163543</v>
          </cell>
        </row>
        <row r="1392">
          <cell r="E1392" t="str">
            <v>MAHUDA MORE</v>
          </cell>
          <cell r="G1392">
            <v>6204702963</v>
          </cell>
          <cell r="K1392" t="str">
            <v>BXGD164662</v>
          </cell>
        </row>
        <row r="1393">
          <cell r="E1393" t="str">
            <v>BARWADA, DHANBAD</v>
          </cell>
          <cell r="G1393">
            <v>9123424186</v>
          </cell>
          <cell r="K1393" t="str">
            <v>BXAD231957</v>
          </cell>
        </row>
        <row r="1394">
          <cell r="E1394" t="str">
            <v>HESLA,RAMGARH
829101</v>
          </cell>
          <cell r="G1394">
            <v>7562823341</v>
          </cell>
          <cell r="K1394" t="str">
            <v>BSDS037710</v>
          </cell>
        </row>
        <row r="1395">
          <cell r="E1395" t="str">
            <v>TATISILWAI, RANCHI</v>
          </cell>
          <cell r="G1395">
            <v>6201580224</v>
          </cell>
          <cell r="K1395" t="str">
            <v>BWHD163996</v>
          </cell>
        </row>
        <row r="1396">
          <cell r="E1396" t="str">
            <v>BALIDIH, BOKARO</v>
          </cell>
          <cell r="G1396">
            <v>8521954131</v>
          </cell>
          <cell r="K1396" t="str">
            <v>BRAF110427</v>
          </cell>
        </row>
        <row r="1397">
          <cell r="E1397" t="str">
            <v>MANJULA ENTERPRISES, KOKAR INDUSTRIAL AREA KOKAR</v>
          </cell>
          <cell r="G1397">
            <v>9334826499</v>
          </cell>
          <cell r="K1397" t="str">
            <v>BUFC372952</v>
          </cell>
        </row>
        <row r="1398">
          <cell r="E1398" t="str">
            <v>BARKAGAON, HAZARIBAGH</v>
          </cell>
          <cell r="G1398">
            <v>7070010949</v>
          </cell>
          <cell r="K1398" t="str">
            <v>BWLD231334</v>
          </cell>
        </row>
        <row r="1399">
          <cell r="E1399" t="str">
            <v>BARKAGAON, HAZARIBAGH</v>
          </cell>
          <cell r="G1399">
            <v>7070010949</v>
          </cell>
          <cell r="K1399" t="str">
            <v>BWLD231345</v>
          </cell>
        </row>
        <row r="1400">
          <cell r="E1400" t="str">
            <v>MAHUDA MORE, DHANBAD</v>
          </cell>
          <cell r="G1400">
            <v>6204702963</v>
          </cell>
          <cell r="K1400" t="str">
            <v>BWHD164004</v>
          </cell>
        </row>
        <row r="1401">
          <cell r="E1401" t="str">
            <v>BARHI, HAZARIBAGH</v>
          </cell>
          <cell r="G1401">
            <v>7707017707</v>
          </cell>
          <cell r="K1401" t="str">
            <v>BWLC379048</v>
          </cell>
        </row>
        <row r="1402">
          <cell r="E1402" t="str">
            <v>BARHI, HAZARIBAGH</v>
          </cell>
          <cell r="G1402">
            <v>7707017707</v>
          </cell>
          <cell r="K1402" t="str">
            <v>BWAS032167</v>
          </cell>
        </row>
        <row r="1403">
          <cell r="E1403" t="str">
            <v>BARHI, HAZARIBAGH</v>
          </cell>
          <cell r="G1403">
            <v>7707017707</v>
          </cell>
          <cell r="K1403" t="str">
            <v>BWLS031873</v>
          </cell>
        </row>
        <row r="1404">
          <cell r="E1404" t="str">
            <v>BARHI, HAZARIBAGH</v>
          </cell>
          <cell r="G1404">
            <v>7707017707</v>
          </cell>
          <cell r="K1404" t="str">
            <v>BWLS040546</v>
          </cell>
        </row>
        <row r="1405">
          <cell r="E1405" t="str">
            <v>BARHI, HAZARIBAGH</v>
          </cell>
          <cell r="G1405">
            <v>8488957184</v>
          </cell>
          <cell r="K1405" t="str">
            <v>BUCS034287</v>
          </cell>
        </row>
        <row r="1406">
          <cell r="E1406" t="str">
            <v>ADDRESS-PLOT-57B,BARAHI INDUSTRIAL AREA,ON DELHI HOWRAH NATIONAL HIGHWAY,BARHI,JAHARKHAND.</v>
          </cell>
          <cell r="G1406">
            <v>8488957184</v>
          </cell>
          <cell r="K1406" t="str">
            <v>BUBS033778</v>
          </cell>
        </row>
        <row r="1407">
          <cell r="E1407" t="str">
            <v>GOVINDPUR, DHANBAD</v>
          </cell>
          <cell r="G1407">
            <v>9608007905</v>
          </cell>
          <cell r="K1407" t="str">
            <v>BHKS040048</v>
          </cell>
        </row>
        <row r="1408">
          <cell r="E1408" t="str">
            <v>GOVINDPUR, DHANBAD</v>
          </cell>
          <cell r="G1408">
            <v>9608007905</v>
          </cell>
          <cell r="K1408" t="str">
            <v>BHKS040053</v>
          </cell>
        </row>
        <row r="1409">
          <cell r="E1409" t="str">
            <v>RAMGRAH</v>
          </cell>
          <cell r="G1409">
            <v>9155729786</v>
          </cell>
          <cell r="K1409" t="str">
            <v>BVAS038005</v>
          </cell>
        </row>
        <row r="1410">
          <cell r="E1410" t="str">
            <v>MARAR, RAMGARH, JHARKHAND
MARRAR RAMGARH, 9155729786
829117
MARAR</v>
          </cell>
          <cell r="G1410">
            <v>9155729786</v>
          </cell>
          <cell r="K1410" t="str">
            <v>BMIS031759</v>
          </cell>
        </row>
        <row r="1411">
          <cell r="E1411" t="str">
            <v>RANIGANJ, WB</v>
          </cell>
          <cell r="G1411">
            <v>8789685581</v>
          </cell>
          <cell r="K1411" t="str">
            <v>BWED163890</v>
          </cell>
        </row>
        <row r="1412">
          <cell r="E1412" t="str">
            <v>9.P .INDUSTRIAL AREA  KOKAR, RANCHI, TIN-20880200515
9.P .INDUSTRIAL AREA  KOKAR, RANCHI, TIN-20880200515
834001</v>
          </cell>
          <cell r="G1412">
            <v>9955178750</v>
          </cell>
          <cell r="K1412" t="str">
            <v>BTGS031205</v>
          </cell>
        </row>
        <row r="1413">
          <cell r="E1413" t="str">
            <v>SENEGARAH, HAZARIBAGH</v>
          </cell>
          <cell r="G1413">
            <v>9006877583</v>
          </cell>
          <cell r="K1413" t="str">
            <v>BXDS036842</v>
          </cell>
        </row>
        <row r="1414">
          <cell r="E1414" t="str">
            <v>KOKAR INDUSTRIAL AREA,RANCHI
834001</v>
          </cell>
          <cell r="G1414">
            <v>9835799343</v>
          </cell>
          <cell r="K1414" t="str">
            <v>BSBC375535</v>
          </cell>
        </row>
        <row r="1415">
          <cell r="E1415" t="str">
            <v>KOKAR</v>
          </cell>
          <cell r="G1415">
            <v>7903315808</v>
          </cell>
          <cell r="K1415" t="str">
            <v>BPLF150007</v>
          </cell>
        </row>
        <row r="1416">
          <cell r="E1416" t="str">
            <v>9.P .INDUSTRIAL AREA  KOKAR, RANCHI, TIN-20880200515
9.P .INDUSTRIAL AREA  KOKAR, RANCHI, TIN-20880200515
834001</v>
          </cell>
          <cell r="G1416">
            <v>9955178750</v>
          </cell>
          <cell r="K1416" t="str">
            <v>BTGS031205</v>
          </cell>
        </row>
        <row r="1417">
          <cell r="E1417" t="str">
            <v>NAGARI,</v>
          </cell>
          <cell r="G1417">
            <v>8864003869</v>
          </cell>
          <cell r="K1417" t="str">
            <v>BLGS040582</v>
          </cell>
        </row>
        <row r="1418">
          <cell r="E1418" t="str">
            <v>MARRAR, RAMGRAH</v>
          </cell>
          <cell r="G1418">
            <v>7837789340</v>
          </cell>
          <cell r="K1418" t="str">
            <v>BXJC371867</v>
          </cell>
        </row>
        <row r="1419">
          <cell r="E1419" t="str">
            <v>HAZARIBAGH</v>
          </cell>
          <cell r="G1419">
            <v>7255084681</v>
          </cell>
          <cell r="K1419" t="str">
            <v>BWLS031775</v>
          </cell>
        </row>
        <row r="1420">
          <cell r="E1420" t="str">
            <v>HESLA,RAMGARH
829101</v>
          </cell>
          <cell r="G1420">
            <v>7562823341</v>
          </cell>
          <cell r="K1420" t="str">
            <v>BSJS035917</v>
          </cell>
        </row>
        <row r="1421">
          <cell r="E1421" t="str">
            <v>GOBINDPUR INDUSTRIAL AREA, DHANBAD</v>
          </cell>
          <cell r="G1421">
            <v>9113169811</v>
          </cell>
          <cell r="K1421" t="str">
            <v>BVJS047894</v>
          </cell>
        </row>
        <row r="1422">
          <cell r="E1422" t="str">
            <v>RANCHI</v>
          </cell>
          <cell r="G1422">
            <v>9958849590</v>
          </cell>
          <cell r="K1422" t="str">
            <v>BWLS031913</v>
          </cell>
        </row>
        <row r="1423">
          <cell r="E1423" t="str">
            <v>KATITARH,RANCHI
835222</v>
          </cell>
          <cell r="G1423">
            <v>7779980009</v>
          </cell>
          <cell r="K1423" t="str">
            <v>BSAS036940</v>
          </cell>
        </row>
        <row r="1424">
          <cell r="E1424" t="str">
            <v>KHATHITAND, RANCHI</v>
          </cell>
          <cell r="G1424">
            <v>8383018375</v>
          </cell>
          <cell r="K1424" t="str">
            <v>BXJC371965</v>
          </cell>
        </row>
        <row r="1425">
          <cell r="E1425" t="str">
            <v>HESLA,RAMGARH
829101</v>
          </cell>
          <cell r="G1425">
            <v>7562823341</v>
          </cell>
          <cell r="K1425" t="str">
            <v>BSJS035917</v>
          </cell>
        </row>
        <row r="1426">
          <cell r="E1426" t="str">
            <v>HESLA,RAMGARH
829101</v>
          </cell>
          <cell r="G1426">
            <v>7562823341</v>
          </cell>
          <cell r="K1426" t="str">
            <v>BSDS037710</v>
          </cell>
        </row>
        <row r="1427">
          <cell r="E1427" t="str">
            <v>DUMRI, DHANBAD</v>
          </cell>
          <cell r="G1427">
            <v>9608325210</v>
          </cell>
          <cell r="K1427" t="str">
            <v>BVHD163374</v>
          </cell>
        </row>
        <row r="1428">
          <cell r="E1428" t="str">
            <v>ASANSOL WB</v>
          </cell>
          <cell r="G1428">
            <v>7908100638</v>
          </cell>
          <cell r="K1428" t="str">
            <v>BXFD232225</v>
          </cell>
        </row>
        <row r="1429">
          <cell r="E1429" t="str">
            <v>PIPARWAR</v>
          </cell>
          <cell r="G1429">
            <v>7488660978</v>
          </cell>
          <cell r="K1429" t="str">
            <v>BXJD231746</v>
          </cell>
        </row>
        <row r="1430">
          <cell r="E1430" t="str">
            <v>HARMU, RANCHI</v>
          </cell>
          <cell r="G1430">
            <v>8298018061</v>
          </cell>
          <cell r="K1430" t="str">
            <v>BXDC373827</v>
          </cell>
        </row>
        <row r="1431">
          <cell r="E1431" t="str">
            <v>NAGARI,</v>
          </cell>
          <cell r="G1431">
            <v>9204493506</v>
          </cell>
          <cell r="K1431" t="str">
            <v>BLGS040582</v>
          </cell>
        </row>
        <row r="1432">
          <cell r="E1432" t="str">
            <v>CHIRKUNDA, DHANBAD</v>
          </cell>
          <cell r="G1432">
            <v>8101005542</v>
          </cell>
          <cell r="K1432" t="str">
            <v>BWHC371250</v>
          </cell>
        </row>
        <row r="1433">
          <cell r="E1433" t="str">
            <v>PLOT NO. 79, KAPASARA,, SUNDERNAGAR, CHIRKUNDA,, DHANBAD - 828 202
PLOT NO. 79, KAPASARA,, SUNDERNAGAR, CHIRKUNDA,, DHANBAD - 828 202
828202</v>
          </cell>
          <cell r="G1433">
            <v>8101005542</v>
          </cell>
          <cell r="K1433" t="str">
            <v>BTFS031006</v>
          </cell>
        </row>
        <row r="1434">
          <cell r="E1434" t="str">
            <v>RAMGRAH</v>
          </cell>
          <cell r="G1434">
            <v>9155729786</v>
          </cell>
          <cell r="K1434" t="str">
            <v>BVAS038005</v>
          </cell>
        </row>
        <row r="1435">
          <cell r="E1435" t="str">
            <v>PLOT NO 716,VILL-RUKKA,
835219</v>
          </cell>
          <cell r="G1435">
            <v>9791019799</v>
          </cell>
          <cell r="K1435" t="str">
            <v>BSKS036365</v>
          </cell>
        </row>
        <row r="1436">
          <cell r="E1436" t="str">
            <v>PIPARWAR</v>
          </cell>
          <cell r="G1436">
            <v>7488660978</v>
          </cell>
          <cell r="K1436" t="str">
            <v>BXJD231746</v>
          </cell>
        </row>
        <row r="1437">
          <cell r="E1437" t="str">
            <v>9.P .INDUSTRIAL AREA  KOKAR, RANCHI, TIN-20880200515
9.P .INDUSTRIAL AREA  KOKAR, RANCHI, TIN-20880200515
834001</v>
          </cell>
          <cell r="G1437">
            <v>9955178750</v>
          </cell>
          <cell r="K1437" t="str">
            <v>BTGS031205</v>
          </cell>
        </row>
        <row r="1438">
          <cell r="E1438" t="str">
            <v>KOKAR</v>
          </cell>
          <cell r="G1438">
            <v>7903315808</v>
          </cell>
          <cell r="K1438" t="str">
            <v>BPLF150007</v>
          </cell>
        </row>
        <row r="1439">
          <cell r="E1439" t="str">
            <v>BANDHTOLI, NAGRI</v>
          </cell>
          <cell r="G1439">
            <v>6201457979</v>
          </cell>
          <cell r="K1439" t="str">
            <v>BUFS046813</v>
          </cell>
        </row>
        <row r="1440">
          <cell r="E1440" t="str">
            <v>DALADALI, RANCHI</v>
          </cell>
          <cell r="G1440">
            <v>7762866602</v>
          </cell>
          <cell r="K1440" t="str">
            <v>BVKD163010</v>
          </cell>
        </row>
        <row r="1441">
          <cell r="E1441" t="str">
            <v>MARRAR, RAMGRAH</v>
          </cell>
          <cell r="G1441">
            <v>7654107064</v>
          </cell>
          <cell r="K1441" t="str">
            <v>BXJS035074</v>
          </cell>
        </row>
        <row r="1442">
          <cell r="E1442" t="str">
            <v>JUMRI TELAIYA</v>
          </cell>
          <cell r="G1442">
            <v>7981797616</v>
          </cell>
          <cell r="K1442" t="str">
            <v>BUKC370499</v>
          </cell>
        </row>
        <row r="1443">
          <cell r="E1443" t="str">
            <v>BALIDIH, BOKARO</v>
          </cell>
          <cell r="G1443">
            <v>7009268216</v>
          </cell>
          <cell r="K1443" t="str">
            <v>BVCC376207</v>
          </cell>
        </row>
        <row r="1444">
          <cell r="E1444" t="str">
            <v>BALIDIH INDUSTRIAL AREA, BOKARO
BYE PASS ROAD, CHAS, BOKARO, JHARKHAND.
827014</v>
          </cell>
          <cell r="G1444">
            <v>9153885504</v>
          </cell>
          <cell r="K1444" t="str">
            <v>BRCC373034</v>
          </cell>
        </row>
        <row r="1445">
          <cell r="E1445" t="str">
            <v>DALADALI, RANCHI</v>
          </cell>
          <cell r="G1445">
            <v>7903260686</v>
          </cell>
          <cell r="K1445" t="str">
            <v>BXFD164605</v>
          </cell>
        </row>
        <row r="1446">
          <cell r="E1446" t="str">
            <v>MANDU, RAMGARH
JAISWAL COLONY, THANA CHOW,, RAMGARH CANTT. DIST. RAMGARH, JHARKHAND
825316
MANDU</v>
          </cell>
          <cell r="G1446">
            <v>8797891051</v>
          </cell>
          <cell r="K1446" t="str">
            <v>BWCS032691</v>
          </cell>
        </row>
        <row r="1447">
          <cell r="E1447" t="str">
            <v>AT: SENEGARHA, P.O-RABODH, P.S-GIDDI,(RAMGARH),, DISTT. HAZARIBAGH,JHARKHAND-825330
829108
AT: SENEGARHA, P.O-RABODH, P.S-GIDDI,(RAMGARH),</v>
          </cell>
          <cell r="G1447">
            <v>9006877583</v>
          </cell>
          <cell r="K1447" t="str">
            <v>BSCS037349</v>
          </cell>
        </row>
        <row r="1448">
          <cell r="E1448" t="str">
            <v>AT: SENEGARHA, P.O-RABODH, P.S-GIDDI,(RAMGARH),, DISTT. HAZARIBAGH,JHARKHAND-825330
829108
AT: SENEGARHA, P.O-RABODH, P.S-GIDDI,(RAMGARH),</v>
          </cell>
          <cell r="G1448">
            <v>9006877583</v>
          </cell>
          <cell r="K1448" t="str">
            <v>BRAS033261</v>
          </cell>
        </row>
        <row r="1449">
          <cell r="E1449" t="str">
            <v>SAHEBGANJ</v>
          </cell>
          <cell r="G1449">
            <v>6204854829</v>
          </cell>
          <cell r="K1449" t="str">
            <v>BXID164764</v>
          </cell>
        </row>
        <row r="1450">
          <cell r="E1450" t="str">
            <v>DEOGRAH</v>
          </cell>
          <cell r="G1450">
            <v>7488166756</v>
          </cell>
          <cell r="K1450" t="str">
            <v>BVCC376207</v>
          </cell>
        </row>
        <row r="1451">
          <cell r="E1451" t="str">
            <v>BALIDIH, BOKARO</v>
          </cell>
          <cell r="G1451">
            <v>7009268216</v>
          </cell>
          <cell r="K1451" t="str">
            <v>BVCC376207</v>
          </cell>
        </row>
        <row r="1452">
          <cell r="E1452" t="str">
            <v>RANCHI</v>
          </cell>
          <cell r="G1452">
            <v>9973686006</v>
          </cell>
          <cell r="K1452" t="str">
            <v>BLIS031950</v>
          </cell>
        </row>
        <row r="1453">
          <cell r="E1453" t="str">
            <v>PALAMU,GARWA, JHARKHAND
822124
GARHWA ROAD, NEAR BCCL PALAMU,</v>
          </cell>
          <cell r="G1453">
            <v>9973686006</v>
          </cell>
          <cell r="K1453" t="str">
            <v>GOCS030806</v>
          </cell>
        </row>
        <row r="1454">
          <cell r="E1454" t="str">
            <v>KOKAR INDUSTRIAL AREA,RANCHI
834001</v>
          </cell>
          <cell r="G1454">
            <v>8709740232</v>
          </cell>
          <cell r="K1454" t="str">
            <v>BPIC370386</v>
          </cell>
        </row>
        <row r="1455">
          <cell r="E1455" t="str">
            <v>RAHELA, DALTAINGANJ</v>
          </cell>
          <cell r="G1455">
            <v>8789075522</v>
          </cell>
          <cell r="K1455" t="str">
            <v>BUGS035879</v>
          </cell>
        </row>
        <row r="1456">
          <cell r="E1456" t="str">
            <v>REHLA,GARWA,JHARKHAND
822124
RANCHI</v>
          </cell>
          <cell r="G1456">
            <v>7004623399</v>
          </cell>
          <cell r="K1456" t="str">
            <v>GOIS031795</v>
          </cell>
        </row>
        <row r="1457">
          <cell r="E1457" t="str">
            <v>CHATRA</v>
          </cell>
          <cell r="G1457">
            <v>7004915623</v>
          </cell>
          <cell r="K1457" t="str">
            <v>BXID164737</v>
          </cell>
        </row>
        <row r="1458">
          <cell r="E1458" t="str">
            <v>KEREDARI, HAZARIBAGH</v>
          </cell>
          <cell r="G1458">
            <v>9348067513</v>
          </cell>
          <cell r="K1458" t="str">
            <v>BXLD231873</v>
          </cell>
        </row>
        <row r="1459">
          <cell r="E1459" t="str">
            <v>DUMKA</v>
          </cell>
          <cell r="G1459">
            <v>8920483522</v>
          </cell>
          <cell r="K1459" t="str">
            <v>BXCL153907</v>
          </cell>
        </row>
        <row r="1460">
          <cell r="E1460" t="str">
            <v>RANCHI</v>
          </cell>
          <cell r="G1460">
            <v>7991168537</v>
          </cell>
          <cell r="K1460" t="str">
            <v>BWLS031913</v>
          </cell>
        </row>
        <row r="1461">
          <cell r="E1461" t="str">
            <v>NAGRI,RANCHI
835303</v>
          </cell>
          <cell r="G1461">
            <v>9771432711</v>
          </cell>
          <cell r="K1461" t="str">
            <v>BJDET70060</v>
          </cell>
        </row>
        <row r="1462">
          <cell r="E1462" t="str">
            <v>PTPS, PATRATU</v>
          </cell>
          <cell r="G1462">
            <v>7380666940</v>
          </cell>
          <cell r="K1462" t="str">
            <v>BXGS043605</v>
          </cell>
        </row>
        <row r="1463">
          <cell r="E1463" t="str">
            <v>KEREDARI, HAZARIBAGH</v>
          </cell>
          <cell r="G1463">
            <v>9348067513</v>
          </cell>
          <cell r="K1463" t="str">
            <v>BXAD164317</v>
          </cell>
        </row>
        <row r="1464">
          <cell r="E1464" t="str">
            <v>RAJAPUR, DHANBAD</v>
          </cell>
          <cell r="G1464">
            <v>9661734823</v>
          </cell>
          <cell r="K1464" t="str">
            <v>BIHD2000051</v>
          </cell>
        </row>
        <row r="1465">
          <cell r="E1465" t="str">
            <v>BARABAZAR</v>
          </cell>
          <cell r="G1465">
            <v>9438348720</v>
          </cell>
          <cell r="K1465" t="str">
            <v>BXKD220975</v>
          </cell>
        </row>
        <row r="1466">
          <cell r="E1466" t="str">
            <v>KATRAS, DHANBAD</v>
          </cell>
          <cell r="G1466">
            <v>8210106692</v>
          </cell>
          <cell r="K1466" t="str">
            <v>BUJD162460</v>
          </cell>
        </row>
        <row r="1467">
          <cell r="E1467" t="str">
            <v>PHUSHRO, KARO</v>
          </cell>
          <cell r="G1467">
            <v>7440956279</v>
          </cell>
          <cell r="K1467" t="str">
            <v>BTED162209</v>
          </cell>
        </row>
        <row r="1468">
          <cell r="E1468" t="str">
            <v>PAKUR, DHANBAD</v>
          </cell>
          <cell r="G1468">
            <v>7995272072</v>
          </cell>
          <cell r="K1468" t="str">
            <v>BXFS043344</v>
          </cell>
        </row>
        <row r="1469">
          <cell r="E1469" t="str">
            <v>TAPIN PROJECT, CHARHI</v>
          </cell>
          <cell r="G1469">
            <v>6204816691</v>
          </cell>
          <cell r="K1469" t="str">
            <v>BVLD163067</v>
          </cell>
        </row>
        <row r="1470">
          <cell r="E1470" t="str">
            <v>TAPIN HAZARIBAGH</v>
          </cell>
          <cell r="G1470">
            <v>8002177613</v>
          </cell>
          <cell r="K1470" t="str">
            <v>BTGD162289</v>
          </cell>
        </row>
        <row r="1471">
          <cell r="E1471" t="str">
            <v>TAPIN PROJECT, TAPIN</v>
          </cell>
          <cell r="G1471">
            <v>8521054546</v>
          </cell>
          <cell r="K1471" t="str">
            <v>BUID162953</v>
          </cell>
        </row>
        <row r="1472">
          <cell r="E1472" t="str">
            <v>KOKAR, RANCHI</v>
          </cell>
          <cell r="G1472">
            <v>7488061091</v>
          </cell>
          <cell r="K1472" t="str">
            <v>BWIC371555</v>
          </cell>
        </row>
        <row r="1473">
          <cell r="E1473" t="str">
            <v>AMRAPALI PROJECT, TANDWA</v>
          </cell>
          <cell r="G1473">
            <v>7032052579</v>
          </cell>
          <cell r="K1473" t="str">
            <v>BXBD164357</v>
          </cell>
        </row>
        <row r="1474">
          <cell r="E1474" t="str">
            <v>RING ROAD, TUPUDANA</v>
          </cell>
          <cell r="G1474">
            <v>9264401517</v>
          </cell>
          <cell r="K1474" t="str">
            <v>BWLS031931</v>
          </cell>
        </row>
        <row r="1475">
          <cell r="E1475" t="str">
            <v>SHEKHPURA, BIHAR</v>
          </cell>
          <cell r="G1475">
            <v>9304172201</v>
          </cell>
          <cell r="K1475" t="str">
            <v>BTGL160455</v>
          </cell>
        </row>
        <row r="1476">
          <cell r="E1476" t="str">
            <v>NAGRI</v>
          </cell>
          <cell r="G1476">
            <v>9100031264</v>
          </cell>
          <cell r="K1476" t="str">
            <v>BYCS045058</v>
          </cell>
        </row>
        <row r="1477">
          <cell r="E1477" t="str">
            <v>NAGRI</v>
          </cell>
          <cell r="G1477">
            <v>8555882797</v>
          </cell>
          <cell r="K1477" t="str">
            <v>BYCS030580</v>
          </cell>
        </row>
        <row r="1478">
          <cell r="E1478" t="str">
            <v>PAKUR</v>
          </cell>
          <cell r="G1478">
            <v>9133666330</v>
          </cell>
          <cell r="K1478" t="str">
            <v>BUKD162491</v>
          </cell>
        </row>
        <row r="1479">
          <cell r="E1479" t="str">
            <v>PAKUR</v>
          </cell>
          <cell r="G1479">
            <v>9133666330</v>
          </cell>
          <cell r="K1479" t="str">
            <v>BUKD162500</v>
          </cell>
        </row>
        <row r="1480">
          <cell r="E1480" t="str">
            <v>KHAKHSA PAHAR, PAKURIYA, PAKUR</v>
          </cell>
          <cell r="G1480">
            <v>8789667246</v>
          </cell>
          <cell r="K1480" t="str">
            <v>BUGD162826</v>
          </cell>
        </row>
        <row r="1481">
          <cell r="E1481" t="str">
            <v>TAPIN PROJECT, TAPIN</v>
          </cell>
          <cell r="G1481">
            <v>8521054546</v>
          </cell>
          <cell r="K1481" t="str">
            <v>BUID162953</v>
          </cell>
        </row>
        <row r="1482">
          <cell r="E1482" t="str">
            <v>RANCHI</v>
          </cell>
          <cell r="G1482">
            <v>9973880780</v>
          </cell>
          <cell r="K1482" t="str">
            <v>BKDS031405</v>
          </cell>
        </row>
        <row r="1483">
          <cell r="E1483" t="str">
            <v>LOHARDAGA,JHARKHAND
LOHARDAGA, MOB. NO.9661111900
835302
LOHARDAGA</v>
          </cell>
          <cell r="G1483">
            <v>9973880780</v>
          </cell>
          <cell r="K1483" t="str">
            <v>BQFS031084</v>
          </cell>
        </row>
        <row r="1484">
          <cell r="E1484" t="str">
            <v>GIRIDIH</v>
          </cell>
          <cell r="G1484">
            <v>9046345148</v>
          </cell>
          <cell r="K1484" t="str">
            <v>BVKS048107</v>
          </cell>
        </row>
        <row r="1485">
          <cell r="E1485" t="str">
            <v>ADMINISTRATIVE BLOCK, MECHINICAL DEPARTMENT, DHANBAD</v>
          </cell>
          <cell r="G1485">
            <v>7761943999</v>
          </cell>
          <cell r="K1485" t="str">
            <v>BUIS036656</v>
          </cell>
        </row>
        <row r="1486">
          <cell r="E1486" t="str">
            <v>MIRZA CHOUKI, SAHEBGANJ</v>
          </cell>
          <cell r="G1486">
            <v>7544958524</v>
          </cell>
          <cell r="K1486" t="str">
            <v>BUBD162649</v>
          </cell>
        </row>
        <row r="1487">
          <cell r="E1487" t="str">
            <v>SAHIBGANJ</v>
          </cell>
          <cell r="G1487">
            <v>7544958524</v>
          </cell>
          <cell r="K1487" t="str">
            <v>BSID161973</v>
          </cell>
        </row>
        <row r="1488">
          <cell r="E1488" t="str">
            <v>BANDHIYA RAOD, NAGRI RANCHI, MOB.8709325266
834006
BANDHIYA ROAD, NAGARI RANCHI</v>
          </cell>
          <cell r="G1488">
            <v>9110033639</v>
          </cell>
          <cell r="K1488" t="str">
            <v>BLFS040558</v>
          </cell>
        </row>
        <row r="1489">
          <cell r="E1489" t="str">
            <v>PIPRA</v>
          </cell>
          <cell r="G1489">
            <v>9304258268</v>
          </cell>
          <cell r="K1489" t="str">
            <v>BVIL161084</v>
          </cell>
        </row>
        <row r="1490">
          <cell r="E1490" t="str">
            <v>RAMGRAH</v>
          </cell>
          <cell r="G1490">
            <v>6381242995</v>
          </cell>
          <cell r="K1490" t="str">
            <v>BXLD231897</v>
          </cell>
        </row>
        <row r="1491">
          <cell r="E1491" t="str">
            <v>BANK MOTE, GOMIA</v>
          </cell>
          <cell r="G1491">
            <v>9006785151</v>
          </cell>
          <cell r="K1491" t="str">
            <v>BWJC378352</v>
          </cell>
        </row>
        <row r="1492">
          <cell r="E1492" t="str">
            <v>BIJUPARA, RANCHI</v>
          </cell>
          <cell r="G1492">
            <v>7004246502</v>
          </cell>
          <cell r="K1492" t="str">
            <v>BXDS036915</v>
          </cell>
        </row>
        <row r="1493">
          <cell r="E1493" t="str">
            <v>TAPIN PROJECT, TAPIN</v>
          </cell>
          <cell r="G1493">
            <v>8521054546</v>
          </cell>
          <cell r="K1493" t="str">
            <v>BUID162953</v>
          </cell>
        </row>
        <row r="1494">
          <cell r="E1494" t="str">
            <v>CHUTIA, RANCHI</v>
          </cell>
          <cell r="G1494">
            <v>9793976818</v>
          </cell>
          <cell r="K1494" t="str">
            <v>BVKC374485</v>
          </cell>
        </row>
        <row r="1495">
          <cell r="E1495" t="str">
            <v>ENA COLLEARY</v>
          </cell>
          <cell r="G1495">
            <v>6299143649</v>
          </cell>
          <cell r="K1495" t="str">
            <v>BXJD164132</v>
          </cell>
        </row>
        <row r="1496">
          <cell r="E1496" t="str">
            <v>ADMINISTRATIVE BLOCK, MECHINICAL DEPARTMENT, DHANBAD</v>
          </cell>
          <cell r="G1496">
            <v>7761943999</v>
          </cell>
          <cell r="K1496" t="str">
            <v>BUIS036656</v>
          </cell>
        </row>
        <row r="1497">
          <cell r="E1497" t="str">
            <v>BANDHTOLI, NAGRI</v>
          </cell>
          <cell r="G1497">
            <v>6201457979</v>
          </cell>
          <cell r="K1497" t="str">
            <v>BUFS046813</v>
          </cell>
        </row>
        <row r="1498">
          <cell r="E1498" t="str">
            <v>KEREDARI</v>
          </cell>
          <cell r="G1498">
            <v>6202856098</v>
          </cell>
          <cell r="K1498" t="str">
            <v>BVHD163388</v>
          </cell>
        </row>
        <row r="1499">
          <cell r="E1499" t="str">
            <v>MARRAR, RAMGRAH</v>
          </cell>
          <cell r="G1499">
            <v>8825125008</v>
          </cell>
          <cell r="K1499" t="str">
            <v>BWGS033844</v>
          </cell>
        </row>
        <row r="1500">
          <cell r="E1500" t="str">
            <v>TAPIN PROJECT, CHARHI</v>
          </cell>
          <cell r="G1500">
            <v>6204816691</v>
          </cell>
          <cell r="K1500" t="str">
            <v>BVLD163067</v>
          </cell>
        </row>
        <row r="1501">
          <cell r="E1501" t="str">
            <v>GUMLA</v>
          </cell>
          <cell r="G1501">
            <v>7079918911</v>
          </cell>
          <cell r="K1501" t="str">
            <v>BWLS032007</v>
          </cell>
        </row>
        <row r="1502">
          <cell r="E1502" t="str">
            <v>SIMDEGA</v>
          </cell>
          <cell r="G1502">
            <v>9304534857</v>
          </cell>
          <cell r="K1502" t="str">
            <v>BXID164748</v>
          </cell>
        </row>
        <row r="1503">
          <cell r="E1503" t="str">
            <v>DALADALI, RANCHI</v>
          </cell>
          <cell r="G1503">
            <v>9835538524</v>
          </cell>
          <cell r="K1503" t="str">
            <v>BWFD163940</v>
          </cell>
        </row>
        <row r="1504">
          <cell r="E1504" t="str">
            <v>BARKAGAON</v>
          </cell>
          <cell r="G1504">
            <v>9234615009</v>
          </cell>
          <cell r="K1504" t="str">
            <v>BXDD232126</v>
          </cell>
        </row>
        <row r="1505">
          <cell r="E1505" t="str">
            <v>JHUMRI TILAIYA</v>
          </cell>
          <cell r="G1505">
            <v>7061052272</v>
          </cell>
          <cell r="K1505" t="str">
            <v>GPLS030458</v>
          </cell>
        </row>
        <row r="1506">
          <cell r="E1506" t="str">
            <v>NICHITPUR</v>
          </cell>
          <cell r="G1506">
            <v>7903412157</v>
          </cell>
          <cell r="K1506" t="str">
            <v>BUCD162696</v>
          </cell>
        </row>
        <row r="1507">
          <cell r="E1507" t="str">
            <v>TATULMURI, DHANBAD</v>
          </cell>
          <cell r="G1507">
            <v>9931519401</v>
          </cell>
          <cell r="K1507" t="str">
            <v>BUGD162852</v>
          </cell>
        </row>
        <row r="1508">
          <cell r="E1508" t="str">
            <v>1, KOCP, DHANSAR, Dhanbad, Jharkhand, 828106</v>
          </cell>
          <cell r="G1508">
            <v>6360902039</v>
          </cell>
          <cell r="K1508" t="str">
            <v>BUIC373701</v>
          </cell>
        </row>
        <row r="1509">
          <cell r="E1509" t="str">
            <v>NAMKUM, RANCHI</v>
          </cell>
          <cell r="G1509">
            <v>7633813349</v>
          </cell>
          <cell r="K1509" t="str">
            <v>BTIS045034</v>
          </cell>
        </row>
        <row r="1510">
          <cell r="E1510" t="str">
            <v>BALIDIH INDUSTRIAL AREA
827014</v>
          </cell>
          <cell r="G1510">
            <v>7004333419</v>
          </cell>
          <cell r="K1510" t="str">
            <v>BTDS044313</v>
          </cell>
        </row>
        <row r="1511">
          <cell r="E1511" t="str">
            <v>BALIDIH INDUSTRIAL AREA, BALIDIH BOKARO</v>
          </cell>
          <cell r="G1511">
            <v>7004333419</v>
          </cell>
          <cell r="K1511">
            <v>164253</v>
          </cell>
        </row>
        <row r="1512">
          <cell r="E1512" t="str">
            <v>KATRAS, DHANBAD</v>
          </cell>
          <cell r="G1512">
            <v>9931519401</v>
          </cell>
          <cell r="K1512" t="str">
            <v>BWAD163674</v>
          </cell>
        </row>
        <row r="1513">
          <cell r="E1513" t="str">
            <v>RAHELA, DALTAINGANJ</v>
          </cell>
          <cell r="G1513">
            <v>7004623399</v>
          </cell>
          <cell r="K1513" t="str">
            <v>BWCS032720</v>
          </cell>
        </row>
        <row r="1514">
          <cell r="E1514" t="str">
            <v>FLAT NO. 300, BLOCK - A, MP SRIRAM, CHHOTA GAMHARIA, P.S. - GAMHARIA, DIST.- SARAIKELA KHARSAWAN</v>
          </cell>
          <cell r="G1514">
            <v>7900700814</v>
          </cell>
          <cell r="K1514" t="str">
            <v>BRGL151468</v>
          </cell>
        </row>
        <row r="1515">
          <cell r="E1515" t="str">
            <v>FLAT NO. 300, BLOCK - A, MP SRIRAM, CHHOTA GAMHARIA, P.S. - GAMHARIA, DIST.- SARAIKELA KHARSAWAN</v>
          </cell>
          <cell r="G1515">
            <v>7900700814</v>
          </cell>
          <cell r="K1515" t="str">
            <v>BRBL150944</v>
          </cell>
        </row>
        <row r="1516">
          <cell r="E1516" t="str">
            <v>FLAT NO. 300, BLOCK - A, MP SRIRAM, CHHOTA GAMHARIA, P.S. - GAMHARIA, DIST.- SARAIKELA KHARSAWAN</v>
          </cell>
          <cell r="G1516">
            <v>7600700814</v>
          </cell>
          <cell r="K1516" t="str">
            <v>BRGL151464</v>
          </cell>
        </row>
        <row r="1517">
          <cell r="E1517" t="str">
            <v>JARANDIH, PHUSHRO</v>
          </cell>
          <cell r="G1517">
            <v>7644045555</v>
          </cell>
          <cell r="K1517" t="str">
            <v>BTKD162074</v>
          </cell>
        </row>
        <row r="1518">
          <cell r="E1518" t="str">
            <v>TETULWARI</v>
          </cell>
          <cell r="G1518">
            <v>9006617909</v>
          </cell>
          <cell r="K1518" t="str">
            <v>BTGD162296</v>
          </cell>
        </row>
        <row r="1519">
          <cell r="E1519" t="str">
            <v>JARANDIH, PHUSHRO</v>
          </cell>
          <cell r="G1519">
            <v>9006617909</v>
          </cell>
          <cell r="K1519" t="str">
            <v>BTKD162077</v>
          </cell>
        </row>
        <row r="1520">
          <cell r="E1520" t="str">
            <v>NAGARI,</v>
          </cell>
          <cell r="G1520">
            <v>9204493506</v>
          </cell>
          <cell r="K1520" t="str">
            <v>BLGS040582</v>
          </cell>
        </row>
        <row r="1521">
          <cell r="E1521" t="str">
            <v>SHADEV NAGAR
834002
SHADEV NAGAR</v>
          </cell>
          <cell r="G1521">
            <v>7033389094</v>
          </cell>
          <cell r="K1521" t="str">
            <v>GOHC370857</v>
          </cell>
        </row>
        <row r="1522">
          <cell r="E1522" t="str">
            <v>CHAS BOKARO</v>
          </cell>
          <cell r="G1522">
            <v>9006537516</v>
          </cell>
          <cell r="K1522" t="str">
            <v>BWID164096</v>
          </cell>
        </row>
        <row r="1523">
          <cell r="E1523" t="str">
            <v>KASUNDA</v>
          </cell>
          <cell r="G1523">
            <v>9101968918</v>
          </cell>
          <cell r="K1523" t="str">
            <v>BTCD162162</v>
          </cell>
        </row>
        <row r="1524">
          <cell r="E1524" t="str">
            <v>PHUSHRO</v>
          </cell>
          <cell r="G1524">
            <v>9101868418</v>
          </cell>
          <cell r="K1524" t="str">
            <v>BRFD161164</v>
          </cell>
        </row>
        <row r="1525">
          <cell r="E1525" t="str">
            <v>CHATRA</v>
          </cell>
          <cell r="G1525">
            <v>9304734925</v>
          </cell>
          <cell r="K1525" t="str">
            <v>BXKD164160</v>
          </cell>
        </row>
        <row r="1526">
          <cell r="E1526" t="str">
            <v>AMLO PHUSHRO</v>
          </cell>
          <cell r="G1526">
            <v>9006617909</v>
          </cell>
          <cell r="K1526" t="str">
            <v>BXKD164191</v>
          </cell>
        </row>
        <row r="1527">
          <cell r="E1527" t="str">
            <v>ENA COLLEARY</v>
          </cell>
          <cell r="G1527">
            <v>9835994049</v>
          </cell>
          <cell r="K1527" t="str">
            <v>BXJD164132</v>
          </cell>
        </row>
        <row r="1528">
          <cell r="E1528" t="str">
            <v>BARKAGAON, HAZARIBAGH</v>
          </cell>
          <cell r="G1528">
            <v>7070010949</v>
          </cell>
          <cell r="K1528" t="str">
            <v>BWLD231345</v>
          </cell>
        </row>
        <row r="1529">
          <cell r="E1529" t="str">
            <v>BARKAGAON, HAZARIBAGH</v>
          </cell>
          <cell r="G1529">
            <v>7070010949</v>
          </cell>
          <cell r="K1529" t="str">
            <v>BWLD231334</v>
          </cell>
        </row>
        <row r="1530">
          <cell r="E1530" t="str">
            <v>KODERMA</v>
          </cell>
          <cell r="G1530">
            <v>6205630431</v>
          </cell>
          <cell r="K1530" t="str">
            <v>BXGS043540</v>
          </cell>
        </row>
        <row r="1531">
          <cell r="E1531" t="str">
            <v>HAZARIBAGH
RANCHI JHARKHAND 834002
INDIA</v>
          </cell>
          <cell r="G1531">
            <v>9304664534</v>
          </cell>
          <cell r="K1531" t="str">
            <v>BKAS030685</v>
          </cell>
        </row>
        <row r="1532">
          <cell r="E1532" t="str">
            <v>RANCHI
834002</v>
          </cell>
          <cell r="G1532">
            <v>9540167108</v>
          </cell>
          <cell r="K1532" t="str">
            <v>BXBS036173</v>
          </cell>
        </row>
        <row r="1533">
          <cell r="E1533" t="str">
            <v>DHANBAD</v>
          </cell>
          <cell r="G1533">
            <v>9263996999</v>
          </cell>
          <cell r="K1533" t="str">
            <v>BWHD231603</v>
          </cell>
        </row>
        <row r="1534">
          <cell r="E1534" t="str">
            <v>PHUSHRO</v>
          </cell>
          <cell r="G1534">
            <v>7979946647</v>
          </cell>
          <cell r="K1534" t="str">
            <v>BWHD231642</v>
          </cell>
        </row>
        <row r="1535">
          <cell r="E1535" t="str">
            <v>TUPUDANA INDUSTRIAL AREA, RANCHI
PLOT NO. - 45 &amp; 46, TUPUDAN AINDUSTRIAL AREA, TUPUDANA, HATIA, RANCHI
834003
TIPUDANA INDUSTRIAL AREA</v>
          </cell>
          <cell r="G1535">
            <v>8003055884</v>
          </cell>
          <cell r="K1535" t="str">
            <v>BVDS039458</v>
          </cell>
        </row>
        <row r="1536">
          <cell r="E1536" t="str">
            <v>KOKAR INDUSTRIAL AREA,RANCHI
834001</v>
          </cell>
          <cell r="G1536">
            <v>8709740232</v>
          </cell>
          <cell r="K1536" t="str">
            <v>BPIC370386</v>
          </cell>
        </row>
        <row r="1537">
          <cell r="E1537" t="str">
            <v>NTA LODNA, DHANBAD</v>
          </cell>
          <cell r="G1537">
            <v>7644045555</v>
          </cell>
          <cell r="K1537" t="str">
            <v>BULD162559</v>
          </cell>
        </row>
        <row r="1538">
          <cell r="E1538" t="str">
            <v>DHANBAD</v>
          </cell>
          <cell r="G1538">
            <v>9348067513</v>
          </cell>
          <cell r="K1538" t="str">
            <v>BXFD164587</v>
          </cell>
        </row>
        <row r="1539">
          <cell r="E1539" t="str">
            <v>LODNA</v>
          </cell>
          <cell r="G1539">
            <v>9508648266</v>
          </cell>
          <cell r="K1539" t="str">
            <v>BVJD162972</v>
          </cell>
        </row>
        <row r="1540">
          <cell r="E1540" t="str">
            <v>BEGUSARAI</v>
          </cell>
          <cell r="G1540">
            <v>7903297200</v>
          </cell>
          <cell r="K1540" t="str">
            <v>BXLL153793</v>
          </cell>
        </row>
        <row r="1541">
          <cell r="E1541" t="str">
            <v>RANCHI
834002</v>
          </cell>
          <cell r="G1541">
            <v>8210241710</v>
          </cell>
          <cell r="K1541" t="str">
            <v>BXBS036173</v>
          </cell>
        </row>
        <row r="1542">
          <cell r="E1542" t="str">
            <v>GOVINDPUR, DHANBAD</v>
          </cell>
          <cell r="G1542">
            <v>9031000439</v>
          </cell>
          <cell r="K1542" t="str">
            <v>BJFS031286</v>
          </cell>
        </row>
        <row r="1543">
          <cell r="E1543" t="str">
            <v>URIMARI, RAMGARH</v>
          </cell>
          <cell r="G1543">
            <v>9234615009</v>
          </cell>
          <cell r="K1543" t="str">
            <v>BXFD232221</v>
          </cell>
        </row>
        <row r="1544">
          <cell r="E1544" t="str">
            <v>SAYAL, RAMGARH</v>
          </cell>
          <cell r="G1544">
            <v>9304185763</v>
          </cell>
          <cell r="K1544" t="str">
            <v>BXGD164632</v>
          </cell>
        </row>
        <row r="1545">
          <cell r="E1545" t="str">
            <v>REHLA, GARHWA ROAD, PALAMU D.T, JHARKHAND
PALAMU JHARKHAND 822124
INDIA</v>
          </cell>
          <cell r="G1545">
            <v>7004971081</v>
          </cell>
          <cell r="K1545" t="str">
            <v>BLFS031469</v>
          </cell>
        </row>
        <row r="1546">
          <cell r="E1546" t="str">
            <v>BARIATU,RANCHI
834009
BARIATU</v>
          </cell>
          <cell r="G1546">
            <v>9504901125</v>
          </cell>
          <cell r="K1546" t="str">
            <v>BQLC370193</v>
          </cell>
        </row>
        <row r="1547">
          <cell r="E1547" t="str">
            <v>RAJRAPPA</v>
          </cell>
          <cell r="G1547">
            <v>8092762251</v>
          </cell>
          <cell r="K1547" t="str">
            <v>BUKC370655</v>
          </cell>
        </row>
        <row r="1548">
          <cell r="E1548" t="str">
            <v>NAMKUM, RANCHI</v>
          </cell>
          <cell r="G1548">
            <v>9608478432</v>
          </cell>
          <cell r="K1548" t="str">
            <v>BTIS045032</v>
          </cell>
        </row>
        <row r="1549">
          <cell r="E1549" t="str">
            <v>TUPUDANA INDUSTRIAL AREA,RANCHI
834003</v>
          </cell>
          <cell r="G1549">
            <v>9534249500</v>
          </cell>
          <cell r="K1549" t="str">
            <v>BRIS035695</v>
          </cell>
        </row>
        <row r="1550">
          <cell r="E1550" t="str">
            <v>BASTAWLA DHANBAD</v>
          </cell>
          <cell r="G1550">
            <v>8658834483</v>
          </cell>
          <cell r="K1550" t="str">
            <v>BUAD162630</v>
          </cell>
        </row>
        <row r="1551">
          <cell r="E1551" t="str">
            <v>LODNA MORE</v>
          </cell>
          <cell r="G1551">
            <v>9693269669</v>
          </cell>
          <cell r="K1551" t="str">
            <v>BVFD163261</v>
          </cell>
        </row>
        <row r="1552">
          <cell r="E1552" t="str">
            <v>JHALDA</v>
          </cell>
          <cell r="G1552">
            <v>9331665000</v>
          </cell>
          <cell r="K1552" t="str">
            <v>BTIS045073</v>
          </cell>
        </row>
        <row r="1553">
          <cell r="E1553" t="str">
            <v>JHALDA</v>
          </cell>
          <cell r="G1553">
            <v>9331665000</v>
          </cell>
          <cell r="K1553" t="str">
            <v>BTIS044954</v>
          </cell>
        </row>
        <row r="1554">
          <cell r="E1554" t="str">
            <v>PLOT NO. 148, TUPUDANA, INDUSTRIAL AREA, HATIA, RANCHI
834002</v>
          </cell>
          <cell r="G1554">
            <v>9534249500</v>
          </cell>
          <cell r="K1554" t="str">
            <v>BXKS035161</v>
          </cell>
        </row>
        <row r="1555">
          <cell r="E1555" t="str">
            <v>TIPUDANA INDUSTRIAL AREA, HATIA,</v>
          </cell>
          <cell r="G1555">
            <v>9534249500</v>
          </cell>
          <cell r="K1555" t="str">
            <v>BJGS031396</v>
          </cell>
        </row>
        <row r="1556">
          <cell r="E1556" t="str">
            <v>PLOT NO. 148, TUPUDANA, INDUSTRIAL AREA, HATIA, RANCHI
834002</v>
          </cell>
          <cell r="G1556">
            <v>9534249500</v>
          </cell>
          <cell r="K1556" t="str">
            <v>BSLS036682</v>
          </cell>
        </row>
        <row r="1557">
          <cell r="E1557" t="str">
            <v>JHALDA</v>
          </cell>
          <cell r="G1557">
            <v>9331665000</v>
          </cell>
          <cell r="K1557" t="str">
            <v>BUGS047120</v>
          </cell>
        </row>
        <row r="1558">
          <cell r="E1558" t="str">
            <v>HAZARIBAGH
RANCHI JHARKHAND 834002
INDIA</v>
          </cell>
          <cell r="G1558">
            <v>9304664534</v>
          </cell>
          <cell r="K1558" t="str">
            <v>BKAS030685</v>
          </cell>
        </row>
        <row r="1559">
          <cell r="E1559" t="str">
            <v>NAGRI,RANCHI
835202
RANCHI</v>
          </cell>
          <cell r="G1559">
            <v>7004248429</v>
          </cell>
          <cell r="K1559" t="str">
            <v>BRIS035698</v>
          </cell>
        </row>
        <row r="1560">
          <cell r="E1560" t="str">
            <v>KEREDARI, HAZARIBAGH</v>
          </cell>
          <cell r="G1560">
            <v>9348067513</v>
          </cell>
          <cell r="K1560" t="str">
            <v>BXAD164317</v>
          </cell>
        </row>
        <row r="1561">
          <cell r="E1561" t="str">
            <v>DEOGRAH</v>
          </cell>
          <cell r="G1561">
            <v>6299737730</v>
          </cell>
          <cell r="K1561" t="str">
            <v>BWFD163937</v>
          </cell>
        </row>
        <row r="1562">
          <cell r="E1562" t="str">
            <v>NAYA MORE,RAMGARH
ARA SARU BERA ROAD, NAYA, RAMGARH,JHARKHAND
829110
NAYA MORE</v>
          </cell>
          <cell r="G1562">
            <v>6201225253</v>
          </cell>
          <cell r="K1562" t="str">
            <v>BQBS033796</v>
          </cell>
        </row>
        <row r="1563">
          <cell r="E1563" t="str">
            <v>RAMGARH
829103
NAYA MORE</v>
          </cell>
          <cell r="G1563">
            <v>8789325754</v>
          </cell>
          <cell r="K1563" t="str">
            <v>BRGS035169</v>
          </cell>
        </row>
        <row r="1564">
          <cell r="E1564" t="str">
            <v>RAMGARH
829103
NAYA MORE</v>
          </cell>
          <cell r="G1564">
            <v>6201225253</v>
          </cell>
          <cell r="K1564" t="str">
            <v>BPCS030196</v>
          </cell>
        </row>
        <row r="1565">
          <cell r="E1565" t="str">
            <v>RANIGANJ, WB</v>
          </cell>
          <cell r="G1565">
            <v>9263996999</v>
          </cell>
          <cell r="K1565" t="str">
            <v>BWED163890</v>
          </cell>
        </row>
        <row r="1566">
          <cell r="E1566" t="str">
            <v>ANGARA, TATISILWAI</v>
          </cell>
          <cell r="G1566">
            <v>9507321781</v>
          </cell>
          <cell r="K1566" t="str">
            <v>BWFC370703</v>
          </cell>
        </row>
        <row r="1567">
          <cell r="E1567" t="str">
            <v>RANCHI</v>
          </cell>
          <cell r="G1567">
            <v>9430143630</v>
          </cell>
          <cell r="K1567" t="str">
            <v>BVJC374172</v>
          </cell>
        </row>
        <row r="1568">
          <cell r="E1568" t="str">
            <v>RANCHI</v>
          </cell>
          <cell r="G1568">
            <v>9798944894</v>
          </cell>
          <cell r="K1568" t="str">
            <v>BRCD160978</v>
          </cell>
        </row>
        <row r="1569">
          <cell r="E1569" t="str">
            <v>DALADALI, RANCHI</v>
          </cell>
          <cell r="G1569">
            <v>7494008864</v>
          </cell>
          <cell r="K1569" t="str">
            <v>BWID164054</v>
          </cell>
        </row>
        <row r="1570">
          <cell r="E1570" t="str">
            <v>REG. OFFICE: UNIT 106, MAHABIR TOWER, JOKHIRAM LANE, MAIN ROAD, RANCHI - 834 001
REG. OFFICE: UNIT 106, MAHABIR TOWER, JOKHIRAM LANE, MAIN ROAD, RANCHI - 834 001
835214</v>
          </cell>
          <cell r="G1570">
            <v>8207010500</v>
          </cell>
          <cell r="K1570" t="str">
            <v>BSDS043254</v>
          </cell>
        </row>
        <row r="1571">
          <cell r="E1571" t="str">
            <v>PHASE - IV, PLOT NO. - IV-C/3 P AND IV-C/2 P, BOKARO INDUSTRIAL AREA, BALIDIH, BOKARO
PHASE - IV, PLOT NO. - IV-C/3 P AND IV-C/2 P, BOKARO INDUSTRIAL AREA, BALIDIH, BOKARO
827014</v>
          </cell>
          <cell r="G1571">
            <v>9031000439</v>
          </cell>
          <cell r="K1571" t="str">
            <v>BSDS037649</v>
          </cell>
        </row>
        <row r="1572">
          <cell r="E1572" t="str">
            <v>TUBED MINES, LATEHAR</v>
          </cell>
          <cell r="G1572">
            <v>6263452330</v>
          </cell>
          <cell r="K1572" t="str">
            <v>BXGD232278</v>
          </cell>
        </row>
        <row r="1573">
          <cell r="E1573" t="str">
            <v>NAMKUM, RANCHI</v>
          </cell>
          <cell r="G1573">
            <v>7633813349</v>
          </cell>
          <cell r="K1573" t="str">
            <v>BTIS045034</v>
          </cell>
        </row>
        <row r="1574">
          <cell r="E1574" t="str">
            <v>TATISILWAI, RANCHI</v>
          </cell>
          <cell r="G1574">
            <v>9708039203</v>
          </cell>
          <cell r="K1574" t="str">
            <v>BWEC370314</v>
          </cell>
        </row>
        <row r="1575">
          <cell r="E1575" t="str">
            <v>HAZARIBAGH
RANCHI JHARKHAND 834002
INDIA</v>
          </cell>
          <cell r="G1575">
            <v>9304388269</v>
          </cell>
          <cell r="K1575" t="str">
            <v>BKAS030685</v>
          </cell>
        </row>
        <row r="1576">
          <cell r="E1576" t="str">
            <v>KULI, RAMGRAH</v>
          </cell>
          <cell r="G1576">
            <v>7987318893</v>
          </cell>
          <cell r="K1576" t="str">
            <v>BWAD163680</v>
          </cell>
        </row>
        <row r="1577">
          <cell r="E1577" t="str">
            <v>PITHORIA</v>
          </cell>
          <cell r="G1577">
            <v>7050471419</v>
          </cell>
          <cell r="K1577" t="str">
            <v>BWED163893</v>
          </cell>
        </row>
        <row r="1578">
          <cell r="E1578" t="str">
            <v>MANDU, RAMGRAH</v>
          </cell>
          <cell r="G1578">
            <v>7908864486</v>
          </cell>
          <cell r="K1578" t="str">
            <v>BWKS040437</v>
          </cell>
        </row>
        <row r="1579">
          <cell r="E1579" t="str">
            <v>VINAIKA’S COMPLEX RANCHI TATA ROAD, R.S. PLOT NO.:-615,VILLAGE-PANCHA,THANA-BUNDU RANCHI, JHARKHAND.
834002</v>
          </cell>
          <cell r="G1579">
            <v>9818905980</v>
          </cell>
          <cell r="K1579" t="str">
            <v>BXCS042723</v>
          </cell>
        </row>
        <row r="1580">
          <cell r="E1580" t="str">
            <v>NAGRI,RANCHI
835202
RANCHI</v>
          </cell>
          <cell r="G1580">
            <v>7004248429</v>
          </cell>
          <cell r="K1580" t="str">
            <v>BRIS035698</v>
          </cell>
        </row>
        <row r="1581">
          <cell r="E1581" t="str">
            <v>LOHARDAGAH</v>
          </cell>
          <cell r="G1581">
            <v>9430750751</v>
          </cell>
          <cell r="K1581" t="str">
            <v>BUFS046839</v>
          </cell>
        </row>
        <row r="1582">
          <cell r="E1582" t="str">
            <v>GOPALI CHOWK, DHANBAD</v>
          </cell>
          <cell r="G1582">
            <v>7004686026</v>
          </cell>
          <cell r="K1582" t="str">
            <v>BWLD163586</v>
          </cell>
        </row>
        <row r="1583">
          <cell r="E1583" t="str">
            <v>BHORA</v>
          </cell>
          <cell r="G1583">
            <v>9550035031</v>
          </cell>
          <cell r="K1583" t="str">
            <v>BVHD163331</v>
          </cell>
        </row>
        <row r="1584">
          <cell r="E1584" t="str">
            <v>MANJULA ENTERPRISES, KOKAR INDUSTRIAL AREA KOKAR</v>
          </cell>
          <cell r="G1584">
            <v>9334826499</v>
          </cell>
          <cell r="K1584" t="str">
            <v>BUFC372952</v>
          </cell>
        </row>
        <row r="1585">
          <cell r="E1585" t="str">
            <v>DUMKA</v>
          </cell>
          <cell r="G1585">
            <v>8920483522</v>
          </cell>
          <cell r="K1585" t="str">
            <v>BXCL153907</v>
          </cell>
        </row>
        <row r="1586">
          <cell r="E1586" t="str">
            <v>HAZARINAGH</v>
          </cell>
          <cell r="G1586">
            <v>6200060960</v>
          </cell>
          <cell r="K1586" t="str">
            <v>BUHC373622</v>
          </cell>
        </row>
        <row r="1587">
          <cell r="E1587" t="str">
            <v>NEAR P.N BANK MAIN ROAD,, RAMGARH CANTT-829122, DIST. RAMGARH
829122
BUDHAKHOP, AMBRELA, KARMA,</v>
          </cell>
          <cell r="G1587">
            <v>9973636494</v>
          </cell>
          <cell r="K1587" t="str">
            <v>BQBS030091</v>
          </cell>
        </row>
        <row r="1588">
          <cell r="E1588" t="str">
            <v>LODNA MORE</v>
          </cell>
          <cell r="G1588">
            <v>9550053031</v>
          </cell>
          <cell r="K1588" t="str">
            <v>BWKD163543</v>
          </cell>
        </row>
        <row r="1589">
          <cell r="E1589" t="str">
            <v>RANCHI
834002</v>
          </cell>
          <cell r="G1589">
            <v>8210241710</v>
          </cell>
          <cell r="K1589" t="str">
            <v>BULS033141</v>
          </cell>
        </row>
        <row r="1590">
          <cell r="E1590" t="str">
            <v>KRISHNA NAGAR, BOOTY MORE, RANCHI</v>
          </cell>
          <cell r="G1590">
            <v>8910434312</v>
          </cell>
          <cell r="K1590" t="str">
            <v>BUES034926</v>
          </cell>
        </row>
        <row r="1591">
          <cell r="E1591" t="str">
            <v>OPERATIONS OFFICER, BOKARO BP, KIND ATTEN.ABHISHEK TRIPATHI, MOB. NO.8789972995, VENDOR CODE-11970380
OPERATIONS OFFICER, BOKARO BP, KIND ATTEN.ABHISHEK TRIPATHI, MOB. NO.8789972995, VENDOR CODE-11970380
827014
LPG BOTTALING PLANT, BALIDIH,</v>
          </cell>
          <cell r="G1591">
            <v>8797456432</v>
          </cell>
          <cell r="K1591" t="str">
            <v>BOCS040147</v>
          </cell>
        </row>
        <row r="1592">
          <cell r="E1592" t="str">
            <v>ARARIA, BIHAR</v>
          </cell>
          <cell r="G1592">
            <v>9801421403</v>
          </cell>
          <cell r="K1592" t="str">
            <v>BXAD121939</v>
          </cell>
        </row>
        <row r="1593">
          <cell r="E1593" t="str">
            <v>ARARIA, BIHAR</v>
          </cell>
          <cell r="G1593">
            <v>9382901442</v>
          </cell>
          <cell r="K1593" t="str">
            <v>BXLD121932</v>
          </cell>
        </row>
        <row r="1594">
          <cell r="E1594" t="str">
            <v>HESLA,RAMGARH
829101</v>
          </cell>
          <cell r="G1594">
            <v>7562823341</v>
          </cell>
          <cell r="K1594" t="str">
            <v>BSDS037710</v>
          </cell>
        </row>
        <row r="1595">
          <cell r="E1595" t="str">
            <v>HESLA,RAMGARH
829101</v>
          </cell>
          <cell r="G1595">
            <v>7562823341</v>
          </cell>
          <cell r="K1595" t="str">
            <v>BSJS035917</v>
          </cell>
        </row>
        <row r="1596">
          <cell r="E1596" t="str">
            <v>BARAUNI</v>
          </cell>
          <cell r="G1596">
            <v>9973237962</v>
          </cell>
          <cell r="K1596" t="str">
            <v>BWHD121813</v>
          </cell>
        </row>
        <row r="1597">
          <cell r="E1597" t="str">
            <v>RANCHI
834002</v>
          </cell>
          <cell r="G1597">
            <v>9540167108</v>
          </cell>
          <cell r="K1597" t="str">
            <v>BULS033141</v>
          </cell>
        </row>
        <row r="1598">
          <cell r="E1598" t="str">
            <v>RANCHI
834002</v>
          </cell>
          <cell r="G1598">
            <v>9540167108</v>
          </cell>
          <cell r="K1598" t="str">
            <v>BTIS032025</v>
          </cell>
        </row>
        <row r="1599">
          <cell r="E1599" t="str">
            <v>RANCHI
834002</v>
          </cell>
          <cell r="G1599">
            <v>9540167108</v>
          </cell>
          <cell r="K1599" t="str">
            <v>BTIS032020</v>
          </cell>
        </row>
        <row r="1600">
          <cell r="E1600" t="str">
            <v>KULI, RAMGRAH</v>
          </cell>
          <cell r="G1600">
            <v>9691773091</v>
          </cell>
          <cell r="K1600" t="str">
            <v>BWAD163680</v>
          </cell>
        </row>
        <row r="1601">
          <cell r="E1601" t="str">
            <v>KULI, RAMGRAH</v>
          </cell>
          <cell r="G1601">
            <v>9691773091</v>
          </cell>
          <cell r="K1601" t="str">
            <v>BVGD163297</v>
          </cell>
        </row>
        <row r="1602">
          <cell r="E1602" t="str">
            <v>KRISHNA NAGAR, BOOTY MORE, RANCHI</v>
          </cell>
          <cell r="G1602">
            <v>8910434312</v>
          </cell>
          <cell r="K1602" t="str">
            <v>BUES034926</v>
          </cell>
        </row>
        <row r="1603">
          <cell r="E1603" t="str">
            <v>PTPS, PATRATU</v>
          </cell>
          <cell r="G1603">
            <v>7380666940</v>
          </cell>
          <cell r="K1603" t="str">
            <v>BXGS043605</v>
          </cell>
        </row>
        <row r="1604">
          <cell r="E1604" t="str">
            <v>KODERMA</v>
          </cell>
          <cell r="G1604">
            <v>6205630431</v>
          </cell>
          <cell r="K1604" t="str">
            <v>BXGS043540</v>
          </cell>
        </row>
        <row r="1605">
          <cell r="E1605" t="str">
            <v>BASTAWLA DHANBAD</v>
          </cell>
          <cell r="G1605">
            <v>7623886938</v>
          </cell>
          <cell r="K1605" t="str">
            <v>BTJD162046</v>
          </cell>
        </row>
        <row r="1606">
          <cell r="E1606" t="str">
            <v>JAI RAMPUR</v>
          </cell>
          <cell r="G1606">
            <v>7623886938</v>
          </cell>
          <cell r="K1606" t="str">
            <v>BUAD162634</v>
          </cell>
        </row>
        <row r="1607">
          <cell r="E1607" t="str">
            <v>TATISILWAI, JHARKHAND
835103</v>
          </cell>
          <cell r="G1607">
            <v>6200160428</v>
          </cell>
          <cell r="K1607" t="str">
            <v>BQGS031413</v>
          </cell>
        </row>
        <row r="1608">
          <cell r="E1608" t="str">
            <v>TATISILWAI, JHARKHAND
835103</v>
          </cell>
          <cell r="G1608">
            <v>6200160428</v>
          </cell>
          <cell r="K1608" t="str">
            <v>BQHS040705</v>
          </cell>
        </row>
        <row r="1609">
          <cell r="E1609" t="str">
            <v>BHURKUNDA</v>
          </cell>
          <cell r="G1609">
            <v>9142402876</v>
          </cell>
          <cell r="K1609" t="str">
            <v>BWHD164015</v>
          </cell>
        </row>
        <row r="1610">
          <cell r="E1610" t="str">
            <v>DIBDIH, RANCHI
834002</v>
          </cell>
          <cell r="G1610">
            <v>8102715589</v>
          </cell>
          <cell r="K1610" t="str">
            <v>BTEC378588</v>
          </cell>
        </row>
        <row r="1611">
          <cell r="E1611" t="str">
            <v>TUPUDANA, RANCHI</v>
          </cell>
          <cell r="G1611">
            <v>8102915586</v>
          </cell>
          <cell r="K1611" t="str">
            <v>BUDC372327</v>
          </cell>
        </row>
        <row r="1612">
          <cell r="E1612" t="str">
            <v>KULI, RAMGRAH</v>
          </cell>
          <cell r="G1612">
            <v>9691773091</v>
          </cell>
          <cell r="K1612" t="str">
            <v>BWAD163680</v>
          </cell>
        </row>
        <row r="1613">
          <cell r="E1613" t="str">
            <v>ORMANJHI,RANCHI
835219</v>
          </cell>
          <cell r="G1613">
            <v>9155006000</v>
          </cell>
          <cell r="K1613" t="str">
            <v>BSGC376577</v>
          </cell>
        </row>
        <row r="1614">
          <cell r="E1614" t="str">
            <v>SHEKHPURA, BIHAR</v>
          </cell>
          <cell r="G1614">
            <v>9304172201</v>
          </cell>
          <cell r="K1614" t="str">
            <v>BTGL160455</v>
          </cell>
        </row>
        <row r="1615">
          <cell r="E1615" t="str">
            <v>RAMGARH</v>
          </cell>
          <cell r="G1615">
            <v>9939115073</v>
          </cell>
          <cell r="K1615" t="str">
            <v>BXHS037937</v>
          </cell>
        </row>
        <row r="1616">
          <cell r="E1616" t="str">
            <v>KOKAR INDUSTRIAL AREA,RANCHI
834002
KOKAR INDUSTRIAL AREA</v>
          </cell>
          <cell r="G1616">
            <v>6202536795</v>
          </cell>
          <cell r="K1616" t="str">
            <v>BQAC373733</v>
          </cell>
        </row>
        <row r="1617">
          <cell r="E1617" t="str">
            <v>DHANBAD, CONT PERSON :MR. IKTEKHAR AHMAD, PH.NO :9431316718</v>
          </cell>
          <cell r="G1617">
            <v>8675594243</v>
          </cell>
          <cell r="K1617" t="str">
            <v>BSKD161462</v>
          </cell>
        </row>
        <row r="1618">
          <cell r="E1618" t="str">
            <v>LODNA NTS</v>
          </cell>
          <cell r="G1618">
            <v>7644045555</v>
          </cell>
          <cell r="K1618" t="str">
            <v>BXKD164206</v>
          </cell>
        </row>
        <row r="1619">
          <cell r="E1619" t="str">
            <v>KOKAR INDUSTRIAL AREA,RANCHI
834001</v>
          </cell>
          <cell r="G1619">
            <v>8709740232</v>
          </cell>
          <cell r="K1619" t="str">
            <v>BPIC370386</v>
          </cell>
        </row>
        <row r="1620">
          <cell r="E1620" t="str">
            <v>PHUSHRO</v>
          </cell>
          <cell r="G1620">
            <v>7979946647</v>
          </cell>
          <cell r="K1620" t="str">
            <v>BWHD231642</v>
          </cell>
        </row>
        <row r="1621">
          <cell r="E1621" t="str">
            <v>BASTAKOLA, DHANBAD</v>
          </cell>
          <cell r="G1621">
            <v>8521311810</v>
          </cell>
          <cell r="K1621" t="str">
            <v>BUKD162535</v>
          </cell>
        </row>
        <row r="1622">
          <cell r="E1622" t="str">
            <v>BASTAKOLA, DHANBAD</v>
          </cell>
          <cell r="G1622">
            <v>8521311810</v>
          </cell>
          <cell r="K1622" t="str">
            <v>BQKD160099</v>
          </cell>
        </row>
        <row r="1623">
          <cell r="E1623" t="str">
            <v>BARHI INDUSTRIAL ARE BARHI</v>
          </cell>
          <cell r="G1623">
            <v>8795889641</v>
          </cell>
          <cell r="K1623" t="str">
            <v>BUBF111245</v>
          </cell>
        </row>
        <row r="1624">
          <cell r="E1624" t="str">
            <v>PLOT NO. 79, KAPASARA,, SUNDERNAGAR, CHIRKUNDA,, DHANBAD - 828 202
PLOT NO. 79, KAPASARA,, SUNDERNAGAR, CHIRKUNDA,, DHANBAD - 828 202
828202</v>
          </cell>
          <cell r="G1624">
            <v>8101005542</v>
          </cell>
          <cell r="K1624" t="str">
            <v>BTFS031006</v>
          </cell>
        </row>
        <row r="1625">
          <cell r="E1625" t="str">
            <v>SIRSA, GIRIDIH</v>
          </cell>
          <cell r="G1625">
            <v>7739303378</v>
          </cell>
          <cell r="K1625" t="str">
            <v>BXAC372845</v>
          </cell>
        </row>
        <row r="1626">
          <cell r="E1626" t="str">
            <v>PHUSHRO</v>
          </cell>
          <cell r="G1626">
            <v>7979946647</v>
          </cell>
          <cell r="K1626" t="str">
            <v>BWHD231642</v>
          </cell>
        </row>
        <row r="1627">
          <cell r="E1627" t="str">
            <v>RAMGRAH</v>
          </cell>
          <cell r="G1627">
            <v>6201883447</v>
          </cell>
          <cell r="K1627" t="str">
            <v>BWBC379643</v>
          </cell>
        </row>
        <row r="1628">
          <cell r="E1628" t="str">
            <v>DUMRI, DHANBAD</v>
          </cell>
          <cell r="G1628">
            <v>6204545670</v>
          </cell>
          <cell r="K1628" t="str">
            <v>BVHD163374</v>
          </cell>
        </row>
        <row r="1629">
          <cell r="E1629" t="str">
            <v>DUMRI, JHARKHAND</v>
          </cell>
          <cell r="G1629">
            <v>9608325210</v>
          </cell>
          <cell r="K1629" t="str">
            <v>BSFD161830</v>
          </cell>
        </row>
        <row r="1630">
          <cell r="E1630" t="str">
            <v>NAGARI
 835303</v>
          </cell>
          <cell r="G1630">
            <v>9264443243</v>
          </cell>
          <cell r="K1630" t="str">
            <v>BREC373538</v>
          </cell>
        </row>
        <row r="1631">
          <cell r="E1631" t="str">
            <v>BAGODER</v>
          </cell>
          <cell r="G1631">
            <v>6204545870</v>
          </cell>
          <cell r="K1631" t="str">
            <v>BRBD160856</v>
          </cell>
        </row>
        <row r="1632">
          <cell r="E1632" t="str">
            <v>C/O BIOHEAL POLY TECH PVT LTD, ORMANJHI, RANCHI</v>
          </cell>
          <cell r="G1632">
            <v>9791019799</v>
          </cell>
          <cell r="K1632" t="str">
            <v>BWJS031206</v>
          </cell>
        </row>
        <row r="1633">
          <cell r="E1633" t="str">
            <v>KHATHITAND, RANCHI</v>
          </cell>
          <cell r="G1633">
            <v>8383018375</v>
          </cell>
          <cell r="K1633" t="str">
            <v>BXJC371965</v>
          </cell>
        </row>
        <row r="1634">
          <cell r="E1634" t="str">
            <v>RAMGARH</v>
          </cell>
          <cell r="G1634">
            <v>7004848564</v>
          </cell>
          <cell r="K1634" t="str">
            <v>BXES037132</v>
          </cell>
        </row>
        <row r="1635">
          <cell r="E1635" t="str">
            <v>BARKAGAON</v>
          </cell>
          <cell r="G1635">
            <v>9234615009</v>
          </cell>
          <cell r="K1635" t="str">
            <v>BXDD232126</v>
          </cell>
        </row>
        <row r="1636">
          <cell r="E1636" t="str">
            <v>BALIDIH, BOKARO</v>
          </cell>
          <cell r="G1636">
            <v>9119693082</v>
          </cell>
          <cell r="K1636" t="str">
            <v>ALGS030185</v>
          </cell>
        </row>
        <row r="1637">
          <cell r="E1637" t="str">
            <v>BOKARO, DHANBAD</v>
          </cell>
          <cell r="G1637">
            <v>7004387228</v>
          </cell>
          <cell r="K1637" t="str">
            <v>BQID160467</v>
          </cell>
        </row>
        <row r="1638">
          <cell r="E1638" t="str">
            <v>PHOOLWARITAND</v>
          </cell>
          <cell r="G1638">
            <v>9006138621</v>
          </cell>
          <cell r="K1638" t="str">
            <v>BTFD162244</v>
          </cell>
        </row>
        <row r="1639">
          <cell r="E1639" t="str">
            <v>KULI, RAMGRAH</v>
          </cell>
          <cell r="G1639">
            <v>9691773091</v>
          </cell>
          <cell r="K1639" t="str">
            <v>BWAD163680</v>
          </cell>
        </row>
        <row r="1640">
          <cell r="E1640" t="str">
            <v>NTA LODNA, DHANBAD</v>
          </cell>
          <cell r="G1640">
            <v>7644045555</v>
          </cell>
          <cell r="K1640" t="str">
            <v>BULD162559</v>
          </cell>
        </row>
        <row r="1641">
          <cell r="E1641" t="str">
            <v>KWJAMA COLLIERY, DHANBAD</v>
          </cell>
          <cell r="G1641">
            <v>7644045555</v>
          </cell>
          <cell r="K1641" t="str">
            <v>BVCD163165</v>
          </cell>
        </row>
        <row r="1642">
          <cell r="E1642" t="str">
            <v>JHARIA, DHANBAD</v>
          </cell>
          <cell r="G1642">
            <v>8210106692</v>
          </cell>
          <cell r="K1642" t="str">
            <v>BRHD161304</v>
          </cell>
        </row>
        <row r="1643">
          <cell r="E1643" t="str">
            <v>NICHITPUR</v>
          </cell>
          <cell r="G1643">
            <v>8403319655</v>
          </cell>
          <cell r="K1643" t="str">
            <v>BUCD162696</v>
          </cell>
        </row>
        <row r="1644">
          <cell r="E1644" t="str">
            <v>KODERMA</v>
          </cell>
          <cell r="G1644">
            <v>8102924905</v>
          </cell>
          <cell r="K1644" t="str">
            <v>BVFS049407</v>
          </cell>
        </row>
        <row r="1645">
          <cell r="E1645" t="str">
            <v>GUMLA</v>
          </cell>
          <cell r="G1645">
            <v>9916180220</v>
          </cell>
          <cell r="K1645" t="str">
            <v>BXGC374721</v>
          </cell>
        </row>
        <row r="1646">
          <cell r="E1646" t="str">
            <v>NICHITPUR</v>
          </cell>
          <cell r="G1646">
            <v>8403319655</v>
          </cell>
          <cell r="K1646" t="str">
            <v>BUCD162696</v>
          </cell>
        </row>
        <row r="1647">
          <cell r="E1647" t="str">
            <v>KOKAR,INDUSTRIAL AREA,RANCHI
834002
RANCHI</v>
          </cell>
          <cell r="G1647">
            <v>7781017197</v>
          </cell>
          <cell r="K1647" t="str">
            <v>BMKC370048</v>
          </cell>
        </row>
        <row r="1648">
          <cell r="E1648" t="str">
            <v>AT. BONGABAR, SANDI, RAMGARH, AMC  FROM 1-8-2019 TO 30-7-2020
829122
SANDI ,</v>
          </cell>
          <cell r="G1648">
            <v>7004377365</v>
          </cell>
          <cell r="K1648" t="str">
            <v>BLGS040605</v>
          </cell>
        </row>
        <row r="1649">
          <cell r="E1649" t="str">
            <v>BAGODAR</v>
          </cell>
          <cell r="G1649">
            <v>9934111977</v>
          </cell>
          <cell r="K1649" t="str">
            <v>BWFD163931</v>
          </cell>
        </row>
        <row r="1650">
          <cell r="E1650" t="str">
            <v>SAYAL, RAMGRAH</v>
          </cell>
          <cell r="G1650">
            <v>9798689867</v>
          </cell>
          <cell r="K1650" t="str">
            <v>BXAD164301</v>
          </cell>
        </row>
        <row r="1651">
          <cell r="E1651" t="str">
            <v>BEGUSARAI</v>
          </cell>
          <cell r="G1651">
            <v>6201785442</v>
          </cell>
          <cell r="K1651" t="str">
            <v>BWHD164003</v>
          </cell>
        </row>
        <row r="1652">
          <cell r="E1652" t="str">
            <v>PIPRA</v>
          </cell>
          <cell r="G1652">
            <v>9304258268</v>
          </cell>
          <cell r="K1652" t="str">
            <v>BVIL161084</v>
          </cell>
        </row>
        <row r="1653">
          <cell r="E1653" t="str">
            <v>BASTAKOLA, DHANBAD</v>
          </cell>
          <cell r="G1653">
            <v>8521311810</v>
          </cell>
          <cell r="K1653" t="str">
            <v>BUKD162535</v>
          </cell>
        </row>
        <row r="1654">
          <cell r="E1654" t="str">
            <v>PITHORIA</v>
          </cell>
          <cell r="G1654">
            <v>7050471419</v>
          </cell>
          <cell r="K1654" t="str">
            <v>BWED163893</v>
          </cell>
        </row>
        <row r="1655">
          <cell r="E1655" t="str">
            <v>DALADALI, RANCHI</v>
          </cell>
          <cell r="G1655">
            <v>8051191796</v>
          </cell>
          <cell r="K1655" t="str">
            <v>BWED163889</v>
          </cell>
        </row>
        <row r="1656">
          <cell r="E1656" t="str">
            <v>BARHI INDUSTRIAL ARE BARHI</v>
          </cell>
          <cell r="G1656">
            <v>8795889641</v>
          </cell>
          <cell r="K1656" t="str">
            <v>BUES035120</v>
          </cell>
        </row>
        <row r="1657">
          <cell r="E1657" t="str">
            <v>RAMGARAH</v>
          </cell>
          <cell r="G1657">
            <v>9523364242</v>
          </cell>
          <cell r="K1657" t="str">
            <v>BVES049148</v>
          </cell>
        </row>
        <row r="1658">
          <cell r="E1658" t="str">
            <v>RAMGARAH</v>
          </cell>
          <cell r="G1658">
            <v>9523364242</v>
          </cell>
          <cell r="K1658" t="str">
            <v>BVES049149</v>
          </cell>
        </row>
        <row r="1659">
          <cell r="E1659" t="str">
            <v>RAMGRAH</v>
          </cell>
          <cell r="G1659">
            <v>7010370828</v>
          </cell>
          <cell r="K1659" t="str">
            <v>BXLD231897</v>
          </cell>
        </row>
        <row r="1660">
          <cell r="E1660" t="str">
            <v>CHAS BOKARO</v>
          </cell>
          <cell r="G1660">
            <v>7004564809</v>
          </cell>
          <cell r="K1660" t="str">
            <v>BXBD164346</v>
          </cell>
        </row>
        <row r="1661">
          <cell r="E1661" t="str">
            <v>AMLO PHUSHRO</v>
          </cell>
          <cell r="G1661">
            <v>8757131605</v>
          </cell>
          <cell r="K1661" t="str">
            <v>BXKD164191</v>
          </cell>
        </row>
        <row r="1662">
          <cell r="E1662" t="str">
            <v>MESRA, RANCHI</v>
          </cell>
          <cell r="G1662">
            <v>9523535955</v>
          </cell>
          <cell r="K1662" t="str">
            <v>BXJF111817</v>
          </cell>
        </row>
        <row r="1663">
          <cell r="E1663" t="str">
            <v>ITBP CAMP, SUKURHUTTU</v>
          </cell>
          <cell r="G1663">
            <v>7488762314</v>
          </cell>
          <cell r="K1663" t="str">
            <v>BRGC373918</v>
          </cell>
        </row>
        <row r="1664">
          <cell r="E1664" t="str">
            <v>B7-PHASE-3, BALIDIH INDUSTRIAL AREA BALIDIH, BOKARO STEEL CITY BOKARO, JHARKHAND
SUNDARAM STEELS PVT. LTD, B-7 PHASE-III,BOKARO INDUSTRIAL AREA,BALIDIH, BOKARO
827014</v>
          </cell>
          <cell r="G1664">
            <v>8240009288</v>
          </cell>
          <cell r="K1664" t="str">
            <v>BTHS031467</v>
          </cell>
        </row>
        <row r="1665">
          <cell r="E1665" t="str">
            <v>SARAIKELA, JAMSHEDPUR</v>
          </cell>
          <cell r="G1665">
            <v>8809697867</v>
          </cell>
          <cell r="K1665" t="str">
            <v>BXAD164288</v>
          </cell>
        </row>
        <row r="1666">
          <cell r="E1666" t="str">
            <v>BARIDIH</v>
          </cell>
          <cell r="G1666">
            <v>9304170499</v>
          </cell>
          <cell r="K1666" t="str">
            <v>BQIC371495</v>
          </cell>
        </row>
        <row r="1667">
          <cell r="E1667" t="str">
            <v>BEGUSARAI</v>
          </cell>
          <cell r="G1667">
            <v>8789417920</v>
          </cell>
          <cell r="K1667" t="str">
            <v>BXLL153793</v>
          </cell>
        </row>
        <row r="1668">
          <cell r="E1668" t="str">
            <v>CHAS BOKARO</v>
          </cell>
          <cell r="G1668">
            <v>9135780550</v>
          </cell>
          <cell r="K1668" t="str">
            <v>BPJD200007</v>
          </cell>
        </row>
        <row r="1669">
          <cell r="E1669" t="str">
            <v>AKASHKANARI</v>
          </cell>
          <cell r="G1669">
            <v>7667074257</v>
          </cell>
          <cell r="K1669" t="str">
            <v>BWFD163947</v>
          </cell>
        </row>
        <row r="1670">
          <cell r="E1670" t="str">
            <v>MAHUDA MORE, DHANBAD</v>
          </cell>
          <cell r="G1670">
            <v>6204702963</v>
          </cell>
          <cell r="K1670" t="str">
            <v>BWHD164004</v>
          </cell>
        </row>
        <row r="1671">
          <cell r="E1671" t="str">
            <v>TAPIN PROJECT, TAPIN</v>
          </cell>
          <cell r="G1671">
            <v>8521054546</v>
          </cell>
          <cell r="K1671" t="str">
            <v>BUID162953</v>
          </cell>
        </row>
        <row r="1672">
          <cell r="E1672" t="str">
            <v>GIRIDIH</v>
          </cell>
          <cell r="G1672">
            <v>9931921808</v>
          </cell>
          <cell r="K1672" t="str">
            <v>BXCD164420</v>
          </cell>
        </row>
        <row r="1673">
          <cell r="E1673" t="str">
            <v>CHAS BOKARO</v>
          </cell>
          <cell r="G1673">
            <v>7004564809</v>
          </cell>
          <cell r="K1673" t="str">
            <v>BXBD164346</v>
          </cell>
        </row>
        <row r="1674">
          <cell r="E1674" t="str">
            <v>BARHI</v>
          </cell>
          <cell r="G1674">
            <v>8927329180</v>
          </cell>
          <cell r="K1674" t="str">
            <v>BXFC374369</v>
          </cell>
        </row>
        <row r="1675">
          <cell r="E1675" t="str">
            <v>PATNA</v>
          </cell>
          <cell r="G1675">
            <v>8102800071</v>
          </cell>
          <cell r="K1675" t="str">
            <v>BXDC373714</v>
          </cell>
        </row>
        <row r="1676">
          <cell r="E1676" t="str">
            <v>GOVINDPUR, DHANBAD</v>
          </cell>
          <cell r="G1676">
            <v>9386474690</v>
          </cell>
          <cell r="K1676" t="str">
            <v>BMHS040567</v>
          </cell>
        </row>
        <row r="1677">
          <cell r="E1677" t="str">
            <v>ENA COLLEARY</v>
          </cell>
          <cell r="G1677">
            <v>6299143649</v>
          </cell>
          <cell r="K1677" t="str">
            <v>BXJD164132</v>
          </cell>
        </row>
        <row r="1678">
          <cell r="E1678" t="str">
            <v>CHUTIA, RANCHI</v>
          </cell>
          <cell r="G1678">
            <v>9060975013</v>
          </cell>
          <cell r="K1678" t="str">
            <v>BUFD162814</v>
          </cell>
        </row>
        <row r="1679">
          <cell r="E1679" t="str">
            <v>NEORI,VIKAS,RANCHI.
835217</v>
          </cell>
          <cell r="G1679">
            <v>9693768894</v>
          </cell>
          <cell r="K1679" t="str">
            <v>BWKS040406</v>
          </cell>
        </row>
        <row r="1680">
          <cell r="E1680" t="str">
            <v>KEREDARI, HAZARIBAGH</v>
          </cell>
          <cell r="G1680">
            <v>9348067513</v>
          </cell>
          <cell r="K1680" t="str">
            <v>BXLD231873</v>
          </cell>
        </row>
        <row r="1681">
          <cell r="E1681" t="str">
            <v>BARKAGAON</v>
          </cell>
          <cell r="G1681">
            <v>8978792036</v>
          </cell>
          <cell r="K1681" t="str">
            <v>BWID231694</v>
          </cell>
        </row>
        <row r="1682">
          <cell r="E1682" t="str">
            <v>GAMHARIA</v>
          </cell>
          <cell r="G1682">
            <v>9304556722</v>
          </cell>
          <cell r="K1682" t="str">
            <v>BXJC372067</v>
          </cell>
        </row>
        <row r="1683">
          <cell r="E1683" t="str">
            <v>NAGRI,RANCHI
835202
RANCHI</v>
          </cell>
          <cell r="G1683">
            <v>6200327294</v>
          </cell>
          <cell r="K1683" t="str">
            <v>BMJS040004</v>
          </cell>
        </row>
        <row r="1684">
          <cell r="E1684" t="str">
            <v>DALADALI, RANCHI</v>
          </cell>
          <cell r="G1684">
            <v>7764806030</v>
          </cell>
          <cell r="K1684" t="str">
            <v>BWID164054</v>
          </cell>
        </row>
        <row r="1685">
          <cell r="E1685" t="str">
            <v>CHATRA, HAZARIBAGH</v>
          </cell>
          <cell r="G1685">
            <v>7250253892</v>
          </cell>
          <cell r="K1685" t="str">
            <v>BWID164050</v>
          </cell>
        </row>
        <row r="1686">
          <cell r="E1686" t="str">
            <v>KEREDARI, HAZARIBAGH</v>
          </cell>
          <cell r="G1686">
            <v>8978792036</v>
          </cell>
          <cell r="K1686" t="str">
            <v>BWID231682</v>
          </cell>
        </row>
        <row r="1687">
          <cell r="E1687" t="str">
            <v>SAHEBGANJ</v>
          </cell>
          <cell r="G1687">
            <v>8102674203</v>
          </cell>
          <cell r="K1687" t="str">
            <v>BXCD164399</v>
          </cell>
        </row>
        <row r="1688">
          <cell r="E1688" t="str">
            <v>GUMLA</v>
          </cell>
          <cell r="G1688">
            <v>8285869956</v>
          </cell>
          <cell r="K1688" t="str">
            <v>BWKS031684</v>
          </cell>
        </row>
        <row r="1689">
          <cell r="E1689" t="str">
            <v>DHANBAD</v>
          </cell>
          <cell r="G1689">
            <v>9294578541</v>
          </cell>
          <cell r="K1689" t="str">
            <v>BVGD163308</v>
          </cell>
        </row>
        <row r="1690">
          <cell r="E1690" t="str">
            <v>GROUND FLOOR, 8H AND 81, NATION PRINTERS, NAMKUM INDUSTRIAL AREA,, LOWADIH, RANCHI
GROUND FLOOR, 8H AND 81, NATION PRINTERS, NAMKUM INDUSTRIAL AREA,, LOWADIH, RANCHI
834010</v>
          </cell>
          <cell r="G1690">
            <v>9386895542</v>
          </cell>
          <cell r="K1690" t="str">
            <v>BRCC372871</v>
          </cell>
        </row>
        <row r="1691">
          <cell r="E1691" t="str">
            <v>PHUSHRO, BOKARO</v>
          </cell>
          <cell r="G1691">
            <v>9199713540</v>
          </cell>
          <cell r="K1691" t="str">
            <v>BWID164076</v>
          </cell>
        </row>
        <row r="1692">
          <cell r="E1692" t="str">
            <v>NAMKUM INDUSTRIAL AREA,RANCHI
834010</v>
          </cell>
          <cell r="G1692">
            <v>777995005</v>
          </cell>
          <cell r="K1692" t="str">
            <v>GOCC370403</v>
          </cell>
        </row>
        <row r="1693">
          <cell r="E1693" t="str">
            <v>BALIDIH, BOKARO</v>
          </cell>
          <cell r="G1693">
            <v>9119693082</v>
          </cell>
          <cell r="K1693" t="str">
            <v>ALGS030185</v>
          </cell>
        </row>
        <row r="1694">
          <cell r="E1694" t="str">
            <v>BHULI, DHANBAD</v>
          </cell>
          <cell r="G1694">
            <v>7541046561</v>
          </cell>
          <cell r="K1694" t="str">
            <v>BVFS039912</v>
          </cell>
        </row>
        <row r="1695">
          <cell r="E1695" t="str">
            <v>RAMGARH
829103
NAYA MORE</v>
          </cell>
          <cell r="G1695">
            <v>8789325754</v>
          </cell>
          <cell r="K1695" t="str">
            <v>BRGS035169</v>
          </cell>
        </row>
        <row r="1696">
          <cell r="E1696" t="str">
            <v>SAHEBGANJ</v>
          </cell>
          <cell r="G1696">
            <v>8102674203</v>
          </cell>
          <cell r="K1696" t="str">
            <v>BXCD164399</v>
          </cell>
        </row>
        <row r="1697">
          <cell r="E1697" t="str">
            <v>KOKAR INDUSTRIAL AREA,RANCHI
834001</v>
          </cell>
          <cell r="G1697">
            <v>8709740232</v>
          </cell>
          <cell r="K1697" t="str">
            <v>BPIC370386</v>
          </cell>
        </row>
        <row r="1698">
          <cell r="E1698" t="str">
            <v>GROUND FLOOR, 8H AND 81, NATION PRINTERS, NAMKUM INDUSTRIAL AREA,, LOWADIH, RANCHI
GROUND FLOOR, 8H AND 81, NATION PRINTERS, NAMKUM INDUSTRIAL AREA,, LOWADIH, RANCHI
834010</v>
          </cell>
          <cell r="G1698">
            <v>9709225271</v>
          </cell>
          <cell r="K1698" t="str">
            <v>BRFC373676</v>
          </cell>
        </row>
        <row r="1699">
          <cell r="E1699" t="str">
            <v>GROUND FLOOR, 8H AND 81, NATION PRINTERS, NAMKUM INDUSTRIAL AREA,, LOWADIH, RANCHI
GROUND FLOOR, 8H AND 81, NATION PRINTERS, NAMKUM INDUSTRIAL AREA,, LOWADIH, RANCHI
834010</v>
          </cell>
          <cell r="G1699">
            <v>9386895542</v>
          </cell>
          <cell r="K1699" t="str">
            <v>BRCC372871</v>
          </cell>
        </row>
        <row r="1700">
          <cell r="E1700" t="str">
            <v>KOKAR INDUSTRIAL AREA,RANCHI
834001</v>
          </cell>
          <cell r="G1700">
            <v>8709740232</v>
          </cell>
          <cell r="K1700" t="str">
            <v>BPIC370386</v>
          </cell>
        </row>
        <row r="1701">
          <cell r="E1701" t="str">
            <v>DHANBAD</v>
          </cell>
          <cell r="G1701">
            <v>8210106692</v>
          </cell>
          <cell r="K1701" t="str">
            <v>BXBD164381</v>
          </cell>
        </row>
        <row r="1702">
          <cell r="E1702" t="str">
            <v>DALADALI, RANCHI</v>
          </cell>
          <cell r="G1702">
            <v>9579597970</v>
          </cell>
          <cell r="K1702" t="str">
            <v>BXES037106</v>
          </cell>
        </row>
        <row r="1703">
          <cell r="E1703" t="str">
            <v>GOPALI CHOWK, DHANBAD</v>
          </cell>
          <cell r="G1703">
            <v>7004686026</v>
          </cell>
          <cell r="K1703" t="str">
            <v>BWLD163586</v>
          </cell>
        </row>
        <row r="1704">
          <cell r="E1704" t="str">
            <v>ANGAR PATRA,DHANBAD</v>
          </cell>
          <cell r="G1704">
            <v>7004686028</v>
          </cell>
          <cell r="K1704" t="str">
            <v>BSGD161898</v>
          </cell>
        </row>
        <row r="1705">
          <cell r="E1705" t="str">
            <v>SIMALIYA</v>
          </cell>
          <cell r="G1705">
            <v>9304437284</v>
          </cell>
          <cell r="K1705" t="str">
            <v>BWFC370687</v>
          </cell>
        </row>
        <row r="1706">
          <cell r="E1706" t="str">
            <v>KATHITAND
835222,RANCHI
835222</v>
          </cell>
          <cell r="G1706">
            <v>9709260728</v>
          </cell>
          <cell r="K1706" t="str">
            <v>BRHC374105</v>
          </cell>
        </row>
        <row r="1707">
          <cell r="E1707" t="str">
            <v>RAHELA, DALTAINGANJ</v>
          </cell>
          <cell r="G1707">
            <v>8877136770</v>
          </cell>
          <cell r="K1707" t="str">
            <v>BVAS038319</v>
          </cell>
        </row>
        <row r="1708">
          <cell r="E1708" t="str">
            <v>NTPC BARKAKANA</v>
          </cell>
          <cell r="G1708">
            <v>9842511689</v>
          </cell>
          <cell r="K1708" t="str">
            <v>124540</v>
          </cell>
        </row>
        <row r="1709">
          <cell r="E1709" t="str">
            <v>GROUND FLOOR,, OFFICE NO.448A, ROAD NO.4, ASHOK NAGAR
GROUND FLOOR,, OFFICE NO.448A, ROAD NO.4, ASHOK NAGAR
829118
PLOT NO:- 47P, PATRATU INDUSTRIAL AREA</v>
          </cell>
          <cell r="G1709">
            <v>7541959323</v>
          </cell>
          <cell r="K1709" t="str">
            <v>ONIC370102</v>
          </cell>
        </row>
        <row r="1710">
          <cell r="E1710" t="str">
            <v>GROUND FLOOR,, OFFICE NO.448A, ROAD NO.4, ASHOK NAGAR
GROUND FLOOR,, OFFICE NO.448A, ROAD NO.4, ASHOK NAGAR
829118
PLOT NO:- 47P, PATRATU INDUSTRIAL AREA</v>
          </cell>
          <cell r="G1710">
            <v>7541959393</v>
          </cell>
          <cell r="K1710" t="str">
            <v>GOGC370754</v>
          </cell>
        </row>
        <row r="1711">
          <cell r="E1711" t="str">
            <v>SINDRI,DHANBAD
828122</v>
          </cell>
          <cell r="G1711">
            <v>7004661850</v>
          </cell>
          <cell r="K1711" t="str">
            <v>GOEC370640</v>
          </cell>
        </row>
        <row r="1712">
          <cell r="E1712" t="str">
            <v>GOBINDPUR INDUSTRIAL AREA, DHANBAD</v>
          </cell>
          <cell r="G1712">
            <v>9113169811</v>
          </cell>
          <cell r="K1712" t="str">
            <v>BVJS047894</v>
          </cell>
        </row>
        <row r="1713">
          <cell r="E1713" t="str">
            <v>KOKAR, RANCHI</v>
          </cell>
          <cell r="G1713">
            <v>7277445565</v>
          </cell>
          <cell r="K1713" t="str">
            <v>BWBD163695</v>
          </cell>
        </row>
        <row r="1714">
          <cell r="E1714" t="str">
            <v>BARKAGAON, HAZARIBAGH</v>
          </cell>
          <cell r="G1714">
            <v>9534176193</v>
          </cell>
          <cell r="K1714" t="str">
            <v>BWED163867</v>
          </cell>
        </row>
        <row r="1715">
          <cell r="E1715" t="str">
            <v>BARKAGAON, HAZARIBAGH</v>
          </cell>
          <cell r="G1715">
            <v>9534176193</v>
          </cell>
          <cell r="K1715" t="str">
            <v>BWED163871</v>
          </cell>
        </row>
        <row r="1716">
          <cell r="E1716" t="str">
            <v>BEGUSARAI, BIHAR</v>
          </cell>
          <cell r="G1716">
            <v>9304337942</v>
          </cell>
          <cell r="K1716" t="str">
            <v>BXAL153828</v>
          </cell>
        </row>
        <row r="1717">
          <cell r="E1717" t="str">
            <v>RAHELA, DALTAINGANJ</v>
          </cell>
          <cell r="G1717">
            <v>7004623399</v>
          </cell>
          <cell r="K1717" t="str">
            <v>BWCS032720</v>
          </cell>
        </row>
        <row r="1718">
          <cell r="E1718" t="str">
            <v>BURMU, RANCHI</v>
          </cell>
          <cell r="G1718">
            <v>7999889085</v>
          </cell>
          <cell r="K1718" t="str">
            <v>BTES044431</v>
          </cell>
        </row>
        <row r="1719">
          <cell r="E1719" t="str">
            <v>BAKURA</v>
          </cell>
          <cell r="G1719">
            <v>9476105787</v>
          </cell>
          <cell r="K1719" t="str">
            <v>BLLD200022</v>
          </cell>
        </row>
        <row r="1720">
          <cell r="E1720" t="str">
            <v>CHIRKUNDA, DHANBAD</v>
          </cell>
          <cell r="G1720">
            <v>8101005542</v>
          </cell>
          <cell r="K1720" t="str">
            <v>BWHC371250</v>
          </cell>
        </row>
        <row r="1721">
          <cell r="E1721" t="str">
            <v>PLOT NO. 79, KAPASARA,, SUNDERNAGAR, CHIRKUNDA,, DHANBAD - 828 202
PLOT NO. 79, KAPASARA,, SUNDERNAGAR, CHIRKUNDA,, DHANBAD - 828 202
828202</v>
          </cell>
          <cell r="G1721">
            <v>8101005542</v>
          </cell>
          <cell r="K1721" t="str">
            <v>BTFS031006</v>
          </cell>
        </row>
        <row r="1722">
          <cell r="E1722" t="str">
            <v>DHANBAD</v>
          </cell>
          <cell r="G1722">
            <v>7766908429</v>
          </cell>
          <cell r="K1722" t="str">
            <v>BTED162231</v>
          </cell>
        </row>
        <row r="1723">
          <cell r="E1723" t="str">
            <v>PHUSHRO</v>
          </cell>
          <cell r="G1723">
            <v>7979947746</v>
          </cell>
          <cell r="K1723" t="str">
            <v>BVED163244</v>
          </cell>
        </row>
        <row r="1724">
          <cell r="E1724" t="str">
            <v>PHUSHRO</v>
          </cell>
          <cell r="G1724">
            <v>7091340232</v>
          </cell>
          <cell r="K1724" t="str">
            <v>BWAD163687</v>
          </cell>
        </row>
        <row r="1725">
          <cell r="E1725" t="str">
            <v>RANCHI,JHARKHAND
834001
RANCHI</v>
          </cell>
          <cell r="G1725">
            <v>9431571200</v>
          </cell>
          <cell r="K1725" t="str">
            <v>BJHS031586</v>
          </cell>
        </row>
        <row r="1726">
          <cell r="E1726" t="str">
            <v>RAMGRAH</v>
          </cell>
          <cell r="G1726">
            <v>9559820432</v>
          </cell>
          <cell r="K1726" t="str">
            <v>BUFS046910</v>
          </cell>
        </row>
        <row r="1727">
          <cell r="E1727" t="str">
            <v>NICHITPUR</v>
          </cell>
          <cell r="G1727">
            <v>7903412157</v>
          </cell>
          <cell r="K1727" t="str">
            <v>BVGD163301</v>
          </cell>
        </row>
        <row r="1728">
          <cell r="E1728" t="str">
            <v>DALADALI, RANCHI</v>
          </cell>
          <cell r="G1728">
            <v>9835538524</v>
          </cell>
          <cell r="K1728" t="str">
            <v>BWFD163940</v>
          </cell>
        </row>
        <row r="1729">
          <cell r="E1729" t="str">
            <v>AKASHKANARI</v>
          </cell>
          <cell r="G1729">
            <v>7667074257</v>
          </cell>
          <cell r="K1729" t="str">
            <v>BWFD163947</v>
          </cell>
        </row>
        <row r="1730">
          <cell r="E1730" t="str">
            <v>KAMRE, RANCHI</v>
          </cell>
          <cell r="G1730">
            <v>7004828556</v>
          </cell>
          <cell r="K1730" t="str">
            <v>BXES037065</v>
          </cell>
        </row>
        <row r="1731">
          <cell r="E1731" t="str">
            <v>KULI, RAMGRAH</v>
          </cell>
          <cell r="G1731">
            <v>9691773091</v>
          </cell>
          <cell r="K1731" t="str">
            <v>BWAD163680</v>
          </cell>
        </row>
        <row r="1732">
          <cell r="E1732" t="str">
            <v>KULI, RAMGRAH</v>
          </cell>
          <cell r="G1732">
            <v>9691773091</v>
          </cell>
          <cell r="K1732" t="str">
            <v>BVGD163297</v>
          </cell>
        </row>
        <row r="1733">
          <cell r="E1733" t="str">
            <v>KEREDARI, HAZARIBAGH</v>
          </cell>
          <cell r="G1733">
            <v>9348067513</v>
          </cell>
          <cell r="K1733" t="str">
            <v>BXLD231873</v>
          </cell>
        </row>
        <row r="1734">
          <cell r="E1734" t="str">
            <v>KOKAR INDUSTRIAL AREA,RANCHI
834001</v>
          </cell>
          <cell r="G1734">
            <v>8709740232</v>
          </cell>
          <cell r="K1734" t="str">
            <v>BPIC370386</v>
          </cell>
        </row>
        <row r="1735">
          <cell r="E1735" t="str">
            <v>CHATRA</v>
          </cell>
          <cell r="G1735">
            <v>7903034537</v>
          </cell>
          <cell r="K1735" t="str">
            <v>BWGD163984</v>
          </cell>
        </row>
        <row r="1736">
          <cell r="E1736" t="str">
            <v>TANDWA, CHATRA</v>
          </cell>
          <cell r="G1736">
            <v>7032052579</v>
          </cell>
          <cell r="K1736" t="str">
            <v>BXJD164143</v>
          </cell>
        </row>
        <row r="1737">
          <cell r="E1737" t="str">
            <v>KEREDARI, HAZARIBAGH</v>
          </cell>
          <cell r="G1737">
            <v>9348067513</v>
          </cell>
          <cell r="K1737" t="str">
            <v>BXAD164317</v>
          </cell>
        </row>
        <row r="1738">
          <cell r="E1738" t="str">
            <v>C&amp;W HATIA</v>
          </cell>
          <cell r="G1738">
            <v>7781002740</v>
          </cell>
          <cell r="K1738" t="str">
            <v>EVLL062069</v>
          </cell>
        </row>
        <row r="1739">
          <cell r="E1739" t="str">
            <v>KOKAR,INDUSTRIAL AREA,RANCHI
834002
RANCHI</v>
          </cell>
          <cell r="G1739">
            <v>7781017197</v>
          </cell>
          <cell r="K1739" t="str">
            <v>BMKC370048</v>
          </cell>
        </row>
        <row r="1740">
          <cell r="E1740" t="str">
            <v>KODERMA</v>
          </cell>
          <cell r="G1740">
            <v>9924893989</v>
          </cell>
          <cell r="K1740" t="str">
            <v>BVFS049398</v>
          </cell>
        </row>
        <row r="1741">
          <cell r="E1741" t="str">
            <v>KODERMA</v>
          </cell>
          <cell r="G1741">
            <v>9924893989</v>
          </cell>
          <cell r="K1741" t="str">
            <v>BVFS049407</v>
          </cell>
        </row>
        <row r="1742">
          <cell r="E1742" t="str">
            <v>TANDWA, CHATRA</v>
          </cell>
          <cell r="G1742">
            <v>7032052579</v>
          </cell>
          <cell r="K1742" t="str">
            <v>BXJD164130</v>
          </cell>
        </row>
        <row r="1743">
          <cell r="E1743" t="str">
            <v>MARRAR, RAMGRAH</v>
          </cell>
          <cell r="G1743">
            <v>9461229296</v>
          </cell>
          <cell r="K1743" t="str">
            <v>BXJC371867</v>
          </cell>
        </row>
        <row r="1744">
          <cell r="E1744" t="str">
            <v>KOKAR INDUSTRIAL AREA,RANCHI
834001</v>
          </cell>
          <cell r="G1744">
            <v>8709740232</v>
          </cell>
          <cell r="K1744" t="str">
            <v>BPIC370386</v>
          </cell>
        </row>
        <row r="1745">
          <cell r="E1745" t="str">
            <v>TAPIN PROJECT, CHARHI</v>
          </cell>
          <cell r="G1745">
            <v>6204816691</v>
          </cell>
          <cell r="K1745" t="str">
            <v>BVLD163067</v>
          </cell>
        </row>
        <row r="1746">
          <cell r="E1746" t="str">
            <v>GOVINDPUR, DHANBAD</v>
          </cell>
          <cell r="G1746">
            <v>7254622131</v>
          </cell>
          <cell r="K1746" t="str">
            <v>BVDS039346</v>
          </cell>
        </row>
        <row r="1747">
          <cell r="E1747" t="str">
            <v>LOHAR BHARWA, DHANBAD</v>
          </cell>
          <cell r="G1747">
            <v>7004225629</v>
          </cell>
          <cell r="K1747" t="str">
            <v>BWKC378511</v>
          </cell>
        </row>
        <row r="1748">
          <cell r="E1748" t="str">
            <v>LODNA</v>
          </cell>
          <cell r="G1748">
            <v>6200119580</v>
          </cell>
          <cell r="K1748" t="str">
            <v>BUAD162634</v>
          </cell>
        </row>
        <row r="1749">
          <cell r="E1749" t="str">
            <v>ASHOK NAGAR, RANCHI</v>
          </cell>
          <cell r="G1749">
            <v>9304011261</v>
          </cell>
          <cell r="K1749" t="str">
            <v>BPLD200068</v>
          </cell>
        </row>
        <row r="1750">
          <cell r="E1750" t="str">
            <v>GIRIDIH</v>
          </cell>
          <cell r="G1750">
            <v>8340417458</v>
          </cell>
          <cell r="K1750" t="str">
            <v>BXFD164599</v>
          </cell>
        </row>
        <row r="1751">
          <cell r="E1751" t="str">
            <v>NAGRI, RANCHI
TIKRATOLI, P.O:- NAGRI, RANCHI
834006</v>
          </cell>
          <cell r="G1751">
            <v>7549287704</v>
          </cell>
          <cell r="K1751" t="str">
            <v>BKKS030393</v>
          </cell>
        </row>
        <row r="1752">
          <cell r="E1752" t="str">
            <v>BASKATOLA</v>
          </cell>
          <cell r="G1752">
            <v>8521311810</v>
          </cell>
          <cell r="K1752" t="str">
            <v>BULD162577</v>
          </cell>
        </row>
        <row r="1753">
          <cell r="E1753" t="str">
            <v>CHANDWAY CHOWK,RANCHI
834006</v>
          </cell>
          <cell r="G1753">
            <v>7870472388</v>
          </cell>
          <cell r="K1753" t="str">
            <v>BRAC372352</v>
          </cell>
        </row>
        <row r="1754">
          <cell r="E1754" t="str">
            <v>HAZARIBAGH</v>
          </cell>
          <cell r="G1754">
            <v>7255084681</v>
          </cell>
          <cell r="K1754" t="str">
            <v>BWLS031775</v>
          </cell>
        </row>
        <row r="1755">
          <cell r="E1755" t="str">
            <v>BHURKUNDA</v>
          </cell>
          <cell r="G1755">
            <v>9142402876</v>
          </cell>
          <cell r="K1755" t="str">
            <v>BWHD164015</v>
          </cell>
        </row>
        <row r="1756">
          <cell r="E1756" t="str">
            <v>LODNA</v>
          </cell>
          <cell r="G1756">
            <v>9508648266</v>
          </cell>
          <cell r="K1756" t="str">
            <v>BVJD162972</v>
          </cell>
        </row>
        <row r="1757">
          <cell r="E1757" t="str">
            <v>KWJAMA COLLIERY, DHANBAD</v>
          </cell>
          <cell r="G1757">
            <v>7644045555</v>
          </cell>
          <cell r="K1757" t="str">
            <v>BVCD163165</v>
          </cell>
        </row>
        <row r="1758">
          <cell r="E1758" t="str">
            <v>LODNA NTS</v>
          </cell>
          <cell r="G1758">
            <v>7644045555</v>
          </cell>
          <cell r="K1758" t="str">
            <v>BXKD164206</v>
          </cell>
        </row>
        <row r="1759">
          <cell r="E1759" t="str">
            <v>JHUMRI TILAIYA</v>
          </cell>
          <cell r="G1759">
            <v>7061052272</v>
          </cell>
          <cell r="K1759" t="str">
            <v>GPLS030458</v>
          </cell>
        </row>
        <row r="1760">
          <cell r="E1760" t="str">
            <v>KODERMA</v>
          </cell>
          <cell r="G1760">
            <v>8210413459</v>
          </cell>
          <cell r="K1760" t="str">
            <v>BVFS049426</v>
          </cell>
        </row>
        <row r="1761">
          <cell r="E1761" t="str">
            <v>GROUND FLOOR,, OFFICE NO.448A, ROAD NO.4, ASHOK NAGAR
GROUND FLOOR,, OFFICE NO.448A, ROAD NO.4, ASHOK NAGAR
829118
PLOT NO:- 47P, PATRATU INDUSTRIAL AREA</v>
          </cell>
          <cell r="G1761">
            <v>7541959323</v>
          </cell>
          <cell r="K1761" t="str">
            <v>ONIC370102</v>
          </cell>
        </row>
        <row r="1762">
          <cell r="E1762" t="str">
            <v>GROUND FLOOR,, OFFICE NO.448A, ROAD NO.4, ASHOK NAGAR
GROUND FLOOR,, OFFICE NO.448A, ROAD NO.4, ASHOK NAGAR
829118
PLOT NO:- 47P, PATRATU INDUSTRIAL AREA</v>
          </cell>
          <cell r="G1762">
            <v>7541959393</v>
          </cell>
          <cell r="K1762" t="str">
            <v>GOGC370754</v>
          </cell>
        </row>
        <row r="1763">
          <cell r="E1763" t="str">
            <v>GONDUDIH</v>
          </cell>
          <cell r="G1763">
            <v>9113788032</v>
          </cell>
          <cell r="K1763" t="str">
            <v>BSCD161691</v>
          </cell>
        </row>
        <row r="1764">
          <cell r="E1764" t="str">
            <v>GIRIDIH</v>
          </cell>
          <cell r="G1764">
            <v>7739303378</v>
          </cell>
          <cell r="K1764" t="str">
            <v>BXAC372848</v>
          </cell>
        </row>
        <row r="1765">
          <cell r="E1765" t="str">
            <v>PANCHA BUNDU</v>
          </cell>
          <cell r="G1765">
            <v>9818905980</v>
          </cell>
          <cell r="K1765" t="str">
            <v>BXCS042723</v>
          </cell>
        </row>
        <row r="1766">
          <cell r="E1766" t="str">
            <v>SIRSA, GIRIDIH</v>
          </cell>
          <cell r="G1766">
            <v>7739303378</v>
          </cell>
          <cell r="K1766" t="str">
            <v>BXAC372845</v>
          </cell>
        </row>
        <row r="1767">
          <cell r="E1767" t="str">
            <v>BASTAWLA DHANBAD</v>
          </cell>
          <cell r="G1767">
            <v>6200119580</v>
          </cell>
          <cell r="K1767" t="str">
            <v>BTJD162046</v>
          </cell>
        </row>
        <row r="1768">
          <cell r="E1768" t="str">
            <v>LODNA MORE</v>
          </cell>
          <cell r="G1768">
            <v>9693269669</v>
          </cell>
          <cell r="K1768" t="str">
            <v>BVFD163261</v>
          </cell>
        </row>
        <row r="1769">
          <cell r="E1769" t="str">
            <v>NICHITPUR</v>
          </cell>
          <cell r="G1769">
            <v>7903412157</v>
          </cell>
          <cell r="K1769" t="str">
            <v>BVGD163301</v>
          </cell>
        </row>
        <row r="1770">
          <cell r="E1770" t="str">
            <v>GAMHARIA, JAMSHEDPUR</v>
          </cell>
          <cell r="G1770">
            <v>7488189345</v>
          </cell>
          <cell r="K1770" t="str">
            <v>BXKJC372067</v>
          </cell>
        </row>
        <row r="1771">
          <cell r="E1771" t="str">
            <v>AMLO PHUSHRO</v>
          </cell>
          <cell r="G1771">
            <v>9006617909</v>
          </cell>
          <cell r="K1771" t="str">
            <v>BXKD164191</v>
          </cell>
        </row>
        <row r="1772">
          <cell r="E1772" t="str">
            <v>NAGARI, RANCHI
834006</v>
          </cell>
          <cell r="G1772">
            <v>7255848442</v>
          </cell>
          <cell r="K1772" t="str">
            <v>BRAC372524</v>
          </cell>
        </row>
        <row r="1773">
          <cell r="E1773" t="str">
            <v>NEWRI VIKASH RANCHI JHARKHAND
NEWRI VIKASH RANCHI JHARKHAND
834006
RANCHI</v>
          </cell>
          <cell r="G1773">
            <v>201479268</v>
          </cell>
          <cell r="K1773" t="str">
            <v>BQAC373734</v>
          </cell>
        </row>
        <row r="1774">
          <cell r="E1774" t="str">
            <v>BHORA</v>
          </cell>
          <cell r="G1774">
            <v>9550035031</v>
          </cell>
          <cell r="K1774" t="str">
            <v>BVHD163331</v>
          </cell>
        </row>
        <row r="1775">
          <cell r="E1775" t="str">
            <v>CHANDWAY CHOWK,RANCHI
834006</v>
          </cell>
          <cell r="G1775">
            <v>7870472388</v>
          </cell>
          <cell r="K1775" t="str">
            <v>BRAC372352</v>
          </cell>
        </row>
        <row r="1776">
          <cell r="E1776" t="str">
            <v>GOVINDPUR, DHANBAD</v>
          </cell>
          <cell r="G1776">
            <v>9031000459</v>
          </cell>
          <cell r="K1776" t="str">
            <v>BMHS040567</v>
          </cell>
        </row>
        <row r="1777">
          <cell r="E1777" t="str">
            <v>PARSAI, GOVINDPUR</v>
          </cell>
          <cell r="G1777">
            <v>8348686307</v>
          </cell>
          <cell r="K1777" t="str">
            <v>BXLS042397</v>
          </cell>
        </row>
        <row r="1778">
          <cell r="E1778" t="str">
            <v>PAKUR</v>
          </cell>
          <cell r="G1778">
            <v>9133666330</v>
          </cell>
          <cell r="K1778" t="str">
            <v>BUKD162500</v>
          </cell>
        </row>
        <row r="1779">
          <cell r="E1779" t="str">
            <v>MAHUDA MORE, DHANBAD</v>
          </cell>
          <cell r="G1779">
            <v>6204702963</v>
          </cell>
          <cell r="K1779" t="str">
            <v>BWHD164004</v>
          </cell>
        </row>
        <row r="1780">
          <cell r="E1780" t="str">
            <v>BARKAGAON, HAZARIBAGH</v>
          </cell>
          <cell r="G1780">
            <v>7070010949</v>
          </cell>
          <cell r="K1780" t="str">
            <v>BWLD231334</v>
          </cell>
        </row>
        <row r="1781">
          <cell r="E1781" t="str">
            <v>BARKAGAON, HAZARIBAGH</v>
          </cell>
          <cell r="G1781">
            <v>7070010949</v>
          </cell>
          <cell r="K1781" t="str">
            <v>BWLD231345</v>
          </cell>
        </row>
        <row r="1782">
          <cell r="E1782" t="str">
            <v>ANGARPATHRA</v>
          </cell>
          <cell r="G1782">
            <v>8210106692</v>
          </cell>
          <cell r="K1782" t="str">
            <v>BULD162561</v>
          </cell>
        </row>
        <row r="1783">
          <cell r="E1783" t="str">
            <v>JAMSHEDPUR</v>
          </cell>
          <cell r="G1783">
            <v>8252943661</v>
          </cell>
          <cell r="K1783" t="str">
            <v>BTFD120918</v>
          </cell>
        </row>
        <row r="1784">
          <cell r="E1784" t="str">
            <v>NAYA MORE, RAMGRAH</v>
          </cell>
          <cell r="G1784">
            <v>7004541681</v>
          </cell>
          <cell r="K1784" t="str">
            <v>BUKS045387</v>
          </cell>
        </row>
        <row r="1785">
          <cell r="E1785" t="str">
            <v>NAYA MORE, RAMGRAH</v>
          </cell>
          <cell r="G1785">
            <v>7004541681</v>
          </cell>
          <cell r="K1785" t="str">
            <v>BUKS045388</v>
          </cell>
        </row>
        <row r="1786">
          <cell r="E1786" t="str">
            <v>RAMGARH
829103
NAYA MORE</v>
          </cell>
          <cell r="G1786">
            <v>6201225253</v>
          </cell>
          <cell r="K1786" t="str">
            <v>BPCS030196</v>
          </cell>
        </row>
        <row r="1787">
          <cell r="E1787" t="str">
            <v>BHURKUNDA</v>
          </cell>
          <cell r="G1787">
            <v>9142402876</v>
          </cell>
          <cell r="K1787" t="str">
            <v>BWHD164015</v>
          </cell>
        </row>
        <row r="1788">
          <cell r="E1788" t="str">
            <v>NUTAN NAGAR, HAZARIBAGH</v>
          </cell>
          <cell r="G1788">
            <v>9798220119</v>
          </cell>
          <cell r="K1788" t="str">
            <v>BXKC372344</v>
          </cell>
        </row>
        <row r="1789">
          <cell r="E1789" t="str">
            <v>KODERMA, JHARKHAND</v>
          </cell>
          <cell r="G1789">
            <v>6205630431</v>
          </cell>
          <cell r="K1789" t="str">
            <v>BKCS031162</v>
          </cell>
        </row>
        <row r="1790">
          <cell r="E1790" t="str">
            <v>BARKAGAON</v>
          </cell>
          <cell r="G1790"/>
          <cell r="K1790" t="str">
            <v>BNCS050910</v>
          </cell>
        </row>
        <row r="1791">
          <cell r="E1791" t="str">
            <v>BALIDIH, BOKARO</v>
          </cell>
          <cell r="G1791">
            <v>8797300962</v>
          </cell>
          <cell r="K1791" t="str">
            <v>BWIC371523</v>
          </cell>
        </row>
        <row r="1792">
          <cell r="E1792" t="str">
            <v>PHUSHRO, KARO</v>
          </cell>
          <cell r="G1792">
            <v>7440956279</v>
          </cell>
          <cell r="K1792" t="str">
            <v>BTED162209</v>
          </cell>
        </row>
        <row r="1793">
          <cell r="E1793" t="str">
            <v>TATISILWAI, RANCHI</v>
          </cell>
          <cell r="G1793">
            <v>6201580224</v>
          </cell>
          <cell r="K1793" t="str">
            <v>BWHD163996</v>
          </cell>
        </row>
        <row r="1794">
          <cell r="E1794" t="str">
            <v>PHUSHRO</v>
          </cell>
          <cell r="G1794">
            <v>7979946647</v>
          </cell>
          <cell r="K1794" t="str">
            <v>BWHD231642</v>
          </cell>
        </row>
        <row r="1795">
          <cell r="E1795" t="str">
            <v>ASHOK NAGAR, RANCHI</v>
          </cell>
          <cell r="G1795">
            <v>9352389271</v>
          </cell>
          <cell r="K1795" t="str">
            <v>BQKD200047</v>
          </cell>
        </row>
        <row r="1796">
          <cell r="E1796" t="str">
            <v>RAMGARH SPONGE IRON PVT LTD VILLAGE:HOSHIR GIDDI-POHAZARIBAGH(DT)JHARKHAND IND
829110</v>
          </cell>
          <cell r="G1796">
            <v>9835381268</v>
          </cell>
          <cell r="K1796" t="str">
            <v>BKCS040470</v>
          </cell>
        </row>
        <row r="1797">
          <cell r="E1797" t="str">
            <v>HOSHIR GIDDI,RAMGARH
NEAR P.N. BANK MAIN ROAD, RAMGARH CANTT. 829122
829110</v>
          </cell>
          <cell r="G1797">
            <v>9835381268</v>
          </cell>
          <cell r="K1797" t="str">
            <v>BRHS035368</v>
          </cell>
        </row>
        <row r="1798">
          <cell r="E1798" t="str">
            <v>HOSHIR GIDDI,RAMGARH
NEAR P.N. BANK MAIN ROAD, RAMGARH CANTT. 829122
829110</v>
          </cell>
          <cell r="G1798">
            <v>9835381268</v>
          </cell>
          <cell r="K1798" t="str">
            <v>GPJS030042</v>
          </cell>
        </row>
        <row r="1799">
          <cell r="E1799" t="str">
            <v>GOPALI CHOWK, DHANBAD</v>
          </cell>
          <cell r="G1799">
            <v>7004686026</v>
          </cell>
          <cell r="K1799" t="str">
            <v>BWLD163586</v>
          </cell>
        </row>
        <row r="1800">
          <cell r="E1800" t="str">
            <v>RANCHI
834002</v>
          </cell>
          <cell r="G1800">
            <v>9540167108</v>
          </cell>
          <cell r="K1800" t="str">
            <v>BULS033141</v>
          </cell>
        </row>
        <row r="1801">
          <cell r="E1801" t="str">
            <v>GOVINDPUR</v>
          </cell>
          <cell r="G1801">
            <v>9065522796</v>
          </cell>
          <cell r="K1801" t="str">
            <v>BWCC379823</v>
          </cell>
        </row>
        <row r="1802">
          <cell r="E1802" t="str">
            <v>PHUSHRO</v>
          </cell>
          <cell r="G1802">
            <v>7979947746</v>
          </cell>
          <cell r="K1802" t="str">
            <v>BVED163244</v>
          </cell>
        </row>
        <row r="1803">
          <cell r="E1803" t="str">
            <v>PHUSHRO</v>
          </cell>
          <cell r="G1803">
            <v>7091340232</v>
          </cell>
          <cell r="K1803" t="str">
            <v>BWAD163687</v>
          </cell>
        </row>
        <row r="1804">
          <cell r="E1804" t="str">
            <v>ARGADA ROAD, BINJHAR, P.O. - MARAR, RAMGARH
829117</v>
          </cell>
          <cell r="G1804">
            <v>7004687780</v>
          </cell>
          <cell r="K1804" t="str">
            <v>BSCS037449</v>
          </cell>
        </row>
        <row r="1805">
          <cell r="E1805" t="str">
            <v>SHEIKHPURA, BIHAR</v>
          </cell>
          <cell r="G1805">
            <v>7004265492</v>
          </cell>
          <cell r="K1805" t="str">
            <v>BULL160559</v>
          </cell>
        </row>
        <row r="1806">
          <cell r="E1806" t="str">
            <v>MARRAR, RAMGRAH</v>
          </cell>
          <cell r="G1806">
            <v>9461229296</v>
          </cell>
          <cell r="K1806" t="str">
            <v>BXJC371867</v>
          </cell>
        </row>
        <row r="1807">
          <cell r="E1807" t="str">
            <v>TUPUDANA, RANCHI</v>
          </cell>
          <cell r="G1807">
            <v>8969978501</v>
          </cell>
          <cell r="K1807" t="str">
            <v>BVAD121386</v>
          </cell>
        </row>
        <row r="1808">
          <cell r="E1808" t="str">
            <v>AKASHKANARI</v>
          </cell>
          <cell r="G1808">
            <v>7667074257</v>
          </cell>
          <cell r="K1808" t="str">
            <v>BWFD163947</v>
          </cell>
        </row>
        <row r="1809">
          <cell r="E1809" t="str">
            <v>BALIDIH, BOKARO</v>
          </cell>
          <cell r="G1809">
            <v>9119693082</v>
          </cell>
          <cell r="K1809" t="str">
            <v>ALGS030185</v>
          </cell>
        </row>
        <row r="1810">
          <cell r="E1810" t="str">
            <v>PANDWA, RANCHI</v>
          </cell>
          <cell r="G1810">
            <v>7909069824</v>
          </cell>
          <cell r="K1810" t="str">
            <v>BWEC370313</v>
          </cell>
        </row>
        <row r="1811">
          <cell r="E1811" t="str">
            <v>LODNA NTS</v>
          </cell>
          <cell r="G1811">
            <v>7644045555</v>
          </cell>
          <cell r="K1811" t="str">
            <v>BXKD164206</v>
          </cell>
        </row>
        <row r="1812">
          <cell r="E1812" t="str">
            <v>NTA LODNA, DHANBAD</v>
          </cell>
          <cell r="G1812">
            <v>7644045555</v>
          </cell>
          <cell r="K1812" t="str">
            <v>BULD162559</v>
          </cell>
        </row>
        <row r="1813">
          <cell r="E1813" t="str">
            <v>KWJAMA COLLIERY, DHANBAD</v>
          </cell>
          <cell r="G1813">
            <v>7644045555</v>
          </cell>
          <cell r="K1813" t="str">
            <v>BVCD163165</v>
          </cell>
        </row>
        <row r="1814">
          <cell r="E1814" t="str">
            <v>LODNA</v>
          </cell>
          <cell r="G1814">
            <v>7644045555</v>
          </cell>
          <cell r="K1814" t="str">
            <v>BTDD162169</v>
          </cell>
        </row>
        <row r="1815">
          <cell r="E1815" t="str">
            <v>LODNA</v>
          </cell>
          <cell r="G1815">
            <v>9044360313</v>
          </cell>
          <cell r="K1815" t="str">
            <v>BTCD162149</v>
          </cell>
        </row>
        <row r="1816">
          <cell r="E1816" t="str">
            <v>LODNA</v>
          </cell>
          <cell r="G1816">
            <v>9508648266</v>
          </cell>
          <cell r="K1816" t="str">
            <v>BVJD162972</v>
          </cell>
        </row>
        <row r="1817">
          <cell r="E1817" t="str">
            <v>BARIDIH</v>
          </cell>
          <cell r="G1817">
            <v>8709424960</v>
          </cell>
          <cell r="K1817" t="str">
            <v>BQIC371495</v>
          </cell>
        </row>
        <row r="1818">
          <cell r="E1818" t="str">
            <v>62, KOKAR INDUSTRIAL AREA, KOKAR,RANCHI.
834001</v>
          </cell>
          <cell r="G1818">
            <v>9534189364</v>
          </cell>
          <cell r="K1818" t="str">
            <v>BMFS031276</v>
          </cell>
        </row>
        <row r="1819">
          <cell r="E1819" t="str">
            <v>BHULI, DHANBAD</v>
          </cell>
          <cell r="G1819">
            <v>7541046561</v>
          </cell>
          <cell r="K1819" t="str">
            <v>BVFS039912</v>
          </cell>
        </row>
        <row r="1820">
          <cell r="E1820" t="str">
            <v>TATISILWAI, JHARKHAND
835103</v>
          </cell>
          <cell r="G1820">
            <v>6200160428</v>
          </cell>
          <cell r="K1820" t="str">
            <v>BQHS040705</v>
          </cell>
        </row>
        <row r="1821">
          <cell r="E1821" t="str">
            <v>KOKAR INDUSTRIAL AREA</v>
          </cell>
          <cell r="G1821">
            <v>9709189418</v>
          </cell>
          <cell r="K1821" t="str">
            <v>BVKC374486</v>
          </cell>
        </row>
        <row r="1822">
          <cell r="E1822" t="str">
            <v>RANCHI PATNA ROAD
DEMOTAND
825301
HAZARIBAGH</v>
          </cell>
          <cell r="G1822">
            <v>7905424302</v>
          </cell>
          <cell r="K1822" t="str">
            <v>BMBL160078</v>
          </cell>
        </row>
        <row r="1823">
          <cell r="E1823" t="str">
            <v>MANDU, RAMGARH
JAISWAL COLONY, THANA CHOW,, RAMGARH CANTT. DIST. RAMGARH, JHARKHAND
825316
MANDU</v>
          </cell>
          <cell r="G1823">
            <v>8797891051</v>
          </cell>
          <cell r="K1823" t="str">
            <v>BWCS032691</v>
          </cell>
        </row>
        <row r="1824">
          <cell r="E1824" t="str">
            <v>RING ROAD, TUPUDANA</v>
          </cell>
          <cell r="G1824">
            <v>9264401517</v>
          </cell>
          <cell r="K1824" t="str">
            <v>BWLS031931</v>
          </cell>
        </row>
        <row r="1825">
          <cell r="E1825" t="str">
            <v>KOKAR, RANCHI</v>
          </cell>
          <cell r="G1825">
            <v>7488061091</v>
          </cell>
          <cell r="K1825" t="str">
            <v>BWIC371555</v>
          </cell>
        </row>
        <row r="1826">
          <cell r="E1826" t="str">
            <v>KOKAR, RANCHI</v>
          </cell>
          <cell r="G1826">
            <v>7488061091</v>
          </cell>
          <cell r="K1826" t="str">
            <v>BWIC371555</v>
          </cell>
        </row>
        <row r="1827">
          <cell r="E1827" t="str">
            <v>SIDRAUL, NAMKUM, RANCHI
834010
SIDRAUL, NAMKUM, RANCHI</v>
          </cell>
          <cell r="G1827">
            <v>9993423669</v>
          </cell>
          <cell r="K1827" t="str">
            <v>UOIS030128</v>
          </cell>
        </row>
        <row r="1828">
          <cell r="E1828" t="str">
            <v>SARWARI, ASANSOL, WB</v>
          </cell>
          <cell r="G1828">
            <v>6202045477</v>
          </cell>
          <cell r="K1828" t="str">
            <v>BXJS034965</v>
          </cell>
        </row>
        <row r="1829">
          <cell r="E1829" t="str">
            <v>ASANSOL</v>
          </cell>
          <cell r="G1829">
            <v>9431101890</v>
          </cell>
          <cell r="K1829" t="str">
            <v>BSCS037494</v>
          </cell>
        </row>
        <row r="1830">
          <cell r="E1830" t="str">
            <v>BALIDIH, BOKARO</v>
          </cell>
          <cell r="G1830">
            <v>8797300962</v>
          </cell>
          <cell r="K1830" t="str">
            <v>BWIC371523</v>
          </cell>
        </row>
        <row r="1831">
          <cell r="E1831" t="str">
            <v>MURHU
C/O ASHISH SABOO, MURHU, DIST- KHUNTI
835216</v>
          </cell>
          <cell r="G1831">
            <v>8862826990</v>
          </cell>
          <cell r="K1831" t="str">
            <v>BTLC377591</v>
          </cell>
        </row>
        <row r="1832">
          <cell r="E1832" t="str">
            <v>DALADALI, RANCHI</v>
          </cell>
          <cell r="G1832">
            <v>8002261962</v>
          </cell>
          <cell r="K1832" t="str">
            <v>BSLD230358</v>
          </cell>
        </row>
        <row r="1833">
          <cell r="E1833" t="str">
            <v>MURHU
C/O ASHISH SABOO, MURHU, DIST- KHUNTI
835216</v>
          </cell>
          <cell r="G1833">
            <v>8862826990</v>
          </cell>
          <cell r="K1833" t="str">
            <v>BTLC377591</v>
          </cell>
        </row>
        <row r="1834">
          <cell r="E1834" t="str">
            <v>BALIDIH, BOKARO</v>
          </cell>
          <cell r="G1834">
            <v>9709073999</v>
          </cell>
          <cell r="K1834" t="str">
            <v>BVCS038776</v>
          </cell>
        </row>
        <row r="1835">
          <cell r="E1835" t="str">
            <v>TAPIN PROJECT, CHARHI</v>
          </cell>
          <cell r="G1835">
            <v>6204816691</v>
          </cell>
          <cell r="K1835" t="str">
            <v>BVLD163067</v>
          </cell>
        </row>
        <row r="1836">
          <cell r="E1836" t="str">
            <v>PHOOLWARTAND, DHANBAD</v>
          </cell>
          <cell r="G1836">
            <v>8210106692</v>
          </cell>
          <cell r="K1836" t="str">
            <v>BVHD163393</v>
          </cell>
        </row>
        <row r="1837">
          <cell r="E1837" t="str">
            <v>LODNA NTS</v>
          </cell>
          <cell r="G1837">
            <v>7644045555</v>
          </cell>
          <cell r="K1837" t="str">
            <v>BXKD164206</v>
          </cell>
        </row>
        <row r="1838">
          <cell r="E1838" t="str">
            <v>TANDWA, CHATRA</v>
          </cell>
          <cell r="G1838">
            <v>7032052579</v>
          </cell>
          <cell r="K1838" t="str">
            <v>BXJD164130</v>
          </cell>
        </row>
        <row r="1839">
          <cell r="E1839" t="str">
            <v>ANGARA, TATISILWAI</v>
          </cell>
          <cell r="G1839">
            <v>9162768423</v>
          </cell>
          <cell r="K1839" t="str">
            <v>BVGF111615</v>
          </cell>
        </row>
        <row r="1840">
          <cell r="E1840" t="str">
            <v>ANGARA, TATISILWAI</v>
          </cell>
          <cell r="G1840">
            <v>9162768423</v>
          </cell>
          <cell r="K1840" t="str">
            <v>BVGF111611</v>
          </cell>
        </row>
        <row r="1841">
          <cell r="E1841" t="str">
            <v>RANCHI
834002</v>
          </cell>
          <cell r="G1841">
            <v>9540167108</v>
          </cell>
          <cell r="K1841" t="str">
            <v>BTIS032025</v>
          </cell>
        </row>
        <row r="1842">
          <cell r="E1842" t="str">
            <v>RANCHI
834002</v>
          </cell>
          <cell r="G1842">
            <v>9540167108</v>
          </cell>
          <cell r="K1842" t="str">
            <v>BTIS032020</v>
          </cell>
        </row>
        <row r="1843">
          <cell r="E1843" t="str">
            <v>REHLA, GARHWA ROAD, PALAMU D.T, JHARKHAND
PALAMU JHARKHAND 822124
INDIA</v>
          </cell>
          <cell r="G1843">
            <v>7004971081</v>
          </cell>
          <cell r="K1843" t="str">
            <v>BLFS031469</v>
          </cell>
        </row>
        <row r="1844">
          <cell r="E1844" t="str">
            <v>DHANBAD</v>
          </cell>
          <cell r="G1844">
            <v>9006138621</v>
          </cell>
          <cell r="K1844" t="str">
            <v>BXBD164381</v>
          </cell>
        </row>
        <row r="1845">
          <cell r="E1845" t="str">
            <v>GOVINDPUR, DHANBAD</v>
          </cell>
          <cell r="G1845">
            <v>9153973412</v>
          </cell>
          <cell r="K1845" t="str">
            <v>BXKC372461</v>
          </cell>
        </row>
        <row r="1846">
          <cell r="E1846" t="str">
            <v>MARRAR, RAMGRAH</v>
          </cell>
          <cell r="G1846">
            <v>7654107064</v>
          </cell>
          <cell r="K1846" t="str">
            <v>BXJS035074</v>
          </cell>
        </row>
        <row r="1847">
          <cell r="E1847" t="str">
            <v>BARKAGAON, HAZARIBAGH</v>
          </cell>
          <cell r="G1847">
            <v>7070010949</v>
          </cell>
          <cell r="K1847" t="str">
            <v>BWLD231334</v>
          </cell>
        </row>
        <row r="1848">
          <cell r="E1848" t="str">
            <v>TAPIN PROJECT, CHARHI</v>
          </cell>
          <cell r="G1848">
            <v>6204816691</v>
          </cell>
          <cell r="K1848" t="str">
            <v>BVLD163067</v>
          </cell>
        </row>
        <row r="1849">
          <cell r="E1849" t="str">
            <v>ITKI MORE, RANCHI</v>
          </cell>
          <cell r="G1849">
            <v>8877024924</v>
          </cell>
          <cell r="K1849" t="str">
            <v>BWFC370723</v>
          </cell>
        </row>
        <row r="1850">
          <cell r="E1850" t="str">
            <v>JHALDA</v>
          </cell>
          <cell r="G1850">
            <v>9331665000</v>
          </cell>
          <cell r="K1850" t="str">
            <v>BTIS044954</v>
          </cell>
        </row>
        <row r="1851">
          <cell r="E1851" t="str">
            <v>JHALDA</v>
          </cell>
          <cell r="G1851">
            <v>9331665000</v>
          </cell>
          <cell r="K1851" t="str">
            <v>BTIS045073</v>
          </cell>
        </row>
        <row r="1852">
          <cell r="E1852" t="str">
            <v>BALIDIH, BOKARO</v>
          </cell>
          <cell r="G1852">
            <v>9119693082</v>
          </cell>
          <cell r="K1852" t="str">
            <v>ALGS030185</v>
          </cell>
        </row>
        <row r="1853">
          <cell r="E1853" t="str">
            <v>NAGARI, RANCHI
834006</v>
          </cell>
          <cell r="G1853">
            <v>7255848442</v>
          </cell>
          <cell r="K1853" t="str">
            <v>BRAC372524</v>
          </cell>
        </row>
        <row r="1854">
          <cell r="E1854" t="str">
            <v>NEW MADHUKAM, RANCHI</v>
          </cell>
          <cell r="G1854">
            <v>7903598643</v>
          </cell>
          <cell r="K1854" t="str">
            <v>BXKC372444</v>
          </cell>
        </row>
        <row r="1855">
          <cell r="E1855" t="str">
            <v>KOKAR INDUSTRIAL AREA KOKAR</v>
          </cell>
          <cell r="G1855">
            <v>8404802069</v>
          </cell>
          <cell r="K1855" t="str">
            <v>BXDC373881</v>
          </cell>
        </row>
        <row r="1856">
          <cell r="E1856" t="str">
            <v>1, KOCP, DHANSAR, Dhanbad, Jharkhand, 828106</v>
          </cell>
          <cell r="G1856">
            <v>6360902039</v>
          </cell>
          <cell r="K1856" t="str">
            <v>BUIC373701</v>
          </cell>
        </row>
        <row r="1857">
          <cell r="E1857" t="str">
            <v>PHOOLWARITAND</v>
          </cell>
          <cell r="G1857">
            <v>8210106692</v>
          </cell>
          <cell r="K1857" t="str">
            <v>BTFD162244</v>
          </cell>
        </row>
        <row r="1858">
          <cell r="E1858" t="str">
            <v>DHANBAD</v>
          </cell>
          <cell r="G1858">
            <v>9006138621</v>
          </cell>
          <cell r="K1858" t="str">
            <v>BXBD164381</v>
          </cell>
        </row>
        <row r="1859">
          <cell r="E1859" t="str">
            <v>62, KOKAR INDUSTRIAL AREA, KOKAR,RANCHI.
834001</v>
          </cell>
          <cell r="G1859">
            <v>9534189364</v>
          </cell>
          <cell r="K1859" t="str">
            <v>BMFS031276</v>
          </cell>
        </row>
        <row r="1860">
          <cell r="E1860" t="str">
            <v>JHARIA, DHANBAD</v>
          </cell>
          <cell r="G1860">
            <v>8210106692</v>
          </cell>
          <cell r="K1860" t="str">
            <v>BRHD161304</v>
          </cell>
        </row>
        <row r="1861">
          <cell r="E1861" t="str">
            <v>MUNGMA</v>
          </cell>
          <cell r="G1861">
            <v>8770159290</v>
          </cell>
          <cell r="K1861" t="str">
            <v>BWEC370334</v>
          </cell>
        </row>
        <row r="1862">
          <cell r="E1862" t="str">
            <v>NUTAN NAGAR, HAZARIBAGH</v>
          </cell>
          <cell r="G1862">
            <v>7992424370</v>
          </cell>
          <cell r="K1862" t="str">
            <v>BXKC372344</v>
          </cell>
        </row>
        <row r="1863">
          <cell r="E1863" t="str">
            <v>NEAR P.N BANK MAIN ROAD,, RAMGARH CANTT-829122, DIST. RAMGARH
829122
BUDHAKHOP, AMBRELA, KARMA,</v>
          </cell>
          <cell r="G1863">
            <v>9693796748</v>
          </cell>
          <cell r="K1863" t="str">
            <v>BQBS030091</v>
          </cell>
        </row>
        <row r="1864">
          <cell r="E1864" t="str">
            <v>NAMKUN INDUSTRIAL AREA,RANCHI
834010</v>
          </cell>
          <cell r="G1864">
            <v>8340452790</v>
          </cell>
          <cell r="K1864" t="str">
            <v>BUDS034771</v>
          </cell>
        </row>
        <row r="1865">
          <cell r="E1865" t="str">
            <v>PALAMU, DALTAINGANJ</v>
          </cell>
          <cell r="G1865">
            <v>9153994622</v>
          </cell>
          <cell r="K1865" t="str">
            <v>BVAC375308</v>
          </cell>
        </row>
        <row r="1866">
          <cell r="E1866" t="str">
            <v>JHUMRI TELAIYA, KODARMA
825409</v>
          </cell>
          <cell r="G1866">
            <v>9455305544</v>
          </cell>
          <cell r="K1866" t="str">
            <v>BSBC375530</v>
          </cell>
        </row>
        <row r="1867">
          <cell r="E1867" t="str">
            <v>GOPALI CHOWK, DHANBAD</v>
          </cell>
          <cell r="G1867">
            <v>7004686026</v>
          </cell>
          <cell r="K1867" t="str">
            <v>BWLD163586</v>
          </cell>
        </row>
        <row r="1868">
          <cell r="E1868" t="str">
            <v>DHANBAD</v>
          </cell>
          <cell r="G1868">
            <v>9294578541</v>
          </cell>
          <cell r="K1868" t="str">
            <v>BVGD163308</v>
          </cell>
        </row>
        <row r="1869">
          <cell r="E1869" t="str">
            <v>PHOOLWARTAND, DHANBAD</v>
          </cell>
          <cell r="G1869">
            <v>8210106692</v>
          </cell>
          <cell r="K1869" t="str">
            <v>BVHD163393</v>
          </cell>
        </row>
        <row r="1870">
          <cell r="E1870" t="str">
            <v>GROUND FLOOR, 8H AND 81, NATION PRINTERS, NAMKUM INDUSTRIAL AREA,, LOWADIH, RANCHI
GROUND FLOOR, 8H AND 81, NATION PRINTERS, NAMKUM INDUSTRIAL AREA,, LOWADIH, RANCHI
834010</v>
          </cell>
          <cell r="G1870">
            <v>9709225271</v>
          </cell>
          <cell r="K1870" t="str">
            <v>BRFC373676</v>
          </cell>
        </row>
        <row r="1871">
          <cell r="E1871" t="str">
            <v>KATHITAND
835222,RANCHI
835222</v>
          </cell>
          <cell r="G1871">
            <v>9608787404</v>
          </cell>
          <cell r="K1871" t="str">
            <v>GPAC370341</v>
          </cell>
        </row>
        <row r="1872">
          <cell r="E1872" t="str">
            <v>TUPUDANA INDUSTRIAL AREA,RANCHI
834003</v>
          </cell>
          <cell r="G1872">
            <v>9534249500</v>
          </cell>
          <cell r="K1872" t="str">
            <v>BRIS035695</v>
          </cell>
        </row>
        <row r="1873">
          <cell r="E1873" t="str">
            <v>PLOT NO. 148, TUPUDANA, INDUSTRIAL AREA, HATIA, RANCHI
834002</v>
          </cell>
          <cell r="G1873">
            <v>9534249500</v>
          </cell>
          <cell r="K1873" t="str">
            <v>BXKS035161</v>
          </cell>
        </row>
        <row r="1874">
          <cell r="E1874" t="str">
            <v>PLOT NO. 148, TUPUDANA, INDUSTRIAL AREA, HATIA, RANCHI
834002</v>
          </cell>
          <cell r="G1874">
            <v>9534249500</v>
          </cell>
          <cell r="K1874" t="str">
            <v>BSLS036682</v>
          </cell>
        </row>
        <row r="1875">
          <cell r="E1875" t="str">
            <v>TUPUDANA</v>
          </cell>
          <cell r="G1875">
            <v>8340549423</v>
          </cell>
          <cell r="K1875" t="str">
            <v>BVLD163043</v>
          </cell>
        </row>
        <row r="1876">
          <cell r="E1876" t="str">
            <v>NEW MADHUKAM, RANCHI</v>
          </cell>
          <cell r="G1876">
            <v>9934173770</v>
          </cell>
          <cell r="K1876" t="str">
            <v>BXKC372444</v>
          </cell>
        </row>
        <row r="1877">
          <cell r="E1877" t="str">
            <v>BANKURA, DHANBAD</v>
          </cell>
          <cell r="G1877">
            <v>9997718463</v>
          </cell>
          <cell r="K1877" t="str">
            <v>BXBS036188</v>
          </cell>
        </row>
        <row r="1878">
          <cell r="E1878" t="str">
            <v>BANKURA, DHANBAD</v>
          </cell>
          <cell r="G1878">
            <v>9997718463</v>
          </cell>
          <cell r="K1878" t="str">
            <v>BXBS036187</v>
          </cell>
        </row>
        <row r="1879">
          <cell r="E1879" t="str">
            <v>BANKURA, DHANBAD</v>
          </cell>
          <cell r="G1879">
            <v>9997718463</v>
          </cell>
          <cell r="K1879" t="str">
            <v>BWAS040672</v>
          </cell>
        </row>
        <row r="1880">
          <cell r="E1880" t="str">
            <v>BANKURA, DHANBAD</v>
          </cell>
          <cell r="G1880">
            <v>9997718463</v>
          </cell>
          <cell r="K1880" t="str">
            <v>BWBL062669</v>
          </cell>
        </row>
        <row r="1881">
          <cell r="E1881" t="str">
            <v>KAARO SUBHASH NAGAR, DHANBAD</v>
          </cell>
          <cell r="G1881">
            <v>6202123200</v>
          </cell>
          <cell r="K1881" t="str">
            <v>BTFD162243</v>
          </cell>
        </row>
        <row r="1882">
          <cell r="E1882" t="str">
            <v>GONDUDIH</v>
          </cell>
          <cell r="G1882">
            <v>6202123200</v>
          </cell>
          <cell r="K1882" t="str">
            <v>BSCD161691</v>
          </cell>
        </row>
        <row r="1883">
          <cell r="E1883" t="str">
            <v>DHANBAD</v>
          </cell>
          <cell r="G1883">
            <v>7004686026</v>
          </cell>
          <cell r="K1883" t="str">
            <v>BTED162231</v>
          </cell>
        </row>
        <row r="1884">
          <cell r="E1884" t="str">
            <v>PIPARWAR, CHATRA</v>
          </cell>
          <cell r="G1884">
            <v>6200570927</v>
          </cell>
          <cell r="K1884" t="str">
            <v>BUIC374043</v>
          </cell>
        </row>
        <row r="1885">
          <cell r="E1885" t="str">
            <v>GOVINDPUR DHANBAD</v>
          </cell>
          <cell r="G1885">
            <v>9110154620</v>
          </cell>
          <cell r="K1885" t="str">
            <v>BRFS034901</v>
          </cell>
        </row>
        <row r="1886">
          <cell r="E1886" t="str">
            <v>SARWARI, ASANSOL, WB</v>
          </cell>
          <cell r="G1886">
            <v>9431101890</v>
          </cell>
          <cell r="K1886" t="str">
            <v>BXJS034965</v>
          </cell>
        </row>
        <row r="1887">
          <cell r="E1887" t="str">
            <v>ASANSOL</v>
          </cell>
          <cell r="G1887">
            <v>9431101890</v>
          </cell>
          <cell r="K1887" t="str">
            <v>BSCS037494</v>
          </cell>
        </row>
        <row r="1888">
          <cell r="E1888" t="str">
            <v>GODDA</v>
          </cell>
          <cell r="G1888">
            <v>9631808120</v>
          </cell>
          <cell r="K1888" t="str">
            <v>BVAS038341</v>
          </cell>
        </row>
        <row r="1889">
          <cell r="E1889" t="str">
            <v>TATISILWAI, JHARKHAND
835103</v>
          </cell>
          <cell r="G1889">
            <v>6200160428</v>
          </cell>
          <cell r="K1889" t="str">
            <v>BQHS040705</v>
          </cell>
        </row>
        <row r="1890">
          <cell r="E1890" t="str">
            <v>NICHITPUR</v>
          </cell>
          <cell r="G1890">
            <v>7903412157</v>
          </cell>
          <cell r="K1890" t="str">
            <v>BVGD163301</v>
          </cell>
        </row>
        <row r="1891">
          <cell r="E1891" t="str">
            <v>LODNA NTS</v>
          </cell>
          <cell r="G1891">
            <v>7644045555</v>
          </cell>
          <cell r="K1891" t="str">
            <v>BXKD164206</v>
          </cell>
        </row>
        <row r="1892">
          <cell r="E1892" t="str">
            <v>BALIDIH, BOKARO</v>
          </cell>
          <cell r="G1892">
            <v>9119693082</v>
          </cell>
          <cell r="K1892" t="str">
            <v>ALGS030185</v>
          </cell>
        </row>
        <row r="1893">
          <cell r="E1893" t="str">
            <v>ARARIA, BIHAR</v>
          </cell>
          <cell r="G1893">
            <v>9801421403</v>
          </cell>
          <cell r="K1893" t="str">
            <v>BXAD121939</v>
          </cell>
        </row>
        <row r="1894">
          <cell r="E1894" t="str">
            <v>ARARIA, BIHAR</v>
          </cell>
          <cell r="G1894">
            <v>9101149067</v>
          </cell>
          <cell r="K1894" t="str">
            <v>BXLD121932</v>
          </cell>
        </row>
        <row r="1895">
          <cell r="E1895" t="str">
            <v>SAUNDI, RAMGRAH</v>
          </cell>
          <cell r="G1895">
            <v>7781010703</v>
          </cell>
          <cell r="K1895" t="str">
            <v>BVBC375436</v>
          </cell>
        </row>
        <row r="1896">
          <cell r="E1896" t="str">
            <v>ENA COLLEARY</v>
          </cell>
          <cell r="G1896">
            <v>9798660334</v>
          </cell>
          <cell r="K1896" t="str">
            <v>BXJD164132</v>
          </cell>
        </row>
        <row r="1897">
          <cell r="E1897" t="str">
            <v>BARHI, HAZARIBAGH</v>
          </cell>
          <cell r="G1897">
            <v>8488957184</v>
          </cell>
          <cell r="K1897" t="str">
            <v>BUCS034287</v>
          </cell>
        </row>
        <row r="1898">
          <cell r="E1898" t="str">
            <v>ADDRESS-PLOT-57B,BARAHI INDUSTRIAL AREA,ON DELHI HOWRAH NATIONAL HIGHWAY,BARHI,JAHARKHAND.</v>
          </cell>
          <cell r="G1898">
            <v>8488957184</v>
          </cell>
          <cell r="K1898" t="str">
            <v>BUBS033778</v>
          </cell>
        </row>
        <row r="1899">
          <cell r="E1899" t="str">
            <v>SHIVA JEE LANE, HARMU
834002</v>
          </cell>
          <cell r="G1899">
            <v>7004711122</v>
          </cell>
          <cell r="K1899" t="str">
            <v>BRGC374007</v>
          </cell>
        </row>
        <row r="1900">
          <cell r="E1900" t="str">
            <v>RUNNING - HAZARIBAGH</v>
          </cell>
          <cell r="G1900">
            <v>9835854256</v>
          </cell>
          <cell r="K1900" t="str">
            <v>BXCD164415</v>
          </cell>
        </row>
        <row r="1901">
          <cell r="E1901" t="str">
            <v>CHAS BOKARO</v>
          </cell>
          <cell r="G1901">
            <v>9006537516</v>
          </cell>
          <cell r="K1901" t="str">
            <v>BWID164096</v>
          </cell>
        </row>
        <row r="1902">
          <cell r="E1902" t="str">
            <v>MADHUKAM, RANCHI</v>
          </cell>
          <cell r="G1902">
            <v>9934173770</v>
          </cell>
          <cell r="K1902" t="str">
            <v>BXKC372444</v>
          </cell>
        </row>
        <row r="1903">
          <cell r="E1903" t="str">
            <v>ANGARA, TATISILWAI</v>
          </cell>
          <cell r="G1903">
            <v>9507321781</v>
          </cell>
          <cell r="K1903" t="str">
            <v>BWFC370703</v>
          </cell>
        </row>
        <row r="1904">
          <cell r="E1904" t="str">
            <v>MUNGMA</v>
          </cell>
          <cell r="G1904">
            <v>8770159290</v>
          </cell>
          <cell r="K1904" t="str">
            <v>BWEC370334</v>
          </cell>
        </row>
        <row r="1905">
          <cell r="E1905" t="str">
            <v>KOKAR, RANCHI</v>
          </cell>
          <cell r="G1905">
            <v>7488061091</v>
          </cell>
          <cell r="K1905" t="str">
            <v>BWIC371555</v>
          </cell>
        </row>
        <row r="1906">
          <cell r="E1906" t="str">
            <v>GROUND AND 1 ST FLOOR, BESIDE DAINIK BHASKAR, GOVINDPUR ROAD, DIST :- DHANBAD
GROUND AND 1 ST FLOOR, BESIDE DAINIK BHASKAR, GOVINDPUR ROAD, DIST :- DHANBAD
828109</v>
          </cell>
          <cell r="G1906">
            <v>8789061377</v>
          </cell>
          <cell r="K1906" t="str">
            <v>BRES034488</v>
          </cell>
        </row>
        <row r="1907">
          <cell r="E1907" t="str">
            <v>GOVINDPUR, DHANBAD</v>
          </cell>
          <cell r="G1907">
            <v>7254622131</v>
          </cell>
          <cell r="K1907" t="str">
            <v>BVDS039346</v>
          </cell>
        </row>
        <row r="1908">
          <cell r="E1908" t="str">
            <v>ASANSOL</v>
          </cell>
          <cell r="G1908">
            <v>9431101890</v>
          </cell>
          <cell r="K1908" t="str">
            <v>BSCS037494</v>
          </cell>
        </row>
        <row r="1909">
          <cell r="E1909" t="str">
            <v>SARWARI, ASANSOL, WB</v>
          </cell>
          <cell r="G1909">
            <v>9431101890</v>
          </cell>
          <cell r="K1909" t="str">
            <v>BXJS034965</v>
          </cell>
        </row>
        <row r="1910">
          <cell r="E1910" t="str">
            <v>KULI, RAMGRAH</v>
          </cell>
          <cell r="G1910">
            <v>9691773091</v>
          </cell>
          <cell r="K1910" t="str">
            <v>BWAD163680</v>
          </cell>
        </row>
        <row r="1911">
          <cell r="E1911" t="str">
            <v>NICHITPUR</v>
          </cell>
          <cell r="G1911">
            <v>7903412157</v>
          </cell>
          <cell r="K1911" t="str">
            <v>BUCD162696</v>
          </cell>
        </row>
        <row r="1912">
          <cell r="E1912" t="str">
            <v>BARKAGAON, HAZARIBAGH</v>
          </cell>
          <cell r="G1912">
            <v>7070010949</v>
          </cell>
          <cell r="K1912" t="str">
            <v>BWLD231345</v>
          </cell>
        </row>
        <row r="1913">
          <cell r="E1913" t="str">
            <v>MOHAGAMA</v>
          </cell>
          <cell r="G1913">
            <v>8074094680</v>
          </cell>
          <cell r="K1913" t="str">
            <v>BWCD121690</v>
          </cell>
        </row>
        <row r="1914">
          <cell r="E1914" t="str">
            <v>BARKAGAON, HAZARIBAGH</v>
          </cell>
          <cell r="G1914">
            <v>7070010949</v>
          </cell>
          <cell r="K1914" t="str">
            <v>BWLD231334</v>
          </cell>
        </row>
        <row r="1915">
          <cell r="E1915" t="str">
            <v>GIRIDIH</v>
          </cell>
          <cell r="G1915">
            <v>9931921808</v>
          </cell>
          <cell r="K1915" t="str">
            <v>BQED160215</v>
          </cell>
        </row>
        <row r="1916">
          <cell r="E1916" t="str">
            <v>GIRIDIH</v>
          </cell>
          <cell r="G1916">
            <v>9931921808</v>
          </cell>
          <cell r="K1916" t="str">
            <v>BXCD164420</v>
          </cell>
        </row>
        <row r="1917">
          <cell r="E1917" t="str">
            <v>KHATHITAND, RANCHI</v>
          </cell>
          <cell r="G1917">
            <v>9934610433</v>
          </cell>
          <cell r="K1917" t="str">
            <v>BXJC371965</v>
          </cell>
        </row>
        <row r="1918">
          <cell r="E1918" t="str">
            <v>RAMGRAH</v>
          </cell>
          <cell r="G1918">
            <v>8709937739</v>
          </cell>
          <cell r="K1918" t="str">
            <v>BWBC379643</v>
          </cell>
        </row>
        <row r="1919">
          <cell r="E1919" t="str">
            <v>NAMKUM, RANCHI</v>
          </cell>
          <cell r="G1919">
            <v>9608478432</v>
          </cell>
          <cell r="K1919" t="str">
            <v>BTIS045032</v>
          </cell>
        </row>
        <row r="1920">
          <cell r="E1920" t="str">
            <v>BEGUSARAI</v>
          </cell>
          <cell r="G1920">
            <v>8789417920</v>
          </cell>
          <cell r="K1920" t="str">
            <v>BXLL153793</v>
          </cell>
        </row>
        <row r="1921">
          <cell r="E1921" t="str">
            <v>NTA LODNA, DHANBAD</v>
          </cell>
          <cell r="G1921">
            <v>7644045555</v>
          </cell>
          <cell r="K1921" t="str">
            <v>BULD162559</v>
          </cell>
        </row>
        <row r="1922">
          <cell r="E1922" t="str">
            <v>LODNA</v>
          </cell>
          <cell r="G1922">
            <v>9044360313</v>
          </cell>
          <cell r="K1922" t="str">
            <v>BTCD162149</v>
          </cell>
        </row>
        <row r="1923">
          <cell r="E1923" t="str">
            <v>LODNA</v>
          </cell>
          <cell r="G1923">
            <v>7644045555</v>
          </cell>
          <cell r="K1923" t="str">
            <v>BTDD162169</v>
          </cell>
        </row>
        <row r="1924">
          <cell r="E1924" t="str">
            <v>KWJAMA COLLIERY, DHANBAD</v>
          </cell>
          <cell r="G1924">
            <v>7644045555</v>
          </cell>
          <cell r="K1924" t="str">
            <v>BVCD163165</v>
          </cell>
        </row>
        <row r="1925">
          <cell r="E1925" t="str">
            <v>LODNA</v>
          </cell>
          <cell r="G1925">
            <v>9508648266</v>
          </cell>
          <cell r="K1925" t="str">
            <v>BVJD162972</v>
          </cell>
        </row>
        <row r="1926">
          <cell r="E1926" t="str">
            <v>DHANBAD</v>
          </cell>
          <cell r="G1926">
            <v>8210106692</v>
          </cell>
          <cell r="K1926" t="str">
            <v>BXBD164381</v>
          </cell>
        </row>
        <row r="1927">
          <cell r="E1927" t="str">
            <v>TUPUDANA</v>
          </cell>
          <cell r="G1927">
            <v>9431114903</v>
          </cell>
          <cell r="K1927" t="str">
            <v>BVIC378165</v>
          </cell>
        </row>
        <row r="1928">
          <cell r="E1928" t="str">
            <v>HAWAI NAGAR, RANCHI</v>
          </cell>
          <cell r="G1928">
            <v>9826945050</v>
          </cell>
          <cell r="K1928" t="str">
            <v>BUEC372458</v>
          </cell>
        </row>
        <row r="1929">
          <cell r="E1929" t="str">
            <v>RAMGRAH</v>
          </cell>
          <cell r="G1929">
            <v>9155729786</v>
          </cell>
          <cell r="K1929" t="str">
            <v>BVAS038005</v>
          </cell>
        </row>
        <row r="1930">
          <cell r="E1930" t="str">
            <v>MUNGMA</v>
          </cell>
          <cell r="G1930">
            <v>8770159290</v>
          </cell>
          <cell r="K1930" t="str">
            <v>BWEC370334</v>
          </cell>
        </row>
        <row r="1931">
          <cell r="E1931" t="str">
            <v>KATRAS, DHANBAD</v>
          </cell>
          <cell r="G1931">
            <v>9155382795</v>
          </cell>
          <cell r="K1931" t="str">
            <v>BXAD231954</v>
          </cell>
        </row>
        <row r="1932">
          <cell r="E1932" t="str">
            <v>GOPALI CHOWK, DHANBAD</v>
          </cell>
          <cell r="G1932">
            <v>7004686026</v>
          </cell>
          <cell r="K1932" t="str">
            <v>BWLD163586</v>
          </cell>
        </row>
        <row r="1933">
          <cell r="E1933" t="str">
            <v>BALIDIH, BOKARO</v>
          </cell>
          <cell r="G1933">
            <v>7009268216</v>
          </cell>
          <cell r="K1933" t="str">
            <v>BVCC376207</v>
          </cell>
        </row>
        <row r="1934">
          <cell r="E1934" t="str">
            <v>ORMANJHI</v>
          </cell>
          <cell r="G1934">
            <v>6205364351</v>
          </cell>
          <cell r="K1934" t="str">
            <v>BVHD163336</v>
          </cell>
        </row>
        <row r="1935">
          <cell r="E1935" t="str">
            <v>BAKURA</v>
          </cell>
          <cell r="G1935">
            <v>9832706847</v>
          </cell>
          <cell r="K1935" t="str">
            <v>BLLD200022</v>
          </cell>
        </row>
        <row r="1936">
          <cell r="E1936" t="str">
            <v>MARRAR, RAMGRAH</v>
          </cell>
          <cell r="G1936">
            <v>8279671305</v>
          </cell>
          <cell r="K1936" t="str">
            <v>BXJC371867</v>
          </cell>
        </row>
        <row r="1937">
          <cell r="E1937" t="str">
            <v>PLOT NO.-806, HARDAGKHUTI ROAD,RANCHI
KHUNTI ROAD HARDAG
835221</v>
          </cell>
          <cell r="G1937">
            <v>9903493509</v>
          </cell>
          <cell r="K1937" t="str">
            <v>BLGS031576</v>
          </cell>
        </row>
        <row r="1938">
          <cell r="E1938" t="str">
            <v>PLOT NO.-806, HARDAGKHUTI ROAD,RANCHI
KHUNTI ROAD HARDAG
835221</v>
          </cell>
          <cell r="G1938">
            <v>9903493509</v>
          </cell>
          <cell r="K1938" t="str">
            <v>BRGS035244</v>
          </cell>
        </row>
        <row r="1939">
          <cell r="E1939" t="str">
            <v>AKASHKANARI</v>
          </cell>
          <cell r="G1939">
            <v>9510178502</v>
          </cell>
          <cell r="K1939" t="str">
            <v>BWFD163947</v>
          </cell>
        </row>
        <row r="1940">
          <cell r="E1940" t="str">
            <v>NAGARI,</v>
          </cell>
          <cell r="G1940">
            <v>9204493506</v>
          </cell>
          <cell r="K1940" t="str">
            <v>BLGS040582</v>
          </cell>
        </row>
        <row r="1941">
          <cell r="E1941" t="str">
            <v>DALADALI, RANCHI</v>
          </cell>
          <cell r="G1941">
            <v>8002261962</v>
          </cell>
          <cell r="K1941" t="str">
            <v>BSLD230358</v>
          </cell>
        </row>
        <row r="1942">
          <cell r="E1942" t="str">
            <v>RAMGRAH</v>
          </cell>
          <cell r="G1942">
            <v>7909075478</v>
          </cell>
          <cell r="K1942" t="str">
            <v>BVAS038005</v>
          </cell>
        </row>
        <row r="1943">
          <cell r="E1943" t="str">
            <v>DHANBAD</v>
          </cell>
          <cell r="G1943">
            <v>6201677710</v>
          </cell>
          <cell r="K1943" t="str">
            <v>BXBD164381</v>
          </cell>
        </row>
        <row r="1944">
          <cell r="E1944" t="str">
            <v>MANJULA ENTERPRISES, KOKAR INDUSTRIAL AREA KOKAR</v>
          </cell>
          <cell r="G1944">
            <v>9835585786</v>
          </cell>
          <cell r="K1944" t="str">
            <v>BUFC372952</v>
          </cell>
        </row>
        <row r="1945">
          <cell r="E1945" t="str">
            <v>RANCHI
834002</v>
          </cell>
          <cell r="G1945">
            <v>9540167108</v>
          </cell>
          <cell r="K1945" t="str">
            <v>BTIS032020</v>
          </cell>
        </row>
        <row r="1946">
          <cell r="E1946" t="str">
            <v>RANCHI
834002</v>
          </cell>
          <cell r="G1946">
            <v>9540167108</v>
          </cell>
          <cell r="K1946" t="str">
            <v>BTIS032025</v>
          </cell>
        </row>
        <row r="1947">
          <cell r="E1947" t="str">
            <v>TAPIN PROJECT, TAPIN</v>
          </cell>
          <cell r="G1947">
            <v>7644045555</v>
          </cell>
          <cell r="K1947" t="str">
            <v>BUID162953</v>
          </cell>
        </row>
        <row r="1948">
          <cell r="E1948" t="str">
            <v>NAGRI,RANCHI
835202
RANCHI</v>
          </cell>
          <cell r="G1948">
            <v>7004248429</v>
          </cell>
          <cell r="K1948" t="str">
            <v>BRIS035698</v>
          </cell>
        </row>
        <row r="1949">
          <cell r="E1949" t="str">
            <v>GHATO</v>
          </cell>
          <cell r="G1949">
            <v>7260958963</v>
          </cell>
          <cell r="K1949" t="str">
            <v>BXKD164174</v>
          </cell>
        </row>
        <row r="1950">
          <cell r="E1950" t="str">
            <v>KOKAR, RANCHI</v>
          </cell>
          <cell r="G1950">
            <v>8825268687</v>
          </cell>
          <cell r="K1950" t="str">
            <v>BWGC370755</v>
          </cell>
        </row>
        <row r="1951">
          <cell r="E1951" t="str">
            <v>SENEGARAH, HAZARIBAGH</v>
          </cell>
          <cell r="G1951">
            <v>9006877583</v>
          </cell>
          <cell r="K1951" t="str">
            <v>BXDS036842</v>
          </cell>
        </row>
        <row r="1952">
          <cell r="E1952" t="str">
            <v>PALAMU,JHARKHAND
822126
PALAMU</v>
          </cell>
          <cell r="G1952">
            <v>8809099354</v>
          </cell>
          <cell r="K1952" t="str">
            <v>GPGC370758</v>
          </cell>
        </row>
        <row r="1953">
          <cell r="E1953" t="str">
            <v>PITHORIA</v>
          </cell>
          <cell r="G1953">
            <v>7050471419</v>
          </cell>
          <cell r="K1953" t="str">
            <v>BWED163893</v>
          </cell>
        </row>
        <row r="1954">
          <cell r="E1954" t="str">
            <v>KOKAR</v>
          </cell>
          <cell r="G1954">
            <v>7903315808</v>
          </cell>
          <cell r="K1954" t="str">
            <v>BPLF150007</v>
          </cell>
        </row>
        <row r="1955">
          <cell r="E1955" t="str">
            <v>LODNA MORE</v>
          </cell>
          <cell r="G1955">
            <v>9693269669</v>
          </cell>
          <cell r="K1955" t="str">
            <v>BVFD163261</v>
          </cell>
        </row>
        <row r="1956">
          <cell r="E1956" t="str">
            <v>DHANBAD</v>
          </cell>
          <cell r="G1956">
            <v>8210106692</v>
          </cell>
          <cell r="K1956" t="str">
            <v>BXBD164381</v>
          </cell>
        </row>
        <row r="1957">
          <cell r="E1957" t="str">
            <v>KOKAR</v>
          </cell>
          <cell r="G1957">
            <v>9263186366</v>
          </cell>
          <cell r="K1957" t="str">
            <v>BPLF150007</v>
          </cell>
        </row>
        <row r="1958">
          <cell r="E1958" t="str">
            <v>9.P .INDUSTRIAL AREA  KOKAR, RANCHI, TIN-20880200515
9.P .INDUSTRIAL AREA  KOKAR, RANCHI, TIN-20880200515
834001</v>
          </cell>
          <cell r="G1958">
            <v>9955178750</v>
          </cell>
          <cell r="K1958" t="str">
            <v>BTGS031205</v>
          </cell>
        </row>
        <row r="1959">
          <cell r="E1959" t="str">
            <v>PETERWAR, BOKARO</v>
          </cell>
          <cell r="G1959">
            <v>7004263425</v>
          </cell>
          <cell r="K1959" t="str">
            <v>BWFS041479</v>
          </cell>
        </row>
        <row r="1960">
          <cell r="E1960" t="str">
            <v>LODNA MORE</v>
          </cell>
          <cell r="G1960">
            <v>9693269669</v>
          </cell>
          <cell r="K1960" t="str">
            <v>BVFD163261</v>
          </cell>
        </row>
        <row r="1961">
          <cell r="E1961" t="str">
            <v>BEGUSARAI, BIHAR</v>
          </cell>
          <cell r="G1961">
            <v>8678000802</v>
          </cell>
          <cell r="K1961" t="str">
            <v>BVGD121497</v>
          </cell>
        </row>
        <row r="1962">
          <cell r="E1962" t="str">
            <v>HORHAP ROAD, MAHILONG, RANCHI
835103</v>
          </cell>
          <cell r="G1962">
            <v>8877192027</v>
          </cell>
          <cell r="K1962" t="str">
            <v>BRIC374329</v>
          </cell>
        </row>
        <row r="1963">
          <cell r="E1963" t="str">
            <v>HESLA,RAMGARH
829101</v>
          </cell>
          <cell r="G1963">
            <v>7909075495</v>
          </cell>
          <cell r="K1963" t="str">
            <v>BSDS037710</v>
          </cell>
        </row>
        <row r="1964">
          <cell r="E1964" t="str">
            <v>HAZARINAGH</v>
          </cell>
          <cell r="G1964">
            <v>9065521314</v>
          </cell>
          <cell r="K1964" t="str">
            <v>BUHC373622</v>
          </cell>
        </row>
        <row r="1965">
          <cell r="E1965" t="str">
            <v>AMRAPALI, TANDWA</v>
          </cell>
          <cell r="G1965">
            <v>8555913918</v>
          </cell>
          <cell r="K1965" t="str">
            <v>BXLD164272</v>
          </cell>
        </row>
        <row r="1966">
          <cell r="E1966" t="str">
            <v>GOVINDPUR, PHUSHRO</v>
          </cell>
          <cell r="G1966">
            <v>7672025601</v>
          </cell>
          <cell r="K1966" t="str">
            <v>BXCD164422</v>
          </cell>
        </row>
        <row r="1967">
          <cell r="E1967" t="str">
            <v>AMRAPALI PROJECT, TANDWA</v>
          </cell>
          <cell r="G1967">
            <v>9555913918</v>
          </cell>
          <cell r="K1967" t="str">
            <v>BXBD164357</v>
          </cell>
        </row>
        <row r="1968">
          <cell r="E1968" t="str">
            <v>LODNA</v>
          </cell>
          <cell r="G1968">
            <v>6200119580</v>
          </cell>
          <cell r="K1968" t="str">
            <v>BUAD162634</v>
          </cell>
        </row>
        <row r="1969">
          <cell r="E1969" t="str">
            <v>BASTAWLA DHANBAD</v>
          </cell>
          <cell r="G1969">
            <v>6200119580</v>
          </cell>
          <cell r="K1969" t="str">
            <v>BTJD162046</v>
          </cell>
        </row>
        <row r="1970">
          <cell r="E1970" t="str">
            <v>BHUYANDIH, JAMSHEDPUR</v>
          </cell>
          <cell r="G1970">
            <v>9304170499</v>
          </cell>
          <cell r="K1970" t="str">
            <v>BMFC370445</v>
          </cell>
        </row>
        <row r="1971">
          <cell r="E1971" t="str">
            <v>BANKURA, DHANBAD</v>
          </cell>
          <cell r="G1971">
            <v>9531064703</v>
          </cell>
          <cell r="K1971" t="str">
            <v>BXBS036188</v>
          </cell>
        </row>
        <row r="1972">
          <cell r="E1972" t="str">
            <v>BANKURA, DHANBAD</v>
          </cell>
          <cell r="G1972">
            <v>9531064703</v>
          </cell>
          <cell r="K1972" t="str">
            <v>BXBS036187</v>
          </cell>
        </row>
        <row r="1973">
          <cell r="E1973" t="str">
            <v>SUNDI, RAMGARH</v>
          </cell>
          <cell r="G1973">
            <v>9431332206</v>
          </cell>
          <cell r="K1973">
            <v>123054</v>
          </cell>
        </row>
        <row r="1974">
          <cell r="E1974" t="str">
            <v>BASTCOLA</v>
          </cell>
          <cell r="G1974">
            <v>8521311810</v>
          </cell>
          <cell r="K1974" t="str">
            <v>BTDD162186</v>
          </cell>
        </row>
        <row r="1975">
          <cell r="E1975" t="str">
            <v>BASTAKOLA, DHANBAD</v>
          </cell>
          <cell r="G1975">
            <v>8521311810</v>
          </cell>
          <cell r="K1975" t="str">
            <v>BUKD162535</v>
          </cell>
        </row>
        <row r="1976">
          <cell r="E1976" t="str">
            <v>BASTAKOLA, DHANBAD</v>
          </cell>
          <cell r="G1976">
            <v>8521311810</v>
          </cell>
          <cell r="K1976" t="str">
            <v>BQKD160099</v>
          </cell>
        </row>
        <row r="1977">
          <cell r="E1977" t="str">
            <v>BASKATOLA</v>
          </cell>
          <cell r="G1977">
            <v>8521311810</v>
          </cell>
          <cell r="K1977" t="str">
            <v>BQKD168115</v>
          </cell>
        </row>
        <row r="1978">
          <cell r="E1978" t="str">
            <v>BASKATOLA</v>
          </cell>
          <cell r="G1978">
            <v>8521311810</v>
          </cell>
          <cell r="K1978" t="str">
            <v>BULD162577</v>
          </cell>
        </row>
        <row r="1979">
          <cell r="E1979" t="str">
            <v>PLOT NO 716,VILL-RUKKA,
835219</v>
          </cell>
          <cell r="G1979">
            <v>9791019799</v>
          </cell>
          <cell r="K1979" t="str">
            <v>BSKS036366</v>
          </cell>
        </row>
        <row r="1980">
          <cell r="E1980" t="str">
            <v>ANGAR PATRA,DHANBAD</v>
          </cell>
          <cell r="G1980">
            <v>6207308280</v>
          </cell>
          <cell r="K1980" t="str">
            <v>BSGD161898</v>
          </cell>
        </row>
        <row r="1981">
          <cell r="E1981" t="str">
            <v>RAMGRAH</v>
          </cell>
          <cell r="G1981">
            <v>9471104999</v>
          </cell>
          <cell r="K1981" t="str">
            <v>BWHD164019</v>
          </cell>
        </row>
        <row r="1982">
          <cell r="E1982" t="str">
            <v>BHIALAI PAHADI, JAMSHEDPUR</v>
          </cell>
          <cell r="G1982">
            <v>9263768497</v>
          </cell>
          <cell r="K1982" t="str">
            <v>BVDC376483</v>
          </cell>
        </row>
        <row r="1983">
          <cell r="E1983" t="str">
            <v>RATU ROAD, RANCHI</v>
          </cell>
          <cell r="G1983">
            <v>7070091150</v>
          </cell>
          <cell r="K1983" t="str">
            <v>BVEC377128</v>
          </cell>
        </row>
        <row r="1984">
          <cell r="E1984" t="str">
            <v>AMLO PHUSHRO</v>
          </cell>
          <cell r="G1984">
            <v>9006617909</v>
          </cell>
          <cell r="K1984" t="str">
            <v>BXKD164191</v>
          </cell>
        </row>
        <row r="1985">
          <cell r="E1985" t="str">
            <v>PLOT NO.-806, HARDAGKHUTI ROAD,RANCHI
KHUNTI ROAD HARDAG
835221</v>
          </cell>
          <cell r="G1985">
            <v>6201750703</v>
          </cell>
          <cell r="K1985" t="str">
            <v>BLGS031576</v>
          </cell>
        </row>
        <row r="1986">
          <cell r="E1986" t="str">
            <v>PLOT NO.-806, HARDAGKHUTI ROAD,RANCHI
KHUNTI ROAD HARDAG
835221</v>
          </cell>
          <cell r="G1986">
            <v>9903493509</v>
          </cell>
          <cell r="K1986" t="str">
            <v>BRGS035244</v>
          </cell>
        </row>
        <row r="1987">
          <cell r="E1987" t="str">
            <v>DUMKA</v>
          </cell>
          <cell r="G1987"/>
          <cell r="K1987" t="str">
            <v>BXCC373541</v>
          </cell>
        </row>
        <row r="1988">
          <cell r="E1988" t="str">
            <v>GHATO</v>
          </cell>
          <cell r="G1988">
            <v>8174053465</v>
          </cell>
          <cell r="K1988" t="str">
            <v>BXKD164174</v>
          </cell>
        </row>
        <row r="1989">
          <cell r="E1989" t="str">
            <v>ANGAR PATRA,DHANBAD</v>
          </cell>
          <cell r="G1989">
            <v>7004686026</v>
          </cell>
          <cell r="K1989" t="str">
            <v>BSGD161898</v>
          </cell>
        </row>
        <row r="1990">
          <cell r="E1990" t="str">
            <v>KODERMA</v>
          </cell>
          <cell r="G1990">
            <v>8210413459</v>
          </cell>
          <cell r="K1990" t="str">
            <v>BVFS049398</v>
          </cell>
        </row>
        <row r="1991">
          <cell r="E1991" t="str">
            <v>KODERMA</v>
          </cell>
          <cell r="G1991">
            <v>8210413459</v>
          </cell>
          <cell r="K1991" t="str">
            <v>BVFS049426</v>
          </cell>
        </row>
        <row r="1992">
          <cell r="E1992" t="str">
            <v>RAHELA, DALTAINGANJ</v>
          </cell>
          <cell r="G1992">
            <v>7004623399</v>
          </cell>
          <cell r="K1992" t="str">
            <v>BWCS032720</v>
          </cell>
        </row>
        <row r="1993">
          <cell r="E1993" t="str">
            <v>KODERMA</v>
          </cell>
          <cell r="G1993">
            <v>8210413459</v>
          </cell>
          <cell r="K1993" t="str">
            <v>BVFS049407</v>
          </cell>
        </row>
        <row r="1994">
          <cell r="E1994" t="str">
            <v>KODERMA</v>
          </cell>
          <cell r="G1994">
            <v>8210413459</v>
          </cell>
          <cell r="K1994" t="str">
            <v>BVFS049421</v>
          </cell>
        </row>
        <row r="1995">
          <cell r="E1995" t="str">
            <v>RANCHI
834002</v>
          </cell>
          <cell r="G1995">
            <v>8210241710</v>
          </cell>
          <cell r="K1995" t="str">
            <v>BTIS032025</v>
          </cell>
        </row>
        <row r="1996">
          <cell r="E1996" t="str">
            <v>JHUMRI TILAIYA</v>
          </cell>
          <cell r="G1996">
            <v>7903780388</v>
          </cell>
          <cell r="K1996" t="str">
            <v>GPLS030458</v>
          </cell>
        </row>
        <row r="1997">
          <cell r="E1997" t="str">
            <v>GOPALI CHOWK, DHANBAD</v>
          </cell>
          <cell r="G1997">
            <v>7004686026</v>
          </cell>
          <cell r="K1997" t="str">
            <v>BWLD163586</v>
          </cell>
        </row>
        <row r="1998">
          <cell r="E1998" t="str">
            <v>RAJRAPPA</v>
          </cell>
          <cell r="G1998">
            <v>8092762251</v>
          </cell>
          <cell r="K1998" t="str">
            <v>BUKC370655</v>
          </cell>
        </row>
        <row r="1999">
          <cell r="E1999" t="str">
            <v>GROUND FLOOR, 8H AND 81, NATION PRINTERS, NAMKUM INDUSTRIAL AREA,, LOWADIH, RANCHI
GROUND FLOOR, 8H AND 81, NATION PRINTERS, NAMKUM INDUSTRIAL AREA,, LOWADIH, RANCHI
834010</v>
          </cell>
          <cell r="G1999">
            <v>9386895542</v>
          </cell>
          <cell r="K1999" t="str">
            <v>BRCC372871</v>
          </cell>
        </row>
        <row r="2000">
          <cell r="E2000" t="str">
            <v>C/O BIOHEAL POLY TECH PVT LTD, ORMANJHI, RANCHI</v>
          </cell>
          <cell r="G2000">
            <v>9791019799</v>
          </cell>
          <cell r="K2000" t="str">
            <v>BWJS031206</v>
          </cell>
        </row>
        <row r="2001">
          <cell r="E2001" t="str">
            <v>PLOT NO 716,VILL-RUKKA,
835219</v>
          </cell>
          <cell r="G2001">
            <v>9791019799</v>
          </cell>
          <cell r="K2001" t="str">
            <v>BSKS036366</v>
          </cell>
        </row>
        <row r="2002">
          <cell r="E2002" t="str">
            <v>JHARIA, DHANBAD</v>
          </cell>
          <cell r="G2002">
            <v>7873039065</v>
          </cell>
          <cell r="K2002" t="str">
            <v>BRHD161304</v>
          </cell>
        </row>
        <row r="2003">
          <cell r="E2003" t="str">
            <v>DHANBAD</v>
          </cell>
          <cell r="G2003">
            <v>7903412157</v>
          </cell>
          <cell r="K2003" t="str">
            <v>BVGD163301</v>
          </cell>
        </row>
        <row r="2004">
          <cell r="E2004" t="str">
            <v>LODNA MORE</v>
          </cell>
          <cell r="G2004">
            <v>9973432134</v>
          </cell>
          <cell r="K2004" t="str">
            <v>BWKD163543</v>
          </cell>
        </row>
        <row r="2005">
          <cell r="E2005" t="str">
            <v>REG. OFFICE: UNIT 106, MAHABIR TOWER, JOKHIRAM LANE, MAIN ROAD, RANCHI - 834 001
REG. OFFICE: UNIT 106, MAHABIR TOWER, JOKHIRAM LANE, MAIN ROAD, RANCHI - 834 001
835214</v>
          </cell>
          <cell r="G2005">
            <v>8207010500</v>
          </cell>
          <cell r="K2005" t="str">
            <v>BSDS043254</v>
          </cell>
        </row>
        <row r="2006">
          <cell r="E2006" t="str">
            <v>DHANBAD</v>
          </cell>
          <cell r="G2006">
            <v>7873039065</v>
          </cell>
          <cell r="K2006" t="str">
            <v>BTFD162244</v>
          </cell>
        </row>
        <row r="2007">
          <cell r="E2007" t="str">
            <v>PETERWAR, BOKARO</v>
          </cell>
          <cell r="G2007">
            <v>7004263425</v>
          </cell>
          <cell r="K2007" t="str">
            <v>BWFS041479</v>
          </cell>
        </row>
        <row r="2008">
          <cell r="E2008" t="str">
            <v>PARSAI, GOVINDPUR</v>
          </cell>
          <cell r="G2008">
            <v>8348686307</v>
          </cell>
          <cell r="K2008" t="str">
            <v>BXLS042397</v>
          </cell>
        </row>
        <row r="2009">
          <cell r="E2009" t="str">
            <v>PARSAI, GOVINDPUR</v>
          </cell>
          <cell r="G2009">
            <v>8348686307</v>
          </cell>
          <cell r="K2009" t="str">
            <v>BXLS042384</v>
          </cell>
        </row>
        <row r="2010">
          <cell r="E2010" t="str">
            <v>REG. OFFICE: UNIT 106, MAHABIR TOWER, JOKHIRAM LANE, MAIN ROAD, RANCHI - 834 001
REG. OFFICE: UNIT 106, MAHABIR TOWER, JOKHIRAM LANE, MAIN ROAD, RANCHI - 834 001
835214</v>
          </cell>
          <cell r="G2010">
            <v>8207010500</v>
          </cell>
          <cell r="K2010" t="str">
            <v>BSDS043254</v>
          </cell>
        </row>
        <row r="2011">
          <cell r="E2011" t="str">
            <v>BHULI, DHANBAD</v>
          </cell>
          <cell r="G2011">
            <v>7541046561</v>
          </cell>
          <cell r="K2011" t="str">
            <v>BVFS039912</v>
          </cell>
        </row>
        <row r="2012">
          <cell r="E2012" t="str">
            <v>NAMKUM, RANCHI</v>
          </cell>
          <cell r="G2012">
            <v>7633813849</v>
          </cell>
          <cell r="K2012" t="str">
            <v>BUGHS047439</v>
          </cell>
        </row>
        <row r="2013">
          <cell r="E2013" t="str">
            <v>BHAGALPUR</v>
          </cell>
          <cell r="G2013">
            <v>9939352785</v>
          </cell>
          <cell r="K2013" t="str">
            <v>BXJD121872</v>
          </cell>
        </row>
        <row r="2014">
          <cell r="E2014" t="str">
            <v>DIBDIH, RANCHI
834002</v>
          </cell>
          <cell r="G2014">
            <v>8102715589</v>
          </cell>
          <cell r="K2014" t="str">
            <v>BTEC378588</v>
          </cell>
        </row>
        <row r="2015">
          <cell r="E2015" t="str">
            <v>DIBDIH, RANCHI
834002</v>
          </cell>
          <cell r="G2015">
            <v>8102915589</v>
          </cell>
          <cell r="K2015" t="str">
            <v>BTEC378588</v>
          </cell>
        </row>
        <row r="2016">
          <cell r="E2016" t="str">
            <v>BHIALAI PAHADI, JAMSHEDPUR</v>
          </cell>
          <cell r="G2016">
            <v>9263768497</v>
          </cell>
          <cell r="K2016" t="str">
            <v>BVDC376483</v>
          </cell>
        </row>
        <row r="2017">
          <cell r="E2017" t="str">
            <v>AT: SENEGARHA, P.O-RABODH, P.S-GIDDI,(RAMGARH),, DISTT. HAZARIBAGH,JHARKHAND-825330
829108
AT: SENEGARHA, P.O-RABODH, P.S-GIDDI,(RAMGARH),</v>
          </cell>
          <cell r="G2017">
            <v>9006877583</v>
          </cell>
          <cell r="K2017" t="str">
            <v>BRAS033261</v>
          </cell>
        </row>
        <row r="2018">
          <cell r="E2018" t="str">
            <v>RAMGARH
829103
NAYA MORE</v>
          </cell>
          <cell r="G2018">
            <v>6201225253</v>
          </cell>
          <cell r="K2018" t="str">
            <v>BRGS035169</v>
          </cell>
        </row>
        <row r="2019">
          <cell r="E2019" t="str">
            <v>DEOGARH</v>
          </cell>
          <cell r="G2019">
            <v>7070795616</v>
          </cell>
          <cell r="K2019" t="str">
            <v>BQHD160364</v>
          </cell>
        </row>
        <row r="2020">
          <cell r="E2020" t="str">
            <v>PLOT NO 716,VILL-RUKKA,
835219</v>
          </cell>
          <cell r="G2020">
            <v>9791019799</v>
          </cell>
          <cell r="K2020" t="str">
            <v>BSKS036365</v>
          </cell>
        </row>
        <row r="2021">
          <cell r="E2021" t="str">
            <v>BHURKUNDA</v>
          </cell>
          <cell r="G2021">
            <v>7672025601</v>
          </cell>
          <cell r="K2021" t="str">
            <v>BWHD164015</v>
          </cell>
        </row>
        <row r="2022">
          <cell r="E2022" t="str">
            <v>JAMSHEDPUR</v>
          </cell>
          <cell r="G2022">
            <v>9431373731</v>
          </cell>
          <cell r="K2022" t="str">
            <v>BVJD162957</v>
          </cell>
        </row>
        <row r="2023">
          <cell r="E2023" t="str">
            <v>NAMKUM, RANCHI</v>
          </cell>
          <cell r="G2023">
            <v>7633813349</v>
          </cell>
          <cell r="K2023" t="str">
            <v>BTIS045034</v>
          </cell>
        </row>
        <row r="2024">
          <cell r="E2024" t="str">
            <v>NAMKUM, RANCHI</v>
          </cell>
          <cell r="G2024">
            <v>7633813349</v>
          </cell>
          <cell r="K2024" t="str">
            <v>BTIS044982</v>
          </cell>
        </row>
        <row r="2025">
          <cell r="E2025" t="str">
            <v>CHIRKUNDA, DHANBAD</v>
          </cell>
          <cell r="G2025">
            <v>8101005542</v>
          </cell>
          <cell r="K2025" t="str">
            <v>BWHC371250</v>
          </cell>
        </row>
        <row r="2026">
          <cell r="E2026" t="str">
            <v>GIRIDIH</v>
          </cell>
          <cell r="G2026">
            <v>9931921808</v>
          </cell>
          <cell r="K2026" t="str">
            <v>BXCD164420</v>
          </cell>
        </row>
        <row r="2027">
          <cell r="E2027" t="str">
            <v>KATRAS, DHANBAD</v>
          </cell>
          <cell r="G2027">
            <v>9939550940</v>
          </cell>
          <cell r="K2027" t="str">
            <v>BWAD163674</v>
          </cell>
        </row>
        <row r="2028">
          <cell r="E2028" t="str">
            <v>BARHI, HAZARIBAGH</v>
          </cell>
          <cell r="G2028">
            <v>8488957184</v>
          </cell>
          <cell r="K2028" t="str">
            <v>BUCS034287</v>
          </cell>
        </row>
        <row r="2029">
          <cell r="E2029" t="str">
            <v>ADDRESS-PLOT-57B,BARAHI INDUSTRIAL AREA,ON DELHI HOWRAH NATIONAL HIGHWAY,BARHI,JAHARKHAND.</v>
          </cell>
          <cell r="G2029">
            <v>9559291224</v>
          </cell>
          <cell r="K2029" t="str">
            <v>BUBS033778</v>
          </cell>
        </row>
        <row r="2030">
          <cell r="E2030" t="str">
            <v>NICHITPUR</v>
          </cell>
          <cell r="G2030">
            <v>7903412157</v>
          </cell>
          <cell r="K2030" t="str">
            <v>BUCD162696</v>
          </cell>
        </row>
        <row r="2031">
          <cell r="E2031" t="str">
            <v>JAMSHEDPUR</v>
          </cell>
          <cell r="G2031">
            <v>9431373731</v>
          </cell>
          <cell r="K2031" t="str">
            <v>BVJD162957</v>
          </cell>
        </row>
        <row r="2032">
          <cell r="E2032" t="str">
            <v>NAMKUM, RANCHI</v>
          </cell>
          <cell r="G2032">
            <v>7633813349</v>
          </cell>
          <cell r="K2032" t="str">
            <v>BUGS047201</v>
          </cell>
        </row>
        <row r="2033">
          <cell r="E2033" t="str">
            <v>AKASHKANARI</v>
          </cell>
          <cell r="G2033">
            <v>9510178502</v>
          </cell>
          <cell r="K2033" t="str">
            <v>BWFD163947</v>
          </cell>
        </row>
        <row r="2034">
          <cell r="E2034" t="str">
            <v>TATISIWAI INDUSTRIAL AREA, RANCHI
835103
TATISILWAY RANCHI</v>
          </cell>
          <cell r="G2034">
            <v>7761842443</v>
          </cell>
          <cell r="K2034" t="str">
            <v>BSAS036958</v>
          </cell>
        </row>
        <row r="2035">
          <cell r="E2035" t="str">
            <v>DIBDIH, RANCHI
834002</v>
          </cell>
          <cell r="G2035">
            <v>8102915588</v>
          </cell>
          <cell r="K2035" t="str">
            <v>BTEC378588</v>
          </cell>
        </row>
        <row r="2036">
          <cell r="E2036" t="str">
            <v>HEHAL, RANCHI</v>
          </cell>
          <cell r="G2036">
            <v>9523886421</v>
          </cell>
          <cell r="K2036" t="str">
            <v>BXAC372848</v>
          </cell>
        </row>
        <row r="2037">
          <cell r="E2037" t="str">
            <v>BARKAGAON</v>
          </cell>
          <cell r="G2037">
            <v>8978792036</v>
          </cell>
          <cell r="K2037" t="str">
            <v>BWID231694</v>
          </cell>
        </row>
        <row r="2038">
          <cell r="E2038" t="str">
            <v>RAMGRAH</v>
          </cell>
          <cell r="G2038">
            <v>9471104999</v>
          </cell>
          <cell r="K2038" t="str">
            <v>BWHD164019</v>
          </cell>
        </row>
        <row r="2039">
          <cell r="E2039" t="str">
            <v>NAYA MORE, RAMGRAH</v>
          </cell>
          <cell r="G2039">
            <v>9142985687</v>
          </cell>
          <cell r="K2039" t="str">
            <v>BUKS045388</v>
          </cell>
        </row>
        <row r="2040">
          <cell r="E2040" t="str">
            <v>NAYA MORE, RAMGRAH</v>
          </cell>
          <cell r="G2040">
            <v>9142985687</v>
          </cell>
          <cell r="K2040" t="str">
            <v>BUKS045387</v>
          </cell>
        </row>
        <row r="2041">
          <cell r="E2041" t="str">
            <v>BALIDIH, BOKARO</v>
          </cell>
          <cell r="G2041">
            <v>7033291304</v>
          </cell>
          <cell r="K2041" t="str">
            <v>BRAF110427</v>
          </cell>
        </row>
        <row r="2042">
          <cell r="E2042" t="str">
            <v>SHEIKHPURA, BIHAR</v>
          </cell>
          <cell r="G2042">
            <v>9523096957</v>
          </cell>
          <cell r="K2042" t="str">
            <v>BUAL160593</v>
          </cell>
        </row>
        <row r="2043">
          <cell r="E2043" t="str">
            <v>SHEIKHPURA, BIHAR</v>
          </cell>
          <cell r="G2043">
            <v>9523069653</v>
          </cell>
          <cell r="K2043" t="str">
            <v>BULL160559</v>
          </cell>
        </row>
        <row r="2044">
          <cell r="E2044" t="str">
            <v>JAPLA</v>
          </cell>
          <cell r="G2044">
            <v>7390857553</v>
          </cell>
          <cell r="K2044" t="str">
            <v>BXKC372435</v>
          </cell>
        </row>
        <row r="2045">
          <cell r="E2045" t="str">
            <v>11 PINJRAPOLE, HARMU ROAD, RANCHI
11 PINJRAPOLE, HARMU ROAD, RANCHI
834001
MAHILONG, TATISILWAY</v>
          </cell>
          <cell r="G2045">
            <v>6202577125</v>
          </cell>
          <cell r="K2045" t="str">
            <v>BNCC370425</v>
          </cell>
        </row>
        <row r="2046">
          <cell r="E2046" t="str">
            <v>PALAMU,GARWA, JHARKHAND
822124
GARHWA ROAD, NEAR BCCL PALAMU,</v>
          </cell>
          <cell r="G2046">
            <v>9973686006</v>
          </cell>
          <cell r="K2046" t="str">
            <v>GOCS030806</v>
          </cell>
        </row>
        <row r="2047">
          <cell r="E2047" t="str">
            <v>ASHOK NAGAR, RANCHI</v>
          </cell>
          <cell r="G2047">
            <v>9352389271</v>
          </cell>
          <cell r="K2047" t="str">
            <v>BQKD200047</v>
          </cell>
        </row>
        <row r="2048">
          <cell r="E2048" t="str">
            <v>HATIA, RANCHI</v>
          </cell>
          <cell r="G2048">
            <v>9106214798</v>
          </cell>
          <cell r="K2048" t="str">
            <v>GPGD160208</v>
          </cell>
        </row>
        <row r="2049">
          <cell r="E2049" t="str">
            <v>DALADALI, RANCHI</v>
          </cell>
          <cell r="G2049">
            <v>8051191796</v>
          </cell>
          <cell r="K2049" t="str">
            <v>BWED163889</v>
          </cell>
        </row>
        <row r="2050">
          <cell r="E2050" t="str">
            <v>RAHELA, DALTAINGANJ</v>
          </cell>
          <cell r="G2050">
            <v>8789075522</v>
          </cell>
          <cell r="K2050" t="str">
            <v>BUGS035879</v>
          </cell>
        </row>
        <row r="2051">
          <cell r="E2051" t="str">
            <v>KOKAR INDUSTRIAL AREA,RANCHI
834001</v>
          </cell>
          <cell r="G2051">
            <v>9308408219</v>
          </cell>
          <cell r="K2051" t="str">
            <v>BPIC370386</v>
          </cell>
        </row>
        <row r="2052">
          <cell r="E2052" t="str">
            <v>PLOT NO. 79, KAPASARA,, SUNDERNAGAR, CHIRKUNDA,, DHANBAD - 828 202
PLOT NO. 79, KAPASARA,, SUNDERNAGAR, CHIRKUNDA,, DHANBAD - 828 202
828202</v>
          </cell>
          <cell r="G2052">
            <v>8101005542</v>
          </cell>
          <cell r="K2052" t="str">
            <v>BTFS031006</v>
          </cell>
        </row>
        <row r="2053">
          <cell r="E2053" t="str">
            <v>BHORA</v>
          </cell>
          <cell r="G2053">
            <v>9550035031</v>
          </cell>
          <cell r="K2053" t="str">
            <v>BVHD163331</v>
          </cell>
        </row>
        <row r="2054">
          <cell r="E2054" t="str">
            <v>GIRIDIH</v>
          </cell>
          <cell r="G2054">
            <v>9931921808</v>
          </cell>
          <cell r="K2054" t="str">
            <v>BXCD164420</v>
          </cell>
        </row>
        <row r="2055">
          <cell r="E2055" t="str">
            <v>DHANBAD, CONT PERSON :MR. IKTEKHAR AHMAD, PH.NO :9431316718</v>
          </cell>
          <cell r="G2055">
            <v>7402773991</v>
          </cell>
          <cell r="K2055" t="str">
            <v>BQID160499</v>
          </cell>
        </row>
        <row r="2056">
          <cell r="E2056" t="str">
            <v>LODNA MORE</v>
          </cell>
          <cell r="G2056">
            <v>9693269669</v>
          </cell>
          <cell r="K2056" t="str">
            <v>BVFD163261</v>
          </cell>
        </row>
        <row r="2057">
          <cell r="E2057" t="str">
            <v>HATIA PATHAR ZILA SCHOOL ROAD DUMKA JHARKHAND
834002</v>
          </cell>
          <cell r="G2057">
            <v>9304236649</v>
          </cell>
          <cell r="K2057" t="str">
            <v>BTEC378536</v>
          </cell>
        </row>
        <row r="2058">
          <cell r="E2058" t="str">
            <v>RANCHI</v>
          </cell>
          <cell r="G2058">
            <v>7903558220</v>
          </cell>
          <cell r="K2058" t="str">
            <v>BWJC378261</v>
          </cell>
        </row>
        <row r="2059">
          <cell r="E2059" t="str">
            <v>DHANBAD</v>
          </cell>
          <cell r="G2059">
            <v>6204416997</v>
          </cell>
          <cell r="K2059" t="str">
            <v>BVHC377855</v>
          </cell>
        </row>
        <row r="2060">
          <cell r="E2060" t="str">
            <v>KATRAS, DHANBAD</v>
          </cell>
          <cell r="G2060">
            <v>9155382795</v>
          </cell>
          <cell r="K2060" t="str">
            <v>BXAD231954</v>
          </cell>
        </row>
        <row r="2061">
          <cell r="E2061" t="str">
            <v>NICHITPUR</v>
          </cell>
          <cell r="G2061">
            <v>7667974090</v>
          </cell>
          <cell r="K2061" t="str">
            <v>BUCD162696</v>
          </cell>
        </row>
        <row r="2062">
          <cell r="E2062" t="str">
            <v>PURULIA</v>
          </cell>
          <cell r="G2062">
            <v>8637328348</v>
          </cell>
          <cell r="K2062" t="str">
            <v>BXCD220990</v>
          </cell>
        </row>
        <row r="2063">
          <cell r="E2063" t="str">
            <v>CHHOTA, TANGARANI, SARAIKELA</v>
          </cell>
          <cell r="G2063">
            <v>9830018921</v>
          </cell>
          <cell r="K2063" t="str">
            <v>GPGD160208</v>
          </cell>
        </row>
        <row r="2064">
          <cell r="E2064" t="str">
            <v>NAMKUM INDUSTRIAL AREA,RANCHI
834010</v>
          </cell>
          <cell r="G2064">
            <v>777995005</v>
          </cell>
          <cell r="K2064" t="str">
            <v>GOCC370403</v>
          </cell>
        </row>
        <row r="2065">
          <cell r="E2065" t="str">
            <v>PHUSHRO</v>
          </cell>
          <cell r="G2065">
            <v>7979946647</v>
          </cell>
          <cell r="K2065" t="str">
            <v>BWHD231642</v>
          </cell>
        </row>
        <row r="2066">
          <cell r="E2066" t="str">
            <v>FLAT NO. 300, BLOCK - A, MP SRIRAM, CHHOTA GAMHARIA, P.S. - GAMHARIA, DIST.- SARAIKELA KHARSAWAN</v>
          </cell>
          <cell r="G2066">
            <v>7900700814</v>
          </cell>
          <cell r="K2066" t="str">
            <v>BRGL151468</v>
          </cell>
        </row>
        <row r="2067">
          <cell r="E2067" t="str">
            <v>LOHAR BHARWA, DHANBAD</v>
          </cell>
          <cell r="G2067">
            <v>7004225629</v>
          </cell>
          <cell r="K2067" t="str">
            <v>BWKC378511</v>
          </cell>
        </row>
        <row r="2068">
          <cell r="E2068" t="str">
            <v>FLAT NO. 300, BLOCK - A, MP SRIRAM, CHHOTA GAMHARIA, P.S. - GAMHARIA, DIST.- SARAIKELA KHARSAWAN</v>
          </cell>
          <cell r="G2068">
            <v>7600700814</v>
          </cell>
          <cell r="K2068" t="str">
            <v>BRGL151464</v>
          </cell>
        </row>
        <row r="2069">
          <cell r="E2069" t="str">
            <v>DIBDIH, RANCHI
834002</v>
          </cell>
          <cell r="G2069">
            <v>8102915588</v>
          </cell>
          <cell r="K2069" t="str">
            <v>BTEC378588</v>
          </cell>
        </row>
        <row r="2070">
          <cell r="E2070" t="str">
            <v>TATISILWAI, RANCHI</v>
          </cell>
          <cell r="G2070">
            <v>9708039203</v>
          </cell>
          <cell r="K2070" t="str">
            <v>BWEC370314</v>
          </cell>
        </row>
        <row r="2071">
          <cell r="E2071" t="str">
            <v>HARDAG</v>
          </cell>
          <cell r="G2071">
            <v>8302560821</v>
          </cell>
          <cell r="K2071" t="str">
            <v>BXCD164464</v>
          </cell>
        </row>
        <row r="2072">
          <cell r="E2072" t="str">
            <v>NAMKUM INDUSTRIAL AREA,RANCHI
834010</v>
          </cell>
          <cell r="G2072">
            <v>777995005</v>
          </cell>
          <cell r="K2072" t="str">
            <v>GOCC370403</v>
          </cell>
        </row>
        <row r="2073">
          <cell r="E2073" t="str">
            <v>NAMKUM INDUSTRIAL AREA,RANCHI
834010</v>
          </cell>
          <cell r="G2073">
            <v>9386408111</v>
          </cell>
          <cell r="K2073" t="str">
            <v>BRHS035337</v>
          </cell>
        </row>
        <row r="2074">
          <cell r="E2074" t="str">
            <v>PHUSHRO</v>
          </cell>
          <cell r="G2074">
            <v>7979947746</v>
          </cell>
          <cell r="K2074" t="str">
            <v>BVED163244</v>
          </cell>
        </row>
        <row r="2075">
          <cell r="E2075" t="str">
            <v>LODNA MORE</v>
          </cell>
          <cell r="G2075">
            <v>6206007342</v>
          </cell>
          <cell r="K2075" t="str">
            <v>BWKD163512</v>
          </cell>
        </row>
        <row r="2076">
          <cell r="E2076" t="str">
            <v>BHORA</v>
          </cell>
          <cell r="G2076">
            <v>9550035031</v>
          </cell>
          <cell r="K2076" t="str">
            <v>BVHD163331</v>
          </cell>
        </row>
        <row r="2077">
          <cell r="E2077" t="str">
            <v>LODNA MORE</v>
          </cell>
          <cell r="G2077">
            <v>9973432134</v>
          </cell>
          <cell r="K2077" t="str">
            <v>BWKD163543</v>
          </cell>
        </row>
        <row r="2078">
          <cell r="E2078" t="str">
            <v>RAMGRAH</v>
          </cell>
          <cell r="G2078">
            <v>9199162863</v>
          </cell>
          <cell r="K2078" t="str">
            <v>BQIS040809</v>
          </cell>
        </row>
        <row r="2079">
          <cell r="E2079" t="str">
            <v>DEMOTAND, HAZARIBAGH</v>
          </cell>
          <cell r="G2079">
            <v>9905758949</v>
          </cell>
          <cell r="K2079" t="str">
            <v>BWGC370777</v>
          </cell>
        </row>
        <row r="2080">
          <cell r="E2080" t="str">
            <v>VINAIKA’S COMPLEX RANCHI TATA ROAD, R.S. PLOT NO.:-615,VILLAGE-PANCHA,THANA-BUNDU RANCHI, JHARKHAND.
834002</v>
          </cell>
          <cell r="G2080">
            <v>9818905980</v>
          </cell>
          <cell r="K2080" t="str">
            <v>BUDS046275</v>
          </cell>
        </row>
        <row r="2081">
          <cell r="E2081" t="str">
            <v>LODNA NTS</v>
          </cell>
          <cell r="G2081">
            <v>7644045555</v>
          </cell>
          <cell r="K2081" t="str">
            <v>BXKD164206</v>
          </cell>
        </row>
        <row r="2082">
          <cell r="E2082" t="str">
            <v>NAGARI, RANCHI
834006</v>
          </cell>
          <cell r="G2082">
            <v>7255848442</v>
          </cell>
          <cell r="K2082" t="str">
            <v>BRAC372524</v>
          </cell>
        </row>
        <row r="2083">
          <cell r="E2083" t="str">
            <v>PHUSHRO</v>
          </cell>
          <cell r="G2083">
            <v>7979947746</v>
          </cell>
          <cell r="K2083" t="str">
            <v>BVED163244</v>
          </cell>
        </row>
        <row r="2084">
          <cell r="E2084" t="str">
            <v>GOPALI CHOWK, DHANBAD</v>
          </cell>
          <cell r="G2084">
            <v>7004686026</v>
          </cell>
          <cell r="K2084" t="str">
            <v>BWLD163586</v>
          </cell>
        </row>
        <row r="2085">
          <cell r="E2085" t="str">
            <v>CHATRA</v>
          </cell>
          <cell r="G2085">
            <v>8102075973</v>
          </cell>
          <cell r="K2085" t="str">
            <v>BXKD164219</v>
          </cell>
        </row>
        <row r="2086">
          <cell r="E2086" t="str">
            <v>BARABAZAR</v>
          </cell>
          <cell r="G2086">
            <v>9438348720</v>
          </cell>
          <cell r="K2086" t="str">
            <v>BXKD220975</v>
          </cell>
        </row>
        <row r="2087">
          <cell r="E2087" t="str">
            <v>AURANGABAD</v>
          </cell>
          <cell r="G2087">
            <v>9090169180</v>
          </cell>
          <cell r="K2087" t="str">
            <v>BXLD164263</v>
          </cell>
        </row>
        <row r="2088">
          <cell r="E2088" t="str">
            <v>RANCHI PATNA ROAD
DEMOTAND
825301
HAZARIBAGH</v>
          </cell>
          <cell r="G2088">
            <v>7905424302</v>
          </cell>
          <cell r="K2088" t="str">
            <v>BMBL160078</v>
          </cell>
        </row>
        <row r="2089">
          <cell r="E2089" t="str">
            <v>SAHEBGANJ</v>
          </cell>
          <cell r="G2089">
            <v>9116343171</v>
          </cell>
          <cell r="K2089" t="str">
            <v>BXCD164399</v>
          </cell>
        </row>
        <row r="2090">
          <cell r="E2090" t="str">
            <v>NICHITPUR</v>
          </cell>
          <cell r="G2090">
            <v>7903412157</v>
          </cell>
          <cell r="K2090" t="str">
            <v>BUCD162696</v>
          </cell>
        </row>
        <row r="2091">
          <cell r="E2091" t="str">
            <v>PIPRA</v>
          </cell>
          <cell r="G2091">
            <v>9304258268</v>
          </cell>
          <cell r="K2091" t="str">
            <v>BVIL161084</v>
          </cell>
        </row>
        <row r="2092">
          <cell r="E2092" t="str">
            <v>SAYAL, RAMGRAH</v>
          </cell>
          <cell r="G2092">
            <v>6204702963</v>
          </cell>
          <cell r="K2092" t="str">
            <v>BXAD164301</v>
          </cell>
        </row>
        <row r="2093">
          <cell r="E2093" t="str">
            <v>RANCHI,JHARKHAND
834001
RANCHI</v>
          </cell>
          <cell r="G2093">
            <v>9431571200</v>
          </cell>
          <cell r="K2093" t="str">
            <v>BJHS031586</v>
          </cell>
        </row>
        <row r="2094">
          <cell r="E2094" t="str">
            <v>MARRAR, RAMGRAH</v>
          </cell>
          <cell r="G2094">
            <v>7654107064</v>
          </cell>
          <cell r="K2094" t="str">
            <v>BXJS035074</v>
          </cell>
        </row>
        <row r="2095">
          <cell r="E2095" t="str">
            <v>RANCHI PATNA ROAD
DEMOTAND
825301
HAZARIBAGH</v>
          </cell>
          <cell r="G2095">
            <v>7905424302</v>
          </cell>
          <cell r="K2095" t="str">
            <v>BMBL160078</v>
          </cell>
        </row>
        <row r="2096">
          <cell r="E2096" t="str">
            <v>PANDRA</v>
          </cell>
          <cell r="G2096">
            <v>7858833311</v>
          </cell>
          <cell r="K2096" t="str">
            <v>BVIC377980</v>
          </cell>
        </row>
        <row r="2097">
          <cell r="E2097" t="str">
            <v>JAMSHEDPUR</v>
          </cell>
          <cell r="G2097">
            <v>9337904150</v>
          </cell>
          <cell r="K2097" t="str">
            <v>BWCD163785</v>
          </cell>
        </row>
        <row r="2098">
          <cell r="E2098" t="str">
            <v>TANDWA, CHATRA</v>
          </cell>
          <cell r="G2098">
            <v>7032052579</v>
          </cell>
          <cell r="K2098" t="str">
            <v>BXJD164130</v>
          </cell>
        </row>
        <row r="2099">
          <cell r="E2099" t="str">
            <v>OPERATIONS OFFICER, BOKARO BP, KIND ATTEN.ABHISHEK TRIPATHI, MOB. NO.8789972995, VENDOR CODE-11970380
OPERATIONS OFFICER, BOKARO BP, KIND ATTEN.ABHISHEK TRIPATHI, MOB. NO.8789972995, VENDOR CODE-11970380
827014
LPG BOTTALING PLANT, BALIDIH,</v>
          </cell>
          <cell r="G2099">
            <v>8797456432</v>
          </cell>
          <cell r="K2099" t="str">
            <v>BOCS040147</v>
          </cell>
        </row>
        <row r="2100">
          <cell r="E2100" t="str">
            <v>RANCHI</v>
          </cell>
          <cell r="G2100">
            <v>7991168537</v>
          </cell>
          <cell r="K2100" t="str">
            <v>BWLS031913</v>
          </cell>
        </row>
        <row r="2101">
          <cell r="E2101" t="str">
            <v>PANDRA</v>
          </cell>
          <cell r="G2101">
            <v>7858833311</v>
          </cell>
          <cell r="K2101" t="str">
            <v>BVIC377980</v>
          </cell>
        </row>
        <row r="2102">
          <cell r="E2102" t="str">
            <v>MANDU, RAMGARH
JAISWAL COLONY, THANA CHOW,, RAMGARH CANTT. DIST. RAMGARH, JHARKHAND
825316
MANDU</v>
          </cell>
          <cell r="G2102">
            <v>8797891051</v>
          </cell>
          <cell r="K2102" t="str">
            <v>BSGS043527</v>
          </cell>
        </row>
        <row r="2103">
          <cell r="E2103" t="str">
            <v>BARWADA, DHANBAD</v>
          </cell>
          <cell r="G2103">
            <v>8102127816</v>
          </cell>
          <cell r="K2103" t="str">
            <v>BWKD163559</v>
          </cell>
        </row>
        <row r="2104">
          <cell r="E2104" t="str">
            <v>FATEPUR GAYA</v>
          </cell>
          <cell r="G2104">
            <v>9631909713</v>
          </cell>
          <cell r="K2104" t="str">
            <v>BWLD163608</v>
          </cell>
        </row>
        <row r="2105">
          <cell r="E2105" t="str">
            <v>GONDUDIH, DHANBAD</v>
          </cell>
          <cell r="G2105">
            <v>9304207050</v>
          </cell>
          <cell r="K2105" t="str">
            <v>BWJD163475</v>
          </cell>
        </row>
        <row r="2106">
          <cell r="E2106" t="str">
            <v>LODNA MORE</v>
          </cell>
          <cell r="G2106">
            <v>6200119580</v>
          </cell>
          <cell r="K2106" t="str">
            <v>BWKD163512</v>
          </cell>
        </row>
        <row r="2107">
          <cell r="E2107" t="str">
            <v>TATISILWAI, RANCHI</v>
          </cell>
          <cell r="G2107">
            <v>8877192027</v>
          </cell>
          <cell r="K2107" t="str">
            <v>BWEC370314</v>
          </cell>
        </row>
        <row r="2108">
          <cell r="E2108" t="str">
            <v>HORHAP ROAD, MAHILONG, RANCHI
835103</v>
          </cell>
          <cell r="G2108">
            <v>8877192027</v>
          </cell>
          <cell r="K2108" t="str">
            <v>BRIC374329</v>
          </cell>
        </row>
        <row r="2109">
          <cell r="E2109" t="str">
            <v>MANDU, RAMGARH
JAISWAL COLONY, THANA CHOW,, RAMGARH CANTT. DIST. RAMGARH, JHARKHAND
825316
MANDU</v>
          </cell>
          <cell r="G2109">
            <v>7979930284</v>
          </cell>
          <cell r="K2109" t="str">
            <v>BTLS039748</v>
          </cell>
        </row>
        <row r="2110">
          <cell r="E2110" t="str">
            <v>MAHUDA MORE, DHANBAD</v>
          </cell>
          <cell r="G2110">
            <v>6204702963</v>
          </cell>
          <cell r="K2110" t="str">
            <v>BWHD164004</v>
          </cell>
        </row>
        <row r="2111">
          <cell r="E2111" t="str">
            <v>LODNA NTS</v>
          </cell>
          <cell r="G2111">
            <v>9044360313</v>
          </cell>
          <cell r="K2111" t="str">
            <v>BXKD164206</v>
          </cell>
        </row>
        <row r="2112">
          <cell r="E2112" t="str">
            <v>KOKAR INDUSTRIAL AREA, RANCHI
834002</v>
          </cell>
          <cell r="G2112">
            <v>7633885415</v>
          </cell>
          <cell r="K2112" t="str">
            <v>BRJS040951</v>
          </cell>
        </row>
        <row r="2113">
          <cell r="E2113" t="str">
            <v>REG. OFFICE: UNIT 106, MAHABIR TOWER, JOKHIRAM LANE, MAIN ROAD, RANCHI - 834 001
REG. OFFICE: UNIT 106, MAHABIR TOWER, JOKHIRAM LANE, MAIN ROAD, RANCHI - 834 001
835214</v>
          </cell>
          <cell r="G2113">
            <v>8207010500</v>
          </cell>
          <cell r="K2113" t="str">
            <v>BSDS043254</v>
          </cell>
        </row>
        <row r="2114">
          <cell r="E2114" t="str">
            <v>BURMU, RANCHI</v>
          </cell>
          <cell r="G2114">
            <v>8340261744</v>
          </cell>
          <cell r="K2114" t="str">
            <v>BTES044431</v>
          </cell>
        </row>
        <row r="2115">
          <cell r="E2115" t="str">
            <v>GOVINDPUR, DHANBAD</v>
          </cell>
          <cell r="G2115">
            <v>7254622131</v>
          </cell>
          <cell r="K2115" t="str">
            <v>BVDS039346</v>
          </cell>
        </row>
        <row r="2116">
          <cell r="E2116" t="str">
            <v>LODNA MORE</v>
          </cell>
          <cell r="G2116">
            <v>6200119580</v>
          </cell>
          <cell r="K2116" t="str">
            <v>BWKD163512</v>
          </cell>
        </row>
        <row r="2117">
          <cell r="E2117" t="str">
            <v>BARWADA, DHANBAD</v>
          </cell>
          <cell r="G2117">
            <v>8102127816</v>
          </cell>
          <cell r="K2117" t="str">
            <v>BWKD163559</v>
          </cell>
        </row>
        <row r="2118">
          <cell r="E2118" t="str">
            <v>GOBINDPUR INDUSTRIAL AREA, DHANBAD</v>
          </cell>
          <cell r="G2118">
            <v>9113169811</v>
          </cell>
          <cell r="K2118" t="str">
            <v>BVJS047894</v>
          </cell>
        </row>
        <row r="2119">
          <cell r="E2119" t="str">
            <v>PHUSHRO</v>
          </cell>
          <cell r="G2119">
            <v>7979946647</v>
          </cell>
          <cell r="K2119" t="str">
            <v>BWHD231642</v>
          </cell>
        </row>
        <row r="2120">
          <cell r="E2120" t="str">
            <v>BHUYANDIH, JAMSHEDPUR</v>
          </cell>
          <cell r="G2120">
            <v>9304170499</v>
          </cell>
          <cell r="K2120" t="str">
            <v>BMFC370445</v>
          </cell>
        </row>
        <row r="2121">
          <cell r="E2121" t="str">
            <v>PLOT NO. 148, TUPUDANA, INDUSTRIAL AREA, HATIA, RANCHI
834002</v>
          </cell>
          <cell r="G2121">
            <v>9534249500</v>
          </cell>
          <cell r="K2121" t="str">
            <v>BRIS035838</v>
          </cell>
        </row>
        <row r="2122">
          <cell r="E2122" t="str">
            <v>TUPUDANA INDUSTRIAL AREA,RANCHI
834003</v>
          </cell>
          <cell r="G2122">
            <v>9534249500</v>
          </cell>
          <cell r="K2122" t="str">
            <v>BRIS035695</v>
          </cell>
        </row>
        <row r="2123">
          <cell r="E2123" t="str">
            <v>PLOT NO. 148, TUPUDANA, INDUSTRIAL AREA, HATIA, RANCHI
834002</v>
          </cell>
          <cell r="G2123">
            <v>9534249500</v>
          </cell>
          <cell r="K2123" t="str">
            <v>BSLS036682</v>
          </cell>
        </row>
        <row r="2124">
          <cell r="E2124" t="str">
            <v>BASTAKOLA, DHANBAD</v>
          </cell>
          <cell r="G2124">
            <v>8521311810</v>
          </cell>
          <cell r="K2124" t="str">
            <v>BUKD162535</v>
          </cell>
        </row>
        <row r="2125">
          <cell r="E2125" t="str">
            <v>BASTAKOLA, DHANBAD</v>
          </cell>
          <cell r="G2125">
            <v>8521311810</v>
          </cell>
          <cell r="K2125" t="str">
            <v>BQKD160099</v>
          </cell>
        </row>
        <row r="2126">
          <cell r="E2126" t="str">
            <v>RAMGARH
829103
NAYA MORE</v>
          </cell>
          <cell r="G2126">
            <v>6201225258</v>
          </cell>
          <cell r="K2126" t="str">
            <v>BPCS030196</v>
          </cell>
        </row>
        <row r="2127">
          <cell r="E2127" t="str">
            <v>RAMGRAH BAZAR SAMITI, RAMGRAH</v>
          </cell>
          <cell r="G2127">
            <v>8092762251</v>
          </cell>
          <cell r="K2127" t="str">
            <v>BULC370861</v>
          </cell>
        </row>
        <row r="2128">
          <cell r="E2128" t="str">
            <v>LODNA MORE</v>
          </cell>
          <cell r="G2128">
            <v>9550053031</v>
          </cell>
          <cell r="K2128" t="str">
            <v>BVFD163261</v>
          </cell>
        </row>
        <row r="2129">
          <cell r="E2129" t="str">
            <v>CHAS BOKARO</v>
          </cell>
          <cell r="G2129">
            <v>6205665396</v>
          </cell>
          <cell r="K2129" t="str">
            <v>BXKD164199</v>
          </cell>
        </row>
        <row r="2130">
          <cell r="E2130" t="str">
            <v>TAPIN PROJECT, CHARHI</v>
          </cell>
          <cell r="G2130">
            <v>6204816691</v>
          </cell>
          <cell r="K2130" t="str">
            <v>BVLD163067</v>
          </cell>
        </row>
        <row r="2131">
          <cell r="E2131" t="str">
            <v>REHLA,GARWA,JHARKHAND
822124
RANCHI</v>
          </cell>
          <cell r="G2131">
            <v>7004623399</v>
          </cell>
          <cell r="K2131" t="str">
            <v>BMFS031346</v>
          </cell>
        </row>
        <row r="2132">
          <cell r="E2132" t="str">
            <v>PHOOLWARTAND, DHANBAD</v>
          </cell>
          <cell r="G2132">
            <v>8210106692</v>
          </cell>
          <cell r="K2132" t="str">
            <v>BVHD163393</v>
          </cell>
        </row>
        <row r="2133">
          <cell r="E2133" t="str">
            <v>JHUMRI TELAIYA, KODARMA
825409</v>
          </cell>
          <cell r="G2133">
            <v>9955305549</v>
          </cell>
          <cell r="K2133" t="str">
            <v>BSBC375530</v>
          </cell>
        </row>
        <row r="2134">
          <cell r="E2134" t="str">
            <v>DALADALI, RANCHI</v>
          </cell>
          <cell r="G2134">
            <v>7762866602</v>
          </cell>
          <cell r="K2134" t="str">
            <v>BVKD163010</v>
          </cell>
        </row>
        <row r="2135">
          <cell r="E2135" t="str">
            <v>TATULMURI, DHANBAD</v>
          </cell>
          <cell r="G2135">
            <v>9931519401</v>
          </cell>
          <cell r="K2135" t="str">
            <v>BUGD162852</v>
          </cell>
        </row>
        <row r="2136">
          <cell r="E2136" t="str">
            <v>BARKAGAON, HAZARIBAGH</v>
          </cell>
          <cell r="G2136">
            <v>7070010949</v>
          </cell>
          <cell r="K2136" t="str">
            <v>BWLD231345</v>
          </cell>
        </row>
        <row r="2137">
          <cell r="E2137" t="str">
            <v>BARKAGAON, HAZARIBAGH</v>
          </cell>
          <cell r="G2137">
            <v>7070010949</v>
          </cell>
          <cell r="K2137" t="str">
            <v>BWLD231334</v>
          </cell>
        </row>
        <row r="2138">
          <cell r="E2138" t="str">
            <v>BARKAGAON, HAZARIBAGH</v>
          </cell>
          <cell r="G2138">
            <v>9701361308</v>
          </cell>
          <cell r="K2138" t="str">
            <v>BOIS040238</v>
          </cell>
        </row>
        <row r="2139">
          <cell r="E2139" t="str">
            <v>MUNGMA</v>
          </cell>
          <cell r="G2139">
            <v>8770159290</v>
          </cell>
          <cell r="K2139" t="str">
            <v>BWEC370334</v>
          </cell>
        </row>
        <row r="2140">
          <cell r="E2140" t="str">
            <v>KUCHU, ORMANJHI</v>
          </cell>
          <cell r="G2140">
            <v>6265816388</v>
          </cell>
          <cell r="K2140" t="str">
            <v>BKAS040272</v>
          </cell>
        </row>
        <row r="2141">
          <cell r="E2141" t="str">
            <v>NAGRI,RANCHI
835202
RANCHI</v>
          </cell>
          <cell r="G2141">
            <v>8877024924</v>
          </cell>
          <cell r="K2141" t="str">
            <v>BMJS040004</v>
          </cell>
        </row>
        <row r="2142">
          <cell r="E2142" t="str">
            <v>RING ROAD, TUPUDANA</v>
          </cell>
          <cell r="G2142">
            <v>9264401517</v>
          </cell>
          <cell r="K2142" t="str">
            <v>BWLS031931</v>
          </cell>
        </row>
        <row r="2143">
          <cell r="E2143" t="str">
            <v>DALADALI, RANCHI</v>
          </cell>
          <cell r="G2143">
            <v>9835538524</v>
          </cell>
          <cell r="K2143" t="str">
            <v>BWFD163940</v>
          </cell>
        </row>
        <row r="2144">
          <cell r="E2144" t="str">
            <v>TETULWARI</v>
          </cell>
          <cell r="G2144">
            <v>7541869555</v>
          </cell>
          <cell r="K2144" t="str">
            <v>BTGD162296</v>
          </cell>
        </row>
        <row r="2145">
          <cell r="E2145" t="str">
            <v>HAZARIBAGH
RANCHI JHARKHAND 834002
INDIA</v>
          </cell>
          <cell r="G2145">
            <v>9304388269</v>
          </cell>
          <cell r="K2145" t="str">
            <v>BKAS030685</v>
          </cell>
        </row>
        <row r="2146">
          <cell r="E2146" t="str">
            <v>AT: SENEGARHA, P.O-RABODH, P.S-GIDDI,(RAMGARH),, DISTT. HAZARIBAGH,JHARKHAND-825330
829108
AT: SENEGARHA, P.O-RABODH, P.S-GIDDI,(RAMGARH),</v>
          </cell>
          <cell r="G2146">
            <v>9006877583</v>
          </cell>
          <cell r="K2146" t="str">
            <v>BSCS037349</v>
          </cell>
        </row>
        <row r="2147">
          <cell r="E2147" t="str">
            <v>TANDWA, CHATRA</v>
          </cell>
          <cell r="G2147">
            <v>7032052579</v>
          </cell>
          <cell r="K2147" t="str">
            <v>BXJD164143</v>
          </cell>
        </row>
        <row r="2148">
          <cell r="E2148" t="str">
            <v>RING ROAD, RANCHI</v>
          </cell>
          <cell r="G2148">
            <v>8862826990</v>
          </cell>
          <cell r="K2148" t="str">
            <v>BULC371019</v>
          </cell>
        </row>
        <row r="2149">
          <cell r="E2149" t="str">
            <v>MUNGMA</v>
          </cell>
          <cell r="G2149">
            <v>8101005542</v>
          </cell>
          <cell r="K2149" t="str">
            <v>BWEC370334</v>
          </cell>
        </row>
        <row r="2150">
          <cell r="E2150" t="str">
            <v>LODNA</v>
          </cell>
          <cell r="G2150">
            <v>7644045555</v>
          </cell>
          <cell r="K2150" t="str">
            <v>BVJD162972</v>
          </cell>
        </row>
        <row r="2151">
          <cell r="E2151" t="str">
            <v>OPERATIONS OFFICER, BOKARO BP, KIND ATTEN.ABHISHEK TRIPATHI, MOB. NO.8789972995, VENDOR CODE-11970380
OPERATIONS OFFICER, BOKARO BP, KIND ATTEN.ABHISHEK TRIPATHI, MOB. NO.8789972995, VENDOR CODE-11970380
827014
LPG BOTTALING PLANT, BALIDIH,</v>
          </cell>
          <cell r="G2151">
            <v>9679970318</v>
          </cell>
          <cell r="K2151" t="str">
            <v>BOCS040147</v>
          </cell>
        </row>
        <row r="2152">
          <cell r="E2152" t="str">
            <v>MESRA, RANCHI</v>
          </cell>
          <cell r="G2152">
            <v>9523535955</v>
          </cell>
          <cell r="K2152" t="str">
            <v>BXJF111817</v>
          </cell>
        </row>
        <row r="2153">
          <cell r="E2153" t="str">
            <v>DALADALI, RANCHI</v>
          </cell>
          <cell r="G2153">
            <v>8051191796</v>
          </cell>
          <cell r="K2153" t="str">
            <v>BWED163889</v>
          </cell>
        </row>
        <row r="2154">
          <cell r="E2154" t="str">
            <v>PITHORIA</v>
          </cell>
          <cell r="G2154">
            <v>7050471419</v>
          </cell>
          <cell r="K2154" t="str">
            <v>BWED163893</v>
          </cell>
        </row>
        <row r="2155">
          <cell r="E2155" t="str">
            <v>BAGSUMA,GOVINDPUR, DHANBAD
GT ROAD, BAGSUMA
828109</v>
          </cell>
          <cell r="G2155">
            <v>9835191288</v>
          </cell>
          <cell r="K2155" t="str">
            <v>BTJC377259</v>
          </cell>
        </row>
        <row r="2156">
          <cell r="E2156" t="str">
            <v>MAHUDA MORE, DHANBAD</v>
          </cell>
          <cell r="G2156">
            <v>6204702963</v>
          </cell>
          <cell r="K2156" t="str">
            <v>BWHD164004</v>
          </cell>
        </row>
        <row r="2157">
          <cell r="E2157" t="str">
            <v>SARAIKELA, JAMSHEDPUR</v>
          </cell>
          <cell r="G2157">
            <v>9431373731</v>
          </cell>
          <cell r="K2157" t="str">
            <v>BXCD164415</v>
          </cell>
        </row>
        <row r="2158">
          <cell r="E2158" t="str">
            <v>DUMKA</v>
          </cell>
          <cell r="G2158">
            <v>6206098351</v>
          </cell>
          <cell r="K2158" t="str">
            <v>BVHS030405</v>
          </cell>
        </row>
        <row r="2159">
          <cell r="E2159" t="str">
            <v>DUMKA</v>
          </cell>
          <cell r="G2159">
            <v>6206098351</v>
          </cell>
          <cell r="K2159" t="str">
            <v>BTFC378843</v>
          </cell>
        </row>
        <row r="2160">
          <cell r="E2160" t="str">
            <v>CHATRA</v>
          </cell>
          <cell r="G2160">
            <v>9304734925</v>
          </cell>
          <cell r="K2160" t="str">
            <v>BXKD164160</v>
          </cell>
        </row>
        <row r="2161">
          <cell r="E2161" t="str">
            <v>HAZARIBAGH</v>
          </cell>
          <cell r="G2161">
            <v>6201789110</v>
          </cell>
          <cell r="K2161" t="str">
            <v>BWID164050</v>
          </cell>
        </row>
        <row r="2162">
          <cell r="E2162" t="str">
            <v>MAHUDA MORE, DHANBAD</v>
          </cell>
          <cell r="G2162">
            <v>6204702963</v>
          </cell>
          <cell r="K2162" t="str">
            <v>BWHD164004</v>
          </cell>
        </row>
        <row r="2163">
          <cell r="E2163" t="str">
            <v>LODNA</v>
          </cell>
          <cell r="G2163">
            <v>9508648266</v>
          </cell>
          <cell r="K2163" t="str">
            <v>BVJD162972</v>
          </cell>
        </row>
        <row r="2164">
          <cell r="E2164" t="str">
            <v>BARKAGAON, HAZARIBAGH</v>
          </cell>
          <cell r="G2164">
            <v>7070010949</v>
          </cell>
          <cell r="K2164" t="str">
            <v>BWLD231334</v>
          </cell>
        </row>
        <row r="2165">
          <cell r="E2165" t="str">
            <v>BARKAGAON, HAZARIBAGH</v>
          </cell>
          <cell r="G2165">
            <v>7070010949</v>
          </cell>
          <cell r="K2165" t="str">
            <v>BWLD231345</v>
          </cell>
        </row>
        <row r="2166">
          <cell r="E2166" t="str">
            <v>RAMGRAH</v>
          </cell>
          <cell r="G2166">
            <v>9994068694</v>
          </cell>
          <cell r="K2166" t="str">
            <v>BXLD231897</v>
          </cell>
        </row>
        <row r="2167">
          <cell r="E2167" t="str">
            <v>ADITYAPUR KANDRA ROAD
831013</v>
          </cell>
          <cell r="G2167">
            <v>9204058991</v>
          </cell>
          <cell r="K2167" t="str">
            <v>BRDC373261</v>
          </cell>
        </row>
        <row r="2168">
          <cell r="E2168" t="str">
            <v>GETALATU, RANCHI</v>
          </cell>
          <cell r="G2168">
            <v>8877664494</v>
          </cell>
          <cell r="K2168" t="str">
            <v>BUFC372853</v>
          </cell>
        </row>
        <row r="2169">
          <cell r="E2169" t="str">
            <v>NAGRI,RANCHI
835202
RANCHI</v>
          </cell>
          <cell r="G2169">
            <v>8877024924</v>
          </cell>
          <cell r="K2169" t="str">
            <v>BMJS040004</v>
          </cell>
        </row>
        <row r="2170">
          <cell r="E2170" t="str">
            <v>PHUSHRO</v>
          </cell>
          <cell r="G2170">
            <v>7979946647</v>
          </cell>
          <cell r="K2170" t="str">
            <v>BVKD163026</v>
          </cell>
        </row>
        <row r="2171">
          <cell r="E2171" t="str">
            <v>GETLATU</v>
          </cell>
          <cell r="G2171">
            <v>9523535955</v>
          </cell>
          <cell r="K2171" t="str">
            <v>BXJF111817</v>
          </cell>
        </row>
        <row r="2172">
          <cell r="E2172" t="str">
            <v>KEREDARI</v>
          </cell>
          <cell r="G2172">
            <v>6202856098</v>
          </cell>
          <cell r="K2172" t="str">
            <v>BVHD163388</v>
          </cell>
        </row>
        <row r="2173">
          <cell r="E2173" t="str">
            <v>DUMRI, DHANBAD</v>
          </cell>
          <cell r="G2173">
            <v>6204545670</v>
          </cell>
          <cell r="K2173" t="str">
            <v>BVHD163374</v>
          </cell>
        </row>
        <row r="2174">
          <cell r="E2174" t="str">
            <v>BOKARO,JHARKHAND
827004</v>
          </cell>
          <cell r="G2174">
            <v>9363636102</v>
          </cell>
          <cell r="K2174" t="str">
            <v>BRGC373881</v>
          </cell>
        </row>
        <row r="2175">
          <cell r="E2175" t="str">
            <v>KATRAS, DHANBAD</v>
          </cell>
          <cell r="G2175">
            <v>9798360305</v>
          </cell>
          <cell r="K2175" t="str">
            <v>BXAD231954</v>
          </cell>
        </row>
        <row r="2176">
          <cell r="E2176" t="str">
            <v>SUNDER NAGAR, JAMSHEDPUR</v>
          </cell>
          <cell r="G2176">
            <v>9556546094</v>
          </cell>
          <cell r="K2176" t="str">
            <v>BVED163231</v>
          </cell>
        </row>
        <row r="2177">
          <cell r="E2177" t="str">
            <v>RING ROAD, RANCHI</v>
          </cell>
          <cell r="G2177">
            <v>8862826990</v>
          </cell>
          <cell r="K2177" t="str">
            <v>BULC371019</v>
          </cell>
        </row>
        <row r="2178">
          <cell r="E2178" t="str">
            <v>MURHU
C/O ASHISH SABOO, MURHU, DIST- KHUNTI
835216</v>
          </cell>
          <cell r="G2178">
            <v>8862826990</v>
          </cell>
          <cell r="K2178" t="str">
            <v>BTLC377591</v>
          </cell>
        </row>
        <row r="2179">
          <cell r="E2179" t="str">
            <v>RAHELA, DALTAINGANJ</v>
          </cell>
          <cell r="G2179">
            <v>8789075522</v>
          </cell>
          <cell r="K2179" t="str">
            <v>BUGS035879</v>
          </cell>
        </row>
        <row r="2180">
          <cell r="E2180" t="str">
            <v>RANCHI</v>
          </cell>
          <cell r="G2180">
            <v>9973686006</v>
          </cell>
          <cell r="K2180" t="str">
            <v>BLIS031950</v>
          </cell>
        </row>
        <row r="2181">
          <cell r="E2181" t="str">
            <v>BARKAGAON, HAZARIBAGH</v>
          </cell>
          <cell r="G2181">
            <v>8919645238</v>
          </cell>
          <cell r="K2181" t="str">
            <v>BXJD231749</v>
          </cell>
        </row>
        <row r="2182">
          <cell r="E2182" t="str">
            <v>BARKAGAON, HAZARIBAGH</v>
          </cell>
          <cell r="G2182">
            <v>8919645238</v>
          </cell>
          <cell r="K2182" t="str">
            <v>BXJD231726</v>
          </cell>
        </row>
        <row r="2183">
          <cell r="E2183" t="str">
            <v>CHIRKUNDA, DHANBAD</v>
          </cell>
          <cell r="G2183">
            <v>8101005542</v>
          </cell>
          <cell r="K2183" t="str">
            <v>BWHC371250</v>
          </cell>
        </row>
        <row r="2184">
          <cell r="E2184" t="str">
            <v>KHATHITAND, RANCHI</v>
          </cell>
          <cell r="G2184">
            <v>9934610433</v>
          </cell>
          <cell r="K2184" t="str">
            <v>BXJC371965</v>
          </cell>
        </row>
        <row r="2185">
          <cell r="E2185" t="str">
            <v>KOKAR, RANCHI</v>
          </cell>
          <cell r="G2185">
            <v>9431115673</v>
          </cell>
          <cell r="K2185" t="str">
            <v>BWIC371555</v>
          </cell>
        </row>
        <row r="2186">
          <cell r="E2186" t="str">
            <v>MARRAR, RAMGRAH</v>
          </cell>
          <cell r="G2186">
            <v>9461429296</v>
          </cell>
          <cell r="K2186" t="str">
            <v>BXJC371867</v>
          </cell>
        </row>
        <row r="2187">
          <cell r="E2187" t="str">
            <v>MANJULA ENTERPRISES, KOKAR INDUSTRIAL AREA KOKAR</v>
          </cell>
          <cell r="G2187">
            <v>9835585786</v>
          </cell>
          <cell r="K2187" t="str">
            <v>BUFC372952</v>
          </cell>
        </row>
        <row r="2188">
          <cell r="E2188" t="str">
            <v>BASTAKOLA, DHANBAD</v>
          </cell>
          <cell r="G2188">
            <v>8521311810</v>
          </cell>
          <cell r="K2188" t="str">
            <v>BUKD162535</v>
          </cell>
        </row>
        <row r="2189">
          <cell r="E2189" t="str">
            <v>C/O PRAKASH RAM, PHUSHRO</v>
          </cell>
          <cell r="G2189">
            <v>8789232926</v>
          </cell>
          <cell r="K2189" t="str">
            <v>BWBD163701</v>
          </cell>
        </row>
        <row r="2190">
          <cell r="E2190" t="str">
            <v>BALIDIH INDUSTRIAL AREA
827014</v>
          </cell>
          <cell r="G2190">
            <v>9553775728</v>
          </cell>
          <cell r="K2190" t="str">
            <v>BTDS044304</v>
          </cell>
        </row>
        <row r="2191">
          <cell r="E2191" t="str">
            <v>LOHAR BHARWA, DHANBAD</v>
          </cell>
          <cell r="G2191">
            <v>7004225629</v>
          </cell>
          <cell r="K2191" t="str">
            <v>BWKC378511</v>
          </cell>
        </row>
        <row r="2192">
          <cell r="E2192" t="str">
            <v>BADA TALAB, RANCHI</v>
          </cell>
          <cell r="G2192">
            <v>6207568694</v>
          </cell>
          <cell r="K2192" t="str">
            <v>BVFC377137</v>
          </cell>
        </row>
        <row r="2193">
          <cell r="E2193" t="str">
            <v>BALIDIH INDUSTRIAL AREA, BALIDIH BOKARO</v>
          </cell>
          <cell r="G2193">
            <v>8100184482</v>
          </cell>
          <cell r="K2193">
            <v>164253</v>
          </cell>
        </row>
        <row r="2194">
          <cell r="E2194" t="str">
            <v>KHURPANIA, KHASHMAHAL, PHUSHRO</v>
          </cell>
          <cell r="G2194">
            <v>8797943594</v>
          </cell>
          <cell r="K2194" t="str">
            <v>BTHD162350</v>
          </cell>
        </row>
        <row r="2195">
          <cell r="E2195" t="str">
            <v>RAMGRAH</v>
          </cell>
          <cell r="G2195">
            <v>9994068694</v>
          </cell>
          <cell r="K2195" t="str">
            <v>BXLD231897</v>
          </cell>
        </row>
        <row r="2196">
          <cell r="E2196" t="str">
            <v>KANKE, RANCHI
834002</v>
          </cell>
          <cell r="G2196">
            <v>7979732853</v>
          </cell>
          <cell r="K2196" t="str">
            <v>BSFC376396</v>
          </cell>
        </row>
        <row r="2197">
          <cell r="E2197" t="str">
            <v>11 PINJRAPOLE, HARMU ROAD, RANCHI
11 PINJRAPOLE, HARMU ROAD, RANCHI
834001
MAHILONG, TATISILWAY</v>
          </cell>
          <cell r="G2197">
            <v>6202577125</v>
          </cell>
          <cell r="K2197" t="str">
            <v>BNCC370425</v>
          </cell>
        </row>
        <row r="2198">
          <cell r="E2198" t="str">
            <v>AMLO PHUSHRO</v>
          </cell>
          <cell r="G2198">
            <v>9006617909</v>
          </cell>
          <cell r="K2198" t="str">
            <v>BXKD164191</v>
          </cell>
        </row>
        <row r="2199">
          <cell r="E2199" t="str">
            <v>BHUYANDIH, JAMSHEDPUR</v>
          </cell>
          <cell r="G2199">
            <v>9304170499</v>
          </cell>
          <cell r="K2199" t="str">
            <v>BMFC370445</v>
          </cell>
        </row>
        <row r="2200">
          <cell r="E2200" t="str">
            <v>BANDHTOLI, NAGRI</v>
          </cell>
          <cell r="G2200">
            <v>6201457979</v>
          </cell>
          <cell r="K2200" t="str">
            <v>BUFS046813</v>
          </cell>
        </row>
        <row r="2201">
          <cell r="E2201" t="str">
            <v>GIRIDIH</v>
          </cell>
          <cell r="G2201">
            <v>9434149798</v>
          </cell>
          <cell r="K2201" t="str">
            <v>BXAC372945</v>
          </cell>
        </row>
        <row r="2202">
          <cell r="E2202" t="str">
            <v>DALADALI, RANCHI</v>
          </cell>
          <cell r="G2202">
            <v>7764806030</v>
          </cell>
          <cell r="K2202" t="str">
            <v>BWID164054</v>
          </cell>
        </row>
        <row r="2203">
          <cell r="E2203" t="str">
            <v>PIPARWAR</v>
          </cell>
          <cell r="G2203">
            <v>9234615009</v>
          </cell>
          <cell r="K2203" t="str">
            <v>BXJD231746</v>
          </cell>
        </row>
        <row r="2204">
          <cell r="E2204" t="str">
            <v>HOSHIR GIDDI,RAMGARH
NEAR P.N. BANK MAIN ROAD, RAMGARH CANTT. 829122
829110</v>
          </cell>
          <cell r="G2204">
            <v>9835381268</v>
          </cell>
          <cell r="K2204" t="str">
            <v>BRHS035368</v>
          </cell>
        </row>
        <row r="2205">
          <cell r="E2205" t="str">
            <v>TAPIN PROJECT, TAPIN</v>
          </cell>
          <cell r="G2205">
            <v>7061781990</v>
          </cell>
          <cell r="K2205" t="str">
            <v>BUID162953</v>
          </cell>
        </row>
        <row r="2206">
          <cell r="E2206" t="str">
            <v>BALIDIH INDUSTRIAL AREA, BOKARO
BYE PASS ROAD, CHAS, BOKARO, JHARKHAND.
827014</v>
          </cell>
          <cell r="G2206">
            <v>7250770025</v>
          </cell>
          <cell r="K2206" t="str">
            <v>BRCC373034</v>
          </cell>
        </row>
        <row r="2207">
          <cell r="E2207" t="str">
            <v>RAMGARH SPONGE IRON PVT LTD VILLAGE:HOSHIR GIDDI-POHAZARIBAGH(DT)JHARKHAND IND
829110</v>
          </cell>
          <cell r="G2207">
            <v>9835381268</v>
          </cell>
          <cell r="K2207" t="str">
            <v>BKCS040470</v>
          </cell>
        </row>
        <row r="2208">
          <cell r="E2208" t="str">
            <v>HOSHIR GIDDI,RAMGARH
NEAR P.N. BANK MAIN ROAD, RAMGARH CANTT. 829122
829110</v>
          </cell>
          <cell r="G2208">
            <v>9835381268</v>
          </cell>
          <cell r="K2208" t="str">
            <v>GPJS030042</v>
          </cell>
        </row>
        <row r="2209">
          <cell r="E2209" t="str">
            <v>KULI, RAMGRAH</v>
          </cell>
          <cell r="G2209">
            <v>9691773091</v>
          </cell>
          <cell r="K2209" t="str">
            <v>BVGD163297</v>
          </cell>
        </row>
        <row r="2210">
          <cell r="E2210" t="str">
            <v>AMRAPALI, TANDWA</v>
          </cell>
          <cell r="G2210">
            <v>8555913918</v>
          </cell>
          <cell r="K2210" t="str">
            <v>BXLD164272</v>
          </cell>
        </row>
        <row r="2211">
          <cell r="E2211" t="str">
            <v>KATRAS, DHANBAD</v>
          </cell>
          <cell r="G2211">
            <v>9798360305</v>
          </cell>
          <cell r="K2211" t="str">
            <v>BXAD231954</v>
          </cell>
        </row>
        <row r="2212">
          <cell r="E2212" t="str">
            <v>RANCHI</v>
          </cell>
          <cell r="G2212">
            <v>8709503035</v>
          </cell>
          <cell r="K2212" t="str">
            <v>BWHD164039</v>
          </cell>
        </row>
        <row r="2213">
          <cell r="E2213" t="str">
            <v>ADITYAPUR, JAMSHEDPUR</v>
          </cell>
          <cell r="G2213">
            <v>9031661277</v>
          </cell>
          <cell r="K2213" t="str">
            <v>BWFC370683</v>
          </cell>
        </row>
        <row r="2214">
          <cell r="E2214" t="str">
            <v>MANJULA ENTERPRISES, KOKAR INDUSTRIAL AREA KOKAR</v>
          </cell>
          <cell r="G2214">
            <v>9835585786</v>
          </cell>
          <cell r="K2214" t="str">
            <v>BUFC372952</v>
          </cell>
        </row>
        <row r="2215">
          <cell r="E2215" t="str">
            <v>KWJAMA COLLIERY, DHANBAD</v>
          </cell>
          <cell r="G2215">
            <v>9044360313</v>
          </cell>
          <cell r="K2215" t="str">
            <v>BVCD163165</v>
          </cell>
        </row>
        <row r="2216">
          <cell r="E2216" t="str">
            <v>TANDWA</v>
          </cell>
          <cell r="G2216">
            <v>7544003790</v>
          </cell>
          <cell r="K2216" t="str">
            <v>BRJL060367</v>
          </cell>
        </row>
        <row r="2217">
          <cell r="E2217" t="str">
            <v>GHATO</v>
          </cell>
          <cell r="G2217">
            <v>7209157661</v>
          </cell>
          <cell r="K2217" t="str">
            <v>BXKD164174</v>
          </cell>
        </row>
        <row r="2218">
          <cell r="E2218" t="str">
            <v>BHULI, DHANBAD</v>
          </cell>
          <cell r="G2218">
            <v>7541046561</v>
          </cell>
          <cell r="K2218" t="str">
            <v>BVFS039912</v>
          </cell>
        </row>
        <row r="2219">
          <cell r="E2219" t="str">
            <v>C/O - NAVEEN KUMAR SINGH, PLOT NO.-538,718, DUNDURIA, GUMLA</v>
          </cell>
          <cell r="G2219">
            <v>8757678474</v>
          </cell>
          <cell r="K2219" t="str">
            <v>BTJD162038</v>
          </cell>
        </row>
        <row r="2220">
          <cell r="E2220" t="str">
            <v>ORMANJHI</v>
          </cell>
          <cell r="G2220">
            <v>6205364351</v>
          </cell>
          <cell r="K2220" t="str">
            <v>BVHD163336</v>
          </cell>
        </row>
        <row r="2221">
          <cell r="E2221" t="str">
            <v>HAZARIBAGH</v>
          </cell>
          <cell r="G2221">
            <v>7634075471</v>
          </cell>
          <cell r="K2221" t="str">
            <v>BUKC370622</v>
          </cell>
        </row>
        <row r="2222">
          <cell r="E2222" t="str">
            <v>DHANBAD</v>
          </cell>
          <cell r="G2222">
            <v>9294578541</v>
          </cell>
          <cell r="K2222" t="str">
            <v>BVGD163308</v>
          </cell>
        </row>
        <row r="2223">
          <cell r="E2223" t="str">
            <v>LODNA NTS</v>
          </cell>
          <cell r="G2223">
            <v>9044360313</v>
          </cell>
          <cell r="K2223" t="str">
            <v>BXKD164206</v>
          </cell>
        </row>
        <row r="2224">
          <cell r="E2224" t="str">
            <v>KWJAMA COLLIERY, DHANBAD</v>
          </cell>
          <cell r="G2224">
            <v>9044360313</v>
          </cell>
          <cell r="K2224" t="str">
            <v>BVCD163165</v>
          </cell>
        </row>
        <row r="2225">
          <cell r="E2225" t="str">
            <v>KUCHU, ORMANJHI</v>
          </cell>
          <cell r="G2225">
            <v>6265816388</v>
          </cell>
          <cell r="K2225" t="str">
            <v>BKAS040272</v>
          </cell>
        </row>
        <row r="2226">
          <cell r="E2226" t="str">
            <v>LODNA</v>
          </cell>
          <cell r="G2226">
            <v>9044360313</v>
          </cell>
          <cell r="K2226" t="str">
            <v>BTCD162149</v>
          </cell>
        </row>
        <row r="2227">
          <cell r="E2227" t="str">
            <v>MANJULA ENTERPRISES, KOKAR INDUSTRIAL AREA KOKAR</v>
          </cell>
          <cell r="G2227">
            <v>9835585786</v>
          </cell>
          <cell r="K2227" t="str">
            <v>BUFC372952</v>
          </cell>
        </row>
        <row r="2228">
          <cell r="E2228" t="str">
            <v>BHUYANDIH, JAMSHEDPUR</v>
          </cell>
          <cell r="G2228">
            <v>9304170499</v>
          </cell>
          <cell r="K2228" t="str">
            <v>BMFC370445</v>
          </cell>
        </row>
        <row r="2229">
          <cell r="E2229" t="str">
            <v>ENA COLLEARY</v>
          </cell>
          <cell r="G2229">
            <v>9570178502</v>
          </cell>
          <cell r="K2229" t="str">
            <v>BXJD164132</v>
          </cell>
        </row>
        <row r="2230">
          <cell r="E2230" t="str">
            <v>KODERMA</v>
          </cell>
          <cell r="G2230">
            <v>8210413459</v>
          </cell>
          <cell r="K2230" t="str">
            <v>BVFS049398</v>
          </cell>
        </row>
        <row r="2231">
          <cell r="E2231" t="str">
            <v>KODERMA</v>
          </cell>
          <cell r="G2231">
            <v>8210413459</v>
          </cell>
          <cell r="K2231" t="str">
            <v>BVFS049426</v>
          </cell>
        </row>
        <row r="2232">
          <cell r="E2232" t="str">
            <v>LODNA MORE</v>
          </cell>
          <cell r="G2232">
            <v>7462923326</v>
          </cell>
          <cell r="K2232" t="str">
            <v>BWKD163543</v>
          </cell>
        </row>
        <row r="2233">
          <cell r="E2233" t="str">
            <v>JAMSHEDPUR</v>
          </cell>
          <cell r="G2233">
            <v>8809697867</v>
          </cell>
          <cell r="K2233" t="str">
            <v>BVJD162957</v>
          </cell>
        </row>
        <row r="2234">
          <cell r="E2234" t="str">
            <v>CHAS BOKARO</v>
          </cell>
          <cell r="G2234">
            <v>6205665396</v>
          </cell>
          <cell r="K2234" t="str">
            <v>BXKD164199</v>
          </cell>
        </row>
        <row r="2235">
          <cell r="E2235" t="str">
            <v>LAXMI NAGAR HEHAL</v>
          </cell>
          <cell r="G2235">
            <v>9835390276</v>
          </cell>
          <cell r="K2235" t="str">
            <v>BVEC376770</v>
          </cell>
        </row>
        <row r="2236">
          <cell r="E2236" t="str">
            <v>DUMKA</v>
          </cell>
          <cell r="G2236">
            <v>7384922663</v>
          </cell>
          <cell r="K2236" t="str">
            <v>BTFC378843</v>
          </cell>
        </row>
        <row r="2237">
          <cell r="E2237" t="str">
            <v>DUMKA</v>
          </cell>
          <cell r="G2237">
            <v>7384922663</v>
          </cell>
          <cell r="K2237" t="str">
            <v>BVHS030405</v>
          </cell>
        </row>
        <row r="2238">
          <cell r="E2238" t="str">
            <v>HATIA PATHAR ZILA SCHOOL ROAD DUMKA JHARKHAND
834002</v>
          </cell>
          <cell r="G2238">
            <v>9304023040</v>
          </cell>
          <cell r="K2238" t="str">
            <v>BTEC378536</v>
          </cell>
        </row>
        <row r="2239">
          <cell r="E2239" t="str">
            <v>RANCHI
834002</v>
          </cell>
          <cell r="G2239">
            <v>9540167108</v>
          </cell>
          <cell r="K2239" t="str">
            <v>BULS033141</v>
          </cell>
        </row>
        <row r="2240">
          <cell r="E2240" t="str">
            <v>RANCHI
834002</v>
          </cell>
          <cell r="G2240">
            <v>9540167108</v>
          </cell>
          <cell r="K2240" t="str">
            <v>BTIS032020</v>
          </cell>
        </row>
        <row r="2241">
          <cell r="E2241" t="str">
            <v>DHANBAD</v>
          </cell>
          <cell r="G2241">
            <v>6204416997</v>
          </cell>
          <cell r="K2241" t="str">
            <v>BVHC377855</v>
          </cell>
        </row>
        <row r="2242">
          <cell r="E2242" t="str">
            <v>PHOOLWARTAND, DHANBAD</v>
          </cell>
          <cell r="G2242">
            <v>8210106692</v>
          </cell>
          <cell r="K2242" t="str">
            <v>BVHD163393</v>
          </cell>
        </row>
        <row r="2243">
          <cell r="E2243" t="str">
            <v>MANDU, RAMGARH
JAISWAL COLONY, THANA CHOW,, RAMGARH CANTT. DIST. RAMGARH, JHARKHAND
825316
MANDU</v>
          </cell>
          <cell r="G2243">
            <v>7979930284</v>
          </cell>
          <cell r="K2243" t="str">
            <v>BTLS039748</v>
          </cell>
        </row>
        <row r="2244">
          <cell r="E2244" t="str">
            <v>KOKAR INDUSTRIAL AREA</v>
          </cell>
          <cell r="G2244">
            <v>8404802069</v>
          </cell>
          <cell r="K2244" t="str">
            <v>BVKC374486</v>
          </cell>
        </row>
        <row r="2245">
          <cell r="E2245" t="str">
            <v>MANJULA ENTERPRISES, KOKAR INDUSTRIAL AREA KOKAR</v>
          </cell>
          <cell r="G2245">
            <v>9155398092</v>
          </cell>
          <cell r="K2245" t="str">
            <v>BUFC372952</v>
          </cell>
        </row>
        <row r="2246">
          <cell r="E2246" t="str">
            <v>TATISILWAI, RANCHI</v>
          </cell>
          <cell r="G2246">
            <v>6201580224</v>
          </cell>
          <cell r="K2246" t="str">
            <v>BWHD163996</v>
          </cell>
        </row>
        <row r="2247">
          <cell r="E2247" t="str">
            <v>MANDU, RAMGARH
JAISWAL COLONY, THANA CHOW,, RAMGARH CANTT. DIST. RAMGARH, JHARKHAND
825316
MANDU</v>
          </cell>
          <cell r="G2247">
            <v>8797891051</v>
          </cell>
          <cell r="K2247" t="str">
            <v>BWCS032691</v>
          </cell>
        </row>
        <row r="2248">
          <cell r="E2248" t="str">
            <v>AMLO PHUSHRO</v>
          </cell>
          <cell r="G2248">
            <v>9006617909</v>
          </cell>
          <cell r="K2248" t="str">
            <v>BXKD164191</v>
          </cell>
        </row>
        <row r="2249">
          <cell r="E2249" t="str">
            <v>NAGARI,</v>
          </cell>
          <cell r="G2249">
            <v>7903706711</v>
          </cell>
          <cell r="K2249" t="str">
            <v>BILS030211</v>
          </cell>
        </row>
        <row r="2250">
          <cell r="E2250" t="str">
            <v>KODERMA</v>
          </cell>
          <cell r="G2250">
            <v>8210413459</v>
          </cell>
          <cell r="K2250" t="str">
            <v>BVFS049398</v>
          </cell>
        </row>
        <row r="2251">
          <cell r="E2251" t="str">
            <v>KODERMA</v>
          </cell>
          <cell r="G2251">
            <v>8210413459</v>
          </cell>
          <cell r="K2251" t="str">
            <v>BVFS049421</v>
          </cell>
        </row>
        <row r="2252">
          <cell r="E2252" t="str">
            <v>KODERMA</v>
          </cell>
          <cell r="G2252">
            <v>8210413459</v>
          </cell>
          <cell r="K2252" t="str">
            <v>BVFS049426</v>
          </cell>
        </row>
        <row r="2253">
          <cell r="E2253" t="str">
            <v>SHADEV NAGAR
834002
SHADEV NAGAR</v>
          </cell>
          <cell r="G2253">
            <v>9431395214</v>
          </cell>
          <cell r="K2253" t="str">
            <v>GOHC370857</v>
          </cell>
        </row>
        <row r="2254">
          <cell r="E2254" t="str">
            <v>PITHORIA</v>
          </cell>
          <cell r="G2254">
            <v>7050471419</v>
          </cell>
          <cell r="K2254" t="str">
            <v>BWED163893</v>
          </cell>
        </row>
        <row r="2255">
          <cell r="E2255" t="str">
            <v>CHUTIA, RANCHI</v>
          </cell>
          <cell r="G2255">
            <v>9060975013</v>
          </cell>
          <cell r="K2255" t="str">
            <v>BUFD162814</v>
          </cell>
        </row>
        <row r="2256">
          <cell r="E2256" t="str">
            <v>DHANBAD</v>
          </cell>
          <cell r="G2256">
            <v>9835312777</v>
          </cell>
          <cell r="K2256" t="str">
            <v>BVGD163308</v>
          </cell>
        </row>
        <row r="2257">
          <cell r="E2257" t="str">
            <v>UNIT OF HERITAGE LANDMARKS AUTOWORLD PVT. LTD., NEAR KAMRE AASHRAM, P.O. KAMRE, RATU ROAD, RANCHI
835214</v>
          </cell>
          <cell r="G2257">
            <v>9065521306</v>
          </cell>
          <cell r="K2257" t="str">
            <v>BTJC377158</v>
          </cell>
        </row>
        <row r="2258">
          <cell r="E2258" t="str">
            <v>TIPUDANA, RANCHI</v>
          </cell>
          <cell r="G2258">
            <v>9431708248</v>
          </cell>
          <cell r="K2258" t="str">
            <v>BUGC373215</v>
          </cell>
        </row>
        <row r="2259">
          <cell r="E2259" t="str">
            <v>ANGARA, TATISILWAI</v>
          </cell>
          <cell r="G2259">
            <v>9162768423</v>
          </cell>
          <cell r="K2259" t="str">
            <v>BVGF111611</v>
          </cell>
        </row>
        <row r="2260">
          <cell r="E2260" t="str">
            <v>ANGARA, TATISILWAI</v>
          </cell>
          <cell r="G2260">
            <v>9162768423</v>
          </cell>
          <cell r="K2260" t="str">
            <v>BVGF111615</v>
          </cell>
        </row>
        <row r="2261">
          <cell r="E2261" t="str">
            <v>ITKI MORE, RANCHI</v>
          </cell>
          <cell r="G2261">
            <v>7909069824</v>
          </cell>
          <cell r="K2261" t="str">
            <v>BWFC370723</v>
          </cell>
        </row>
        <row r="2262">
          <cell r="E2262" t="str">
            <v>CHATRA</v>
          </cell>
          <cell r="G2262">
            <v>8102075973</v>
          </cell>
          <cell r="K2262" t="str">
            <v>BWGD163984</v>
          </cell>
        </row>
        <row r="2263">
          <cell r="E2263" t="str">
            <v>KODERMA</v>
          </cell>
          <cell r="G2263">
            <v>8210413459</v>
          </cell>
          <cell r="K2263" t="str">
            <v>BVFS049407</v>
          </cell>
        </row>
        <row r="2264">
          <cell r="E2264" t="str">
            <v>DALADALI, RANCHI</v>
          </cell>
          <cell r="G2264">
            <v>7762866602</v>
          </cell>
          <cell r="K2264" t="str">
            <v>BVKD163010</v>
          </cell>
        </row>
        <row r="2265">
          <cell r="E2265" t="str">
            <v>TUPUDANA INDUSTRIAL AREA</v>
          </cell>
          <cell r="G2265">
            <v>9534249500</v>
          </cell>
          <cell r="K2265" t="str">
            <v>BMBS030816</v>
          </cell>
        </row>
        <row r="2266">
          <cell r="E2266" t="str">
            <v>GROUND FLOOR, 8H AND 81, NATION PRINTERS, NAMKUM INDUSTRIAL AREA,, LOWADIH, RANCHI
GROUND FLOOR, 8H AND 81, NATION PRINTERS, NAMKUM INDUSTRIAL AREA,, LOWADIH, RANCHI
834010</v>
          </cell>
          <cell r="G2266">
            <v>9709225271</v>
          </cell>
          <cell r="K2266" t="str">
            <v>BRFC373676</v>
          </cell>
        </row>
        <row r="2267">
          <cell r="E2267" t="str">
            <v>DALADALI, RANCHI</v>
          </cell>
          <cell r="G2267">
            <v>9835538524</v>
          </cell>
          <cell r="K2267" t="str">
            <v>BWFD163940</v>
          </cell>
        </row>
        <row r="2268">
          <cell r="E2268" t="str">
            <v>TIPUDANA INDUSTRIAL AREA, HATIA,</v>
          </cell>
          <cell r="G2268">
            <v>9534249500</v>
          </cell>
          <cell r="K2268" t="str">
            <v>BJGS031396</v>
          </cell>
        </row>
        <row r="2269">
          <cell r="E2269" t="str">
            <v>SHADEV NAGAR
834002
SHADEV NAGAR</v>
          </cell>
          <cell r="G2269">
            <v>9431395214</v>
          </cell>
          <cell r="K2269" t="str">
            <v>GOHC370857</v>
          </cell>
        </row>
        <row r="2270">
          <cell r="E2270" t="str">
            <v>ASHOK NAGAR, RANCHI</v>
          </cell>
          <cell r="G2270">
            <v>8005942996</v>
          </cell>
          <cell r="K2270" t="str">
            <v>BPLD200068</v>
          </cell>
        </row>
        <row r="2271">
          <cell r="E2271" t="str">
            <v>BARWADIH, LATEHAR</v>
          </cell>
          <cell r="G2271">
            <v>7905392463</v>
          </cell>
          <cell r="K2271" t="str">
            <v>EUES046621</v>
          </cell>
        </row>
        <row r="2272">
          <cell r="E2272" t="str">
            <v>RANCHI PATNA ROAD
DEMOTAND
825301
HAZARIBAGH</v>
          </cell>
          <cell r="G2272">
            <v>7905424302</v>
          </cell>
          <cell r="K2272" t="str">
            <v>BMBL160078</v>
          </cell>
        </row>
        <row r="2273">
          <cell r="E2273" t="str">
            <v>KOKAR INDUSTRIAL AREA</v>
          </cell>
          <cell r="G2273">
            <v>8404802069</v>
          </cell>
          <cell r="K2273" t="str">
            <v>BVKC374486</v>
          </cell>
        </row>
        <row r="2274">
          <cell r="E2274" t="str">
            <v>LODNA MORE</v>
          </cell>
          <cell r="G2274">
            <v>9905338679</v>
          </cell>
          <cell r="K2274" t="str">
            <v>BVFD163261</v>
          </cell>
        </row>
        <row r="2275">
          <cell r="E2275" t="str">
            <v>KULI, RAMGRAH</v>
          </cell>
          <cell r="G2275">
            <v>9691773091</v>
          </cell>
          <cell r="K2275" t="str">
            <v>BWAD163680</v>
          </cell>
        </row>
        <row r="2276">
          <cell r="E2276" t="str">
            <v>JHUMRI TILAIYA</v>
          </cell>
          <cell r="G2276">
            <v>7061052272</v>
          </cell>
          <cell r="K2276" t="str">
            <v>GPLS030458</v>
          </cell>
        </row>
        <row r="2277">
          <cell r="E2277" t="str">
            <v>ARGADA ROAD, BINJHAR, P.O. - MARAR, RAMGARH
829117</v>
          </cell>
          <cell r="G2277">
            <v>7004687780</v>
          </cell>
          <cell r="K2277" t="str">
            <v>BSCS037449</v>
          </cell>
        </row>
        <row r="2278">
          <cell r="E2278" t="str">
            <v>KOKAR,INDUSTRIAL AREA,RANCHI
834002
RANCHI</v>
          </cell>
          <cell r="G2278">
            <v>7781017197</v>
          </cell>
          <cell r="K2278" t="str">
            <v>BMKC370048</v>
          </cell>
        </row>
        <row r="2279">
          <cell r="E2279" t="str">
            <v>BALIDIH INDUSTRIAL AREA
827014</v>
          </cell>
          <cell r="G2279">
            <v>9006647345</v>
          </cell>
          <cell r="K2279" t="str">
            <v>BTDS044313</v>
          </cell>
        </row>
        <row r="2280">
          <cell r="E2280" t="str">
            <v>PHUSHRO</v>
          </cell>
          <cell r="G2280">
            <v>7091340232</v>
          </cell>
          <cell r="K2280" t="str">
            <v>BWAD163687</v>
          </cell>
        </row>
        <row r="2281">
          <cell r="E2281" t="str">
            <v>HAZARIBAGH</v>
          </cell>
          <cell r="G2281">
            <v>9939701451</v>
          </cell>
          <cell r="K2281" t="str">
            <v>BVIS040049</v>
          </cell>
        </row>
        <row r="2282">
          <cell r="E2282" t="str">
            <v>DEOGRAH</v>
          </cell>
          <cell r="G2282">
            <v>8969595423</v>
          </cell>
          <cell r="K2282" t="str">
            <v>BXKD164166</v>
          </cell>
        </row>
        <row r="2283">
          <cell r="E2283" t="str">
            <v>PHUSHRO</v>
          </cell>
          <cell r="G2283">
            <v>7979946647</v>
          </cell>
          <cell r="K2283" t="str">
            <v>BWHD231642</v>
          </cell>
        </row>
        <row r="2284">
          <cell r="E2284" t="str">
            <v>C/O PRAKASH RAM, PHUSHRO</v>
          </cell>
          <cell r="G2284">
            <v>9279082342</v>
          </cell>
          <cell r="K2284" t="str">
            <v>BWBD163701</v>
          </cell>
        </row>
        <row r="2285">
          <cell r="E2285" t="str">
            <v>DALTAINGANJ</v>
          </cell>
          <cell r="G2285">
            <v>9431138290</v>
          </cell>
          <cell r="K2285" t="str">
            <v>BWHS034307</v>
          </cell>
        </row>
        <row r="2286">
          <cell r="E2286" t="str">
            <v>KULI, RAMGRAH</v>
          </cell>
          <cell r="G2286">
            <v>9691773091</v>
          </cell>
          <cell r="K2286" t="str">
            <v>BVGD163297</v>
          </cell>
        </row>
        <row r="2287">
          <cell r="E2287" t="str">
            <v>BALIDIH INDUSTRIAL AREA, BALIDIH BOKARO</v>
          </cell>
          <cell r="G2287">
            <v>8100184482</v>
          </cell>
          <cell r="K2287">
            <v>164253</v>
          </cell>
        </row>
        <row r="2288">
          <cell r="E2288" t="str">
            <v>MUNGMA</v>
          </cell>
          <cell r="G2288">
            <v>8517025849</v>
          </cell>
          <cell r="K2288" t="str">
            <v>GNGS030424</v>
          </cell>
        </row>
        <row r="2289">
          <cell r="E2289" t="str">
            <v>JAMSHEDPUR</v>
          </cell>
          <cell r="G2289">
            <v>6206522169</v>
          </cell>
          <cell r="K2289" t="str">
            <v>BPGC370231</v>
          </cell>
        </row>
        <row r="2290">
          <cell r="E2290" t="str">
            <v>ASHOK NAGAR, RANCHI</v>
          </cell>
          <cell r="G2290">
            <v>9304011261</v>
          </cell>
          <cell r="K2290" t="str">
            <v>BPLD200068</v>
          </cell>
        </row>
        <row r="2291">
          <cell r="E2291" t="str">
            <v>LODNA NTS</v>
          </cell>
          <cell r="G2291">
            <v>7644045555</v>
          </cell>
          <cell r="K2291" t="str">
            <v>BXKD164206</v>
          </cell>
        </row>
        <row r="2292">
          <cell r="E2292" t="str">
            <v>KOKAR,INDUSTRIAL AREA,RANCHI
834002
RANCHI</v>
          </cell>
          <cell r="G2292">
            <v>7781017197</v>
          </cell>
          <cell r="K2292" t="str">
            <v>BMKC370048</v>
          </cell>
        </row>
        <row r="2293">
          <cell r="E2293" t="str">
            <v>BHORA</v>
          </cell>
          <cell r="G2293">
            <v>9550035031</v>
          </cell>
          <cell r="K2293" t="str">
            <v>BVHD163331</v>
          </cell>
        </row>
        <row r="2294">
          <cell r="E2294" t="str">
            <v>TATISILWAI, JHARKHAND
835103</v>
          </cell>
          <cell r="G2294">
            <v>6200160428</v>
          </cell>
          <cell r="K2294" t="str">
            <v>BQHS040705</v>
          </cell>
        </row>
        <row r="2295">
          <cell r="E2295" t="str">
            <v>BHULI, DHANBAD</v>
          </cell>
          <cell r="G2295">
            <v>7541046561</v>
          </cell>
          <cell r="K2295" t="str">
            <v>BWEC370394</v>
          </cell>
        </row>
        <row r="2296">
          <cell r="E2296" t="str">
            <v>SIDRAUL, NAMKUM, RANCHI
834010
SIDRAUL, NAMKUM, RANCHI</v>
          </cell>
          <cell r="G2296">
            <v>9993423669</v>
          </cell>
          <cell r="K2296" t="str">
            <v>UOHS030121</v>
          </cell>
        </row>
        <row r="2297">
          <cell r="E2297" t="str">
            <v>CHAS BOKARO</v>
          </cell>
          <cell r="G2297">
            <v>9939349091</v>
          </cell>
          <cell r="K2297" t="str">
            <v>BXKD164199</v>
          </cell>
        </row>
        <row r="2298">
          <cell r="E2298" t="str">
            <v>AMLO PHUSHRO</v>
          </cell>
          <cell r="G2298">
            <v>9006617909</v>
          </cell>
          <cell r="K2298" t="str">
            <v>BXKD164191</v>
          </cell>
        </row>
        <row r="2299">
          <cell r="E2299" t="str">
            <v>PAKURIA</v>
          </cell>
          <cell r="G2299">
            <v>9631517109</v>
          </cell>
          <cell r="K2299" t="str">
            <v>BKID210531</v>
          </cell>
        </row>
        <row r="2300">
          <cell r="E2300" t="str">
            <v>GAYA BIHAR</v>
          </cell>
          <cell r="G2300">
            <v>8340735591</v>
          </cell>
          <cell r="K2300" t="str">
            <v>BSAD161563</v>
          </cell>
        </row>
        <row r="2301">
          <cell r="E2301" t="str">
            <v>GOVINDPUR DHANBAD</v>
          </cell>
          <cell r="G2301">
            <v>9110154620</v>
          </cell>
          <cell r="K2301" t="str">
            <v>BRBS041574</v>
          </cell>
        </row>
        <row r="2302">
          <cell r="E2302" t="str">
            <v>LODNA MORE</v>
          </cell>
          <cell r="G2302">
            <v>9550053031</v>
          </cell>
          <cell r="K2302" t="str">
            <v>BVFD163261</v>
          </cell>
        </row>
        <row r="2303">
          <cell r="E2303" t="str">
            <v>PHUSHRO</v>
          </cell>
          <cell r="G2303">
            <v>7979946647</v>
          </cell>
          <cell r="K2303" t="str">
            <v>BVED163244</v>
          </cell>
        </row>
        <row r="2304">
          <cell r="E2304" t="str">
            <v>HAZARIBAGH</v>
          </cell>
          <cell r="G2304">
            <v>7255084681</v>
          </cell>
          <cell r="K2304" t="str">
            <v>BWLS031775</v>
          </cell>
        </row>
        <row r="2305">
          <cell r="E2305" t="str">
            <v>LODNA MORE</v>
          </cell>
          <cell r="G2305">
            <v>9550053031</v>
          </cell>
          <cell r="K2305" t="str">
            <v>BVFD163261</v>
          </cell>
        </row>
        <row r="2306">
          <cell r="E2306" t="str">
            <v>DALADALI, RANCHI</v>
          </cell>
          <cell r="G2306">
            <v>8051191796</v>
          </cell>
          <cell r="K2306" t="str">
            <v>BWED163889</v>
          </cell>
        </row>
        <row r="2307">
          <cell r="E2307" t="str">
            <v>MANDU, RAMGRAH</v>
          </cell>
          <cell r="G2307">
            <v>7908864486</v>
          </cell>
          <cell r="K2307" t="str">
            <v>BWKS040437</v>
          </cell>
        </row>
        <row r="2308">
          <cell r="E2308" t="str">
            <v>MARRAR, RAMGRAH</v>
          </cell>
          <cell r="G2308">
            <v>9461429296</v>
          </cell>
          <cell r="K2308" t="str">
            <v>BXJC371867</v>
          </cell>
        </row>
        <row r="2309">
          <cell r="E2309" t="str">
            <v>TUPUDANA INDUSTRIAL AREA</v>
          </cell>
          <cell r="G2309">
            <v>9534249500</v>
          </cell>
          <cell r="K2309" t="str">
            <v>BMBS030816</v>
          </cell>
        </row>
        <row r="2310">
          <cell r="E2310" t="str">
            <v>TETULMARI, DHANBAD</v>
          </cell>
          <cell r="G2310">
            <v>6203015137</v>
          </cell>
          <cell r="K2310" t="str">
            <v>BWID164086</v>
          </cell>
        </row>
        <row r="2311">
          <cell r="E2311" t="str">
            <v>TIPUDANA INDUSTRIAL AREA, HATIA,</v>
          </cell>
          <cell r="G2311">
            <v>9534249500</v>
          </cell>
          <cell r="K2311" t="str">
            <v>BJGS031396</v>
          </cell>
        </row>
        <row r="2312">
          <cell r="E2312" t="str">
            <v>BARAUNI</v>
          </cell>
          <cell r="G2312">
            <v>9386279110</v>
          </cell>
          <cell r="K2312" t="str">
            <v>BWHD121813</v>
          </cell>
        </row>
        <row r="2313">
          <cell r="E2313" t="str">
            <v>RANCHI</v>
          </cell>
          <cell r="G2313">
            <v>8709503035</v>
          </cell>
          <cell r="K2313" t="str">
            <v>BWHD164039</v>
          </cell>
        </row>
        <row r="2314">
          <cell r="E2314" t="str">
            <v>GOPALI CHOWK, DHANBAD</v>
          </cell>
          <cell r="G2314">
            <v>7004686026</v>
          </cell>
          <cell r="K2314" t="str">
            <v>BWLD163586</v>
          </cell>
        </row>
        <row r="2315">
          <cell r="E2315" t="str">
            <v>TUPUDANA INDUSTRIAL AREA, RANCHI
PLOT NO. - 45 &amp; 46, TUPUDAN AINDUSTRIAL AREA, TUPUDANA, HATIA, RANCHI
834003
TIPUDANA INDUSTRIAL AREA</v>
          </cell>
          <cell r="G2315">
            <v>7717734248</v>
          </cell>
          <cell r="K2315" t="str">
            <v>BQBS033819</v>
          </cell>
        </row>
        <row r="2316">
          <cell r="E2316" t="str">
            <v>RANIGANJ, WB</v>
          </cell>
          <cell r="G2316">
            <v>9263996999</v>
          </cell>
          <cell r="K2316" t="str">
            <v>BWED163890</v>
          </cell>
        </row>
        <row r="2317">
          <cell r="E2317" t="str">
            <v>RANIGANJ, WB</v>
          </cell>
          <cell r="G2317">
            <v>9263996999</v>
          </cell>
          <cell r="K2317" t="str">
            <v>BWED163861</v>
          </cell>
        </row>
        <row r="2318">
          <cell r="E2318" t="str">
            <v>KOKAR INDUSTRIAL AREA,RANCHI
834001</v>
          </cell>
          <cell r="G2318">
            <v>9308408219</v>
          </cell>
          <cell r="K2318" t="str">
            <v>BPIC370386</v>
          </cell>
        </row>
        <row r="2319">
          <cell r="E2319" t="str">
            <v>KOKAR INDUSTRIAL AREA</v>
          </cell>
          <cell r="G2319">
            <v>8404802069</v>
          </cell>
          <cell r="K2319" t="str">
            <v>BVKC374486</v>
          </cell>
        </row>
        <row r="2320">
          <cell r="E2320" t="str">
            <v>NAGARI
 835303</v>
          </cell>
          <cell r="G2320">
            <v>9264443243</v>
          </cell>
          <cell r="K2320" t="str">
            <v>BREC373538</v>
          </cell>
        </row>
        <row r="2321">
          <cell r="E2321" t="str">
            <v>DALADALI, RANCHI</v>
          </cell>
          <cell r="G2321">
            <v>9431139783</v>
          </cell>
          <cell r="K2321" t="str">
            <v>BWID164054</v>
          </cell>
        </row>
        <row r="2322">
          <cell r="E2322" t="str">
            <v>SHEIKHPURA, BIHAR</v>
          </cell>
          <cell r="G2322">
            <v>9523069653</v>
          </cell>
          <cell r="K2322" t="str">
            <v>BULL160559</v>
          </cell>
        </row>
        <row r="2323">
          <cell r="E2323" t="str">
            <v>SHEIKHPURA, BIHAR</v>
          </cell>
          <cell r="G2323">
            <v>9523096957</v>
          </cell>
          <cell r="K2323" t="str">
            <v>BUAL160593</v>
          </cell>
        </row>
        <row r="2324">
          <cell r="E2324" t="str">
            <v>CHAS BOKARO</v>
          </cell>
          <cell r="G2324">
            <v>9430375575</v>
          </cell>
          <cell r="K2324" t="str">
            <v>BWID164096</v>
          </cell>
        </row>
        <row r="2325">
          <cell r="E2325" t="str">
            <v>TRIDENT PNEUMATICS PVT LTD   5/232,KNG PUDUR ROADSOMAYAMPALAYAM POSTCOIMBATORE IND</v>
          </cell>
          <cell r="G2325">
            <v>7079053079</v>
          </cell>
          <cell r="K2325" t="str">
            <v>BRCC373040</v>
          </cell>
        </row>
        <row r="2326">
          <cell r="E2326" t="str">
            <v>CHANDWAY CHOWK,RANCHI
834006</v>
          </cell>
          <cell r="G2326">
            <v>7549100809</v>
          </cell>
          <cell r="K2326" t="str">
            <v>BRAC372352</v>
          </cell>
        </row>
        <row r="2327">
          <cell r="E2327" t="str">
            <v>RANCHI</v>
          </cell>
          <cell r="G2327">
            <v>7461022572</v>
          </cell>
          <cell r="K2327" t="str">
            <v>BWLS031913</v>
          </cell>
        </row>
        <row r="2328">
          <cell r="E2328" t="str">
            <v>TUPUDANA INDUSTRIAL AREA, RANCHI
PLOT NO. - 45 &amp; 46, TUPUDAN AINDUSTRIAL AREA, TUPUDANA, HATIA, RANCHI
834003
TIPUDANA INDUSTRIAL AREA</v>
          </cell>
          <cell r="G2328">
            <v>7717734248</v>
          </cell>
          <cell r="K2328" t="str">
            <v>BVDS039458</v>
          </cell>
        </row>
        <row r="2329">
          <cell r="E2329" t="str">
            <v>PLOT NO. 79, KAPASARA,, SUNDERNAGAR, CHIRKUNDA,, DHANBAD - 828 202
PLOT NO. 79, KAPASARA,, SUNDERNAGAR, CHIRKUNDA,, DHANBAD - 828 202
828202</v>
          </cell>
          <cell r="G2329">
            <v>8101005542</v>
          </cell>
          <cell r="K2329" t="str">
            <v>BTFS031006</v>
          </cell>
        </row>
        <row r="2330">
          <cell r="E2330" t="str">
            <v>DEOGHAR</v>
          </cell>
          <cell r="G2330">
            <v>7261002856</v>
          </cell>
          <cell r="K2330" t="str">
            <v>BRED161124</v>
          </cell>
        </row>
        <row r="2331">
          <cell r="E2331" t="str">
            <v>RAMGRAH</v>
          </cell>
          <cell r="G2331">
            <v>9559820432</v>
          </cell>
          <cell r="K2331" t="str">
            <v>BUFS046910</v>
          </cell>
        </row>
        <row r="2332">
          <cell r="E2332" t="str">
            <v>RANCHI,JHARKHAND
834001
RANCHI</v>
          </cell>
          <cell r="G2332">
            <v>9431571200</v>
          </cell>
          <cell r="K2332" t="str">
            <v>BJHS031586</v>
          </cell>
        </row>
        <row r="2333">
          <cell r="E2333" t="str">
            <v>AMLO PHUSHRO</v>
          </cell>
          <cell r="G2333">
            <v>9006617909</v>
          </cell>
          <cell r="K2333" t="str">
            <v>BXKD164191</v>
          </cell>
        </row>
        <row r="2334">
          <cell r="E2334" t="str">
            <v>PAKURIA</v>
          </cell>
          <cell r="G2334">
            <v>9631517109</v>
          </cell>
          <cell r="K2334" t="str">
            <v>BKID210531</v>
          </cell>
        </row>
        <row r="2335">
          <cell r="E2335" t="str">
            <v>AKASHKANARI</v>
          </cell>
          <cell r="G2335">
            <v>9264216358</v>
          </cell>
          <cell r="K2335" t="str">
            <v>BWFD163947</v>
          </cell>
        </row>
        <row r="2336">
          <cell r="E2336" t="str">
            <v>ARARIA, BIHAR</v>
          </cell>
          <cell r="G2336">
            <v>9801421403</v>
          </cell>
          <cell r="K2336" t="str">
            <v>BXAD121939</v>
          </cell>
        </row>
        <row r="2337">
          <cell r="E2337" t="str">
            <v>PHUSHRO</v>
          </cell>
          <cell r="G2337">
            <v>7979946647</v>
          </cell>
          <cell r="K2337" t="str">
            <v>BVED163244</v>
          </cell>
        </row>
        <row r="2338">
          <cell r="E2338" t="str">
            <v>PAKURIA</v>
          </cell>
          <cell r="G2338">
            <v>9631517109</v>
          </cell>
          <cell r="K2338" t="str">
            <v>BKID210531</v>
          </cell>
        </row>
        <row r="2339">
          <cell r="E2339" t="str">
            <v>TUPUDANA</v>
          </cell>
          <cell r="G2339">
            <v>8340549423</v>
          </cell>
          <cell r="K2339" t="str">
            <v>BVLD163043</v>
          </cell>
        </row>
        <row r="2340">
          <cell r="E2340" t="str">
            <v>BARHI INDUSTRIAL ARE BARHI</v>
          </cell>
          <cell r="G2340">
            <v>8795889641</v>
          </cell>
          <cell r="K2340" t="str">
            <v>BUES034992</v>
          </cell>
        </row>
        <row r="2341">
          <cell r="E2341" t="str">
            <v>AURANGABAD, BIHAR</v>
          </cell>
          <cell r="G2341">
            <v>9771012500</v>
          </cell>
          <cell r="K2341" t="str">
            <v>BWHD163991</v>
          </cell>
        </row>
        <row r="2342">
          <cell r="E2342" t="str">
            <v>ANGARA, TATISILWAI</v>
          </cell>
          <cell r="G2342">
            <v>9162768423</v>
          </cell>
          <cell r="K2342" t="str">
            <v>BVGF111611</v>
          </cell>
        </row>
        <row r="2343">
          <cell r="E2343" t="str">
            <v>DALADALI, RANCHI</v>
          </cell>
          <cell r="G2343">
            <v>9162279072</v>
          </cell>
          <cell r="K2343" t="str">
            <v>BVKD163010</v>
          </cell>
        </row>
        <row r="2344">
          <cell r="E2344" t="str">
            <v>JHALDA</v>
          </cell>
          <cell r="G2344">
            <v>9331665000</v>
          </cell>
          <cell r="K2344" t="str">
            <v>BTIS044954</v>
          </cell>
        </row>
        <row r="2345">
          <cell r="E2345" t="str">
            <v>PHUSHRO</v>
          </cell>
          <cell r="G2345">
            <v>9798585753</v>
          </cell>
          <cell r="K2345" t="str">
            <v>BVKD163026</v>
          </cell>
        </row>
        <row r="2346">
          <cell r="E2346" t="str">
            <v>ARARIA, BIHAR</v>
          </cell>
          <cell r="G2346">
            <v>9101149067</v>
          </cell>
          <cell r="K2346" t="str">
            <v>BXLD121932</v>
          </cell>
        </row>
        <row r="2347">
          <cell r="E2347" t="str">
            <v>RANCHI
834002</v>
          </cell>
          <cell r="G2347">
            <v>8210241710</v>
          </cell>
          <cell r="K2347" t="str">
            <v>BULS033141</v>
          </cell>
        </row>
        <row r="2348">
          <cell r="E2348" t="str">
            <v>RANCHI
834002</v>
          </cell>
          <cell r="G2348">
            <v>8210241710</v>
          </cell>
          <cell r="K2348" t="str">
            <v>BTIS032025</v>
          </cell>
        </row>
        <row r="2349">
          <cell r="E2349" t="str">
            <v>RANCHI
834002</v>
          </cell>
          <cell r="G2349">
            <v>8210241710</v>
          </cell>
          <cell r="K2349" t="str">
            <v>BTIS032020</v>
          </cell>
        </row>
        <row r="2350">
          <cell r="E2350" t="str">
            <v>501, H.NO.3-4-136/B., ROYAL ASHOK, RESIDENCY , BARKATPURA, HYDERABAD, TELANGANA - 500027</v>
          </cell>
          <cell r="G2350">
            <v>7006138621</v>
          </cell>
          <cell r="K2350" t="str">
            <v>BTJD162045</v>
          </cell>
        </row>
        <row r="2351">
          <cell r="E2351" t="str">
            <v>BHULI, DHANBAD</v>
          </cell>
          <cell r="G2351">
            <v>7541046561</v>
          </cell>
          <cell r="K2351" t="str">
            <v>BWEC370394</v>
          </cell>
        </row>
        <row r="2352">
          <cell r="E2352" t="str">
            <v>ANGARA, TATISILWAI</v>
          </cell>
          <cell r="G2352">
            <v>9162768423</v>
          </cell>
          <cell r="K2352" t="str">
            <v>BVGF111615</v>
          </cell>
        </row>
        <row r="2353">
          <cell r="E2353" t="str">
            <v>REHLA, GARHWA ROAD, PALAMU D.T, JHARKHAND
PALAMU JHARKHAND 822124
INDIA</v>
          </cell>
          <cell r="G2353">
            <v>7004971081</v>
          </cell>
          <cell r="K2353" t="str">
            <v>BLFS031469</v>
          </cell>
        </row>
        <row r="2354">
          <cell r="E2354" t="str">
            <v>KEREDARI, HAZARIBAGH</v>
          </cell>
          <cell r="G2354">
            <v>8978792036</v>
          </cell>
          <cell r="K2354" t="str">
            <v>BWID231682</v>
          </cell>
        </row>
        <row r="2355">
          <cell r="E2355" t="str">
            <v>NAGARI
 835303</v>
          </cell>
          <cell r="G2355">
            <v>9264443243</v>
          </cell>
          <cell r="K2355" t="str">
            <v>BREC373538</v>
          </cell>
        </row>
        <row r="2356">
          <cell r="E2356" t="str">
            <v>CHAS, BOKARO
827013</v>
          </cell>
          <cell r="G2356">
            <v>7992434966</v>
          </cell>
          <cell r="K2356" t="str">
            <v>BSEC376103</v>
          </cell>
        </row>
        <row r="2357">
          <cell r="E2357" t="str">
            <v>MAHTO COLONY, TELEDIH, CHAS, BOKARO</v>
          </cell>
          <cell r="G2357">
            <v>7988915501</v>
          </cell>
          <cell r="K2357" t="str">
            <v>BVJC374285</v>
          </cell>
        </row>
        <row r="2358">
          <cell r="E2358" t="str">
            <v>DHANBAD</v>
          </cell>
          <cell r="G2358">
            <v>6207308280</v>
          </cell>
          <cell r="K2358" t="str">
            <v>BTED162231</v>
          </cell>
        </row>
        <row r="2359">
          <cell r="E2359" t="str">
            <v>ANGAR PATRA,DHANBAD</v>
          </cell>
          <cell r="G2359">
            <v>6207308280</v>
          </cell>
          <cell r="K2359" t="str">
            <v>BSGD161898</v>
          </cell>
        </row>
        <row r="2360">
          <cell r="E2360" t="str">
            <v>ANGAR PATRA,DHANBAD</v>
          </cell>
          <cell r="G2360">
            <v>7004686026</v>
          </cell>
          <cell r="K2360" t="str">
            <v>BSGD161898</v>
          </cell>
        </row>
        <row r="2361">
          <cell r="E2361" t="str">
            <v>C/O PRAKASH RAM, PHUSHRO</v>
          </cell>
          <cell r="G2361">
            <v>9279082342</v>
          </cell>
          <cell r="K2361" t="str">
            <v>BWBD163701</v>
          </cell>
        </row>
        <row r="2362">
          <cell r="E2362" t="str">
            <v>SAMFORD HOSPITAL KOKAR</v>
          </cell>
          <cell r="G2362">
            <v>7620900412</v>
          </cell>
          <cell r="K2362" t="str">
            <v>BWGS034071</v>
          </cell>
        </row>
        <row r="2363">
          <cell r="E2363" t="str">
            <v>HAZARIBAGH</v>
          </cell>
          <cell r="G2363">
            <v>8340704919</v>
          </cell>
          <cell r="K2363" t="str">
            <v>BWID164050</v>
          </cell>
        </row>
        <row r="2364">
          <cell r="E2364" t="str">
            <v>GROUND FLOOR, 8H AND 81, NATION PRINTERS, NAMKUM INDUSTRIAL AREA,, LOWADIH, RANCHI
GROUND FLOOR, 8H AND 81, NATION PRINTERS, NAMKUM INDUSTRIAL AREA,, LOWADIH, RANCHI
834010</v>
          </cell>
          <cell r="G2364">
            <v>9386895542</v>
          </cell>
          <cell r="K2364" t="str">
            <v>BRCC372871</v>
          </cell>
        </row>
        <row r="2365">
          <cell r="E2365" t="str">
            <v>MOHAGAMA</v>
          </cell>
          <cell r="G2365">
            <v>9989394461</v>
          </cell>
          <cell r="K2365" t="str">
            <v>BWCD121690</v>
          </cell>
        </row>
        <row r="2366">
          <cell r="E2366" t="str">
            <v>PHASE - IV, PLOT NO. - IV-C/3 P AND IV-C/2 P, BOKARO INDUSTRIAL AREA, BALIDIH, BOKARO
PHASE - IV, PLOT NO. - IV-C/3 P AND IV-C/2 P, BOKARO INDUSTRIAL AREA, BALIDIH, BOKARO
827014</v>
          </cell>
          <cell r="G2366">
            <v>9341099033</v>
          </cell>
          <cell r="K2366" t="str">
            <v>BSDS037649</v>
          </cell>
        </row>
        <row r="2367">
          <cell r="E2367" t="str">
            <v>REHLA,GARWA,JHARKHAND
822124
RANCHI</v>
          </cell>
          <cell r="G2367">
            <v>7004623399</v>
          </cell>
          <cell r="K2367" t="str">
            <v>BMFS031346</v>
          </cell>
        </row>
        <row r="2368">
          <cell r="E2368" t="str">
            <v>PHOOLWARTAND, DHANBAD</v>
          </cell>
          <cell r="G2368">
            <v>8210106692</v>
          </cell>
          <cell r="K2368" t="str">
            <v>BVHD163393</v>
          </cell>
        </row>
        <row r="2369">
          <cell r="E2369" t="str">
            <v>MARRAR</v>
          </cell>
          <cell r="G2369">
            <v>9461229296</v>
          </cell>
          <cell r="K2369" t="str">
            <v>BXJC371867</v>
          </cell>
        </row>
        <row r="2370">
          <cell r="E2370" t="str">
            <v>DURGA STONE, DEOGRAH</v>
          </cell>
          <cell r="G2370">
            <v>9334751136</v>
          </cell>
          <cell r="K2370" t="str">
            <v>BQBD160067</v>
          </cell>
        </row>
        <row r="2371">
          <cell r="E2371" t="str">
            <v>JUMRI TELAIYA</v>
          </cell>
          <cell r="G2371">
            <v>7981797616</v>
          </cell>
          <cell r="K2371" t="str">
            <v>BUKC370499</v>
          </cell>
        </row>
        <row r="2372">
          <cell r="E2372" t="str">
            <v>TILAIYA,KODARMA
825409
TILAIYA</v>
          </cell>
          <cell r="G2372">
            <v>7739220875</v>
          </cell>
          <cell r="K2372" t="str">
            <v>BQJC370018</v>
          </cell>
        </row>
        <row r="2373">
          <cell r="E2373" t="str">
            <v>GAYA BIHAR</v>
          </cell>
          <cell r="G2373">
            <v>8340735591</v>
          </cell>
          <cell r="K2373" t="str">
            <v>BSAD161563</v>
          </cell>
        </row>
        <row r="2374">
          <cell r="E2374" t="str">
            <v>CHATRA</v>
          </cell>
          <cell r="G2374">
            <v>8102075973</v>
          </cell>
          <cell r="K2374" t="str">
            <v>BWGD163984</v>
          </cell>
        </row>
        <row r="2375">
          <cell r="E2375" t="str">
            <v>BAGODAR</v>
          </cell>
          <cell r="G2375">
            <v>9934111977</v>
          </cell>
          <cell r="K2375" t="str">
            <v>BWFD163931</v>
          </cell>
        </row>
        <row r="2376">
          <cell r="E2376" t="str">
            <v>RAMGRAH</v>
          </cell>
          <cell r="G2376">
            <v>8873312030</v>
          </cell>
          <cell r="K2376" t="str">
            <v>BWFC370700</v>
          </cell>
        </row>
        <row r="2377">
          <cell r="E2377" t="str">
            <v>GHATOTAND, RAMGRAH</v>
          </cell>
          <cell r="G2377">
            <v>9204233196</v>
          </cell>
          <cell r="K2377" t="str">
            <v>GOES040388</v>
          </cell>
        </row>
        <row r="2378">
          <cell r="E2378" t="str">
            <v>RAHELA, DALTAINGANJ</v>
          </cell>
          <cell r="G2378">
            <v>7004623399</v>
          </cell>
          <cell r="K2378" t="str">
            <v>BWCS032720</v>
          </cell>
        </row>
        <row r="2379">
          <cell r="E2379" t="str">
            <v>CHAS BOKARO</v>
          </cell>
          <cell r="G2379">
            <v>9430375575</v>
          </cell>
          <cell r="K2379" t="str">
            <v>BWID164096</v>
          </cell>
        </row>
        <row r="2380">
          <cell r="E2380" t="str">
            <v>AURANGABAD</v>
          </cell>
          <cell r="G2380">
            <v>9090169180</v>
          </cell>
          <cell r="K2380" t="str">
            <v>BXLD164263</v>
          </cell>
        </row>
        <row r="2381">
          <cell r="E2381" t="str">
            <v>SUNDI, RAMGARH</v>
          </cell>
          <cell r="G2381">
            <v>8651632050</v>
          </cell>
          <cell r="K2381">
            <v>123054</v>
          </cell>
        </row>
        <row r="2382">
          <cell r="E2382" t="str">
            <v>ANGARA, TATISILWAI</v>
          </cell>
          <cell r="G2382">
            <v>9162768423</v>
          </cell>
          <cell r="K2382" t="str">
            <v>BVGF111615</v>
          </cell>
        </row>
        <row r="2383">
          <cell r="E2383" t="str">
            <v>ANGARA, TATISILWAI</v>
          </cell>
          <cell r="G2383">
            <v>9162768423</v>
          </cell>
          <cell r="K2383" t="str">
            <v>BVGF111611</v>
          </cell>
        </row>
        <row r="2384">
          <cell r="E2384" t="str">
            <v>LOHARDAGA,JHARKHAND
LOHARDAGA, MOB. NO.9661111900
835302
LOHARDAGA</v>
          </cell>
          <cell r="G2384">
            <v>9973880780</v>
          </cell>
          <cell r="K2384" t="str">
            <v>BQFS031084</v>
          </cell>
        </row>
        <row r="2385">
          <cell r="E2385" t="str">
            <v>RANCHI</v>
          </cell>
          <cell r="G2385">
            <v>9973880780</v>
          </cell>
          <cell r="K2385" t="str">
            <v>BKDS031405</v>
          </cell>
        </row>
        <row r="2386">
          <cell r="E2386" t="str">
            <v>ADITYAPUR KANDRA ROAD
831013</v>
          </cell>
          <cell r="G2386">
            <v>9204058991</v>
          </cell>
          <cell r="K2386" t="str">
            <v>BRDC373261</v>
          </cell>
        </row>
        <row r="2387">
          <cell r="E2387" t="str">
            <v>KHAKHSA PAHAR, PAKURIYA, PAKUR</v>
          </cell>
          <cell r="G2387">
            <v>8789667246</v>
          </cell>
          <cell r="K2387" t="str">
            <v>BUGD162826</v>
          </cell>
        </row>
        <row r="2388">
          <cell r="E2388" t="str">
            <v>NAMKUM INDUSTRIAL AREA,RANCHI
RANCHI
834010
INDIA</v>
          </cell>
          <cell r="G2388">
            <v>7070993638</v>
          </cell>
          <cell r="K2388" t="str">
            <v>GOCC370465</v>
          </cell>
        </row>
        <row r="2389">
          <cell r="E2389" t="str">
            <v>NAMKUM INDUSTRIAL AREA,RANCHI
RANCHI
834010
INDIA</v>
          </cell>
          <cell r="G2389">
            <v>7070993638</v>
          </cell>
          <cell r="K2389" t="str">
            <v>GOCC370465</v>
          </cell>
        </row>
        <row r="2390">
          <cell r="E2390" t="str">
            <v>ENA COLLEARY</v>
          </cell>
          <cell r="G2390">
            <v>9570178502</v>
          </cell>
          <cell r="K2390" t="str">
            <v>BXJD164132</v>
          </cell>
        </row>
        <row r="2391">
          <cell r="E2391" t="str">
            <v>TUPUDANA, RANCHI</v>
          </cell>
          <cell r="G2391">
            <v>8969978501</v>
          </cell>
          <cell r="K2391" t="str">
            <v>BVAD121386</v>
          </cell>
        </row>
        <row r="2392">
          <cell r="E2392" t="str">
            <v>A-3, 2ND PHASE, ADITYAPUR INDUSTRIAL AREA, ADITYAPUR, JAMSHEDPUR, JHARKHAND
A-3, 2ND PHASE, ADITYAPUR INDUSTRIAL AREA, ADITYAPUR, JAMSHEDPUR, JHARKHAND
831013
JAMHEDPUR</v>
          </cell>
          <cell r="G2392">
            <v>9234002408</v>
          </cell>
          <cell r="K2392" t="str">
            <v>GPBC370442</v>
          </cell>
        </row>
        <row r="2393">
          <cell r="E2393" t="str">
            <v>LODNA NTS</v>
          </cell>
          <cell r="G2393">
            <v>7644045555</v>
          </cell>
          <cell r="K2393" t="str">
            <v>BXKD164206</v>
          </cell>
        </row>
        <row r="2394">
          <cell r="E2394" t="str">
            <v>HATIA PATHAR ZILA SCHOOL ROAD DUMKA JHARKHAND
834002</v>
          </cell>
          <cell r="G2394">
            <v>9304236649</v>
          </cell>
          <cell r="K2394" t="str">
            <v>BTEC378536</v>
          </cell>
        </row>
        <row r="2395">
          <cell r="E2395" t="str">
            <v>DALADALI, RANCHI</v>
          </cell>
          <cell r="G2395">
            <v>9835538524</v>
          </cell>
          <cell r="K2395" t="str">
            <v>BWFD163940</v>
          </cell>
        </row>
        <row r="2396">
          <cell r="E2396" t="str">
            <v>DASMILE, RANCHI</v>
          </cell>
          <cell r="G2396">
            <v>9341549748</v>
          </cell>
          <cell r="K2396" t="str">
            <v>BVHD163366</v>
          </cell>
        </row>
        <row r="2397">
          <cell r="E2397" t="str">
            <v>BARKAGAON, HAZARIBAGH</v>
          </cell>
          <cell r="G2397">
            <v>6201387183</v>
          </cell>
          <cell r="K2397" t="str">
            <v>BWED163867</v>
          </cell>
        </row>
        <row r="2398">
          <cell r="E2398" t="str">
            <v>BARKAGAON, HAZARIBAGH</v>
          </cell>
          <cell r="G2398">
            <v>6201387183</v>
          </cell>
          <cell r="K2398" t="str">
            <v>BWED163871</v>
          </cell>
        </row>
        <row r="2399">
          <cell r="E2399" t="str">
            <v>BARKAGAON, HAZARIBAGH</v>
          </cell>
          <cell r="G2399">
            <v>6201387183</v>
          </cell>
          <cell r="K2399" t="str">
            <v>BVED163229</v>
          </cell>
        </row>
        <row r="2400">
          <cell r="E2400" t="str">
            <v>BANDHTOLI, NAGRI</v>
          </cell>
          <cell r="G2400">
            <v>6201457979</v>
          </cell>
          <cell r="K2400" t="str">
            <v>BUFS046813</v>
          </cell>
        </row>
        <row r="2401">
          <cell r="E2401" t="str">
            <v>GHATO</v>
          </cell>
          <cell r="G2401">
            <v>7209157661</v>
          </cell>
          <cell r="K2401" t="str">
            <v>BXKD164174</v>
          </cell>
        </row>
        <row r="2402">
          <cell r="E2402" t="str">
            <v>RAMGRAH</v>
          </cell>
          <cell r="G2402">
            <v>9559820432</v>
          </cell>
          <cell r="K2402" t="str">
            <v>BUFS046910</v>
          </cell>
        </row>
        <row r="2403">
          <cell r="E2403" t="str">
            <v>BARKAGAON, HAZARIBAGH</v>
          </cell>
          <cell r="G2403">
            <v>7070010949</v>
          </cell>
          <cell r="K2403" t="str">
            <v>BWLD231334</v>
          </cell>
        </row>
        <row r="2404">
          <cell r="E2404" t="str">
            <v>BARKAGAON, HAZARIBAGH</v>
          </cell>
          <cell r="G2404">
            <v>7070010949</v>
          </cell>
          <cell r="K2404" t="str">
            <v>BWLD231345</v>
          </cell>
        </row>
        <row r="2405">
          <cell r="E2405" t="str">
            <v>RANCHI,JHARKHAND
834001
RANCHI</v>
          </cell>
          <cell r="G2405">
            <v>9431571200</v>
          </cell>
          <cell r="K2405" t="str">
            <v>BJHS031586</v>
          </cell>
        </row>
        <row r="2406">
          <cell r="E2406" t="str">
            <v>RAMGRAH</v>
          </cell>
          <cell r="G2406">
            <v>9155799786</v>
          </cell>
          <cell r="K2406" t="str">
            <v>BVAS038005</v>
          </cell>
        </row>
        <row r="2407">
          <cell r="E2407" t="str">
            <v>PHUSHRO</v>
          </cell>
          <cell r="G2407">
            <v>8101968418</v>
          </cell>
          <cell r="K2407" t="str">
            <v>BVKD163026</v>
          </cell>
        </row>
        <row r="2408">
          <cell r="E2408" t="str">
            <v>CHUTIA, RANCHI</v>
          </cell>
          <cell r="G2408">
            <v>9060975013</v>
          </cell>
          <cell r="K2408" t="str">
            <v>BUFD162814</v>
          </cell>
        </row>
        <row r="2409">
          <cell r="E2409" t="str">
            <v>JARANDIH, PHUSHRO</v>
          </cell>
          <cell r="G2409">
            <v>7541869555</v>
          </cell>
          <cell r="K2409" t="str">
            <v>BTKD162074</v>
          </cell>
        </row>
        <row r="2410">
          <cell r="E2410" t="str">
            <v>PHUSHRO, BOKARO</v>
          </cell>
          <cell r="G2410">
            <v>9430702649</v>
          </cell>
          <cell r="K2410" t="str">
            <v>BWID164076</v>
          </cell>
        </row>
        <row r="2411">
          <cell r="E2411" t="str">
            <v>RAMNAGAR , HAZARIBAGH,JHARKHAND
825302</v>
          </cell>
          <cell r="G2411">
            <v>9113183803</v>
          </cell>
          <cell r="K2411" t="str">
            <v>BQAC373617</v>
          </cell>
        </row>
        <row r="2412">
          <cell r="E2412" t="str">
            <v>HESLA,RAMGARH
829101</v>
          </cell>
          <cell r="G2412">
            <v>7562823341</v>
          </cell>
          <cell r="K2412" t="str">
            <v>BSJS035917</v>
          </cell>
        </row>
        <row r="2413">
          <cell r="E2413" t="str">
            <v>HESLA,RAMGARH
829101</v>
          </cell>
          <cell r="G2413">
            <v>7909075495</v>
          </cell>
          <cell r="K2413" t="str">
            <v>BSDS037710</v>
          </cell>
        </row>
        <row r="2414">
          <cell r="E2414" t="str">
            <v>NTA LODNA, DHANBAD</v>
          </cell>
          <cell r="G2414">
            <v>7644045555</v>
          </cell>
          <cell r="K2414" t="str">
            <v>BULD162559</v>
          </cell>
        </row>
        <row r="2415">
          <cell r="E2415" t="str">
            <v>C/O PRAKASH RAM, PHUSHRO</v>
          </cell>
          <cell r="G2415">
            <v>8825270324</v>
          </cell>
          <cell r="K2415" t="str">
            <v>BWBD163701</v>
          </cell>
        </row>
        <row r="2416">
          <cell r="E2416" t="str">
            <v>PLOT NO. 148, TUPUDANA, INDUSTRIAL AREA, HATIA, RANCHI
834002</v>
          </cell>
          <cell r="G2416">
            <v>9534249500</v>
          </cell>
          <cell r="K2416" t="str">
            <v>BXKS035161</v>
          </cell>
        </row>
        <row r="2417">
          <cell r="E2417" t="str">
            <v>CHAS BOKARO</v>
          </cell>
          <cell r="G2417">
            <v>9939349091</v>
          </cell>
          <cell r="K2417" t="str">
            <v>BXKD164199</v>
          </cell>
        </row>
        <row r="2418">
          <cell r="E2418" t="str">
            <v>NEAR P.N BANK MAIN ROAD,, RAMGARH CANTT-829122, DIST. RAMGARH
829122
BUDHAKHOP, AMBRELA, KARMA,</v>
          </cell>
          <cell r="G2418">
            <v>9693796748</v>
          </cell>
          <cell r="K2418" t="str">
            <v>BQBS030091</v>
          </cell>
        </row>
        <row r="2419">
          <cell r="E2419" t="str">
            <v>NAGARI, RANCHI
834006</v>
          </cell>
          <cell r="G2419">
            <v>7255848442</v>
          </cell>
          <cell r="K2419" t="str">
            <v>BRAC372524</v>
          </cell>
        </row>
        <row r="2420">
          <cell r="E2420" t="str">
            <v>TAPIN PROJECT, TAPIN</v>
          </cell>
          <cell r="G2420">
            <v>8521064546</v>
          </cell>
          <cell r="K2420" t="str">
            <v>BUID162953</v>
          </cell>
        </row>
        <row r="2421">
          <cell r="E2421" t="str">
            <v>JAMSHEDPUR</v>
          </cell>
          <cell r="G2421">
            <v>6206522169</v>
          </cell>
          <cell r="K2421" t="str">
            <v>BPGC370231</v>
          </cell>
        </row>
        <row r="2422">
          <cell r="E2422" t="str">
            <v>BARKAGAON, HAZARIBAGH</v>
          </cell>
          <cell r="G2422">
            <v>7070010949</v>
          </cell>
          <cell r="K2422" t="str">
            <v>BWLD231334</v>
          </cell>
        </row>
        <row r="2423">
          <cell r="E2423" t="str">
            <v>BARKAGAON, HAZARIBAGH</v>
          </cell>
          <cell r="G2423">
            <v>7070010949</v>
          </cell>
          <cell r="K2423" t="str">
            <v>BVED231179</v>
          </cell>
        </row>
        <row r="2424">
          <cell r="E2424" t="str">
            <v>BEGUSARAI</v>
          </cell>
          <cell r="G2424">
            <v>9852619477</v>
          </cell>
          <cell r="K2424" t="str">
            <v>BQDD160190</v>
          </cell>
        </row>
        <row r="2425">
          <cell r="E2425" t="str">
            <v>NAMKUM INDUSTRIAL AREA,RANCHI
834010</v>
          </cell>
          <cell r="G2425">
            <v>9386408111</v>
          </cell>
          <cell r="K2425" t="str">
            <v>BRHS035337</v>
          </cell>
        </row>
        <row r="2426">
          <cell r="E2426" t="str">
            <v>REG. OFFICE: UNIT 106, MAHABIR TOWER, JOKHIRAM LANE, MAIN ROAD, RANCHI - 834 001
REG. OFFICE: UNIT 106, MAHABIR TOWER, JOKHIRAM LANE, MAIN ROAD, RANCHI - 834 001
835214</v>
          </cell>
          <cell r="G2426">
            <v>9661300651</v>
          </cell>
          <cell r="K2426" t="str">
            <v>BSDS043254</v>
          </cell>
        </row>
        <row r="2427">
          <cell r="E2427" t="str">
            <v>BARKAGAON, HAZARIBAGH</v>
          </cell>
          <cell r="G2427">
            <v>7070010949</v>
          </cell>
          <cell r="K2427" t="str">
            <v>BWLD231334</v>
          </cell>
        </row>
        <row r="2428">
          <cell r="E2428" t="str">
            <v>BHAGALPUR</v>
          </cell>
          <cell r="G2428">
            <v>9939352785</v>
          </cell>
          <cell r="K2428" t="str">
            <v>BXJD121872</v>
          </cell>
        </row>
        <row r="2429">
          <cell r="E2429" t="str">
            <v>CHATRA</v>
          </cell>
          <cell r="G2429">
            <v>7004915623</v>
          </cell>
          <cell r="K2429" t="str">
            <v>BXKD164219</v>
          </cell>
        </row>
        <row r="2430">
          <cell r="E2430" t="str">
            <v>LODNA</v>
          </cell>
          <cell r="G2430">
            <v>7644045555</v>
          </cell>
          <cell r="K2430" t="str">
            <v>BTDD162169</v>
          </cell>
        </row>
        <row r="2431">
          <cell r="E2431" t="str">
            <v>11 PINJRAPOLE, HARMU ROAD, RANCHI
11 PINJRAPOLE, HARMU ROAD, RANCHI
834001
MAHILONG, TATISILWAY</v>
          </cell>
          <cell r="G2431">
            <v>6202577125</v>
          </cell>
          <cell r="K2431" t="str">
            <v>BNCC370425</v>
          </cell>
        </row>
        <row r="2432">
          <cell r="E2432" t="str">
            <v>RAIPUR, CG</v>
          </cell>
          <cell r="G2432">
            <v>9790111842</v>
          </cell>
          <cell r="K2432" t="str">
            <v>BXLD231884</v>
          </cell>
        </row>
        <row r="2433">
          <cell r="E2433" t="str">
            <v>NEORI,VIKAS,RANCHI.
835217</v>
          </cell>
          <cell r="G2433">
            <v>9693768894</v>
          </cell>
          <cell r="K2433" t="str">
            <v>BWKS040406</v>
          </cell>
        </row>
        <row r="2434">
          <cell r="E2434" t="str">
            <v>TUPUDANA, RANCHI</v>
          </cell>
          <cell r="G2434">
            <v>7070990076</v>
          </cell>
          <cell r="K2434" t="str">
            <v>BUDC372327</v>
          </cell>
        </row>
        <row r="2435">
          <cell r="E2435" t="str">
            <v>NAMKUM INDUSTRIAL AREA,RANCHI
RANCHI
834010
INDIA</v>
          </cell>
          <cell r="G2435">
            <v>7070993638</v>
          </cell>
          <cell r="K2435" t="str">
            <v>GOCC370465</v>
          </cell>
        </row>
        <row r="2436">
          <cell r="E2436" t="str">
            <v>TANDWA, CHATRA</v>
          </cell>
          <cell r="G2436">
            <v>7032052579</v>
          </cell>
          <cell r="K2436" t="str">
            <v>BXJD164130</v>
          </cell>
        </row>
        <row r="2437">
          <cell r="E2437" t="str">
            <v>CHAMPA, ODSHIA</v>
          </cell>
          <cell r="G2437">
            <v>9040140203</v>
          </cell>
          <cell r="K2437" t="str">
            <v>BPKO0200021</v>
          </cell>
        </row>
        <row r="2438">
          <cell r="E2438" t="str">
            <v>SARAIKELA, JAMSHEDPUR</v>
          </cell>
          <cell r="G2438">
            <v>8809697867</v>
          </cell>
          <cell r="K2438" t="str">
            <v>BXAD164288</v>
          </cell>
        </row>
        <row r="2439">
          <cell r="E2439" t="str">
            <v>RAMGARH
829103
NAYA MORE</v>
          </cell>
          <cell r="G2439">
            <v>6201225258</v>
          </cell>
          <cell r="K2439" t="str">
            <v>BPCS030196</v>
          </cell>
        </row>
        <row r="2440">
          <cell r="E2440" t="str">
            <v>NAYA MORE,RAMGARH
ARA SARU BERA ROAD, NAYA, RAMGARH,JHARKHAND
829110
NAYA MORE</v>
          </cell>
          <cell r="G2440">
            <v>6201225253</v>
          </cell>
          <cell r="K2440" t="str">
            <v>BQBS033796</v>
          </cell>
        </row>
        <row r="2441">
          <cell r="E2441" t="str">
            <v>GOVINDPUR</v>
          </cell>
          <cell r="G2441">
            <v>7979098975</v>
          </cell>
          <cell r="K2441" t="str">
            <v>BWCC379823</v>
          </cell>
        </row>
        <row r="2442">
          <cell r="E2442" t="str">
            <v>TATISILWAI, RANCHI</v>
          </cell>
          <cell r="G2442">
            <v>9708039203</v>
          </cell>
          <cell r="K2442" t="str">
            <v>BWEC370314</v>
          </cell>
        </row>
        <row r="2443">
          <cell r="E2443" t="str">
            <v>HORHAP ROAD, MAHILONG, RANCHI
835103</v>
          </cell>
          <cell r="G2443">
            <v>9708039203</v>
          </cell>
          <cell r="K2443" t="str">
            <v>BRIC374329</v>
          </cell>
        </row>
        <row r="2444">
          <cell r="E2444" t="str">
            <v>NAMKUM, RANCHI</v>
          </cell>
          <cell r="G2444">
            <v>9608478432</v>
          </cell>
          <cell r="K2444" t="str">
            <v>BTIS044981</v>
          </cell>
        </row>
        <row r="2445">
          <cell r="E2445" t="str">
            <v>RAMGARH
829103
NAYA MORE</v>
          </cell>
          <cell r="G2445">
            <v>6201225253</v>
          </cell>
          <cell r="K2445" t="str">
            <v>BRGS035169</v>
          </cell>
        </row>
        <row r="2446">
          <cell r="E2446" t="str">
            <v>NICHITPUR</v>
          </cell>
          <cell r="G2446">
            <v>7903412157</v>
          </cell>
          <cell r="K2446" t="str">
            <v>BUCD162696</v>
          </cell>
        </row>
        <row r="2447">
          <cell r="E2447" t="str">
            <v>PETERWAR, BOKARO</v>
          </cell>
          <cell r="G2447">
            <v>7004263425</v>
          </cell>
          <cell r="K2447" t="str">
            <v>BWES033256</v>
          </cell>
        </row>
        <row r="2448">
          <cell r="E2448" t="str">
            <v>VINAIKA’S COMPLEX RANCHI TATA ROAD, R.S. PLOT NO.:-615,VILLAGE-PANCHA,THANA-BUNDU RANCHI, JHARKHAND.
834002</v>
          </cell>
          <cell r="G2448">
            <v>9818905980</v>
          </cell>
          <cell r="K2448" t="str">
            <v>BUDS046275</v>
          </cell>
        </row>
        <row r="2449">
          <cell r="E2449" t="str">
            <v>DALADALI, RANCHI</v>
          </cell>
          <cell r="G2449">
            <v>9162279072</v>
          </cell>
          <cell r="K2449" t="str">
            <v>BVKD163010</v>
          </cell>
        </row>
        <row r="2450">
          <cell r="E2450" t="str">
            <v>GOBINDPUR INDUSTRIAL AREA, DHANBAD</v>
          </cell>
          <cell r="G2450">
            <v>9113169811</v>
          </cell>
          <cell r="K2450" t="str">
            <v>BVJS047894</v>
          </cell>
        </row>
        <row r="2451">
          <cell r="E2451" t="str">
            <v>RAHELA, DALTAINGANJ</v>
          </cell>
          <cell r="G2451">
            <v>8789075522</v>
          </cell>
          <cell r="K2451" t="str">
            <v>BUGS035879</v>
          </cell>
        </row>
        <row r="2452">
          <cell r="E2452" t="str">
            <v>BIT MESRA, RANCHI
835215
BIT MISRA, RANCHI</v>
          </cell>
          <cell r="G2452">
            <v>9693768894</v>
          </cell>
          <cell r="K2452" t="str">
            <v>BPHS030467</v>
          </cell>
        </row>
        <row r="2453">
          <cell r="E2453" t="str">
            <v>C&amp;W HATIA</v>
          </cell>
          <cell r="G2453">
            <v>7781002740</v>
          </cell>
          <cell r="K2453" t="str">
            <v>EVLL062069</v>
          </cell>
        </row>
        <row r="2454">
          <cell r="E2454" t="str">
            <v>ADITYAPUR, JAMSHEDPUR</v>
          </cell>
          <cell r="G2454">
            <v>7201077434</v>
          </cell>
          <cell r="K2454" t="str">
            <v>BWFC370683</v>
          </cell>
        </row>
        <row r="2455">
          <cell r="E2455" t="str">
            <v>HAZARIBAGH</v>
          </cell>
          <cell r="G2455">
            <v>8340704919</v>
          </cell>
          <cell r="K2455" t="str">
            <v>BWID164050</v>
          </cell>
        </row>
        <row r="2456">
          <cell r="E2456" t="str">
            <v>RATU ROAD KMT</v>
          </cell>
          <cell r="G2456">
            <v>7520090083</v>
          </cell>
          <cell r="K2456" t="str">
            <v>BUIC373911</v>
          </cell>
        </row>
        <row r="2457">
          <cell r="E2457" t="str">
            <v>REHLA,GARWA,JHARKHAND
822124
RANCHI</v>
          </cell>
          <cell r="G2457">
            <v>7004623399</v>
          </cell>
          <cell r="K2457" t="str">
            <v>BMFS031346</v>
          </cell>
        </row>
        <row r="2458">
          <cell r="E2458" t="str">
            <v>PLOT NO. 148, TUPUDANA, INDUSTRIAL AREA, HATIA, RANCHI
834002</v>
          </cell>
          <cell r="G2458">
            <v>9534249500</v>
          </cell>
          <cell r="K2458" t="str">
            <v>BRIS035838</v>
          </cell>
        </row>
        <row r="2459">
          <cell r="E2459" t="str">
            <v>ARGORA, RANCHI
834002</v>
          </cell>
          <cell r="G2459">
            <v>7070892568</v>
          </cell>
          <cell r="K2459" t="str">
            <v>BSKC374901</v>
          </cell>
        </row>
        <row r="2460">
          <cell r="E2460" t="str">
            <v>AKASHKANARI</v>
          </cell>
          <cell r="G2460">
            <v>9264216358</v>
          </cell>
          <cell r="K2460" t="str">
            <v>BWFD163947</v>
          </cell>
        </row>
        <row r="2461">
          <cell r="E2461" t="str">
            <v>BEGUSARAI</v>
          </cell>
          <cell r="G2461">
            <v>6201785442</v>
          </cell>
          <cell r="K2461" t="str">
            <v>BWHD164003</v>
          </cell>
        </row>
        <row r="2462">
          <cell r="E2462" t="str">
            <v>PITHORIYA, RANCHI</v>
          </cell>
          <cell r="G2462">
            <v>9546089443</v>
          </cell>
          <cell r="K2462" t="str">
            <v>BVIC377970</v>
          </cell>
        </row>
        <row r="2463">
          <cell r="E2463" t="str">
            <v>BAGSUMA,GOVINDPUR, DHANBAD
GT ROAD, BAGSUMA
828109</v>
          </cell>
          <cell r="G2463">
            <v>9835191288</v>
          </cell>
          <cell r="K2463" t="str">
            <v>BTJC377259</v>
          </cell>
        </row>
        <row r="2464">
          <cell r="E2464" t="str">
            <v>LODNA MORE</v>
          </cell>
          <cell r="G2464">
            <v>7623886938</v>
          </cell>
          <cell r="K2464" t="str">
            <v>BWKD163543</v>
          </cell>
        </row>
        <row r="2465">
          <cell r="E2465" t="str">
            <v>FATEPUR GAYA</v>
          </cell>
          <cell r="G2465">
            <v>9631909713</v>
          </cell>
          <cell r="K2465" t="str">
            <v>BWLD163608</v>
          </cell>
        </row>
        <row r="2466">
          <cell r="E2466" t="str">
            <v>PLOT NO. 148, TUPUDANA, INDUSTRIAL AREA, HATIA, RANCHI
834002</v>
          </cell>
          <cell r="G2466">
            <v>9534249500</v>
          </cell>
          <cell r="K2466" t="str">
            <v>BSLS036682</v>
          </cell>
        </row>
        <row r="2467">
          <cell r="E2467" t="str">
            <v>BEGUSARAI</v>
          </cell>
          <cell r="G2467">
            <v>7903297200</v>
          </cell>
          <cell r="K2467" t="str">
            <v>BXLL153793</v>
          </cell>
        </row>
        <row r="2468">
          <cell r="E2468" t="str">
            <v>BASKATOLA</v>
          </cell>
          <cell r="G2468">
            <v>8521311810</v>
          </cell>
          <cell r="K2468" t="str">
            <v>BULD162577</v>
          </cell>
        </row>
        <row r="2469">
          <cell r="E2469" t="str">
            <v>BASTAKOLA, DHANBAD</v>
          </cell>
          <cell r="G2469">
            <v>8521311810</v>
          </cell>
          <cell r="K2469" t="str">
            <v>BUKD162535</v>
          </cell>
        </row>
        <row r="2470">
          <cell r="E2470" t="str">
            <v>BASTAKOLA, DHANBAD</v>
          </cell>
          <cell r="G2470">
            <v>8521311810</v>
          </cell>
          <cell r="K2470" t="str">
            <v>BQKD160099</v>
          </cell>
        </row>
        <row r="2471">
          <cell r="E2471" t="str">
            <v>BASKATOLA</v>
          </cell>
          <cell r="G2471">
            <v>8521311810</v>
          </cell>
          <cell r="K2471" t="str">
            <v>BQKD168115</v>
          </cell>
        </row>
        <row r="2472">
          <cell r="E2472" t="str">
            <v>DHANBAD</v>
          </cell>
          <cell r="G2472">
            <v>8521311810</v>
          </cell>
          <cell r="K2472" t="str">
            <v>BTDD162186</v>
          </cell>
        </row>
        <row r="2473">
          <cell r="E2473" t="str">
            <v>MARRAR RAMGRAH</v>
          </cell>
          <cell r="G2473">
            <v>9909982362</v>
          </cell>
          <cell r="K2473" t="str">
            <v>GNFS040092</v>
          </cell>
        </row>
        <row r="2474">
          <cell r="E2474" t="str">
            <v>BASIA, GUMLA</v>
          </cell>
          <cell r="G2474">
            <v>8294138415</v>
          </cell>
          <cell r="K2474" t="str">
            <v>BWJD163499</v>
          </cell>
        </row>
        <row r="2475">
          <cell r="E2475" t="str">
            <v>TIPUDANA INDUSTRIAL AREA, HATIA,</v>
          </cell>
          <cell r="G2475">
            <v>9534249500</v>
          </cell>
          <cell r="K2475" t="str">
            <v>BJGS031396</v>
          </cell>
        </row>
        <row r="2476">
          <cell r="E2476" t="str">
            <v>GAYA, BIHAR</v>
          </cell>
          <cell r="G2476">
            <v>8521057778</v>
          </cell>
          <cell r="K2476" t="str">
            <v>BWID164091</v>
          </cell>
        </row>
        <row r="2477">
          <cell r="E2477" t="str">
            <v>PLOT NO 716,VILL-RUKKA,
835219</v>
          </cell>
          <cell r="G2477">
            <v>9791019799</v>
          </cell>
          <cell r="K2477" t="str">
            <v>BSKS036366</v>
          </cell>
        </row>
        <row r="2478">
          <cell r="E2478" t="str">
            <v>BHOWRA</v>
          </cell>
          <cell r="G2478">
            <v>6201841406</v>
          </cell>
          <cell r="K2478" t="str">
            <v>BULD162568</v>
          </cell>
        </row>
        <row r="2479">
          <cell r="E2479" t="str">
            <v>CHUTIA, RANCHI</v>
          </cell>
          <cell r="G2479">
            <v>9060975013</v>
          </cell>
          <cell r="K2479" t="str">
            <v>BUFD162814</v>
          </cell>
        </row>
        <row r="2480">
          <cell r="E2480" t="str">
            <v>BHORA</v>
          </cell>
          <cell r="G2480">
            <v>9550035031</v>
          </cell>
          <cell r="K2480" t="str">
            <v>BVHD163331</v>
          </cell>
        </row>
        <row r="2481">
          <cell r="E2481" t="str">
            <v>ENA COLLEARY</v>
          </cell>
          <cell r="G2481">
            <v>9570178502</v>
          </cell>
          <cell r="K2481" t="str">
            <v>BXJD164132</v>
          </cell>
        </row>
        <row r="2482">
          <cell r="E2482" t="str">
            <v>SHEIKHPURA, BIHAR</v>
          </cell>
          <cell r="G2482">
            <v>9523096957</v>
          </cell>
          <cell r="K2482" t="str">
            <v>BUAL160593</v>
          </cell>
        </row>
        <row r="2483">
          <cell r="E2483" t="str">
            <v>SHEIKHPURA, BIHAR</v>
          </cell>
          <cell r="G2483">
            <v>9523069653</v>
          </cell>
          <cell r="K2483" t="str">
            <v>BULL160559</v>
          </cell>
        </row>
        <row r="2484">
          <cell r="E2484" t="str">
            <v>HEHAL</v>
          </cell>
          <cell r="G2484">
            <v>6296261307</v>
          </cell>
          <cell r="K2484" t="str">
            <v>BVKC374370</v>
          </cell>
        </row>
        <row r="2485">
          <cell r="E2485" t="str">
            <v>LOHARDAGAH</v>
          </cell>
          <cell r="G2485">
            <v>8434111029</v>
          </cell>
          <cell r="K2485" t="str">
            <v>BUFS046839</v>
          </cell>
        </row>
        <row r="2486">
          <cell r="E2486" t="str">
            <v>BARHI, HAZARIBAGH</v>
          </cell>
          <cell r="G2486">
            <v>7707017707</v>
          </cell>
          <cell r="K2486" t="str">
            <v>BWAS032167</v>
          </cell>
        </row>
        <row r="2487">
          <cell r="E2487" t="str">
            <v>RANCHI</v>
          </cell>
          <cell r="G2487">
            <v>9973880780</v>
          </cell>
          <cell r="K2487" t="str">
            <v>BKDS031405</v>
          </cell>
        </row>
        <row r="2488">
          <cell r="E2488" t="str">
            <v>AT: SENEGARHA, P.O-RABODH, P.S-GIDDI,(RAMGARH),, DISTT. HAZARIBAGH,JHARKHAND-825330
829108
AT: SENEGARHA, P.O-RABODH, P.S-GIDDI,(RAMGARH),</v>
          </cell>
          <cell r="G2488">
            <v>9006877583</v>
          </cell>
          <cell r="K2488" t="str">
            <v>BRAS033261</v>
          </cell>
        </row>
        <row r="2489">
          <cell r="E2489" t="str">
            <v>AT: SENEGARHA, P.O-RABODH, P.S-GIDDI,(RAMGARH),, DISTT. HAZARIBAGH,JHARKHAND-825330
829108
AT: SENEGARHA, P.O-RABODH, P.S-GIDDI,(RAMGARH),</v>
          </cell>
          <cell r="G2489">
            <v>9006877583</v>
          </cell>
          <cell r="K2489" t="str">
            <v>BSCS037349</v>
          </cell>
        </row>
        <row r="2490">
          <cell r="E2490" t="str">
            <v>KATITARH,RANCHI
835222</v>
          </cell>
          <cell r="G2490">
            <v>7779980009</v>
          </cell>
          <cell r="K2490" t="str">
            <v>BSAS036940</v>
          </cell>
        </row>
        <row r="2491">
          <cell r="E2491" t="str">
            <v>GOVINDPUR, DHANBAD</v>
          </cell>
          <cell r="G2491">
            <v>7254622131</v>
          </cell>
          <cell r="K2491" t="str">
            <v>BVDS039346</v>
          </cell>
        </row>
        <row r="2492">
          <cell r="E2492" t="str">
            <v>GROUND FLOOR, 8H AND 81, NATION PRINTERS, NAMKUM INDUSTRIAL AREA,, LOWADIH, RANCHI
GROUND FLOOR, 8H AND 81, NATION PRINTERS, NAMKUM INDUSTRIAL AREA,, LOWADIH, RANCHI
834010</v>
          </cell>
          <cell r="G2492">
            <v>9709225271</v>
          </cell>
          <cell r="K2492" t="str">
            <v>BRFC373676</v>
          </cell>
        </row>
        <row r="2493">
          <cell r="E2493" t="str">
            <v>GROUND FLOOR, 8H AND 81, NATION PRINTERS, NAMKUM INDUSTRIAL AREA,, LOWADIH, RANCHI
GROUND FLOOR, 8H AND 81, NATION PRINTERS, NAMKUM INDUSTRIAL AREA,, LOWADIH, RANCHI
834010</v>
          </cell>
          <cell r="G2493">
            <v>9386895542</v>
          </cell>
          <cell r="K2493" t="str">
            <v>BRCC372871</v>
          </cell>
        </row>
        <row r="2494">
          <cell r="E2494" t="str">
            <v>C/O PRAKASH RAM, PHUSHRO</v>
          </cell>
          <cell r="G2494">
            <v>8825270324</v>
          </cell>
          <cell r="K2494" t="str">
            <v>BWBD163701</v>
          </cell>
        </row>
        <row r="2495">
          <cell r="E2495" t="str">
            <v>MAHUDA MORE, DHANBAD</v>
          </cell>
          <cell r="G2495">
            <v>6204702963</v>
          </cell>
          <cell r="K2495" t="str">
            <v>BWHD164004</v>
          </cell>
        </row>
        <row r="2496">
          <cell r="E2496" t="str">
            <v>JASIDIH, DEOGHAR
814142</v>
          </cell>
          <cell r="G2496">
            <v>9204662456</v>
          </cell>
          <cell r="K2496" t="str">
            <v>BSBC375571</v>
          </cell>
        </row>
        <row r="2497">
          <cell r="E2497" t="str">
            <v>GROUND AND 1 ST FLOOR, BESIDE DAINIK BHASKAR, GOVINDPUR ROAD, DIST :- DHANBAD
GROUND AND 1 ST FLOOR, BESIDE DAINIK BHASKAR, GOVINDPUR ROAD, DIST :- DHANBAD
828109</v>
          </cell>
          <cell r="G2497">
            <v>8789061377</v>
          </cell>
          <cell r="K2497" t="str">
            <v>BRES034488</v>
          </cell>
        </row>
        <row r="2498">
          <cell r="E2498" t="str">
            <v>CHIRKUNDA, DHANBAD</v>
          </cell>
          <cell r="G2498">
            <v>8101005542</v>
          </cell>
          <cell r="K2498" t="str">
            <v>BWHC371250</v>
          </cell>
        </row>
        <row r="2499">
          <cell r="E2499" t="str">
            <v>BARHI, HAZARIBAGH</v>
          </cell>
          <cell r="G2499">
            <v>8488957184</v>
          </cell>
          <cell r="K2499" t="str">
            <v>BUCS034287</v>
          </cell>
        </row>
        <row r="2500">
          <cell r="E2500" t="str">
            <v>ADDRESS-PLOT-57B,BARAHI INDUSTRIAL AREA,ON DELHI HOWRAH NATIONAL HIGHWAY,BARHI,JAHARKHAND.</v>
          </cell>
          <cell r="G2500">
            <v>8488951784</v>
          </cell>
          <cell r="K2500" t="str">
            <v>BUBS033778</v>
          </cell>
        </row>
        <row r="2501">
          <cell r="E2501" t="str">
            <v>RAMPUR, RANCHI</v>
          </cell>
          <cell r="G2501">
            <v>8269769977</v>
          </cell>
          <cell r="K2501" t="str">
            <v>BRCS033785</v>
          </cell>
        </row>
        <row r="2502">
          <cell r="E2502" t="str">
            <v>PITHORIA</v>
          </cell>
          <cell r="G2502">
            <v>7050471419</v>
          </cell>
          <cell r="K2502" t="str">
            <v>BWED163893</v>
          </cell>
        </row>
        <row r="2503">
          <cell r="E2503" t="str">
            <v>RING ROAD, RAMPUR, RANCHI
834010</v>
          </cell>
          <cell r="G2503">
            <v>8269769977</v>
          </cell>
          <cell r="K2503" t="str">
            <v>BRCS033809</v>
          </cell>
        </row>
        <row r="2504">
          <cell r="E2504" t="str">
            <v>RING ROAD, RAMPUR, RANCHI
834010</v>
          </cell>
          <cell r="G2504">
            <v>8269769977</v>
          </cell>
          <cell r="K2504" t="str">
            <v>BRCS033813</v>
          </cell>
        </row>
        <row r="2505">
          <cell r="E2505" t="str">
            <v>TAPIN HAZARIBAGH</v>
          </cell>
          <cell r="G2505">
            <v>8002177613</v>
          </cell>
          <cell r="K2505" t="str">
            <v>BTGD162289</v>
          </cell>
        </row>
        <row r="2506">
          <cell r="E2506" t="str">
            <v>KRISHNA NAGAR, BOOTY MORE, RANCHI</v>
          </cell>
          <cell r="G2506">
            <v>8910434312</v>
          </cell>
          <cell r="K2506" t="str">
            <v>BUES034926</v>
          </cell>
        </row>
        <row r="2507">
          <cell r="E2507" t="str">
            <v>11 PINJRAPOLE, HARMU ROAD, RANCHI
11 PINJRAPOLE, HARMU ROAD, RANCHI
834001
MAHILONG, TATISILWAY</v>
          </cell>
          <cell r="G2507">
            <v>6202577125</v>
          </cell>
          <cell r="K2507" t="str">
            <v>BNCC370425</v>
          </cell>
        </row>
        <row r="2508">
          <cell r="E2508" t="str">
            <v>SHADEV NAGAR
834002
SHADEV NAGAR</v>
          </cell>
          <cell r="G2508">
            <v>9431395214</v>
          </cell>
          <cell r="K2508" t="str">
            <v>GOHC370857</v>
          </cell>
        </row>
        <row r="2509">
          <cell r="E2509" t="str">
            <v>PISKA MORE, RANCHI</v>
          </cell>
          <cell r="G2509">
            <v>7979886608</v>
          </cell>
          <cell r="K2509" t="str">
            <v>BWKC378700</v>
          </cell>
        </row>
        <row r="2510">
          <cell r="E2510" t="str">
            <v>CHAS BOKARO</v>
          </cell>
          <cell r="G2510">
            <v>7903765657</v>
          </cell>
          <cell r="K2510" t="str">
            <v>BXKD164199</v>
          </cell>
        </row>
        <row r="2511">
          <cell r="E2511" t="str">
            <v>GOVINDPUR, DHANBAD</v>
          </cell>
          <cell r="G2511">
            <v>7254622131</v>
          </cell>
          <cell r="K2511" t="str">
            <v>BVDS039346</v>
          </cell>
        </row>
        <row r="2512">
          <cell r="E2512" t="str">
            <v>NEORI,VIKAS,RANCHI.
835217</v>
          </cell>
          <cell r="G2512">
            <v>9693768894</v>
          </cell>
          <cell r="K2512" t="str">
            <v>BWKS040406</v>
          </cell>
        </row>
        <row r="2513">
          <cell r="E2513" t="str">
            <v>GONDUDIH</v>
          </cell>
          <cell r="G2513">
            <v>9113788032</v>
          </cell>
          <cell r="K2513" t="str">
            <v>BQCD160129</v>
          </cell>
        </row>
        <row r="2514">
          <cell r="E2514" t="str">
            <v>GONDUDIH</v>
          </cell>
          <cell r="G2514">
            <v>9113788052</v>
          </cell>
          <cell r="K2514" t="str">
            <v>BSCD161691</v>
          </cell>
        </row>
        <row r="2515">
          <cell r="E2515" t="str">
            <v>UNIT OF HERITAGE LANDMARKS AUTOWORLD PVT. LTD., NEAR KAMRE AASHRAM, P.O. KAMRE, RATU ROAD, RANCHI
835214</v>
          </cell>
          <cell r="G2515">
            <v>9065521306</v>
          </cell>
          <cell r="K2515" t="str">
            <v>BTJC377158</v>
          </cell>
        </row>
        <row r="2516">
          <cell r="E2516" t="str">
            <v>TRIDENT PNEUMATICS PVT LTD   5/232,KNG PUDUR ROADSOMAYAMPALAYAM POSTCOIMBATORE IND</v>
          </cell>
          <cell r="G2516">
            <v>7079053079</v>
          </cell>
          <cell r="K2516" t="str">
            <v>BRCC373040</v>
          </cell>
        </row>
        <row r="2517">
          <cell r="E2517" t="str">
            <v>ITKI MORE, RANCHI</v>
          </cell>
          <cell r="G2517">
            <v>7909069824</v>
          </cell>
          <cell r="K2517" t="str">
            <v>BWFC370723</v>
          </cell>
        </row>
        <row r="2518">
          <cell r="E2518" t="str">
            <v>PITHORIA</v>
          </cell>
          <cell r="G2518">
            <v>7050471419</v>
          </cell>
          <cell r="K2518" t="str">
            <v>BWED163893</v>
          </cell>
        </row>
        <row r="2519">
          <cell r="E2519" t="str">
            <v>1ST FLOOR, RAJ GLASS AND HARDWARE, PISKA MORE, PO - HEHEL, RATU ROAD, RANCHI
1ST FLOOR, RAJ GLASS AND HARDWARE, PISKA MORE, PO - HEHEL, RATU ROAD, RANCHI
835214</v>
          </cell>
          <cell r="G2519">
            <v>7999889085</v>
          </cell>
          <cell r="K2519" t="str">
            <v>BTES044431</v>
          </cell>
        </row>
        <row r="2520">
          <cell r="E2520" t="str">
            <v>BALIDIH INDUSTRIAL AREA
827014</v>
          </cell>
          <cell r="G2520">
            <v>9006647345</v>
          </cell>
          <cell r="K2520" t="str">
            <v>BTDS044313</v>
          </cell>
        </row>
        <row r="2521">
          <cell r="E2521" t="str">
            <v>BALIDIH INDUSTRIAL AREA
827014</v>
          </cell>
          <cell r="G2521">
            <v>9553775728</v>
          </cell>
          <cell r="K2521" t="str">
            <v>BTDS044304</v>
          </cell>
        </row>
        <row r="2522">
          <cell r="E2522" t="str">
            <v>RING ROAD, RAMPUR, RANCHI
834010</v>
          </cell>
          <cell r="G2522">
            <v>8269769977</v>
          </cell>
          <cell r="K2522" t="str">
            <v>BRBS033681</v>
          </cell>
        </row>
        <row r="2523">
          <cell r="E2523" t="str">
            <v>CHATRA</v>
          </cell>
          <cell r="G2523">
            <v>9939116955</v>
          </cell>
          <cell r="K2523" t="str">
            <v>BUES035163</v>
          </cell>
        </row>
        <row r="2524">
          <cell r="E2524" t="str">
            <v>CHATRA</v>
          </cell>
          <cell r="G2524">
            <v>9939116955</v>
          </cell>
          <cell r="K2524" t="str">
            <v>BUIS036515</v>
          </cell>
        </row>
        <row r="2525">
          <cell r="E2525" t="str">
            <v>TATISILWAI, RANCHI</v>
          </cell>
          <cell r="G2525">
            <v>6201580224</v>
          </cell>
          <cell r="K2525" t="str">
            <v>BWHD163996</v>
          </cell>
        </row>
        <row r="2526">
          <cell r="E2526" t="str">
            <v>WARD NO. 15, GUMO  BARWADIH
JHUMRITILAIYA KODERMA
000000</v>
          </cell>
          <cell r="G2526">
            <v>9931138677</v>
          </cell>
          <cell r="K2526" t="str">
            <v>BUDC372326</v>
          </cell>
        </row>
        <row r="2527">
          <cell r="E2527" t="str">
            <v>JAPLA</v>
          </cell>
          <cell r="G2527">
            <v>7390857553</v>
          </cell>
          <cell r="K2527" t="str">
            <v>BXKC372435</v>
          </cell>
        </row>
        <row r="2528">
          <cell r="E2528" t="str">
            <v>AMLO PHUSHRO</v>
          </cell>
          <cell r="G2528">
            <v>9006617909</v>
          </cell>
          <cell r="K2528" t="str">
            <v>BXKD164191</v>
          </cell>
        </row>
        <row r="2529">
          <cell r="E2529" t="str">
            <v>TUPUDANA, RANCHI</v>
          </cell>
          <cell r="G2529">
            <v>9471183626</v>
          </cell>
          <cell r="K2529" t="str">
            <v>BPHC370285</v>
          </cell>
        </row>
        <row r="2530">
          <cell r="E2530" t="str">
            <v>NAMKUM, RANCHI</v>
          </cell>
          <cell r="G2530">
            <v>8740968746</v>
          </cell>
          <cell r="K2530" t="str">
            <v>BVKS037559</v>
          </cell>
        </row>
        <row r="2531">
          <cell r="E2531" t="str">
            <v>RAMGRAH</v>
          </cell>
          <cell r="G2531">
            <v>9199162863</v>
          </cell>
          <cell r="K2531" t="str">
            <v>BQIS040809</v>
          </cell>
        </row>
        <row r="2532">
          <cell r="E2532" t="str">
            <v>MOHAGAMA</v>
          </cell>
          <cell r="G2532">
            <v>9989394461</v>
          </cell>
          <cell r="K2532" t="str">
            <v>BWCD121690</v>
          </cell>
        </row>
        <row r="2533">
          <cell r="E2533" t="str">
            <v>NEAR P.N BANK MAIN ROAD,, RAMGARH CANTT-829122, DIST. RAMGARH
829122
BUDHAKHOP, AMBRELA, KARMA,</v>
          </cell>
          <cell r="G2533">
            <v>8789350097</v>
          </cell>
          <cell r="K2533" t="str">
            <v>BQBS030091</v>
          </cell>
        </row>
        <row r="2534">
          <cell r="E2534" t="str">
            <v>DALADALI, RANCHI</v>
          </cell>
          <cell r="G2534">
            <v>9431139783</v>
          </cell>
          <cell r="K2534" t="str">
            <v>BWID164054</v>
          </cell>
        </row>
        <row r="2535">
          <cell r="E2535" t="str">
            <v>HOSHIR GIDDI,RAMGARH
NEAR P.N. BANK MAIN ROAD, RAMGARH CANTT. 829122
829110</v>
          </cell>
          <cell r="G2535">
            <v>8651078549</v>
          </cell>
          <cell r="K2535" t="str">
            <v>BSKS036261</v>
          </cell>
        </row>
        <row r="2536">
          <cell r="E2536" t="str">
            <v>PALAMU,JHARKHAND
822126
PALAMU</v>
          </cell>
          <cell r="G2536">
            <v>9771434639</v>
          </cell>
          <cell r="K2536" t="str">
            <v>GPGC370758</v>
          </cell>
        </row>
        <row r="2537">
          <cell r="E2537" t="str">
            <v>NAGRI, RANCHI
TIKRATOLI, P.O:- NAGRI, RANCHI
834006</v>
          </cell>
          <cell r="G2537">
            <v>7549287704</v>
          </cell>
          <cell r="K2537" t="str">
            <v>BKKS030393</v>
          </cell>
        </row>
        <row r="2538">
          <cell r="E2538" t="str">
            <v>C/O - REKHA KUMARI, AT TENDER, PANDRA, KAMRE, RATU, RANCHI
C/O - REKHA KUMARI, AT TENDER, PANDRA, KAMRE, RATU, RANCHI
835103</v>
          </cell>
          <cell r="G2538">
            <v>6201227612</v>
          </cell>
          <cell r="K2538" t="str">
            <v>BREC373485</v>
          </cell>
        </row>
        <row r="2539">
          <cell r="E2539" t="str">
            <v>PHUSHRO</v>
          </cell>
          <cell r="G2539">
            <v>8101968418</v>
          </cell>
          <cell r="K2539" t="str">
            <v>BVKD163026</v>
          </cell>
        </row>
        <row r="2540">
          <cell r="E2540" t="str">
            <v>NAGARI,</v>
          </cell>
          <cell r="G2540">
            <v>7903706711</v>
          </cell>
          <cell r="K2540" t="str">
            <v>BILS030211</v>
          </cell>
        </row>
        <row r="2541">
          <cell r="E2541" t="str">
            <v>DALADALI, RANCHI</v>
          </cell>
          <cell r="G2541">
            <v>9835538524</v>
          </cell>
          <cell r="K2541" t="str">
            <v>BWFD163940</v>
          </cell>
        </row>
        <row r="2542">
          <cell r="E2542" t="str">
            <v>RAMGARH,JHARKHAND
829122</v>
          </cell>
          <cell r="G2542">
            <v>8825277617</v>
          </cell>
          <cell r="K2542" t="str">
            <v>BPAS030126</v>
          </cell>
        </row>
        <row r="2543">
          <cell r="E2543" t="str">
            <v>KHATHITAND, RANCHI</v>
          </cell>
          <cell r="G2543">
            <v>9934610433</v>
          </cell>
          <cell r="K2543" t="str">
            <v>BXJC371965</v>
          </cell>
        </row>
        <row r="2544">
          <cell r="E2544" t="str">
            <v>MARRAR, RAMGRAH</v>
          </cell>
          <cell r="G2544">
            <v>7654107064</v>
          </cell>
          <cell r="K2544" t="str">
            <v>BXJS035074</v>
          </cell>
        </row>
        <row r="2545">
          <cell r="E2545" t="str">
            <v>DHANBAD</v>
          </cell>
          <cell r="G2545">
            <v>6207308280</v>
          </cell>
          <cell r="K2545" t="str">
            <v>BTED162231</v>
          </cell>
        </row>
        <row r="2546">
          <cell r="E2546" t="str">
            <v>NAMKUM INDUSTRIAL AREA,RANCHI
RANCHI
834010
INDIA</v>
          </cell>
          <cell r="G2546">
            <v>7070993638</v>
          </cell>
          <cell r="K2546" t="str">
            <v>GOCC370465</v>
          </cell>
        </row>
        <row r="2547">
          <cell r="E2547" t="str">
            <v>LOHAR BHARWA, DHANBAD</v>
          </cell>
          <cell r="G2547">
            <v>7004225629</v>
          </cell>
          <cell r="K2547" t="str">
            <v>BWKC378511</v>
          </cell>
        </row>
        <row r="2548">
          <cell r="E2548" t="str">
            <v>MANDU, RAMGARH
JAISWAL COLONY, THANA CHOW,, RAMGARH CANTT. DIST. RAMGARH, JHARKHAND
825316
MANDU</v>
          </cell>
          <cell r="G2548">
            <v>7654107064</v>
          </cell>
          <cell r="K2548" t="str">
            <v>BWLS032057</v>
          </cell>
        </row>
        <row r="2549">
          <cell r="E2549" t="str">
            <v>PETARWAR</v>
          </cell>
          <cell r="G2549">
            <v>6261095190</v>
          </cell>
          <cell r="K2549" t="str">
            <v>BWBD163738</v>
          </cell>
        </row>
        <row r="2550">
          <cell r="E2550" t="str">
            <v>ANGARA, TATISILWAI</v>
          </cell>
          <cell r="G2550">
            <v>9162768423</v>
          </cell>
          <cell r="K2550" t="str">
            <v>BVGF111615</v>
          </cell>
        </row>
        <row r="2551">
          <cell r="E2551" t="str">
            <v>BARHI</v>
          </cell>
          <cell r="G2551">
            <v>7903957272</v>
          </cell>
          <cell r="K2551" t="str">
            <v>BWBD163707</v>
          </cell>
        </row>
        <row r="2552">
          <cell r="E2552" t="str">
            <v>MANJULA ENTERPRISES, KOKAR INDUSTRIAL AREA KOKAR</v>
          </cell>
          <cell r="G2552">
            <v>9431583027</v>
          </cell>
          <cell r="K2552" t="str">
            <v>BUFC372952</v>
          </cell>
        </row>
        <row r="2553">
          <cell r="E2553" t="str">
            <v>ANGARA, TATISILWAI</v>
          </cell>
          <cell r="G2553">
            <v>9162768423</v>
          </cell>
          <cell r="K2553" t="str">
            <v>BVGF111611</v>
          </cell>
        </row>
        <row r="2554">
          <cell r="E2554" t="str">
            <v>BASIA, GUMLA</v>
          </cell>
          <cell r="G2554">
            <v>8294138415</v>
          </cell>
          <cell r="K2554" t="str">
            <v>BWJD163499</v>
          </cell>
        </row>
        <row r="2555">
          <cell r="E2555" t="str">
            <v>GOPALI CHOWK, DHANBAD</v>
          </cell>
          <cell r="G2555">
            <v>7004686026</v>
          </cell>
          <cell r="K2555" t="str">
            <v>BWLD163586</v>
          </cell>
        </row>
        <row r="2556">
          <cell r="E2556" t="str">
            <v>GONDUDIH, DHANBAD</v>
          </cell>
          <cell r="G2556">
            <v>9304207050</v>
          </cell>
          <cell r="K2556" t="str">
            <v>BWJD163475</v>
          </cell>
        </row>
        <row r="2557">
          <cell r="E2557" t="str">
            <v>TETULMARI, DHANBAD</v>
          </cell>
          <cell r="G2557">
            <v>6203015137</v>
          </cell>
          <cell r="K2557" t="str">
            <v>BWID164086</v>
          </cell>
        </row>
        <row r="2558">
          <cell r="E2558" t="str">
            <v>C/O RAJ KUMAR BHALA, DIWAN KUNJLAL LOHIA CHARITABLE TRUST, EAST MARKET ROAD, UPPER BAZAR,, RANCHI
834001</v>
          </cell>
          <cell r="G2558">
            <v>9308585184</v>
          </cell>
          <cell r="K2558" t="str">
            <v>BMDS031033</v>
          </cell>
        </row>
        <row r="2559">
          <cell r="E2559" t="str">
            <v>KOKAR,INDUSTRIAL AREA,RANCHI
834002
RANCHI</v>
          </cell>
          <cell r="G2559">
            <v>7781017197</v>
          </cell>
          <cell r="K2559" t="str">
            <v>BMKC370048</v>
          </cell>
        </row>
        <row r="2560">
          <cell r="E2560" t="str">
            <v>GOBINDPUR INDUSTRIAL AREA, DHANBAD</v>
          </cell>
          <cell r="G2560">
            <v>9113169811</v>
          </cell>
          <cell r="K2560" t="str">
            <v>BVJS047894</v>
          </cell>
        </row>
        <row r="2561">
          <cell r="E2561" t="str">
            <v>KULI, RAMGRAH</v>
          </cell>
          <cell r="G2561">
            <v>9691773091</v>
          </cell>
          <cell r="K2561" t="str">
            <v>BWAD163680</v>
          </cell>
        </row>
        <row r="2562">
          <cell r="E2562" t="str">
            <v>OPERATIONS OFFICER, BOKARO BP, KIND ATTEN.ABHISHEK TRIPATHI, MOB. NO.8789972995, VENDOR CODE-11970380
OPERATIONS OFFICER, BOKARO BP, KIND ATTEN.ABHISHEK TRIPATHI, MOB. NO.8789972995, VENDOR CODE-11970380
827014
LPG BOTTALING PLANT, BALIDIH,</v>
          </cell>
          <cell r="G2562">
            <v>7905252185</v>
          </cell>
          <cell r="K2562" t="str">
            <v>BOCS040147</v>
          </cell>
        </row>
        <row r="2563">
          <cell r="E2563" t="str">
            <v>OPERATIONS OFFICER, BOKARO BP, KIND ATTEN.ABHISHEK TRIPATHI, MOB. NO.8789972995, VENDOR CODE-11970380
OPERATIONS OFFICER, BOKARO BP, KIND ATTEN.ABHISHEK TRIPATHI, MOB. NO.8789972995, VENDOR CODE-11970380
827014
LPG BOTTALING PLANT, BALIDIH,</v>
          </cell>
          <cell r="G2563">
            <v>7905252185</v>
          </cell>
          <cell r="K2563" t="str">
            <v>BOCS040147</v>
          </cell>
        </row>
        <row r="2564">
          <cell r="E2564" t="str">
            <v>RANCHI
834002</v>
          </cell>
          <cell r="G2564">
            <v>8210241710</v>
          </cell>
          <cell r="K2564" t="str">
            <v>BTIS032020</v>
          </cell>
        </row>
        <row r="2565">
          <cell r="E2565" t="str">
            <v>RANCHI
834002</v>
          </cell>
          <cell r="G2565">
            <v>8210241710</v>
          </cell>
          <cell r="K2565" t="str">
            <v>BULS033141</v>
          </cell>
        </row>
        <row r="2566">
          <cell r="E2566" t="str">
            <v>RAMGRAH</v>
          </cell>
          <cell r="G2566">
            <v>9461229296</v>
          </cell>
          <cell r="K2566" t="str">
            <v>BKCS040380</v>
          </cell>
        </row>
        <row r="2567">
          <cell r="E2567" t="str">
            <v>DUMRI, JHARKHAND</v>
          </cell>
          <cell r="G2567">
            <v>9608325210</v>
          </cell>
          <cell r="K2567" t="str">
            <v>BSFD161830</v>
          </cell>
        </row>
        <row r="2568">
          <cell r="E2568" t="str">
            <v>BAGODER</v>
          </cell>
          <cell r="G2568">
            <v>9608255210</v>
          </cell>
          <cell r="K2568" t="str">
            <v>BRBD160856</v>
          </cell>
        </row>
        <row r="2569">
          <cell r="E2569" t="str">
            <v>DHANBAD</v>
          </cell>
          <cell r="G2569">
            <v>9155379185</v>
          </cell>
          <cell r="K2569" t="str">
            <v>BTFD162244</v>
          </cell>
        </row>
        <row r="2570">
          <cell r="E2570" t="str">
            <v>NAGRI,RANCHI
835202
RANCHI</v>
          </cell>
          <cell r="G2570">
            <v>7004248429</v>
          </cell>
          <cell r="K2570">
            <v>108441</v>
          </cell>
        </row>
        <row r="2571">
          <cell r="E2571" t="str">
            <v>PHUSHRO</v>
          </cell>
          <cell r="G2571">
            <v>7979946647</v>
          </cell>
          <cell r="K2571" t="str">
            <v>BVED163244</v>
          </cell>
        </row>
        <row r="2572">
          <cell r="E2572" t="str">
            <v>PHUSHRO</v>
          </cell>
          <cell r="G2572">
            <v>7979946647</v>
          </cell>
          <cell r="K2572" t="str">
            <v>BWHD231642</v>
          </cell>
        </row>
        <row r="2573">
          <cell r="E2573" t="str">
            <v>PHUSHRO</v>
          </cell>
          <cell r="G2573">
            <v>7091340232</v>
          </cell>
          <cell r="K2573" t="str">
            <v>BWAD163687</v>
          </cell>
        </row>
        <row r="2574">
          <cell r="E2574" t="str">
            <v>DHANBAD, CONT PERSON :MR. IKTEKHAR AHMAD, PH.NO :9431316718</v>
          </cell>
          <cell r="G2574">
            <v>6201045282</v>
          </cell>
          <cell r="K2574" t="str">
            <v>BSKD161462</v>
          </cell>
        </row>
        <row r="2575">
          <cell r="E2575" t="str">
            <v>TETULWARI</v>
          </cell>
          <cell r="G2575">
            <v>9006617909</v>
          </cell>
          <cell r="K2575" t="str">
            <v>BTGD162296</v>
          </cell>
        </row>
        <row r="2576">
          <cell r="E2576" t="str">
            <v>SUNDAR NAGAR, JAMSHEDPUR</v>
          </cell>
          <cell r="G2576">
            <v>7908183052</v>
          </cell>
          <cell r="K2576" t="str">
            <v>BUAD162625</v>
          </cell>
        </row>
        <row r="2577">
          <cell r="E2577" t="str">
            <v>KAARO SUBHASH NAGAR, DHANBAD</v>
          </cell>
          <cell r="G2577">
            <v>7481018322</v>
          </cell>
          <cell r="K2577" t="str">
            <v>BTFD162243</v>
          </cell>
        </row>
        <row r="2578">
          <cell r="E2578" t="str">
            <v>DHANBAD JHARKHAND</v>
          </cell>
          <cell r="G2578">
            <v>7489823544</v>
          </cell>
          <cell r="K2578" t="str">
            <v>BQKD160115</v>
          </cell>
        </row>
        <row r="2579">
          <cell r="E2579" t="str">
            <v>VILL - BARIDARI, BOKARO</v>
          </cell>
          <cell r="G2579">
            <v>9934169104</v>
          </cell>
          <cell r="K2579" t="str">
            <v>BRHD161299</v>
          </cell>
        </row>
        <row r="2580">
          <cell r="E2580" t="str">
            <v>DHANBAD, CONT PERSON :MR. IKTEKHAR AHMAD, PH.NO :9431316718</v>
          </cell>
          <cell r="G2580">
            <v>8210567144</v>
          </cell>
          <cell r="K2580" t="str">
            <v>BQID160499</v>
          </cell>
        </row>
        <row r="2581">
          <cell r="E2581" t="str">
            <v>GARHWA DALTONGANJ</v>
          </cell>
          <cell r="G2581">
            <v>7488259727</v>
          </cell>
          <cell r="K2581" t="str">
            <v>BSAD161582</v>
          </cell>
        </row>
        <row r="2582">
          <cell r="E2582" t="str">
            <v>JHARKHAND</v>
          </cell>
          <cell r="G2582">
            <v>9555053031</v>
          </cell>
          <cell r="K2582" t="str">
            <v>BQJD160040</v>
          </cell>
        </row>
        <row r="2583">
          <cell r="E2583" t="str">
            <v>PALAMU</v>
          </cell>
          <cell r="G2583">
            <v>7903236357</v>
          </cell>
          <cell r="K2583" t="str">
            <v>BSJD161378</v>
          </cell>
        </row>
        <row r="2584">
          <cell r="E2584" t="str">
            <v>ANGAR PATRA,DHANBAD</v>
          </cell>
          <cell r="G2584">
            <v>6207308280</v>
          </cell>
          <cell r="K2584" t="str">
            <v>BSGD161898</v>
          </cell>
        </row>
        <row r="2585">
          <cell r="E2585" t="str">
            <v>FLAT NO. 300, BLOCK - A, MP SRIRAM, CHHOTA GAMHARIA, P.S. - GAMHARIA, DIST.- SARAIKELA KHARSAWAN</v>
          </cell>
          <cell r="G2585">
            <v>7900700814</v>
          </cell>
          <cell r="K2585" t="str">
            <v>BRBL150944</v>
          </cell>
        </row>
        <row r="2586">
          <cell r="E2586" t="str">
            <v>CHOUSA, BUXER, BIHAR</v>
          </cell>
          <cell r="G2586">
            <v>6391527243</v>
          </cell>
          <cell r="K2586" t="str">
            <v>BUHL152930</v>
          </cell>
        </row>
        <row r="2587">
          <cell r="E2587" t="str">
            <v>SHEIKHPURA, BIHAR</v>
          </cell>
          <cell r="G2587">
            <v>9523069653</v>
          </cell>
          <cell r="K2587" t="str">
            <v>BULL160559</v>
          </cell>
        </row>
        <row r="2588">
          <cell r="E2588" t="str">
            <v>HAJIPUR, BIHAR</v>
          </cell>
          <cell r="G2588">
            <v>7368928746</v>
          </cell>
          <cell r="K2588" t="str">
            <v>BUID220795</v>
          </cell>
        </row>
        <row r="2589">
          <cell r="E2589" t="str">
            <v>ADITYAPUR KANDRA ROAD
831013</v>
          </cell>
          <cell r="G2589">
            <v>8709350884</v>
          </cell>
          <cell r="K2589" t="str">
            <v>BRCD160984</v>
          </cell>
        </row>
        <row r="2590">
          <cell r="E2590" t="str">
            <v>ASHOK NAGAR, RANCHI</v>
          </cell>
          <cell r="G2590">
            <v>8005942996</v>
          </cell>
          <cell r="K2590" t="str">
            <v>BQKD200048</v>
          </cell>
        </row>
        <row r="2591">
          <cell r="E2591" t="str">
            <v>C/O URANIUM CORPORATION OF INDIA LIMITED, MOHULDIH MINES, SARAIKELA, KHARSAWAN</v>
          </cell>
          <cell r="G2591">
            <v>8367674492</v>
          </cell>
          <cell r="K2591" t="str">
            <v>BUAL160594</v>
          </cell>
        </row>
        <row r="2592">
          <cell r="E2592" t="str">
            <v>ASHOK NAGAR, RANCHI</v>
          </cell>
          <cell r="G2592">
            <v>8005942996</v>
          </cell>
          <cell r="K2592" t="str">
            <v>BPLD200068</v>
          </cell>
        </row>
        <row r="2593">
          <cell r="E2593" t="str">
            <v>LODNA</v>
          </cell>
          <cell r="G2593">
            <v>9044360313</v>
          </cell>
          <cell r="K2593" t="str">
            <v>BTCD162149</v>
          </cell>
        </row>
        <row r="2594">
          <cell r="E2594" t="str">
            <v>TAPIN HAZARIBAGH</v>
          </cell>
          <cell r="G2594">
            <v>8002177613</v>
          </cell>
          <cell r="K2594" t="str">
            <v>BTGD162289</v>
          </cell>
        </row>
        <row r="2595">
          <cell r="E2595" t="str">
            <v>ASHOKA PROJECT PIPARWAR</v>
          </cell>
          <cell r="G2595">
            <v>9102994454</v>
          </cell>
          <cell r="K2595" t="str">
            <v>BUID162912</v>
          </cell>
        </row>
        <row r="2596">
          <cell r="E2596" t="str">
            <v>501, H.NO.3-4-136/B., ROYAL ASHOK, RESIDENCY , BARKATPURA, HYDERABAD, TELANGANA - 500027</v>
          </cell>
          <cell r="G2596">
            <v>7006138621</v>
          </cell>
          <cell r="K2596" t="str">
            <v>BTJD162045</v>
          </cell>
        </row>
        <row r="2597">
          <cell r="E2597" t="str">
            <v>KASUNDA</v>
          </cell>
          <cell r="G2597">
            <v>9279228381</v>
          </cell>
          <cell r="K2597" t="str">
            <v>BTCD162162</v>
          </cell>
        </row>
        <row r="2598">
          <cell r="E2598" t="str">
            <v>PHUSHRO</v>
          </cell>
          <cell r="G2598">
            <v>9279228381</v>
          </cell>
          <cell r="K2598" t="str">
            <v>BRFD161164</v>
          </cell>
        </row>
        <row r="2599">
          <cell r="E2599" t="str">
            <v>TETULWARI</v>
          </cell>
          <cell r="G2599">
            <v>9006617909</v>
          </cell>
          <cell r="K2599" t="str">
            <v>BTGD162296</v>
          </cell>
        </row>
        <row r="2600">
          <cell r="E2600" t="str">
            <v>DHANBAD</v>
          </cell>
          <cell r="G2600">
            <v>8521311810</v>
          </cell>
          <cell r="K2600" t="str">
            <v>BTDD162186</v>
          </cell>
        </row>
        <row r="2601">
          <cell r="E2601" t="str">
            <v>KATRAS, DHANBAD</v>
          </cell>
          <cell r="G2601">
            <v>9661544624</v>
          </cell>
          <cell r="K2601" t="str">
            <v>BSKD161477</v>
          </cell>
        </row>
        <row r="2602">
          <cell r="E2602" t="str">
            <v>COLLIEARY, DHANBAD</v>
          </cell>
          <cell r="G2602">
            <v>9573347055</v>
          </cell>
          <cell r="K2602" t="str">
            <v>BQCD160106</v>
          </cell>
        </row>
        <row r="2603">
          <cell r="E2603" t="str">
            <v>RAMPUR, LOHARDGA</v>
          </cell>
          <cell r="G2603">
            <v>9934198170</v>
          </cell>
          <cell r="K2603" t="str">
            <v>BRKD160653</v>
          </cell>
        </row>
        <row r="2604">
          <cell r="E2604" t="str">
            <v>KOKAR, RANCHI</v>
          </cell>
          <cell r="G2604">
            <v>8051191796</v>
          </cell>
          <cell r="K2604" t="str">
            <v>BRGD161233</v>
          </cell>
        </row>
        <row r="2605">
          <cell r="E2605" t="str">
            <v>MANDU, RAMGARH
JAISWAL COLONY, THANA CHOW,, RAMGARH CANTT. DIST. RAMGARH, JHARKHAND
825316
MANDU</v>
          </cell>
          <cell r="G2605">
            <v>8797891051</v>
          </cell>
          <cell r="K2605" t="str">
            <v>BWCS032691</v>
          </cell>
        </row>
        <row r="2606">
          <cell r="E2606" t="str">
            <v>AMLO, PHUSHRO</v>
          </cell>
          <cell r="G2606">
            <v>9006617909</v>
          </cell>
          <cell r="K2606" t="str">
            <v>BJGD200109</v>
          </cell>
        </row>
        <row r="2607">
          <cell r="E2607" t="str">
            <v>BENIDIH</v>
          </cell>
          <cell r="G2607">
            <v>9006617909</v>
          </cell>
          <cell r="K2607" t="str">
            <v>BPGD220035</v>
          </cell>
        </row>
        <row r="2608">
          <cell r="E2608" t="str">
            <v>FLAT NO. 300, BLOCK - A, MP SRIRAM, CHHOTA GAMHARIA, P.S. - GAMHARIA, DIST.- SARAIKELA KHARSAWAN</v>
          </cell>
          <cell r="G2608">
            <v>7600700814</v>
          </cell>
          <cell r="K2608" t="str">
            <v>BRGL151464</v>
          </cell>
        </row>
        <row r="2609">
          <cell r="E2609" t="str">
            <v>JARANDIH, PHUSHRO</v>
          </cell>
          <cell r="G2609">
            <v>7541869555</v>
          </cell>
          <cell r="K2609" t="str">
            <v>BTKD162074</v>
          </cell>
        </row>
        <row r="2610">
          <cell r="E2610" t="str">
            <v>GONDUDIH</v>
          </cell>
          <cell r="G2610">
            <v>9113788052</v>
          </cell>
          <cell r="K2610" t="str">
            <v>BSCD161691</v>
          </cell>
        </row>
        <row r="2611">
          <cell r="E2611" t="str">
            <v>GONDUDIH</v>
          </cell>
          <cell r="G2611">
            <v>9113788032</v>
          </cell>
          <cell r="K2611" t="str">
            <v>BQCD160129</v>
          </cell>
        </row>
        <row r="2612">
          <cell r="E2612" t="str">
            <v>AMLO, PHUSHRO</v>
          </cell>
          <cell r="G2612">
            <v>9006617909</v>
          </cell>
          <cell r="K2612" t="str">
            <v>BJGD200109</v>
          </cell>
        </row>
        <row r="2613">
          <cell r="E2613" t="str">
            <v>BANDHTOLI, NAGRI</v>
          </cell>
          <cell r="G2613">
            <v>6201457979</v>
          </cell>
          <cell r="K2613" t="str">
            <v>BUFS046813</v>
          </cell>
        </row>
        <row r="2614">
          <cell r="E2614" t="str">
            <v>NAGRI,RANCHI
835202
RANCHI</v>
          </cell>
          <cell r="G2614">
            <v>7004248429</v>
          </cell>
          <cell r="K2614">
            <v>108441</v>
          </cell>
        </row>
        <row r="2615">
          <cell r="E2615" t="str">
            <v>NAGRI,RANCHI
835202
RANCHI</v>
          </cell>
          <cell r="G2615">
            <v>7004849065</v>
          </cell>
          <cell r="K2615" t="str">
            <v>BRIS035698</v>
          </cell>
        </row>
        <row r="2616">
          <cell r="E2616" t="str">
            <v>KHURPANIA, KHASHMAHAL, PHUSHRO</v>
          </cell>
          <cell r="G2616">
            <v>8797943594</v>
          </cell>
          <cell r="K2616" t="str">
            <v>BTHD162350</v>
          </cell>
        </row>
        <row r="2617">
          <cell r="E2617" t="str">
            <v>GIRIDIH</v>
          </cell>
          <cell r="G2617">
            <v>7903377362</v>
          </cell>
          <cell r="K2617" t="str">
            <v>BVFS049456</v>
          </cell>
        </row>
        <row r="2618">
          <cell r="E2618" t="str">
            <v>LALPUR</v>
          </cell>
          <cell r="G2618">
            <v>8390215136</v>
          </cell>
          <cell r="K2618" t="str">
            <v>BVKS048013</v>
          </cell>
        </row>
        <row r="2619">
          <cell r="E2619" t="str">
            <v>PIPRA</v>
          </cell>
          <cell r="G2619">
            <v>9304258268</v>
          </cell>
          <cell r="K2619" t="str">
            <v>BVIL161084</v>
          </cell>
        </row>
        <row r="2620">
          <cell r="E2620" t="str">
            <v>BHUIYADIH, JAMSHEDPUR</v>
          </cell>
          <cell r="G2620">
            <v>9234610637</v>
          </cell>
          <cell r="K2620" t="str">
            <v>BOKD120025</v>
          </cell>
        </row>
        <row r="2621">
          <cell r="E2621" t="str">
            <v>PALAMU, DALTAINGANJ</v>
          </cell>
          <cell r="G2621">
            <v>9153994622</v>
          </cell>
          <cell r="K2621" t="str">
            <v>BVAC375308</v>
          </cell>
        </row>
        <row r="2622">
          <cell r="E2622" t="str">
            <v>FLAT NO. 300, BLOCK - A, MP SRIRAM, CHHOTA GAMHARIA, P.S. - GAMHARIA, DIST.- SARAIKELA KHARSAWAN</v>
          </cell>
          <cell r="G2622">
            <v>7900700814</v>
          </cell>
          <cell r="K2622" t="str">
            <v>BRGL151468</v>
          </cell>
        </row>
        <row r="2623">
          <cell r="E2623" t="str">
            <v>NAMKUM INDUSTRIAL AREA,RANCHI
834010</v>
          </cell>
          <cell r="G2623">
            <v>9386408111</v>
          </cell>
          <cell r="K2623" t="str">
            <v>BRHS035337</v>
          </cell>
        </row>
        <row r="2624">
          <cell r="E2624" t="str">
            <v>BARKAGAON, HAZARIBAGH</v>
          </cell>
          <cell r="G2624">
            <v>7070010949</v>
          </cell>
          <cell r="K2624" t="str">
            <v>BWLD231345</v>
          </cell>
        </row>
        <row r="2625">
          <cell r="E2625" t="str">
            <v>KEREDARI</v>
          </cell>
          <cell r="G2625">
            <v>6202856098</v>
          </cell>
          <cell r="K2625" t="str">
            <v>BVHD163388</v>
          </cell>
        </row>
        <row r="2626">
          <cell r="E2626" t="str">
            <v>KODERMA</v>
          </cell>
          <cell r="G2626">
            <v>8340549018</v>
          </cell>
          <cell r="K2626" t="str">
            <v>BWID220970</v>
          </cell>
        </row>
        <row r="2627">
          <cell r="E2627" t="str">
            <v>BARIATU,RANCHI
834009
BARIATU</v>
          </cell>
          <cell r="G2627">
            <v>7563805899</v>
          </cell>
          <cell r="K2627" t="str">
            <v>BQLC370193</v>
          </cell>
        </row>
        <row r="2628">
          <cell r="E2628" t="str">
            <v>DHANBAD</v>
          </cell>
          <cell r="G2628">
            <v>7004686026</v>
          </cell>
          <cell r="K2628" t="str">
            <v>BWLD163586</v>
          </cell>
        </row>
        <row r="2629">
          <cell r="E2629" t="str">
            <v>KODERMA</v>
          </cell>
          <cell r="G2629">
            <v>8210413459</v>
          </cell>
          <cell r="K2629" t="str">
            <v>BVFS049407</v>
          </cell>
        </row>
        <row r="2630">
          <cell r="E2630" t="str">
            <v>KODERMA</v>
          </cell>
          <cell r="G2630">
            <v>8210413459</v>
          </cell>
          <cell r="K2630" t="str">
            <v>BVFS049421</v>
          </cell>
        </row>
        <row r="2631">
          <cell r="E2631" t="str">
            <v>KODERMA</v>
          </cell>
          <cell r="G2631">
            <v>8210413459</v>
          </cell>
          <cell r="K2631" t="str">
            <v>BVFS049398</v>
          </cell>
        </row>
        <row r="2632">
          <cell r="E2632" t="str">
            <v>9.P .INDUSTRIAL AREA  KOKAR, RANCHI, TIN-20880200515
9.P .INDUSTRIAL AREA  KOKAR, RANCHI, TIN-20880200515
834001</v>
          </cell>
          <cell r="G2632">
            <v>7903315808</v>
          </cell>
          <cell r="K2632" t="str">
            <v>BTGS031205</v>
          </cell>
        </row>
        <row r="2633">
          <cell r="E2633" t="str">
            <v>SARWARI, ASANSOL, WB</v>
          </cell>
          <cell r="G2633">
            <v>9263186366</v>
          </cell>
          <cell r="K2633" t="str">
            <v>BPLF150007</v>
          </cell>
        </row>
        <row r="2634">
          <cell r="E2634" t="str">
            <v>CHAS BOKARO</v>
          </cell>
          <cell r="G2634">
            <v>9430375575</v>
          </cell>
          <cell r="K2634" t="str">
            <v>BWID164096</v>
          </cell>
        </row>
        <row r="2635">
          <cell r="E2635" t="str">
            <v>DEOGRAH</v>
          </cell>
          <cell r="G2635">
            <v>8969595423</v>
          </cell>
          <cell r="K2635" t="str">
            <v>BXKD164166</v>
          </cell>
        </row>
        <row r="2636">
          <cell r="E2636" t="str">
            <v>MAIN ROAD, RANCHI</v>
          </cell>
          <cell r="G2636">
            <v>703397295</v>
          </cell>
          <cell r="K2636" t="str">
            <v>BQAC370019</v>
          </cell>
        </row>
        <row r="2637">
          <cell r="E2637" t="str">
            <v>BARKAGAON, HAZARIBAGH</v>
          </cell>
          <cell r="G2637">
            <v>7070010949</v>
          </cell>
          <cell r="K2637" t="str">
            <v>BVED231179</v>
          </cell>
        </row>
        <row r="2638">
          <cell r="E2638" t="str">
            <v>BARKAGAON, HAZARIBAGH</v>
          </cell>
          <cell r="G2638">
            <v>7070010949</v>
          </cell>
          <cell r="K2638" t="str">
            <v>BWLD231334</v>
          </cell>
        </row>
        <row r="2639">
          <cell r="E2639" t="str">
            <v>INDIA - NEPAL - BHUTAN BORDER</v>
          </cell>
          <cell r="G2639">
            <v>7033484612</v>
          </cell>
          <cell r="K2639" t="str">
            <v>BWFD121755</v>
          </cell>
        </row>
        <row r="2640">
          <cell r="E2640" t="str">
            <v>GONDUDIH, DHANBAD</v>
          </cell>
          <cell r="G2640">
            <v>9661544624</v>
          </cell>
          <cell r="K2640" t="str">
            <v>BWJD163475</v>
          </cell>
        </row>
        <row r="2641">
          <cell r="E2641" t="str">
            <v>CHIRKUNDA, DHANBAD</v>
          </cell>
          <cell r="G2641">
            <v>8101005542</v>
          </cell>
          <cell r="K2641" t="str">
            <v>BWHC371250</v>
          </cell>
        </row>
        <row r="2642">
          <cell r="E2642" t="str">
            <v>DHANBAD</v>
          </cell>
          <cell r="G2642">
            <v>9801996592</v>
          </cell>
          <cell r="K2642" t="str">
            <v>BQHD160418</v>
          </cell>
        </row>
        <row r="2643">
          <cell r="E2643" t="str">
            <v>RAHELA, DALTAINGANJ</v>
          </cell>
          <cell r="G2643">
            <v>8877136770</v>
          </cell>
          <cell r="K2643" t="str">
            <v>BVAS038319</v>
          </cell>
        </row>
        <row r="2644">
          <cell r="E2644" t="str">
            <v>RAHELA, PALAMU</v>
          </cell>
          <cell r="G2644">
            <v>887713770</v>
          </cell>
          <cell r="K2644" t="str">
            <v>BVAS038319</v>
          </cell>
        </row>
        <row r="2645">
          <cell r="E2645" t="str">
            <v>BARIATU,RANCHI
834009
BARIATU</v>
          </cell>
          <cell r="G2645">
            <v>7563805899</v>
          </cell>
          <cell r="K2645" t="str">
            <v>BQLC370193</v>
          </cell>
        </row>
        <row r="2646">
          <cell r="E2646" t="str">
            <v>NAGRI,RANCHI
835202
RANCHI</v>
          </cell>
          <cell r="G2646">
            <v>7004849065</v>
          </cell>
          <cell r="K2646" t="str">
            <v>BRIS035698</v>
          </cell>
        </row>
        <row r="2647">
          <cell r="E2647" t="str">
            <v>ARGADA ROAD, BINJHAR, P.O. - MARAR, RAMGARH
829117</v>
          </cell>
          <cell r="G2647">
            <v>8651078322</v>
          </cell>
          <cell r="K2647" t="str">
            <v>BSCS037449</v>
          </cell>
        </row>
        <row r="2648">
          <cell r="E2648" t="str">
            <v>AT - HEHAL, POST - BARKAKANA
BARKAKANA
829103</v>
          </cell>
          <cell r="G2648">
            <v>6200896545</v>
          </cell>
          <cell r="K2648" t="str">
            <v>BUAS033580</v>
          </cell>
        </row>
        <row r="2649">
          <cell r="E2649" t="str">
            <v>CHATRA</v>
          </cell>
          <cell r="G2649">
            <v>8102075973</v>
          </cell>
          <cell r="K2649" t="str">
            <v>BWGD163984</v>
          </cell>
        </row>
        <row r="2650">
          <cell r="E2650" t="str">
            <v>NEAR P.N BANK MAIN ROAD,, RAMGARH CANTT-829122, DIST. RAMGARH
829122
BUDHAKHOP, AMBRELA, KARMA,</v>
          </cell>
          <cell r="G2650">
            <v>9693796748</v>
          </cell>
          <cell r="K2650" t="str">
            <v>BSHS038806</v>
          </cell>
        </row>
        <row r="2651">
          <cell r="E2651" t="str">
            <v>NEAR P.N BANK MAIN ROAD,, RAMGARH CANTT-829122, DIST. RAMGARH
829122
BUDHAKHOP, AMBRELA, KARMA,</v>
          </cell>
          <cell r="G2651">
            <v>8789350097</v>
          </cell>
          <cell r="K2651" t="str">
            <v>BQBS030091</v>
          </cell>
        </row>
        <row r="2652">
          <cell r="E2652" t="str">
            <v>1, KOCP, DHANSAR, Dhanbad, Jharkhand, 828106</v>
          </cell>
          <cell r="G2652">
            <v>6360902039</v>
          </cell>
          <cell r="K2652" t="str">
            <v>BUIC373701</v>
          </cell>
        </row>
        <row r="2653">
          <cell r="E2653" t="str">
            <v>NTA LODNA, DHANBAD</v>
          </cell>
          <cell r="G2653">
            <v>7644045555</v>
          </cell>
          <cell r="K2653" t="str">
            <v>BULD162559</v>
          </cell>
        </row>
        <row r="2654">
          <cell r="E2654" t="str">
            <v>CHUTIA, RANCHI</v>
          </cell>
          <cell r="G2654">
            <v>9793976818</v>
          </cell>
          <cell r="K2654" t="str">
            <v>BVKC374485</v>
          </cell>
        </row>
        <row r="2655">
          <cell r="E2655" t="str">
            <v>LODNA MORE</v>
          </cell>
          <cell r="G2655">
            <v>6200119580</v>
          </cell>
          <cell r="K2655" t="str">
            <v>BWKD163512</v>
          </cell>
        </row>
        <row r="2656">
          <cell r="E2656" t="str">
            <v>LODNA MORE</v>
          </cell>
          <cell r="G2656">
            <v>6200119580</v>
          </cell>
          <cell r="K2656" t="str">
            <v>BWKD163512</v>
          </cell>
        </row>
        <row r="2657">
          <cell r="E2657" t="str">
            <v>FATEPUR GAYA</v>
          </cell>
          <cell r="G2657">
            <v>9631909713</v>
          </cell>
          <cell r="K2657" t="str">
            <v>BWLD163608</v>
          </cell>
        </row>
        <row r="2658">
          <cell r="E2658" t="str">
            <v>MAHUDA MORE, DHANBAD</v>
          </cell>
          <cell r="G2658">
            <v>6204702963</v>
          </cell>
          <cell r="K2658" t="str">
            <v>BWHD164004</v>
          </cell>
        </row>
        <row r="2659">
          <cell r="E2659" t="str">
            <v>ENA COLLEARY</v>
          </cell>
          <cell r="G2659">
            <v>9570178502</v>
          </cell>
          <cell r="K2659" t="str">
            <v>BXJD164132</v>
          </cell>
        </row>
        <row r="2660">
          <cell r="E2660" t="str">
            <v>PATRATU</v>
          </cell>
          <cell r="G2660">
            <v>7672025601</v>
          </cell>
          <cell r="K2660" t="str">
            <v>BWHD164015</v>
          </cell>
        </row>
        <row r="2661">
          <cell r="E2661" t="str">
            <v>DALADALI, RANCHI</v>
          </cell>
          <cell r="G2661">
            <v>8051191796</v>
          </cell>
          <cell r="K2661" t="str">
            <v>BWED163889</v>
          </cell>
        </row>
        <row r="2662">
          <cell r="E2662" t="str">
            <v>CHUTIA, RANCHI</v>
          </cell>
          <cell r="G2662">
            <v>8292766229</v>
          </cell>
          <cell r="K2662" t="str">
            <v>BVKC374485</v>
          </cell>
        </row>
        <row r="2663">
          <cell r="E2663" t="str">
            <v>RAGOPUR, NEPAL BORDER</v>
          </cell>
          <cell r="G2663">
            <v>9311322151</v>
          </cell>
          <cell r="K2663" t="str">
            <v>BXKD231832</v>
          </cell>
        </row>
        <row r="2664">
          <cell r="E2664" t="str">
            <v>TATISILWAI, RANCHI</v>
          </cell>
          <cell r="G2664">
            <v>9263078555</v>
          </cell>
          <cell r="K2664" t="str">
            <v>BVIC378177</v>
          </cell>
        </row>
        <row r="2665">
          <cell r="E2665" t="str">
            <v>RAMGARH,JHARKHAND
829122</v>
          </cell>
          <cell r="G2665">
            <v>7488489309</v>
          </cell>
          <cell r="K2665" t="str">
            <v>BSIC376940</v>
          </cell>
        </row>
        <row r="2666">
          <cell r="E2666" t="str">
            <v>RAMGARH,JHARKHAND
829122</v>
          </cell>
          <cell r="G2666">
            <v>8825277617</v>
          </cell>
          <cell r="K2666" t="str">
            <v>BPAS030126</v>
          </cell>
        </row>
        <row r="2667">
          <cell r="E2667" t="str">
            <v>GHATO</v>
          </cell>
          <cell r="G2667">
            <v>7209685615</v>
          </cell>
          <cell r="K2667" t="str">
            <v>BXKD164174</v>
          </cell>
        </row>
        <row r="2668">
          <cell r="E2668" t="str">
            <v>BAGESARAI, BIHAR</v>
          </cell>
          <cell r="G2668">
            <v>9883012103</v>
          </cell>
          <cell r="K2668" t="str">
            <v>BXJD121862</v>
          </cell>
        </row>
        <row r="2669">
          <cell r="E2669" t="str">
            <v>DEOGRAH</v>
          </cell>
          <cell r="G2669">
            <v>9065522796</v>
          </cell>
          <cell r="K2669" t="str">
            <v>BWCC379822</v>
          </cell>
        </row>
        <row r="2670">
          <cell r="E2670" t="str">
            <v>SHYAMDIH, KATRAS</v>
          </cell>
          <cell r="G2670">
            <v>9835988493</v>
          </cell>
          <cell r="K2670" t="str">
            <v>BQCD160098</v>
          </cell>
        </row>
        <row r="2671">
          <cell r="E2671" t="str">
            <v>RAMGRAH</v>
          </cell>
          <cell r="G2671">
            <v>9431394348</v>
          </cell>
          <cell r="K2671" t="str">
            <v>BWKC378694</v>
          </cell>
        </row>
        <row r="2672">
          <cell r="E2672" t="str">
            <v>RAMGARH,JHARKHAND
825101
RAMGARH</v>
          </cell>
          <cell r="G2672">
            <v>9431394348</v>
          </cell>
          <cell r="K2672" t="str">
            <v>BSGC376585</v>
          </cell>
        </row>
        <row r="2673">
          <cell r="E2673" t="str">
            <v>KATRAS, DHANBAD</v>
          </cell>
          <cell r="G2673">
            <v>9931519401</v>
          </cell>
          <cell r="K2673" t="str">
            <v>BWAD163674</v>
          </cell>
        </row>
        <row r="2674">
          <cell r="E2674" t="str">
            <v>KATRAS, DHANBAD</v>
          </cell>
          <cell r="G2674">
            <v>9931519401</v>
          </cell>
          <cell r="K2674" t="str">
            <v>BWAD163674</v>
          </cell>
        </row>
        <row r="2675">
          <cell r="E2675" t="str">
            <v>TAPIN PROJECT, TAPIN</v>
          </cell>
          <cell r="G2675">
            <v>8521064546</v>
          </cell>
          <cell r="K2675" t="str">
            <v>BUID162953</v>
          </cell>
        </row>
        <row r="2676">
          <cell r="E2676" t="str">
            <v>GUMLA</v>
          </cell>
          <cell r="G2676">
            <v>7079918911</v>
          </cell>
          <cell r="K2676" t="str">
            <v>BWLS032007</v>
          </cell>
        </row>
        <row r="2677">
          <cell r="E2677" t="str">
            <v>PLOT NO. 79, KAPASARA,, SUNDERNAGAR, CHIRKUNDA,, DHANBAD - 828 202
PLOT NO. 79, KAPASARA,, SUNDERNAGAR, CHIRKUNDA,, DHANBAD - 828 202
828202</v>
          </cell>
          <cell r="G2677">
            <v>8101005542</v>
          </cell>
          <cell r="K2677" t="str">
            <v>BTFS031006</v>
          </cell>
        </row>
        <row r="2678">
          <cell r="E2678" t="str">
            <v>RANCHI</v>
          </cell>
          <cell r="G2678">
            <v>8709503035</v>
          </cell>
          <cell r="K2678" t="str">
            <v>BWHD164039</v>
          </cell>
        </row>
        <row r="2679">
          <cell r="E2679" t="str">
            <v>PHUSHRO, BOKARO</v>
          </cell>
          <cell r="G2679">
            <v>9430702649</v>
          </cell>
          <cell r="K2679" t="str">
            <v>BWID164076</v>
          </cell>
        </row>
        <row r="2680">
          <cell r="E2680" t="str">
            <v>OPP. WAXPOLE TATISILWAY</v>
          </cell>
          <cell r="G2680">
            <v>8987495120</v>
          </cell>
          <cell r="K2680" t="str">
            <v>BVDC376415</v>
          </cell>
        </row>
        <row r="2681">
          <cell r="E2681" t="str">
            <v>GUMLA</v>
          </cell>
          <cell r="G2681">
            <v>8285869956</v>
          </cell>
          <cell r="K2681" t="str">
            <v>BWKS031684</v>
          </cell>
        </row>
        <row r="2682">
          <cell r="E2682" t="str">
            <v>KUJAMA, LODNA</v>
          </cell>
          <cell r="G2682">
            <v>891945238</v>
          </cell>
          <cell r="K2682" t="str">
            <v>BWCD163769</v>
          </cell>
        </row>
        <row r="2683">
          <cell r="E2683" t="str">
            <v>BHULI, DHANBAD</v>
          </cell>
          <cell r="G2683">
            <v>7541046561</v>
          </cell>
          <cell r="K2683" t="str">
            <v>BWEC370394</v>
          </cell>
        </row>
        <row r="2684">
          <cell r="E2684" t="str">
            <v>DALADALI, RANCHI</v>
          </cell>
          <cell r="G2684">
            <v>9934169368</v>
          </cell>
          <cell r="K2684" t="str">
            <v>BVKD163010</v>
          </cell>
        </row>
        <row r="2685">
          <cell r="E2685" t="str">
            <v>ENA COLLEARY</v>
          </cell>
          <cell r="G2685">
            <v>9570178502</v>
          </cell>
          <cell r="K2685" t="str">
            <v>BXJD164132</v>
          </cell>
        </row>
        <row r="2686">
          <cell r="E2686" t="str">
            <v>SADAR HOSPITAL, BOKARO, C/O L &amp; T LTD. BOKARO, JHARKHAND
C/O L &amp; T LTD. BOKARO, JHARKHAND
000000</v>
          </cell>
          <cell r="G2686">
            <v>7654511684</v>
          </cell>
          <cell r="K2686" t="str">
            <v>BUBS045931</v>
          </cell>
        </row>
        <row r="2687">
          <cell r="E2687" t="str">
            <v>ANGARA, TATISILWAI</v>
          </cell>
          <cell r="G2687">
            <v>9162768423</v>
          </cell>
          <cell r="K2687" t="str">
            <v>BVGF111611</v>
          </cell>
        </row>
        <row r="2688">
          <cell r="E2688" t="str">
            <v>ANGARA, TATISILWAI</v>
          </cell>
          <cell r="G2688">
            <v>9162768423</v>
          </cell>
          <cell r="K2688" t="str">
            <v>BVGF111615</v>
          </cell>
        </row>
        <row r="2689">
          <cell r="E2689" t="str">
            <v>SARNATOLI,ANGADA,RANCHI
835222</v>
          </cell>
          <cell r="G2689">
            <v>9162768423</v>
          </cell>
          <cell r="K2689" t="str">
            <v>BSAF110719</v>
          </cell>
        </row>
        <row r="2690">
          <cell r="E2690" t="str">
            <v>BOKARO,JHARKHAND
827004</v>
          </cell>
          <cell r="G2690">
            <v>7280055889</v>
          </cell>
          <cell r="K2690" t="str">
            <v>BRGC373881</v>
          </cell>
        </row>
        <row r="2691">
          <cell r="E2691" t="str">
            <v>SADAR HOSPITAL, BOKARO, C/O L &amp; T LTD. BOKARO, JHARKHAND
C/O L &amp; T LTD. BOKARO, JHARKHAND
000000</v>
          </cell>
          <cell r="G2691">
            <v>9939116955</v>
          </cell>
          <cell r="K2691" t="str">
            <v>BUBS045933</v>
          </cell>
        </row>
        <row r="2692">
          <cell r="E2692" t="str">
            <v>DHANBAD</v>
          </cell>
          <cell r="G2692">
            <v>9835312777</v>
          </cell>
          <cell r="K2692" t="str">
            <v>BVGD163308</v>
          </cell>
        </row>
        <row r="2693">
          <cell r="E2693" t="str">
            <v>GROUND FLOOR, 8H AND 81, NATION PRINTERS, NAMKUM INDUSTRIAL AREA,, LOWADIH, RANCHI
GROUND FLOOR, 8H AND 81, NATION PRINTERS, NAMKUM INDUSTRIAL AREA,, LOWADIH, RANCHI
834010</v>
          </cell>
          <cell r="G2693">
            <v>9709225271</v>
          </cell>
          <cell r="K2693" t="str">
            <v>BRFC373676</v>
          </cell>
        </row>
        <row r="2694">
          <cell r="E2694" t="str">
            <v>LODNA MORE</v>
          </cell>
          <cell r="G2694">
            <v>7623886938</v>
          </cell>
          <cell r="K2694" t="str">
            <v>BWKD163543</v>
          </cell>
        </row>
        <row r="2695">
          <cell r="E2695" t="str">
            <v>LALPUR</v>
          </cell>
          <cell r="G2695">
            <v>8390215136</v>
          </cell>
          <cell r="K2695" t="str">
            <v>BVKS048013</v>
          </cell>
        </row>
        <row r="2696">
          <cell r="E2696" t="str">
            <v>MUNGMA</v>
          </cell>
          <cell r="G2696">
            <v>8517025849</v>
          </cell>
          <cell r="K2696" t="str">
            <v>BNCS030884</v>
          </cell>
        </row>
        <row r="2697">
          <cell r="E2697" t="str">
            <v>SARWARI, ASANSOL, WB</v>
          </cell>
          <cell r="G2697">
            <v>9431101890</v>
          </cell>
          <cell r="K2697" t="str">
            <v>BXJS034965</v>
          </cell>
        </row>
        <row r="2698">
          <cell r="E2698" t="str">
            <v>GOPI KANDHAR, DUMKA</v>
          </cell>
          <cell r="G2698">
            <v>6206959324</v>
          </cell>
          <cell r="K2698" t="str">
            <v>BUID162940</v>
          </cell>
        </row>
        <row r="2699">
          <cell r="E2699" t="str">
            <v>HAZARIBAGH</v>
          </cell>
          <cell r="G2699">
            <v>7634075471</v>
          </cell>
          <cell r="K2699" t="str">
            <v>BUKC370622</v>
          </cell>
        </row>
        <row r="2700">
          <cell r="E2700" t="str">
            <v>RANCHI</v>
          </cell>
          <cell r="G2700">
            <v>9973686006</v>
          </cell>
          <cell r="K2700" t="str">
            <v>BLIS031950</v>
          </cell>
        </row>
        <row r="2701">
          <cell r="E2701" t="str">
            <v>REHLA,GARWA,JHARKHAND
822124
RANCHI</v>
          </cell>
          <cell r="G2701">
            <v>7004623399</v>
          </cell>
          <cell r="K2701" t="str">
            <v>GOIS031795</v>
          </cell>
        </row>
        <row r="2702">
          <cell r="E2702" t="str">
            <v>KODERMA, JHARKHAND</v>
          </cell>
          <cell r="G2702">
            <v>6205630431</v>
          </cell>
          <cell r="K2702" t="str">
            <v>BKCS031162</v>
          </cell>
        </row>
        <row r="2703">
          <cell r="E2703" t="str">
            <v>JHUMRI TELAIYA, KODARMA
825409</v>
          </cell>
          <cell r="G2703">
            <v>7753025487</v>
          </cell>
          <cell r="K2703" t="str">
            <v>BSBC375530</v>
          </cell>
        </row>
        <row r="2704">
          <cell r="E2704" t="str">
            <v>MUNGMA</v>
          </cell>
          <cell r="G2704">
            <v>8517025849</v>
          </cell>
          <cell r="K2704" t="str">
            <v>GNGS030424</v>
          </cell>
        </row>
        <row r="2705">
          <cell r="E2705" t="str">
            <v>BHULI, DHANBAD</v>
          </cell>
          <cell r="G2705">
            <v>7541046561</v>
          </cell>
          <cell r="K2705" t="str">
            <v>BVFS039912</v>
          </cell>
        </row>
        <row r="2706">
          <cell r="E2706" t="str">
            <v>MUNGMA</v>
          </cell>
          <cell r="G2706">
            <v>8770159290</v>
          </cell>
          <cell r="K2706" t="str">
            <v>BWEC370334</v>
          </cell>
        </row>
        <row r="2707">
          <cell r="E2707" t="str">
            <v>DHANBAD</v>
          </cell>
          <cell r="G2707">
            <v>6204416997</v>
          </cell>
          <cell r="K2707" t="str">
            <v>BVHC377855</v>
          </cell>
        </row>
        <row r="2708">
          <cell r="E2708" t="str">
            <v>SHEKHPURA, BIHAR</v>
          </cell>
          <cell r="G2708">
            <v>9523820164</v>
          </cell>
          <cell r="K2708" t="str">
            <v>BTGL160455</v>
          </cell>
        </row>
        <row r="2709">
          <cell r="E2709" t="str">
            <v>C&amp;W HATIA</v>
          </cell>
          <cell r="G2709">
            <v>7781002740</v>
          </cell>
          <cell r="K2709" t="str">
            <v>EVLL062069</v>
          </cell>
        </row>
        <row r="2710">
          <cell r="E2710" t="str">
            <v>BOKARO</v>
          </cell>
          <cell r="G2710">
            <v>9471716449</v>
          </cell>
          <cell r="K2710">
            <v>124161</v>
          </cell>
        </row>
        <row r="2711">
          <cell r="E2711" t="str">
            <v>BOKARO</v>
          </cell>
          <cell r="G2711">
            <v>9471716449</v>
          </cell>
          <cell r="K2711">
            <v>124189</v>
          </cell>
        </row>
        <row r="2712">
          <cell r="E2712" t="str">
            <v>HAZARIBAGH</v>
          </cell>
          <cell r="G2712">
            <v>7634075471</v>
          </cell>
          <cell r="K2712" t="str">
            <v>BUKC370622</v>
          </cell>
        </row>
        <row r="2713">
          <cell r="E2713" t="str">
            <v>NAGRI,RANCHI
835202
RANCHI</v>
          </cell>
          <cell r="G2713">
            <v>7004248429</v>
          </cell>
          <cell r="K2713" t="str">
            <v>BRIS035698</v>
          </cell>
        </row>
        <row r="2714">
          <cell r="E2714" t="str">
            <v>BALIDIH INDUSTRIAL AREA
827014</v>
          </cell>
          <cell r="G2714">
            <v>9553775728</v>
          </cell>
          <cell r="K2714" t="str">
            <v>BTDS044304</v>
          </cell>
        </row>
        <row r="2715">
          <cell r="E2715" t="str">
            <v>BALIDIH INDUSTRIAL AREA,BOKARO
PLOT NO. - A/2 (P) INDUSTRIAL AREA, BALIDIH BOKARO STEEL CITY - 14, BOKARO
827014
BOKARO INDUSTRIAL ESTATE</v>
          </cell>
          <cell r="G2715">
            <v>9978928888</v>
          </cell>
          <cell r="K2715" t="str">
            <v>BSJS035946</v>
          </cell>
        </row>
        <row r="2716">
          <cell r="E2716" t="str">
            <v>9.P .INDUSTRIAL AREA  KOKAR, RANCHI, TIN-20880200515
9.P .INDUSTRIAL AREA  KOKAR, RANCHI, TIN-20880200515
834001</v>
          </cell>
          <cell r="G2716">
            <v>7903315808</v>
          </cell>
          <cell r="K2716" t="str">
            <v>BTGS031205</v>
          </cell>
        </row>
        <row r="2717">
          <cell r="E2717" t="str">
            <v>KULI, RAMGRAH</v>
          </cell>
          <cell r="G2717">
            <v>9691773091</v>
          </cell>
          <cell r="K2717" t="str">
            <v>BWAD163680</v>
          </cell>
        </row>
        <row r="2718">
          <cell r="E2718" t="str">
            <v>BAZAR SAMITI,RAMGARH
829122</v>
          </cell>
          <cell r="G2718">
            <v>7808529007</v>
          </cell>
          <cell r="K2718" t="str">
            <v>BTGC379081</v>
          </cell>
        </row>
        <row r="2719">
          <cell r="E2719" t="str">
            <v>GOVINDPUR, DHANBAD</v>
          </cell>
          <cell r="G2719">
            <v>8873389552</v>
          </cell>
          <cell r="K2719" t="str">
            <v>BJFS031285</v>
          </cell>
        </row>
        <row r="2720">
          <cell r="E2720" t="str">
            <v>TANDWA, CHATRA</v>
          </cell>
          <cell r="G2720">
            <v>7032052579</v>
          </cell>
          <cell r="K2720" t="str">
            <v>BXJD164130</v>
          </cell>
        </row>
        <row r="2721">
          <cell r="E2721" t="str">
            <v>GODDA</v>
          </cell>
          <cell r="G2721">
            <v>9989394461</v>
          </cell>
          <cell r="K2721" t="str">
            <v>BWCD121690</v>
          </cell>
        </row>
        <row r="2722">
          <cell r="E2722" t="str">
            <v>AKASHKANARI</v>
          </cell>
          <cell r="G2722">
            <v>6299143649</v>
          </cell>
          <cell r="K2722" t="str">
            <v>BWFD163947</v>
          </cell>
        </row>
        <row r="2723">
          <cell r="E2723" t="str">
            <v>LALPUR</v>
          </cell>
          <cell r="G2723">
            <v>8390215136</v>
          </cell>
          <cell r="K2723" t="str">
            <v>BVKS048013</v>
          </cell>
        </row>
        <row r="2724">
          <cell r="E2724" t="str">
            <v>NAGRI,RANCHI
835202
RANCHI</v>
          </cell>
          <cell r="G2724">
            <v>7004248429</v>
          </cell>
          <cell r="K2724">
            <v>108441</v>
          </cell>
        </row>
        <row r="2725">
          <cell r="E2725" t="str">
            <v>RAGHOPUR, PATNA</v>
          </cell>
          <cell r="G2725">
            <v>9311322151</v>
          </cell>
          <cell r="K2725" t="str">
            <v>BXKD231814</v>
          </cell>
        </row>
        <row r="2726">
          <cell r="E2726" t="str">
            <v>TETULWARI</v>
          </cell>
          <cell r="G2726">
            <v>9006617909</v>
          </cell>
          <cell r="K2726" t="str">
            <v>BTGD162296</v>
          </cell>
        </row>
        <row r="2727">
          <cell r="E2727" t="str">
            <v>KOKAR,INDUSTRIAL AREA,RANCHI
834002
RANCHI</v>
          </cell>
          <cell r="G2727">
            <v>7781017919</v>
          </cell>
          <cell r="K2727" t="str">
            <v>BMKC370048</v>
          </cell>
        </row>
        <row r="2728">
          <cell r="E2728" t="str">
            <v>KODERMA</v>
          </cell>
          <cell r="G2728">
            <v>8210413459</v>
          </cell>
          <cell r="K2728" t="str">
            <v>BVFS049407</v>
          </cell>
        </row>
        <row r="2729">
          <cell r="E2729" t="str">
            <v>KODERMA</v>
          </cell>
          <cell r="G2729">
            <v>8210413459</v>
          </cell>
          <cell r="K2729" t="str">
            <v>BVFS049421</v>
          </cell>
        </row>
        <row r="2730">
          <cell r="E2730" t="str">
            <v>KODERMA</v>
          </cell>
          <cell r="G2730">
            <v>8210413459</v>
          </cell>
          <cell r="K2730" t="str">
            <v>BVFS049398</v>
          </cell>
        </row>
        <row r="2731">
          <cell r="E2731" t="str">
            <v>KODERMA</v>
          </cell>
          <cell r="G2731">
            <v>8210413459</v>
          </cell>
          <cell r="K2731" t="str">
            <v>BVFS049426</v>
          </cell>
        </row>
        <row r="2732">
          <cell r="E2732" t="str">
            <v>TANDWA, CHATRA</v>
          </cell>
          <cell r="G2732">
            <v>7032052579</v>
          </cell>
          <cell r="K2732" t="str">
            <v>BXJD164143</v>
          </cell>
        </row>
        <row r="2733">
          <cell r="E2733" t="str">
            <v>LODNA MORE</v>
          </cell>
          <cell r="G2733">
            <v>7623886938</v>
          </cell>
          <cell r="K2733" t="str">
            <v>BWKD163543</v>
          </cell>
        </row>
        <row r="2734">
          <cell r="E2734" t="str">
            <v>DHANBAD</v>
          </cell>
          <cell r="G2734">
            <v>9263634417</v>
          </cell>
          <cell r="K2734" t="str">
            <v>BTCD162159</v>
          </cell>
        </row>
        <row r="2735">
          <cell r="E2735" t="str">
            <v>KOKAR INDUSTRIAL AREA,RANCHI
834001</v>
          </cell>
          <cell r="G2735">
            <v>7004147721</v>
          </cell>
          <cell r="K2735" t="str">
            <v>BSBC375532</v>
          </cell>
        </row>
        <row r="2736">
          <cell r="E2736" t="str">
            <v>PHUSHRO</v>
          </cell>
          <cell r="G2736">
            <v>7979946647</v>
          </cell>
          <cell r="K2736" t="str">
            <v>BWHD231642</v>
          </cell>
        </row>
        <row r="2737">
          <cell r="E2737" t="str">
            <v>RAMGRAH</v>
          </cell>
          <cell r="G2737">
            <v>9559820432</v>
          </cell>
          <cell r="K2737" t="str">
            <v>BUFS046910</v>
          </cell>
        </row>
        <row r="2738">
          <cell r="E2738" t="str">
            <v>AT: SENEGARHA, P.O-RABODH, P.S-GIDDI,(RAMGARH),, DISTT. HAZARIBAGH,JHARKHAND-825330
829108
AT: SENEGARHA, P.O-RABODH, P.S-GIDDI,(RAMGARH),</v>
          </cell>
          <cell r="G2738">
            <v>9006877583</v>
          </cell>
          <cell r="K2738" t="str">
            <v>BSCS037349</v>
          </cell>
        </row>
        <row r="2739">
          <cell r="E2739" t="str">
            <v>BEGUSARAI, BIHAR</v>
          </cell>
          <cell r="G2739">
            <v>9973237962</v>
          </cell>
          <cell r="K2739" t="str">
            <v>BVGD121497</v>
          </cell>
        </row>
        <row r="2740">
          <cell r="E2740" t="str">
            <v>DHANBAD</v>
          </cell>
          <cell r="G2740">
            <v>9835312777</v>
          </cell>
          <cell r="K2740" t="str">
            <v>BVGD163308</v>
          </cell>
        </row>
        <row r="2741">
          <cell r="E2741" t="str">
            <v>RAGHOPUR, PATNA</v>
          </cell>
          <cell r="G2741">
            <v>9311322151</v>
          </cell>
          <cell r="K2741" t="str">
            <v>BXKD121881</v>
          </cell>
        </row>
        <row r="2742">
          <cell r="E2742" t="str">
            <v>PIPRA</v>
          </cell>
          <cell r="G2742">
            <v>9304258268</v>
          </cell>
          <cell r="K2742" t="str">
            <v>BVIL161084</v>
          </cell>
        </row>
        <row r="2743">
          <cell r="E2743" t="str">
            <v>PIPARWAR</v>
          </cell>
          <cell r="G2743">
            <v>9234615009</v>
          </cell>
          <cell r="K2743" t="str">
            <v>BXJD231746</v>
          </cell>
        </row>
        <row r="2744">
          <cell r="E2744" t="str">
            <v>BARKAKANA, RAMGRAH</v>
          </cell>
          <cell r="G2744">
            <v>9102724023</v>
          </cell>
          <cell r="K2744" t="str">
            <v>EUES035194</v>
          </cell>
        </row>
        <row r="2745">
          <cell r="E2745" t="str">
            <v>KATRAS</v>
          </cell>
          <cell r="G2745">
            <v>9570178502</v>
          </cell>
          <cell r="K2745" t="str">
            <v>BWFD163947</v>
          </cell>
        </row>
        <row r="2746">
          <cell r="E2746" t="str">
            <v>RAHELA, DALTAINGANJ</v>
          </cell>
          <cell r="G2746">
            <v>7004971081</v>
          </cell>
          <cell r="K2746" t="str">
            <v>BUGS035879</v>
          </cell>
        </row>
        <row r="2747">
          <cell r="E2747" t="str">
            <v>ANGARA, TATISILWAI</v>
          </cell>
          <cell r="G2747">
            <v>7635050939</v>
          </cell>
          <cell r="K2747" t="str">
            <v>BWFC370703</v>
          </cell>
        </row>
        <row r="2748">
          <cell r="E2748" t="str">
            <v>PHUSHRO</v>
          </cell>
          <cell r="G2748">
            <v>7979946647</v>
          </cell>
          <cell r="K2748" t="str">
            <v>BWHD231642</v>
          </cell>
        </row>
        <row r="2749">
          <cell r="E2749" t="str">
            <v>AKASHKANARI</v>
          </cell>
          <cell r="G2749">
            <v>9570178502</v>
          </cell>
          <cell r="K2749" t="str">
            <v>BWFD163947</v>
          </cell>
        </row>
        <row r="2750">
          <cell r="E2750" t="str">
            <v>PATNA</v>
          </cell>
          <cell r="G2750">
            <v>9617831594</v>
          </cell>
          <cell r="K2750" t="str">
            <v>BSBD120630</v>
          </cell>
        </row>
        <row r="2751">
          <cell r="E2751" t="str">
            <v>ANKIT KUMAR SONTHALIA, R.N. BOSE ROAD, SATSANG GATE, NEAR HANUMAN MANDIR,, PURANDAHA, DEOGHAR, DIST. DUMKA,, JHARKHAND</v>
          </cell>
          <cell r="G2751">
            <v>7542025382</v>
          </cell>
          <cell r="K2751" t="str">
            <v>BSFD161819</v>
          </cell>
        </row>
        <row r="2752">
          <cell r="E2752" t="str">
            <v>BIHAR</v>
          </cell>
          <cell r="G2752">
            <v>7739231151</v>
          </cell>
          <cell r="K2752" t="str">
            <v>BRJD160600</v>
          </cell>
        </row>
        <row r="2753">
          <cell r="E2753" t="str">
            <v>C/O - ANUP JOSHI, DOCTOR GALI FRONT OF JAIN MANDIR, P.O. - JHUMRITILAIYA, KODERMA</v>
          </cell>
          <cell r="G2753">
            <v>9762686087</v>
          </cell>
          <cell r="K2753" t="str">
            <v>BSBD161629</v>
          </cell>
        </row>
        <row r="2754">
          <cell r="E2754" t="str">
            <v>BHULI DHANBAD</v>
          </cell>
          <cell r="G2754">
            <v>7004387228</v>
          </cell>
          <cell r="K2754" t="str">
            <v>BQED160244</v>
          </cell>
        </row>
        <row r="2755">
          <cell r="E2755" t="str">
            <v>JARANDIH, PHUSHRO</v>
          </cell>
          <cell r="G2755">
            <v>7541869555</v>
          </cell>
          <cell r="K2755" t="str">
            <v>BTKD162074</v>
          </cell>
        </row>
        <row r="2756">
          <cell r="E2756" t="str">
            <v>LODNA</v>
          </cell>
          <cell r="G2756">
            <v>7644045555</v>
          </cell>
          <cell r="K2756" t="str">
            <v>BTDD162169</v>
          </cell>
        </row>
        <row r="2757">
          <cell r="E2757" t="str">
            <v>BERA, DHANBAD</v>
          </cell>
          <cell r="G2757">
            <v>9550053031</v>
          </cell>
          <cell r="K2757" t="str">
            <v>BUAD162634</v>
          </cell>
        </row>
        <row r="2758">
          <cell r="E2758" t="str">
            <v>SIMRAHI, SUPOL, BIHAR</v>
          </cell>
          <cell r="G2758">
            <v>6204668116</v>
          </cell>
          <cell r="K2758" t="str">
            <v>BUCD121174</v>
          </cell>
        </row>
        <row r="2759">
          <cell r="E2759" t="str">
            <v>BIHAR</v>
          </cell>
          <cell r="G2759">
            <v>7368928746</v>
          </cell>
          <cell r="K2759" t="str">
            <v>BUID220797</v>
          </cell>
        </row>
        <row r="2760">
          <cell r="E2760" t="str">
            <v>BIHAR, BEGUSARAI</v>
          </cell>
          <cell r="G2760">
            <v>8877841639</v>
          </cell>
          <cell r="K2760" t="str">
            <v>BTJL152348</v>
          </cell>
        </row>
        <row r="2761">
          <cell r="E2761" t="str">
            <v>SIMDEGA</v>
          </cell>
          <cell r="G2761">
            <v>6203833614</v>
          </cell>
          <cell r="K2761" t="str">
            <v>BRCD160998</v>
          </cell>
        </row>
        <row r="2762">
          <cell r="E2762" t="str">
            <v>GAYA</v>
          </cell>
          <cell r="G2762">
            <v>9798724120</v>
          </cell>
          <cell r="K2762" t="str">
            <v>BQBD200008</v>
          </cell>
        </row>
        <row r="2763">
          <cell r="E2763" t="str">
            <v>GAYA</v>
          </cell>
          <cell r="G2763">
            <v>8210812409</v>
          </cell>
          <cell r="K2763" t="str">
            <v>BUKD162510</v>
          </cell>
        </row>
        <row r="2764">
          <cell r="E2764">
            <v>0</v>
          </cell>
          <cell r="G2764">
            <v>9931133220</v>
          </cell>
          <cell r="K2764" t="str">
            <v>BRKD120213</v>
          </cell>
        </row>
        <row r="2765">
          <cell r="E2765" t="str">
            <v>BIHAR</v>
          </cell>
          <cell r="G2765">
            <v>0</v>
          </cell>
          <cell r="K2765" t="str">
            <v>BRHD120445</v>
          </cell>
        </row>
        <row r="2766">
          <cell r="E2766" t="str">
            <v>CHANDMARI, JORAPHATAK,, DHANBAD</v>
          </cell>
          <cell r="G2766">
            <v>9585918025</v>
          </cell>
          <cell r="K2766" t="str">
            <v>BRCD160967</v>
          </cell>
        </row>
        <row r="2767">
          <cell r="E2767"/>
          <cell r="G2767">
            <v>9905577070</v>
          </cell>
          <cell r="K2767" t="str">
            <v>BSJD120492</v>
          </cell>
        </row>
        <row r="2768">
          <cell r="E2768" t="str">
            <v>LODNA MORE</v>
          </cell>
          <cell r="G2768">
            <v>9550053031</v>
          </cell>
          <cell r="K2768" t="str">
            <v>BVFD163261</v>
          </cell>
        </row>
        <row r="2769">
          <cell r="E2769" t="str">
            <v>RANCHI</v>
          </cell>
          <cell r="G2769">
            <v>9891199804</v>
          </cell>
          <cell r="K2769" t="str">
            <v>BWJC378261</v>
          </cell>
        </row>
        <row r="2770">
          <cell r="E2770" t="str">
            <v>KOKAR INDUSTRIAL AREA,RANCHI
834001</v>
          </cell>
          <cell r="G2770">
            <v>7004147721</v>
          </cell>
          <cell r="K2770" t="str">
            <v>BSBC375532</v>
          </cell>
        </row>
        <row r="2771">
          <cell r="E2771" t="str">
            <v>BURKHUNDA RAMGARH
829135</v>
          </cell>
          <cell r="G2771">
            <v>8210720001</v>
          </cell>
          <cell r="K2771" t="str">
            <v>BTFC378939</v>
          </cell>
        </row>
        <row r="2772">
          <cell r="E2772" t="str">
            <v>HOSHIR GIDDI,RAMGARH
NEAR P.N. BANK MAIN ROAD, RAMGARH CANTT. 829122
829110</v>
          </cell>
          <cell r="G2772">
            <v>9835381268</v>
          </cell>
          <cell r="K2772" t="str">
            <v>BRHS035368</v>
          </cell>
        </row>
        <row r="2773">
          <cell r="E2773" t="str">
            <v>CHANDAN KAYARI, DHANBAD</v>
          </cell>
          <cell r="G2773">
            <v>6203240174</v>
          </cell>
          <cell r="K2773" t="str">
            <v>BULD162579</v>
          </cell>
        </row>
        <row r="2774">
          <cell r="E2774" t="str">
            <v>BHAGALPUR</v>
          </cell>
          <cell r="G2774">
            <v>9939352785</v>
          </cell>
          <cell r="K2774" t="str">
            <v>BXJD121872</v>
          </cell>
        </row>
        <row r="2775">
          <cell r="E2775" t="str">
            <v>C/O - PREM PRAKASH AGARWAL, OPP - HILLVIEW FUEL STATION, GODHUR, P.O - KUSUNDA, DHANBAD</v>
          </cell>
          <cell r="G2775">
            <v>7903412157</v>
          </cell>
          <cell r="K2775" t="str">
            <v>BTED162217</v>
          </cell>
        </row>
        <row r="2776">
          <cell r="E2776" t="str">
            <v>NAYA MORE, RAMGRAH</v>
          </cell>
          <cell r="G2776">
            <v>7004541681</v>
          </cell>
          <cell r="K2776" t="str">
            <v>BUKS045387</v>
          </cell>
        </row>
        <row r="2777">
          <cell r="E2777" t="str">
            <v>NAYA MORE, RAMGRAH</v>
          </cell>
          <cell r="G2777">
            <v>7004541681</v>
          </cell>
          <cell r="K2777" t="str">
            <v>BUKS045388</v>
          </cell>
        </row>
        <row r="2778">
          <cell r="E2778" t="str">
            <v>GIRIDIH</v>
          </cell>
          <cell r="G2778">
            <v>8271664812</v>
          </cell>
          <cell r="K2778" t="str">
            <v>BVKS048107</v>
          </cell>
        </row>
        <row r="2779">
          <cell r="E2779" t="str">
            <v>PHUSHRO, BOKARO</v>
          </cell>
          <cell r="G2779">
            <v>9341698396</v>
          </cell>
          <cell r="K2779" t="str">
            <v>BWID164076</v>
          </cell>
        </row>
        <row r="2780">
          <cell r="E2780" t="str">
            <v>BHOWRA</v>
          </cell>
          <cell r="G2780">
            <v>6201841406</v>
          </cell>
          <cell r="K2780" t="str">
            <v>BULD162568</v>
          </cell>
        </row>
        <row r="2781">
          <cell r="E2781" t="str">
            <v>DALADALI, RANCHI</v>
          </cell>
          <cell r="G2781">
            <v>9934169368</v>
          </cell>
          <cell r="K2781" t="str">
            <v>BVKD163010</v>
          </cell>
        </row>
        <row r="2782">
          <cell r="E2782" t="str">
            <v>NAGRI,RANCHI
835202
RANCHI</v>
          </cell>
          <cell r="G2782">
            <v>7549287704</v>
          </cell>
          <cell r="K2782" t="str">
            <v>BIGS030904</v>
          </cell>
        </row>
        <row r="2783">
          <cell r="E2783" t="str">
            <v>PHUSHRO</v>
          </cell>
          <cell r="G2783">
            <v>7979946647</v>
          </cell>
          <cell r="K2783" t="str">
            <v>BVED163244</v>
          </cell>
        </row>
        <row r="2784">
          <cell r="E2784" t="str">
            <v>BALIDIH, BOKARO</v>
          </cell>
          <cell r="G2784">
            <v>7009268216</v>
          </cell>
          <cell r="K2784" t="str">
            <v>BVCC376207</v>
          </cell>
        </row>
        <row r="2785">
          <cell r="E2785" t="str">
            <v>KARANPURA, TANDWA, CHANDWA</v>
          </cell>
          <cell r="G2785">
            <v>7544003790</v>
          </cell>
          <cell r="K2785" t="str">
            <v>BRKS041128</v>
          </cell>
        </row>
        <row r="2786">
          <cell r="E2786" t="str">
            <v>TETULWARI</v>
          </cell>
          <cell r="G2786">
            <v>9006617909</v>
          </cell>
          <cell r="K2786" t="str">
            <v>BTGD162296</v>
          </cell>
        </row>
        <row r="2787">
          <cell r="E2787" t="str">
            <v>JARANDIH, PHUSHRO</v>
          </cell>
          <cell r="G2787">
            <v>7541869555</v>
          </cell>
          <cell r="K2787" t="str">
            <v>BTKD162074</v>
          </cell>
        </row>
        <row r="2788">
          <cell r="E2788" t="str">
            <v>LODNA MORE</v>
          </cell>
          <cell r="G2788">
            <v>9550053031</v>
          </cell>
          <cell r="K2788" t="str">
            <v>BVFD163261</v>
          </cell>
        </row>
        <row r="2789">
          <cell r="E2789" t="str">
            <v>BARKAGAON, HAZARIBAGH</v>
          </cell>
          <cell r="G2789">
            <v>7070010949</v>
          </cell>
          <cell r="K2789" t="str">
            <v>BVED231179</v>
          </cell>
        </row>
        <row r="2790">
          <cell r="E2790" t="str">
            <v>PHUSHRO</v>
          </cell>
          <cell r="G2790">
            <v>7091340232</v>
          </cell>
          <cell r="K2790" t="str">
            <v>BWAD163687</v>
          </cell>
        </row>
        <row r="2791">
          <cell r="E2791" t="str">
            <v>TILAIYA,KODARMA
825409
TILAIYA</v>
          </cell>
          <cell r="G2791">
            <v>7739220875</v>
          </cell>
          <cell r="K2791" t="str">
            <v>BQJC370018</v>
          </cell>
        </row>
        <row r="2792">
          <cell r="E2792" t="str">
            <v>PIPARWAR</v>
          </cell>
          <cell r="G2792">
            <v>9234615011</v>
          </cell>
          <cell r="K2792" t="str">
            <v>BXJD231745</v>
          </cell>
        </row>
        <row r="2793">
          <cell r="E2793" t="str">
            <v>TUPUDANA INDUSTRIAL AREA, RANCHI
PLOT NO. - 45 &amp; 46, TUPUDAN AINDUSTRIAL AREA, TUPUDANA, HATIA, RANCHI
834003
TIPUDANA INDUSTRIAL AREA</v>
          </cell>
          <cell r="G2793">
            <v>7717734248</v>
          </cell>
          <cell r="K2793" t="str">
            <v>BVDS039458</v>
          </cell>
        </row>
        <row r="2794">
          <cell r="E2794" t="str">
            <v>PLOT NO. 148, TUPUDANA, INDUSTRIAL AREA, HATIA, RANCHI
834002</v>
          </cell>
          <cell r="G2794">
            <v>9534249500</v>
          </cell>
          <cell r="K2794" t="str">
            <v>BSLS036682</v>
          </cell>
        </row>
        <row r="2795">
          <cell r="E2795" t="str">
            <v>DIBDIH, RANCHI
834002</v>
          </cell>
          <cell r="G2795">
            <v>8102915588</v>
          </cell>
          <cell r="K2795" t="str">
            <v>BTEC378588</v>
          </cell>
        </row>
        <row r="2796">
          <cell r="E2796" t="str">
            <v>BARKAGAON, HAZARIBAGH</v>
          </cell>
          <cell r="G2796">
            <v>7070010949</v>
          </cell>
          <cell r="K2796" t="str">
            <v>BWLD231345</v>
          </cell>
        </row>
        <row r="2797">
          <cell r="E2797" t="str">
            <v>TUPUDANA INDUSTRIAL AREA, RANCHI
PLOT NO. - 45 &amp; 46, TUPUDAN AINDUSTRIAL AREA, TUPUDANA, HATIA, RANCHI
834003
TIPUDANA INDUSTRIAL AREA</v>
          </cell>
          <cell r="G2797">
            <v>7717734248</v>
          </cell>
          <cell r="K2797" t="str">
            <v>BVDS039458</v>
          </cell>
        </row>
        <row r="2798">
          <cell r="E2798" t="str">
            <v>GOVINDPUR, DHANBAD</v>
          </cell>
          <cell r="G2798">
            <v>6294780552</v>
          </cell>
          <cell r="K2798" t="str">
            <v>BHKS040045</v>
          </cell>
        </row>
        <row r="2799">
          <cell r="E2799" t="str">
            <v>GOVINDPUR, DHANBAD</v>
          </cell>
          <cell r="G2799">
            <v>6294780552</v>
          </cell>
          <cell r="K2799" t="str">
            <v>BHKS040048</v>
          </cell>
        </row>
        <row r="2800">
          <cell r="E2800" t="str">
            <v>BASTAWLA DHANBAD</v>
          </cell>
          <cell r="G2800">
            <v>8658834483</v>
          </cell>
          <cell r="K2800" t="str">
            <v>BUAD162630</v>
          </cell>
        </row>
        <row r="2801">
          <cell r="E2801" t="str">
            <v>BERA</v>
          </cell>
          <cell r="G2801">
            <v>8658834483</v>
          </cell>
          <cell r="K2801" t="str">
            <v>BUAD162684</v>
          </cell>
        </row>
        <row r="2802">
          <cell r="E2802" t="str">
            <v>RANCHI PATNA ROAD
DEMOTAND
825301
HAZARIBAGH</v>
          </cell>
          <cell r="G2802">
            <v>6203465926</v>
          </cell>
          <cell r="K2802" t="str">
            <v>BSCS037531</v>
          </cell>
        </row>
        <row r="2803">
          <cell r="E2803" t="str">
            <v>FLAT NO. 300, BLOCK - A, MP SRIRAM, CHHOTA GAMHARIA, P.S. - GAMHARIA, DIST.- SARAIKELA KHARSAWAN</v>
          </cell>
          <cell r="G2803">
            <v>7600700314</v>
          </cell>
          <cell r="K2803" t="str">
            <v>BRGL151464</v>
          </cell>
        </row>
        <row r="2804">
          <cell r="E2804" t="str">
            <v>BASTAKOLA, DHANBAD</v>
          </cell>
          <cell r="G2804">
            <v>8521311810</v>
          </cell>
          <cell r="K2804" t="str">
            <v>BUKD162535</v>
          </cell>
        </row>
        <row r="2805">
          <cell r="E2805" t="str">
            <v>BASTAKOLA, DHANBAD</v>
          </cell>
          <cell r="G2805">
            <v>8521311810</v>
          </cell>
          <cell r="K2805" t="str">
            <v>BQKD160099</v>
          </cell>
        </row>
        <row r="2806">
          <cell r="E2806" t="str">
            <v>DHANBAD</v>
          </cell>
          <cell r="G2806">
            <v>8521311810</v>
          </cell>
          <cell r="K2806" t="str">
            <v>BTDD162186</v>
          </cell>
        </row>
        <row r="2807">
          <cell r="E2807" t="str">
            <v>BASKATOLA</v>
          </cell>
          <cell r="G2807">
            <v>8521311810</v>
          </cell>
          <cell r="K2807" t="str">
            <v>BULD162577</v>
          </cell>
        </row>
        <row r="2808">
          <cell r="E2808" t="str">
            <v>BASKATOLA</v>
          </cell>
          <cell r="G2808">
            <v>8521311810</v>
          </cell>
          <cell r="K2808" t="str">
            <v>BQKD168115</v>
          </cell>
        </row>
        <row r="2809">
          <cell r="E2809" t="str">
            <v>LODNA</v>
          </cell>
          <cell r="G2809">
            <v>9508648266</v>
          </cell>
          <cell r="K2809" t="str">
            <v>BVJD162972</v>
          </cell>
        </row>
        <row r="2810">
          <cell r="E2810" t="str">
            <v>KWJAMA COLLIERY, DHANBAD</v>
          </cell>
          <cell r="G2810">
            <v>9508648266</v>
          </cell>
          <cell r="K2810" t="str">
            <v>BVCD163165</v>
          </cell>
        </row>
        <row r="2811">
          <cell r="E2811" t="str">
            <v>LODNA</v>
          </cell>
          <cell r="G2811">
            <v>9044360313</v>
          </cell>
          <cell r="K2811" t="str">
            <v>BVID163401</v>
          </cell>
        </row>
        <row r="2812">
          <cell r="E2812" t="str">
            <v>NTA LODNA, DHANBAD</v>
          </cell>
          <cell r="G2812">
            <v>9044360313</v>
          </cell>
          <cell r="K2812" t="str">
            <v>BULD162559</v>
          </cell>
        </row>
        <row r="2813">
          <cell r="E2813" t="str">
            <v>LODNA</v>
          </cell>
          <cell r="G2813">
            <v>9044360313</v>
          </cell>
          <cell r="K2813" t="str">
            <v>BTCD162149</v>
          </cell>
        </row>
        <row r="2814">
          <cell r="E2814" t="str">
            <v>PIPARWAR,JHARKHAND
BAHERA, BENTI, PIPARWAR, CHATRA
825321</v>
          </cell>
          <cell r="G2814">
            <v>7488762314</v>
          </cell>
          <cell r="K2814" t="str">
            <v>BRGC373918</v>
          </cell>
        </row>
        <row r="2815">
          <cell r="E2815" t="str">
            <v>NAGARI,</v>
          </cell>
          <cell r="G2815">
            <v>9204493506</v>
          </cell>
          <cell r="K2815" t="str">
            <v>BILS030211</v>
          </cell>
        </row>
        <row r="2816">
          <cell r="E2816" t="str">
            <v>NAGARI,</v>
          </cell>
          <cell r="G2816">
            <v>9204493506</v>
          </cell>
          <cell r="K2816" t="str">
            <v>BLGS040582</v>
          </cell>
        </row>
        <row r="2817">
          <cell r="E2817" t="str">
            <v>DALADALI, RANCHI</v>
          </cell>
          <cell r="G2817">
            <v>9835538524</v>
          </cell>
          <cell r="K2817" t="str">
            <v>BWFD163940</v>
          </cell>
        </row>
        <row r="2818">
          <cell r="E2818" t="str">
            <v>LODNA MORE</v>
          </cell>
          <cell r="G2818">
            <v>9550053031</v>
          </cell>
          <cell r="K2818" t="str">
            <v>BVFD163261</v>
          </cell>
        </row>
        <row r="2819">
          <cell r="E2819" t="str">
            <v>TATISILWAI, JHARKHAND
835103</v>
          </cell>
          <cell r="G2819">
            <v>6200160428</v>
          </cell>
          <cell r="K2819" t="str">
            <v>BQHS040705</v>
          </cell>
        </row>
        <row r="2820">
          <cell r="E2820" t="str">
            <v>MAHUDA MORE, DHANBAD</v>
          </cell>
          <cell r="G2820">
            <v>9142756124</v>
          </cell>
          <cell r="K2820" t="str">
            <v>BWHD164004</v>
          </cell>
        </row>
        <row r="2821">
          <cell r="E2821" t="str">
            <v>NEAR P.N BANK MAIN ROAD,, RAMGARH CANTT-829122, DIST. RAMGARH
829122
BUDHAKHOP, AMBRELA, KARMA,</v>
          </cell>
          <cell r="G2821">
            <v>8789350097</v>
          </cell>
          <cell r="K2821" t="str">
            <v>BQBS030091</v>
          </cell>
        </row>
        <row r="2822">
          <cell r="E2822" t="str">
            <v>DEOGRAH</v>
          </cell>
          <cell r="G2822">
            <v>9973406306</v>
          </cell>
          <cell r="K2822" t="str">
            <v>BWFD163937</v>
          </cell>
        </row>
        <row r="2823">
          <cell r="E2823" t="str">
            <v>GONDUDIH, DHANBAD</v>
          </cell>
          <cell r="G2823">
            <v>9661544624</v>
          </cell>
          <cell r="K2823" t="str">
            <v>BWJD163475</v>
          </cell>
        </row>
        <row r="2824">
          <cell r="E2824" t="str">
            <v>LODNA MORE</v>
          </cell>
          <cell r="G2824">
            <v>9550053031</v>
          </cell>
          <cell r="K2824" t="str">
            <v>BVFD163261</v>
          </cell>
        </row>
        <row r="2825">
          <cell r="E2825" t="str">
            <v>DHANBAD</v>
          </cell>
          <cell r="G2825">
            <v>7004686026</v>
          </cell>
          <cell r="K2825" t="str">
            <v>BWLD163586</v>
          </cell>
        </row>
        <row r="2826">
          <cell r="E2826" t="str">
            <v>REHLA, GARHWA ROAD, PALAMU D.T, JHARKHAND
PALAMU JHARKHAND 822124
INDIA</v>
          </cell>
          <cell r="G2826">
            <v>7004971081</v>
          </cell>
          <cell r="K2826" t="str">
            <v>BLFS031469</v>
          </cell>
        </row>
        <row r="2827">
          <cell r="E2827" t="str">
            <v>LODNA MORE</v>
          </cell>
          <cell r="G2827">
            <v>9550053031</v>
          </cell>
          <cell r="K2827" t="str">
            <v>BVFD163261</v>
          </cell>
        </row>
        <row r="2828">
          <cell r="E2828" t="str">
            <v>SAUNDI, RAMGRAH</v>
          </cell>
          <cell r="G2828">
            <v>7707001181</v>
          </cell>
          <cell r="K2828" t="str">
            <v>BVBC375436</v>
          </cell>
        </row>
        <row r="2829">
          <cell r="E2829" t="str">
            <v>PHUSHRO</v>
          </cell>
          <cell r="G2829">
            <v>7979946647</v>
          </cell>
          <cell r="K2829" t="str">
            <v>BVED163244</v>
          </cell>
        </row>
        <row r="2830">
          <cell r="E2830" t="str">
            <v>DALADALI, RANCHI</v>
          </cell>
          <cell r="G2830">
            <v>6201181299</v>
          </cell>
          <cell r="K2830" t="str">
            <v>BVKD163010</v>
          </cell>
        </row>
        <row r="2831">
          <cell r="E2831" t="str">
            <v>RING ROAD, TUPUDANA</v>
          </cell>
          <cell r="G2831">
            <v>9264401517</v>
          </cell>
          <cell r="K2831" t="str">
            <v>BWLS031931</v>
          </cell>
        </row>
        <row r="2832">
          <cell r="E2832" t="str">
            <v>RAHELA, DALTAINGANJ</v>
          </cell>
          <cell r="G2832">
            <v>9973665355</v>
          </cell>
          <cell r="K2832" t="str">
            <v>BUGS035879</v>
          </cell>
        </row>
        <row r="2833">
          <cell r="E2833" t="str">
            <v>HAZARIBAGH
RANCHI JHARKHAND 834002
INDIA</v>
          </cell>
          <cell r="G2833">
            <v>9304388269</v>
          </cell>
          <cell r="K2833" t="str">
            <v>BKAS030685</v>
          </cell>
        </row>
        <row r="2834">
          <cell r="E2834" t="str">
            <v>VILL - BARIDARI, BOKARO</v>
          </cell>
          <cell r="G2834">
            <v>9934169104</v>
          </cell>
          <cell r="K2834" t="str">
            <v>BRHD161299</v>
          </cell>
        </row>
        <row r="2835">
          <cell r="E2835" t="str">
            <v>BARKAGAON, HAZARIBAGH</v>
          </cell>
          <cell r="G2835">
            <v>7070010949</v>
          </cell>
          <cell r="K2835" t="str">
            <v>BWLD231345</v>
          </cell>
        </row>
        <row r="2836">
          <cell r="E2836" t="str">
            <v>BARKAGAON, HAZARIBAGH</v>
          </cell>
          <cell r="G2836">
            <v>7070010949</v>
          </cell>
          <cell r="K2836" t="str">
            <v>BWLD231334</v>
          </cell>
        </row>
        <row r="2837">
          <cell r="E2837" t="str">
            <v>BARKAGAON, HAZARIBAGH</v>
          </cell>
          <cell r="G2837">
            <v>7070010949</v>
          </cell>
          <cell r="K2837" t="str">
            <v>BVED231179</v>
          </cell>
        </row>
        <row r="2838">
          <cell r="E2838" t="str">
            <v>BHULI, DHANBAD</v>
          </cell>
          <cell r="G2838">
            <v>7541046561</v>
          </cell>
          <cell r="K2838" t="str">
            <v>BWEC370394</v>
          </cell>
        </row>
        <row r="2839">
          <cell r="E2839" t="str">
            <v>CHUTIA, RANCHI</v>
          </cell>
          <cell r="G2839">
            <v>9060975013</v>
          </cell>
          <cell r="K2839" t="str">
            <v>BUFD162814</v>
          </cell>
        </row>
        <row r="2840">
          <cell r="E2840" t="str">
            <v>HESLA,RAMGARH
829101</v>
          </cell>
          <cell r="G2840">
            <v>7562823341</v>
          </cell>
          <cell r="K2840" t="str">
            <v>BSJS035917</v>
          </cell>
        </row>
        <row r="2841">
          <cell r="E2841" t="str">
            <v>NAYA MORE,RAMGARH
ARA SARU BERA ROAD, NAYA, RAMGARH,JHARKHAND
829110
NAYA MORE</v>
          </cell>
          <cell r="G2841">
            <v>6201225253</v>
          </cell>
          <cell r="K2841" t="str">
            <v>BQBS033796</v>
          </cell>
        </row>
        <row r="2842">
          <cell r="E2842" t="str">
            <v>DIBDIH, RANCHI
834002</v>
          </cell>
          <cell r="G2842">
            <v>8102915588</v>
          </cell>
          <cell r="K2842" t="str">
            <v>BTEC378588</v>
          </cell>
        </row>
        <row r="2843">
          <cell r="E2843" t="str">
            <v>TIPUDANA, RANCHI</v>
          </cell>
          <cell r="G2843">
            <v>9431708248</v>
          </cell>
          <cell r="K2843" t="str">
            <v>BUGC373215</v>
          </cell>
        </row>
        <row r="2844">
          <cell r="E2844" t="str">
            <v>KATRAS</v>
          </cell>
          <cell r="G2844">
            <v>6299143649</v>
          </cell>
          <cell r="K2844" t="str">
            <v>BWFD163947</v>
          </cell>
        </row>
        <row r="2845">
          <cell r="E2845" t="str">
            <v>DALADALI, RANCHI</v>
          </cell>
          <cell r="G2845">
            <v>9431139783</v>
          </cell>
          <cell r="K2845" t="str">
            <v>BWID164054</v>
          </cell>
        </row>
        <row r="2846">
          <cell r="E2846" t="str">
            <v>DALADALI, RANCHI</v>
          </cell>
          <cell r="G2846">
            <v>8051191796</v>
          </cell>
          <cell r="K2846" t="str">
            <v>BWED163889</v>
          </cell>
        </row>
        <row r="2847">
          <cell r="E2847" t="str">
            <v>RAJRAPPA</v>
          </cell>
          <cell r="G2847">
            <v>8092762251</v>
          </cell>
          <cell r="K2847" t="str">
            <v>BUKC370655</v>
          </cell>
        </row>
        <row r="2848">
          <cell r="E2848" t="str">
            <v>KOKAR, RANCHI</v>
          </cell>
          <cell r="G2848">
            <v>9431115673</v>
          </cell>
          <cell r="K2848" t="str">
            <v>BWIC371555</v>
          </cell>
        </row>
        <row r="2849">
          <cell r="E2849" t="str">
            <v>BEGUSARAI, BIHAR</v>
          </cell>
          <cell r="G2849">
            <v>9973237962</v>
          </cell>
          <cell r="K2849" t="str">
            <v>BVGD121497</v>
          </cell>
        </row>
        <row r="2850">
          <cell r="E2850" t="str">
            <v>HAZARIBAGH</v>
          </cell>
          <cell r="G2850">
            <v>9939988225</v>
          </cell>
          <cell r="K2850" t="str">
            <v>BUIS036401</v>
          </cell>
        </row>
        <row r="2851">
          <cell r="E2851" t="str">
            <v>RANCHI PATNA ROAD
DEMOTAND
825301
HAZARIBAGH</v>
          </cell>
          <cell r="G2851">
            <v>6203465926</v>
          </cell>
          <cell r="K2851" t="str">
            <v>BSCS037531</v>
          </cell>
        </row>
        <row r="2852">
          <cell r="E2852" t="str">
            <v>KULI, RAMGRAH</v>
          </cell>
          <cell r="G2852">
            <v>9691773091</v>
          </cell>
          <cell r="K2852" t="str">
            <v>BVGD163297</v>
          </cell>
        </row>
        <row r="2853">
          <cell r="E2853" t="str">
            <v>NAYA MORE, RAMGRAH</v>
          </cell>
          <cell r="G2853">
            <v>7004541681</v>
          </cell>
          <cell r="K2853" t="str">
            <v>BUKS045387</v>
          </cell>
        </row>
        <row r="2854">
          <cell r="E2854" t="str">
            <v>NAYA MORE,RAMGARH
ARA SARU BERA ROAD, NAYA, RAMGARH,JHARKHAND
829110
NAYA MORE</v>
          </cell>
          <cell r="G2854">
            <v>6201225253</v>
          </cell>
          <cell r="K2854" t="str">
            <v>BQBS033796</v>
          </cell>
        </row>
        <row r="2855">
          <cell r="E2855" t="str">
            <v>RANCHI PATNA ROAD
DEMOTAND
825301
HAZARIBAGH</v>
          </cell>
          <cell r="G2855">
            <v>7905424302</v>
          </cell>
          <cell r="K2855" t="str">
            <v>BMBL160078</v>
          </cell>
        </row>
        <row r="2856">
          <cell r="E2856" t="str">
            <v>GAYA, BIHAR</v>
          </cell>
          <cell r="G2856">
            <v>8521057778</v>
          </cell>
          <cell r="K2856" t="str">
            <v>BWID164091</v>
          </cell>
        </row>
        <row r="2857">
          <cell r="E2857" t="str">
            <v>RAMGARH
829103
NAYA MORE</v>
          </cell>
          <cell r="G2857">
            <v>6201225253</v>
          </cell>
          <cell r="K2857" t="str">
            <v>BRGS035169</v>
          </cell>
        </row>
        <row r="2858">
          <cell r="E2858" t="str">
            <v>TAPIN HAZARIBAGH</v>
          </cell>
          <cell r="G2858">
            <v>8002177613</v>
          </cell>
          <cell r="K2858" t="str">
            <v>BTGD162289</v>
          </cell>
        </row>
        <row r="2859">
          <cell r="E2859" t="str">
            <v>KOKAR, RANCHI</v>
          </cell>
          <cell r="G2859">
            <v>7488061091</v>
          </cell>
          <cell r="K2859" t="str">
            <v>BWIC371555</v>
          </cell>
        </row>
        <row r="2860">
          <cell r="E2860" t="str">
            <v>NAYA MORE, RAMGRAH</v>
          </cell>
          <cell r="G2860">
            <v>7004541681</v>
          </cell>
          <cell r="K2860" t="str">
            <v>BUKS045388</v>
          </cell>
        </row>
        <row r="2861">
          <cell r="E2861" t="str">
            <v>RAMGARH
829103
NAYA MORE</v>
          </cell>
          <cell r="G2861">
            <v>6201225258</v>
          </cell>
          <cell r="K2861" t="str">
            <v>BPCS030196</v>
          </cell>
        </row>
        <row r="2862">
          <cell r="E2862" t="str">
            <v>HAZARIBAGH</v>
          </cell>
          <cell r="G2862">
            <v>7255084681</v>
          </cell>
          <cell r="K2862" t="str">
            <v>BWLS031775</v>
          </cell>
        </row>
        <row r="2863">
          <cell r="E2863" t="str">
            <v>PLOT NO 716,VILL-RUKKA,
835219</v>
          </cell>
          <cell r="G2863">
            <v>8077428198</v>
          </cell>
          <cell r="K2863" t="str">
            <v>BSKS036366</v>
          </cell>
        </row>
        <row r="2864">
          <cell r="E2864" t="str">
            <v>DUMRI, DHANBAD</v>
          </cell>
          <cell r="G2864">
            <v>6204545670</v>
          </cell>
          <cell r="K2864" t="str">
            <v>BVHD163374</v>
          </cell>
        </row>
        <row r="2865">
          <cell r="E2865" t="str">
            <v>HESLA,RAMGARH
829101</v>
          </cell>
          <cell r="G2865">
            <v>7909075495</v>
          </cell>
          <cell r="K2865" t="str">
            <v>BSJS035917</v>
          </cell>
        </row>
        <row r="2866">
          <cell r="E2866" t="str">
            <v>HESLA,RAMGARH
829101</v>
          </cell>
          <cell r="G2866">
            <v>7909075495</v>
          </cell>
          <cell r="K2866" t="str">
            <v>BSDS037710</v>
          </cell>
        </row>
        <row r="2867">
          <cell r="E2867" t="str">
            <v>ARGADA ROAD, BINJHAR, P.O. - MARAR, RAMGARH
829117</v>
          </cell>
          <cell r="G2867">
            <v>7004687780</v>
          </cell>
          <cell r="K2867" t="str">
            <v>BSCS037449</v>
          </cell>
        </row>
        <row r="2868">
          <cell r="E2868" t="str">
            <v>PHOOLWARTAND, DHANBAD</v>
          </cell>
          <cell r="G2868">
            <v>8210106692</v>
          </cell>
          <cell r="K2868" t="str">
            <v>BVHD163393</v>
          </cell>
        </row>
        <row r="2869">
          <cell r="E2869" t="str">
            <v>FLAT NO. 300, BLOCK - A, MP SRIRAM, CHHOTA GAMHARIA, P.S. - GAMHARIA, DIST.- SARAIKELA KHARSAWAN</v>
          </cell>
          <cell r="G2869">
            <v>7600700314</v>
          </cell>
          <cell r="K2869" t="str">
            <v>BRGL151464</v>
          </cell>
        </row>
        <row r="2870">
          <cell r="E2870" t="str">
            <v>KATRAS</v>
          </cell>
          <cell r="G2870">
            <v>8210359864</v>
          </cell>
          <cell r="K2870" t="str">
            <v>BWFD163947</v>
          </cell>
        </row>
        <row r="2871">
          <cell r="E2871" t="str">
            <v>SARBARWA, TUMGRAHA</v>
          </cell>
          <cell r="G2871">
            <v>6203240174</v>
          </cell>
          <cell r="K2871" t="str">
            <v>BRLD160724</v>
          </cell>
        </row>
        <row r="2872">
          <cell r="E2872" t="str">
            <v>DHANBAD</v>
          </cell>
          <cell r="G2872">
            <v>9608346542</v>
          </cell>
          <cell r="K2872" t="str">
            <v>BVGD163301</v>
          </cell>
        </row>
        <row r="2873">
          <cell r="E2873" t="str">
            <v>RANCHI</v>
          </cell>
          <cell r="G2873">
            <v>9973880780</v>
          </cell>
          <cell r="K2873" t="str">
            <v>BKDS031405</v>
          </cell>
        </row>
        <row r="2874">
          <cell r="E2874" t="str">
            <v>KODERMA</v>
          </cell>
          <cell r="G2874">
            <v>8210413459</v>
          </cell>
          <cell r="K2874" t="str">
            <v>BVFS049398</v>
          </cell>
        </row>
        <row r="2875">
          <cell r="E2875" t="str">
            <v>KODERMA</v>
          </cell>
          <cell r="G2875">
            <v>8210413459</v>
          </cell>
          <cell r="K2875" t="str">
            <v>BVFS049407</v>
          </cell>
        </row>
        <row r="2876">
          <cell r="E2876" t="str">
            <v>JUMRI TELAIYA</v>
          </cell>
          <cell r="G2876">
            <v>7981797616</v>
          </cell>
          <cell r="K2876" t="str">
            <v>BUKC370499</v>
          </cell>
        </row>
        <row r="2877">
          <cell r="E2877" t="str">
            <v>JHUMRI TILAIYA</v>
          </cell>
          <cell r="G2877">
            <v>7061052272</v>
          </cell>
          <cell r="K2877" t="str">
            <v>GPLS030458</v>
          </cell>
        </row>
        <row r="2878">
          <cell r="E2878" t="str">
            <v>BALIDIH, BOKARO</v>
          </cell>
          <cell r="G2878">
            <v>7009268216</v>
          </cell>
          <cell r="K2878" t="str">
            <v>BVCC376207</v>
          </cell>
        </row>
        <row r="2879">
          <cell r="E2879" t="str">
            <v>GROUND AND 1 ST FLOOR, BESIDE DAINIK BHASKAR, GOVINDPUR ROAD, DIST :- DHANBAD
GROUND AND 1 ST FLOOR, BESIDE DAINIK BHASKAR, GOVINDPUR ROAD, DIST :- DHANBAD
828109</v>
          </cell>
          <cell r="G2879">
            <v>8789061377</v>
          </cell>
          <cell r="K2879" t="str">
            <v>BRES034488</v>
          </cell>
        </row>
        <row r="2880">
          <cell r="E2880" t="str">
            <v>GROUND AND 1 ST FLOOR, BESIDE DAINIK BHASKAR, GOVINDPUR ROAD, DIST :- DHANBAD
GROUND AND 1 ST FLOOR, BESIDE DAINIK BHASKAR, GOVINDPUR ROAD, DIST :- DHANBAD
828109</v>
          </cell>
          <cell r="G2880">
            <v>8789061377</v>
          </cell>
          <cell r="K2880" t="str">
            <v>BRJC371698</v>
          </cell>
        </row>
        <row r="2881">
          <cell r="E2881" t="str">
            <v>BALIDIH, BOKARO</v>
          </cell>
          <cell r="G2881">
            <v>7979757306</v>
          </cell>
          <cell r="K2881" t="str">
            <v>BVCS038776</v>
          </cell>
        </row>
        <row r="2882">
          <cell r="E2882" t="str">
            <v>BALIDIH INDUSTRIAL AREA, BOKARO
827014
BALIDIH</v>
          </cell>
          <cell r="G2882">
            <v>9334591780</v>
          </cell>
          <cell r="K2882" t="str">
            <v>BMCS030957</v>
          </cell>
        </row>
        <row r="2883">
          <cell r="E2883" t="str">
            <v>BOKARO</v>
          </cell>
          <cell r="G2883">
            <v>9629403458</v>
          </cell>
          <cell r="K2883" t="str">
            <v>BSLC374985</v>
          </cell>
        </row>
        <row r="2884">
          <cell r="E2884" t="str">
            <v>BOKARO</v>
          </cell>
          <cell r="G2884">
            <v>9629403458</v>
          </cell>
          <cell r="K2884" t="str">
            <v>BSLC374986</v>
          </cell>
        </row>
        <row r="2885">
          <cell r="E2885" t="str">
            <v>BHOWRA</v>
          </cell>
          <cell r="G2885">
            <v>9608246542</v>
          </cell>
          <cell r="K2885" t="str">
            <v>BUDD162713</v>
          </cell>
        </row>
        <row r="2886">
          <cell r="E2886" t="str">
            <v>FLAT NO. 300, BLOCK - A, MP SRIRAM, CHHOTA GAMHARIA, P.S. - GAMHARIA, DIST.- SARAIKELA KHARSAWAN</v>
          </cell>
          <cell r="G2886">
            <v>7900700814</v>
          </cell>
          <cell r="K2886" t="str">
            <v>BRBL150944</v>
          </cell>
        </row>
        <row r="2887">
          <cell r="E2887" t="str">
            <v>TATISILWAI, RANCHI</v>
          </cell>
          <cell r="G2887">
            <v>9708039203</v>
          </cell>
          <cell r="K2887" t="str">
            <v>BWCC379947</v>
          </cell>
        </row>
        <row r="2888">
          <cell r="E2888" t="str">
            <v>DALADALI, RANCHI</v>
          </cell>
          <cell r="G2888">
            <v>9199364073</v>
          </cell>
          <cell r="K2888" t="str">
            <v>BWED163889</v>
          </cell>
        </row>
        <row r="2889">
          <cell r="E2889" t="str">
            <v>DHANBAD</v>
          </cell>
          <cell r="G2889">
            <v>7870788557</v>
          </cell>
          <cell r="K2889" t="str">
            <v>BUBS046036</v>
          </cell>
        </row>
        <row r="2890">
          <cell r="E2890" t="str">
            <v>GOBINDPUR INDUSTRIAL AREA, DHANBAD</v>
          </cell>
          <cell r="G2890">
            <v>9113169811</v>
          </cell>
          <cell r="K2890" t="str">
            <v>BVJS047894</v>
          </cell>
        </row>
        <row r="2891">
          <cell r="E2891" t="str">
            <v>AMLO PHUSHRO</v>
          </cell>
          <cell r="G2891">
            <v>8757131605</v>
          </cell>
          <cell r="K2891" t="str">
            <v>BRKD220111</v>
          </cell>
        </row>
        <row r="2892">
          <cell r="E2892" t="str">
            <v>PHUSHRO</v>
          </cell>
          <cell r="G2892">
            <v>7091340232</v>
          </cell>
          <cell r="K2892" t="str">
            <v>BWAD163687</v>
          </cell>
        </row>
        <row r="2893">
          <cell r="E2893" t="str">
            <v>PHUSHRO</v>
          </cell>
          <cell r="G2893">
            <v>7091340232</v>
          </cell>
          <cell r="K2893" t="str">
            <v>BVED163244</v>
          </cell>
        </row>
        <row r="2894">
          <cell r="E2894" t="str">
            <v>PHUSHRO</v>
          </cell>
          <cell r="G2894">
            <v>7091340232</v>
          </cell>
          <cell r="K2894" t="str">
            <v>BWHD231642</v>
          </cell>
        </row>
        <row r="2895">
          <cell r="E2895" t="str">
            <v>DHANBAD</v>
          </cell>
          <cell r="G2895">
            <v>7870788557</v>
          </cell>
          <cell r="K2895" t="str">
            <v>BUBS046035</v>
          </cell>
        </row>
        <row r="2896">
          <cell r="E2896" t="str">
            <v>DEHRI ON SONE, BIHAR</v>
          </cell>
          <cell r="G2896">
            <v>9798156166</v>
          </cell>
          <cell r="K2896" t="str">
            <v>BWIS041953</v>
          </cell>
        </row>
        <row r="2897">
          <cell r="E2897" t="str">
            <v>TETULWARI</v>
          </cell>
          <cell r="G2897">
            <v>8757131605</v>
          </cell>
          <cell r="K2897" t="str">
            <v>BTGD162296</v>
          </cell>
        </row>
        <row r="2898">
          <cell r="E2898" t="str">
            <v>TATISILWAI, RANCHI</v>
          </cell>
          <cell r="G2898">
            <v>9938743889</v>
          </cell>
          <cell r="K2898" t="str">
            <v>BWEC370314</v>
          </cell>
        </row>
        <row r="2899">
          <cell r="E2899" t="str">
            <v>MUNGER, BIHAR</v>
          </cell>
          <cell r="G2899">
            <v>9103242028</v>
          </cell>
          <cell r="K2899" t="str">
            <v>BWLD163588</v>
          </cell>
        </row>
        <row r="2900">
          <cell r="E2900" t="str">
            <v>A-3, 2ND PHASE, ADITYAPUR INDUSTRIAL AREA, ADITYAPUR, JAMSHEDPUR, JHARKHAND
A-3, 2ND PHASE, ADITYAPUR INDUSTRIAL AREA, ADITYAPUR, JAMSHEDPUR, JHARKHAND
831013
JAMHEDPUR</v>
          </cell>
          <cell r="G2900">
            <v>9234002408</v>
          </cell>
          <cell r="K2900" t="str">
            <v>GPBC370442</v>
          </cell>
        </row>
        <row r="2901">
          <cell r="E2901" t="str">
            <v>A-3, 2ND PHASE, ADITYAPUR INDUSTRIAL AREA, ADITYAPUR, JAMSHEDPUR, JHARKHAND
A-3, 2ND PHASE, ADITYAPUR INDUSTRIAL AREA, ADITYAPUR, JAMSHEDPUR, JHARKHAND
831013
JAMHEDPUR</v>
          </cell>
          <cell r="G2901">
            <v>9234002408</v>
          </cell>
          <cell r="K2901" t="str">
            <v>GPBC370442</v>
          </cell>
        </row>
        <row r="2902">
          <cell r="E2902" t="str">
            <v>ADITYAPUR KANDRA ROAD
831013</v>
          </cell>
          <cell r="G2902">
            <v>9204058991</v>
          </cell>
          <cell r="K2902" t="str">
            <v>BRDC373261</v>
          </cell>
        </row>
        <row r="2903">
          <cell r="E2903" t="str">
            <v>TETULMARI, DHANBAD</v>
          </cell>
          <cell r="G2903">
            <v>9934169104</v>
          </cell>
          <cell r="K2903" t="str">
            <v>BWID164086</v>
          </cell>
        </row>
        <row r="2904">
          <cell r="E2904" t="str">
            <v>BARAUNI</v>
          </cell>
          <cell r="G2904">
            <v>9386279110</v>
          </cell>
          <cell r="K2904" t="str">
            <v>BWHD121813</v>
          </cell>
        </row>
        <row r="2905">
          <cell r="E2905" t="str">
            <v>LODNA MORE</v>
          </cell>
          <cell r="G2905">
            <v>6200119580</v>
          </cell>
          <cell r="K2905" t="str">
            <v>BWKD163512</v>
          </cell>
        </row>
        <row r="2906">
          <cell r="E2906" t="str">
            <v>BARKAGAON</v>
          </cell>
          <cell r="G2906">
            <v>7633998724</v>
          </cell>
          <cell r="K2906" t="str">
            <v>BRDC373181</v>
          </cell>
        </row>
        <row r="2907">
          <cell r="E2907" t="str">
            <v>PHOOLWARTAND, DHANBAD</v>
          </cell>
          <cell r="G2907">
            <v>8210106692</v>
          </cell>
          <cell r="K2907" t="str">
            <v>BVHD163393</v>
          </cell>
        </row>
        <row r="2908">
          <cell r="E2908" t="str">
            <v>ASANSOL</v>
          </cell>
          <cell r="G2908">
            <v>9431101890</v>
          </cell>
          <cell r="K2908" t="str">
            <v>BSCS037494</v>
          </cell>
        </row>
        <row r="2909">
          <cell r="E2909" t="str">
            <v>SARWARI, ASANSOL, WB</v>
          </cell>
          <cell r="G2909">
            <v>9431101890</v>
          </cell>
          <cell r="K2909" t="str">
            <v>BPLF150007</v>
          </cell>
        </row>
        <row r="2910">
          <cell r="E2910" t="str">
            <v>CHAS BOKARO</v>
          </cell>
          <cell r="G2910">
            <v>9135780530</v>
          </cell>
          <cell r="K2910" t="str">
            <v>BQKD200034</v>
          </cell>
        </row>
        <row r="2911">
          <cell r="E2911" t="str">
            <v>BADA TALAB, RANCHI</v>
          </cell>
          <cell r="G2911">
            <v>6207568694</v>
          </cell>
          <cell r="K2911" t="str">
            <v>BVFC377137</v>
          </cell>
        </row>
        <row r="2912">
          <cell r="E2912" t="str">
            <v>BADA TALAB, RANCHI</v>
          </cell>
          <cell r="G2912">
            <v>6207568694</v>
          </cell>
          <cell r="K2912" t="str">
            <v>BVFC377137</v>
          </cell>
        </row>
        <row r="2913">
          <cell r="E2913" t="str">
            <v>BARWADIH, LATEHAR</v>
          </cell>
          <cell r="G2913">
            <v>9771426467</v>
          </cell>
          <cell r="K2913" t="str">
            <v>EUES046621</v>
          </cell>
        </row>
        <row r="2914">
          <cell r="E2914" t="str">
            <v>BARWADIH, LATEHAR</v>
          </cell>
          <cell r="G2914">
            <v>9771426467</v>
          </cell>
          <cell r="K2914" t="str">
            <v>EUES046621</v>
          </cell>
        </row>
        <row r="2915">
          <cell r="E2915" t="str">
            <v>RANCHI
834002</v>
          </cell>
          <cell r="G2915">
            <v>8210241710</v>
          </cell>
          <cell r="K2915" t="str">
            <v>BULS033141</v>
          </cell>
        </row>
        <row r="2916">
          <cell r="E2916" t="str">
            <v>RANCHI
834002</v>
          </cell>
          <cell r="G2916">
            <v>8210241710</v>
          </cell>
          <cell r="K2916" t="str">
            <v>BTIS032025</v>
          </cell>
        </row>
        <row r="2917">
          <cell r="E2917" t="str">
            <v>RANCHI
834002</v>
          </cell>
          <cell r="G2917">
            <v>8210241710</v>
          </cell>
          <cell r="K2917" t="str">
            <v>BTIS032020</v>
          </cell>
        </row>
        <row r="2918">
          <cell r="E2918" t="str">
            <v>CHAPAPUR, NIRSA</v>
          </cell>
          <cell r="G2918">
            <v>9931921808</v>
          </cell>
          <cell r="K2918" t="str">
            <v>BQED160215</v>
          </cell>
        </row>
        <row r="2919">
          <cell r="E2919" t="str">
            <v>DHANBAD</v>
          </cell>
          <cell r="G2919">
            <v>9430375575</v>
          </cell>
          <cell r="K2919" t="str">
            <v>BWID164096</v>
          </cell>
        </row>
        <row r="2920">
          <cell r="E2920" t="str">
            <v>ANGARA, TATISILWAI</v>
          </cell>
          <cell r="G2920">
            <v>9507321781</v>
          </cell>
          <cell r="K2920" t="str">
            <v>BWFC370703</v>
          </cell>
        </row>
        <row r="2921">
          <cell r="E2921" t="str">
            <v>GROUND FLOOR, 8H AND 81, NATION PRINTERS, NAMKUM INDUSTRIAL AREA,, LOWADIH, RANCHI
GROUND FLOOR, 8H AND 81, NATION PRINTERS, NAMKUM INDUSTRIAL AREA,, LOWADIH, RANCHI
834010</v>
          </cell>
          <cell r="G2921">
            <v>9386895542</v>
          </cell>
          <cell r="K2921" t="str">
            <v>BRCC372871</v>
          </cell>
        </row>
        <row r="2922">
          <cell r="E2922" t="str">
            <v>BALIDIH INDUSTRIAL AREA
827014</v>
          </cell>
          <cell r="G2922">
            <v>9006647345</v>
          </cell>
          <cell r="K2922" t="str">
            <v>BTDS044313</v>
          </cell>
        </row>
        <row r="2923">
          <cell r="E2923" t="str">
            <v>B7-PHASE-3, BALIDIH INDUSTRIAL AREA BALIDIH, BOKARO STEEL CITY BOKARO, JHARKHAND
SUNDARAM STEELS PVT. LTD, B-7 PHASE-III,BOKARO INDUSTRIAL AREA,BALIDIH, BOKARO
827014</v>
          </cell>
          <cell r="G2923">
            <v>9933757780</v>
          </cell>
          <cell r="K2923" t="str">
            <v>BTHS031467</v>
          </cell>
        </row>
        <row r="2924">
          <cell r="E2924" t="str">
            <v>RAHELA, DALTAINGANJ</v>
          </cell>
          <cell r="G2924">
            <v>7004471081</v>
          </cell>
          <cell r="K2924" t="str">
            <v>BUGS035879</v>
          </cell>
        </row>
        <row r="2925">
          <cell r="E2925" t="str">
            <v>AT - HEHAL, POST - BARKAKANA
BARKAKANA
829103</v>
          </cell>
          <cell r="G2925">
            <v>6200896545</v>
          </cell>
          <cell r="K2925" t="str">
            <v>BUAS033580</v>
          </cell>
        </row>
        <row r="2926">
          <cell r="E2926" t="str">
            <v>RAMGARH SPONGE IRON PVT LTD VILLAGE:HOSHIR GIDDI-POHAZARIBAGH(DT)JHARKHAND IND
829110</v>
          </cell>
          <cell r="G2926">
            <v>8651078549</v>
          </cell>
          <cell r="K2926" t="str">
            <v>BKCS040470</v>
          </cell>
        </row>
        <row r="2927">
          <cell r="E2927" t="str">
            <v>HOSHIR GIDDI,RAMGARH
NEAR P.N. BANK MAIN ROAD, RAMGARH CANTT. 829122
829110</v>
          </cell>
          <cell r="G2927">
            <v>8651078549</v>
          </cell>
          <cell r="K2927" t="str">
            <v>GPJS030042</v>
          </cell>
        </row>
        <row r="2928">
          <cell r="E2928" t="str">
            <v>BALIDIH BOKARO</v>
          </cell>
          <cell r="G2928">
            <v>8118095065</v>
          </cell>
          <cell r="K2928" t="str">
            <v>BVHS049699</v>
          </cell>
        </row>
        <row r="2929">
          <cell r="E2929" t="str">
            <v>KODERMA</v>
          </cell>
          <cell r="G2929">
            <v>8210413459</v>
          </cell>
          <cell r="K2929" t="str">
            <v>BVFS049426</v>
          </cell>
        </row>
        <row r="2930">
          <cell r="E2930" t="str">
            <v>KODERMA</v>
          </cell>
          <cell r="G2930">
            <v>8210413459</v>
          </cell>
          <cell r="K2930" t="str">
            <v>BVFS049421</v>
          </cell>
        </row>
        <row r="2931">
          <cell r="E2931" t="str">
            <v>GOVINDPUR DHANBAD</v>
          </cell>
          <cell r="G2931">
            <v>9110154620</v>
          </cell>
          <cell r="K2931" t="str">
            <v>BRFS034901</v>
          </cell>
        </row>
        <row r="2932">
          <cell r="E2932" t="str">
            <v>GOVINDPUR DHANBAD</v>
          </cell>
          <cell r="G2932">
            <v>9110154620</v>
          </cell>
          <cell r="K2932" t="str">
            <v>BRBS041574</v>
          </cell>
        </row>
        <row r="2933">
          <cell r="E2933" t="str">
            <v>KWJAMA COLLIERY, DHANBAD</v>
          </cell>
          <cell r="G2933">
            <v>9065764901</v>
          </cell>
          <cell r="K2933" t="str">
            <v>BVCD163165</v>
          </cell>
        </row>
        <row r="2934">
          <cell r="E2934" t="str">
            <v>BHULI, DHANBAD</v>
          </cell>
          <cell r="G2934">
            <v>7541046561</v>
          </cell>
          <cell r="K2934" t="str">
            <v>BWEC370394</v>
          </cell>
        </row>
        <row r="2935">
          <cell r="E2935" t="str">
            <v>KWJAMA COLLIERY, DHANBAD</v>
          </cell>
          <cell r="G2935">
            <v>9065764901</v>
          </cell>
          <cell r="K2935" t="str">
            <v>BVCD163165</v>
          </cell>
        </row>
        <row r="2936">
          <cell r="E2936" t="str">
            <v>KASUNDA</v>
          </cell>
          <cell r="G2936">
            <v>8101968418</v>
          </cell>
          <cell r="K2936" t="str">
            <v>BTCD162162</v>
          </cell>
        </row>
        <row r="2937">
          <cell r="E2937" t="str">
            <v>KHURPANIA, KHASHMAHAL, PHUSHRO</v>
          </cell>
          <cell r="G2937">
            <v>6299732316</v>
          </cell>
          <cell r="K2937" t="str">
            <v>BTHD162350</v>
          </cell>
        </row>
        <row r="2938">
          <cell r="E2938" t="str">
            <v>PALAMU,GARWA, JHARKHAND
822124
GARHWA ROAD, NEAR BCCL PALAMU,</v>
          </cell>
          <cell r="G2938">
            <v>9973686006</v>
          </cell>
          <cell r="K2938" t="str">
            <v>GOCS030806</v>
          </cell>
        </row>
        <row r="2939">
          <cell r="E2939" t="str">
            <v>BHUYANDIH, JAMSHEDPUR</v>
          </cell>
          <cell r="G2939">
            <v>9304170499</v>
          </cell>
          <cell r="K2939" t="str">
            <v>BMFC370445</v>
          </cell>
        </row>
        <row r="2940">
          <cell r="E2940" t="str">
            <v>LODNA MORE</v>
          </cell>
          <cell r="G2940">
            <v>7623886938</v>
          </cell>
          <cell r="K2940" t="str">
            <v>BWKD163543</v>
          </cell>
        </row>
        <row r="2941">
          <cell r="E2941" t="str">
            <v>KOKAR INDUSTRIAL AREA</v>
          </cell>
          <cell r="G2941">
            <v>7520091181</v>
          </cell>
          <cell r="K2941" t="str">
            <v>BVKC374486</v>
          </cell>
        </row>
        <row r="2942">
          <cell r="E2942" t="str">
            <v>BEGUSARAI, BIHAR</v>
          </cell>
          <cell r="G2942">
            <v>8877841639</v>
          </cell>
          <cell r="K2942" t="str">
            <v>BVIL161081</v>
          </cell>
        </row>
        <row r="2943">
          <cell r="E2943" t="str">
            <v>DEMOTAND, HAZARIBAGH</v>
          </cell>
          <cell r="G2943">
            <v>9905758949</v>
          </cell>
          <cell r="K2943" t="str">
            <v>BWGC370777</v>
          </cell>
        </row>
        <row r="2944">
          <cell r="E2944" t="str">
            <v>BALIDIH INDUSTRIAL AREA, BOKARO
BYE PASS ROAD, CHAS, BOKARO, JHARKHAND.
827014</v>
          </cell>
          <cell r="G2944">
            <v>6290095065</v>
          </cell>
          <cell r="K2944" t="str">
            <v>BRCC373034</v>
          </cell>
        </row>
        <row r="2945">
          <cell r="E2945" t="str">
            <v>BIT MESRA, RANCHI</v>
          </cell>
          <cell r="G2945">
            <v>8010635349</v>
          </cell>
          <cell r="K2945" t="str">
            <v>BVIC378175</v>
          </cell>
        </row>
        <row r="2946">
          <cell r="E2946" t="str">
            <v>NICHITPUR</v>
          </cell>
          <cell r="G2946">
            <v>7903412157</v>
          </cell>
          <cell r="K2946" t="str">
            <v>BUCD162696</v>
          </cell>
        </row>
        <row r="2947">
          <cell r="E2947" t="str">
            <v>RAMGRAH</v>
          </cell>
          <cell r="G2947">
            <v>9431394348</v>
          </cell>
          <cell r="K2947" t="str">
            <v>BWKC378694</v>
          </cell>
        </row>
        <row r="2948">
          <cell r="E2948" t="str">
            <v>ORMANJHI</v>
          </cell>
          <cell r="G2948">
            <v>6205364351</v>
          </cell>
          <cell r="K2948" t="str">
            <v>BVHD163336</v>
          </cell>
        </row>
        <row r="2949">
          <cell r="E2949" t="str">
            <v>NEAR P.N BANK MAIN ROAD,, RAMGARH CANTT-829122, DIST. RAMGARH
829122
BUDHAKHOP, AMBRELA, KARMA,</v>
          </cell>
          <cell r="G2949">
            <v>9693796748</v>
          </cell>
          <cell r="K2949" t="str">
            <v>BQBS030091</v>
          </cell>
        </row>
        <row r="2950">
          <cell r="E2950" t="str">
            <v>RAHELA, DALTAINGANJ</v>
          </cell>
          <cell r="G2950">
            <v>7004623399</v>
          </cell>
          <cell r="K2950" t="str">
            <v>BWCS032720</v>
          </cell>
        </row>
        <row r="2951">
          <cell r="E2951" t="str">
            <v>BARKAGAON, HAZARIBAGH</v>
          </cell>
          <cell r="G2951">
            <v>8555006735</v>
          </cell>
          <cell r="K2951" t="str">
            <v>BVED163229</v>
          </cell>
        </row>
        <row r="2952">
          <cell r="E2952" t="str">
            <v>NAGRI,RANCHI
835202
RANCHI</v>
          </cell>
          <cell r="G2952">
            <v>7004248429</v>
          </cell>
          <cell r="K2952" t="str">
            <v>BRIS035698</v>
          </cell>
        </row>
        <row r="2953">
          <cell r="E2953" t="str">
            <v>ORMANJHI</v>
          </cell>
          <cell r="G2953">
            <v>9801218570</v>
          </cell>
          <cell r="K2953" t="str">
            <v>BVHD163336</v>
          </cell>
        </row>
        <row r="2954">
          <cell r="E2954" t="str">
            <v>501, H.NO.3-4-136/B., ROYAL ASHOK, RESIDENCY , BARKATPURA, HYDERABAD, TELANGANA - 500027</v>
          </cell>
          <cell r="G2954">
            <v>8210106692</v>
          </cell>
          <cell r="K2954" t="str">
            <v>BTJD162045</v>
          </cell>
        </row>
        <row r="2955">
          <cell r="E2955" t="str">
            <v>DEOGHAR</v>
          </cell>
          <cell r="G2955">
            <v>7261002856</v>
          </cell>
          <cell r="K2955" t="str">
            <v>BRED161124</v>
          </cell>
        </row>
        <row r="2956">
          <cell r="E2956" t="str">
            <v>KASUNDA</v>
          </cell>
          <cell r="G2956">
            <v>8101968418</v>
          </cell>
          <cell r="K2956" t="str">
            <v>BTCD162162</v>
          </cell>
        </row>
        <row r="2957">
          <cell r="E2957" t="str">
            <v>GOVINDPUR, DHANBAD</v>
          </cell>
          <cell r="G2957">
            <v>9661677261</v>
          </cell>
          <cell r="K2957" t="str">
            <v>BJFS031286</v>
          </cell>
        </row>
        <row r="2958">
          <cell r="E2958" t="str">
            <v>BAGSUMA,GOVINDPUR, DHANBAD
GT ROAD, BAGSUMA
828109</v>
          </cell>
          <cell r="G2958">
            <v>9835191288</v>
          </cell>
          <cell r="K2958" t="str">
            <v>BTJC377259</v>
          </cell>
        </row>
        <row r="2959">
          <cell r="E2959" t="str">
            <v>PHUSHRO</v>
          </cell>
          <cell r="G2959">
            <v>8101968418</v>
          </cell>
          <cell r="K2959" t="str">
            <v>BRFD161164</v>
          </cell>
        </row>
        <row r="2960">
          <cell r="E2960" t="str">
            <v>PATRATU</v>
          </cell>
          <cell r="G2960">
            <v>7908048644</v>
          </cell>
          <cell r="K2960" t="str">
            <v>EVKS047996</v>
          </cell>
        </row>
        <row r="2961">
          <cell r="E2961" t="str">
            <v>DHANBAD</v>
          </cell>
          <cell r="G2961">
            <v>9608346542</v>
          </cell>
          <cell r="K2961" t="str">
            <v>BVGD163301</v>
          </cell>
        </row>
        <row r="2962">
          <cell r="E2962" t="str">
            <v>PHOOLWARTAND, DHANBAD</v>
          </cell>
          <cell r="G2962">
            <v>6204356016</v>
          </cell>
          <cell r="K2962" t="str">
            <v>BVHD163393</v>
          </cell>
        </row>
        <row r="2963">
          <cell r="E2963" t="str">
            <v>GOVINDPUR, DHANBAD</v>
          </cell>
          <cell r="G2963">
            <v>7254622131</v>
          </cell>
          <cell r="K2963" t="str">
            <v>BVDS039346</v>
          </cell>
        </row>
        <row r="2964">
          <cell r="E2964" t="str">
            <v>BASTAWLA DHANBAD</v>
          </cell>
          <cell r="G2964">
            <v>8658834483</v>
          </cell>
          <cell r="K2964" t="str">
            <v>BUAD162630</v>
          </cell>
        </row>
        <row r="2965">
          <cell r="E2965" t="str">
            <v>BERA, DHANBAD</v>
          </cell>
          <cell r="G2965">
            <v>9550053031</v>
          </cell>
          <cell r="K2965" t="str">
            <v>BUAD162634</v>
          </cell>
        </row>
        <row r="2966">
          <cell r="E2966" t="str">
            <v>DHANBAD</v>
          </cell>
          <cell r="G2966">
            <v>8210106692</v>
          </cell>
          <cell r="K2966" t="str">
            <v>BVGD163308</v>
          </cell>
        </row>
        <row r="2967">
          <cell r="E2967" t="str">
            <v>RANCHI ROAD,RAMGARH 
DIGWAR,RAMGARH
829122
DIGWAR , RANCHI ROAD ,</v>
          </cell>
          <cell r="G2967">
            <v>7004848564</v>
          </cell>
          <cell r="K2967" t="str">
            <v>BSFC376459</v>
          </cell>
        </row>
        <row r="2968">
          <cell r="E2968" t="str">
            <v>RANCHI ROAD,RAMGARH 
DIGWAR,RAMGARH
829122
DIGWAR , RANCHI ROAD ,</v>
          </cell>
          <cell r="G2968">
            <v>7004848564</v>
          </cell>
          <cell r="K2968" t="str">
            <v>GOAC370220</v>
          </cell>
        </row>
        <row r="2969">
          <cell r="E2969" t="str">
            <v>LODNA</v>
          </cell>
          <cell r="G2969">
            <v>6394641834</v>
          </cell>
          <cell r="K2969" t="str">
            <v>BVJD162972</v>
          </cell>
        </row>
        <row r="2970">
          <cell r="E2970" t="str">
            <v>DUMKA</v>
          </cell>
          <cell r="G2970">
            <v>7903015729</v>
          </cell>
          <cell r="K2970" t="str">
            <v>BIAS030265</v>
          </cell>
        </row>
        <row r="2971">
          <cell r="E2971" t="str">
            <v>CHHATRAPUR, PALAMU</v>
          </cell>
          <cell r="G2971">
            <v>8619279101</v>
          </cell>
          <cell r="K2971" t="str">
            <v>BSKD161499</v>
          </cell>
        </row>
        <row r="2972">
          <cell r="E2972" t="str">
            <v>PAKURIA</v>
          </cell>
          <cell r="G2972">
            <v>7004717041</v>
          </cell>
          <cell r="K2972" t="str">
            <v>BVBD121409</v>
          </cell>
        </row>
        <row r="2973">
          <cell r="E2973" t="str">
            <v>KIRIGARA, JHARKHAND</v>
          </cell>
          <cell r="G2973">
            <v>9304197723</v>
          </cell>
          <cell r="K2973" t="str">
            <v>BRGD161229</v>
          </cell>
        </row>
        <row r="2974">
          <cell r="E2974" t="str">
            <v>KAMDE,RANCHI</v>
          </cell>
          <cell r="G2974">
            <v>9304197723</v>
          </cell>
          <cell r="K2974" t="str">
            <v>BSJD161438</v>
          </cell>
        </row>
        <row r="2975">
          <cell r="E2975" t="str">
            <v>FLAT NO. 300, BLOCK - A, MP SRIRAM, CHHOTA GAMHARIA, P.S. - GAMHARIA, DIST.- SARAIKELA KHARSAWAN</v>
          </cell>
          <cell r="G2975">
            <v>7600700314</v>
          </cell>
          <cell r="K2975" t="str">
            <v>BRGL151464</v>
          </cell>
        </row>
        <row r="2976">
          <cell r="E2976" t="str">
            <v>PIPARWAR,JHARKHAND
BAHERA, BENTI, PIPARWAR, CHATRA
825321</v>
          </cell>
          <cell r="G2976">
            <v>9430197163</v>
          </cell>
          <cell r="K2976" t="str">
            <v>BOID200231</v>
          </cell>
        </row>
        <row r="2977">
          <cell r="E2977" t="str">
            <v>DALADALI, RANCHUI</v>
          </cell>
          <cell r="G2977">
            <v>7992413342</v>
          </cell>
          <cell r="K2977" t="str">
            <v>BMJD200014</v>
          </cell>
        </row>
        <row r="2978">
          <cell r="E2978" t="str">
            <v>SHEKHPURA, BIHAR</v>
          </cell>
          <cell r="G2978">
            <v>6205791626</v>
          </cell>
          <cell r="K2978" t="str">
            <v>BTGL160455</v>
          </cell>
        </row>
        <row r="2979">
          <cell r="E2979" t="str">
            <v>PALAMU</v>
          </cell>
          <cell r="G2979">
            <v>7903236357</v>
          </cell>
          <cell r="K2979" t="str">
            <v>BSJD161378</v>
          </cell>
        </row>
        <row r="2980">
          <cell r="E2980" t="str">
            <v>Govindpur, Dhanbad</v>
          </cell>
          <cell r="G2980">
            <v>6380540177</v>
          </cell>
          <cell r="K2980" t="str">
            <v>BQGD230029</v>
          </cell>
        </row>
        <row r="2981">
          <cell r="E2981" t="str">
            <v>ASHOK NAGAR, RANCHI</v>
          </cell>
          <cell r="G2981">
            <v>8005942996</v>
          </cell>
          <cell r="K2981" t="str">
            <v>BPLD200068</v>
          </cell>
        </row>
        <row r="2982">
          <cell r="E2982" t="str">
            <v>FLAT NO. 300, BLOCK - A, MP SRIRAM, CHHOTA GAMHARIA, P.S. - GAMHARIA, DIST.- SARAIKELA KHARSAWAN</v>
          </cell>
          <cell r="G2982">
            <v>7900700814</v>
          </cell>
          <cell r="K2982" t="str">
            <v>BRBL150944</v>
          </cell>
        </row>
        <row r="2983">
          <cell r="E2983" t="str">
            <v>VILL - BARIDARI, BOKARO</v>
          </cell>
          <cell r="G2983">
            <v>6204816691</v>
          </cell>
          <cell r="K2983" t="str">
            <v>BRHD161299</v>
          </cell>
        </row>
        <row r="2984">
          <cell r="E2984" t="str">
            <v>C/O - PREM PRAKASH AGARWAL, OPP - HILLVIEW FUEL STATION, GODHUR, P.O - KUSUNDA, DHANBAD</v>
          </cell>
          <cell r="G2984">
            <v>7903412157</v>
          </cell>
          <cell r="K2984" t="str">
            <v>BTED162217</v>
          </cell>
        </row>
        <row r="2985">
          <cell r="E2985"/>
          <cell r="G2985">
            <v>9529617425</v>
          </cell>
          <cell r="K2985" t="str">
            <v>BRCD160948</v>
          </cell>
        </row>
        <row r="2986">
          <cell r="E2986" t="str">
            <v>Chiturdih, Dhanbad.</v>
          </cell>
          <cell r="G2986">
            <v>9931519401</v>
          </cell>
          <cell r="K2986" t="str">
            <v>BTDD162192</v>
          </cell>
        </row>
        <row r="2987">
          <cell r="E2987" t="str">
            <v>DALADALI, RANCHI</v>
          </cell>
          <cell r="G2987">
            <v>9934169368</v>
          </cell>
          <cell r="K2987" t="str">
            <v>BQHD160416</v>
          </cell>
        </row>
        <row r="2988">
          <cell r="E2988" t="str">
            <v>SAHIBGANJ</v>
          </cell>
          <cell r="G2988">
            <v>7544958524</v>
          </cell>
          <cell r="K2988" t="str">
            <v>BSID161973</v>
          </cell>
        </row>
        <row r="2989">
          <cell r="E2989" t="str">
            <v>GANGA BRIDGE, BAKHTIYARPUR, PATNA</v>
          </cell>
          <cell r="G2989">
            <v>8544557188</v>
          </cell>
          <cell r="K2989" t="str">
            <v>BULD121094</v>
          </cell>
        </row>
        <row r="2990">
          <cell r="E2990" t="str">
            <v>NICHITPUR</v>
          </cell>
          <cell r="G2990">
            <v>6202894138</v>
          </cell>
          <cell r="K2990" t="str">
            <v>BUCD162696</v>
          </cell>
        </row>
        <row r="2991">
          <cell r="E2991" t="str">
            <v>BIHAR</v>
          </cell>
          <cell r="G2991">
            <v>8294516077</v>
          </cell>
          <cell r="K2991" t="str">
            <v>BNDD160224</v>
          </cell>
        </row>
        <row r="2992">
          <cell r="E2992" t="str">
            <v>CHHOTA, TANGARANI, SARAIKELA</v>
          </cell>
          <cell r="G2992">
            <v>9424125068</v>
          </cell>
          <cell r="K2992" t="str">
            <v>GPGD160208</v>
          </cell>
        </row>
        <row r="2993">
          <cell r="E2993" t="str">
            <v>CHATRA,JHARKHAND</v>
          </cell>
          <cell r="G2993">
            <v>7004203427</v>
          </cell>
          <cell r="K2993" t="str">
            <v>BSKD200409</v>
          </cell>
        </row>
        <row r="2994">
          <cell r="E2994" t="str">
            <v>GAYA</v>
          </cell>
          <cell r="G2994">
            <v>9798724120</v>
          </cell>
          <cell r="K2994" t="str">
            <v>BQBD200008</v>
          </cell>
        </row>
        <row r="2995">
          <cell r="E2995" t="str">
            <v>NAWADA, BIHAR</v>
          </cell>
          <cell r="G2995">
            <v>9304172201</v>
          </cell>
          <cell r="K2995" t="str">
            <v>BUAL160585</v>
          </cell>
        </row>
        <row r="2996">
          <cell r="E2996" t="str">
            <v>C/O PALANIAPPAN CHANDRAN, KATTUKOTTAL, PAITHUR, P.O- ATTUR TK,SALEM, TAMILNADU</v>
          </cell>
          <cell r="G2996">
            <v>8809338483</v>
          </cell>
          <cell r="K2996" t="str">
            <v>BSAD230391</v>
          </cell>
        </row>
        <row r="2997">
          <cell r="E2997" t="str">
            <v>ANKIT KUMAR SONTHALIA, R.N. BOSE ROAD, SATSANG GATE, NEAR HANUMAN MANDIR,, PURANDAHA, DEOGHAR, DIST. DUMKA,, JHARKHAND</v>
          </cell>
          <cell r="G2997">
            <v>8101028484</v>
          </cell>
          <cell r="K2997" t="str">
            <v>BSFD161795</v>
          </cell>
        </row>
        <row r="2998">
          <cell r="E2998" t="str">
            <v>SARAIKELA</v>
          </cell>
          <cell r="G2998">
            <v>9529868513</v>
          </cell>
          <cell r="K2998" t="str">
            <v>BSID220375</v>
          </cell>
        </row>
        <row r="2999">
          <cell r="E2999" t="str">
            <v>GOPI MORE GAYA</v>
          </cell>
          <cell r="G2999">
            <v>8169716899</v>
          </cell>
          <cell r="K2999" t="str">
            <v>BRHD161314</v>
          </cell>
        </row>
        <row r="3000">
          <cell r="E3000" t="str">
            <v>PATNA</v>
          </cell>
          <cell r="G3000">
            <v>9836681133</v>
          </cell>
          <cell r="K3000" t="str">
            <v>BUJD121040</v>
          </cell>
        </row>
        <row r="3001">
          <cell r="E3001" t="str">
            <v>BIHAR, BEGUSARAI</v>
          </cell>
          <cell r="G3001">
            <v>8877841639</v>
          </cell>
          <cell r="K3001" t="str">
            <v>BUJD121019</v>
          </cell>
        </row>
        <row r="3002">
          <cell r="E3002" t="str">
            <v>GOPI KANDHAR, DUMKA</v>
          </cell>
          <cell r="G3002">
            <v>6206959324</v>
          </cell>
          <cell r="K3002" t="str">
            <v>BUID162940</v>
          </cell>
        </row>
        <row r="3003">
          <cell r="E3003" t="str">
            <v>PHUSHRO</v>
          </cell>
          <cell r="G3003">
            <v>7091340232</v>
          </cell>
          <cell r="K3003" t="str">
            <v>BWHD231642</v>
          </cell>
        </row>
        <row r="3004">
          <cell r="E3004" t="str">
            <v>TAPIN PROJECT, CHARHI</v>
          </cell>
          <cell r="G3004">
            <v>6204816691</v>
          </cell>
          <cell r="K3004" t="str">
            <v>BVLD163067</v>
          </cell>
        </row>
        <row r="3005">
          <cell r="E3005" t="str">
            <v>SHEIKHPURA, BIHAR</v>
          </cell>
          <cell r="G3005">
            <v>9523069653</v>
          </cell>
          <cell r="K3005" t="str">
            <v>BULL160559</v>
          </cell>
        </row>
        <row r="3006">
          <cell r="E3006" t="str">
            <v>RAGAVPUR MORE, CITY CENTRE, PURULIA</v>
          </cell>
          <cell r="G3006">
            <v>9973775819</v>
          </cell>
          <cell r="K3006" t="str">
            <v>BMKD120057</v>
          </cell>
        </row>
        <row r="3007">
          <cell r="E3007" t="str">
            <v>GOVINDPUR</v>
          </cell>
          <cell r="G3007">
            <v>7979098975</v>
          </cell>
          <cell r="K3007" t="str">
            <v>BWCC379823</v>
          </cell>
        </row>
        <row r="3008">
          <cell r="E3008" t="str">
            <v>BALIDIH, BOKARO</v>
          </cell>
          <cell r="G3008">
            <v>7009268216</v>
          </cell>
          <cell r="K3008" t="str">
            <v>BVCC376207</v>
          </cell>
        </row>
        <row r="3009">
          <cell r="E3009" t="str">
            <v>KOKAR INDUSTRIAL AREA,RANCHI
834001</v>
          </cell>
          <cell r="G3009">
            <v>9308408219</v>
          </cell>
          <cell r="K3009" t="str">
            <v>BPIC370386</v>
          </cell>
        </row>
        <row r="3010">
          <cell r="E3010" t="str">
            <v>HAZARIBAGH,JHARKHAND
825301</v>
          </cell>
          <cell r="G3010">
            <v>6200193662</v>
          </cell>
          <cell r="K3010" t="str">
            <v>GPCC370524</v>
          </cell>
        </row>
        <row r="3011">
          <cell r="E3011" t="str">
            <v>ITKI MORE, RANCHI</v>
          </cell>
          <cell r="G3011">
            <v>6200327294</v>
          </cell>
          <cell r="K3011" t="str">
            <v>BWFC370723</v>
          </cell>
        </row>
        <row r="3012">
          <cell r="E3012" t="str">
            <v>TATISILWAI, RANCHI</v>
          </cell>
          <cell r="G3012">
            <v>6201580224</v>
          </cell>
          <cell r="K3012" t="str">
            <v>BWHD163996</v>
          </cell>
        </row>
        <row r="3013">
          <cell r="E3013" t="str">
            <v>KATHITAR,RANCHI
KATHITAR,RANCHI
834004
KATHITAR,</v>
          </cell>
          <cell r="G3013">
            <v>6203721760</v>
          </cell>
          <cell r="K3013" t="str">
            <v>GPGC370774</v>
          </cell>
        </row>
        <row r="3014">
          <cell r="E3014" t="str">
            <v>TAPIN PROJECT, TAPIN</v>
          </cell>
          <cell r="G3014">
            <v>8521064546</v>
          </cell>
          <cell r="K3014" t="str">
            <v>BUID162953</v>
          </cell>
        </row>
        <row r="3015">
          <cell r="E3015" t="str">
            <v>SIDRAUL, NAMKUM, RANCHI
834010
SIDRAUL, NAMKUM, RANCHI</v>
          </cell>
          <cell r="G3015">
            <v>9993423669</v>
          </cell>
          <cell r="K3015" t="str">
            <v>UOHS030121</v>
          </cell>
        </row>
        <row r="3016">
          <cell r="E3016" t="str">
            <v>SIDRAUL, NAMKUM, RANCHI
834010
SIDRAUL, NAMKUM, RANCHI</v>
          </cell>
          <cell r="G3016">
            <v>9993423669</v>
          </cell>
          <cell r="K3016" t="str">
            <v>UOIS030128</v>
          </cell>
        </row>
        <row r="3017">
          <cell r="E3017" t="str">
            <v>C/O - PREM PRAKASH AGARWAL, OPP - HILLVIEW FUEL STATION, GODHUR, P.O - KUSUNDA, DHANBAD</v>
          </cell>
          <cell r="G3017">
            <v>7903412157</v>
          </cell>
          <cell r="K3017" t="str">
            <v>BTED162217</v>
          </cell>
        </row>
        <row r="3018">
          <cell r="E3018" t="str">
            <v>NEAR RING ROAD, TUPUDANA</v>
          </cell>
          <cell r="G3018">
            <v>7004542540</v>
          </cell>
          <cell r="K3018" t="str">
            <v>BVFC377422</v>
          </cell>
        </row>
        <row r="3019">
          <cell r="E3019" t="str">
            <v>NEAR RING ROAD, TUPUDANA</v>
          </cell>
          <cell r="G3019">
            <v>7004542540</v>
          </cell>
          <cell r="K3019" t="str">
            <v>BVGC377436</v>
          </cell>
        </row>
        <row r="3020">
          <cell r="E3020" t="str">
            <v>BHULI, DHANBAD</v>
          </cell>
          <cell r="G3020">
            <v>7541046561</v>
          </cell>
          <cell r="K3020" t="str">
            <v>BVFS039912</v>
          </cell>
        </row>
        <row r="3021">
          <cell r="E3021" t="str">
            <v>GONDUDIH</v>
          </cell>
          <cell r="G3021">
            <v>8789524169</v>
          </cell>
          <cell r="K3021" t="str">
            <v>BSCD161691</v>
          </cell>
        </row>
        <row r="3022">
          <cell r="E3022" t="str">
            <v>GONDUDIH, DHANBAD</v>
          </cell>
          <cell r="G3022">
            <v>8789524169</v>
          </cell>
          <cell r="K3022" t="str">
            <v>BWJD163475</v>
          </cell>
        </row>
        <row r="3023">
          <cell r="E3023" t="str">
            <v>BASTAWLA DHANBAD</v>
          </cell>
          <cell r="G3023">
            <v>6200119580</v>
          </cell>
          <cell r="K3023" t="str">
            <v>BTJD162046</v>
          </cell>
        </row>
        <row r="3024">
          <cell r="E3024" t="str">
            <v>GIRIDIH</v>
          </cell>
          <cell r="G3024">
            <v>6201438329</v>
          </cell>
          <cell r="K3024" t="str">
            <v>BJJS040939</v>
          </cell>
        </row>
        <row r="3025">
          <cell r="E3025" t="str">
            <v>BHULI, DHANBAD</v>
          </cell>
          <cell r="G3025">
            <v>7541046561</v>
          </cell>
          <cell r="K3025" t="str">
            <v>BWEC370394</v>
          </cell>
        </row>
        <row r="3026">
          <cell r="E3026" t="str">
            <v>BALIDIH INDUSTRIAL AREA, BOKARO
BYE PASS ROAD, CHAS, BOKARO, JHARKHAND.
827014</v>
          </cell>
          <cell r="G3026">
            <v>7250770020</v>
          </cell>
          <cell r="K3026" t="str">
            <v>BRCC373034</v>
          </cell>
        </row>
        <row r="3027">
          <cell r="E3027" t="str">
            <v>MAHTO COLONY, TELEDIH, CHAS, BOKARO</v>
          </cell>
          <cell r="G3027">
            <v>7988915501</v>
          </cell>
          <cell r="K3027" t="str">
            <v>BVJC374285</v>
          </cell>
        </row>
        <row r="3028">
          <cell r="E3028" t="str">
            <v>GIRIDIH</v>
          </cell>
          <cell r="G3028">
            <v>6201438329</v>
          </cell>
          <cell r="K3028" t="str">
            <v>BSGS043525</v>
          </cell>
        </row>
        <row r="3029">
          <cell r="E3029" t="str">
            <v>KATRAS, DHANBAD</v>
          </cell>
          <cell r="G3029">
            <v>7667074257</v>
          </cell>
          <cell r="K3029" t="str">
            <v>BWAD163674</v>
          </cell>
        </row>
        <row r="3030">
          <cell r="E3030" t="str">
            <v>HORHAP ROAD, MAHILONG, RANCHI
835103</v>
          </cell>
          <cell r="G3030">
            <v>9708039203</v>
          </cell>
          <cell r="K3030" t="str">
            <v>BRIC374329</v>
          </cell>
        </row>
        <row r="3031">
          <cell r="E3031" t="str">
            <v>NTA LODNA, DHANBAD</v>
          </cell>
          <cell r="G3031">
            <v>7644045555</v>
          </cell>
          <cell r="K3031" t="str">
            <v>BULD162559</v>
          </cell>
        </row>
        <row r="3032">
          <cell r="E3032" t="str">
            <v>LODNA</v>
          </cell>
          <cell r="G3032">
            <v>7644045555</v>
          </cell>
          <cell r="K3032" t="str">
            <v>BTDD162169</v>
          </cell>
        </row>
        <row r="3033">
          <cell r="E3033" t="str">
            <v>LODNA</v>
          </cell>
          <cell r="G3033">
            <v>7644045555</v>
          </cell>
          <cell r="K3033" t="str">
            <v>BWAD163648</v>
          </cell>
        </row>
        <row r="3034">
          <cell r="E3034" t="str">
            <v>PIPRA</v>
          </cell>
          <cell r="G3034">
            <v>9304258268</v>
          </cell>
          <cell r="K3034" t="str">
            <v>BVIL161084</v>
          </cell>
        </row>
        <row r="3035">
          <cell r="E3035" t="str">
            <v>PHUSHRO</v>
          </cell>
          <cell r="G3035">
            <v>7091340232</v>
          </cell>
          <cell r="K3035" t="str">
            <v>BVED163244</v>
          </cell>
        </row>
        <row r="3036">
          <cell r="E3036" t="str">
            <v>DUMKA</v>
          </cell>
          <cell r="G3036">
            <v>7903015729</v>
          </cell>
          <cell r="K3036" t="str">
            <v>BIAS030265</v>
          </cell>
        </row>
        <row r="3037">
          <cell r="E3037" t="str">
            <v>DHANBAD</v>
          </cell>
          <cell r="G3037">
            <v>9905936763</v>
          </cell>
          <cell r="K3037" t="str">
            <v>BTDC378295</v>
          </cell>
        </row>
        <row r="3038">
          <cell r="E3038" t="str">
            <v>BALIDIH INDUSTRIAL AREA, BALIDIH BOKARO</v>
          </cell>
          <cell r="G3038">
            <v>8100184482</v>
          </cell>
          <cell r="K3038">
            <v>164253</v>
          </cell>
        </row>
        <row r="3039">
          <cell r="E3039" t="str">
            <v>RANCHI,JHARKHAND
834001
RANCHI</v>
          </cell>
          <cell r="G3039">
            <v>9431571200</v>
          </cell>
          <cell r="K3039" t="str">
            <v>BJHS031586</v>
          </cell>
        </row>
        <row r="3040">
          <cell r="E3040" t="str">
            <v>KOKAR
834001</v>
          </cell>
          <cell r="G3040">
            <v>9297888190</v>
          </cell>
          <cell r="K3040" t="str">
            <v>BSDC375892</v>
          </cell>
        </row>
        <row r="3041">
          <cell r="E3041" t="str">
            <v>KOKAR INDUSTRIAL AREA</v>
          </cell>
          <cell r="G3041">
            <v>8404802069</v>
          </cell>
          <cell r="K3041" t="str">
            <v>BVKC374486</v>
          </cell>
        </row>
        <row r="3042">
          <cell r="E3042" t="str">
            <v>BALIDIH INDUSTRIAL AREA
827014</v>
          </cell>
          <cell r="G3042">
            <v>9553775728</v>
          </cell>
          <cell r="K3042" t="str">
            <v>BTDS044304</v>
          </cell>
        </row>
        <row r="3043">
          <cell r="E3043" t="str">
            <v>KATRAS</v>
          </cell>
          <cell r="G3043">
            <v>9031032277</v>
          </cell>
          <cell r="K3043" t="str">
            <v>BWFD163947</v>
          </cell>
        </row>
        <row r="3044">
          <cell r="E3044" t="str">
            <v>BAGODAR</v>
          </cell>
          <cell r="G3044">
            <v>9934111977</v>
          </cell>
          <cell r="K3044" t="str">
            <v>BWFD163931</v>
          </cell>
        </row>
        <row r="3045">
          <cell r="E3045" t="str">
            <v>NAGRI,RANCHI
835202
RANCHI</v>
          </cell>
          <cell r="G3045">
            <v>9608884168</v>
          </cell>
          <cell r="K3045" t="str">
            <v>BIGS030904</v>
          </cell>
        </row>
        <row r="3046">
          <cell r="E3046" t="str">
            <v>BHOWRA, DHANBAD</v>
          </cell>
          <cell r="G3046">
            <v>6207308280</v>
          </cell>
          <cell r="K3046" t="str">
            <v>BVJD162958</v>
          </cell>
        </row>
        <row r="3047">
          <cell r="E3047" t="str">
            <v>LODNA</v>
          </cell>
          <cell r="G3047">
            <v>7644045555</v>
          </cell>
          <cell r="K3047" t="str">
            <v>BWAD163648</v>
          </cell>
        </row>
        <row r="3048">
          <cell r="E3048" t="str">
            <v>UNIT OF HERITAGE LANDMARKS AUTOWORLD PVT. LTD., NEAR KAMRE AASHRAM, P.O. KAMRE, RATU ROAD, RANCHI
835214</v>
          </cell>
          <cell r="G3048">
            <v>9065521306</v>
          </cell>
          <cell r="K3048" t="str">
            <v>BTJC377158</v>
          </cell>
        </row>
        <row r="3049">
          <cell r="E3049" t="str">
            <v>CHUTIA, RANCHI</v>
          </cell>
          <cell r="G3049">
            <v>9060975013</v>
          </cell>
          <cell r="K3049" t="str">
            <v>BUFD162814</v>
          </cell>
        </row>
        <row r="3050">
          <cell r="E3050" t="str">
            <v>REG. OFFICE: UNIT 106, MAHABIR TOWER, JOKHIRAM LANE, MAIN ROAD, RANCHI - 834 001
REG. OFFICE: UNIT 106, MAHABIR TOWER, JOKHIRAM LANE, MAIN ROAD, RANCHI - 834 001
835214</v>
          </cell>
          <cell r="G3050">
            <v>8207010500</v>
          </cell>
          <cell r="K3050" t="str">
            <v>BSDS043254</v>
          </cell>
        </row>
        <row r="3051">
          <cell r="E3051" t="str">
            <v>BARKAGAON, HAZARIBAGH</v>
          </cell>
          <cell r="G3051">
            <v>7070010949</v>
          </cell>
          <cell r="K3051" t="str">
            <v>BVED231179</v>
          </cell>
        </row>
        <row r="3052">
          <cell r="E3052" t="str">
            <v>BADA TALAB, RANCHI</v>
          </cell>
          <cell r="G3052">
            <v>6207568694</v>
          </cell>
          <cell r="K3052" t="str">
            <v>BVFC377137</v>
          </cell>
        </row>
        <row r="3053">
          <cell r="E3053" t="str">
            <v>RANCHI</v>
          </cell>
          <cell r="G3053">
            <v>9958849590</v>
          </cell>
          <cell r="K3053" t="str">
            <v>BWLS031913</v>
          </cell>
        </row>
        <row r="3054">
          <cell r="E3054" t="str">
            <v>MAHUDA MORE, DHANBAD</v>
          </cell>
          <cell r="G3054">
            <v>6204702963</v>
          </cell>
          <cell r="K3054" t="str">
            <v>BWHD164004</v>
          </cell>
        </row>
        <row r="3055">
          <cell r="E3055" t="str">
            <v>PATRATU</v>
          </cell>
          <cell r="G3055">
            <v>7908048644</v>
          </cell>
          <cell r="K3055" t="str">
            <v>EVKS047996</v>
          </cell>
        </row>
        <row r="3056">
          <cell r="E3056" t="str">
            <v>HORHAP ROAD, MAHILONG, RANCHI
835103</v>
          </cell>
          <cell r="G3056">
            <v>9708039203</v>
          </cell>
          <cell r="K3056" t="str">
            <v>BRIC374329</v>
          </cell>
        </row>
        <row r="3057">
          <cell r="E3057" t="str">
            <v>BIT MESRA, RANCHI</v>
          </cell>
          <cell r="G3057">
            <v>8010635349</v>
          </cell>
          <cell r="K3057" t="str">
            <v>BVIC378175</v>
          </cell>
        </row>
        <row r="3058">
          <cell r="E3058" t="str">
            <v>DIBDIH, RANCHI
834002</v>
          </cell>
          <cell r="G3058">
            <v>8102915588</v>
          </cell>
          <cell r="K3058" t="str">
            <v>BTEC378588</v>
          </cell>
        </row>
        <row r="3059">
          <cell r="E3059" t="str">
            <v>ADITYAPUR, JAMSHEDPUR</v>
          </cell>
          <cell r="G3059">
            <v>7201077434</v>
          </cell>
          <cell r="K3059" t="str">
            <v>BWFC370683</v>
          </cell>
        </row>
        <row r="3060">
          <cell r="E3060" t="str">
            <v>TUPUDANA INDUSTRIAL AREA, RANCHI
PLOT NO. - 45 &amp; 46, TUPUDAN AINDUSTRIAL AREA, TUPUDANA, HATIA, RANCHI
834003
TIPUDANA INDUSTRIAL AREA</v>
          </cell>
          <cell r="G3060">
            <v>7717734248</v>
          </cell>
          <cell r="K3060" t="str">
            <v>BQBS033819</v>
          </cell>
        </row>
        <row r="3061">
          <cell r="E3061" t="str">
            <v>TUPUDANA INDUSTRIAL AREA, RANCHI
PLOT NO. - 45 &amp; 46, TUPUDAN AINDUSTRIAL AREA, TUPUDANA, HATIA, RANCHI
834003
TIPUDANA INDUSTRIAL AREA</v>
          </cell>
          <cell r="G3061">
            <v>7717734248</v>
          </cell>
          <cell r="K3061" t="str">
            <v>BVDS039458</v>
          </cell>
        </row>
        <row r="3062">
          <cell r="E3062" t="str">
            <v>NEAR RING ROAD, TUPUDANA</v>
          </cell>
          <cell r="G3062">
            <v>7004542540</v>
          </cell>
          <cell r="K3062" t="str">
            <v>BVFC377422</v>
          </cell>
        </row>
        <row r="3063">
          <cell r="E3063" t="str">
            <v>NEAR RING ROAD, TUPUDANA</v>
          </cell>
          <cell r="G3063">
            <v>7004542540</v>
          </cell>
          <cell r="K3063" t="str">
            <v>BVGC377436</v>
          </cell>
        </row>
        <row r="3064">
          <cell r="E3064" t="str">
            <v>DHANBAD</v>
          </cell>
          <cell r="G3064">
            <v>8210106692</v>
          </cell>
          <cell r="K3064" t="str">
            <v>BVGD163308</v>
          </cell>
        </row>
        <row r="3065">
          <cell r="E3065" t="str">
            <v>DHANBAD</v>
          </cell>
          <cell r="G3065">
            <v>7004686026</v>
          </cell>
          <cell r="K3065" t="str">
            <v>BWLD163586</v>
          </cell>
        </row>
        <row r="3066">
          <cell r="E3066" t="str">
            <v>C/O BIOHEAL POLY TECH PVT LTD, ORMANJHI, RANCHI</v>
          </cell>
          <cell r="G3066">
            <v>8759215726</v>
          </cell>
          <cell r="K3066" t="str">
            <v>BWJS031206</v>
          </cell>
        </row>
        <row r="3067">
          <cell r="E3067" t="str">
            <v>AT: SENEGARHA, P.O-RABODH, P.S-GIDDI,(RAMGARH),, DISTT. HAZARIBAGH,JHARKHAND-825330
829108
AT: SENEGARHA, P.O-RABODH, P.S-GIDDI,(RAMGARH),</v>
          </cell>
          <cell r="G3067">
            <v>9006877583</v>
          </cell>
          <cell r="K3067" t="str">
            <v>BRAS033261</v>
          </cell>
        </row>
        <row r="3068">
          <cell r="E3068" t="str">
            <v>AT: SENEGARHA, P.O-RABODH, P.S-GIDDI,(RAMGARH),, DISTT. HAZARIBAGH,JHARKHAND-825330
829108
AT: SENEGARHA, P.O-RABODH, P.S-GIDDI,(RAMGARH),</v>
          </cell>
          <cell r="G3068">
            <v>9006877583</v>
          </cell>
          <cell r="K3068" t="str">
            <v>BQES030978</v>
          </cell>
        </row>
        <row r="3069">
          <cell r="E3069" t="str">
            <v>ANGARA, TATISILWAI</v>
          </cell>
          <cell r="G3069">
            <v>9110012919</v>
          </cell>
          <cell r="K3069" t="str">
            <v>BVGF111611</v>
          </cell>
        </row>
        <row r="3070">
          <cell r="E3070" t="str">
            <v>ANGARA, TATISILWAI</v>
          </cell>
          <cell r="G3070">
            <v>9110012919</v>
          </cell>
          <cell r="K3070" t="str">
            <v>BVGF111615</v>
          </cell>
        </row>
        <row r="3071">
          <cell r="E3071" t="str">
            <v>PLOT NO. 148, TUPUDANA, INDUSTRIAL AREA, HATIA, RANCHI
834002</v>
          </cell>
          <cell r="G3071">
            <v>9534249500</v>
          </cell>
          <cell r="K3071" t="str">
            <v>BSLS036682</v>
          </cell>
        </row>
        <row r="3072">
          <cell r="E3072" t="str">
            <v>RAMGARH,JHARKHAND
825101
RAMGARH</v>
          </cell>
          <cell r="G3072">
            <v>9431394348</v>
          </cell>
          <cell r="K3072" t="str">
            <v>BSGC376585</v>
          </cell>
        </row>
        <row r="3073">
          <cell r="E3073" t="str">
            <v>MANDU, RAMGARH
JAISWAL COLONY, THANA CHOW,, RAMGARH CANTT. DIST. RAMGARH, JHARKHAND
825316
MANDU</v>
          </cell>
          <cell r="G3073">
            <v>7979930284</v>
          </cell>
          <cell r="K3073" t="str">
            <v>BTLS039851</v>
          </cell>
        </row>
        <row r="3074">
          <cell r="E3074" t="str">
            <v>MANDU, RAMGARH
JAISWAL COLONY, THANA CHOW,, RAMGARH CANTT. DIST. RAMGARH, JHARKHAND
825316
MANDU</v>
          </cell>
          <cell r="G3074">
            <v>7979930284</v>
          </cell>
          <cell r="K3074" t="str">
            <v>BTLS039748</v>
          </cell>
        </row>
        <row r="3075">
          <cell r="E3075" t="str">
            <v>MANDU, RAMGARH
JAISWAL COLONY, THANA CHOW,, RAMGARH CANTT. DIST. RAMGARH, JHARKHAND
825316
MANDU</v>
          </cell>
          <cell r="G3075">
            <v>7979930284</v>
          </cell>
          <cell r="K3075" t="str">
            <v>BTLS039719</v>
          </cell>
        </row>
        <row r="3076">
          <cell r="E3076" t="str">
            <v>MANDU, RAMGARH
JAISWAL COLONY, THANA CHOW,, RAMGARH CANTT. DIST. RAMGARH, JHARKHAND
825316
MANDU</v>
          </cell>
          <cell r="G3076">
            <v>8797891051</v>
          </cell>
          <cell r="K3076" t="str">
            <v>BSGS043527</v>
          </cell>
        </row>
        <row r="3077">
          <cell r="E3077" t="str">
            <v>MANDU, RAMGARH
JAISWAL COLONY, THANA CHOW,, RAMGARH CANTT. DIST. RAMGARH, JHARKHAND
825316
MANDU</v>
          </cell>
          <cell r="G3077">
            <v>6205951815</v>
          </cell>
          <cell r="K3077" t="str">
            <v>BSGS043528</v>
          </cell>
        </row>
        <row r="3078">
          <cell r="E3078" t="str">
            <v>MANDU, RAMGARH
JAISWAL COLONY, THANA CHOW,, RAMGARH CANTT. DIST. RAMGARH, JHARKHAND
825316
MANDU</v>
          </cell>
          <cell r="G3078">
            <v>9939701451</v>
          </cell>
          <cell r="K3078">
            <v>123399</v>
          </cell>
        </row>
        <row r="3079">
          <cell r="E3079" t="str">
            <v>MANDU, RAMGARH
JAISWAL COLONY, THANA CHOW,, RAMGARH CANTT. DIST. RAMGARH, JHARKHAND
825316
MANDU</v>
          </cell>
          <cell r="G3079">
            <v>7979930284</v>
          </cell>
          <cell r="K3079" t="str">
            <v>BTLS039787</v>
          </cell>
        </row>
        <row r="3080">
          <cell r="E3080" t="str">
            <v>MANDU, RAMGARH
JAISWAL COLONY, THANA CHOW,, RAMGARH CANTT. DIST. RAMGARH, JHARKHAND
825316
MANDU</v>
          </cell>
          <cell r="G3080">
            <v>7979930284</v>
          </cell>
          <cell r="K3080" t="str">
            <v>BTLS039793</v>
          </cell>
        </row>
        <row r="3081">
          <cell r="E3081" t="str">
            <v>HAZARIBAGH,JHARKHAND
825301
HAZARIBAGH</v>
          </cell>
          <cell r="G3081">
            <v>9431141006</v>
          </cell>
          <cell r="K3081" t="str">
            <v>BMGC370521</v>
          </cell>
        </row>
        <row r="3082">
          <cell r="E3082" t="str">
            <v>SARNATOLI,ANGADA,RANCHI
835222</v>
          </cell>
          <cell r="G3082">
            <v>9798563448</v>
          </cell>
          <cell r="K3082" t="str">
            <v>BOGC370193</v>
          </cell>
        </row>
        <row r="3083">
          <cell r="E3083" t="str">
            <v>ANGARA, TATISILWAI</v>
          </cell>
          <cell r="G3083">
            <v>9110012919</v>
          </cell>
          <cell r="K3083" t="str">
            <v>BVGF111611</v>
          </cell>
        </row>
        <row r="3084">
          <cell r="E3084" t="str">
            <v>ANGARA, TATISILWAI</v>
          </cell>
          <cell r="G3084">
            <v>9110012919</v>
          </cell>
          <cell r="K3084" t="str">
            <v>BVGF111615</v>
          </cell>
        </row>
        <row r="3085">
          <cell r="E3085" t="str">
            <v>SARNATOLI,ANGADA,RANCHI
835222</v>
          </cell>
          <cell r="G3085">
            <v>9110012919</v>
          </cell>
          <cell r="K3085" t="str">
            <v>BSAF110719</v>
          </cell>
        </row>
        <row r="3086">
          <cell r="E3086" t="str">
            <v>PLOT NO. 148, TUPUDANA, INDUSTRIAL AREA, HATIA, RANCHI
834002</v>
          </cell>
          <cell r="G3086">
            <v>9534249500</v>
          </cell>
          <cell r="K3086" t="str">
            <v>BRIS035838</v>
          </cell>
        </row>
        <row r="3087">
          <cell r="E3087" t="str">
            <v>TUPUDANA INDUSTRIAL AREA</v>
          </cell>
          <cell r="G3087">
            <v>9534249500</v>
          </cell>
          <cell r="K3087" t="str">
            <v>BMBS030816</v>
          </cell>
        </row>
        <row r="3088">
          <cell r="E3088" t="str">
            <v>TUPUDANA, RANCHI</v>
          </cell>
          <cell r="G3088">
            <v>7070990076</v>
          </cell>
          <cell r="K3088" t="str">
            <v>BUDC372327</v>
          </cell>
        </row>
        <row r="3089">
          <cell r="E3089" t="str">
            <v>C/O PRAKASH RAM, PHUSHRO</v>
          </cell>
          <cell r="G3089">
            <v>8825270324</v>
          </cell>
          <cell r="K3089" t="str">
            <v>BWBD163701</v>
          </cell>
        </row>
        <row r="3090">
          <cell r="E3090" t="str">
            <v>BARHI INDUSTRIAL ARE BARHI</v>
          </cell>
          <cell r="G3090">
            <v>8795889641</v>
          </cell>
          <cell r="K3090" t="str">
            <v>BUBF111245</v>
          </cell>
        </row>
        <row r="3091">
          <cell r="E3091" t="str">
            <v>BARHI INDUSTRIAL ARE BARHI</v>
          </cell>
          <cell r="G3091">
            <v>8795889641</v>
          </cell>
          <cell r="K3091" t="str">
            <v>BUAF111226</v>
          </cell>
        </row>
        <row r="3092">
          <cell r="E3092" t="str">
            <v>BARHI INDUSTRIAL ARE BARHI</v>
          </cell>
          <cell r="G3092">
            <v>8795889641</v>
          </cell>
          <cell r="K3092" t="str">
            <v>BUES035120</v>
          </cell>
        </row>
        <row r="3093">
          <cell r="E3093" t="str">
            <v>DHANBAD JHARKHAND</v>
          </cell>
          <cell r="G3093">
            <v>7489823544</v>
          </cell>
          <cell r="K3093" t="str">
            <v>BQKD160115</v>
          </cell>
        </row>
        <row r="3094">
          <cell r="E3094" t="str">
            <v>DEMOTAND, HAZARIBAGH</v>
          </cell>
          <cell r="G3094">
            <v>9905758949</v>
          </cell>
          <cell r="K3094" t="str">
            <v>BWGC370777</v>
          </cell>
        </row>
        <row r="3095">
          <cell r="E3095" t="str">
            <v>HESLA,RAMGARH
829101</v>
          </cell>
          <cell r="G3095">
            <v>7562823341</v>
          </cell>
          <cell r="K3095" t="str">
            <v>BSDS037710</v>
          </cell>
        </row>
        <row r="3096">
          <cell r="E3096" t="str">
            <v>NAMKUM INDUSTRIAL AREA
NAMKUM
834001</v>
          </cell>
          <cell r="G3096">
            <v>9431109899</v>
          </cell>
          <cell r="K3096" t="str">
            <v>BUKC370657</v>
          </cell>
        </row>
        <row r="3097">
          <cell r="E3097" t="str">
            <v>RANCHI PATNA ROAD
DEMOTAND
825301
HAZARIBAGH</v>
          </cell>
          <cell r="G3097">
            <v>6203465926</v>
          </cell>
          <cell r="K3097" t="str">
            <v>BIFS040367</v>
          </cell>
        </row>
        <row r="3098">
          <cell r="E3098" t="str">
            <v>TIPUDANA INDUSTRIAL AREA, HATIA,</v>
          </cell>
          <cell r="G3098">
            <v>9534249500</v>
          </cell>
          <cell r="K3098" t="str">
            <v>BJGS031396</v>
          </cell>
        </row>
        <row r="3099">
          <cell r="E3099" t="str">
            <v>HAZARIBAGH</v>
          </cell>
          <cell r="G3099">
            <v>7634075471</v>
          </cell>
          <cell r="K3099" t="str">
            <v>BUKC370622</v>
          </cell>
        </row>
        <row r="3100">
          <cell r="E3100" t="str">
            <v>NAGRI,RANCHI
835202
RANCHI</v>
          </cell>
          <cell r="G3100">
            <v>9608884168</v>
          </cell>
          <cell r="K3100" t="str">
            <v>BIGS030904</v>
          </cell>
        </row>
        <row r="3101">
          <cell r="E3101" t="str">
            <v>PLOT NO. 79, KAPASARA,, SUNDERNAGAR, CHIRKUNDA,, DHANBAD - 828 202
PLOT NO. 79, KAPASARA,, SUNDERNAGAR, CHIRKUNDA,, DHANBAD - 828 202
828202</v>
          </cell>
          <cell r="G3101">
            <v>8101005542</v>
          </cell>
          <cell r="K3101" t="str">
            <v>BTFS031006</v>
          </cell>
        </row>
        <row r="3102">
          <cell r="E3102" t="str">
            <v>WARD NO. 15, GUMO  BARWADIH
JHUMRITILAIYA KODERMA
000000</v>
          </cell>
          <cell r="G3102">
            <v>9931138677</v>
          </cell>
          <cell r="K3102" t="str">
            <v>BUDC372326</v>
          </cell>
        </row>
        <row r="3103">
          <cell r="E3103" t="str">
            <v>BALIDIH, BOKARO</v>
          </cell>
          <cell r="G3103">
            <v>7979757306</v>
          </cell>
          <cell r="K3103" t="str">
            <v>BVCS038776</v>
          </cell>
        </row>
        <row r="3104">
          <cell r="E3104" t="str">
            <v>RANCHI,JHARKHAND
825301
JHUMRA</v>
          </cell>
          <cell r="G3104">
            <v>8541022146</v>
          </cell>
          <cell r="K3104" t="str">
            <v>BTIS031829</v>
          </cell>
        </row>
        <row r="3105">
          <cell r="E3105" t="str">
            <v>PUDANG,RANCHI
834002</v>
          </cell>
          <cell r="G3105">
            <v>7480057033</v>
          </cell>
          <cell r="K3105" t="str">
            <v>BSEC376140</v>
          </cell>
        </row>
        <row r="3106">
          <cell r="E3106" t="str">
            <v>SUNDI, RAMGARH</v>
          </cell>
          <cell r="G3106">
            <v>8294028310</v>
          </cell>
          <cell r="K3106">
            <v>123054</v>
          </cell>
        </row>
        <row r="3107">
          <cell r="E3107" t="str">
            <v>B7-PHASE-3, BALIDIH INDUSTRIAL AREA BALIDIH, BOKARO STEEL CITY BOKARO, JHARKHAND
SUNDARAM STEELS PVT. LTD, B-7 PHASE-III,BOKARO INDUSTRIAL AREA,BALIDIH, BOKARO
827014</v>
          </cell>
          <cell r="G3107">
            <v>9933757780</v>
          </cell>
          <cell r="K3107" t="str">
            <v>BTHS031467</v>
          </cell>
        </row>
        <row r="3108">
          <cell r="E3108" t="str">
            <v>RATANPUR,DHANBAD
828109</v>
          </cell>
          <cell r="G3108">
            <v>9031029501</v>
          </cell>
          <cell r="K3108" t="str">
            <v>BTLC377584</v>
          </cell>
        </row>
        <row r="3109">
          <cell r="E3109" t="str">
            <v>GOVINDPUR, DHANBAD</v>
          </cell>
          <cell r="G3109">
            <v>9547438222</v>
          </cell>
          <cell r="K3109" t="str">
            <v>BVDS039346</v>
          </cell>
        </row>
        <row r="3110">
          <cell r="E3110" t="str">
            <v>KODERMA</v>
          </cell>
          <cell r="G3110">
            <v>8210413459</v>
          </cell>
          <cell r="K3110" t="str">
            <v>BVFS049398</v>
          </cell>
        </row>
        <row r="3111">
          <cell r="E3111" t="str">
            <v>KODERMA</v>
          </cell>
          <cell r="G3111">
            <v>8210413459</v>
          </cell>
          <cell r="K3111" t="str">
            <v>BVFS049407</v>
          </cell>
        </row>
        <row r="3112">
          <cell r="E3112" t="str">
            <v>CHAS BOKARO</v>
          </cell>
          <cell r="G3112">
            <v>9805175913</v>
          </cell>
          <cell r="K3112" t="str">
            <v>BVEC376827</v>
          </cell>
        </row>
        <row r="3113">
          <cell r="E3113" t="str">
            <v>MAHTO COLONY, TELEDIH, CHAS, BOKARO</v>
          </cell>
          <cell r="G3113">
            <v>7992434966</v>
          </cell>
          <cell r="K3113" t="str">
            <v>BVJC374285</v>
          </cell>
        </row>
        <row r="3114">
          <cell r="E3114" t="str">
            <v>GROUND AND 1 ST FLOOR, BESIDE DAINIK BHASKAR, GOVINDPUR ROAD, DIST :- DHANBAD
GROUND AND 1 ST FLOOR, BESIDE DAINIK BHASKAR, GOVINDPUR ROAD, DIST :- DHANBAD
828109</v>
          </cell>
          <cell r="G3114">
            <v>8789061377</v>
          </cell>
          <cell r="K3114" t="str">
            <v>BRJC371698</v>
          </cell>
        </row>
        <row r="3115">
          <cell r="E3115" t="str">
            <v>GROUND AND 1 ST FLOOR, BESIDE DAINIK BHASKAR, GOVINDPUR ROAD, DIST :- DHANBAD
GROUND AND 1 ST FLOOR, BESIDE DAINIK BHASKAR, GOVINDPUR ROAD, DIST :- DHANBAD
828109</v>
          </cell>
          <cell r="G3115">
            <v>8789061377</v>
          </cell>
          <cell r="K3115" t="str">
            <v>BRES034488</v>
          </cell>
        </row>
        <row r="3116">
          <cell r="E3116" t="str">
            <v>NEAR P.N BANK MAIN ROAD,, RAMGARH CANTT-829122, DIST. RAMGARH
829122
BUDHAKHOP, AMBRELA, KARMA,</v>
          </cell>
          <cell r="G3116">
            <v>9693796748</v>
          </cell>
          <cell r="K3116" t="str">
            <v>BSHS038806</v>
          </cell>
        </row>
        <row r="3117">
          <cell r="E3117" t="str">
            <v>SARWARI, ASANSOL, WB</v>
          </cell>
          <cell r="G3117">
            <v>9431101890</v>
          </cell>
          <cell r="K3117" t="str">
            <v>BPLF150007</v>
          </cell>
        </row>
        <row r="3118">
          <cell r="E3118" t="str">
            <v>KODERMA</v>
          </cell>
          <cell r="G3118">
            <v>8210413459</v>
          </cell>
          <cell r="K3118" t="str">
            <v>BVFS049421</v>
          </cell>
        </row>
        <row r="3119">
          <cell r="E3119" t="str">
            <v>KODERMA</v>
          </cell>
          <cell r="G3119">
            <v>8210413459</v>
          </cell>
          <cell r="K3119" t="str">
            <v>BVFS049426</v>
          </cell>
        </row>
        <row r="3120">
          <cell r="E3120" t="str">
            <v>MUNGMA</v>
          </cell>
          <cell r="G3120">
            <v>7439816339</v>
          </cell>
          <cell r="K3120" t="str">
            <v>BNCS030884</v>
          </cell>
        </row>
        <row r="3121">
          <cell r="E3121" t="str">
            <v>PETERWAR, BOKARO</v>
          </cell>
          <cell r="G3121">
            <v>7004263425</v>
          </cell>
          <cell r="K3121" t="str">
            <v>BWES033256</v>
          </cell>
        </row>
        <row r="3122">
          <cell r="E3122" t="str">
            <v>PETERWAR, BOKARO</v>
          </cell>
          <cell r="G3122">
            <v>7004263425</v>
          </cell>
          <cell r="K3122" t="str">
            <v>BWFS041479</v>
          </cell>
        </row>
        <row r="3123">
          <cell r="E3123" t="str">
            <v>DALADALI, RANCHI</v>
          </cell>
          <cell r="G3123">
            <v>9934169368</v>
          </cell>
          <cell r="K3123" t="str">
            <v>BVKD163010</v>
          </cell>
        </row>
        <row r="3124">
          <cell r="E3124" t="str">
            <v>UNIT OF HERITAGE LANDMARKS AUTOWORLD PVT. LTD., NEAR KAMRE AASHRAM, P.O. KAMRE, RATU ROAD, RANCHI
835214</v>
          </cell>
          <cell r="G3124">
            <v>8102800071</v>
          </cell>
          <cell r="K3124" t="str">
            <v>BTJC377158</v>
          </cell>
        </row>
        <row r="3125">
          <cell r="E3125" t="str">
            <v>MARRAR, RAMGRAH</v>
          </cell>
          <cell r="G3125">
            <v>8102409892</v>
          </cell>
          <cell r="K3125" t="str">
            <v>BWGS033844</v>
          </cell>
        </row>
        <row r="3126">
          <cell r="E3126" t="str">
            <v>PATRATU</v>
          </cell>
          <cell r="G3126">
            <v>7672025601</v>
          </cell>
          <cell r="K3126" t="str">
            <v>BWHD164015</v>
          </cell>
        </row>
        <row r="3127">
          <cell r="E3127" t="str">
            <v>C/O - AMAN AGRAWAL, PLOT NO. 735, KAITHA, RAMGARH CANTT., RAMGARH
825101</v>
          </cell>
          <cell r="G3127">
            <v>8709937739</v>
          </cell>
          <cell r="K3127" t="str">
            <v>BSDC375954</v>
          </cell>
        </row>
        <row r="3128">
          <cell r="E3128" t="str">
            <v>PHUSHRO</v>
          </cell>
          <cell r="G3128">
            <v>7091340232</v>
          </cell>
          <cell r="K3128" t="str">
            <v>BVED163244</v>
          </cell>
        </row>
        <row r="3129">
          <cell r="E3129" t="str">
            <v>PATRATU</v>
          </cell>
          <cell r="G3129">
            <v>9252288599</v>
          </cell>
          <cell r="K3129" t="str">
            <v>BVIC378149</v>
          </cell>
        </row>
        <row r="3130">
          <cell r="E3130" t="str">
            <v>BARHI, HAZARIBAGH</v>
          </cell>
          <cell r="G3130">
            <v>7707017707</v>
          </cell>
          <cell r="K3130" t="str">
            <v>BWLS031873</v>
          </cell>
        </row>
        <row r="3131">
          <cell r="E3131" t="str">
            <v>BARHI, HAZARIBAGH</v>
          </cell>
          <cell r="G3131">
            <v>7707017707</v>
          </cell>
          <cell r="K3131" t="str">
            <v>BWLS040546</v>
          </cell>
        </row>
        <row r="3132">
          <cell r="E3132" t="str">
            <v>BARHI, HAZARIBAGH</v>
          </cell>
          <cell r="G3132">
            <v>7707017707</v>
          </cell>
          <cell r="K3132" t="str">
            <v>BWLC379048</v>
          </cell>
        </row>
        <row r="3133">
          <cell r="E3133" t="str">
            <v>BARAUNI</v>
          </cell>
          <cell r="G3133">
            <v>9386279110</v>
          </cell>
          <cell r="K3133" t="str">
            <v>BWHD121813</v>
          </cell>
        </row>
        <row r="3134">
          <cell r="E3134" t="str">
            <v>BARHI, HAZARIBAGH</v>
          </cell>
          <cell r="G3134">
            <v>7707017707</v>
          </cell>
          <cell r="K3134" t="str">
            <v>BWAS032167</v>
          </cell>
        </row>
        <row r="3135">
          <cell r="E3135" t="str">
            <v>BEGUSARAI, BIHAR</v>
          </cell>
          <cell r="G3135">
            <v>9386279110</v>
          </cell>
          <cell r="K3135" t="str">
            <v>BVGD121497</v>
          </cell>
        </row>
        <row r="3136">
          <cell r="E3136" t="str">
            <v>LODNA MORE</v>
          </cell>
          <cell r="G3136">
            <v>9550053031</v>
          </cell>
          <cell r="K3136" t="str">
            <v>BVFD163261</v>
          </cell>
        </row>
        <row r="3137">
          <cell r="E3137" t="str">
            <v>CHUTIA, RANCHI</v>
          </cell>
          <cell r="G3137">
            <v>9793976818</v>
          </cell>
          <cell r="K3137" t="str">
            <v>BVKC374485</v>
          </cell>
        </row>
        <row r="3138">
          <cell r="E3138" t="str">
            <v>PLOT NO 716,VILL-RUKKA,
835219</v>
          </cell>
          <cell r="G3138">
            <v>7481831963</v>
          </cell>
          <cell r="K3138" t="str">
            <v>BSKS036365</v>
          </cell>
        </row>
        <row r="3139">
          <cell r="E3139" t="str">
            <v>DEOGRAH</v>
          </cell>
          <cell r="G3139">
            <v>7488166756</v>
          </cell>
          <cell r="K3139" t="str">
            <v>BLBS030847</v>
          </cell>
        </row>
        <row r="3140">
          <cell r="E3140" t="str">
            <v>JHARIA, DHANBAD</v>
          </cell>
          <cell r="G3140">
            <v>7856067530</v>
          </cell>
          <cell r="K3140" t="str">
            <v>BRHD161304</v>
          </cell>
        </row>
        <row r="3141">
          <cell r="E3141" t="str">
            <v>PATNA</v>
          </cell>
          <cell r="G3141">
            <v>6282133100</v>
          </cell>
          <cell r="K3141" t="str">
            <v>BNJD120010</v>
          </cell>
        </row>
        <row r="3142">
          <cell r="E3142" t="str">
            <v>GAYA</v>
          </cell>
          <cell r="G3142">
            <v>6801665105</v>
          </cell>
          <cell r="K3142" t="str">
            <v>GOCD160022</v>
          </cell>
        </row>
        <row r="3143">
          <cell r="E3143" t="str">
            <v>SAHEBGANJ, JHARKHAND</v>
          </cell>
          <cell r="G3143">
            <v>8809703041</v>
          </cell>
          <cell r="K3143" t="str">
            <v>BNBD160162</v>
          </cell>
        </row>
        <row r="3144">
          <cell r="E3144" t="str">
            <v>NAWADA, BIHAR</v>
          </cell>
          <cell r="G3144">
            <v>7255010416</v>
          </cell>
          <cell r="K3144" t="str">
            <v>BTEL160427</v>
          </cell>
        </row>
        <row r="3145">
          <cell r="E3145" t="str">
            <v>C/O. NIKHIL GAURAV,, ROOM NO.1, D-603, BASUDEO NAGAR,, KANTATOLI CHOWK, OPP. MANGAL TOWER,, OLD H. B. ROAD, RANCHI - 834 001, JHARKHAND</v>
          </cell>
          <cell r="G3145">
            <v>7717797801</v>
          </cell>
          <cell r="K3145" t="str">
            <v>BSHD161938</v>
          </cell>
        </row>
        <row r="3146">
          <cell r="E3146" t="str">
            <v>C/O - NAVEEN KUMAR SINGH, PLOT NO.-538,718, DUNDURIA, GUMLA</v>
          </cell>
          <cell r="G3146">
            <v>8757678464</v>
          </cell>
          <cell r="K3146" t="str">
            <v>BTJD162038</v>
          </cell>
        </row>
        <row r="3147">
          <cell r="E3147" t="str">
            <v>BARAUNI REFINING GATE NO. 1</v>
          </cell>
          <cell r="G3147">
            <v>8877841639</v>
          </cell>
          <cell r="K3147" t="str">
            <v>BSGL152296</v>
          </cell>
        </row>
        <row r="3148">
          <cell r="E3148" t="str">
            <v>CHATRA</v>
          </cell>
          <cell r="G3148">
            <v>9608456350</v>
          </cell>
          <cell r="K3148" t="str">
            <v>BOLD200057</v>
          </cell>
        </row>
        <row r="3149">
          <cell r="E3149" t="str">
            <v>BARAUNI REFINING GATE NO. 1</v>
          </cell>
          <cell r="G3149">
            <v>8877841639</v>
          </cell>
          <cell r="K3149" t="str">
            <v>BSGL152297</v>
          </cell>
        </row>
        <row r="3150">
          <cell r="E3150" t="str">
            <v>CHANDMARI, JORAPHATAK,, DHANBAD</v>
          </cell>
          <cell r="G3150">
            <v>8668122316</v>
          </cell>
          <cell r="K3150" t="str">
            <v>BRGD161212</v>
          </cell>
        </row>
        <row r="3151">
          <cell r="E3151" t="str">
            <v>SHEKHPURA, BIHAR</v>
          </cell>
          <cell r="G3151">
            <v>9304172201</v>
          </cell>
          <cell r="K3151" t="str">
            <v>BULL160564</v>
          </cell>
        </row>
        <row r="3152">
          <cell r="E3152" t="str">
            <v>DHANBAD</v>
          </cell>
          <cell r="G3152">
            <v>9585918025</v>
          </cell>
          <cell r="K3152" t="str">
            <v>BRCD160968</v>
          </cell>
        </row>
        <row r="3153">
          <cell r="E3153" t="str">
            <v>NIMIAGHAT,GIRIDIH</v>
          </cell>
          <cell r="G3153">
            <v>9798869433</v>
          </cell>
          <cell r="K3153" t="str">
            <v>BSJD161406</v>
          </cell>
        </row>
        <row r="3154">
          <cell r="E3154" t="str">
            <v>TOPA MINES, RAMGARH</v>
          </cell>
          <cell r="G3154">
            <v>6204542366</v>
          </cell>
          <cell r="K3154" t="str">
            <v>BSKD161467</v>
          </cell>
        </row>
        <row r="3155">
          <cell r="E3155" t="str">
            <v>SAHEBGANJ, JHARKHAND</v>
          </cell>
          <cell r="G3155">
            <v>9065259183</v>
          </cell>
          <cell r="K3155" t="str">
            <v>BTJD162047</v>
          </cell>
        </row>
        <row r="3156">
          <cell r="E3156" t="str">
            <v>JHAJHA BIHAR</v>
          </cell>
          <cell r="G3156">
            <v>9430312599</v>
          </cell>
          <cell r="K3156" t="str">
            <v>RJD230103</v>
          </cell>
        </row>
        <row r="3157">
          <cell r="E3157" t="str">
            <v>ANGAR PATRA,DHANBAD</v>
          </cell>
          <cell r="G3157">
            <v>6207308280</v>
          </cell>
          <cell r="K3157" t="str">
            <v>BSGD161898</v>
          </cell>
        </row>
        <row r="3158">
          <cell r="E3158" t="str">
            <v>CHAS BOKARO</v>
          </cell>
          <cell r="G3158">
            <v>9135780530</v>
          </cell>
          <cell r="K3158" t="str">
            <v>BQKD200034</v>
          </cell>
        </row>
        <row r="3159">
          <cell r="E3159" t="str">
            <v>GHATSHILA,JAMSHEDPUR</v>
          </cell>
          <cell r="G3159">
            <v>7992362488</v>
          </cell>
          <cell r="K3159" t="str">
            <v>BPED200187</v>
          </cell>
        </row>
        <row r="3160">
          <cell r="E3160" t="str">
            <v>CHAPAPUR, NIRSA</v>
          </cell>
          <cell r="G3160">
            <v>9931921808</v>
          </cell>
          <cell r="K3160" t="str">
            <v>BQED160215</v>
          </cell>
        </row>
        <row r="3161">
          <cell r="E3161" t="str">
            <v>PAWAN KUMAR MISHRA,, KAHALGAON, BHAGALPUR, BIHAR - 813 203</v>
          </cell>
          <cell r="G3161">
            <v>6206698729</v>
          </cell>
          <cell r="K3161" t="str">
            <v>BSCL152143</v>
          </cell>
        </row>
        <row r="3162">
          <cell r="E3162" t="str">
            <v>DHANBAD</v>
          </cell>
          <cell r="G3162">
            <v>9304762882</v>
          </cell>
          <cell r="K3162" t="str">
            <v>BOHD200197</v>
          </cell>
        </row>
        <row r="3163">
          <cell r="E3163" t="str">
            <v xml:space="preserve">TOPIN SOUTH  </v>
          </cell>
          <cell r="G3163">
            <v>9102994453</v>
          </cell>
          <cell r="K3163" t="str">
            <v>BSGD161864</v>
          </cell>
        </row>
        <row r="3164">
          <cell r="E3164" t="str">
            <v>GONDUDIH</v>
          </cell>
          <cell r="G3164">
            <v>9155382795</v>
          </cell>
          <cell r="K3164" t="str">
            <v>BQCD160129</v>
          </cell>
        </row>
        <row r="3165">
          <cell r="E3165" t="str">
            <v>GONDUDIH</v>
          </cell>
          <cell r="G3165">
            <v>8539967565</v>
          </cell>
          <cell r="K3165" t="str">
            <v>BSCD161691</v>
          </cell>
        </row>
        <row r="3166">
          <cell r="E3166" t="str">
            <v>BHOWRA</v>
          </cell>
          <cell r="G3166">
            <v>6201841406</v>
          </cell>
          <cell r="K3166" t="str">
            <v>BULD162568</v>
          </cell>
        </row>
        <row r="3167">
          <cell r="E3167" t="str">
            <v>BASKATOLA</v>
          </cell>
          <cell r="G3167">
            <v>7489823544</v>
          </cell>
          <cell r="K3167" t="str">
            <v>BULD162577</v>
          </cell>
        </row>
        <row r="3168">
          <cell r="E3168" t="str">
            <v>JARANDIH, PHUSHRO</v>
          </cell>
          <cell r="G3168">
            <v>7541869555</v>
          </cell>
          <cell r="K3168" t="str">
            <v>BTKD162074</v>
          </cell>
        </row>
        <row r="3169">
          <cell r="E3169" t="str">
            <v>BHOWRA</v>
          </cell>
          <cell r="G3169">
            <v>9931519401</v>
          </cell>
          <cell r="K3169" t="str">
            <v>BSGD161904</v>
          </cell>
        </row>
        <row r="3170">
          <cell r="E3170" t="str">
            <v>DHANBAD</v>
          </cell>
          <cell r="G3170">
            <v>9263634417</v>
          </cell>
          <cell r="K3170" t="str">
            <v>BTCD162159</v>
          </cell>
        </row>
        <row r="3171">
          <cell r="E3171" t="str">
            <v>KODERMA</v>
          </cell>
          <cell r="G3171">
            <v>9608568443</v>
          </cell>
          <cell r="K3171" t="str">
            <v>BSAD161567</v>
          </cell>
        </row>
        <row r="3172">
          <cell r="E3172" t="str">
            <v>CHUTIA, RANCHI</v>
          </cell>
          <cell r="G3172">
            <v>9334745488</v>
          </cell>
          <cell r="K3172" t="str">
            <v>BMED200254</v>
          </cell>
        </row>
        <row r="3173">
          <cell r="E3173" t="str">
            <v>TAPIN HAZARIBAGH</v>
          </cell>
          <cell r="G3173">
            <v>8002177613</v>
          </cell>
          <cell r="K3173" t="str">
            <v>BTGD162289</v>
          </cell>
        </row>
        <row r="3174">
          <cell r="E3174" t="str">
            <v>PATNA</v>
          </cell>
          <cell r="G3174">
            <v>9958703467</v>
          </cell>
          <cell r="K3174" t="str">
            <v>BUJD121018</v>
          </cell>
        </row>
        <row r="3175">
          <cell r="E3175" t="str">
            <v>ANKIT KUMAR SONTHALIA, R.N. BOSE ROAD, SATSANG GATE, NEAR HANUMAN MANDIR,, PURANDAHA, DEOGHAR, DIST. DUMKA,, JHARKHAND</v>
          </cell>
          <cell r="G3175">
            <v>6200191036</v>
          </cell>
          <cell r="K3175" t="str">
            <v>BSID161979</v>
          </cell>
        </row>
        <row r="3176">
          <cell r="E3176" t="str">
            <v>SHEIKHPURA, BIHAR</v>
          </cell>
          <cell r="G3176">
            <v>9523069653</v>
          </cell>
          <cell r="K3176" t="str">
            <v>BULL160559</v>
          </cell>
        </row>
        <row r="3177">
          <cell r="E3177" t="str">
            <v>BIHAR</v>
          </cell>
          <cell r="G3177">
            <v>6206626694</v>
          </cell>
          <cell r="K3177" t="str">
            <v>BTHD120971</v>
          </cell>
        </row>
        <row r="3178">
          <cell r="E3178" t="str">
            <v>MAGADH PROJECT, BALUMATH</v>
          </cell>
          <cell r="G3178">
            <v>9102402602</v>
          </cell>
          <cell r="K3178" t="str">
            <v>BTDD162190</v>
          </cell>
        </row>
        <row r="3179">
          <cell r="E3179" t="str">
            <v>CHAKARDHARPUR, JHARKHAND</v>
          </cell>
          <cell r="G3179">
            <v>8639995694</v>
          </cell>
          <cell r="K3179" t="str">
            <v>BSJD161422</v>
          </cell>
        </row>
        <row r="3180">
          <cell r="E3180" t="str">
            <v>SHEIKHPURA, BIHAR</v>
          </cell>
          <cell r="G3180">
            <v>9523096957</v>
          </cell>
          <cell r="K3180" t="str">
            <v>BUAL160593</v>
          </cell>
        </row>
        <row r="3181">
          <cell r="E3181" t="str">
            <v>DHANBAD, CONT PERSON :MR. IKTEKHAR AHMAD, PH.NO :9431316718</v>
          </cell>
          <cell r="G3181">
            <v>8210567144</v>
          </cell>
          <cell r="K3181" t="str">
            <v>BQID160499</v>
          </cell>
        </row>
        <row r="3182">
          <cell r="E3182" t="str">
            <v>C/O - ANUP JOSHI, DOCTOR GALI FRONT OF JAIN MANDIR, P.O. - JHUMRITILAIYA, KODERMA</v>
          </cell>
          <cell r="G3182">
            <v>9762686087</v>
          </cell>
          <cell r="K3182" t="str">
            <v>BSBD161629</v>
          </cell>
        </row>
        <row r="3183">
          <cell r="E3183" t="str">
            <v>NAGRI,RANCHI
835202
RANCHI</v>
          </cell>
          <cell r="G3183">
            <v>7004248429</v>
          </cell>
          <cell r="K3183" t="str">
            <v>BRIS035698</v>
          </cell>
        </row>
        <row r="3184">
          <cell r="E3184" t="str">
            <v>BASTAKOLA, DHANBAD</v>
          </cell>
          <cell r="G3184">
            <v>7489823544</v>
          </cell>
          <cell r="K3184" t="str">
            <v>BUKD162535</v>
          </cell>
        </row>
        <row r="3185">
          <cell r="E3185" t="str">
            <v>BASKATOLA</v>
          </cell>
          <cell r="G3185">
            <v>7489823544</v>
          </cell>
          <cell r="K3185" t="str">
            <v>BULD162577</v>
          </cell>
        </row>
        <row r="3186">
          <cell r="E3186" t="str">
            <v>TATULMURI, DHANBAD</v>
          </cell>
          <cell r="G3186">
            <v>9931519401</v>
          </cell>
          <cell r="K3186" t="str">
            <v>BUGD162852</v>
          </cell>
        </row>
        <row r="3187">
          <cell r="E3187" t="str">
            <v>CHANDIL BAZAR</v>
          </cell>
          <cell r="G3187">
            <v>9123594446</v>
          </cell>
          <cell r="K3187" t="str">
            <v>BRKD160684</v>
          </cell>
        </row>
        <row r="3188">
          <cell r="E3188" t="str">
            <v>SHEETLA PRASAD SINGH,, MISHRA PADA, NEAR DURGA MANDIR,, JHARIA, DHANBAD - 828 111, JHARKHAND.</v>
          </cell>
          <cell r="G3188">
            <v>7644045555</v>
          </cell>
          <cell r="K3188" t="str">
            <v>BTKD162112</v>
          </cell>
        </row>
        <row r="3189">
          <cell r="E3189" t="str">
            <v>GANGA BRIDGE, BAKHTIYARPUR, PATNA</v>
          </cell>
          <cell r="G3189">
            <v>8544557188</v>
          </cell>
          <cell r="K3189" t="str">
            <v>BTDD120878</v>
          </cell>
        </row>
        <row r="3190">
          <cell r="E3190" t="str">
            <v>JHUMARIA, WEST BENGAL</v>
          </cell>
          <cell r="G3190">
            <v>9031546309</v>
          </cell>
          <cell r="K3190" t="str">
            <v>GPLL150106</v>
          </cell>
        </row>
        <row r="3191">
          <cell r="E3191" t="str">
            <v>GAYA, BIHAR</v>
          </cell>
          <cell r="G3191">
            <v>8340735591</v>
          </cell>
          <cell r="K3191" t="str">
            <v>BQBD160060</v>
          </cell>
        </row>
        <row r="3192">
          <cell r="E3192" t="str">
            <v>NISCHITPUR</v>
          </cell>
          <cell r="G3192">
            <v>9162318906</v>
          </cell>
          <cell r="K3192" t="str">
            <v>BQHD160412</v>
          </cell>
        </row>
        <row r="3193">
          <cell r="E3193" t="str">
            <v>GANGA BRIDGE, BAKHTIYARPUR, PATNA</v>
          </cell>
          <cell r="G3193">
            <v>8544557188</v>
          </cell>
          <cell r="K3193" t="str">
            <v>BTHD120963</v>
          </cell>
        </row>
        <row r="3194">
          <cell r="E3194" t="str">
            <v>TATISILWAY</v>
          </cell>
          <cell r="G3194">
            <v>6201580224</v>
          </cell>
          <cell r="K3194" t="str">
            <v>BOID200223</v>
          </cell>
        </row>
        <row r="3195">
          <cell r="E3195" t="str">
            <v>DHANBAD</v>
          </cell>
          <cell r="G3195">
            <v>7979892986</v>
          </cell>
          <cell r="K3195" t="str">
            <v>BPED160088</v>
          </cell>
        </row>
        <row r="3196">
          <cell r="E3196" t="str">
            <v>RAMPUR, LOHARDGA</v>
          </cell>
          <cell r="G3196">
            <v>9934198170</v>
          </cell>
          <cell r="K3196" t="str">
            <v>BRKD160653</v>
          </cell>
        </row>
        <row r="3197">
          <cell r="E3197" t="str">
            <v>P.O.+P.S. - GURPA, DIST- GAYA, BIHAR</v>
          </cell>
          <cell r="G3197">
            <v>9934799633</v>
          </cell>
          <cell r="K3197" t="str">
            <v>BRED161131</v>
          </cell>
        </row>
        <row r="3198">
          <cell r="E3198" t="str">
            <v>JAMTARA</v>
          </cell>
          <cell r="G3198">
            <v>8789065274</v>
          </cell>
          <cell r="K3198" t="str">
            <v>BRAD160816</v>
          </cell>
        </row>
        <row r="3199">
          <cell r="E3199" t="str">
            <v>PAKUR, JHARKHAND</v>
          </cell>
          <cell r="G3199">
            <v>9708578832</v>
          </cell>
          <cell r="K3199" t="str">
            <v>BQJD120016</v>
          </cell>
        </row>
        <row r="3200">
          <cell r="E3200" t="str">
            <v>KALYANI, PHUSHRO</v>
          </cell>
          <cell r="G3200">
            <v>9282523267</v>
          </cell>
          <cell r="K3200" t="str">
            <v>BRHD161312</v>
          </cell>
        </row>
        <row r="3201">
          <cell r="E3201" t="str">
            <v>PUNDAG, RANCHI</v>
          </cell>
          <cell r="G3201">
            <v>9471171432</v>
          </cell>
          <cell r="K3201" t="str">
            <v>BPED200181</v>
          </cell>
        </row>
        <row r="3202">
          <cell r="E3202" t="str">
            <v>DUMKA</v>
          </cell>
          <cell r="G3202">
            <v>8409042775</v>
          </cell>
          <cell r="K3202" t="str">
            <v>BRAD160777</v>
          </cell>
        </row>
        <row r="3203">
          <cell r="E3203" t="str">
            <v>RAJAPUR, DHANBAD</v>
          </cell>
          <cell r="G3203">
            <v>7667544644</v>
          </cell>
          <cell r="K3203" t="str">
            <v>BQKD200046</v>
          </cell>
        </row>
        <row r="3204">
          <cell r="E3204" t="str">
            <v>KOKAR, RANCHI</v>
          </cell>
          <cell r="G3204">
            <v>8051191796</v>
          </cell>
          <cell r="K3204" t="str">
            <v>BRGD161233</v>
          </cell>
        </row>
        <row r="3205">
          <cell r="E3205" t="str">
            <v>BASJORA</v>
          </cell>
          <cell r="G3205">
            <v>9578883777</v>
          </cell>
          <cell r="K3205" t="str">
            <v>BRED161077</v>
          </cell>
        </row>
        <row r="3206">
          <cell r="E3206" t="str">
            <v>BIHAR</v>
          </cell>
          <cell r="G3206">
            <v>8935923285</v>
          </cell>
          <cell r="K3206" t="str">
            <v>BSID161968</v>
          </cell>
        </row>
        <row r="3207">
          <cell r="E3207" t="str">
            <v>JAMSHEDPUR</v>
          </cell>
          <cell r="G3207">
            <v>7004637342</v>
          </cell>
          <cell r="K3207" t="str">
            <v>BQLD160182</v>
          </cell>
        </row>
        <row r="3208">
          <cell r="E3208" t="str">
            <v>DHANBAD</v>
          </cell>
          <cell r="G3208">
            <v>8210106692</v>
          </cell>
          <cell r="K3208" t="str">
            <v>BQJD160027</v>
          </cell>
        </row>
        <row r="3209">
          <cell r="E3209" t="str">
            <v>BASTAWLA DHANBAD</v>
          </cell>
          <cell r="G3209">
            <v>6200119580</v>
          </cell>
          <cell r="K3209" t="str">
            <v>BTJD162046</v>
          </cell>
        </row>
        <row r="3210">
          <cell r="E3210" t="str">
            <v>DHANBAD, CONT PERSON :MR. IKTEKHAR AHMAD, PH.NO :9431316718</v>
          </cell>
          <cell r="G3210">
            <v>6201045282</v>
          </cell>
          <cell r="K3210" t="str">
            <v>BSKD161462</v>
          </cell>
        </row>
        <row r="3211">
          <cell r="E3211" t="str">
            <v>CHATTARPUR, DALTAINGANJ</v>
          </cell>
          <cell r="G3211">
            <v>9835111213</v>
          </cell>
          <cell r="K3211" t="str">
            <v>BTID162392</v>
          </cell>
        </row>
        <row r="3212">
          <cell r="E3212" t="str">
            <v>DHANBAD</v>
          </cell>
          <cell r="G3212">
            <v>9344284002</v>
          </cell>
          <cell r="K3212" t="str">
            <v>BRJD160605</v>
          </cell>
        </row>
        <row r="3213">
          <cell r="E3213" t="str">
            <v>NEAR OVER BRIDGE, RANCHI</v>
          </cell>
          <cell r="G3213">
            <v>7049289596</v>
          </cell>
          <cell r="K3213" t="str">
            <v>BUCD121176</v>
          </cell>
        </row>
        <row r="3214">
          <cell r="E3214" t="str">
            <v>MIRZA CHOUKI, SAHEBGANJ</v>
          </cell>
          <cell r="G3214">
            <v>7544958524</v>
          </cell>
          <cell r="K3214" t="str">
            <v>BUBD162649</v>
          </cell>
        </row>
        <row r="3215">
          <cell r="E3215" t="str">
            <v>NIRSA, DHANBAD</v>
          </cell>
          <cell r="G3215">
            <v>9931921808</v>
          </cell>
          <cell r="K3215" t="str">
            <v>BIED200036</v>
          </cell>
        </row>
        <row r="3216">
          <cell r="E3216" t="str">
            <v>JARANDIH, PHUSHRO</v>
          </cell>
          <cell r="G3216">
            <v>9006617909</v>
          </cell>
          <cell r="K3216" t="str">
            <v>BTKD162077</v>
          </cell>
        </row>
        <row r="3217">
          <cell r="E3217" t="str">
            <v>TETULWARI</v>
          </cell>
          <cell r="G3217">
            <v>9835747740</v>
          </cell>
          <cell r="K3217" t="str">
            <v>BTGD162296</v>
          </cell>
        </row>
        <row r="3218">
          <cell r="E3218" t="str">
            <v>BASTAWLA DHANBAD</v>
          </cell>
          <cell r="G3218">
            <v>8658834483</v>
          </cell>
          <cell r="K3218" t="str">
            <v>BUAD162630</v>
          </cell>
        </row>
        <row r="3219">
          <cell r="E3219" t="str">
            <v>KUSUNDA DHANBAD</v>
          </cell>
          <cell r="G3219">
            <v>8210106692</v>
          </cell>
          <cell r="K3219" t="str">
            <v>BRDD161036</v>
          </cell>
        </row>
        <row r="3220">
          <cell r="E3220" t="str">
            <v>FLAT NO. 300, BLOCK - A, MP SRIRAM, CHHOTA GAMHARIA, P.S. - GAMHARIA, DIST.- SARAIKELA KHARSAWAN</v>
          </cell>
          <cell r="G3220">
            <v>7900700814</v>
          </cell>
          <cell r="K3220" t="str">
            <v>BRGL151468</v>
          </cell>
        </row>
        <row r="3221">
          <cell r="E3221" t="str">
            <v>PATNA</v>
          </cell>
          <cell r="G3221">
            <v>8744075416</v>
          </cell>
          <cell r="K3221" t="str">
            <v>BSBD120631</v>
          </cell>
        </row>
        <row r="3222">
          <cell r="E3222" t="str">
            <v>GAYA</v>
          </cell>
          <cell r="G3222">
            <v>7004060071</v>
          </cell>
          <cell r="K3222" t="str">
            <v>BQGD160344</v>
          </cell>
        </row>
        <row r="3223">
          <cell r="E3223" t="str">
            <v>DHANBAD JHARKHAND</v>
          </cell>
          <cell r="G3223">
            <v>7489823544</v>
          </cell>
          <cell r="K3223" t="str">
            <v>BQKD160115</v>
          </cell>
        </row>
        <row r="3224">
          <cell r="E3224" t="str">
            <v>BASTAKOLA, DHANBAD</v>
          </cell>
          <cell r="G3224">
            <v>7489823544</v>
          </cell>
          <cell r="K3224" t="str">
            <v>BQKD160099</v>
          </cell>
        </row>
        <row r="3225">
          <cell r="E3225" t="str">
            <v>DHANBAD</v>
          </cell>
          <cell r="G3225">
            <v>7489823544</v>
          </cell>
          <cell r="K3225" t="str">
            <v>BTDD162186</v>
          </cell>
        </row>
        <row r="3226">
          <cell r="E3226" t="str">
            <v>BARKAGAON, HAZARIBAGH</v>
          </cell>
          <cell r="G3226">
            <v>6201387183</v>
          </cell>
          <cell r="K3226" t="str">
            <v>BWED163871</v>
          </cell>
        </row>
        <row r="3227">
          <cell r="E3227" t="str">
            <v>RANCHI</v>
          </cell>
          <cell r="G3227">
            <v>9973880780</v>
          </cell>
          <cell r="K3227" t="str">
            <v>BKDS031405</v>
          </cell>
        </row>
        <row r="3228">
          <cell r="E3228" t="str">
            <v>MARRAR, RAMGRAH</v>
          </cell>
          <cell r="G3228">
            <v>9102975843</v>
          </cell>
          <cell r="K3228" t="str">
            <v>BWGS033844</v>
          </cell>
        </row>
        <row r="3229">
          <cell r="E3229" t="str">
            <v>BARHI, HAZARIBAGH</v>
          </cell>
          <cell r="G3229">
            <v>8488957184</v>
          </cell>
          <cell r="K3229" t="str">
            <v>BUCS034287</v>
          </cell>
        </row>
        <row r="3230">
          <cell r="E3230" t="str">
            <v>ADDRESS-PLOT-57B,BARAHI INDUSTRIAL AREA,ON DELHI HOWRAH NATIONAL HIGHWAY,BARHI,JAHARKHAND.</v>
          </cell>
          <cell r="G3230">
            <v>8488951784</v>
          </cell>
          <cell r="K3230" t="str">
            <v>BUBS033778</v>
          </cell>
        </row>
        <row r="3231">
          <cell r="E3231" t="str">
            <v>MANDU, RAMGRAH</v>
          </cell>
          <cell r="G3231">
            <v>7908864486</v>
          </cell>
          <cell r="K3231" t="str">
            <v>BWKS040437</v>
          </cell>
        </row>
        <row r="3232">
          <cell r="E3232" t="str">
            <v>VINAIKA’S COMPLEX RANCHI TATA ROAD, R.S. PLOT NO.:-615,VILLAGE-PANCHA,THANA-BUNDU RANCHI, JHARKHAND.
834002</v>
          </cell>
          <cell r="G3232">
            <v>9818905980</v>
          </cell>
          <cell r="K3232" t="str">
            <v>BUDS046275</v>
          </cell>
        </row>
        <row r="3233">
          <cell r="E3233" t="str">
            <v>NAYA MORE, RAMGRAH</v>
          </cell>
          <cell r="G3233">
            <v>7004541681</v>
          </cell>
          <cell r="K3233" t="str">
            <v>BUKS045388</v>
          </cell>
        </row>
        <row r="3234">
          <cell r="E3234" t="str">
            <v>NAYA MORE, RAMGRAH</v>
          </cell>
          <cell r="G3234">
            <v>7004541681</v>
          </cell>
          <cell r="K3234" t="str">
            <v>BUKS045387</v>
          </cell>
        </row>
        <row r="3235">
          <cell r="E3235" t="str">
            <v>LODNA MORE</v>
          </cell>
          <cell r="G3235">
            <v>7623886938</v>
          </cell>
          <cell r="K3235" t="str">
            <v>BVFD163261</v>
          </cell>
        </row>
        <row r="3236">
          <cell r="E3236" t="str">
            <v>LODNA MORE</v>
          </cell>
          <cell r="G3236">
            <v>7623886938</v>
          </cell>
          <cell r="K3236" t="str">
            <v>BWKD163543</v>
          </cell>
        </row>
        <row r="3237">
          <cell r="E3237" t="str">
            <v>LODNA MORE</v>
          </cell>
          <cell r="G3237">
            <v>6200119580</v>
          </cell>
          <cell r="K3237" t="str">
            <v>BWKD163512</v>
          </cell>
        </row>
        <row r="3238">
          <cell r="E3238" t="str">
            <v>RAMGARH
829103
NAYA MORE</v>
          </cell>
          <cell r="G3238">
            <v>6201225253</v>
          </cell>
          <cell r="K3238" t="str">
            <v>BPCS030196</v>
          </cell>
        </row>
        <row r="3239">
          <cell r="E3239" t="str">
            <v>NAGRI,RANCHI
835202
RANCHI</v>
          </cell>
          <cell r="G3239">
            <v>8877024924</v>
          </cell>
          <cell r="K3239" t="str">
            <v>BMJS040004</v>
          </cell>
        </row>
        <row r="3240">
          <cell r="E3240" t="str">
            <v>KATRAS, DHANBAD</v>
          </cell>
          <cell r="G3240">
            <v>6204728418</v>
          </cell>
          <cell r="K3240" t="str">
            <v>BWAD163674</v>
          </cell>
        </row>
        <row r="3241">
          <cell r="E3241" t="str">
            <v>KOKAR INDUSTRIAL AREA,RANCHI
834002
KOKAR INDUSTRIAL AREA</v>
          </cell>
          <cell r="G3241">
            <v>8102671167</v>
          </cell>
          <cell r="K3241" t="str">
            <v>BRKC371988</v>
          </cell>
        </row>
        <row r="3242">
          <cell r="E3242" t="str">
            <v>RAMGRAH</v>
          </cell>
          <cell r="G3242">
            <v>8280104133</v>
          </cell>
          <cell r="K3242" t="str">
            <v>BIBS040161</v>
          </cell>
        </row>
        <row r="3243">
          <cell r="E3243" t="str">
            <v>HAZARIBAGH</v>
          </cell>
          <cell r="G3243">
            <v>9939701451</v>
          </cell>
          <cell r="K3243" t="str">
            <v>BVIS040049</v>
          </cell>
        </row>
        <row r="3244">
          <cell r="E3244" t="str">
            <v>KATRAS</v>
          </cell>
          <cell r="G3244">
            <v>9031032277</v>
          </cell>
          <cell r="K3244" t="str">
            <v>BWFD163947</v>
          </cell>
        </row>
        <row r="3245">
          <cell r="E3245" t="str">
            <v>BHUYANDIH, JAMSHEDPUR</v>
          </cell>
          <cell r="G3245">
            <v>9304170499</v>
          </cell>
          <cell r="K3245" t="str">
            <v>BMFC370445</v>
          </cell>
        </row>
        <row r="3246">
          <cell r="E3246" t="str">
            <v>MUNGMA</v>
          </cell>
          <cell r="G3246">
            <v>8517025849</v>
          </cell>
          <cell r="K3246" t="str">
            <v>GNGS030424</v>
          </cell>
        </row>
        <row r="3247">
          <cell r="E3247" t="str">
            <v>DHANBAD</v>
          </cell>
          <cell r="G3247">
            <v>6207308280</v>
          </cell>
          <cell r="K3247" t="str">
            <v>BTED162231</v>
          </cell>
        </row>
        <row r="3248">
          <cell r="E3248" t="str">
            <v>RANCHI PATNA ROAD
DEMOTAND
825301
HAZARIBAGH</v>
          </cell>
          <cell r="G3248">
            <v>7905424302</v>
          </cell>
          <cell r="K3248" t="str">
            <v>BMBL160078</v>
          </cell>
        </row>
        <row r="3249">
          <cell r="E3249" t="str">
            <v>TATISIWAI INDUSTRIAL AREA, RANCHI
835103
TATISILWAY RANCHI</v>
          </cell>
          <cell r="G3249">
            <v>7488690694</v>
          </cell>
          <cell r="K3249" t="str">
            <v>BSAS036958</v>
          </cell>
        </row>
        <row r="3250">
          <cell r="E3250" t="str">
            <v>DEOGRAH</v>
          </cell>
          <cell r="G3250">
            <v>6299737730</v>
          </cell>
          <cell r="K3250" t="str">
            <v>BWFD163937</v>
          </cell>
        </row>
        <row r="3251">
          <cell r="E3251" t="str">
            <v>BARHI INDUSTRIAL ARE BARHI</v>
          </cell>
          <cell r="G3251">
            <v>8795889641</v>
          </cell>
          <cell r="K3251" t="str">
            <v>BUES035120</v>
          </cell>
        </row>
        <row r="3252">
          <cell r="E3252" t="str">
            <v>BARHI INDUSTRIAL ARE BARHI</v>
          </cell>
          <cell r="G3252">
            <v>8795889641</v>
          </cell>
          <cell r="K3252" t="str">
            <v>BUBF111245</v>
          </cell>
        </row>
        <row r="3253">
          <cell r="E3253" t="str">
            <v>KHURPANIA, KHASHMAHAL, PHUSHRO</v>
          </cell>
          <cell r="G3253">
            <v>7070879625</v>
          </cell>
          <cell r="K3253" t="str">
            <v>BTHD162350</v>
          </cell>
        </row>
        <row r="3254">
          <cell r="E3254" t="str">
            <v>TATISILWAI, RANCHI</v>
          </cell>
          <cell r="G3254">
            <v>9334678672</v>
          </cell>
          <cell r="K3254" t="str">
            <v>BWCC379950</v>
          </cell>
        </row>
        <row r="3255">
          <cell r="E3255" t="str">
            <v>DALADALI, RANCHI</v>
          </cell>
          <cell r="G3255">
            <v>9835538524</v>
          </cell>
          <cell r="K3255" t="str">
            <v>BWFD163940</v>
          </cell>
        </row>
        <row r="3256">
          <cell r="E3256" t="str">
            <v>KATRAS, DHANBAD</v>
          </cell>
          <cell r="G3256">
            <v>7667074257</v>
          </cell>
          <cell r="K3256" t="str">
            <v>BWAD163674</v>
          </cell>
        </row>
        <row r="3257">
          <cell r="E3257" t="str">
            <v>LODNA MORE</v>
          </cell>
          <cell r="G3257">
            <v>6200119580</v>
          </cell>
          <cell r="K3257" t="str">
            <v>BWKD163512</v>
          </cell>
        </row>
        <row r="3258">
          <cell r="E3258" t="str">
            <v>C/O PRAKASH RAM, PHUSHRO</v>
          </cell>
          <cell r="G3258">
            <v>8252664694</v>
          </cell>
          <cell r="K3258" t="str">
            <v>BWBD163701</v>
          </cell>
        </row>
        <row r="3259">
          <cell r="E3259" t="str">
            <v>LODNA</v>
          </cell>
          <cell r="G3259">
            <v>9065764901</v>
          </cell>
          <cell r="K3259" t="str">
            <v>BTCD162149</v>
          </cell>
        </row>
        <row r="3260">
          <cell r="E3260" t="str">
            <v>MAHUDA MORE, DHANBAD</v>
          </cell>
          <cell r="G3260">
            <v>6204702963</v>
          </cell>
          <cell r="K3260" t="str">
            <v>BWHD164004</v>
          </cell>
        </row>
        <row r="3261">
          <cell r="E3261" t="str">
            <v>HAZARIBAGH,  HAZARIBAGH, JHARKHAND 825301</v>
          </cell>
          <cell r="G3261">
            <v>9031303137</v>
          </cell>
          <cell r="K3261" t="str">
            <v>BUCS034128</v>
          </cell>
        </row>
        <row r="3262">
          <cell r="E3262" t="str">
            <v>C/O - AMAN AGRAWAL, PLOT NO. 735, KAITHA, RAMGARH CANTT., RAMGARH
825101</v>
          </cell>
          <cell r="G3262">
            <v>8709937739</v>
          </cell>
          <cell r="K3262" t="str">
            <v>BSDC375954</v>
          </cell>
        </row>
        <row r="3263">
          <cell r="E3263" t="str">
            <v>RAMGARH</v>
          </cell>
          <cell r="G3263">
            <v>7004401831</v>
          </cell>
          <cell r="K3263" t="str">
            <v>BQJD200011</v>
          </cell>
        </row>
        <row r="3264">
          <cell r="E3264" t="str">
            <v>MANDU, RAMGARH
JAISWAL COLONY, THANA CHOW,, RAMGARH CANTT. DIST. RAMGARH, JHARKHAND
825316
MANDU</v>
          </cell>
          <cell r="G3264">
            <v>7352055499</v>
          </cell>
          <cell r="K3264" t="str">
            <v>BWCS032691</v>
          </cell>
        </row>
        <row r="3265">
          <cell r="E3265" t="str">
            <v>PITHORIA</v>
          </cell>
          <cell r="G3265">
            <v>7050471419</v>
          </cell>
          <cell r="K3265" t="str">
            <v>BWED163893</v>
          </cell>
        </row>
        <row r="3266">
          <cell r="E3266" t="str">
            <v>CHATRA</v>
          </cell>
          <cell r="G3266">
            <v>7004915623</v>
          </cell>
          <cell r="K3266" t="str">
            <v>BWGD163984</v>
          </cell>
        </row>
        <row r="3267">
          <cell r="E3267" t="str">
            <v>REHLA,GARWA,JHARKHAND
822124
RANCHI</v>
          </cell>
          <cell r="G3267">
            <v>7004623399</v>
          </cell>
          <cell r="K3267" t="str">
            <v>BMFS031346</v>
          </cell>
        </row>
        <row r="3268">
          <cell r="E3268" t="str">
            <v>GONDUDIH, DHANBAD</v>
          </cell>
          <cell r="G3268">
            <v>8789524169</v>
          </cell>
          <cell r="K3268" t="str">
            <v>BWJD163475</v>
          </cell>
        </row>
        <row r="3269">
          <cell r="E3269" t="str">
            <v>BARKAGAON, HAZARIBAGH</v>
          </cell>
          <cell r="G3269">
            <v>7070010949</v>
          </cell>
          <cell r="K3269" t="str">
            <v>BVED231179</v>
          </cell>
        </row>
        <row r="3270">
          <cell r="E3270" t="str">
            <v>LODNA MORE</v>
          </cell>
          <cell r="G3270">
            <v>7623886938</v>
          </cell>
          <cell r="K3270" t="str">
            <v>BVFD163261</v>
          </cell>
        </row>
        <row r="3271">
          <cell r="E3271" t="str">
            <v>REG. OFFICE: UNIT 106, MAHABIR TOWER, JOKHIRAM LANE, MAIN ROAD, RANCHI - 834 001
REG. OFFICE: UNIT 106, MAHABIR TOWER, JOKHIRAM LANE, MAIN ROAD, RANCHI - 834 001
835214</v>
          </cell>
          <cell r="G3271">
            <v>8207010500</v>
          </cell>
          <cell r="K3271" t="str">
            <v>BSDS043254</v>
          </cell>
        </row>
        <row r="3272">
          <cell r="E3272" t="str">
            <v>RAJRAPPA</v>
          </cell>
          <cell r="G3272">
            <v>8404865014</v>
          </cell>
          <cell r="K3272" t="str">
            <v>BUKC370655</v>
          </cell>
        </row>
        <row r="3273">
          <cell r="E3273" t="str">
            <v>HAZARIBAGH,  HAZARIBAGH, JHARKHAND 825301</v>
          </cell>
          <cell r="G3273">
            <v>9031303137</v>
          </cell>
          <cell r="K3273" t="str">
            <v>BUAS033747</v>
          </cell>
        </row>
        <row r="3274">
          <cell r="E3274" t="str">
            <v>HAZARIBAGH,  HAZARIBAGH, JHARKHAND 825301</v>
          </cell>
          <cell r="G3274">
            <v>9031303137</v>
          </cell>
          <cell r="K3274" t="str">
            <v>BUCS034128</v>
          </cell>
        </row>
        <row r="3275">
          <cell r="E3275" t="str">
            <v>LODNA MORE</v>
          </cell>
          <cell r="G3275">
            <v>7623886938</v>
          </cell>
          <cell r="K3275" t="str">
            <v>BWKD163512</v>
          </cell>
        </row>
        <row r="3276">
          <cell r="E3276" t="str">
            <v>GIRIDIH</v>
          </cell>
          <cell r="G3276">
            <v>7632989750</v>
          </cell>
          <cell r="K3276" t="str">
            <v>BVFS049456</v>
          </cell>
        </row>
        <row r="3277">
          <cell r="E3277" t="str">
            <v>JARANDIH, PHUSHRO</v>
          </cell>
          <cell r="G3277">
            <v>7541869555</v>
          </cell>
          <cell r="K3277" t="str">
            <v>BTKD162074</v>
          </cell>
        </row>
        <row r="3278">
          <cell r="E3278" t="str">
            <v>UNIT OF HERITAGE LANDMARKS AUTOWORLD PVT. LTD., NEAR KAMRE AASHRAM, P.O. KAMRE, RATU ROAD, RANCHI
835214</v>
          </cell>
          <cell r="G3278">
            <v>9801312499</v>
          </cell>
          <cell r="K3278" t="str">
            <v>BTJC377158</v>
          </cell>
        </row>
        <row r="3279">
          <cell r="E3279" t="str">
            <v>BARKAGAON, HAZARIBAGH</v>
          </cell>
          <cell r="G3279">
            <v>9701361308</v>
          </cell>
          <cell r="K3279" t="str">
            <v>BOIS040238</v>
          </cell>
        </row>
        <row r="3280">
          <cell r="E3280" t="str">
            <v>NEAR P.N BANK MAIN ROAD,, RAMGARH CANTT-829122, DIST. RAMGARH
829122
BUDHAKHOP, AMBRELA, KARMA,</v>
          </cell>
          <cell r="G3280">
            <v>9693796748</v>
          </cell>
          <cell r="K3280" t="str">
            <v>BSHS038806</v>
          </cell>
        </row>
        <row r="3281">
          <cell r="E3281" t="str">
            <v>RAMGARH</v>
          </cell>
          <cell r="G3281">
            <v>7672870941</v>
          </cell>
          <cell r="K3281" t="str">
            <v>BRBD160859</v>
          </cell>
        </row>
        <row r="3282">
          <cell r="E3282" t="str">
            <v>HARDAG</v>
          </cell>
          <cell r="G3282">
            <v>9905185143</v>
          </cell>
          <cell r="K3282" t="str">
            <v>BUED162762</v>
          </cell>
        </row>
        <row r="3283">
          <cell r="E3283" t="str">
            <v>RANCHI
834002</v>
          </cell>
          <cell r="G3283">
            <v>8210241710</v>
          </cell>
          <cell r="K3283" t="str">
            <v>BULS033141</v>
          </cell>
        </row>
        <row r="3284">
          <cell r="E3284" t="str">
            <v>RANCHI
834002</v>
          </cell>
          <cell r="G3284">
            <v>9210241710</v>
          </cell>
          <cell r="K3284" t="str">
            <v>BTIS032025</v>
          </cell>
        </row>
        <row r="3285">
          <cell r="E3285" t="str">
            <v>RANCHI
834002</v>
          </cell>
          <cell r="G3285">
            <v>8210241710</v>
          </cell>
          <cell r="K3285" t="str">
            <v>BTIS032020</v>
          </cell>
        </row>
        <row r="3286">
          <cell r="E3286" t="str">
            <v>PLOT NO. 148, TUPUDANA, INDUSTRIAL AREA, HATIA, RANCHI
834002</v>
          </cell>
          <cell r="G3286">
            <v>7004419730</v>
          </cell>
          <cell r="K3286" t="str">
            <v>BSLS036682</v>
          </cell>
        </row>
        <row r="3287">
          <cell r="E3287" t="str">
            <v>ANGARA, TATISILWAI</v>
          </cell>
          <cell r="G3287">
            <v>9110012919</v>
          </cell>
          <cell r="K3287" t="str">
            <v>BVGF111611</v>
          </cell>
        </row>
        <row r="3288">
          <cell r="E3288" t="str">
            <v>GOBINDPUR INDUSTRIAL AREA, DHANBAD</v>
          </cell>
          <cell r="G3288">
            <v>9113169811</v>
          </cell>
          <cell r="K3288" t="str">
            <v>BVJS047894</v>
          </cell>
        </row>
        <row r="3289">
          <cell r="E3289" t="str">
            <v>RANCHI,JHARKHAND
834001
RANCHI</v>
          </cell>
          <cell r="G3289">
            <v>9350262396</v>
          </cell>
          <cell r="K3289" t="str">
            <v>BJHS031586</v>
          </cell>
        </row>
        <row r="3290">
          <cell r="E3290" t="str">
            <v>ANGAR PATRA,DHANBAD</v>
          </cell>
          <cell r="G3290">
            <v>6207308280</v>
          </cell>
          <cell r="K3290" t="str">
            <v>BSGD161898</v>
          </cell>
        </row>
        <row r="3291">
          <cell r="E3291" t="str">
            <v>DHANBAD</v>
          </cell>
          <cell r="G3291">
            <v>6207308280</v>
          </cell>
          <cell r="K3291" t="str">
            <v>BTED162231</v>
          </cell>
        </row>
        <row r="3292">
          <cell r="E3292" t="str">
            <v>RAMGRAH</v>
          </cell>
          <cell r="G3292">
            <v>9350262396</v>
          </cell>
          <cell r="K3292" t="str">
            <v>BUFS046910</v>
          </cell>
        </row>
        <row r="3293">
          <cell r="E3293" t="str">
            <v>JAMSHEDPUR</v>
          </cell>
          <cell r="G3293">
            <v>8809697867</v>
          </cell>
          <cell r="K3293" t="str">
            <v>BVJD162957</v>
          </cell>
        </row>
        <row r="3294">
          <cell r="E3294" t="str">
            <v>KEREDARI</v>
          </cell>
          <cell r="G3294">
            <v>6202856098</v>
          </cell>
          <cell r="K3294" t="str">
            <v>BVHD163388</v>
          </cell>
        </row>
        <row r="3295">
          <cell r="E3295" t="str">
            <v>KATRAS, DHANBAD</v>
          </cell>
          <cell r="G3295">
            <v>7389449730</v>
          </cell>
          <cell r="K3295" t="str">
            <v>BWAD163674</v>
          </cell>
        </row>
        <row r="3296">
          <cell r="E3296" t="str">
            <v>KHAKHSA PAHAR, PAKURIYA, PAKUR</v>
          </cell>
          <cell r="G3296">
            <v>6206959324</v>
          </cell>
          <cell r="K3296" t="str">
            <v>BUGD162826</v>
          </cell>
        </row>
        <row r="3297">
          <cell r="E3297" t="str">
            <v>GOVINDPUR DHANBAD</v>
          </cell>
          <cell r="G3297">
            <v>9110154620</v>
          </cell>
          <cell r="K3297" t="str">
            <v>BRFS034901</v>
          </cell>
        </row>
        <row r="3298">
          <cell r="E3298" t="str">
            <v>GROUND FLOOR,, OFFICE NO.448A, ROAD NO.4, ASHOK NAGAR
GROUND FLOOR,, OFFICE NO.448A, ROAD NO.4, ASHOK NAGAR
829118
PLOT NO:- 47P, PATRATU INDUSTRIAL AREA</v>
          </cell>
          <cell r="G3298">
            <v>8102928348</v>
          </cell>
          <cell r="K3298" t="str">
            <v>GOGC370754</v>
          </cell>
        </row>
        <row r="3299">
          <cell r="E3299" t="str">
            <v>GROUND FLOOR,, OFFICE NO.448A, ROAD NO.4, ASHOK NAGAR
GROUND FLOOR,, OFFICE NO.448A, ROAD NO.4, ASHOK NAGAR
829118
PLOT NO:- 47P, PATRATU INDUSTRIAL AREA</v>
          </cell>
          <cell r="G3299">
            <v>8102928348</v>
          </cell>
          <cell r="K3299" t="str">
            <v>ONIC370102</v>
          </cell>
        </row>
        <row r="3300">
          <cell r="E3300" t="str">
            <v>KWJAMA COLLIERY, DHANBAD</v>
          </cell>
          <cell r="G3300">
            <v>9065764901</v>
          </cell>
          <cell r="K3300" t="str">
            <v>BVCD163165</v>
          </cell>
        </row>
        <row r="3301">
          <cell r="E3301" t="str">
            <v>BARKAGAON, HAZARIBAGH</v>
          </cell>
          <cell r="G3301">
            <v>7070010949</v>
          </cell>
          <cell r="K3301" t="str">
            <v>BWLD231334</v>
          </cell>
        </row>
        <row r="3302">
          <cell r="E3302" t="str">
            <v>BARKAGAON, HAZARIBAGH</v>
          </cell>
          <cell r="G3302">
            <v>6201454991</v>
          </cell>
          <cell r="K3302" t="str">
            <v>BVED231179</v>
          </cell>
        </row>
        <row r="3303">
          <cell r="E3303" t="str">
            <v>BARKAGAON, HAZARIBAGH</v>
          </cell>
          <cell r="G3303">
            <v>7070010949</v>
          </cell>
          <cell r="K3303" t="str">
            <v>BWLD231345</v>
          </cell>
        </row>
        <row r="3304">
          <cell r="E3304" t="str">
            <v>LODNA</v>
          </cell>
          <cell r="G3304">
            <v>7061894965</v>
          </cell>
          <cell r="K3304" t="str">
            <v>BWAD163648</v>
          </cell>
        </row>
        <row r="3305">
          <cell r="E3305" t="str">
            <v>BASIA, GUMLA</v>
          </cell>
          <cell r="G3305">
            <v>8294138415</v>
          </cell>
          <cell r="K3305" t="str">
            <v>BWJD163499</v>
          </cell>
        </row>
        <row r="3306">
          <cell r="E3306" t="str">
            <v>KRISHNA NAGAR, BOOTY MORE, RANCHI</v>
          </cell>
          <cell r="G3306">
            <v>8910434312</v>
          </cell>
          <cell r="K3306" t="str">
            <v>BUES034926</v>
          </cell>
        </row>
        <row r="3307">
          <cell r="E3307" t="str">
            <v>ASANSOL</v>
          </cell>
          <cell r="G3307">
            <v>9431101890</v>
          </cell>
          <cell r="K3307" t="str">
            <v>BSCS037494</v>
          </cell>
        </row>
        <row r="3308">
          <cell r="E3308" t="str">
            <v>LODNA</v>
          </cell>
          <cell r="G3308">
            <v>9065764901</v>
          </cell>
          <cell r="K3308" t="str">
            <v>BVID163401</v>
          </cell>
        </row>
        <row r="3309">
          <cell r="E3309" t="str">
            <v>DHANBAD, JHARKHAND</v>
          </cell>
          <cell r="G3309">
            <v>8789334677</v>
          </cell>
          <cell r="K3309" t="str">
            <v>BVAC375102</v>
          </cell>
        </row>
        <row r="3310">
          <cell r="E3310" t="str">
            <v>NTA LODNA, DHANBAD</v>
          </cell>
          <cell r="G3310">
            <v>7644045555</v>
          </cell>
          <cell r="K3310" t="str">
            <v>BULD162559</v>
          </cell>
        </row>
        <row r="3311">
          <cell r="E3311" t="str">
            <v>GODDA</v>
          </cell>
          <cell r="G3311">
            <v>7259210950</v>
          </cell>
          <cell r="K3311" t="str">
            <v>BWJD163502</v>
          </cell>
        </row>
        <row r="3312">
          <cell r="E3312" t="str">
            <v>RAMGARH,JHARKHAND
829122</v>
          </cell>
          <cell r="G3312">
            <v>7978882162</v>
          </cell>
          <cell r="K3312" t="str">
            <v>BPAS030126</v>
          </cell>
        </row>
        <row r="3313">
          <cell r="E3313" t="str">
            <v>GONDUDIH</v>
          </cell>
          <cell r="G3313">
            <v>9155382795</v>
          </cell>
          <cell r="K3313" t="str">
            <v>BQCD160129</v>
          </cell>
        </row>
        <row r="3314">
          <cell r="E3314" t="str">
            <v>GONDUDIH</v>
          </cell>
          <cell r="G3314">
            <v>8539967565</v>
          </cell>
          <cell r="K3314" t="str">
            <v>BSCD161691</v>
          </cell>
        </row>
        <row r="3315">
          <cell r="E3315" t="str">
            <v>GONDUDIH, DHANBAD</v>
          </cell>
          <cell r="G3315">
            <v>8539967565</v>
          </cell>
          <cell r="K3315" t="str">
            <v>BWJD163475</v>
          </cell>
        </row>
        <row r="3316">
          <cell r="E3316" t="str">
            <v>BANDHTOLI, NAGRI</v>
          </cell>
          <cell r="G3316">
            <v>6201457979</v>
          </cell>
          <cell r="K3316" t="str">
            <v>BUFS046813</v>
          </cell>
        </row>
        <row r="3317">
          <cell r="E3317" t="str">
            <v>PHUSHRO</v>
          </cell>
          <cell r="G3317">
            <v>7091340232</v>
          </cell>
          <cell r="K3317" t="str">
            <v>BVED163240</v>
          </cell>
        </row>
        <row r="3318">
          <cell r="E3318" t="str">
            <v>RANCHI</v>
          </cell>
          <cell r="G3318">
            <v>9973880780</v>
          </cell>
          <cell r="K3318" t="str">
            <v>BKDS031405</v>
          </cell>
        </row>
        <row r="3319">
          <cell r="E3319" t="str">
            <v>RANCHI</v>
          </cell>
          <cell r="G3319">
            <v>7991168537</v>
          </cell>
          <cell r="K3319" t="str">
            <v>BWLS031913</v>
          </cell>
        </row>
        <row r="3320">
          <cell r="E3320" t="str">
            <v>BALIDIH INDUSTRIAL AREA, BALIDIH BOKARO</v>
          </cell>
          <cell r="G3320">
            <v>7004333419</v>
          </cell>
          <cell r="K3320">
            <v>164253</v>
          </cell>
        </row>
        <row r="3321">
          <cell r="E3321" t="str">
            <v>LOHARDAGA,JHARKHAND
LOHARDAGA, MOB. NO.9661111900
835302
LOHARDAGA</v>
          </cell>
          <cell r="G3321">
            <v>9973880780</v>
          </cell>
          <cell r="K3321" t="str">
            <v>BQFS031084</v>
          </cell>
        </row>
        <row r="3322">
          <cell r="E3322" t="str">
            <v>BEDMAKKA, HAZARIBAGH</v>
          </cell>
          <cell r="G3322">
            <v>8235225310</v>
          </cell>
          <cell r="K3322" t="str">
            <v>BVJC374202</v>
          </cell>
        </row>
        <row r="3323">
          <cell r="E3323" t="str">
            <v>TATISILWAI, JHARKHAND
835103</v>
          </cell>
          <cell r="G3323">
            <v>6200160428</v>
          </cell>
          <cell r="K3323" t="str">
            <v>BQHS040705</v>
          </cell>
        </row>
        <row r="3324">
          <cell r="E3324" t="str">
            <v>PHUSHRO</v>
          </cell>
          <cell r="G3324">
            <v>7091340232</v>
          </cell>
          <cell r="K3324" t="str">
            <v>BWAD163687</v>
          </cell>
        </row>
        <row r="3325">
          <cell r="E3325" t="str">
            <v>CHAS, BOKARO
827013</v>
          </cell>
          <cell r="G3325">
            <v>7992434966</v>
          </cell>
          <cell r="K3325" t="str">
            <v>BSEC376103</v>
          </cell>
        </row>
        <row r="3326">
          <cell r="E3326" t="str">
            <v>KODERMA
825410</v>
          </cell>
          <cell r="G3326">
            <v>7070098712</v>
          </cell>
          <cell r="K3326" t="str">
            <v>BLIS040713</v>
          </cell>
        </row>
        <row r="3327">
          <cell r="E3327" t="str">
            <v>BAZAR SAMITI,RAMGARH
829122</v>
          </cell>
          <cell r="G3327">
            <v>7808529007</v>
          </cell>
          <cell r="K3327" t="str">
            <v>BTGC379081</v>
          </cell>
        </row>
        <row r="3328">
          <cell r="E3328" t="str">
            <v>KHURPANIA, KHASHMAHAL, PHUSHRO</v>
          </cell>
          <cell r="G3328">
            <v>7070879625</v>
          </cell>
          <cell r="K3328" t="str">
            <v>BTHD162350</v>
          </cell>
        </row>
        <row r="3329">
          <cell r="E3329" t="str">
            <v>ARGADA ROAD, BINJHAR, P.O. - MARAR, RAMGARH
829117</v>
          </cell>
          <cell r="G3329">
            <v>7479435758</v>
          </cell>
          <cell r="K3329" t="str">
            <v>BSCS037449</v>
          </cell>
        </row>
        <row r="3330">
          <cell r="E3330" t="str">
            <v>PHUSHRO</v>
          </cell>
          <cell r="G3330">
            <v>7091340232</v>
          </cell>
          <cell r="K3330" t="str">
            <v>BVKD163026</v>
          </cell>
        </row>
        <row r="3331">
          <cell r="E3331" t="str">
            <v>RAMGARH</v>
          </cell>
          <cell r="G3331">
            <v>7004332970</v>
          </cell>
          <cell r="K3331" t="str">
            <v>BRBD160859</v>
          </cell>
        </row>
        <row r="3332">
          <cell r="E3332" t="str">
            <v>PLOT NO 716,VILL-RUKKA,
835219</v>
          </cell>
          <cell r="G3332">
            <v>7481831963</v>
          </cell>
          <cell r="K3332" t="str">
            <v>BSKS036366</v>
          </cell>
        </row>
        <row r="3333">
          <cell r="E3333" t="str">
            <v>PLOT NO 716,VILL-RUKKA,
835219</v>
          </cell>
          <cell r="G3333">
            <v>7481831963</v>
          </cell>
          <cell r="K3333" t="str">
            <v>BSKS036365</v>
          </cell>
        </row>
        <row r="3334">
          <cell r="E3334" t="str">
            <v>C/O - AMAN AGRAWAL, PLOT NO. 735, KAITHA, RAMGARH CANTT., RAMGARH
825101</v>
          </cell>
          <cell r="G3334">
            <v>8709937739</v>
          </cell>
          <cell r="K3334" t="str">
            <v>BSDC375954</v>
          </cell>
        </row>
        <row r="3335">
          <cell r="E3335" t="str">
            <v>PLOT NO. 79, KAPASARA,, SUNDERNAGAR, CHIRKUNDA,, DHANBAD - 828 202
PLOT NO. 79, KAPASARA,, SUNDERNAGAR, CHIRKUNDA,, DHANBAD - 828 202
828202</v>
          </cell>
          <cell r="G3335">
            <v>8101005542</v>
          </cell>
          <cell r="K3335" t="str">
            <v>BTFS031006</v>
          </cell>
        </row>
        <row r="3336">
          <cell r="E3336" t="str">
            <v>GOVINDPUR DHANBAD</v>
          </cell>
          <cell r="G3336">
            <v>9110154620</v>
          </cell>
          <cell r="K3336" t="str">
            <v>BRFS034901</v>
          </cell>
        </row>
        <row r="3337">
          <cell r="E3337" t="str">
            <v>KISHOREGANJ, RANCHI
834001
KAMRE RAVI STEEL,</v>
          </cell>
          <cell r="G3337">
            <v>9939777881</v>
          </cell>
          <cell r="K3337" t="str">
            <v>GPKC370113</v>
          </cell>
        </row>
        <row r="3338">
          <cell r="E3338" t="str">
            <v>KISHOREGANJ, RANCHI
834001
KAMRE RAVI STEEL,</v>
          </cell>
          <cell r="G3338">
            <v>9939777881</v>
          </cell>
          <cell r="K3338" t="str">
            <v>GPKC370113</v>
          </cell>
        </row>
        <row r="3339">
          <cell r="E3339" t="str">
            <v>HAZARINAGH</v>
          </cell>
          <cell r="G3339">
            <v>6201790044</v>
          </cell>
          <cell r="K3339" t="str">
            <v>BUHC373622</v>
          </cell>
        </row>
        <row r="3340">
          <cell r="E3340" t="str">
            <v>MUNGMA</v>
          </cell>
          <cell r="G3340">
            <v>8466063949</v>
          </cell>
          <cell r="K3340" t="str">
            <v>GNGS030424</v>
          </cell>
        </row>
        <row r="3341">
          <cell r="E3341" t="str">
            <v>ASANSOL</v>
          </cell>
          <cell r="G3341">
            <v>6202046477</v>
          </cell>
          <cell r="K3341" t="str">
            <v>BSCS037494</v>
          </cell>
        </row>
        <row r="3342">
          <cell r="E3342" t="str">
            <v>BHULI, DHANBAD</v>
          </cell>
          <cell r="G3342">
            <v>7541046561</v>
          </cell>
          <cell r="K3342" t="str">
            <v>BWEC370394</v>
          </cell>
        </row>
        <row r="3343">
          <cell r="E3343" t="str">
            <v>NEPAL</v>
          </cell>
          <cell r="G3343">
            <v>9135343878</v>
          </cell>
          <cell r="K3343" t="str">
            <v>DTFD120926</v>
          </cell>
        </row>
        <row r="3344">
          <cell r="E3344" t="str">
            <v>NEPAL</v>
          </cell>
          <cell r="G3344">
            <v>9135343878</v>
          </cell>
          <cell r="K3344" t="str">
            <v>ATID121006</v>
          </cell>
        </row>
        <row r="3345">
          <cell r="E3345" t="str">
            <v>11 PINJRAPOLE, HARMU ROAD, RANCHI
11 PINJRAPOLE, HARMU ROAD, RANCHI
834001
MAHILONG, TATISILWAY</v>
          </cell>
          <cell r="G3345">
            <v>6202577125</v>
          </cell>
          <cell r="K3345" t="str">
            <v>BNCC370425</v>
          </cell>
        </row>
        <row r="3346">
          <cell r="E3346" t="str">
            <v>BHULI, DHANBAD</v>
          </cell>
          <cell r="G3346">
            <v>7541046561</v>
          </cell>
          <cell r="K3346" t="str">
            <v>BVFS039912</v>
          </cell>
        </row>
        <row r="3347">
          <cell r="E3347" t="str">
            <v>MUNGMA</v>
          </cell>
          <cell r="G3347">
            <v>9831557793</v>
          </cell>
          <cell r="K3347" t="str">
            <v>GNGS030424</v>
          </cell>
        </row>
        <row r="3348">
          <cell r="E3348" t="str">
            <v>RAMGARH,JHARKHAND
825101
RAMGARH</v>
          </cell>
          <cell r="G3348">
            <v>9431394348</v>
          </cell>
          <cell r="K3348" t="str">
            <v>BSGC376585</v>
          </cell>
        </row>
        <row r="3349">
          <cell r="E3349" t="str">
            <v>9.P .INDUSTRIAL AREA  KOKAR, RANCHI, TIN-20880200515
9.P .INDUSTRIAL AREA  KOKAR, RANCHI, TIN-20880200515
834001</v>
          </cell>
          <cell r="G3349">
            <v>8539903159</v>
          </cell>
          <cell r="K3349" t="str">
            <v>BTGS031205</v>
          </cell>
        </row>
        <row r="3350">
          <cell r="E3350" t="str">
            <v>LODNA</v>
          </cell>
          <cell r="G3350">
            <v>7644045555</v>
          </cell>
          <cell r="K3350" t="str">
            <v>BVJD162972</v>
          </cell>
        </row>
        <row r="3351">
          <cell r="E3351" t="str">
            <v>GAYA, BIHAR</v>
          </cell>
          <cell r="G3351">
            <v>7272956960</v>
          </cell>
          <cell r="K3351" t="str">
            <v>BSFD161799</v>
          </cell>
        </row>
        <row r="3352">
          <cell r="E3352" t="str">
            <v>JHUMRI TILAIYA</v>
          </cell>
          <cell r="G3352">
            <v>7903780388</v>
          </cell>
          <cell r="K3352" t="str">
            <v>GPLS030458</v>
          </cell>
        </row>
        <row r="3353">
          <cell r="E3353" t="str">
            <v>THUMBAGARI, SATBARWA, PALAMU</v>
          </cell>
          <cell r="G3353">
            <v>7039553329</v>
          </cell>
          <cell r="K3353" t="str">
            <v>BUDC372146</v>
          </cell>
        </row>
        <row r="3354">
          <cell r="E3354" t="str">
            <v>ARGADA ROAD, BINJHAR, P.O. - MARAR, RAMGARH
829117</v>
          </cell>
          <cell r="G3354">
            <v>9386834418</v>
          </cell>
          <cell r="K3354" t="str">
            <v>BSCS037449</v>
          </cell>
        </row>
        <row r="3355">
          <cell r="E3355" t="str">
            <v>ADDRESS-PLOT-57B,BARAHI INDUSTRIAL AREA,ON DELHI HOWRAH NATIONAL HIGHWAY,BARHI,JAHARKHAND.</v>
          </cell>
          <cell r="G3355">
            <v>9559291224</v>
          </cell>
          <cell r="K3355" t="str">
            <v>BUBS033778</v>
          </cell>
        </row>
        <row r="3356">
          <cell r="E3356" t="str">
            <v>BARHI, HAZARIBAGH</v>
          </cell>
          <cell r="G3356">
            <v>9559291224</v>
          </cell>
          <cell r="K3356" t="str">
            <v>BUCS034287</v>
          </cell>
        </row>
        <row r="3357">
          <cell r="E3357" t="str">
            <v>NAGARI,</v>
          </cell>
          <cell r="G3357">
            <v>9204493506</v>
          </cell>
          <cell r="K3357" t="str">
            <v>BLGS040582</v>
          </cell>
        </row>
        <row r="3358">
          <cell r="E3358" t="str">
            <v>NAGARI,</v>
          </cell>
          <cell r="G3358">
            <v>9204493506</v>
          </cell>
          <cell r="K3358" t="str">
            <v>BILS030211</v>
          </cell>
        </row>
        <row r="3359">
          <cell r="E3359" t="str">
            <v>PATRATU</v>
          </cell>
          <cell r="G3359">
            <v>7908048644</v>
          </cell>
          <cell r="K3359" t="str">
            <v>EVKS047996</v>
          </cell>
        </row>
        <row r="3360">
          <cell r="E3360" t="str">
            <v>KATRAS, DHANBAD</v>
          </cell>
          <cell r="G3360">
            <v>9386596420</v>
          </cell>
          <cell r="K3360" t="str">
            <v>BWAD163674</v>
          </cell>
        </row>
        <row r="3361">
          <cell r="E3361" t="str">
            <v>LODNA MORE</v>
          </cell>
          <cell r="G3361">
            <v>7623886938</v>
          </cell>
          <cell r="K3361" t="str">
            <v>BWKD163543</v>
          </cell>
        </row>
        <row r="3362">
          <cell r="E3362" t="str">
            <v>REHLA, GARHWA ROAD, PALAMU D.T, JHARKHAND
PALAMU JHARKHAND 822124
INDIA</v>
          </cell>
          <cell r="G3362">
            <v>7004971081</v>
          </cell>
          <cell r="K3362" t="str">
            <v>BLFS031469</v>
          </cell>
        </row>
        <row r="3363">
          <cell r="E3363" t="str">
            <v>KWJAMA COLLIERY, DHANBAD</v>
          </cell>
          <cell r="G3363">
            <v>9065764901</v>
          </cell>
          <cell r="K3363" t="str">
            <v>BVCD163165</v>
          </cell>
        </row>
        <row r="3364">
          <cell r="E3364" t="str">
            <v>GROUND FLOOR, 8H AND 81, NATION PRINTERS, NAMKUM INDUSTRIAL AREA,, LOWADIH, RANCHI
GROUND FLOOR, 8H AND 81, NATION PRINTERS, NAMKUM INDUSTRIAL AREA,, LOWADIH, RANCHI
834010</v>
          </cell>
          <cell r="G3364">
            <v>9709225271</v>
          </cell>
          <cell r="K3364" t="str">
            <v>BRFC373676</v>
          </cell>
        </row>
        <row r="3365">
          <cell r="E3365" t="str">
            <v>GOBINDPUR INDUSTRIAL AREA, DHANBAD</v>
          </cell>
          <cell r="G3365">
            <v>9113169811</v>
          </cell>
          <cell r="K3365" t="str">
            <v>BVJS047894</v>
          </cell>
        </row>
        <row r="3366">
          <cell r="E3366" t="str">
            <v>TIPUDANA INDUSTRIAL AREA, HATIA,</v>
          </cell>
          <cell r="G3366">
            <v>9534249500</v>
          </cell>
          <cell r="K3366" t="str">
            <v>BJGS031396</v>
          </cell>
        </row>
        <row r="3367">
          <cell r="E3367" t="str">
            <v>DHANBAD</v>
          </cell>
          <cell r="G3367">
            <v>9835312777</v>
          </cell>
          <cell r="K3367" t="str">
            <v>BVGD163308</v>
          </cell>
        </row>
        <row r="3368">
          <cell r="E3368" t="str">
            <v>PHOOLWARTAND, DHANBAD</v>
          </cell>
          <cell r="G3368">
            <v>8210106692</v>
          </cell>
          <cell r="K3368" t="str">
            <v>BVHD163393</v>
          </cell>
        </row>
        <row r="3369">
          <cell r="E3369" t="str">
            <v>BALIDIH, BOKARO</v>
          </cell>
          <cell r="G3369">
            <v>7979757306</v>
          </cell>
          <cell r="K3369" t="str">
            <v>BVCS038776</v>
          </cell>
        </row>
        <row r="3370">
          <cell r="E3370" t="str">
            <v>BALIDIH, BOKARO</v>
          </cell>
          <cell r="G3370">
            <v>9119693082</v>
          </cell>
          <cell r="K3370" t="str">
            <v>BVES039711</v>
          </cell>
        </row>
        <row r="3371">
          <cell r="E3371" t="str">
            <v>TILAIYA,KODARMA
825409
TILAIYA</v>
          </cell>
          <cell r="G3371">
            <v>7739220875</v>
          </cell>
          <cell r="K3371" t="str">
            <v>BQJC370018</v>
          </cell>
        </row>
        <row r="3372">
          <cell r="E3372" t="str">
            <v>JHUMRI TILAIYA</v>
          </cell>
          <cell r="G3372">
            <v>7061052272</v>
          </cell>
          <cell r="K3372" t="str">
            <v>GPLS030458</v>
          </cell>
        </row>
        <row r="3373">
          <cell r="E3373" t="str">
            <v>KASUNDA</v>
          </cell>
          <cell r="G3373">
            <v>8101968418</v>
          </cell>
          <cell r="K3373" t="str">
            <v>BRDD161023</v>
          </cell>
        </row>
        <row r="3374">
          <cell r="E3374" t="str">
            <v>KASUNDA</v>
          </cell>
          <cell r="G3374">
            <v>8101968418</v>
          </cell>
          <cell r="K3374" t="str">
            <v>BRDD161023</v>
          </cell>
        </row>
        <row r="3375">
          <cell r="E3375" t="str">
            <v>BARWADIH, LATEHAR</v>
          </cell>
          <cell r="G3375">
            <v>9771426467</v>
          </cell>
          <cell r="K3375" t="str">
            <v>EUES046621</v>
          </cell>
        </row>
        <row r="3376">
          <cell r="E3376" t="str">
            <v>RAMGARH CANTT, RAMGARH
RAMGARH
829122
RAMGARH</v>
          </cell>
          <cell r="G3376">
            <v>9905511245</v>
          </cell>
          <cell r="K3376" t="str">
            <v>BNKS030423</v>
          </cell>
        </row>
        <row r="3377">
          <cell r="E3377" t="str">
            <v>NAMKUM, RANCHI</v>
          </cell>
          <cell r="G3377">
            <v>9608478432</v>
          </cell>
          <cell r="K3377" t="str">
            <v>BTIS045032</v>
          </cell>
        </row>
        <row r="3378">
          <cell r="E3378" t="str">
            <v>BALIDIH INDUSTRIAL AREA, BALIDIH BOKARO</v>
          </cell>
          <cell r="G3378">
            <v>8100184482</v>
          </cell>
          <cell r="K3378">
            <v>164253</v>
          </cell>
        </row>
        <row r="3379">
          <cell r="E3379" t="str">
            <v>C&amp;W HATIA</v>
          </cell>
          <cell r="G3379">
            <v>7781002740</v>
          </cell>
          <cell r="K3379" t="str">
            <v>EVLL062069</v>
          </cell>
        </row>
        <row r="3380">
          <cell r="E3380" t="str">
            <v>PHUSHRO</v>
          </cell>
          <cell r="G3380">
            <v>7091340232</v>
          </cell>
          <cell r="K3380" t="str">
            <v>BWAD163687</v>
          </cell>
        </row>
        <row r="3381">
          <cell r="E3381" t="str">
            <v>PHUSHRO</v>
          </cell>
          <cell r="G3381">
            <v>7091340232</v>
          </cell>
          <cell r="K3381" t="str">
            <v>BVKD163026</v>
          </cell>
        </row>
        <row r="3382">
          <cell r="E3382" t="str">
            <v>PHUSHRO</v>
          </cell>
          <cell r="G3382">
            <v>7091340232</v>
          </cell>
          <cell r="K3382" t="str">
            <v>BVED163240</v>
          </cell>
        </row>
        <row r="3383">
          <cell r="E3383" t="str">
            <v>PHUSHRO</v>
          </cell>
          <cell r="G3383">
            <v>7091340232</v>
          </cell>
          <cell r="K3383" t="str">
            <v>BVED163244</v>
          </cell>
        </row>
        <row r="3384">
          <cell r="E3384" t="str">
            <v>PHUSHRO</v>
          </cell>
          <cell r="G3384">
            <v>7091340232</v>
          </cell>
          <cell r="K3384" t="str">
            <v>BRFD161164</v>
          </cell>
        </row>
        <row r="3385">
          <cell r="E3385" t="str">
            <v>MUNGMA</v>
          </cell>
          <cell r="G3385">
            <v>7439816339</v>
          </cell>
          <cell r="K3385" t="str">
            <v>BNCS030884</v>
          </cell>
        </row>
        <row r="3386">
          <cell r="E3386" t="str">
            <v>MUNGMA</v>
          </cell>
          <cell r="G3386">
            <v>9831557793</v>
          </cell>
          <cell r="K3386" t="str">
            <v>BNCS030884</v>
          </cell>
        </row>
        <row r="3387">
          <cell r="E3387" t="str">
            <v>PALAMU,GARWA, JHARKHAND
822124
GARHWA ROAD, NEAR BCCL PALAMU,</v>
          </cell>
          <cell r="G3387">
            <v>8877136770</v>
          </cell>
          <cell r="K3387" t="str">
            <v>GOCS030806</v>
          </cell>
        </row>
        <row r="3388">
          <cell r="E3388" t="str">
            <v>RAJRAPPA</v>
          </cell>
          <cell r="G3388">
            <v>8092762251</v>
          </cell>
          <cell r="K3388" t="str">
            <v>BUKC370655</v>
          </cell>
        </row>
        <row r="3389">
          <cell r="E3389" t="str">
            <v>TIPUDANA INDUSTRIAL AREA, HATIA,</v>
          </cell>
          <cell r="G3389">
            <v>9534249500</v>
          </cell>
          <cell r="K3389" t="str">
            <v>BJGS031396</v>
          </cell>
        </row>
        <row r="3390">
          <cell r="E3390" t="str">
            <v>NTA LODNA, DHANBAD</v>
          </cell>
          <cell r="G3390">
            <v>7644045555</v>
          </cell>
          <cell r="K3390" t="str">
            <v>BULD162559</v>
          </cell>
        </row>
        <row r="3391">
          <cell r="E3391" t="str">
            <v>KWJAMA COLLIERY, DHANBAD</v>
          </cell>
          <cell r="G3391">
            <v>7644045555</v>
          </cell>
          <cell r="K3391" t="str">
            <v>BVCD163165</v>
          </cell>
        </row>
        <row r="3392">
          <cell r="E3392" t="str">
            <v>LODNA</v>
          </cell>
          <cell r="G3392">
            <v>9065764901</v>
          </cell>
          <cell r="K3392" t="str">
            <v>BVID163401</v>
          </cell>
        </row>
        <row r="3393">
          <cell r="E3393" t="str">
            <v>LODNA</v>
          </cell>
          <cell r="G3393">
            <v>7061894965</v>
          </cell>
          <cell r="K3393" t="str">
            <v>BWAD163648</v>
          </cell>
        </row>
        <row r="3394">
          <cell r="E3394" t="str">
            <v>KASUNDA</v>
          </cell>
          <cell r="G3394">
            <v>7091340232</v>
          </cell>
          <cell r="K3394" t="str">
            <v>BTCD162162</v>
          </cell>
        </row>
        <row r="3395">
          <cell r="E3395" t="str">
            <v>ADMINISTRATIVE BLOCK, MECHINICAL DEPARTMENT, DHANBAD</v>
          </cell>
          <cell r="G3395">
            <v>7761943999</v>
          </cell>
          <cell r="K3395" t="str">
            <v>BUIS036656</v>
          </cell>
        </row>
        <row r="3396">
          <cell r="E3396" t="str">
            <v>LODNA</v>
          </cell>
          <cell r="G3396">
            <v>9065764901</v>
          </cell>
          <cell r="K3396" t="str">
            <v>BVID163401</v>
          </cell>
        </row>
        <row r="3397">
          <cell r="E3397" t="str">
            <v>LODNA</v>
          </cell>
          <cell r="G3397">
            <v>9065764901</v>
          </cell>
          <cell r="K3397" t="str">
            <v>BTCD162149</v>
          </cell>
        </row>
        <row r="3398">
          <cell r="E3398" t="str">
            <v>NEWRI VIKASH RANCHI JHARKHAND
NEWRI VIKASH RANCHI JHARKHAND
834006
RANCHI</v>
          </cell>
          <cell r="G3398">
            <v>201479268</v>
          </cell>
          <cell r="K3398" t="str">
            <v>BQAC373734</v>
          </cell>
        </row>
        <row r="3399">
          <cell r="E3399" t="str">
            <v>NAGARI, RANCHI
834006</v>
          </cell>
          <cell r="G3399">
            <v>9608641098</v>
          </cell>
          <cell r="K3399" t="str">
            <v>BRAC372524</v>
          </cell>
        </row>
        <row r="3400">
          <cell r="E3400" t="str">
            <v>INDIA - NEPAL - BHUTAN BORDER</v>
          </cell>
          <cell r="G3400">
            <v>7033484612</v>
          </cell>
          <cell r="K3400" t="str">
            <v>BWFD121755</v>
          </cell>
        </row>
        <row r="3401">
          <cell r="E3401" t="str">
            <v>GROUND FLOOR, 8H AND 81, NATION PRINTERS, NAMKUM INDUSTRIAL AREA,, LOWADIH, RANCHI
GROUND FLOOR, 8H AND 81, NATION PRINTERS, NAMKUM INDUSTRIAL AREA,, LOWADIH, RANCHI
834010</v>
          </cell>
          <cell r="G3401">
            <v>9386895542</v>
          </cell>
          <cell r="K3401" t="str">
            <v>BRCC372871</v>
          </cell>
        </row>
        <row r="3402">
          <cell r="E3402" t="str">
            <v>TATISIWAI INDUSTRIAL AREA, RANCHI
835103
TATISILWAY RANCHI</v>
          </cell>
          <cell r="G3402">
            <v>9122209999</v>
          </cell>
          <cell r="K3402" t="str">
            <v>BNJC370072</v>
          </cell>
        </row>
        <row r="3403">
          <cell r="E3403" t="str">
            <v>PHASE 3
827014
PHASE 3 INDUSTRIAL AREA827013</v>
          </cell>
          <cell r="G3403">
            <v>9122209999</v>
          </cell>
          <cell r="K3403" t="str">
            <v>BQIS031915</v>
          </cell>
        </row>
        <row r="3404">
          <cell r="E3404" t="str">
            <v>BASKATOLA</v>
          </cell>
          <cell r="G3404">
            <v>7489823544</v>
          </cell>
          <cell r="K3404" t="str">
            <v>BULD162577</v>
          </cell>
        </row>
        <row r="3405">
          <cell r="E3405" t="str">
            <v>BASTAKOLA, DHANBAD</v>
          </cell>
          <cell r="G3405">
            <v>7489823544</v>
          </cell>
          <cell r="K3405" t="str">
            <v>BUKD162535</v>
          </cell>
        </row>
        <row r="3406">
          <cell r="E3406" t="str">
            <v>BASTAKOLA, DHANBAD</v>
          </cell>
          <cell r="G3406">
            <v>7489823544</v>
          </cell>
          <cell r="K3406" t="str">
            <v>BQKD160099</v>
          </cell>
        </row>
        <row r="3407">
          <cell r="E3407" t="str">
            <v>DHANBAD</v>
          </cell>
          <cell r="G3407">
            <v>7489823544</v>
          </cell>
          <cell r="K3407" t="str">
            <v>BTDD162186</v>
          </cell>
        </row>
        <row r="3408">
          <cell r="E3408" t="str">
            <v>DHANBAD JHARKHAND</v>
          </cell>
          <cell r="G3408">
            <v>7489823544</v>
          </cell>
          <cell r="K3408" t="str">
            <v>BQKD160115</v>
          </cell>
        </row>
        <row r="3409">
          <cell r="E3409" t="str">
            <v>BALIDIH INDUSTRIAL AREA,BOKARO
PLOT NO. - A/2 (P) INDUSTRIAL AREA, BALIDIH BOKARO STEEL CITY - 14, BOKARO
827014
BOKARO INDUSTRIAL ESTATE</v>
          </cell>
          <cell r="G3409">
            <v>9978928888</v>
          </cell>
          <cell r="K3409" t="str">
            <v>BSJS035946</v>
          </cell>
        </row>
        <row r="3410">
          <cell r="E3410" t="str">
            <v>GIRIDIH</v>
          </cell>
          <cell r="G3410">
            <v>9046345148</v>
          </cell>
          <cell r="K3410" t="str">
            <v>BVKS048107</v>
          </cell>
        </row>
        <row r="3411">
          <cell r="E3411" t="str">
            <v>KOKAR INDUSTRIAL AREA,RANCHI
834001</v>
          </cell>
          <cell r="G3411">
            <v>8709740232</v>
          </cell>
          <cell r="K3411" t="str">
            <v>BPIC370386</v>
          </cell>
        </row>
        <row r="3412">
          <cell r="E3412" t="str">
            <v>KISHOREGANJ, RANCHI
834001
KAMRE RAVI STEEL,</v>
          </cell>
          <cell r="G3412">
            <v>9939777881</v>
          </cell>
          <cell r="K3412" t="str">
            <v>GPKC370113</v>
          </cell>
        </row>
        <row r="3413">
          <cell r="E3413" t="str">
            <v>TILAIYA,KODARMA
825409
TILAIYA</v>
          </cell>
          <cell r="G3413">
            <v>7739220875</v>
          </cell>
          <cell r="K3413" t="str">
            <v>BQJC370018</v>
          </cell>
        </row>
        <row r="3414">
          <cell r="E3414" t="str">
            <v>MURHU
C/O ASHISH SABOO, MURHU, DIST- KHUNTI
835216</v>
          </cell>
          <cell r="G3414">
            <v>8862826990</v>
          </cell>
          <cell r="K3414" t="str">
            <v>BTLC377591</v>
          </cell>
        </row>
        <row r="3415">
          <cell r="E3415" t="str">
            <v>RING ROAD, RANCHI</v>
          </cell>
          <cell r="G3415">
            <v>8862826990</v>
          </cell>
          <cell r="K3415" t="str">
            <v>BULC371019</v>
          </cell>
        </row>
        <row r="3416">
          <cell r="E3416" t="str">
            <v>UPPER BAZAR,RANCHI
834001
OPP. MAHAVIR MANDIR , RADHA NAGAR ROAD</v>
          </cell>
          <cell r="G3416">
            <v>7909069824</v>
          </cell>
          <cell r="K3416" t="str">
            <v>GOHC370805</v>
          </cell>
        </row>
        <row r="3417">
          <cell r="E3417" t="str">
            <v>KOKAR INDUSTRIAL AREA,RANCHI
834001</v>
          </cell>
          <cell r="G3417">
            <v>8405804748</v>
          </cell>
          <cell r="K3417" t="str">
            <v>BSBC375535</v>
          </cell>
        </row>
        <row r="3418">
          <cell r="E3418" t="str">
            <v>HAJIPUR, BIHAR</v>
          </cell>
          <cell r="G3418">
            <v>7368928746</v>
          </cell>
          <cell r="K3418" t="str">
            <v>BUID220795</v>
          </cell>
        </row>
        <row r="3419">
          <cell r="E3419" t="str">
            <v>SHEIKHPURA, BIHAR</v>
          </cell>
          <cell r="G3419">
            <v>9523069653</v>
          </cell>
          <cell r="K3419" t="str">
            <v>BULL160559</v>
          </cell>
        </row>
        <row r="3420">
          <cell r="E3420" t="str">
            <v>AT: SENEGARHA, P.O-RABODH, P.S-GIDDI,(RAMGARH),, DISTT. HAZARIBAGH,JHARKHAND-825330
829108
AT: SENEGARHA, P.O-RABODH, P.S-GIDDI,(RAMGARH),</v>
          </cell>
          <cell r="G3420">
            <v>9006877583</v>
          </cell>
          <cell r="K3420" t="str">
            <v>BSCS037349</v>
          </cell>
        </row>
        <row r="3421">
          <cell r="E3421" t="str">
            <v>AT: SENEGARHA, P.O-RABODH, P.S-GIDDI,(RAMGARH),, DISTT. HAZARIBAGH,JHARKHAND-825330
829108
AT: SENEGARHA, P.O-RABODH, P.S-GIDDI,(RAMGARH),</v>
          </cell>
          <cell r="G3421">
            <v>9006877583</v>
          </cell>
          <cell r="K3421" t="str">
            <v>BQES030978</v>
          </cell>
        </row>
        <row r="3422">
          <cell r="E3422" t="str">
            <v>AT: SENEGARHA, P.O-RABODH, P.S-GIDDI,(RAMGARH),, DISTT. HAZARIBAGH,JHARKHAND-825330
829108
AT: SENEGARHA, P.O-RABODH, P.S-GIDDI,(RAMGARH),</v>
          </cell>
          <cell r="G3422">
            <v>9006877583</v>
          </cell>
          <cell r="K3422" t="str">
            <v>BRAS033261</v>
          </cell>
        </row>
        <row r="3423">
          <cell r="E3423" t="str">
            <v>LODNA</v>
          </cell>
          <cell r="G3423">
            <v>9065764901</v>
          </cell>
          <cell r="K3423" t="str">
            <v>BTCD162149</v>
          </cell>
        </row>
        <row r="3424">
          <cell r="E3424" t="str">
            <v>BANDHTOLI, NAGRI</v>
          </cell>
          <cell r="G3424">
            <v>6201457979</v>
          </cell>
          <cell r="K3424" t="str">
            <v>BUFS046813</v>
          </cell>
        </row>
        <row r="3425">
          <cell r="E3425" t="str">
            <v>PHASE - IV, PLOT NO. - IV-C/3 P AND IV-C/2 P, BOKARO INDUSTRIAL AREA, BALIDIH, BOKARO
PHASE - IV, PLOT NO. - IV-C/3 P AND IV-C/2 P, BOKARO INDUSTRIAL AREA, BALIDIH, BOKARO
827014</v>
          </cell>
          <cell r="G3425">
            <v>9006512017</v>
          </cell>
          <cell r="K3425" t="str">
            <v>BSDS037649</v>
          </cell>
        </row>
        <row r="3426">
          <cell r="E3426" t="str">
            <v>LODNA MORE</v>
          </cell>
          <cell r="G3426">
            <v>7623886938</v>
          </cell>
          <cell r="K3426" t="str">
            <v>BVFD163261</v>
          </cell>
        </row>
        <row r="3427">
          <cell r="E3427" t="str">
            <v>LODNA MORE</v>
          </cell>
          <cell r="G3427">
            <v>7623886938</v>
          </cell>
          <cell r="K3427" t="str">
            <v>BWKD163512</v>
          </cell>
        </row>
        <row r="3428">
          <cell r="E3428" t="str">
            <v>LODNA MORE</v>
          </cell>
          <cell r="G3428">
            <v>7623886938</v>
          </cell>
          <cell r="K3428" t="str">
            <v>BWKD163543</v>
          </cell>
        </row>
        <row r="3429">
          <cell r="E3429" t="str">
            <v>BALIDIH INDUSTRIAL AREA
827014</v>
          </cell>
          <cell r="G3429">
            <v>9553775728</v>
          </cell>
          <cell r="K3429" t="str">
            <v>BTDS044304</v>
          </cell>
        </row>
        <row r="3430">
          <cell r="E3430" t="str">
            <v>PLOT NO. 148, TUPUDANA, INDUSTRIAL AREA, HATIA, RANCHI
834002</v>
          </cell>
          <cell r="G3430">
            <v>9534249500</v>
          </cell>
          <cell r="K3430" t="str">
            <v>BSLS036682</v>
          </cell>
        </row>
        <row r="3431">
          <cell r="E3431" t="str">
            <v>BALIDIH INDUSTRIAL AREA
827014</v>
          </cell>
          <cell r="G3431">
            <v>9006647345</v>
          </cell>
          <cell r="K3431" t="str">
            <v>BTDS044313</v>
          </cell>
        </row>
        <row r="3432">
          <cell r="E3432" t="str">
            <v>TUPUDANA INDUSTRIAL AREA,RANCHI
834003</v>
          </cell>
          <cell r="G3432">
            <v>9534249500</v>
          </cell>
          <cell r="K3432" t="str">
            <v>BRIS035695</v>
          </cell>
        </row>
        <row r="3433">
          <cell r="E3433" t="str">
            <v>PLOT NO. 148, TUPUDANA, INDUSTRIAL AREA, HATIA, RANCHI
834002</v>
          </cell>
          <cell r="G3433">
            <v>9534249500</v>
          </cell>
          <cell r="K3433" t="str">
            <v>BRIS035838</v>
          </cell>
        </row>
        <row r="3434">
          <cell r="E3434" t="str">
            <v>UPPER BAZAR,RANCHI
834001
OPP. MAHAVIR MANDIR , RADHA NAGAR ROAD</v>
          </cell>
          <cell r="G3434">
            <v>7909069824</v>
          </cell>
          <cell r="K3434" t="str">
            <v>GOHC370805</v>
          </cell>
        </row>
        <row r="3435">
          <cell r="E3435" t="str">
            <v>DHANBAD</v>
          </cell>
          <cell r="G3435">
            <v>7004686026</v>
          </cell>
          <cell r="K3435" t="str">
            <v>BWLD163586</v>
          </cell>
        </row>
        <row r="3436">
          <cell r="E3436" t="str">
            <v>BALIDIH INDUSTRIAL AREA, BALIDIH BOKARO</v>
          </cell>
          <cell r="G3436">
            <v>9006647345</v>
          </cell>
          <cell r="K3436">
            <v>164253</v>
          </cell>
        </row>
        <row r="3437">
          <cell r="E3437" t="str">
            <v>PETERWAR, BOKARO</v>
          </cell>
          <cell r="G3437">
            <v>7004263425</v>
          </cell>
          <cell r="K3437" t="str">
            <v>BWFS041479</v>
          </cell>
        </row>
        <row r="3438">
          <cell r="E3438" t="str">
            <v>GROUND FLOOR, 8H AND 81, NATION PRINTERS, NAMKUM INDUSTRIAL AREA,, LOWADIH, RANCHI
GROUND FLOOR, 8H AND 81, NATION PRINTERS, NAMKUM INDUSTRIAL AREA,, LOWADIH, RANCHI
834010</v>
          </cell>
          <cell r="G3438">
            <v>9386895542</v>
          </cell>
          <cell r="K3438" t="str">
            <v>BRCC372871</v>
          </cell>
        </row>
        <row r="3439">
          <cell r="E3439" t="str">
            <v>GROUND FLOOR, 8H AND 81, NATION PRINTERS, NAMKUM INDUSTRIAL AREA,, LOWADIH, RANCHI
GROUND FLOOR, 8H AND 81, NATION PRINTERS, NAMKUM INDUSTRIAL AREA,, LOWADIH, RANCHI
834010</v>
          </cell>
          <cell r="G3439">
            <v>9709225271</v>
          </cell>
          <cell r="K3439" t="str">
            <v>BRFC373676</v>
          </cell>
        </row>
        <row r="3440">
          <cell r="E3440" t="str">
            <v>TUPUDANA INDUSTRIAL AREA, RANCHI
PLOT NO. - 45 &amp; 46, TUPUDAN AINDUSTRIAL AREA, TUPUDANA, HATIA, RANCHI
834003
TIPUDANA INDUSTRIAL AREA</v>
          </cell>
          <cell r="G3440">
            <v>7717734248</v>
          </cell>
          <cell r="K3440" t="str">
            <v>BVDS039458</v>
          </cell>
        </row>
        <row r="3441">
          <cell r="E3441" t="str">
            <v>DUMRI, DHANBAD</v>
          </cell>
          <cell r="G3441">
            <v>6204545670</v>
          </cell>
          <cell r="K3441" t="str">
            <v>BVHD163374</v>
          </cell>
        </row>
        <row r="3442">
          <cell r="E3442" t="str">
            <v>BALIDIH, BOKARO</v>
          </cell>
          <cell r="G3442">
            <v>8207778877</v>
          </cell>
          <cell r="K3442" t="str">
            <v>BRAF110427</v>
          </cell>
        </row>
        <row r="3443">
          <cell r="E3443" t="str">
            <v>PATRATU</v>
          </cell>
          <cell r="G3443">
            <v>7908048644</v>
          </cell>
          <cell r="K3443" t="str">
            <v>EVKS047996</v>
          </cell>
        </row>
        <row r="3444">
          <cell r="E3444" t="str">
            <v>BALIDIH INDUSTRIAL AREA, BOKARO
BYE PASS ROAD, CHAS, BOKARO, JHARKHAND.
827014</v>
          </cell>
          <cell r="G3444">
            <v>7250770020</v>
          </cell>
          <cell r="K3444" t="str">
            <v>BRCC373034</v>
          </cell>
        </row>
        <row r="3445">
          <cell r="E3445" t="str">
            <v>KHURPANIA, KHASHMAHAL, PHUSHRO</v>
          </cell>
          <cell r="G3445">
            <v>9608504715</v>
          </cell>
          <cell r="K3445" t="str">
            <v>BTHD162350</v>
          </cell>
        </row>
        <row r="3446">
          <cell r="E3446" t="str">
            <v>PHUSHRO</v>
          </cell>
          <cell r="G3446">
            <v>7091340232</v>
          </cell>
          <cell r="K3446" t="str">
            <v>BVED163244</v>
          </cell>
        </row>
        <row r="3447">
          <cell r="E3447" t="str">
            <v>TAPIN PROJECT, TAPIN</v>
          </cell>
          <cell r="G3447">
            <v>8521064546</v>
          </cell>
          <cell r="K3447" t="str">
            <v>BUID162953</v>
          </cell>
        </row>
        <row r="3448">
          <cell r="E3448" t="str">
            <v>C/O - PREM PRAKASH AGARWAL, OPP - HILLVIEW FUEL STATION, GODHUR, P.O - KUSUNDA, DHANBAD</v>
          </cell>
          <cell r="G3448">
            <v>7903412157</v>
          </cell>
          <cell r="K3448" t="str">
            <v>BTED162217</v>
          </cell>
        </row>
        <row r="3449">
          <cell r="E3449" t="str">
            <v>NICHITPUR</v>
          </cell>
          <cell r="G3449">
            <v>6202894138</v>
          </cell>
          <cell r="K3449" t="str">
            <v>BUCD162696</v>
          </cell>
        </row>
        <row r="3450">
          <cell r="E3450" t="str">
            <v>NAGARI,</v>
          </cell>
          <cell r="G3450">
            <v>7739615867</v>
          </cell>
          <cell r="K3450" t="str">
            <v>BLGS040582</v>
          </cell>
        </row>
        <row r="3451">
          <cell r="E3451" t="str">
            <v>PLOT NO. 148, TUPUDANA, INDUSTRIAL AREA, HATIA, RANCHI
834002</v>
          </cell>
          <cell r="G3451">
            <v>9534249500</v>
          </cell>
          <cell r="K3451" t="str">
            <v>BSLS036682</v>
          </cell>
        </row>
        <row r="3452">
          <cell r="E3452" t="str">
            <v>PLOT NO. 148, TUPUDANA, INDUSTRIAL AREA, HATIA, RANCHI
834002</v>
          </cell>
          <cell r="G3452">
            <v>9534249500</v>
          </cell>
          <cell r="K3452" t="str">
            <v>BRIS035838</v>
          </cell>
        </row>
        <row r="3453">
          <cell r="E3453" t="str">
            <v>TIPUDANA INDUSTRIAL AREA, HATIA,</v>
          </cell>
          <cell r="G3453">
            <v>9534249500</v>
          </cell>
          <cell r="K3453" t="str">
            <v>BJGS031396</v>
          </cell>
        </row>
        <row r="3454">
          <cell r="E3454" t="str">
            <v>1ST FLOOR, RAJ GLASS AND HARDWARE, PISKA MORE, PO - HEHEL, RATU ROAD, RANCHI
1ST FLOOR, RAJ GLASS AND HARDWARE, PISKA MORE, PO - HEHEL, RATU ROAD, RANCHI
835214</v>
          </cell>
          <cell r="G3454">
            <v>7999889085</v>
          </cell>
          <cell r="K3454" t="str">
            <v>BTES044431</v>
          </cell>
        </row>
        <row r="3455">
          <cell r="E3455" t="str">
            <v>PLOT NO 716,VILL-RUKKA,
835219</v>
          </cell>
          <cell r="G3455">
            <v>9791019799</v>
          </cell>
          <cell r="K3455" t="str">
            <v>BSKS036366</v>
          </cell>
        </row>
        <row r="3456">
          <cell r="E3456" t="str">
            <v>RANCHI</v>
          </cell>
          <cell r="G3456">
            <v>9891199804</v>
          </cell>
          <cell r="K3456" t="str">
            <v>BWJC378261</v>
          </cell>
        </row>
        <row r="3457">
          <cell r="E3457" t="str">
            <v>LODNA</v>
          </cell>
          <cell r="G3457">
            <v>7061894965</v>
          </cell>
          <cell r="K3457" t="str">
            <v>BVJD162972</v>
          </cell>
        </row>
        <row r="3458">
          <cell r="E3458" t="str">
            <v>MANDU, RAMGARH
JAISWAL COLONY, THANA CHOW,, RAMGARH CANTT. DIST. RAMGARH, JHARKHAND
825316
MANDU</v>
          </cell>
          <cell r="G3458">
            <v>7654107064</v>
          </cell>
          <cell r="K3458" t="str">
            <v>BWLS032057</v>
          </cell>
        </row>
        <row r="3459">
          <cell r="E3459" t="str">
            <v>NAGRI,RANCHI
835202
RANCHI</v>
          </cell>
          <cell r="G3459">
            <v>8877024924</v>
          </cell>
          <cell r="K3459" t="str">
            <v>BMJS040004</v>
          </cell>
        </row>
        <row r="3460">
          <cell r="E3460" t="str">
            <v>NAGRI,RANCHI
835202
RANCHI</v>
          </cell>
          <cell r="G3460">
            <v>7004248429</v>
          </cell>
          <cell r="K3460" t="str">
            <v>BRIS035698</v>
          </cell>
        </row>
        <row r="3461">
          <cell r="E3461" t="str">
            <v>NAGARI,</v>
          </cell>
          <cell r="G3461">
            <v>8864003869</v>
          </cell>
          <cell r="K3461" t="str">
            <v>BLGS040582</v>
          </cell>
        </row>
        <row r="3462">
          <cell r="E3462" t="str">
            <v>NAGARI,</v>
          </cell>
          <cell r="G3462">
            <v>8864003869</v>
          </cell>
          <cell r="K3462" t="str">
            <v>BILS030211</v>
          </cell>
        </row>
        <row r="3463">
          <cell r="E3463" t="str">
            <v>GROUND FLOOR, 8H AND 81, NATION PRINTERS, NAMKUM INDUSTRIAL AREA,, LOWADIH, RANCHI
GROUND FLOOR, 8H AND 81, NATION PRINTERS, NAMKUM INDUSTRIAL AREA,, LOWADIH, RANCHI
834010</v>
          </cell>
          <cell r="G3463">
            <v>9709225271</v>
          </cell>
          <cell r="K3463" t="str">
            <v>BRFC373676</v>
          </cell>
        </row>
        <row r="3464">
          <cell r="E3464" t="str">
            <v>GROUND FLOOR, 8H AND 81, NATION PRINTERS, NAMKUM INDUSTRIAL AREA,, LOWADIH, RANCHI
GROUND FLOOR, 8H AND 81, NATION PRINTERS, NAMKUM INDUSTRIAL AREA,, LOWADIH, RANCHI
834010</v>
          </cell>
          <cell r="G3464">
            <v>9386895542</v>
          </cell>
          <cell r="K3464" t="str">
            <v>BRCC372871</v>
          </cell>
        </row>
        <row r="3465">
          <cell r="E3465" t="str">
            <v>ARGADA ROAD, BINJHAR, P.O. - MARAR, RAMGARH
829117</v>
          </cell>
          <cell r="G3465">
            <v>8294504879</v>
          </cell>
          <cell r="K3465" t="str">
            <v>BSCS037449</v>
          </cell>
        </row>
        <row r="3466">
          <cell r="E3466" t="str">
            <v>HORHAP ROAD, MAHILONG, RANCHI
835103</v>
          </cell>
          <cell r="G3466">
            <v>9708039203</v>
          </cell>
          <cell r="K3466" t="str">
            <v>BRIC374329</v>
          </cell>
        </row>
        <row r="3467">
          <cell r="E3467" t="str">
            <v>LOHARDAGAH</v>
          </cell>
          <cell r="G3467">
            <v>8434111029</v>
          </cell>
          <cell r="K3467" t="str">
            <v>BUFS046839</v>
          </cell>
        </row>
        <row r="3468">
          <cell r="E3468" t="str">
            <v>PIPARWAR,JHARKHAND</v>
          </cell>
          <cell r="G3468">
            <v>8521110513</v>
          </cell>
          <cell r="K3468" t="str">
            <v>BSCC375819</v>
          </cell>
        </row>
        <row r="3469">
          <cell r="E3469" t="str">
            <v>BARIATU,RANCHI
834009
BARIATU</v>
          </cell>
          <cell r="G3469">
            <v>7903133836</v>
          </cell>
          <cell r="K3469" t="str">
            <v>BQLC370193</v>
          </cell>
        </row>
        <row r="3470">
          <cell r="E3470" t="str">
            <v>A-3, 2ND PHASE, ADITYAPUR INDUSTRIAL AREA, ADITYAPUR, JAMSHEDPUR, JHARKHAND
A-3, 2ND PHASE, ADITYAPUR INDUSTRIAL AREA, ADITYAPUR, JAMSHEDPUR, JHARKHAND
831013
JAMHEDPUR</v>
          </cell>
          <cell r="G3470">
            <v>9204058991</v>
          </cell>
          <cell r="K3470" t="str">
            <v>GPBC370442</v>
          </cell>
        </row>
        <row r="3471">
          <cell r="E3471" t="str">
            <v>ADITYAPUR KANDRA ROAD
831013</v>
          </cell>
          <cell r="G3471">
            <v>9204058991</v>
          </cell>
          <cell r="K3471" t="str">
            <v>BRDC373261</v>
          </cell>
        </row>
        <row r="3472">
          <cell r="E3472" t="str">
            <v>JAMSHEDPUR</v>
          </cell>
          <cell r="G3472">
            <v>6206522169</v>
          </cell>
          <cell r="K3472" t="str">
            <v>BPGC370231</v>
          </cell>
        </row>
        <row r="3473">
          <cell r="E3473" t="str">
            <v>RAMGRAH</v>
          </cell>
          <cell r="G3473">
            <v>9155799786</v>
          </cell>
          <cell r="K3473" t="str">
            <v>BVAS038005</v>
          </cell>
        </row>
        <row r="3474">
          <cell r="E3474" t="str">
            <v>RAMGARH</v>
          </cell>
          <cell r="G3474">
            <v>7004401831</v>
          </cell>
          <cell r="K3474" t="str">
            <v>BQJD200011</v>
          </cell>
        </row>
        <row r="3475">
          <cell r="E3475" t="str">
            <v>JAMSHEDPUR</v>
          </cell>
          <cell r="G3475">
            <v>9234643909</v>
          </cell>
          <cell r="K3475" t="str">
            <v>BLGL160201</v>
          </cell>
        </row>
        <row r="3476">
          <cell r="E3476" t="str">
            <v>CHAS BOKARO</v>
          </cell>
          <cell r="G3476">
            <v>7004290575</v>
          </cell>
          <cell r="K3476" t="str">
            <v>BQKD160076</v>
          </cell>
        </row>
        <row r="3477">
          <cell r="E3477" t="str">
            <v>CHATRA</v>
          </cell>
          <cell r="G3477">
            <v>7004915623</v>
          </cell>
          <cell r="K3477" t="str">
            <v>BRJD160543</v>
          </cell>
        </row>
        <row r="3478">
          <cell r="E3478" t="str">
            <v>MADANPUR</v>
          </cell>
          <cell r="G3478">
            <v>7004213534</v>
          </cell>
          <cell r="K3478" t="str">
            <v>BSID161961</v>
          </cell>
        </row>
        <row r="3479">
          <cell r="E3479" t="str">
            <v>VILL: MORWAY,, P.O. : GURPA, P.S.: FATEHPUR, DIST. GAYA  - 824232 (BIHAR)</v>
          </cell>
          <cell r="G3479">
            <v>7903301635</v>
          </cell>
          <cell r="K3479" t="str">
            <v>BSED161766</v>
          </cell>
        </row>
        <row r="3480">
          <cell r="E3480" t="str">
            <v>DALTONGANJ</v>
          </cell>
          <cell r="G3480">
            <v>9835111213</v>
          </cell>
          <cell r="K3480" t="str">
            <v>BRJD160598</v>
          </cell>
        </row>
        <row r="3481">
          <cell r="E3481" t="str">
            <v>BASTAKOLA, DHANBAD</v>
          </cell>
          <cell r="G3481">
            <v>7489823544</v>
          </cell>
          <cell r="K3481" t="str">
            <v>BQKD160099</v>
          </cell>
        </row>
        <row r="3482">
          <cell r="E3482" t="str">
            <v>DHANBAD</v>
          </cell>
          <cell r="G3482">
            <v>9155379185</v>
          </cell>
          <cell r="K3482" t="str">
            <v>BTFD162244</v>
          </cell>
        </row>
        <row r="3483">
          <cell r="E3483" t="str">
            <v>GAYA BIHAR</v>
          </cell>
          <cell r="G3483">
            <v>8210812409</v>
          </cell>
          <cell r="K3483" t="str">
            <v>BSKD161500</v>
          </cell>
        </row>
        <row r="3484">
          <cell r="E3484" t="str">
            <v>TATISILWI, RANCHI</v>
          </cell>
          <cell r="G3484">
            <v>9572693497</v>
          </cell>
          <cell r="K3484" t="str">
            <v>BSDD120664</v>
          </cell>
        </row>
        <row r="3485">
          <cell r="E3485" t="str">
            <v>JARANDIH, PHUSHRO</v>
          </cell>
          <cell r="G3485">
            <v>7541869555</v>
          </cell>
          <cell r="K3485" t="str">
            <v>BTKD162074</v>
          </cell>
        </row>
        <row r="3486">
          <cell r="E3486" t="str">
            <v>BALRAMPUR</v>
          </cell>
          <cell r="G3486">
            <v>8789408878</v>
          </cell>
          <cell r="K3486" t="str">
            <v>BPED160082</v>
          </cell>
        </row>
        <row r="3487">
          <cell r="E3487" t="str">
            <v>AP COLONY GAYA BIHAR</v>
          </cell>
          <cell r="G3487">
            <v>9431266779</v>
          </cell>
          <cell r="K3487" t="str">
            <v>BRJD160577</v>
          </cell>
        </row>
        <row r="3488">
          <cell r="E3488" t="str">
            <v>DHANBAD</v>
          </cell>
          <cell r="G3488">
            <v>9546535031</v>
          </cell>
          <cell r="K3488" t="str">
            <v>BRAD160803</v>
          </cell>
        </row>
        <row r="3489">
          <cell r="E3489"/>
          <cell r="G3489">
            <v>9529617425</v>
          </cell>
          <cell r="K3489" t="str">
            <v>BRCD160948</v>
          </cell>
        </row>
        <row r="3490">
          <cell r="E3490" t="str">
            <v>KODERMA</v>
          </cell>
          <cell r="G3490">
            <v>9608568443</v>
          </cell>
          <cell r="K3490" t="str">
            <v>BSAD161567</v>
          </cell>
        </row>
        <row r="3491">
          <cell r="E3491" t="str">
            <v>PATHPUR GAYA, BIHAR</v>
          </cell>
          <cell r="G3491">
            <v>6201360432</v>
          </cell>
          <cell r="K3491" t="str">
            <v>BQHD160361</v>
          </cell>
        </row>
        <row r="3492">
          <cell r="E3492" t="str">
            <v>C/O - ANUP JOSHI, DOCTOR GALI FRONT OF JAIN MANDIR, P.O. - JHUMRITILAIYA, KODERMA</v>
          </cell>
          <cell r="G3492">
            <v>9762686087</v>
          </cell>
          <cell r="K3492" t="str">
            <v>BSBD161629</v>
          </cell>
        </row>
        <row r="3493">
          <cell r="E3493" t="str">
            <v>SONARDHI</v>
          </cell>
          <cell r="G3493">
            <v>8210106692</v>
          </cell>
          <cell r="K3493" t="str">
            <v>BRCD160940</v>
          </cell>
        </row>
        <row r="3494">
          <cell r="E3494" t="str">
            <v>CHUTIA, RANCHI</v>
          </cell>
          <cell r="G3494">
            <v>9334745488</v>
          </cell>
          <cell r="K3494" t="str">
            <v>BMED200254</v>
          </cell>
        </row>
        <row r="3495">
          <cell r="E3495" t="str">
            <v>OPP. PUNJAB NATIONAL BANK,, BUKRU, RANCHI</v>
          </cell>
          <cell r="G3495">
            <v>9304198323</v>
          </cell>
          <cell r="K3495" t="str">
            <v>BTKD162083</v>
          </cell>
        </row>
        <row r="3496">
          <cell r="E3496" t="str">
            <v>DALADALI, RANCHI</v>
          </cell>
          <cell r="G3496">
            <v>9487713345</v>
          </cell>
          <cell r="K3496" t="str">
            <v>BSHD200586</v>
          </cell>
        </row>
        <row r="3497">
          <cell r="E3497" t="str">
            <v>MOKAMA, BIHAR</v>
          </cell>
          <cell r="G3497">
            <v>9279265464</v>
          </cell>
          <cell r="K3497" t="str">
            <v>AUKD230777</v>
          </cell>
        </row>
        <row r="3498">
          <cell r="E3498" t="str">
            <v>DHANBAD</v>
          </cell>
          <cell r="G3498">
            <v>9801665100</v>
          </cell>
          <cell r="K3498" t="str">
            <v>BQHD160418</v>
          </cell>
        </row>
        <row r="3499">
          <cell r="E3499" t="str">
            <v>BASTAKOLA, DHANBAD</v>
          </cell>
          <cell r="G3499">
            <v>7489823544</v>
          </cell>
          <cell r="K3499" t="str">
            <v>BUKD162535</v>
          </cell>
        </row>
        <row r="3500">
          <cell r="E3500" t="str">
            <v>MANIKA</v>
          </cell>
          <cell r="G3500">
            <v>7766039887</v>
          </cell>
          <cell r="K3500" t="str">
            <v>BRLD160756</v>
          </cell>
        </row>
        <row r="3501">
          <cell r="E3501" t="str">
            <v>BASJORA</v>
          </cell>
          <cell r="G3501">
            <v>9578883777</v>
          </cell>
          <cell r="K3501" t="str">
            <v>BRED161077</v>
          </cell>
        </row>
        <row r="3502">
          <cell r="E3502" t="str">
            <v>BIHAR</v>
          </cell>
          <cell r="G3502">
            <v>8935923285</v>
          </cell>
          <cell r="K3502" t="str">
            <v>BSID161968</v>
          </cell>
        </row>
        <row r="3503">
          <cell r="E3503" t="str">
            <v>PIPARWAR,JHARKHAND
BAHERA, BENTI, PIPARWAR, CHATRA
825321</v>
          </cell>
          <cell r="G3503">
            <v>9430197163</v>
          </cell>
          <cell r="K3503" t="str">
            <v>BOID200231</v>
          </cell>
        </row>
        <row r="3504">
          <cell r="E3504" t="str">
            <v>NEAR HUTAR, KHUNTI</v>
          </cell>
          <cell r="G3504">
            <v>9308112212</v>
          </cell>
          <cell r="K3504" t="str">
            <v>BUDD162719</v>
          </cell>
        </row>
        <row r="3505">
          <cell r="E3505" t="str">
            <v>KOKAR INDUSTRIAL AREA,RANCHI
834001</v>
          </cell>
          <cell r="G3505">
            <v>8709740232</v>
          </cell>
          <cell r="K3505" t="str">
            <v>BPIC370386</v>
          </cell>
        </row>
        <row r="3506">
          <cell r="E3506" t="str">
            <v>LODNA</v>
          </cell>
          <cell r="G3506">
            <v>6394641834</v>
          </cell>
          <cell r="K3506" t="str">
            <v>BTCD162149</v>
          </cell>
        </row>
        <row r="3507">
          <cell r="E3507" t="str">
            <v>PALAMU,GARWA, JHARKHAND
822124
GARHWA ROAD, NEAR BCCL PALAMU,</v>
          </cell>
          <cell r="G3507">
            <v>8877136770</v>
          </cell>
          <cell r="K3507" t="str">
            <v>GOCS030806</v>
          </cell>
        </row>
        <row r="3508">
          <cell r="E3508" t="str">
            <v>HOSHIR GIDDI,RAMGARH
NEAR P.N. BANK MAIN ROAD, RAMGARH CANTT. 829122
829110</v>
          </cell>
          <cell r="G3508">
            <v>8651078549</v>
          </cell>
          <cell r="K3508" t="str">
            <v>GPJS030042</v>
          </cell>
        </row>
        <row r="3509">
          <cell r="E3509" t="str">
            <v>RAMGARH
829103
NAYA MORE</v>
          </cell>
          <cell r="G3509">
            <v>6201225253</v>
          </cell>
          <cell r="K3509" t="str">
            <v>BPCS030196</v>
          </cell>
        </row>
        <row r="3510">
          <cell r="E3510" t="str">
            <v>ADMINISTRATIVE BLOCK, MECHINICAL DEPARTMENT, DHANBAD</v>
          </cell>
          <cell r="G3510">
            <v>7761943999</v>
          </cell>
          <cell r="K3510" t="str">
            <v>BUIS036656</v>
          </cell>
        </row>
        <row r="3511">
          <cell r="E3511" t="str">
            <v>HARMU, RANCHI
834001</v>
          </cell>
          <cell r="G3511">
            <v>9835339783</v>
          </cell>
          <cell r="K3511" t="str">
            <v>BSJC374595</v>
          </cell>
        </row>
        <row r="3512">
          <cell r="E3512" t="str">
            <v>TAPIN PROJECT, CHARHI</v>
          </cell>
          <cell r="G3512">
            <v>6204816691</v>
          </cell>
          <cell r="K3512" t="str">
            <v>BVLD163067</v>
          </cell>
        </row>
        <row r="3513">
          <cell r="E3513" t="str">
            <v>FLAT NO. 300, BLOCK - A, MP SRIRAM, CHHOTA GAMHARIA, P.S. - GAMHARIA, DIST.- SARAIKELA KHARSAWAN</v>
          </cell>
          <cell r="G3513">
            <v>7900700814</v>
          </cell>
          <cell r="K3513" t="str">
            <v>BRGL151468</v>
          </cell>
        </row>
        <row r="3514">
          <cell r="E3514" t="str">
            <v>NAMKUM, RANCHI</v>
          </cell>
          <cell r="G3514">
            <v>9331665000</v>
          </cell>
          <cell r="K3514" t="str">
            <v>BUGS047201</v>
          </cell>
        </row>
        <row r="3515">
          <cell r="E3515" t="str">
            <v>NAMKUM, RANCHI</v>
          </cell>
          <cell r="G3515">
            <v>9331665000</v>
          </cell>
          <cell r="K3515" t="str">
            <v>BTIS045034</v>
          </cell>
        </row>
        <row r="3516">
          <cell r="E3516" t="str">
            <v>NAMKUM, RANCHI</v>
          </cell>
          <cell r="G3516">
            <v>9331665000</v>
          </cell>
          <cell r="K3516" t="str">
            <v>BTIS045032</v>
          </cell>
        </row>
        <row r="3517">
          <cell r="E3517" t="str">
            <v>NAMKUM, RANCHI</v>
          </cell>
          <cell r="G3517">
            <v>9331665000</v>
          </cell>
          <cell r="K3517" t="str">
            <v>BUGHS047439</v>
          </cell>
        </row>
        <row r="3518">
          <cell r="E3518" t="str">
            <v>NAMKUM, RANCHI</v>
          </cell>
          <cell r="G3518">
            <v>9331665000</v>
          </cell>
          <cell r="K3518" t="str">
            <v>BTIS044982</v>
          </cell>
        </row>
        <row r="3519">
          <cell r="E3519" t="str">
            <v>NAMKUM, RANCHI</v>
          </cell>
          <cell r="G3519">
            <v>9331665000</v>
          </cell>
          <cell r="K3519" t="str">
            <v>BTIS044981</v>
          </cell>
        </row>
        <row r="3520">
          <cell r="E3520" t="str">
            <v>FLAT NO. 300, BLOCK - A, MP SRIRAM, CHHOTA GAMHARIA, P.S. - GAMHARIA, DIST.- SARAIKELA KHARSAWAN</v>
          </cell>
          <cell r="G3520">
            <v>7600700314</v>
          </cell>
          <cell r="K3520" t="str">
            <v>BRGL151464</v>
          </cell>
        </row>
        <row r="3521">
          <cell r="E3521" t="str">
            <v>RANCHI</v>
          </cell>
          <cell r="G3521">
            <v>9199364073</v>
          </cell>
          <cell r="K3521" t="str">
            <v>BWED163889</v>
          </cell>
        </row>
        <row r="3522">
          <cell r="E3522" t="str">
            <v>RANCHI</v>
          </cell>
          <cell r="G3522">
            <v>9199364073</v>
          </cell>
          <cell r="K3522" t="str">
            <v>BWED163893</v>
          </cell>
        </row>
        <row r="3523">
          <cell r="E3523" t="str">
            <v>NAGARI, RANCHI
834006</v>
          </cell>
          <cell r="G3523">
            <v>9608641098</v>
          </cell>
          <cell r="K3523" t="str">
            <v>BRAC372524</v>
          </cell>
        </row>
        <row r="3524">
          <cell r="E3524" t="str">
            <v>LAXMI NAGAR HEHAL</v>
          </cell>
          <cell r="G3524">
            <v>9835390276</v>
          </cell>
          <cell r="K3524" t="str">
            <v>BVEC376770</v>
          </cell>
        </row>
        <row r="3525">
          <cell r="E3525" t="str">
            <v>TIKRATOLI,SAPAROM
NEAR LALGUTWA OVERBRIDGE, TIKRATOLI, SAPAROM,, NAGRI, RANCHI
835303</v>
          </cell>
          <cell r="G3525">
            <v>9608131381</v>
          </cell>
          <cell r="K3525" t="str">
            <v>BRGC373885</v>
          </cell>
        </row>
        <row r="3526">
          <cell r="E3526" t="str">
            <v>LOHARDAGA,JHARKHAND
LOHARDAGA, MOB. NO.9661111900
835302
LOHARDAGA</v>
          </cell>
          <cell r="G3526">
            <v>9973880780</v>
          </cell>
          <cell r="K3526" t="str">
            <v>BQFS031084</v>
          </cell>
        </row>
        <row r="3527">
          <cell r="E3527" t="str">
            <v>NEAR P.N BANK MAIN ROAD,, RAMGARH CANTT-829122, DIST. RAMGARH
829122
BUDHAKHOP, AMBRELA, KARMA,</v>
          </cell>
          <cell r="G3527">
            <v>9693796748</v>
          </cell>
          <cell r="K3527" t="str">
            <v>BSHS038806</v>
          </cell>
        </row>
        <row r="3528">
          <cell r="E3528" t="str">
            <v>DALTAINGANJ</v>
          </cell>
          <cell r="G3528">
            <v>7039553329</v>
          </cell>
          <cell r="K3528" t="str">
            <v>BVBF111508</v>
          </cell>
        </row>
        <row r="3529">
          <cell r="E3529" t="str">
            <v>THUMBAGARI, SATBARWA, PALAMU</v>
          </cell>
          <cell r="G3529">
            <v>7039553329</v>
          </cell>
          <cell r="K3529" t="str">
            <v>BUDC372146</v>
          </cell>
        </row>
        <row r="3530">
          <cell r="E3530" t="str">
            <v>MUNGMA</v>
          </cell>
          <cell r="G3530">
            <v>7439816339</v>
          </cell>
          <cell r="K3530" t="str">
            <v>BNCS030884</v>
          </cell>
        </row>
        <row r="3531">
          <cell r="E3531" t="str">
            <v>1ST FLOOR, RAJ GLASS AND HARDWARE, PISKA MORE, PO - HEHEL, RATU ROAD, RANCHI
1ST FLOOR, RAJ GLASS AND HARDWARE, PISKA MORE, PO - HEHEL, RATU ROAD, RANCHI
835214</v>
          </cell>
          <cell r="G3531">
            <v>7999889085</v>
          </cell>
          <cell r="K3531" t="str">
            <v>BTES044431</v>
          </cell>
        </row>
        <row r="3532">
          <cell r="E3532" t="str">
            <v>VINAIKA’S COMPLEX RANCHI TATA ROAD, R.S. PLOT NO.:-615,VILLAGE-PANCHA,THANA-BUNDU RANCHI, JHARKHAND.
834002</v>
          </cell>
          <cell r="G3532">
            <v>9818905980</v>
          </cell>
          <cell r="K3532" t="str">
            <v>BUDS046275</v>
          </cell>
        </row>
        <row r="3533">
          <cell r="E3533" t="str">
            <v>KATHITAR,RANCHI
KATHITAR,RANCHI
834004
KATHITAR,</v>
          </cell>
          <cell r="G3533">
            <v>6203721760</v>
          </cell>
          <cell r="K3533" t="str">
            <v>GPGC370774</v>
          </cell>
        </row>
        <row r="3534">
          <cell r="E3534" t="str">
            <v>KATHITAR,RANCHI
KATHITAR,RANCHI
834004
KATHITAR,</v>
          </cell>
          <cell r="G3534">
            <v>6203721760</v>
          </cell>
          <cell r="K3534" t="str">
            <v>BSFC376340</v>
          </cell>
        </row>
        <row r="3535">
          <cell r="E3535" t="str">
            <v>KOKAR INDUSTRIAL AREA</v>
          </cell>
          <cell r="G3535">
            <v>9572347943</v>
          </cell>
          <cell r="K3535" t="str">
            <v>BVKC374486</v>
          </cell>
        </row>
        <row r="3536">
          <cell r="E3536" t="str">
            <v>OPERATIONS OFFICER, BOKARO BP, KIND ATTEN.ABHISHEK TRIPATHI, MOB. NO.8789972995, VENDOR CODE-11970380
OPERATIONS OFFICER, BOKARO BP, KIND ATTEN.ABHISHEK TRIPATHI, MOB. NO.8789972995, VENDOR CODE-11970380
827014
LPG BOTTALING PLANT, BALIDIH,</v>
          </cell>
          <cell r="G3536">
            <v>7905252185</v>
          </cell>
          <cell r="K3536" t="str">
            <v>BOCS040147</v>
          </cell>
        </row>
        <row r="3537">
          <cell r="E3537" t="str">
            <v>DHANBAD</v>
          </cell>
          <cell r="G3537">
            <v>8210106692</v>
          </cell>
          <cell r="K3537" t="str">
            <v>BVGD163308</v>
          </cell>
        </row>
        <row r="3538">
          <cell r="E3538" t="str">
            <v>ANGARA, TATISILWAI</v>
          </cell>
          <cell r="G3538">
            <v>9110012919</v>
          </cell>
          <cell r="K3538" t="str">
            <v>BVGF111615</v>
          </cell>
        </row>
        <row r="3539">
          <cell r="E3539" t="str">
            <v>ANGARA, TATISILWAI</v>
          </cell>
          <cell r="G3539">
            <v>9110012919</v>
          </cell>
          <cell r="K3539" t="str">
            <v>BVGF111611</v>
          </cell>
        </row>
        <row r="3540">
          <cell r="E3540" t="str">
            <v>LODNA MORE</v>
          </cell>
          <cell r="G3540">
            <v>9550053031</v>
          </cell>
          <cell r="K3540" t="str">
            <v>BVFD163261</v>
          </cell>
        </row>
        <row r="3541">
          <cell r="E3541" t="str">
            <v>MANDU, RAMGARH
JAISWAL COLONY, THANA CHOW,, RAMGARH CANTT. DIST. RAMGARH, JHARKHAND
825316
MANDU</v>
          </cell>
          <cell r="G3541">
            <v>7979930284</v>
          </cell>
          <cell r="K3541" t="str">
            <v>BTLS039719</v>
          </cell>
        </row>
        <row r="3542">
          <cell r="E3542" t="str">
            <v>TOPA MINES, RAMGARH</v>
          </cell>
          <cell r="G3542">
            <v>6204542366</v>
          </cell>
          <cell r="K3542" t="str">
            <v>BSKD161467</v>
          </cell>
        </row>
        <row r="3543">
          <cell r="E3543" t="str">
            <v>NAYA MORE, RAMGRAH</v>
          </cell>
          <cell r="G3543">
            <v>7004541681</v>
          </cell>
          <cell r="K3543" t="str">
            <v>BUKS045387</v>
          </cell>
        </row>
        <row r="3544">
          <cell r="E3544" t="str">
            <v>RAMGARH,JHARKHAND
829122</v>
          </cell>
          <cell r="G3544">
            <v>9016063949</v>
          </cell>
          <cell r="K3544" t="str">
            <v>BSIC376940</v>
          </cell>
        </row>
        <row r="3545">
          <cell r="E3545" t="str">
            <v>RANCHI</v>
          </cell>
          <cell r="G3545">
            <v>9973686006</v>
          </cell>
          <cell r="K3545" t="str">
            <v>BLIS031950</v>
          </cell>
        </row>
        <row r="3546">
          <cell r="E3546" t="str">
            <v>RAMGARH,JHARKHAND
829122</v>
          </cell>
          <cell r="G3546">
            <v>9934012694</v>
          </cell>
          <cell r="K3546" t="str">
            <v>BOKC370020</v>
          </cell>
        </row>
        <row r="3547">
          <cell r="E3547" t="str">
            <v>ANGAR PATRA,DHANBAD</v>
          </cell>
          <cell r="G3547">
            <v>6207308280</v>
          </cell>
          <cell r="K3547" t="str">
            <v>BSGD161898</v>
          </cell>
        </row>
        <row r="3548">
          <cell r="E3548" t="str">
            <v>DHANBAD</v>
          </cell>
          <cell r="G3548">
            <v>6207308280</v>
          </cell>
          <cell r="K3548" t="str">
            <v>BTED162231</v>
          </cell>
        </row>
        <row r="3549">
          <cell r="E3549" t="str">
            <v>KAARO SUBHASH NAGAR, DHANBAD</v>
          </cell>
          <cell r="G3549">
            <v>7481018322</v>
          </cell>
          <cell r="K3549" t="str">
            <v>BTFD162243</v>
          </cell>
        </row>
        <row r="3550">
          <cell r="E3550" t="str">
            <v>BARKAGAON</v>
          </cell>
          <cell r="G3550">
            <v>8210586801</v>
          </cell>
          <cell r="K3550" t="str">
            <v>GOKS040080</v>
          </cell>
        </row>
        <row r="3551">
          <cell r="E3551" t="str">
            <v>KODERMA</v>
          </cell>
          <cell r="G3551">
            <v>8210413459</v>
          </cell>
          <cell r="K3551" t="str">
            <v>BVFS049407</v>
          </cell>
        </row>
        <row r="3552">
          <cell r="E3552" t="str">
            <v>KOKAR INDUSTRIAL AREA</v>
          </cell>
          <cell r="G3552">
            <v>6204866275</v>
          </cell>
          <cell r="K3552" t="str">
            <v>BVKC374486</v>
          </cell>
        </row>
        <row r="3553">
          <cell r="E3553" t="str">
            <v>RANCHI PATNA ROAD
DEMOTAND
825301
HAZARIBAGH</v>
          </cell>
          <cell r="G3553">
            <v>6203465926</v>
          </cell>
          <cell r="K3553" t="str">
            <v>BSCS037531</v>
          </cell>
        </row>
        <row r="3554">
          <cell r="E3554" t="str">
            <v>TIKRATOLI,SAPAROM
NEAR LALGUTWA OVERBRIDGE, TIKRATOLI, SAPAROM,, NAGRI, RANCHI
835303</v>
          </cell>
          <cell r="G3554">
            <v>7761843991</v>
          </cell>
          <cell r="K3554" t="str">
            <v>BQCS040170</v>
          </cell>
        </row>
        <row r="3555">
          <cell r="E3555" t="str">
            <v>KWJAMA COLLIERY, DHANBAD</v>
          </cell>
          <cell r="G3555">
            <v>7644045555</v>
          </cell>
          <cell r="K3555" t="str">
            <v>BVCD163165</v>
          </cell>
        </row>
        <row r="3556">
          <cell r="E3556" t="str">
            <v>LODNA</v>
          </cell>
          <cell r="G3556">
            <v>7644045555</v>
          </cell>
          <cell r="K3556" t="str">
            <v>BTDD162169</v>
          </cell>
        </row>
        <row r="3557">
          <cell r="E3557" t="str">
            <v>NAYA MORE, RAMGRAH</v>
          </cell>
          <cell r="G3557">
            <v>7004541681</v>
          </cell>
          <cell r="K3557" t="str">
            <v>BUKS045388</v>
          </cell>
        </row>
        <row r="3558">
          <cell r="E3558" t="str">
            <v>RANCHI
834002</v>
          </cell>
          <cell r="G3558">
            <v>8210241710</v>
          </cell>
          <cell r="K3558" t="str">
            <v>BULS033141</v>
          </cell>
        </row>
        <row r="3559">
          <cell r="E3559" t="str">
            <v>RANCHI
834002</v>
          </cell>
          <cell r="G3559">
            <v>8210241710</v>
          </cell>
          <cell r="K3559" t="str">
            <v>BTIS032020</v>
          </cell>
        </row>
        <row r="3560">
          <cell r="E3560" t="str">
            <v>RANCHI
834002</v>
          </cell>
          <cell r="G3560">
            <v>9210241710</v>
          </cell>
          <cell r="K3560" t="str">
            <v>BTIS032025</v>
          </cell>
        </row>
        <row r="3561">
          <cell r="E3561" t="str">
            <v>ANGARA, TATISILWAI</v>
          </cell>
          <cell r="G3561">
            <v>9110012919</v>
          </cell>
          <cell r="K3561" t="str">
            <v>BVGF111611</v>
          </cell>
        </row>
        <row r="3562">
          <cell r="E3562" t="str">
            <v>ANGARA, TATISILWAI</v>
          </cell>
          <cell r="G3562">
            <v>9110012919</v>
          </cell>
          <cell r="K3562" t="str">
            <v>BVGF111615</v>
          </cell>
        </row>
        <row r="3563">
          <cell r="E3563" t="str">
            <v>TRIDENT PNEUMATICS PVT LTD   5/232,KNG PUDUR ROADSOMAYAMPALAYAM POSTCOIMBATORE IND</v>
          </cell>
          <cell r="G3563">
            <v>7079053079</v>
          </cell>
          <cell r="K3563" t="str">
            <v>BRCC373040</v>
          </cell>
        </row>
        <row r="3564">
          <cell r="E3564" t="str">
            <v>TAPIN PROJECT, CHARHI</v>
          </cell>
          <cell r="G3564">
            <v>6204816691</v>
          </cell>
          <cell r="K3564" t="str">
            <v>BVLD163067</v>
          </cell>
        </row>
        <row r="3565">
          <cell r="E3565" t="str">
            <v>PHOOLWARTAND, DHANBAD</v>
          </cell>
          <cell r="G3565">
            <v>8210106692</v>
          </cell>
          <cell r="K3565" t="str">
            <v>BVHD163393</v>
          </cell>
        </row>
        <row r="3566">
          <cell r="E3566" t="str">
            <v>BALIDIH, BOKARO</v>
          </cell>
          <cell r="G3566">
            <v>8858506533</v>
          </cell>
          <cell r="K3566" t="str">
            <v>BRAF110427</v>
          </cell>
        </row>
        <row r="3567">
          <cell r="E3567" t="str">
            <v>TUPUDANA</v>
          </cell>
          <cell r="G3567">
            <v>9431114903</v>
          </cell>
          <cell r="K3567" t="str">
            <v>BVIC378165</v>
          </cell>
        </row>
        <row r="3568">
          <cell r="E3568" t="str">
            <v>PANDRA, RANCHI</v>
          </cell>
          <cell r="G3568">
            <v>9334056352</v>
          </cell>
          <cell r="K3568" t="str">
            <v>BVIC378160</v>
          </cell>
        </row>
        <row r="3569">
          <cell r="E3569" t="str">
            <v>GOPI KANDHAR, DUMKA</v>
          </cell>
          <cell r="G3569">
            <v>6206959324</v>
          </cell>
          <cell r="K3569" t="str">
            <v>BUID162940</v>
          </cell>
        </row>
        <row r="3570">
          <cell r="E3570" t="str">
            <v>MANJULA ENTERPRISES, KOKAR INDUSTRIAL AREA KOKAR</v>
          </cell>
          <cell r="G3570">
            <v>9431583027</v>
          </cell>
          <cell r="K3570" t="str">
            <v>BUFC372952</v>
          </cell>
        </row>
        <row r="3571">
          <cell r="E3571" t="str">
            <v>HAZARIBAGH</v>
          </cell>
          <cell r="G3571">
            <v>7033397123</v>
          </cell>
          <cell r="K3571" t="str">
            <v>BVIS040049</v>
          </cell>
        </row>
        <row r="3572">
          <cell r="E3572" t="str">
            <v>KATRAS, DHANBAD</v>
          </cell>
          <cell r="G3572">
            <v>6204728418</v>
          </cell>
          <cell r="K3572" t="str">
            <v>BWAD163674</v>
          </cell>
        </row>
        <row r="3573">
          <cell r="E3573" t="str">
            <v>BALIDIH, BOKARO</v>
          </cell>
          <cell r="G3573">
            <v>8207778877</v>
          </cell>
          <cell r="K3573" t="str">
            <v>BRAF110427</v>
          </cell>
        </row>
        <row r="3574">
          <cell r="E3574" t="str">
            <v>HOSHIR GIDDI,RAMGARH
NEAR P.N. BANK MAIN ROAD, RAMGARH CANTT. 829122
829110</v>
          </cell>
          <cell r="G3574">
            <v>8651078549</v>
          </cell>
          <cell r="K3574" t="str">
            <v>BRHS035368</v>
          </cell>
        </row>
        <row r="3575">
          <cell r="E3575" t="str">
            <v>NTA LODNA, DHANBAD</v>
          </cell>
          <cell r="G3575">
            <v>7061894965</v>
          </cell>
          <cell r="K3575" t="str">
            <v>BULD162559</v>
          </cell>
        </row>
        <row r="3576">
          <cell r="E3576" t="str">
            <v>LODNA MORE</v>
          </cell>
          <cell r="G3576">
            <v>7623886938</v>
          </cell>
          <cell r="K3576" t="str">
            <v>BWKD163543</v>
          </cell>
        </row>
        <row r="3577">
          <cell r="E3577" t="str">
            <v>LODNA</v>
          </cell>
          <cell r="G3577">
            <v>7061894965</v>
          </cell>
          <cell r="K3577" t="str">
            <v>BWAD163648</v>
          </cell>
        </row>
        <row r="3578">
          <cell r="E3578" t="str">
            <v>HATIA PATHAR ZILA SCHOOL ROAD DUMKA JHARKHAND
834002</v>
          </cell>
          <cell r="G3578">
            <v>9304236649</v>
          </cell>
          <cell r="K3578" t="str">
            <v>BTEC378536</v>
          </cell>
        </row>
        <row r="3579">
          <cell r="E3579" t="str">
            <v>KATRAS, DHANBAD</v>
          </cell>
          <cell r="G3579">
            <v>9661544624</v>
          </cell>
          <cell r="K3579" t="str">
            <v>BSKD161477</v>
          </cell>
        </row>
        <row r="3580">
          <cell r="E3580" t="str">
            <v>DHANBAD</v>
          </cell>
          <cell r="G3580">
            <v>9835312777</v>
          </cell>
          <cell r="K3580" t="str">
            <v>BVGD163308</v>
          </cell>
        </row>
        <row r="3581">
          <cell r="E3581" t="str">
            <v>LODNA MORE</v>
          </cell>
          <cell r="G3581">
            <v>9550053031</v>
          </cell>
          <cell r="K3581" t="str">
            <v>BVFD163261</v>
          </cell>
        </row>
        <row r="3582">
          <cell r="E3582" t="str">
            <v>SHIVA JEE LANE, HARMU
834002</v>
          </cell>
          <cell r="G3582">
            <v>7004711124</v>
          </cell>
          <cell r="K3582" t="str">
            <v>BRGC374007</v>
          </cell>
        </row>
        <row r="3583">
          <cell r="E3583" t="str">
            <v>UPPER BAZAR,RANCHI
834001
UPPER BAZAR,</v>
          </cell>
          <cell r="G3583">
            <v>8381069617</v>
          </cell>
          <cell r="K3583" t="str">
            <v>BRJC371828</v>
          </cell>
        </row>
        <row r="3584">
          <cell r="E3584" t="str">
            <v>MANDU, RAMGRAH</v>
          </cell>
          <cell r="G3584">
            <v>7908864486</v>
          </cell>
          <cell r="K3584" t="str">
            <v>BWKS040437</v>
          </cell>
        </row>
        <row r="3585">
          <cell r="E3585" t="str">
            <v>KALYANI, PHUSHRO</v>
          </cell>
          <cell r="G3585">
            <v>9282523267</v>
          </cell>
          <cell r="K3585" t="str">
            <v>BRHD161312</v>
          </cell>
        </row>
        <row r="3586">
          <cell r="E3586" t="str">
            <v>DHANBAD</v>
          </cell>
          <cell r="G3586">
            <v>9162523267</v>
          </cell>
          <cell r="K3586" t="str">
            <v>BRGD161225</v>
          </cell>
        </row>
        <row r="3587">
          <cell r="E3587" t="str">
            <v>ANGAR PATRA,DHANBAD</v>
          </cell>
          <cell r="G3587">
            <v>8210106692</v>
          </cell>
          <cell r="K3587" t="str">
            <v>BSDD161729</v>
          </cell>
        </row>
        <row r="3588">
          <cell r="E3588" t="str">
            <v>KOKAR INDUSTRIAL AREA,RANCHI
834002
KOKAR INDUSTRIAL AREA</v>
          </cell>
          <cell r="G3588">
            <v>6202536795</v>
          </cell>
          <cell r="K3588" t="str">
            <v>BQAC373733</v>
          </cell>
        </row>
        <row r="3589">
          <cell r="E3589" t="str">
            <v>HAZARIBAGH</v>
          </cell>
          <cell r="G3589">
            <v>7033397123</v>
          </cell>
          <cell r="K3589" t="str">
            <v>BVIS040049</v>
          </cell>
        </row>
        <row r="3590">
          <cell r="E3590" t="str">
            <v>GONDUDIH</v>
          </cell>
          <cell r="G3590">
            <v>9304207050</v>
          </cell>
          <cell r="K3590" t="str">
            <v>BQCD160129</v>
          </cell>
        </row>
        <row r="3591">
          <cell r="E3591" t="str">
            <v>GONDUDIH</v>
          </cell>
          <cell r="G3591">
            <v>8114554191</v>
          </cell>
          <cell r="K3591" t="str">
            <v>BSCD161691</v>
          </cell>
        </row>
        <row r="3592">
          <cell r="E3592" t="str">
            <v>LODNA</v>
          </cell>
          <cell r="G3592">
            <v>9065764901</v>
          </cell>
          <cell r="K3592" t="str">
            <v>BVID163401</v>
          </cell>
        </row>
        <row r="3593">
          <cell r="E3593" t="str">
            <v>HAZARINAGH</v>
          </cell>
          <cell r="G3593">
            <v>6200063602</v>
          </cell>
          <cell r="K3593" t="str">
            <v>BUHC373622</v>
          </cell>
        </row>
        <row r="3594">
          <cell r="E3594" t="str">
            <v>SIDRAUL, NAMKUM, RANCHI
834010
SIDRAUL, NAMKUM, RANCHI</v>
          </cell>
          <cell r="G3594">
            <v>8051011919</v>
          </cell>
          <cell r="K3594" t="str">
            <v>UOHS030121</v>
          </cell>
        </row>
        <row r="3595">
          <cell r="E3595" t="str">
            <v>NAGRI,RANCHI
835202
RANCHI</v>
          </cell>
          <cell r="G3595">
            <v>7004849065</v>
          </cell>
          <cell r="K3595" t="str">
            <v>BRIS035698</v>
          </cell>
        </row>
        <row r="3596">
          <cell r="E3596" t="str">
            <v>DHANBAD</v>
          </cell>
          <cell r="G3596">
            <v>9470107942</v>
          </cell>
          <cell r="K3596" t="str">
            <v>BUBS046036</v>
          </cell>
        </row>
        <row r="3597">
          <cell r="E3597" t="str">
            <v>DHANBAD</v>
          </cell>
          <cell r="G3597">
            <v>9470107942</v>
          </cell>
          <cell r="K3597" t="str">
            <v>BUBS046035</v>
          </cell>
        </row>
        <row r="3598">
          <cell r="E3598" t="str">
            <v>SUNDER NAGAR, JAMSHEDPUR</v>
          </cell>
          <cell r="G3598">
            <v>9437548852</v>
          </cell>
          <cell r="K3598" t="str">
            <v>BVED163231</v>
          </cell>
        </row>
        <row r="3599">
          <cell r="E3599" t="str">
            <v>UNIT OF HERITAGE LANDMARKS AUTOWORLD PVT. LTD., NEAR KAMRE AASHRAM, P.O. KAMRE, RATU ROAD, RANCHI
835214</v>
          </cell>
          <cell r="G3599">
            <v>9801312499</v>
          </cell>
          <cell r="K3599" t="str">
            <v>BTJC377158</v>
          </cell>
        </row>
        <row r="3600">
          <cell r="E3600" t="str">
            <v>BARWADA, DHANBAD</v>
          </cell>
          <cell r="G3600">
            <v>8637831546</v>
          </cell>
          <cell r="K3600" t="str">
            <v>BWKD163559</v>
          </cell>
        </row>
        <row r="3601">
          <cell r="E3601" t="str">
            <v>MUNGMA</v>
          </cell>
          <cell r="G3601">
            <v>7439816339</v>
          </cell>
          <cell r="K3601" t="str">
            <v>BWEC370334</v>
          </cell>
        </row>
        <row r="3602">
          <cell r="E3602" t="str">
            <v>CHUTIA, RANCHI</v>
          </cell>
          <cell r="G3602">
            <v>9060975013</v>
          </cell>
          <cell r="K3602" t="str">
            <v>BUFD162814</v>
          </cell>
        </row>
        <row r="3603">
          <cell r="E3603" t="str">
            <v>BARKAGAOUN, HAZARIBAGH</v>
          </cell>
          <cell r="G3603">
            <v>6201454991</v>
          </cell>
          <cell r="K3603" t="str">
            <v>BVED231179</v>
          </cell>
        </row>
        <row r="3604">
          <cell r="E3604" t="str">
            <v>BARKAGAON, HAZARIBAGH</v>
          </cell>
          <cell r="G3604">
            <v>7070010949</v>
          </cell>
          <cell r="K3604" t="str">
            <v>BWLD231345</v>
          </cell>
        </row>
        <row r="3605">
          <cell r="E3605" t="str">
            <v>BARKAGAON, HAZARIBAGH</v>
          </cell>
          <cell r="G3605">
            <v>7070010949</v>
          </cell>
          <cell r="K3605" t="str">
            <v>BWLD231334</v>
          </cell>
        </row>
        <row r="3606">
          <cell r="E3606" t="str">
            <v>KEREDARI</v>
          </cell>
          <cell r="G3606">
            <v>8885552542</v>
          </cell>
          <cell r="K3606" t="str">
            <v>BVHD163388</v>
          </cell>
        </row>
        <row r="3607">
          <cell r="E3607" t="str">
            <v>BOKARO</v>
          </cell>
          <cell r="G3607">
            <v>8252943661</v>
          </cell>
          <cell r="K3607" t="str">
            <v>BWJL153357</v>
          </cell>
        </row>
        <row r="3608">
          <cell r="E3608" t="str">
            <v>RAMGRAH CANTT</v>
          </cell>
          <cell r="G3608">
            <v>8340759746</v>
          </cell>
          <cell r="K3608" t="str">
            <v>BVAC375345</v>
          </cell>
        </row>
        <row r="3609">
          <cell r="E3609" t="str">
            <v>RAMGRAH CANTT</v>
          </cell>
          <cell r="G3609">
            <v>8340759746</v>
          </cell>
          <cell r="K3609" t="str">
            <v>BVAC375345</v>
          </cell>
        </row>
        <row r="3610">
          <cell r="E3610" t="str">
            <v>BARHI</v>
          </cell>
          <cell r="G3610">
            <v>7903957272</v>
          </cell>
          <cell r="K3610" t="str">
            <v>BWBD163707</v>
          </cell>
        </row>
        <row r="3611">
          <cell r="E3611" t="str">
            <v>DUMRI, DHANBAD</v>
          </cell>
          <cell r="G3611">
            <v>6204545670</v>
          </cell>
          <cell r="K3611" t="str">
            <v>BVHD163374</v>
          </cell>
        </row>
        <row r="3612">
          <cell r="E3612" t="str">
            <v>BADA TALAB, RANCHI</v>
          </cell>
          <cell r="G3612">
            <v>6207568694</v>
          </cell>
          <cell r="K3612" t="str">
            <v>BVFC377137</v>
          </cell>
        </row>
        <row r="3613">
          <cell r="E3613" t="str">
            <v>LODNA</v>
          </cell>
          <cell r="G3613">
            <v>9065764901</v>
          </cell>
          <cell r="K3613" t="str">
            <v>BTCD162149</v>
          </cell>
        </row>
        <row r="3614">
          <cell r="E3614" t="str">
            <v>RAHELA, DALTAINGANJ</v>
          </cell>
          <cell r="G3614">
            <v>7004471081</v>
          </cell>
          <cell r="K3614" t="str">
            <v>BUGS035879</v>
          </cell>
        </row>
        <row r="3615">
          <cell r="E3615" t="str">
            <v>BARHI</v>
          </cell>
          <cell r="G3615">
            <v>7903957272</v>
          </cell>
          <cell r="K3615" t="str">
            <v>BWBD163707</v>
          </cell>
        </row>
        <row r="3616">
          <cell r="E3616" t="str">
            <v>AT: SENEGARHA, P.O-RABODH, P.S-GIDDI,(RAMGARH),, DISTT. HAZARIBAGH,JHARKHAND-825330
829108
AT: SENEGARHA, P.O-RABODH, P.S-GIDDI,(RAMGARH),</v>
          </cell>
          <cell r="G3616">
            <v>9006877583</v>
          </cell>
          <cell r="K3616" t="str">
            <v>BSCS037349</v>
          </cell>
        </row>
        <row r="3617">
          <cell r="E3617" t="str">
            <v>PHUSHRO</v>
          </cell>
          <cell r="G3617">
            <v>7091340232</v>
          </cell>
          <cell r="K3617" t="str">
            <v>BWAD163687</v>
          </cell>
        </row>
        <row r="3618">
          <cell r="E3618" t="str">
            <v>BANK MOTE, GOMIA</v>
          </cell>
          <cell r="G3618">
            <v>8383051462</v>
          </cell>
          <cell r="K3618" t="str">
            <v>BWJC378352</v>
          </cell>
        </row>
        <row r="3619">
          <cell r="E3619" t="str">
            <v>BHULI, DHANBAD</v>
          </cell>
          <cell r="G3619">
            <v>7541046561</v>
          </cell>
          <cell r="K3619" t="str">
            <v>BVFS039912</v>
          </cell>
        </row>
        <row r="3620">
          <cell r="E3620" t="str">
            <v>GUMLA</v>
          </cell>
          <cell r="G3620">
            <v>9771480433</v>
          </cell>
          <cell r="K3620" t="str">
            <v>BWKS031684</v>
          </cell>
        </row>
        <row r="3621">
          <cell r="E3621" t="str">
            <v>RAMGARH SPONGE IRON PVT LTD VILLAGE:HOSHIR GIDDI-POHAZARIBAGH(DT)JHARKHAND IND
829110</v>
          </cell>
          <cell r="G3621">
            <v>8651078549</v>
          </cell>
          <cell r="K3621" t="str">
            <v>BKCS040470</v>
          </cell>
        </row>
        <row r="3622">
          <cell r="E3622" t="str">
            <v>HOSHIR GIDDI,RAMGARH
NEAR P.N. BANK MAIN ROAD, RAMGARH CANTT. 829122
829110</v>
          </cell>
          <cell r="G3622">
            <v>8651078549</v>
          </cell>
          <cell r="K3622" t="str">
            <v>GPJS030042</v>
          </cell>
        </row>
        <row r="3623">
          <cell r="E3623" t="str">
            <v>NAGARI
 835303</v>
          </cell>
          <cell r="G3623">
            <v>9264443243</v>
          </cell>
          <cell r="K3623" t="str">
            <v>BREC373538</v>
          </cell>
        </row>
        <row r="3624">
          <cell r="E3624" t="str">
            <v>PHUSHRO</v>
          </cell>
          <cell r="G3624">
            <v>7091340232</v>
          </cell>
          <cell r="K3624" t="str">
            <v>BVKD163026</v>
          </cell>
        </row>
        <row r="3625">
          <cell r="E3625" t="str">
            <v>PHOOLWARTAND, DHANBAD</v>
          </cell>
          <cell r="G3625">
            <v>8210106692</v>
          </cell>
          <cell r="K3625" t="str">
            <v>BVHD163393</v>
          </cell>
        </row>
        <row r="3626">
          <cell r="E3626" t="str">
            <v>BALIDIH, BOKARO</v>
          </cell>
          <cell r="G3626">
            <v>8207778877</v>
          </cell>
          <cell r="K3626" t="str">
            <v>BRAF110427</v>
          </cell>
        </row>
        <row r="3627">
          <cell r="E3627" t="str">
            <v>TRIDENT PNEUMATICS PVT LTD   5/232,KNG PUDUR ROADSOMAYAMPALAYAM POSTCOIMBATORE IND</v>
          </cell>
          <cell r="G3627">
            <v>7546977770</v>
          </cell>
          <cell r="K3627" t="str">
            <v>BRCC373040</v>
          </cell>
        </row>
        <row r="3628">
          <cell r="E3628" t="str">
            <v>HORHAP ROAD, MAHILONG, RANCHI
835103</v>
          </cell>
          <cell r="G3628">
            <v>9708039203</v>
          </cell>
          <cell r="K3628" t="str">
            <v>BRIC374329</v>
          </cell>
        </row>
        <row r="3629">
          <cell r="E3629" t="str">
            <v>LODNA</v>
          </cell>
          <cell r="G3629">
            <v>9065764901</v>
          </cell>
          <cell r="K3629" t="str">
            <v>BVID163401</v>
          </cell>
        </row>
        <row r="3630">
          <cell r="E3630" t="str">
            <v>DHANBAD</v>
          </cell>
          <cell r="G3630">
            <v>8210106692</v>
          </cell>
          <cell r="K3630" t="str">
            <v>BVGD163308</v>
          </cell>
        </row>
        <row r="3631">
          <cell r="E3631" t="str">
            <v>LODNA MORE</v>
          </cell>
          <cell r="G3631">
            <v>7623886938</v>
          </cell>
          <cell r="K3631" t="str">
            <v>BWKD163512</v>
          </cell>
        </row>
        <row r="3632">
          <cell r="E3632" t="str">
            <v>LODNA MORE</v>
          </cell>
          <cell r="G3632">
            <v>7623886938</v>
          </cell>
          <cell r="K3632" t="str">
            <v>BWKD163543</v>
          </cell>
        </row>
        <row r="3633">
          <cell r="E3633" t="str">
            <v>CHATRA</v>
          </cell>
          <cell r="G3633">
            <v>9905937406</v>
          </cell>
          <cell r="K3633" t="str">
            <v>BHKS030073</v>
          </cell>
        </row>
        <row r="3634">
          <cell r="E3634" t="str">
            <v>PETERWAR, BOKARO</v>
          </cell>
          <cell r="G3634">
            <v>7004263425</v>
          </cell>
          <cell r="K3634" t="str">
            <v>BWES033256</v>
          </cell>
        </row>
        <row r="3635">
          <cell r="E3635" t="str">
            <v>SUNDER NAGAR, JAMSHEDPUR</v>
          </cell>
          <cell r="G3635">
            <v>9437548852</v>
          </cell>
          <cell r="K3635" t="str">
            <v>BVED163235</v>
          </cell>
        </row>
        <row r="3636">
          <cell r="E3636" t="str">
            <v>SUNDER NAGAR, JAMSHEDPUR</v>
          </cell>
          <cell r="G3636">
            <v>9437548852</v>
          </cell>
          <cell r="K3636" t="str">
            <v>BVED163231</v>
          </cell>
        </row>
        <row r="3637">
          <cell r="E3637" t="str">
            <v>BHOWRA</v>
          </cell>
          <cell r="G3637">
            <v>6201841406</v>
          </cell>
          <cell r="K3637" t="str">
            <v>BULD162568</v>
          </cell>
        </row>
        <row r="3638">
          <cell r="E3638" t="str">
            <v>BARHI</v>
          </cell>
          <cell r="G3638">
            <v>7903957272</v>
          </cell>
          <cell r="K3638" t="str">
            <v>BWBD163707</v>
          </cell>
        </row>
        <row r="3639">
          <cell r="E3639" t="str">
            <v>KATRAS, DHANBAD</v>
          </cell>
          <cell r="G3639">
            <v>9570178502</v>
          </cell>
          <cell r="K3639" t="str">
            <v>BRBD160901</v>
          </cell>
        </row>
        <row r="3640">
          <cell r="E3640" t="str">
            <v>NEAR P.N BANK MAIN ROAD,, RAMGARH CANTT-829122, DIST. RAMGARH
829122
BUDHAKHOP, AMBRELA, KARMA,</v>
          </cell>
          <cell r="G3640">
            <v>9693796748</v>
          </cell>
          <cell r="K3640" t="str">
            <v>BQBS030091</v>
          </cell>
        </row>
        <row r="3641">
          <cell r="E3641" t="str">
            <v>VILL - BARIDARI, BOKARO</v>
          </cell>
          <cell r="G3641">
            <v>6204816691</v>
          </cell>
          <cell r="K3641" t="str">
            <v>BSCD161704</v>
          </cell>
        </row>
        <row r="3642">
          <cell r="E3642" t="str">
            <v>DEOGHAR,JHARKHAND</v>
          </cell>
          <cell r="G3642">
            <v>7250504785</v>
          </cell>
          <cell r="K3642" t="str">
            <v>BQED160222</v>
          </cell>
        </row>
        <row r="3643">
          <cell r="E3643" t="str">
            <v>ANGAR PATRA,DHANBAD</v>
          </cell>
          <cell r="G3643">
            <v>9155379185</v>
          </cell>
          <cell r="K3643" t="str">
            <v>BSDD161729</v>
          </cell>
        </row>
        <row r="3644">
          <cell r="E3644" t="str">
            <v>C/O - PREM PRAKASH AGARWAL, OPP - HILLVIEW FUEL STATION, GODHUR, P.O - KUSUNDA, DHANBAD</v>
          </cell>
          <cell r="G3644">
            <v>7903412157</v>
          </cell>
          <cell r="K3644" t="str">
            <v>BTED162217</v>
          </cell>
        </row>
        <row r="3645">
          <cell r="E3645" t="str">
            <v>KATRAS, DHANBAD</v>
          </cell>
          <cell r="G3645">
            <v>9570178502</v>
          </cell>
          <cell r="K3645" t="str">
            <v>BRBD160892</v>
          </cell>
        </row>
        <row r="3646">
          <cell r="E3646" t="str">
            <v>COLLIEARY, DHANBAD</v>
          </cell>
          <cell r="G3646">
            <v>9573347055</v>
          </cell>
          <cell r="K3646" t="str">
            <v>BQCD160106</v>
          </cell>
        </row>
        <row r="3647">
          <cell r="E3647" t="str">
            <v>BAGODER</v>
          </cell>
          <cell r="G3647">
            <v>9608255210</v>
          </cell>
          <cell r="K3647" t="str">
            <v>BRBD160856</v>
          </cell>
        </row>
        <row r="3648">
          <cell r="E3648" t="str">
            <v>DHANBAD</v>
          </cell>
          <cell r="G3648">
            <v>8106167121</v>
          </cell>
          <cell r="K3648" t="str">
            <v>BRGD161225</v>
          </cell>
        </row>
        <row r="3649">
          <cell r="E3649" t="str">
            <v>DHANBAD, CONT PERSON :MR. IKTEKHAR AHMAD, PH.NO :9431316718</v>
          </cell>
          <cell r="G3649">
            <v>8210567144</v>
          </cell>
          <cell r="K3649" t="str">
            <v>BQID160499</v>
          </cell>
        </row>
        <row r="3650">
          <cell r="E3650" t="str">
            <v>SHYAMDIH, KATRAS</v>
          </cell>
          <cell r="G3650">
            <v>9835988493</v>
          </cell>
          <cell r="K3650" t="str">
            <v>BQCD160098</v>
          </cell>
        </row>
        <row r="3651">
          <cell r="E3651" t="str">
            <v>KUSUNDA DHABAD</v>
          </cell>
          <cell r="G3651">
            <v>8210106692</v>
          </cell>
          <cell r="K3651" t="str">
            <v>BRCD160939</v>
          </cell>
        </row>
        <row r="3652">
          <cell r="E3652" t="str">
            <v>VILL - BARIDARI, BOKARO</v>
          </cell>
          <cell r="G3652">
            <v>6204816691</v>
          </cell>
          <cell r="K3652" t="str">
            <v>BRHD161299</v>
          </cell>
        </row>
        <row r="3653">
          <cell r="E3653" t="str">
            <v>SIMARIA, BEGUSARAI</v>
          </cell>
          <cell r="G3653">
            <v>6209571746</v>
          </cell>
          <cell r="K3653" t="str">
            <v>BSCD120656</v>
          </cell>
        </row>
        <row r="3654">
          <cell r="E3654" t="str">
            <v>C/O URANIUM CORPORATION OF INDIA LIMITED, MOHULDIH MINES, SARAIKELA, KHARSAWAN</v>
          </cell>
          <cell r="G3654">
            <v>8367674492</v>
          </cell>
          <cell r="K3654" t="str">
            <v>BUAL160594</v>
          </cell>
        </row>
        <row r="3655">
          <cell r="E3655" t="str">
            <v>JARANDIH, PHUSHRO</v>
          </cell>
          <cell r="G3655">
            <v>7541869555</v>
          </cell>
          <cell r="K3655" t="str">
            <v>BTKD162074</v>
          </cell>
        </row>
        <row r="3656">
          <cell r="E3656" t="str">
            <v>JARANDIH, PHUSHRO</v>
          </cell>
          <cell r="G3656">
            <v>9006617909</v>
          </cell>
          <cell r="K3656" t="str">
            <v>BTKD162077</v>
          </cell>
        </row>
        <row r="3657">
          <cell r="E3657" t="str">
            <v>AMLO PHUSHRO</v>
          </cell>
          <cell r="G3657">
            <v>9006617909</v>
          </cell>
          <cell r="K3657" t="str">
            <v>BRKD220111</v>
          </cell>
        </row>
        <row r="3658">
          <cell r="E3658" t="str">
            <v>BALIDIH, BOKARO</v>
          </cell>
          <cell r="G3658">
            <v>7009268216</v>
          </cell>
          <cell r="K3658" t="str">
            <v>BVCC376207</v>
          </cell>
        </row>
        <row r="3659">
          <cell r="E3659" t="str">
            <v>LALPUR</v>
          </cell>
          <cell r="G3659">
            <v>8587981692</v>
          </cell>
          <cell r="K3659" t="str">
            <v>BVKS048013</v>
          </cell>
        </row>
        <row r="3660">
          <cell r="E3660" t="str">
            <v>C/O PRAKASH RAM, PHUSHRO</v>
          </cell>
          <cell r="G3660">
            <v>9065179999</v>
          </cell>
          <cell r="K3660" t="str">
            <v>BWBD163701</v>
          </cell>
        </row>
        <row r="3661">
          <cell r="E3661" t="str">
            <v>DEOGHAR</v>
          </cell>
          <cell r="G3661">
            <v>7261002856</v>
          </cell>
          <cell r="K3661" t="str">
            <v>BRED161124</v>
          </cell>
        </row>
        <row r="3662">
          <cell r="E3662" t="str">
            <v>CHAS BOKARO</v>
          </cell>
          <cell r="G3662">
            <v>9135780550</v>
          </cell>
          <cell r="K3662" t="str">
            <v>BPJD200007</v>
          </cell>
        </row>
        <row r="3663">
          <cell r="E3663" t="str">
            <v>FLAT NO. 300, BLOCK - A, MP SRIRAM, CHHOTA GAMHARIA, P.S. - GAMHARIA, DIST.- SARAIKELA KHARSAWAN</v>
          </cell>
          <cell r="G3663">
            <v>7600700314</v>
          </cell>
          <cell r="K3663" t="str">
            <v>BRGL151464</v>
          </cell>
        </row>
        <row r="3664">
          <cell r="E3664" t="str">
            <v>ASHOK NAGAR, RANCHI</v>
          </cell>
          <cell r="G3664">
            <v>8005942996</v>
          </cell>
          <cell r="K3664" t="str">
            <v>BQKD200048</v>
          </cell>
        </row>
        <row r="3665">
          <cell r="E3665" t="str">
            <v>DHANBAD</v>
          </cell>
          <cell r="G3665">
            <v>9955336699</v>
          </cell>
          <cell r="K3665" t="str">
            <v>BQBD160067</v>
          </cell>
        </row>
        <row r="3666">
          <cell r="E3666" t="str">
            <v>BENIDIH</v>
          </cell>
          <cell r="G3666">
            <v>9006617909</v>
          </cell>
          <cell r="K3666" t="str">
            <v>BPGD220036</v>
          </cell>
        </row>
        <row r="3667">
          <cell r="E3667" t="str">
            <v>ASHOK NAGAR, RANCHI</v>
          </cell>
          <cell r="G3667">
            <v>7643943375</v>
          </cell>
          <cell r="K3667" t="str">
            <v>BQKD200047</v>
          </cell>
        </row>
        <row r="3668">
          <cell r="E3668" t="str">
            <v>BENIDIH</v>
          </cell>
          <cell r="G3668">
            <v>9006617909</v>
          </cell>
          <cell r="K3668" t="str">
            <v>BPGD220035</v>
          </cell>
        </row>
        <row r="3669">
          <cell r="E3669" t="str">
            <v>SHEIKHPURA, BIHAR</v>
          </cell>
          <cell r="G3669">
            <v>9523096957</v>
          </cell>
          <cell r="K3669" t="str">
            <v>BUAL160593</v>
          </cell>
        </row>
        <row r="3670">
          <cell r="E3670" t="str">
            <v>SHEIKHPURA, BIHAR</v>
          </cell>
          <cell r="G3670">
            <v>9523096951</v>
          </cell>
          <cell r="K3670" t="str">
            <v>BULL160559</v>
          </cell>
        </row>
        <row r="3671">
          <cell r="E3671" t="str">
            <v>KOKAR, RANCHI</v>
          </cell>
          <cell r="G3671">
            <v>8051191796</v>
          </cell>
          <cell r="K3671" t="str">
            <v>BRGD161233</v>
          </cell>
        </row>
        <row r="3672">
          <cell r="E3672" t="str">
            <v>NTA LODNA, DHANBAD</v>
          </cell>
          <cell r="G3672">
            <v>7061894965</v>
          </cell>
          <cell r="K3672" t="str">
            <v>BULD162559</v>
          </cell>
        </row>
        <row r="3673">
          <cell r="E3673" t="str">
            <v>AMLO, PHUSHRO</v>
          </cell>
          <cell r="G3673">
            <v>9006617909</v>
          </cell>
          <cell r="K3673" t="str">
            <v>BJGD200109</v>
          </cell>
        </row>
        <row r="3674">
          <cell r="E3674" t="str">
            <v>KOKAR INDUSTRIAL AREA, RANCHI
834002</v>
          </cell>
          <cell r="G3674">
            <v>7633885415</v>
          </cell>
          <cell r="K3674" t="str">
            <v>BRJS040951</v>
          </cell>
        </row>
        <row r="3675">
          <cell r="E3675" t="str">
            <v>MUNGMA</v>
          </cell>
          <cell r="G3675">
            <v>7439816339</v>
          </cell>
          <cell r="K3675" t="str">
            <v>BWEC370334</v>
          </cell>
        </row>
        <row r="3676">
          <cell r="E3676" t="str">
            <v>TRIDENT PNEUMATICS PVT LTD   5/232,KNG PUDUR ROADSOMAYAMPALAYAM POSTCOIMBATORE IND</v>
          </cell>
          <cell r="G3676">
            <v>7079053079</v>
          </cell>
          <cell r="K3676" t="str">
            <v>BRCC373040</v>
          </cell>
        </row>
        <row r="3677">
          <cell r="E3677" t="str">
            <v>TATISILWAI, JHARKHAND
835103</v>
          </cell>
          <cell r="G3677">
            <v>6200160428</v>
          </cell>
          <cell r="K3677" t="str">
            <v>BQGS031413</v>
          </cell>
        </row>
        <row r="3678">
          <cell r="E3678" t="str">
            <v>HAZARIBAGH</v>
          </cell>
          <cell r="G3678">
            <v>7255084681</v>
          </cell>
          <cell r="K3678" t="str">
            <v>BWLS031775</v>
          </cell>
        </row>
        <row r="3679">
          <cell r="E3679" t="str">
            <v>KOKAR INDUSTRIAL AREA</v>
          </cell>
          <cell r="G3679">
            <v>6204866275</v>
          </cell>
          <cell r="K3679" t="str">
            <v>BVKC374486</v>
          </cell>
        </row>
        <row r="3680">
          <cell r="E3680" t="str">
            <v>NAGRI,RANCHI
835202
RANCHI</v>
          </cell>
          <cell r="G3680">
            <v>8051139257</v>
          </cell>
          <cell r="K3680" t="str">
            <v>BMJS040004</v>
          </cell>
        </row>
        <row r="3681">
          <cell r="E3681" t="str">
            <v>HAWAI NAGAR,NEAR BIRSA CHOWK KHUTI ROAD RANCHI JHARKHAND
834002</v>
          </cell>
          <cell r="G3681">
            <v>7992424370</v>
          </cell>
          <cell r="K3681" t="str">
            <v>BUEC372458</v>
          </cell>
        </row>
        <row r="3682">
          <cell r="E3682" t="str">
            <v>RAMGARH,JHARKHAND
825101
RAMGARH</v>
          </cell>
          <cell r="G3682">
            <v>9431394348</v>
          </cell>
          <cell r="K3682" t="str">
            <v>BSGC376585</v>
          </cell>
        </row>
        <row r="3683">
          <cell r="E3683" t="str">
            <v>PAKUR</v>
          </cell>
          <cell r="G3683">
            <v>9959134215</v>
          </cell>
          <cell r="K3683" t="str">
            <v>BUKD162491</v>
          </cell>
        </row>
        <row r="3684">
          <cell r="E3684" t="str">
            <v>KOKAR INDUSTRIAL AREA</v>
          </cell>
          <cell r="G3684">
            <v>6204866275</v>
          </cell>
          <cell r="K3684" t="str">
            <v>BVKC374486</v>
          </cell>
        </row>
        <row r="3685">
          <cell r="E3685" t="str">
            <v>NAGARI
 835303</v>
          </cell>
          <cell r="G3685">
            <v>9264443243</v>
          </cell>
          <cell r="K3685" t="str">
            <v>BREC373538</v>
          </cell>
        </row>
        <row r="3686">
          <cell r="E3686" t="str">
            <v>BASTAWLA DHANBAD</v>
          </cell>
          <cell r="G3686">
            <v>6200119580</v>
          </cell>
          <cell r="K3686" t="str">
            <v>BTJD162046</v>
          </cell>
        </row>
        <row r="3687">
          <cell r="E3687" t="str">
            <v>HAWAI NAGAR,NEAR BIRSA CHOWK KHUTI ROAD RANCHI JHARKHAND
834002</v>
          </cell>
          <cell r="G3687">
            <v>8409282969</v>
          </cell>
          <cell r="K3687" t="str">
            <v>BUEC372458</v>
          </cell>
        </row>
        <row r="3688">
          <cell r="E3688" t="str">
            <v>PHASE 3
827014
PHASE 3 INDUSTRIAL AREA827013</v>
          </cell>
          <cell r="G3688">
            <v>9122209999</v>
          </cell>
          <cell r="K3688" t="str">
            <v>BQIS031915</v>
          </cell>
        </row>
        <row r="3689">
          <cell r="E3689" t="str">
            <v>RAMGARH,JHARKHAND
829122</v>
          </cell>
          <cell r="G3689">
            <v>9016063949</v>
          </cell>
          <cell r="K3689" t="str">
            <v>BSIC376940</v>
          </cell>
        </row>
        <row r="3690">
          <cell r="E3690" t="str">
            <v>TUPUDANA INDUSTRIAL AREA</v>
          </cell>
          <cell r="G3690">
            <v>9534249500</v>
          </cell>
          <cell r="K3690" t="str">
            <v>BMBS030816</v>
          </cell>
        </row>
        <row r="3691">
          <cell r="E3691" t="str">
            <v>KOKAR INDUSTRIAL AREA,RANCHI
834002
KOKAR INDUSTRIAL AREA</v>
          </cell>
          <cell r="G3691">
            <v>9771441275</v>
          </cell>
          <cell r="K3691" t="str">
            <v>BRKC371988</v>
          </cell>
        </row>
        <row r="3692">
          <cell r="E3692" t="str">
            <v>BEDMAKKA, HAZARIBAGH</v>
          </cell>
          <cell r="G3692">
            <v>8235225310</v>
          </cell>
          <cell r="K3692" t="str">
            <v>BVJC374202</v>
          </cell>
        </row>
        <row r="3693">
          <cell r="E3693" t="str">
            <v>PHASE - IV, PLOT NO. - IV-C/3 P AND IV-C/2 P, BOKARO INDUSTRIAL AREA, BALIDIH, BOKARO
PHASE - IV, PLOT NO. - IV-C/3 P AND IV-C/2 P, BOKARO INDUSTRIAL AREA, BALIDIH, BOKARO
827014</v>
          </cell>
          <cell r="G3693">
            <v>9006512017</v>
          </cell>
          <cell r="K3693" t="str">
            <v>BSDS037649</v>
          </cell>
        </row>
        <row r="3694">
          <cell r="E3694" t="str">
            <v>RING ROAD, RAMPUR, RANCHI
834010</v>
          </cell>
          <cell r="G3694">
            <v>8269769977</v>
          </cell>
          <cell r="K3694" t="str">
            <v>BRCS033809</v>
          </cell>
        </row>
        <row r="3695">
          <cell r="E3695" t="str">
            <v>LALGUTUWA, RANCHI</v>
          </cell>
          <cell r="G3695">
            <v>7004052584</v>
          </cell>
          <cell r="K3695" t="str">
            <v>BSES037922</v>
          </cell>
        </row>
        <row r="3696">
          <cell r="E3696" t="str">
            <v>MUNGMA</v>
          </cell>
          <cell r="G3696">
            <v>7439816339</v>
          </cell>
          <cell r="K3696" t="str">
            <v>BNEC370483</v>
          </cell>
        </row>
        <row r="3697">
          <cell r="E3697" t="str">
            <v>MUNGMA</v>
          </cell>
          <cell r="G3697">
            <v>7439816339</v>
          </cell>
          <cell r="K3697" t="str">
            <v>BNEC370483</v>
          </cell>
        </row>
        <row r="3698">
          <cell r="E3698" t="str">
            <v>CHANDWAY CHOWK,RANCHI
834006</v>
          </cell>
          <cell r="G3698">
            <v>7549100809</v>
          </cell>
          <cell r="K3698" t="str">
            <v>BRAC372352</v>
          </cell>
        </row>
        <row r="3699">
          <cell r="E3699" t="str">
            <v>JAY PRAKASH NAGAR, NEAR RANI SATI MANDIR, RATU ROAD RANCHI
834005</v>
          </cell>
          <cell r="G3699">
            <v>7903440263</v>
          </cell>
          <cell r="K3699" t="str">
            <v>BTFC378808</v>
          </cell>
        </row>
        <row r="3700">
          <cell r="E3700" t="str">
            <v>SARWARI, ASANSOL, WB</v>
          </cell>
          <cell r="G3700">
            <v>9431101890</v>
          </cell>
          <cell r="K3700" t="str">
            <v>BPLF150007</v>
          </cell>
        </row>
        <row r="3701">
          <cell r="E3701" t="str">
            <v>JAY PRAKASH NAGAR, NEAR RANI SATI MANDIR, RATU ROAD RANCHI
834005</v>
          </cell>
          <cell r="G3701">
            <v>7781895349</v>
          </cell>
          <cell r="K3701" t="str">
            <v>BTFC378808</v>
          </cell>
        </row>
        <row r="3702">
          <cell r="E3702" t="str">
            <v>KAMRE
835222</v>
          </cell>
          <cell r="G3702">
            <v>7004730822</v>
          </cell>
          <cell r="K3702" t="str">
            <v>BTCC377923</v>
          </cell>
        </row>
        <row r="3703">
          <cell r="E3703" t="str">
            <v>RAMGARH</v>
          </cell>
          <cell r="G3703">
            <v>7004377365</v>
          </cell>
          <cell r="K3703" t="str">
            <v>BLES031356</v>
          </cell>
        </row>
        <row r="3704">
          <cell r="E3704" t="str">
            <v>MARRAR RAMGRAH</v>
          </cell>
          <cell r="G3704">
            <v>7654107064</v>
          </cell>
          <cell r="K3704" t="str">
            <v>BQIS031848</v>
          </cell>
        </row>
        <row r="3705">
          <cell r="E3705" t="str">
            <v>TIKRATOLI,SAPAROM
NEAR LALGUTWA OVERBRIDGE, TIKRATOLI, SAPAROM,, NAGRI, RANCHI
835303</v>
          </cell>
          <cell r="G3705">
            <v>7004423828</v>
          </cell>
          <cell r="K3705" t="str">
            <v>BKJS040077</v>
          </cell>
        </row>
        <row r="3706">
          <cell r="E3706" t="str">
            <v>PIPARWAR,JHARKHAND
BAHERA, BENTI, PIPARWAR, CHATRA
825321</v>
          </cell>
          <cell r="G3706">
            <v>7488762314</v>
          </cell>
          <cell r="K3706" t="str">
            <v>BRGC373918</v>
          </cell>
        </row>
        <row r="3707">
          <cell r="E3707" t="str">
            <v>FLAT NO. 300, BLOCK - A, MP SRIRAM, CHHOTA GAMHARIA, P.S. - GAMHARIA, DIST.- SARAIKELA KHARSAWAN</v>
          </cell>
          <cell r="G3707">
            <v>7600700314</v>
          </cell>
          <cell r="K3707" t="str">
            <v>BRGL151464</v>
          </cell>
        </row>
        <row r="3708">
          <cell r="E3708" t="str">
            <v>FLAT NO. 300, BLOCK - A, MP SRIRAM, CHHOTA GAMHARIA, P.S. - GAMHARIA, DIST.- SARAIKELA KHARSAWAN</v>
          </cell>
          <cell r="G3708">
            <v>7600700814</v>
          </cell>
          <cell r="K3708" t="str">
            <v>BSEL152195</v>
          </cell>
        </row>
        <row r="3709">
          <cell r="E3709" t="str">
            <v>FLAT NO. 300, BLOCK - A, MP SRIRAM, CHHOTA GAMHARIA, P.S. - GAMHARIA, DIST.- SARAIKELA KHARSAWAN</v>
          </cell>
          <cell r="G3709">
            <v>7900700814</v>
          </cell>
          <cell r="K3709" t="str">
            <v>BRBL150944</v>
          </cell>
        </row>
        <row r="3710">
          <cell r="E3710" t="str">
            <v>FLAT NO. 300, BLOCK - A, MP SRIRAM, CHHOTA GAMHARIA, P.S. - GAMHARIA, DIST.- SARAIKELA KHARSAWAN</v>
          </cell>
          <cell r="G3710">
            <v>7900700814</v>
          </cell>
          <cell r="K3710" t="str">
            <v>BRGL151468</v>
          </cell>
        </row>
        <row r="3711">
          <cell r="E3711" t="str">
            <v>NAYA MORE, RAMGRAH</v>
          </cell>
          <cell r="G3711">
            <v>8651078549</v>
          </cell>
          <cell r="K3711" t="str">
            <v>BUKS045387</v>
          </cell>
        </row>
        <row r="3712">
          <cell r="E3712" t="str">
            <v>NAYA MORE, RAMGRAH</v>
          </cell>
          <cell r="G3712">
            <v>8651078549</v>
          </cell>
          <cell r="K3712" t="str">
            <v>BUKS045388</v>
          </cell>
        </row>
        <row r="3713">
          <cell r="E3713" t="str">
            <v>HOSHIR GIDDI,RAMGARH
NEAR P.N. BANK MAIN ROAD, RAMGARH CANTT. 829122
829110</v>
          </cell>
          <cell r="G3713">
            <v>8651078549</v>
          </cell>
          <cell r="K3713" t="str">
            <v>GPJS030042</v>
          </cell>
        </row>
        <row r="3714">
          <cell r="E3714" t="str">
            <v>UPPER BAZAR,RANCHI
834001
UPPER BAZAR,</v>
          </cell>
          <cell r="G3714">
            <v>8381069617</v>
          </cell>
          <cell r="K3714" t="str">
            <v>BRJC371828</v>
          </cell>
        </row>
        <row r="3715">
          <cell r="E3715" t="str">
            <v>FOREST COLONY, SENETRY ROAD,, NEAR RAHUL MARVAL, HAZARIBAGH
825302</v>
          </cell>
          <cell r="G3715">
            <v>9934366789</v>
          </cell>
          <cell r="K3715" t="str">
            <v>BULC370702</v>
          </cell>
        </row>
        <row r="3716">
          <cell r="E3716" t="str">
            <v>RAMGARH,JHARKHAND
829122</v>
          </cell>
          <cell r="G3716">
            <v>7659107064</v>
          </cell>
          <cell r="K3716" t="str">
            <v>BKIS032164</v>
          </cell>
        </row>
        <row r="3717">
          <cell r="E3717" t="str">
            <v>RANCHI</v>
          </cell>
          <cell r="G3717">
            <v>9973686006</v>
          </cell>
          <cell r="K3717" t="str">
            <v>BLIS031950</v>
          </cell>
        </row>
        <row r="3718">
          <cell r="E3718" t="str">
            <v>DHANBAD, CONT PERSON :MR. IKTEKHAR AHMAD, PH.NO :9431316718</v>
          </cell>
          <cell r="G3718">
            <v>6201045282</v>
          </cell>
          <cell r="K3718" t="str">
            <v>BSKD161462</v>
          </cell>
        </row>
        <row r="3719">
          <cell r="E3719" t="str">
            <v>HOSHIR GIDDI,RAMGARH
NEAR P.N. BANK MAIN ROAD, RAMGARH CANTT. 829122
829110</v>
          </cell>
          <cell r="G3719">
            <v>8651078549</v>
          </cell>
          <cell r="K3719" t="str">
            <v>GPJS030042</v>
          </cell>
        </row>
        <row r="3720">
          <cell r="E3720" t="str">
            <v>RANCHI ROAD,RAMGARH 
DIGWAR,RAMGARH
829122
DIGWAR , RANCHI ROAD ,</v>
          </cell>
          <cell r="G3720">
            <v>7004848564</v>
          </cell>
          <cell r="K3720" t="str">
            <v>GOAC370220</v>
          </cell>
        </row>
        <row r="3721">
          <cell r="E3721" t="str">
            <v>RANCHI ROAD,RAMGARH 
DIGWAR,RAMGARH
829122
DIGWAR , RANCHI ROAD ,</v>
          </cell>
          <cell r="G3721">
            <v>7004848564</v>
          </cell>
          <cell r="K3721" t="str">
            <v>BSFC376459</v>
          </cell>
        </row>
        <row r="3722">
          <cell r="E3722" t="str">
            <v>TIKRATOLI,SAPAROM
NEAR LALGUTWA OVERBRIDGE, TIKRATOLI, SAPAROM,, NAGRI, RANCHI
835303</v>
          </cell>
          <cell r="G3722">
            <v>9608131381</v>
          </cell>
          <cell r="K3722" t="str">
            <v>BRGC373885</v>
          </cell>
        </row>
        <row r="3723">
          <cell r="E3723" t="str">
            <v>LAXMI NAGAR HEHAL</v>
          </cell>
          <cell r="G3723">
            <v>9835390276</v>
          </cell>
          <cell r="K3723" t="str">
            <v>BVEC376770</v>
          </cell>
        </row>
        <row r="3724">
          <cell r="E3724" t="str">
            <v>PLOT NO. 79, KAPASARA,, SUNDERNAGAR, CHIRKUNDA,, DHANBAD - 828 202
PLOT NO. 79, KAPASARA,, SUNDERNAGAR, CHIRKUNDA,, DHANBAD - 828 202
828202</v>
          </cell>
          <cell r="G3724">
            <v>8101005542</v>
          </cell>
          <cell r="K3724" t="str">
            <v>BTFS031006</v>
          </cell>
        </row>
        <row r="3725">
          <cell r="E3725" t="str">
            <v>KOKAR INDUSTRIAL AREA,,RANCHI
834002
KOKAR INDUSTRIAL AREA RANCHI</v>
          </cell>
          <cell r="G3725">
            <v>9431101890</v>
          </cell>
          <cell r="K3725" t="str">
            <v>BKHET70130</v>
          </cell>
        </row>
        <row r="3726">
          <cell r="E3726" t="str">
            <v>GHATO
825314</v>
          </cell>
          <cell r="G3726">
            <v>7763814514</v>
          </cell>
          <cell r="K3726" t="str">
            <v>BRGS035077</v>
          </cell>
        </row>
        <row r="3727">
          <cell r="E3727" t="str">
            <v>GROUND AND 1 ST FLOOR, BESIDE DAINIK BHASKAR, GOVINDPUR ROAD, DIST :- DHANBAD
GROUND AND 1 ST FLOOR, BESIDE DAINIK BHASKAR, GOVINDPUR ROAD, DIST :- DHANBAD
828109</v>
          </cell>
          <cell r="G3727">
            <v>7004043731</v>
          </cell>
          <cell r="K3727" t="str">
            <v>BRJC371698</v>
          </cell>
        </row>
        <row r="3728">
          <cell r="E3728" t="str">
            <v>DALTONGANJ, JHARKHAND
822101
DALTONGANJ</v>
          </cell>
          <cell r="G3728">
            <v>6204789092</v>
          </cell>
          <cell r="K3728" t="str">
            <v>BRJC371742</v>
          </cell>
        </row>
        <row r="3729">
          <cell r="E3729" t="str">
            <v>JHUMRI TILAIYA</v>
          </cell>
          <cell r="G3729">
            <v>7061052272</v>
          </cell>
          <cell r="K3729" t="str">
            <v>GPLS030458</v>
          </cell>
        </row>
        <row r="3730">
          <cell r="E3730" t="str">
            <v>PHUSHRO</v>
          </cell>
          <cell r="G3730">
            <v>7091340232</v>
          </cell>
          <cell r="K3730" t="str">
            <v>BVED163244</v>
          </cell>
        </row>
        <row r="3731">
          <cell r="E3731" t="str">
            <v>REG. OFFICE: UNIT 106, MAHABIR TOWER, JOKHIRAM LANE, MAIN ROAD, RANCHI - 834 001
REG. OFFICE: UNIT 106, MAHABIR TOWER, JOKHIRAM LANE, MAIN ROAD, RANCHI - 834 001
835214</v>
          </cell>
          <cell r="G3731">
            <v>9661300651</v>
          </cell>
          <cell r="K3731" t="str">
            <v>BSDS043254</v>
          </cell>
        </row>
        <row r="3732">
          <cell r="E3732" t="str">
            <v>SARAIKELA</v>
          </cell>
          <cell r="G3732">
            <v>9905185143</v>
          </cell>
          <cell r="K3732" t="str">
            <v>BUED162762</v>
          </cell>
        </row>
        <row r="3733">
          <cell r="E3733" t="str">
            <v>PHUSHRO</v>
          </cell>
          <cell r="G3733">
            <v>7091340232</v>
          </cell>
          <cell r="K3733" t="str">
            <v>BVED163240</v>
          </cell>
        </row>
        <row r="3734">
          <cell r="E3734" t="str">
            <v>LODNA</v>
          </cell>
          <cell r="G3734">
            <v>7644045555</v>
          </cell>
          <cell r="K3734" t="str">
            <v>BTCD162149</v>
          </cell>
        </row>
        <row r="3735">
          <cell r="E3735" t="str">
            <v>HAZARIBAGH</v>
          </cell>
          <cell r="G3735">
            <v>7255084681</v>
          </cell>
          <cell r="K3735" t="str">
            <v>BWLS031775</v>
          </cell>
        </row>
        <row r="3736">
          <cell r="E3736" t="str">
            <v>BARIATU,RANCHI
834009
BARIATU</v>
          </cell>
          <cell r="G3736">
            <v>9504901125</v>
          </cell>
          <cell r="K3736" t="str">
            <v>BQLC370193</v>
          </cell>
        </row>
        <row r="3737">
          <cell r="E3737" t="str">
            <v>RAMNAGAR , HAZARIBAGH,JHARKHAND
825302</v>
          </cell>
          <cell r="G3737">
            <v>9113183803</v>
          </cell>
          <cell r="K3737" t="str">
            <v>BQAC373617</v>
          </cell>
        </row>
        <row r="3738">
          <cell r="E3738" t="str">
            <v>GIRIDIH</v>
          </cell>
          <cell r="G3738">
            <v>9835535277</v>
          </cell>
          <cell r="K3738" t="str">
            <v>GNES040048</v>
          </cell>
        </row>
        <row r="3739">
          <cell r="E3739" t="str">
            <v>BARHI, HAZARIBAGH</v>
          </cell>
          <cell r="G3739">
            <v>8488957184</v>
          </cell>
          <cell r="K3739" t="str">
            <v>BUCS034287</v>
          </cell>
        </row>
        <row r="3740">
          <cell r="E3740" t="str">
            <v>C/O - REKHA KUMARI, AT TENDER, PANDRA, KAMRE, RATU, RANCHI
C/O - REKHA KUMARI, AT TENDER, PANDRA, KAMRE, RATU, RANCHI
835103</v>
          </cell>
          <cell r="G3740">
            <v>6201227612</v>
          </cell>
          <cell r="K3740" t="str">
            <v>BREC373485</v>
          </cell>
        </row>
        <row r="3741">
          <cell r="E3741" t="str">
            <v>NAGARI,</v>
          </cell>
          <cell r="G3741">
            <v>8294385129</v>
          </cell>
          <cell r="K3741" t="str">
            <v>BLGS040582</v>
          </cell>
        </row>
        <row r="3742">
          <cell r="E3742" t="str">
            <v>AT. BONGABAR, SANDI, RAMGARH, AMC  FROM 1-8-2019 TO 30-7-2020
829122
SANDI ,</v>
          </cell>
          <cell r="G3742">
            <v>7004377365</v>
          </cell>
          <cell r="K3742" t="str">
            <v>BLGS040605</v>
          </cell>
        </row>
        <row r="3743">
          <cell r="E3743" t="str">
            <v>LATEHAR JHARKHAND
834002</v>
          </cell>
          <cell r="G3743">
            <v>8779843200</v>
          </cell>
          <cell r="K3743" t="str">
            <v>BUJC370090</v>
          </cell>
        </row>
        <row r="3744">
          <cell r="E3744" t="str">
            <v>BAZAR SAMITI,RAMGARH
829122</v>
          </cell>
          <cell r="G3744">
            <v>9835764965</v>
          </cell>
          <cell r="K3744" t="str">
            <v>BSBC375576</v>
          </cell>
        </row>
        <row r="3745">
          <cell r="E3745" t="str">
            <v>PLOT NO.-806, HARDAGKHUTI ROAD,RANCHI
KHUNTI ROAD HARDAG
835221</v>
          </cell>
          <cell r="G3745">
            <v>6201750703</v>
          </cell>
          <cell r="K3745" t="str">
            <v>BLGS031576</v>
          </cell>
        </row>
        <row r="3746">
          <cell r="E3746" t="str">
            <v>SHADEV NAGAR
834002
SHADEV NAGAR</v>
          </cell>
          <cell r="G3746">
            <v>9431395214</v>
          </cell>
          <cell r="K3746" t="str">
            <v>GOHC370857</v>
          </cell>
        </row>
        <row r="3747">
          <cell r="E3747" t="str">
            <v>RANCHI,JHARKHAND
825301
JHUMRA</v>
          </cell>
          <cell r="G3747">
            <v>8541022146</v>
          </cell>
          <cell r="K3747" t="str">
            <v>BTIS031829</v>
          </cell>
        </row>
        <row r="3748">
          <cell r="E3748" t="str">
            <v>AL-MED EQUIPMENTS
BARIATU ROAD, RANCHI
834009</v>
          </cell>
          <cell r="G3748">
            <v>8652295184</v>
          </cell>
          <cell r="K3748" t="str">
            <v>BUBS045901</v>
          </cell>
        </row>
        <row r="3749">
          <cell r="E3749" t="str">
            <v>SADAR HOSPITAL, LATEHAR, C/O L &amp; T LTD. LATEHAR, JHARKHAND
C/O L &amp; T LTD. BOKARO, JHARKHAND
000000</v>
          </cell>
          <cell r="G3749">
            <v>6206408130</v>
          </cell>
          <cell r="K3749" t="str">
            <v>BUCS046101</v>
          </cell>
        </row>
        <row r="3750">
          <cell r="E3750" t="str">
            <v>LOHARDAGA,JHARKHAND
LOHARDAGA, MOB. NO.9661111900
835302
LOHARDAGA</v>
          </cell>
          <cell r="G3750">
            <v>9973880780</v>
          </cell>
          <cell r="K3750" t="str">
            <v>BQFS031084</v>
          </cell>
        </row>
        <row r="3751">
          <cell r="E3751" t="str">
            <v>BIT MESRA, RANCHI
835215
BIT MISRA, RANCHI</v>
          </cell>
          <cell r="G3751">
            <v>9934303421</v>
          </cell>
          <cell r="K3751" t="str">
            <v>BPHS030467</v>
          </cell>
        </row>
        <row r="3752">
          <cell r="E3752" t="str">
            <v>WEST MARKET ROAD UPPER BAZAJ
UPPER BAZAR
834001</v>
          </cell>
          <cell r="G3752">
            <v>9431104338</v>
          </cell>
          <cell r="K3752" t="str">
            <v>BTDC378223</v>
          </cell>
        </row>
        <row r="3753">
          <cell r="E3753" t="str">
            <v>CHUTIA, RANCHI</v>
          </cell>
          <cell r="G3753">
            <v>8292766229</v>
          </cell>
          <cell r="K3753" t="str">
            <v>BVKC374485</v>
          </cell>
        </row>
        <row r="3754">
          <cell r="E3754" t="str">
            <v>BALIDIH INDUSTRIAL AREA
827014</v>
          </cell>
          <cell r="G3754">
            <v>9553775728</v>
          </cell>
          <cell r="K3754" t="str">
            <v>BTDS044304</v>
          </cell>
        </row>
        <row r="3755">
          <cell r="E3755" t="str">
            <v>ASHOKA PROJECT PIPARWAR</v>
          </cell>
          <cell r="G3755">
            <v>9102994454</v>
          </cell>
          <cell r="K3755" t="str">
            <v>BUID162912</v>
          </cell>
        </row>
        <row r="3756">
          <cell r="E3756" t="str">
            <v>BALIDIH INDUSTRIAL AREA
827014</v>
          </cell>
          <cell r="G3756">
            <v>8100184482</v>
          </cell>
          <cell r="K3756" t="str">
            <v>BTDS044313</v>
          </cell>
        </row>
        <row r="3757">
          <cell r="E3757" t="str">
            <v>PHUSHRO</v>
          </cell>
          <cell r="G3757">
            <v>7091340232</v>
          </cell>
          <cell r="K3757" t="str">
            <v>BVED163240</v>
          </cell>
        </row>
        <row r="3758">
          <cell r="E3758" t="str">
            <v>LODNA</v>
          </cell>
          <cell r="G3758">
            <v>8434845555</v>
          </cell>
          <cell r="K3758" t="str">
            <v>BVID163401</v>
          </cell>
        </row>
        <row r="3759">
          <cell r="E3759" t="str">
            <v>AMLO PHUSHRO</v>
          </cell>
          <cell r="G3759">
            <v>9006617909</v>
          </cell>
          <cell r="K3759" t="str">
            <v>BRKD220111</v>
          </cell>
        </row>
        <row r="3760">
          <cell r="E3760" t="str">
            <v>AT - HEHAL, POST - BARKAKANA
BARKAKANA
829103</v>
          </cell>
          <cell r="G3760">
            <v>6200896545</v>
          </cell>
          <cell r="K3760" t="str">
            <v>BUAS033580</v>
          </cell>
        </row>
        <row r="3761">
          <cell r="E3761" t="str">
            <v>BALIDIH INDUSTRIAL AREA, BALIDIH BOKARO</v>
          </cell>
          <cell r="G3761">
            <v>9006647345</v>
          </cell>
          <cell r="K3761">
            <v>164253</v>
          </cell>
        </row>
        <row r="3762">
          <cell r="E3762" t="str">
            <v>C/O - PREM PRAKASH AGARWAL, OPP - HILLVIEW FUEL STATION, GODHUR, P.O - KUSUNDA, DHANBAD</v>
          </cell>
          <cell r="G3762">
            <v>7903412157</v>
          </cell>
          <cell r="K3762" t="str">
            <v>BTED162217</v>
          </cell>
        </row>
        <row r="3763">
          <cell r="E3763" t="str">
            <v>SIMARIYA ROAD, CHATRA
825401</v>
          </cell>
          <cell r="G3763">
            <v>9939332259</v>
          </cell>
          <cell r="K3763" t="str">
            <v>BSFC376341</v>
          </cell>
        </row>
        <row r="3764">
          <cell r="E3764" t="str">
            <v>NAGRI,RANCHI
835202
RANCHI</v>
          </cell>
          <cell r="G3764">
            <v>9608884168</v>
          </cell>
          <cell r="K3764" t="str">
            <v>BIGS030904</v>
          </cell>
        </row>
        <row r="3765">
          <cell r="E3765" t="str">
            <v>RATANPUR,DHANBAD
828109</v>
          </cell>
          <cell r="G3765">
            <v>9031029501</v>
          </cell>
          <cell r="K3765" t="str">
            <v>BTLC377584</v>
          </cell>
        </row>
        <row r="3766">
          <cell r="E3766" t="str">
            <v>SARNATOLI,ANGADA,RANCHI
835222</v>
          </cell>
          <cell r="G3766">
            <v>9798563448</v>
          </cell>
          <cell r="K3766" t="str">
            <v>BOGC370193</v>
          </cell>
        </row>
        <row r="3767">
          <cell r="E3767" t="str">
            <v>HAZARIBAGH,  HAZARIBAGH, JHARKHAND 825301</v>
          </cell>
          <cell r="G3767">
            <v>8210609305</v>
          </cell>
          <cell r="K3767" t="str">
            <v>BUCS034128</v>
          </cell>
        </row>
        <row r="3768">
          <cell r="E3768" t="str">
            <v>MANDAR,  RANCHI - 835214. JHARKHAND.</v>
          </cell>
          <cell r="G3768">
            <v>8969296308</v>
          </cell>
          <cell r="K3768" t="str">
            <v>BUDS046356</v>
          </cell>
        </row>
        <row r="3769">
          <cell r="E3769" t="str">
            <v>HAWAI NAGAR,NEAR BIRSA CHOWK KHUTI ROAD RANCHI JHARKHAND
834002</v>
          </cell>
          <cell r="G3769">
            <v>8409282969</v>
          </cell>
          <cell r="K3769" t="str">
            <v>BUEC372458</v>
          </cell>
        </row>
        <row r="3770">
          <cell r="E3770" t="str">
            <v>JASIDIH, DEOGHAR
814142</v>
          </cell>
          <cell r="G3770">
            <v>6202270389</v>
          </cell>
          <cell r="K3770" t="str">
            <v>BSBC375571</v>
          </cell>
        </row>
        <row r="3771">
          <cell r="E3771" t="str">
            <v>TIPUDANA INDUSTRIAL AREA, HATIA,</v>
          </cell>
          <cell r="G3771">
            <v>9534249500</v>
          </cell>
          <cell r="K3771" t="str">
            <v>BJGS031396</v>
          </cell>
        </row>
        <row r="3772">
          <cell r="E3772" t="str">
            <v>KODERMA</v>
          </cell>
          <cell r="G3772">
            <v>9065338211</v>
          </cell>
          <cell r="K3772" t="str">
            <v>BVKS037293</v>
          </cell>
        </row>
        <row r="3773">
          <cell r="E3773" t="str">
            <v>PATRATU</v>
          </cell>
          <cell r="G3773">
            <v>7908048644</v>
          </cell>
          <cell r="K3773" t="str">
            <v>EVKS047996</v>
          </cell>
        </row>
        <row r="3774">
          <cell r="E3774" t="str">
            <v>RAMGARH CANTT, RAMGARH
RAMGARH
829122
RAMGARH</v>
          </cell>
          <cell r="G3774">
            <v>9576833882</v>
          </cell>
          <cell r="K3774" t="str">
            <v>BNKS030423</v>
          </cell>
        </row>
        <row r="3775">
          <cell r="E3775" t="str">
            <v>BARKAGAOUN, HAZARIBAGH</v>
          </cell>
          <cell r="G3775">
            <v>6201454991</v>
          </cell>
          <cell r="K3775" t="str">
            <v>BVED231179</v>
          </cell>
        </row>
        <row r="3776">
          <cell r="E3776" t="str">
            <v>C/O - AMAN AGRAWAL, PLOT NO. 735, KAITHA, RAMGARH CANTT., RAMGARH
825101</v>
          </cell>
          <cell r="G3776">
            <v>8709937739</v>
          </cell>
          <cell r="K3776" t="str">
            <v>BSDC375954</v>
          </cell>
        </row>
        <row r="3777">
          <cell r="E3777" t="str">
            <v>ORMANJHI,RANCHI
835219</v>
          </cell>
          <cell r="G3777">
            <v>9155006000</v>
          </cell>
          <cell r="K3777" t="str">
            <v>BSGC376577</v>
          </cell>
        </row>
        <row r="3778">
          <cell r="E3778" t="str">
            <v>NAYA MORE, RAMGRAH</v>
          </cell>
          <cell r="G3778">
            <v>8651078549</v>
          </cell>
          <cell r="K3778" t="str">
            <v>BUKS045387</v>
          </cell>
        </row>
        <row r="3779">
          <cell r="E3779" t="str">
            <v>DEWRI,TATA ROAD,JHARKHAND
GOSAIGIH BUNDU NH-33, RANCHI
815314
TATA ROAD, BUNDU,</v>
          </cell>
          <cell r="G3779">
            <v>9308825621</v>
          </cell>
          <cell r="K3779" t="str">
            <v>BNAS040264</v>
          </cell>
        </row>
        <row r="3780">
          <cell r="E3780" t="str">
            <v>RAJRAPPA</v>
          </cell>
          <cell r="G3780">
            <v>8092762251</v>
          </cell>
          <cell r="K3780" t="str">
            <v>BUKC370655</v>
          </cell>
        </row>
        <row r="3781">
          <cell r="E3781" t="str">
            <v>OPERATIONS OFFICER, BOKARO BP, KIND ATTEN.ABHISHEK TRIPATHI, MOB. NO.8789972995, VENDOR CODE-11970380
OPERATIONS OFFICER, BOKARO BP, KIND ATTEN.ABHISHEK TRIPATHI, MOB. NO.8789972995, VENDOR CODE-11970380
827014
LPG BOTTALING PLANT, BALIDIH,</v>
          </cell>
          <cell r="G3781">
            <v>7905252185</v>
          </cell>
          <cell r="K3781" t="str">
            <v>BOCS040147</v>
          </cell>
        </row>
        <row r="3782">
          <cell r="E3782" t="str">
            <v>AAMZAR, BALIAPUR ROAD, DHANBAD
AAMZAR, BALIAPUR ROAD, DHANBAD
000000</v>
          </cell>
          <cell r="G3782">
            <v>7488737393</v>
          </cell>
          <cell r="K3782" t="str">
            <v>BUES035210</v>
          </cell>
        </row>
        <row r="3783">
          <cell r="E3783" t="str">
            <v>KATITARH,RANCHI
835222</v>
          </cell>
          <cell r="G3783">
            <v>8210811587</v>
          </cell>
          <cell r="K3783" t="str">
            <v>BSAS036940</v>
          </cell>
        </row>
        <row r="3784">
          <cell r="E3784" t="str">
            <v>KATRAS, DHANBAD</v>
          </cell>
          <cell r="G3784">
            <v>6204728418</v>
          </cell>
          <cell r="K3784" t="str">
            <v>BWAD163674</v>
          </cell>
        </row>
        <row r="3785">
          <cell r="E3785" t="str">
            <v>LODNA MORE</v>
          </cell>
          <cell r="G3785">
            <v>7623886938</v>
          </cell>
          <cell r="K3785" t="str">
            <v>BVFD163261</v>
          </cell>
        </row>
        <row r="3786">
          <cell r="E3786" t="str">
            <v>LODNA MORE</v>
          </cell>
          <cell r="G3786">
            <v>7623886938</v>
          </cell>
          <cell r="K3786" t="str">
            <v>BWKD163543</v>
          </cell>
        </row>
        <row r="3787">
          <cell r="E3787" t="str">
            <v>HAZARIBAGH
RANCHI JHARKHAND 834002
INDIA</v>
          </cell>
          <cell r="G3787">
            <v>9304664534</v>
          </cell>
          <cell r="K3787" t="str">
            <v>BKAS030685</v>
          </cell>
        </row>
        <row r="3788">
          <cell r="E3788" t="str">
            <v>TATISIWAI INDUSTRIAL AREA, RANCHI
835103
TATISILWAY RANCHI</v>
          </cell>
          <cell r="G3788">
            <v>7050549999</v>
          </cell>
          <cell r="K3788">
            <v>107837</v>
          </cell>
        </row>
        <row r="3789">
          <cell r="E3789" t="str">
            <v>ADDRESS-PLOT-57B,BARAHI INDUSTRIAL AREA,ON DELHI HOWRAH NATIONAL HIGHWAY,BARHI,JAHARKHAND.</v>
          </cell>
          <cell r="G3789">
            <v>9559291224</v>
          </cell>
          <cell r="K3789" t="str">
            <v>BUBS033778</v>
          </cell>
        </row>
        <row r="3790">
          <cell r="E3790" t="str">
            <v>HAZARIBAGH,  HAZARIBAGH, JHARKHAND 825301</v>
          </cell>
          <cell r="G3790">
            <v>9031303137</v>
          </cell>
          <cell r="K3790" t="str">
            <v>BUAS033747</v>
          </cell>
        </row>
        <row r="3791">
          <cell r="E3791" t="str">
            <v>A-3, 2ND PHASE, ADITYAPUR INDUSTRIAL AREA, ADITYAPUR, JAMSHEDPUR, JHARKHAND
A-3, 2ND PHASE, ADITYAPUR INDUSTRIAL AREA, ADITYAPUR, JAMSHEDPUR, JHARKHAND
831013
JAMHEDPUR</v>
          </cell>
          <cell r="G3791">
            <v>9608189810</v>
          </cell>
          <cell r="K3791" t="str">
            <v>GPBC370442</v>
          </cell>
        </row>
        <row r="3792">
          <cell r="E3792" t="str">
            <v>RAMGRAH</v>
          </cell>
          <cell r="G3792">
            <v>8280104133</v>
          </cell>
          <cell r="K3792" t="str">
            <v>BIBS040161</v>
          </cell>
        </row>
        <row r="3793">
          <cell r="E3793" t="str">
            <v>MANJULA ENTERPRISES, KOKAR INDUSTRIAL AREA KOKAR</v>
          </cell>
          <cell r="G3793">
            <v>9431583027</v>
          </cell>
          <cell r="K3793" t="str">
            <v>BUFC372952</v>
          </cell>
        </row>
        <row r="3794">
          <cell r="E3794" t="str">
            <v>LALPUR</v>
          </cell>
          <cell r="G3794">
            <v>8587981692</v>
          </cell>
          <cell r="K3794" t="str">
            <v>BVKS048013</v>
          </cell>
        </row>
        <row r="3795">
          <cell r="E3795" t="str">
            <v>HORHAP ROAD, MAHILONG, RANCHI
835103
MAHILONG, TATISILWAI</v>
          </cell>
          <cell r="G3795">
            <v>9608787404</v>
          </cell>
          <cell r="K3795" t="str">
            <v>GPFC370737</v>
          </cell>
        </row>
        <row r="3796">
          <cell r="E3796" t="str">
            <v>PHUSHRO</v>
          </cell>
          <cell r="G3796">
            <v>7091340232</v>
          </cell>
          <cell r="K3796" t="str">
            <v>BWAD163687</v>
          </cell>
        </row>
        <row r="3797">
          <cell r="E3797" t="str">
            <v>RANCHI PATNA ROAD
DEMOTAND
825301
HAZARIBAGH</v>
          </cell>
          <cell r="G3797">
            <v>7905424302</v>
          </cell>
          <cell r="K3797" t="str">
            <v>BMBL160078</v>
          </cell>
        </row>
        <row r="3798">
          <cell r="E3798" t="str">
            <v>RANCHI PATNA ROAD
DEMOTAND
825301
HAZARIBAGH</v>
          </cell>
          <cell r="G3798">
            <v>6203465926</v>
          </cell>
          <cell r="K3798" t="str">
            <v>BIFS040367</v>
          </cell>
        </row>
        <row r="3799">
          <cell r="E3799" t="str">
            <v>RANCHI PATNA ROAD
DEMOTAND
825301
HAZARIBAGH</v>
          </cell>
          <cell r="G3799">
            <v>6203465926</v>
          </cell>
          <cell r="K3799" t="str">
            <v>BSCS037531</v>
          </cell>
        </row>
        <row r="3800">
          <cell r="E3800" t="str">
            <v>KOKAR INDUSTRIAL AREA</v>
          </cell>
          <cell r="G3800">
            <v>6204866275</v>
          </cell>
          <cell r="K3800" t="str">
            <v>BVKC374486</v>
          </cell>
        </row>
        <row r="3801">
          <cell r="E3801" t="str">
            <v>LODNA MORE</v>
          </cell>
          <cell r="G3801">
            <v>7623886938</v>
          </cell>
          <cell r="K3801" t="str">
            <v>BWKD163512</v>
          </cell>
        </row>
        <row r="3802">
          <cell r="E3802" t="str">
            <v>MUNGMA</v>
          </cell>
          <cell r="G3802">
            <v>7439816339</v>
          </cell>
          <cell r="K3802" t="str">
            <v>BNEC370483</v>
          </cell>
        </row>
        <row r="3803">
          <cell r="E3803" t="str">
            <v>RANCHI PATNA ROAD
DEMOTAND
825301
HAZARIBAGH</v>
          </cell>
          <cell r="G3803">
            <v>6203465926</v>
          </cell>
          <cell r="K3803" t="str">
            <v>BSCS037531</v>
          </cell>
        </row>
        <row r="3804">
          <cell r="E3804" t="str">
            <v>BAGSUMA,GOVINDPUR, DHANBAD
GT ROAD, BAGSUMA
828109</v>
          </cell>
          <cell r="G3804">
            <v>9835191288</v>
          </cell>
          <cell r="K3804" t="str">
            <v>BTJC377259</v>
          </cell>
        </row>
        <row r="3805">
          <cell r="E3805" t="str">
            <v>THUMBAGARI, SATBARWA, PALAMU</v>
          </cell>
          <cell r="G3805">
            <v>7039553329</v>
          </cell>
          <cell r="K3805" t="str">
            <v>BUDC372146</v>
          </cell>
        </row>
        <row r="3806">
          <cell r="E3806" t="str">
            <v>BALIDIH INDUSTRIAL AREA
827014</v>
          </cell>
          <cell r="G3806">
            <v>8100184482</v>
          </cell>
          <cell r="K3806" t="str">
            <v>BTDS044313</v>
          </cell>
        </row>
        <row r="3807">
          <cell r="E3807" t="str">
            <v>DEMO TANND HAZAIBAGH JHARKHAND,
825301
DEMO TANND HAZAIBAGH JHARKHAND</v>
          </cell>
          <cell r="G3807">
            <v>7905424302</v>
          </cell>
          <cell r="K3807" t="str">
            <v>BMDS040417</v>
          </cell>
        </row>
        <row r="3808">
          <cell r="E3808" t="str">
            <v>RAMGARH,JHARKHAND
829122</v>
          </cell>
          <cell r="G3808">
            <v>9934012694</v>
          </cell>
          <cell r="K3808" t="str">
            <v>BPAS030126</v>
          </cell>
        </row>
        <row r="3809">
          <cell r="E3809" t="str">
            <v>BARHI INDUSTRIAL ARE BARHI</v>
          </cell>
          <cell r="G3809">
            <v>8795889641</v>
          </cell>
          <cell r="K3809" t="str">
            <v>BUES035120</v>
          </cell>
        </row>
        <row r="3810">
          <cell r="E3810" t="str">
            <v>WARD NO. 15, GUMO  BARWADIH
JHUMRITILAIYA KODERMA
000000</v>
          </cell>
          <cell r="G3810">
            <v>9931138677</v>
          </cell>
          <cell r="K3810" t="str">
            <v>BUDC372326</v>
          </cell>
        </row>
        <row r="3811">
          <cell r="E3811" t="str">
            <v>NAGRI,RANCHI
835202
RANCHI</v>
          </cell>
          <cell r="G3811">
            <v>6200132241</v>
          </cell>
          <cell r="K3811" t="str">
            <v>BRIS035698</v>
          </cell>
        </row>
        <row r="3812">
          <cell r="E3812" t="str">
            <v>RANCHI,JHARKHAND
834001
RANCHI</v>
          </cell>
          <cell r="G3812">
            <v>7281962540</v>
          </cell>
          <cell r="K3812" t="str">
            <v>BJHS031586</v>
          </cell>
        </row>
        <row r="3813">
          <cell r="E3813" t="str">
            <v>GETALATU, RANCHI</v>
          </cell>
          <cell r="G3813">
            <v>8877664494</v>
          </cell>
          <cell r="K3813" t="str">
            <v>BUFC372853</v>
          </cell>
        </row>
        <row r="3814">
          <cell r="E3814" t="str">
            <v>KOKAR INDUSTRIAL AREA,RANCHI
834001</v>
          </cell>
          <cell r="G3814">
            <v>7004349722</v>
          </cell>
          <cell r="K3814" t="str">
            <v>BSBC375535</v>
          </cell>
        </row>
        <row r="3815">
          <cell r="E3815" t="str">
            <v>BOKARO CITY SECTOR-4 BOKARO
827001
CITY CENTER, SECTOR-4</v>
          </cell>
          <cell r="G3815">
            <v>9263636107</v>
          </cell>
          <cell r="K3815" t="str">
            <v>GOEC370631</v>
          </cell>
        </row>
        <row r="3816">
          <cell r="E3816" t="str">
            <v>SINDRI,DHANBAD
828122</v>
          </cell>
          <cell r="G3816">
            <v>7004661850</v>
          </cell>
          <cell r="K3816" t="str">
            <v>GOEC370640</v>
          </cell>
        </row>
        <row r="3817">
          <cell r="E3817" t="str">
            <v>DIBDIH, RANCHI
834002</v>
          </cell>
          <cell r="G3817">
            <v>8102915588</v>
          </cell>
          <cell r="K3817" t="str">
            <v>BTEC378588</v>
          </cell>
        </row>
        <row r="3818">
          <cell r="E3818" t="str">
            <v>1ST FLOOR, RAJ GLASS AND HARDWARE, PISKA MORE, PO - HEHEL, RATU ROAD, RANCHI
1ST FLOOR, RAJ GLASS AND HARDWARE, PISKA MORE, PO - HEHEL, RATU ROAD, RANCHI
835214</v>
          </cell>
          <cell r="G3818">
            <v>7999889085</v>
          </cell>
          <cell r="K3818" t="str">
            <v>BTES044431</v>
          </cell>
        </row>
        <row r="3819">
          <cell r="E3819" t="str">
            <v>PUDANG,RANCHI
834002</v>
          </cell>
          <cell r="G3819">
            <v>7480057033</v>
          </cell>
          <cell r="K3819" t="str">
            <v>BSEC376140</v>
          </cell>
        </row>
        <row r="3820">
          <cell r="E3820" t="str">
            <v>BARWADA, DHANBAD</v>
          </cell>
          <cell r="G3820">
            <v>8637831546</v>
          </cell>
          <cell r="K3820" t="str">
            <v>BWKD163559</v>
          </cell>
        </row>
        <row r="3821">
          <cell r="E3821" t="str">
            <v>PIPRA</v>
          </cell>
          <cell r="G3821">
            <v>7546914655</v>
          </cell>
          <cell r="K3821" t="str">
            <v>BVIL161084</v>
          </cell>
        </row>
        <row r="3822">
          <cell r="E3822" t="str">
            <v>RANCHI</v>
          </cell>
          <cell r="G3822">
            <v>9470582346</v>
          </cell>
          <cell r="K3822" t="str">
            <v>BRCD160978</v>
          </cell>
        </row>
        <row r="3823">
          <cell r="E3823" t="str">
            <v>NAMKUM INDUSTRIAL AREA,RANCHI
834010</v>
          </cell>
          <cell r="G3823">
            <v>777995005</v>
          </cell>
          <cell r="K3823" t="str">
            <v>GOCC370403</v>
          </cell>
        </row>
        <row r="3824">
          <cell r="E3824" t="str">
            <v>VINAIKA’S COMPLEX RANCHI TATA ROAD, R.S. PLOT NO.:-615,VILLAGE-PANCHA,THANA-BUNDU RANCHI, JHARKHAND.
834002</v>
          </cell>
          <cell r="G3824">
            <v>9818905980</v>
          </cell>
          <cell r="K3824" t="str">
            <v>BUDS046275</v>
          </cell>
        </row>
        <row r="3825">
          <cell r="E3825" t="str">
            <v>BALIDIH INDUSTRIAL AREA
827014</v>
          </cell>
          <cell r="G3825">
            <v>9553775728</v>
          </cell>
          <cell r="K3825" t="str">
            <v>BTDS044304</v>
          </cell>
        </row>
        <row r="3826">
          <cell r="E3826" t="str">
            <v>REG. OFFICE: UNIT 106, MAHABIR TOWER, JOKHIRAM LANE, MAIN ROAD, RANCHI - 834 001
REG. OFFICE: UNIT 106, MAHABIR TOWER, JOKHIRAM LANE, MAIN ROAD, RANCHI - 834 001
835214</v>
          </cell>
          <cell r="G3826">
            <v>9661300651</v>
          </cell>
          <cell r="K3826" t="str">
            <v>BSDS043254</v>
          </cell>
        </row>
        <row r="3827">
          <cell r="E3827" t="str">
            <v>BOKARO,JHARKHAND
827004</v>
          </cell>
          <cell r="G3827">
            <v>7280055889</v>
          </cell>
          <cell r="K3827" t="str">
            <v>BRGC373881</v>
          </cell>
        </row>
        <row r="3828">
          <cell r="E3828" t="str">
            <v>BAZAR SAMITI,RAMGARH
829122</v>
          </cell>
          <cell r="G3828">
            <v>9835764965</v>
          </cell>
          <cell r="K3828" t="str">
            <v>BTGC379081</v>
          </cell>
        </row>
        <row r="3829">
          <cell r="E3829" t="str">
            <v>NAMKUM INDUSTRIAL AREA,RANCHI
RANCHI
834010
INDIA</v>
          </cell>
          <cell r="G3829">
            <v>7070993638</v>
          </cell>
          <cell r="K3829" t="str">
            <v>GOCC370465</v>
          </cell>
        </row>
        <row r="3830">
          <cell r="E3830" t="str">
            <v>PALAMU,GARWA, JHARKHAND
822124
GARHWA ROAD, NEAR BCCL PALAMU,</v>
          </cell>
          <cell r="G3830">
            <v>8877136770</v>
          </cell>
          <cell r="K3830" t="str">
            <v>GOCS030806</v>
          </cell>
        </row>
        <row r="3831">
          <cell r="E3831" t="str">
            <v>BALIDIH, BOKARO</v>
          </cell>
          <cell r="G3831">
            <v>7008631882</v>
          </cell>
          <cell r="K3831" t="str">
            <v>BVJS047797</v>
          </cell>
        </row>
        <row r="3832">
          <cell r="E3832" t="str">
            <v>HARMU, RANCHI
834001</v>
          </cell>
          <cell r="G3832">
            <v>9835339783</v>
          </cell>
          <cell r="K3832" t="str">
            <v>BSJC374595</v>
          </cell>
        </row>
        <row r="3833">
          <cell r="E3833" t="str">
            <v>HORHAP ROAD, MAHILONG, RANCHI
835103</v>
          </cell>
          <cell r="G3833">
            <v>9708039203</v>
          </cell>
          <cell r="K3833" t="str">
            <v>BRIC374329</v>
          </cell>
        </row>
        <row r="3834">
          <cell r="E3834" t="str">
            <v>HOSHIR GIDDI,RAMGARH
NEAR P.N. BANK MAIN ROAD, RAMGARH CANTT. 829122
829110</v>
          </cell>
          <cell r="G3834">
            <v>8651078549</v>
          </cell>
          <cell r="K3834" t="str">
            <v>GPJS030042</v>
          </cell>
        </row>
        <row r="3835">
          <cell r="E3835" t="str">
            <v>SHIVA JEE LANE, HARMU
834002</v>
          </cell>
          <cell r="G3835">
            <v>9431574189</v>
          </cell>
          <cell r="K3835" t="str">
            <v>BRGC374007</v>
          </cell>
        </row>
        <row r="3836">
          <cell r="E3836" t="str">
            <v>MW APJL PROJECT SITE
VILLAGE &amp;P.O. MOTIA, TEHSIL: GODDA DIST. GODDA, JHARKHAND- 874733
874733</v>
          </cell>
          <cell r="G3836">
            <v>8102655334</v>
          </cell>
          <cell r="K3836" t="str">
            <v>BTJS043846</v>
          </cell>
        </row>
        <row r="3837">
          <cell r="E3837" t="str">
            <v>FOREST COLONY, SENETRY ROAD,, NEAR RAHUL MARVAL, HAZARIBAGH
825302</v>
          </cell>
          <cell r="G3837">
            <v>9934366789</v>
          </cell>
          <cell r="K3837" t="str">
            <v>BTHC379544</v>
          </cell>
        </row>
        <row r="3838">
          <cell r="E3838" t="str">
            <v>UPPER BAZAR,RANCHI
834001
OPP. MAHAVIR MANDIR , RADHA NAGAR ROAD</v>
          </cell>
          <cell r="G3838">
            <v>7909069824</v>
          </cell>
          <cell r="K3838" t="str">
            <v>GOHC370805</v>
          </cell>
        </row>
        <row r="3839">
          <cell r="E3839" t="str">
            <v>S/O BADRI NAYAK, ATKA, BAGODAR, GIRIDIH,
S/O - BADRI NAYAK, ATKA, BAGODAR,GIRIDIH,
825322</v>
          </cell>
          <cell r="G3839">
            <v>8873384366</v>
          </cell>
          <cell r="K3839" t="str">
            <v>BUKC370656</v>
          </cell>
        </row>
        <row r="3840">
          <cell r="E3840" t="str">
            <v>NAYA MORE, RAMGRAH</v>
          </cell>
          <cell r="G3840">
            <v>8651078549</v>
          </cell>
          <cell r="K3840" t="str">
            <v>BUKS045388</v>
          </cell>
        </row>
        <row r="3841">
          <cell r="E3841" t="str">
            <v>HAZARIBAGH</v>
          </cell>
          <cell r="G3841">
            <v>7634075471</v>
          </cell>
          <cell r="K3841" t="str">
            <v>BUKC370622</v>
          </cell>
        </row>
        <row r="3842">
          <cell r="E3842" t="str">
            <v>C/O RAJ KUMAR BHALA, DIWAN KUNJLAL LOHIA CHARITABLE TRUST, EAST MARKET ROAD, UPPER BAZAR,, RANCHI
834001</v>
          </cell>
          <cell r="G3842">
            <v>8235005333</v>
          </cell>
          <cell r="K3842" t="str">
            <v>BMDS031033</v>
          </cell>
        </row>
        <row r="3843">
          <cell r="E3843" t="str">
            <v>KODERMA</v>
          </cell>
          <cell r="G3843">
            <v>9065338211</v>
          </cell>
          <cell r="K3843" t="str">
            <v>BUES035290</v>
          </cell>
        </row>
        <row r="3844">
          <cell r="E3844" t="str">
            <v>GOBINDPUR INDUSTRIAL AREA, DHANBAD</v>
          </cell>
          <cell r="G3844">
            <v>9113169811</v>
          </cell>
          <cell r="K3844" t="str">
            <v>BVJS047894</v>
          </cell>
        </row>
        <row r="3845">
          <cell r="E3845" t="str">
            <v>KHASHMAHAL PROJECT CCL, BERMO, PHUSHRO, JHARKHAND</v>
          </cell>
          <cell r="G3845">
            <v>8210106692</v>
          </cell>
          <cell r="K3845" t="str">
            <v>BULD162561</v>
          </cell>
        </row>
        <row r="3846">
          <cell r="E3846" t="str">
            <v>KWJAMA COLLIERY, DHANBAD</v>
          </cell>
          <cell r="G3846">
            <v>7644045555</v>
          </cell>
          <cell r="K3846" t="str">
            <v>BVCD163165</v>
          </cell>
        </row>
        <row r="3847">
          <cell r="E3847" t="str">
            <v>TUPUDANA INDUSTRIAL AREA, RANCHI
PLOT NO. - 45 &amp; 46, TUPUDAN AINDUSTRIAL AREA, TUPUDANA, HATIA, RANCHI
834003
TIPUDANA INDUSTRIAL AREA</v>
          </cell>
          <cell r="G3847">
            <v>7717734248</v>
          </cell>
          <cell r="K3847" t="str">
            <v>BVDS039458</v>
          </cell>
        </row>
        <row r="3848">
          <cell r="E3848" t="str">
            <v>MUNGMA</v>
          </cell>
          <cell r="G3848">
            <v>7439816339</v>
          </cell>
          <cell r="K3848" t="str">
            <v>BNLS030573</v>
          </cell>
        </row>
        <row r="3849">
          <cell r="E3849" t="str">
            <v>KODERMA</v>
          </cell>
          <cell r="G3849">
            <v>8210413459</v>
          </cell>
          <cell r="K3849" t="str">
            <v>BVFS049398</v>
          </cell>
        </row>
        <row r="3850">
          <cell r="E3850" t="str">
            <v>KODERMA</v>
          </cell>
          <cell r="G3850">
            <v>8210413459</v>
          </cell>
          <cell r="K3850" t="str">
            <v>BVFS049407</v>
          </cell>
        </row>
        <row r="3851">
          <cell r="E3851" t="str">
            <v>TUPUDANA INDUSTRIAL AREA, RANCHI
PLOT NO. 114, TUPUDANA INDUSTRIAL AREA, TUPUDANA,HATIA, RANCHI
834002
RANCHI</v>
          </cell>
          <cell r="G3851">
            <v>7248899000</v>
          </cell>
          <cell r="K3851" t="str">
            <v>BNAS040245</v>
          </cell>
        </row>
        <row r="3852">
          <cell r="E3852" t="str">
            <v>DHANBAD</v>
          </cell>
          <cell r="G3852">
            <v>8210106692</v>
          </cell>
          <cell r="K3852" t="str">
            <v>BVGD163308</v>
          </cell>
        </row>
        <row r="3853">
          <cell r="E3853" t="str">
            <v>NAGARI, RANCHI
834006</v>
          </cell>
          <cell r="G3853">
            <v>9608641098</v>
          </cell>
          <cell r="K3853" t="str">
            <v>BRAC372524</v>
          </cell>
        </row>
        <row r="3854">
          <cell r="E3854" t="str">
            <v>MAHTO COLONY, TELEDIH, CHAS, BOKARO</v>
          </cell>
          <cell r="G3854">
            <v>7988915501</v>
          </cell>
          <cell r="K3854" t="str">
            <v>BVJC374285</v>
          </cell>
        </row>
        <row r="3855">
          <cell r="E3855" t="str">
            <v>BALIDIH INDUSTRIAL AREA, BOKARO
BYE PASS ROAD, CHAS, BOKARO, JHARKHAND.
827014</v>
          </cell>
          <cell r="G3855">
            <v>6290095065</v>
          </cell>
          <cell r="K3855" t="str">
            <v>BRCC373034</v>
          </cell>
        </row>
        <row r="3856">
          <cell r="E3856" t="str">
            <v>RAHELA, DALTAINGANJ</v>
          </cell>
          <cell r="G3856">
            <v>7004471081</v>
          </cell>
          <cell r="K3856" t="str">
            <v>BUGS035879</v>
          </cell>
        </row>
        <row r="3857">
          <cell r="E3857" t="str">
            <v>PALAMU,GARWA, JHARKHAND
822124
GARHWA ROAD, NEAR BCCL PALAMU,</v>
          </cell>
          <cell r="G3857">
            <v>8877136770</v>
          </cell>
          <cell r="K3857" t="str">
            <v>GOCS030806</v>
          </cell>
        </row>
        <row r="3858">
          <cell r="E3858" t="str">
            <v>TETULMARI, DHANBAD</v>
          </cell>
          <cell r="G3858">
            <v>9113788032</v>
          </cell>
          <cell r="K3858" t="str">
            <v>BVLD163040</v>
          </cell>
        </row>
        <row r="3859">
          <cell r="E3859" t="str">
            <v>LATEHAR</v>
          </cell>
          <cell r="G3859">
            <v>9934700413</v>
          </cell>
          <cell r="K3859" t="str">
            <v>BRID161341</v>
          </cell>
        </row>
        <row r="3860">
          <cell r="E3860" t="str">
            <v>BARKAGAON, HAZARIBAGH</v>
          </cell>
          <cell r="G3860">
            <v>7070010949</v>
          </cell>
          <cell r="K3860" t="str">
            <v>BWLD231345</v>
          </cell>
        </row>
        <row r="3861">
          <cell r="E3861" t="str">
            <v>BARKAGAON, HAZARIBAGH</v>
          </cell>
          <cell r="G3861">
            <v>7070010949</v>
          </cell>
          <cell r="K3861" t="str">
            <v>BWLD231334</v>
          </cell>
        </row>
        <row r="3862">
          <cell r="E3862" t="str">
            <v>GOVINDPUR</v>
          </cell>
          <cell r="G3862">
            <v>9031821982</v>
          </cell>
          <cell r="K3862" t="str">
            <v>BWCC379823</v>
          </cell>
        </row>
        <row r="3863">
          <cell r="E3863" t="str">
            <v>KWJAMA COLLIERY, DHANBAD</v>
          </cell>
          <cell r="G3863">
            <v>7644045555</v>
          </cell>
          <cell r="K3863" t="str">
            <v>BVCD163165</v>
          </cell>
        </row>
        <row r="3864">
          <cell r="E3864" t="str">
            <v>HEHAL</v>
          </cell>
          <cell r="G3864">
            <v>9540735360</v>
          </cell>
          <cell r="K3864" t="str">
            <v>BVKC374370</v>
          </cell>
        </row>
        <row r="3865">
          <cell r="E3865" t="str">
            <v>TETULWARI</v>
          </cell>
          <cell r="G3865">
            <v>9835747740</v>
          </cell>
          <cell r="K3865" t="str">
            <v>BTGD162296</v>
          </cell>
        </row>
        <row r="3866">
          <cell r="E3866" t="str">
            <v>1, KOCP, DHANSAR, Dhanbad, Jharkhand, 828106</v>
          </cell>
          <cell r="G3866">
            <v>6360902039</v>
          </cell>
          <cell r="K3866" t="str">
            <v>BUIC373701</v>
          </cell>
        </row>
        <row r="3867">
          <cell r="E3867" t="str">
            <v>SINDRI,DHANBAD
828122</v>
          </cell>
          <cell r="G3867">
            <v>7004661850</v>
          </cell>
          <cell r="K3867" t="str">
            <v>GOEC370640</v>
          </cell>
        </row>
        <row r="3868">
          <cell r="E3868" t="str">
            <v>BARKAGAON, HAZARIBAGH</v>
          </cell>
          <cell r="G3868">
            <v>7070010949</v>
          </cell>
          <cell r="K3868" t="str">
            <v>BWLD231334</v>
          </cell>
        </row>
        <row r="3869">
          <cell r="E3869" t="str">
            <v>BAGSUMA,GOVINDPUR, DHANBAD
GT ROAD, BAGSUMA
828109</v>
          </cell>
          <cell r="G3869">
            <v>9835191288</v>
          </cell>
          <cell r="K3869" t="str">
            <v>BTJC377259</v>
          </cell>
        </row>
        <row r="3870">
          <cell r="E3870" t="str">
            <v>DHANBAD</v>
          </cell>
          <cell r="G3870">
            <v>6207308280</v>
          </cell>
          <cell r="K3870" t="str">
            <v>BTED162231</v>
          </cell>
        </row>
        <row r="3871">
          <cell r="E3871" t="str">
            <v>RANCHI PATNA ROAD
DEMOTAND
825301
HAZARIBAGH</v>
          </cell>
          <cell r="G3871">
            <v>7905424302</v>
          </cell>
          <cell r="K3871" t="str">
            <v>BMBL160078</v>
          </cell>
        </row>
        <row r="3872">
          <cell r="E3872" t="str">
            <v>RANCHI PATNA ROAD
DEMOTAND
825301
HAZARIBAGH</v>
          </cell>
          <cell r="G3872">
            <v>6203465926</v>
          </cell>
          <cell r="K3872" t="str">
            <v>BSCS037531</v>
          </cell>
        </row>
        <row r="3873">
          <cell r="E3873" t="str">
            <v>RANCHI PATNA ROAD
DEMOTAND
825301
HAZARIBAGH</v>
          </cell>
          <cell r="G3873">
            <v>6203465926</v>
          </cell>
          <cell r="K3873" t="str">
            <v>BIFS040367</v>
          </cell>
        </row>
        <row r="3874">
          <cell r="E3874" t="str">
            <v>LODNA</v>
          </cell>
          <cell r="G3874">
            <v>8434845555</v>
          </cell>
          <cell r="K3874" t="str">
            <v>BWAD163648</v>
          </cell>
        </row>
        <row r="3875">
          <cell r="E3875" t="str">
            <v>RANCHI,JHARKHAND
834001
RANCHI</v>
          </cell>
          <cell r="G3875">
            <v>7281962540</v>
          </cell>
          <cell r="K3875" t="str">
            <v>BJHS031586</v>
          </cell>
        </row>
        <row r="3876">
          <cell r="E3876" t="str">
            <v>BERA, DHANBAD</v>
          </cell>
          <cell r="G3876">
            <v>9550053031</v>
          </cell>
          <cell r="K3876" t="str">
            <v>BUAD162634</v>
          </cell>
        </row>
        <row r="3877">
          <cell r="E3877" t="str">
            <v>BASTAWLA DHANBAD</v>
          </cell>
          <cell r="G3877">
            <v>8658834483</v>
          </cell>
          <cell r="K3877" t="str">
            <v>BUAD162630</v>
          </cell>
        </row>
        <row r="3878">
          <cell r="E3878" t="str">
            <v>NAMKUM INDUSTRIAL AREA,RANCHI
834010</v>
          </cell>
          <cell r="G3878">
            <v>6201047012</v>
          </cell>
          <cell r="K3878" t="str">
            <v>BRHS035337</v>
          </cell>
        </row>
        <row r="3879">
          <cell r="E3879" t="str">
            <v>KHURPANIA, KHASHMAHAL, PHUSHRO</v>
          </cell>
          <cell r="G3879">
            <v>7070879625</v>
          </cell>
          <cell r="K3879" t="str">
            <v>BTHD162350</v>
          </cell>
        </row>
        <row r="3880">
          <cell r="E3880" t="str">
            <v>HOSHIR GIDDI,RAMGARH
NEAR P.N. BANK MAIN ROAD, RAMGARH CANTT. 829122
829110</v>
          </cell>
          <cell r="G3880">
            <v>8651078549</v>
          </cell>
          <cell r="K3880" t="str">
            <v>GPJS030042</v>
          </cell>
        </row>
        <row r="3881">
          <cell r="E3881" t="str">
            <v>LODNA</v>
          </cell>
          <cell r="G3881">
            <v>7644045555</v>
          </cell>
          <cell r="K3881" t="str">
            <v>BTDD162169</v>
          </cell>
        </row>
        <row r="3882">
          <cell r="E3882" t="str">
            <v>NAMKUN INDUSTRIAL AREA,RANCHI
834010</v>
          </cell>
          <cell r="G3882">
            <v>8340452790</v>
          </cell>
          <cell r="K3882" t="str">
            <v>BUDS034771</v>
          </cell>
        </row>
        <row r="3883">
          <cell r="E3883" t="str">
            <v>NAMKUM INDUSTRIAL AREA,RANCHI
834010</v>
          </cell>
          <cell r="G3883">
            <v>6201047012</v>
          </cell>
          <cell r="K3883" t="str">
            <v>BRHS035337</v>
          </cell>
        </row>
        <row r="3884">
          <cell r="E3884" t="str">
            <v>LODNA</v>
          </cell>
          <cell r="G3884">
            <v>8434845555</v>
          </cell>
          <cell r="K3884" t="str">
            <v>BWAD163648</v>
          </cell>
        </row>
        <row r="3885">
          <cell r="E3885" t="str">
            <v>KUSAMDHANGA, PAKUR</v>
          </cell>
          <cell r="G3885">
            <v>9525750010</v>
          </cell>
          <cell r="K3885" t="str">
            <v>BQGD220072</v>
          </cell>
        </row>
        <row r="3886">
          <cell r="E3886" t="str">
            <v>GROUND FLOOR, 8H AND 81, NATION PRINTERS, NAMKUM INDUSTRIAL AREA,, LOWADIH, RANCHI
GROUND FLOOR, 8H AND 81, NATION PRINTERS, NAMKUM INDUSTRIAL AREA,, LOWADIH, RANCHI
834010</v>
          </cell>
          <cell r="G3886">
            <v>9386895542</v>
          </cell>
          <cell r="K3886" t="str">
            <v>BRCC372871</v>
          </cell>
        </row>
        <row r="3887">
          <cell r="E3887" t="str">
            <v>DHANBAD</v>
          </cell>
          <cell r="G3887">
            <v>9263634417</v>
          </cell>
          <cell r="K3887" t="str">
            <v>BTCD162159</v>
          </cell>
        </row>
        <row r="3888">
          <cell r="E3888" t="str">
            <v>TUPUDANA, RANCHI</v>
          </cell>
          <cell r="G3888">
            <v>8102915589</v>
          </cell>
          <cell r="K3888" t="str">
            <v>BUDC372327</v>
          </cell>
        </row>
        <row r="3889">
          <cell r="E3889" t="str">
            <v>DIBDIH, RANCHI
834002</v>
          </cell>
          <cell r="G3889">
            <v>8102915588</v>
          </cell>
          <cell r="K3889" t="str">
            <v>BTEC378588</v>
          </cell>
        </row>
        <row r="3890">
          <cell r="E3890" t="str">
            <v>NAGRI,RANCHI
835202
RANCHI</v>
          </cell>
          <cell r="G3890">
            <v>8210444743</v>
          </cell>
          <cell r="K3890" t="str">
            <v>BMJS040004</v>
          </cell>
        </row>
        <row r="3891">
          <cell r="E3891" t="str">
            <v>BANDHTOLI, NAGRI</v>
          </cell>
          <cell r="G3891">
            <v>6201457979</v>
          </cell>
          <cell r="K3891" t="str">
            <v>BUFS046813</v>
          </cell>
        </row>
        <row r="3892">
          <cell r="E3892" t="str">
            <v>HAZARIBAGH
RANCHI JHARKHAND 834002
INDIA</v>
          </cell>
          <cell r="G3892">
            <v>9304664534</v>
          </cell>
          <cell r="K3892" t="str">
            <v>BKAS030685</v>
          </cell>
        </row>
        <row r="3893">
          <cell r="E3893" t="str">
            <v>BARKAGAON, HAZARIBAGH</v>
          </cell>
          <cell r="G3893">
            <v>7070010949</v>
          </cell>
          <cell r="K3893" t="str">
            <v>BWLD231345</v>
          </cell>
        </row>
        <row r="3894">
          <cell r="E3894" t="str">
            <v>BASKATOLA</v>
          </cell>
          <cell r="G3894">
            <v>7489823544</v>
          </cell>
          <cell r="K3894" t="str">
            <v>BULD162577</v>
          </cell>
        </row>
        <row r="3895">
          <cell r="E3895" t="str">
            <v>BASTAKOLA, DHANBAD</v>
          </cell>
          <cell r="G3895">
            <v>7489823544</v>
          </cell>
          <cell r="K3895" t="str">
            <v>BUKD162535</v>
          </cell>
        </row>
        <row r="3896">
          <cell r="E3896" t="str">
            <v>BASTAKOLA, DHANBAD</v>
          </cell>
          <cell r="G3896">
            <v>7489823544</v>
          </cell>
          <cell r="K3896" t="str">
            <v>BQKD160099</v>
          </cell>
        </row>
        <row r="3897">
          <cell r="E3897" t="str">
            <v>DHANBAD</v>
          </cell>
          <cell r="G3897">
            <v>7489823544</v>
          </cell>
          <cell r="K3897" t="str">
            <v>BTDD162186</v>
          </cell>
        </row>
        <row r="3898">
          <cell r="E3898" t="str">
            <v>RAJAPUR, DHANBAD</v>
          </cell>
          <cell r="G3898">
            <v>7667544644</v>
          </cell>
          <cell r="K3898" t="str">
            <v>BQKD200046</v>
          </cell>
        </row>
        <row r="3899">
          <cell r="E3899" t="str">
            <v>TIPUDANA, RANCHI</v>
          </cell>
          <cell r="G3899">
            <v>7070990285</v>
          </cell>
          <cell r="K3899" t="str">
            <v>BUGC373215</v>
          </cell>
        </row>
        <row r="3900">
          <cell r="E3900" t="str">
            <v>RADHAGAON, BOKARO</v>
          </cell>
          <cell r="G3900">
            <v>8959823513</v>
          </cell>
          <cell r="K3900" t="str">
            <v>BSLC374986</v>
          </cell>
        </row>
        <row r="3901">
          <cell r="E3901" t="str">
            <v>KOKAR INDUSTRIAL AREA,RANCHI
834001</v>
          </cell>
          <cell r="G3901">
            <v>8709740232</v>
          </cell>
          <cell r="K3901" t="str">
            <v>BPIC370386</v>
          </cell>
        </row>
        <row r="3902">
          <cell r="E3902" t="str">
            <v>TUPUDANA INDUSTRIAL AREA, RANCHI
PLOT NO. - 45 &amp; 46, TUPUDAN AINDUSTRIAL AREA, TUPUDANA, HATIA, RANCHI
834003
TIPUDANA INDUSTRIAL AREA</v>
          </cell>
          <cell r="G3902">
            <v>7717734248</v>
          </cell>
          <cell r="K3902" t="str">
            <v>BQBS033819</v>
          </cell>
        </row>
        <row r="3903">
          <cell r="E3903" t="str">
            <v>OPP. WAXPOLE TATISILWAY</v>
          </cell>
          <cell r="G3903">
            <v>8987495120</v>
          </cell>
          <cell r="K3903" t="str">
            <v>BVDC376415</v>
          </cell>
        </row>
        <row r="3904">
          <cell r="E3904" t="str">
            <v>TATISILWAI, JHARKHAND
835103</v>
          </cell>
          <cell r="G3904">
            <v>6200160428</v>
          </cell>
          <cell r="K3904" t="str">
            <v>BQHS040705</v>
          </cell>
        </row>
        <row r="3905">
          <cell r="E3905" t="str">
            <v>ASHOK NAGAR, RANCHI</v>
          </cell>
          <cell r="G3905">
            <v>8005942996</v>
          </cell>
          <cell r="K3905" t="str">
            <v>BPLD200068</v>
          </cell>
        </row>
        <row r="3906">
          <cell r="E3906" t="str">
            <v>PLOT NO 716,VILL-RUKKA,
835219</v>
          </cell>
          <cell r="G3906">
            <v>9791019799</v>
          </cell>
          <cell r="K3906" t="str">
            <v>BSKS036365</v>
          </cell>
        </row>
        <row r="3907">
          <cell r="E3907" t="str">
            <v>KATRAS, DHANBAD</v>
          </cell>
          <cell r="G3907">
            <v>9113788032</v>
          </cell>
          <cell r="K3907" t="str">
            <v>BSKD161477</v>
          </cell>
        </row>
        <row r="3908">
          <cell r="E3908" t="str">
            <v>FLAT NO. 300, BLOCK - A, MP SRIRAM, CHHOTA GAMHARIA, P.S. - GAMHARIA, DIST.- SARAIKELA KHARSAWAN</v>
          </cell>
          <cell r="G3908">
            <v>7900700814</v>
          </cell>
          <cell r="K3908" t="str">
            <v>BRBL150944</v>
          </cell>
        </row>
        <row r="3909">
          <cell r="E3909" t="str">
            <v>BHOWRA</v>
          </cell>
          <cell r="G3909">
            <v>6201841406</v>
          </cell>
          <cell r="K3909" t="str">
            <v>BULD162568</v>
          </cell>
        </row>
        <row r="3910">
          <cell r="E3910" t="str">
            <v>OPP. PUNJAB NATIONAL BANK,, BUKRU, RANCHI</v>
          </cell>
          <cell r="G3910">
            <v>7091772999</v>
          </cell>
          <cell r="K3910" t="str">
            <v>BSGD161854</v>
          </cell>
        </row>
        <row r="3911">
          <cell r="E3911" t="str">
            <v>TATISAILWAI</v>
          </cell>
          <cell r="G3911">
            <v>6201580224</v>
          </cell>
          <cell r="K3911" t="str">
            <v>BQBD200008</v>
          </cell>
        </row>
        <row r="3912">
          <cell r="E3912" t="str">
            <v>ASHOK NAGAR, RANCHI</v>
          </cell>
          <cell r="G3912">
            <v>9334701321</v>
          </cell>
          <cell r="K3912" t="str">
            <v>BRGD230256</v>
          </cell>
        </row>
        <row r="3913">
          <cell r="E3913" t="str">
            <v>TAPIN HAZARIBAGH</v>
          </cell>
          <cell r="G3913">
            <v>8002177613</v>
          </cell>
          <cell r="K3913" t="str">
            <v>BTGD162289</v>
          </cell>
        </row>
        <row r="3914">
          <cell r="E3914" t="str">
            <v>SUNDAR NAGAR, JAMSHEDPUR</v>
          </cell>
          <cell r="G3914">
            <v>7908183052</v>
          </cell>
          <cell r="K3914" t="str">
            <v>BUAD162625</v>
          </cell>
        </row>
        <row r="3915">
          <cell r="E3915" t="str">
            <v>BASTAWLA DHANBAD</v>
          </cell>
          <cell r="G3915">
            <v>8658834483</v>
          </cell>
          <cell r="K3915" t="str">
            <v>BUAD162630</v>
          </cell>
        </row>
        <row r="3916">
          <cell r="E3916" t="str">
            <v>Chiturdih, Dhanbad.</v>
          </cell>
          <cell r="G3916">
            <v>9931519401</v>
          </cell>
          <cell r="K3916" t="str">
            <v>BTDD162192</v>
          </cell>
        </row>
        <row r="3917">
          <cell r="E3917" t="str">
            <v>GARHWA DALTONGANJ</v>
          </cell>
          <cell r="G3917">
            <v>7488259727</v>
          </cell>
          <cell r="K3917" t="str">
            <v>BSAD161582</v>
          </cell>
        </row>
        <row r="3918">
          <cell r="E3918" t="str">
            <v>PAKUR</v>
          </cell>
          <cell r="G3918">
            <v>9959134215</v>
          </cell>
          <cell r="K3918" t="str">
            <v>BUKD162491</v>
          </cell>
        </row>
        <row r="3919">
          <cell r="E3919" t="str">
            <v>SHEETLA PRASAD SINGH,, MISHRA PADA, NEAR DURGA MANDIR,, JHARIA, DHANBAD - 828 111, JHARKHAND.</v>
          </cell>
          <cell r="G3919">
            <v>7644045555</v>
          </cell>
          <cell r="K3919" t="str">
            <v>BTKD162112</v>
          </cell>
        </row>
        <row r="3920">
          <cell r="E3920" t="str">
            <v>SHEIKHPURA, BIHAR</v>
          </cell>
          <cell r="G3920">
            <v>9523096951</v>
          </cell>
          <cell r="K3920" t="str">
            <v>BULL160559</v>
          </cell>
        </row>
        <row r="3921">
          <cell r="E3921" t="str">
            <v>HESLA,RAMGARH
829101</v>
          </cell>
          <cell r="G3921">
            <v>7562823341</v>
          </cell>
          <cell r="K3921" t="str">
            <v>BSJS035917</v>
          </cell>
        </row>
        <row r="3922">
          <cell r="E3922" t="str">
            <v>BHOWRA, DHANBAD</v>
          </cell>
          <cell r="G3922">
            <v>7667061376</v>
          </cell>
          <cell r="K3922" t="str">
            <v>BVJD162958</v>
          </cell>
        </row>
        <row r="3923">
          <cell r="E3923" t="str">
            <v>GIRIDIH</v>
          </cell>
          <cell r="G3923">
            <v>7903377362</v>
          </cell>
          <cell r="K3923" t="str">
            <v>BVFS049456</v>
          </cell>
        </row>
        <row r="3924">
          <cell r="E3924" t="str">
            <v>RAMGARH
829103
NAYA MORE</v>
          </cell>
          <cell r="G3924">
            <v>6201225253</v>
          </cell>
          <cell r="K3924" t="str">
            <v>BRGS035169</v>
          </cell>
        </row>
        <row r="3925">
          <cell r="E3925" t="str">
            <v>NAYA MORE,RAMGARH
ARA SARU BERA ROAD, NAYA, RAMGARH,JHARKHAND
829110
NAYA MORE</v>
          </cell>
          <cell r="G3925">
            <v>6201225253</v>
          </cell>
          <cell r="K3925" t="str">
            <v>BQBS033796</v>
          </cell>
        </row>
        <row r="3926">
          <cell r="E3926" t="str">
            <v>GIRIDIH</v>
          </cell>
          <cell r="G3926">
            <v>9931110056</v>
          </cell>
          <cell r="K3926" t="str">
            <v>BWBD163701</v>
          </cell>
        </row>
        <row r="3927">
          <cell r="E3927" t="str">
            <v>BEGUSARAI, BIHAR</v>
          </cell>
          <cell r="G3927">
            <v>6205667340</v>
          </cell>
          <cell r="K3927" t="str">
            <v>BVIL161081</v>
          </cell>
        </row>
        <row r="3928">
          <cell r="E3928" t="str">
            <v>RAMGRAH</v>
          </cell>
          <cell r="G3928">
            <v>7870549349</v>
          </cell>
          <cell r="K3928" t="str">
            <v>BUBS034006</v>
          </cell>
        </row>
        <row r="3929">
          <cell r="E3929" t="str">
            <v>RANCHI
834002</v>
          </cell>
          <cell r="G3929">
            <v>8210241710</v>
          </cell>
          <cell r="K3929" t="str">
            <v>BTIS032020</v>
          </cell>
        </row>
        <row r="3930">
          <cell r="E3930" t="str">
            <v>CHATRA</v>
          </cell>
          <cell r="G3930">
            <v>7735729983</v>
          </cell>
          <cell r="K3930" t="str">
            <v>BHKS030073</v>
          </cell>
        </row>
        <row r="3931">
          <cell r="E3931" t="str">
            <v>RANCHI
834002</v>
          </cell>
          <cell r="G3931">
            <v>9210241710</v>
          </cell>
          <cell r="K3931" t="str">
            <v>BTIS032025</v>
          </cell>
        </row>
        <row r="3932">
          <cell r="E3932" t="str">
            <v>ARGADA ROAD, BINJHAR, P.O. - MARAR, RAMGARH
829117</v>
          </cell>
          <cell r="G3932">
            <v>8294504879</v>
          </cell>
          <cell r="K3932" t="str">
            <v>BSCS037449</v>
          </cell>
        </row>
        <row r="3933">
          <cell r="E3933" t="str">
            <v>LODNA MORE</v>
          </cell>
          <cell r="G3933">
            <v>9550053031</v>
          </cell>
          <cell r="K3933" t="str">
            <v>BWKD163543</v>
          </cell>
        </row>
        <row r="3934">
          <cell r="E3934" t="str">
            <v>LODNA MORE</v>
          </cell>
          <cell r="G3934">
            <v>9500053031</v>
          </cell>
          <cell r="K3934" t="str">
            <v>BVFD163261</v>
          </cell>
        </row>
        <row r="3935">
          <cell r="E3935" t="str">
            <v>BALIDIH BOKARO</v>
          </cell>
          <cell r="G3935">
            <v>9733293030</v>
          </cell>
          <cell r="K3935" t="str">
            <v>BVFS049365</v>
          </cell>
        </row>
        <row r="3936">
          <cell r="E3936" t="str">
            <v>BALIDIH BOKARO</v>
          </cell>
          <cell r="G3936">
            <v>9733293030</v>
          </cell>
          <cell r="K3936" t="str">
            <v>BVFS049364</v>
          </cell>
        </row>
        <row r="3937">
          <cell r="E3937" t="str">
            <v>11 PINJRAPOLE, HARMU ROAD, RANCHI
11 PINJRAPOLE, HARMU ROAD, RANCHI
834001
MAHILONG, TATISILWAY</v>
          </cell>
          <cell r="G3937">
            <v>9709000070</v>
          </cell>
          <cell r="K3937" t="str">
            <v>BNCC370425</v>
          </cell>
        </row>
        <row r="3938">
          <cell r="E3938" t="str">
            <v>GOVINDPUR DHANBAD</v>
          </cell>
          <cell r="G3938">
            <v>9110154620</v>
          </cell>
          <cell r="K3938" t="str">
            <v>BRFS034901</v>
          </cell>
        </row>
        <row r="3939">
          <cell r="E3939" t="str">
            <v>LODNA</v>
          </cell>
          <cell r="G3939">
            <v>8434845555</v>
          </cell>
          <cell r="K3939" t="str">
            <v>BWAD163648</v>
          </cell>
        </row>
        <row r="3940">
          <cell r="E3940" t="str">
            <v>MANDU, RAMGARH
JAISWAL COLONY, THANA CHOW,, RAMGARH CANTT. DIST. RAMGARH, JHARKHAND
825316
MANDU</v>
          </cell>
          <cell r="G3940">
            <v>8797891051</v>
          </cell>
          <cell r="K3940" t="str">
            <v>BWCS032691</v>
          </cell>
        </row>
        <row r="3941">
          <cell r="E3941" t="str">
            <v>KHURPANIA, KHASHMAHAL, PHUSHRO</v>
          </cell>
          <cell r="G3941">
            <v>6299732316</v>
          </cell>
          <cell r="K3941" t="str">
            <v>BTHD162350</v>
          </cell>
        </row>
        <row r="3942">
          <cell r="E3942" t="str">
            <v>JASIDIH, DEOGHAR
814142</v>
          </cell>
          <cell r="G3942">
            <v>6202270389</v>
          </cell>
          <cell r="K3942" t="str">
            <v>BSBC375571</v>
          </cell>
        </row>
        <row r="3943">
          <cell r="E3943" t="str">
            <v>OPERATIONS OFFICER, BOKARO BP, KIND ATTEN.ABHISHEK TRIPATHI, MOB. NO.8789972995, VENDOR CODE-11970380
OPERATIONS OFFICER, BOKARO BP, KIND ATTEN.ABHISHEK TRIPATHI, MOB. NO.8789972995, VENDOR CODE-11970380
827014
LPG BOTTALING PLANT, BALIDIH,</v>
          </cell>
          <cell r="G3943">
            <v>7905252185</v>
          </cell>
          <cell r="K3943" t="str">
            <v>BOCS040147</v>
          </cell>
        </row>
        <row r="3944">
          <cell r="E3944" t="str">
            <v>DEOGRAH</v>
          </cell>
          <cell r="G3944">
            <v>9065522796</v>
          </cell>
          <cell r="K3944" t="str">
            <v>BWCC379822</v>
          </cell>
        </row>
        <row r="3945">
          <cell r="E3945" t="str">
            <v>REHLA,GARWA,JHARKHAND
822124
RANCHI</v>
          </cell>
          <cell r="G3945">
            <v>7004623399</v>
          </cell>
          <cell r="K3945" t="str">
            <v>BMFS031346</v>
          </cell>
        </row>
        <row r="3946">
          <cell r="E3946" t="str">
            <v>BARKAGAOUN, HAZARIBAGH</v>
          </cell>
          <cell r="G3946">
            <v>6201454991</v>
          </cell>
          <cell r="K3946" t="str">
            <v>BVED231179</v>
          </cell>
        </row>
        <row r="3947">
          <cell r="E3947" t="str">
            <v>PLOT NO 716,VILL-RUKKA,
835219</v>
          </cell>
          <cell r="G3947">
            <v>9791019799</v>
          </cell>
          <cell r="K3947" t="str">
            <v>BSKS036366</v>
          </cell>
        </row>
        <row r="3948">
          <cell r="E3948" t="str">
            <v>PLOT NO 716,VILL-RUKKA,
835219</v>
          </cell>
          <cell r="G3948">
            <v>9791019799</v>
          </cell>
          <cell r="K3948" t="str">
            <v>BSKS036365</v>
          </cell>
        </row>
        <row r="3949">
          <cell r="E3949" t="str">
            <v>CHAS BOKARO</v>
          </cell>
          <cell r="G3949">
            <v>9135780550</v>
          </cell>
          <cell r="K3949" t="str">
            <v>BPJD200007</v>
          </cell>
        </row>
        <row r="3950">
          <cell r="E3950" t="str">
            <v>TAPIN PROJECT, TAPIN</v>
          </cell>
          <cell r="G3950">
            <v>8521064546</v>
          </cell>
          <cell r="K3950" t="str">
            <v>BUID162953</v>
          </cell>
        </row>
        <row r="3951">
          <cell r="E3951" t="str">
            <v>SUNDER NAGAR, JAMSHEDPUR</v>
          </cell>
          <cell r="G3951">
            <v>9437548852</v>
          </cell>
          <cell r="K3951" t="str">
            <v>BVED163231</v>
          </cell>
        </row>
        <row r="3952">
          <cell r="E3952" t="str">
            <v>SUNDER NAGAR, JAMSHEDPUR</v>
          </cell>
          <cell r="G3952">
            <v>9437548852</v>
          </cell>
          <cell r="K3952" t="str">
            <v>BVED163235</v>
          </cell>
        </row>
        <row r="3953">
          <cell r="E3953" t="str">
            <v>GOVINDPUR, DHANBAD</v>
          </cell>
          <cell r="G3953">
            <v>7354622131</v>
          </cell>
          <cell r="K3953" t="str">
            <v>BVDS039346</v>
          </cell>
        </row>
        <row r="3954">
          <cell r="E3954" t="str">
            <v>GIRIDIH</v>
          </cell>
          <cell r="G3954">
            <v>8051062502</v>
          </cell>
          <cell r="K3954" t="str">
            <v>BVKS048107</v>
          </cell>
        </row>
        <row r="3955">
          <cell r="E3955" t="str">
            <v>NTA LODNA, DHANBAD</v>
          </cell>
          <cell r="G3955">
            <v>7061894965</v>
          </cell>
          <cell r="K3955" t="str">
            <v>BULD162559</v>
          </cell>
        </row>
        <row r="3956">
          <cell r="E3956" t="str">
            <v>BADA TALAB, RANCHI</v>
          </cell>
          <cell r="G3956">
            <v>6207568694</v>
          </cell>
          <cell r="K3956" t="str">
            <v>BVFC377137</v>
          </cell>
        </row>
        <row r="3957">
          <cell r="E3957" t="str">
            <v>AT - HEHAL, POST - BARKAKANA
BARKAKANA
829103</v>
          </cell>
          <cell r="G3957">
            <v>6200896545</v>
          </cell>
          <cell r="K3957" t="str">
            <v>BUAS033580</v>
          </cell>
        </row>
        <row r="3958">
          <cell r="E3958" t="str">
            <v>PHOOLWARTAND, DHANBAD</v>
          </cell>
          <cell r="G3958">
            <v>8210106692</v>
          </cell>
          <cell r="K3958" t="str">
            <v>BVHD163393</v>
          </cell>
        </row>
        <row r="3959">
          <cell r="E3959" t="str">
            <v>PITHORIA</v>
          </cell>
          <cell r="G3959">
            <v>9835321621</v>
          </cell>
          <cell r="K3959" t="str">
            <v>BVCC376206</v>
          </cell>
        </row>
        <row r="3960">
          <cell r="E3960" t="str">
            <v>ARGADA ROAD, BINJHAR, P.O. - MARAR, RAMGARH
829117</v>
          </cell>
          <cell r="G3960">
            <v>8294504879</v>
          </cell>
          <cell r="K3960" t="str">
            <v>BSCS037449</v>
          </cell>
        </row>
        <row r="3961">
          <cell r="E3961" t="str">
            <v>DHANBAD</v>
          </cell>
          <cell r="G3961">
            <v>6207308280</v>
          </cell>
          <cell r="K3961" t="str">
            <v>BTED162231</v>
          </cell>
        </row>
        <row r="3962">
          <cell r="E3962" t="str">
            <v>DEOGRAH</v>
          </cell>
          <cell r="G3962">
            <v>9065522796</v>
          </cell>
          <cell r="K3962" t="str">
            <v>BWCC379822</v>
          </cell>
        </row>
        <row r="3963">
          <cell r="E3963" t="str">
            <v>BAZAR SAMITI,RAMGARH
829122</v>
          </cell>
          <cell r="G3963">
            <v>9835764965</v>
          </cell>
          <cell r="K3963" t="str">
            <v>BSBC375576</v>
          </cell>
        </row>
        <row r="3964">
          <cell r="E3964" t="str">
            <v>TETULWARI</v>
          </cell>
          <cell r="G3964">
            <v>9835747740</v>
          </cell>
          <cell r="K3964" t="str">
            <v>BTGD162296</v>
          </cell>
        </row>
        <row r="3965">
          <cell r="E3965" t="str">
            <v>PIPRA</v>
          </cell>
          <cell r="G3965">
            <v>7546914655</v>
          </cell>
          <cell r="K3965" t="str">
            <v>BVIL161084</v>
          </cell>
        </row>
        <row r="3966">
          <cell r="E3966" t="str">
            <v>PHUSHRO</v>
          </cell>
          <cell r="G3966">
            <v>7091340232</v>
          </cell>
          <cell r="K3966" t="str">
            <v>BVKD163026</v>
          </cell>
        </row>
        <row r="3967">
          <cell r="E3967" t="str">
            <v>JASIDIH, DEOGHAR
814142</v>
          </cell>
          <cell r="G3967">
            <v>9431794976</v>
          </cell>
          <cell r="K3967" t="str">
            <v>BSEC376083</v>
          </cell>
        </row>
        <row r="3968">
          <cell r="E3968" t="str">
            <v xml:space="preserve">TOPIN SOUTH  </v>
          </cell>
          <cell r="G3968">
            <v>9102994453</v>
          </cell>
          <cell r="K3968" t="str">
            <v>BSGD161864</v>
          </cell>
        </row>
        <row r="3969">
          <cell r="E3969" t="str">
            <v>JASIDIH, DEOGHAR
814142</v>
          </cell>
          <cell r="G3969">
            <v>6202270389</v>
          </cell>
          <cell r="K3969" t="str">
            <v>BSBC375571</v>
          </cell>
        </row>
        <row r="3970">
          <cell r="E3970" t="str">
            <v>RAMGRAH</v>
          </cell>
          <cell r="G3970">
            <v>8709937739</v>
          </cell>
          <cell r="K3970" t="str">
            <v>BWBC379643</v>
          </cell>
        </row>
        <row r="3971">
          <cell r="E3971" t="str">
            <v>TIPUDANA, RANCHI</v>
          </cell>
          <cell r="G3971">
            <v>7070990285</v>
          </cell>
          <cell r="K3971" t="str">
            <v>BUGC373215</v>
          </cell>
        </row>
        <row r="3972">
          <cell r="E3972" t="str">
            <v>ANGAR PATRA,DHANBAD</v>
          </cell>
          <cell r="G3972">
            <v>6207308280</v>
          </cell>
          <cell r="K3972" t="str">
            <v>BSGD161898</v>
          </cell>
        </row>
        <row r="3973">
          <cell r="E3973" t="str">
            <v>C/O - AMAN AGRAWAL, PLOT NO. 735, KAITHA, RAMGARH CANTT., RAMGARH
825101</v>
          </cell>
          <cell r="G3973">
            <v>8709937739</v>
          </cell>
          <cell r="K3973" t="str">
            <v>BSDC375954</v>
          </cell>
        </row>
        <row r="3974">
          <cell r="E3974" t="str">
            <v>CHANDWA, RANCHI</v>
          </cell>
          <cell r="G3974">
            <v>8168068360</v>
          </cell>
          <cell r="K3974" t="str">
            <v>BVEC376812</v>
          </cell>
        </row>
        <row r="3975">
          <cell r="E3975" t="str">
            <v>PAKUR</v>
          </cell>
          <cell r="G3975">
            <v>9608770887</v>
          </cell>
          <cell r="K3975" t="str">
            <v>BUKD162500</v>
          </cell>
        </row>
        <row r="3976">
          <cell r="E3976" t="str">
            <v>MUNGMA</v>
          </cell>
          <cell r="G3976">
            <v>7439816339</v>
          </cell>
          <cell r="K3976" t="str">
            <v>BNCS030884</v>
          </cell>
        </row>
        <row r="3977">
          <cell r="E3977" t="str">
            <v>BHULI, DHANBAD</v>
          </cell>
          <cell r="G3977">
            <v>7541046561</v>
          </cell>
          <cell r="K3977" t="str">
            <v>BVFS039912</v>
          </cell>
        </row>
        <row r="3978">
          <cell r="E3978" t="str">
            <v>BHOWRA</v>
          </cell>
          <cell r="G3978">
            <v>9931519401</v>
          </cell>
          <cell r="K3978" t="str">
            <v>BSGD161904</v>
          </cell>
        </row>
        <row r="3979">
          <cell r="E3979" t="str">
            <v>NAMKUM, RANCHI</v>
          </cell>
          <cell r="G3979">
            <v>8740968746</v>
          </cell>
          <cell r="K3979" t="str">
            <v>BVKS037559</v>
          </cell>
        </row>
        <row r="3980">
          <cell r="E3980" t="str">
            <v>DUMRI, DHANBAD</v>
          </cell>
          <cell r="G3980">
            <v>6204545670</v>
          </cell>
          <cell r="K3980" t="str">
            <v>BVHD163374</v>
          </cell>
        </row>
        <row r="3981">
          <cell r="E3981" t="str">
            <v>JARANDIH, PHUSHRO</v>
          </cell>
          <cell r="G3981">
            <v>7541869555</v>
          </cell>
          <cell r="K3981" t="str">
            <v>BTKD162074</v>
          </cell>
        </row>
        <row r="3982">
          <cell r="E3982" t="str">
            <v>LODNA</v>
          </cell>
          <cell r="G3982">
            <v>8434845555</v>
          </cell>
          <cell r="K3982" t="str">
            <v>BTCD162149</v>
          </cell>
        </row>
        <row r="3983">
          <cell r="E3983" t="str">
            <v>RAMGARH,JHARKHAND
829122</v>
          </cell>
          <cell r="G3983">
            <v>9934012694</v>
          </cell>
          <cell r="K3983" t="str">
            <v>BOKC370020</v>
          </cell>
        </row>
        <row r="3984">
          <cell r="E3984" t="str">
            <v>PLOT NO. 148, TUPUDANA, INDUSTRIAL AREA, HATIA, RANCHI
834002</v>
          </cell>
          <cell r="G3984">
            <v>9534249500</v>
          </cell>
          <cell r="K3984" t="str">
            <v>BSLS036682</v>
          </cell>
        </row>
        <row r="3985">
          <cell r="E3985" t="str">
            <v>PLOT NO. 148, TUPUDANA, INDUSTRIAL AREA, HATIA, RANCHI
834002</v>
          </cell>
          <cell r="G3985">
            <v>9534249500</v>
          </cell>
          <cell r="K3985" t="str">
            <v>BRIS035838</v>
          </cell>
        </row>
        <row r="3986">
          <cell r="E3986" t="str">
            <v>TUPUDANA INDUSTRIAL AREA,RANCHI
834003</v>
          </cell>
          <cell r="G3986">
            <v>7979877049</v>
          </cell>
          <cell r="K3986" t="str">
            <v>BRIS035695</v>
          </cell>
        </row>
        <row r="3987">
          <cell r="E3987" t="str">
            <v>BEGUSARAI</v>
          </cell>
          <cell r="G3987">
            <v>7738515781</v>
          </cell>
          <cell r="K3987" t="str">
            <v>BWJL153355</v>
          </cell>
        </row>
        <row r="3988">
          <cell r="E3988" t="str">
            <v>ASHOKA PROJECT PIPARWAR</v>
          </cell>
          <cell r="G3988">
            <v>9102994454</v>
          </cell>
          <cell r="K3988" t="str">
            <v>BUID162912</v>
          </cell>
        </row>
        <row r="3989">
          <cell r="E3989" t="str">
            <v>CHAINA MORE</v>
          </cell>
          <cell r="G3989">
            <v>6201438329</v>
          </cell>
          <cell r="K3989" t="str">
            <v>BJJS040039</v>
          </cell>
        </row>
        <row r="3990">
          <cell r="E3990" t="str">
            <v>ORMANJHI</v>
          </cell>
          <cell r="G3990">
            <v>9801218570</v>
          </cell>
          <cell r="K3990" t="str">
            <v>BVHD163336</v>
          </cell>
        </row>
        <row r="3991">
          <cell r="E3991" t="str">
            <v>KOKAR INDUSTRIAL AREA,RANCHI
834002
KOKAR INDUSTRIAL AREA</v>
          </cell>
          <cell r="G3991">
            <v>6202536795</v>
          </cell>
          <cell r="K3991" t="str">
            <v>BQAC373733</v>
          </cell>
        </row>
        <row r="3992">
          <cell r="E3992" t="str">
            <v>DHANBAD</v>
          </cell>
          <cell r="G3992">
            <v>8106167121</v>
          </cell>
          <cell r="K3992" t="str">
            <v>BRGD161225</v>
          </cell>
        </row>
        <row r="3993">
          <cell r="E3993" t="str">
            <v>NAGARI,</v>
          </cell>
          <cell r="G3993">
            <v>8294385129</v>
          </cell>
          <cell r="K3993" t="str">
            <v>BLGS040582</v>
          </cell>
        </row>
        <row r="3994">
          <cell r="E3994" t="str">
            <v>NAGARI,</v>
          </cell>
          <cell r="G3994">
            <v>7903706711</v>
          </cell>
          <cell r="K3994" t="str">
            <v>BILS030211</v>
          </cell>
        </row>
        <row r="3995">
          <cell r="E3995" t="str">
            <v>KODERMA</v>
          </cell>
          <cell r="G3995">
            <v>8210413459</v>
          </cell>
          <cell r="K3995" t="str">
            <v>BVFS049421</v>
          </cell>
        </row>
        <row r="3996">
          <cell r="E3996" t="str">
            <v>A-3, 2ND PHASE, ADITYAPUR INDUSTRIAL AREA, ADITYAPUR, JAMSHEDPUR, JHARKHAND
A-3, 2ND PHASE, ADITYAPUR INDUSTRIAL AREA, ADITYAPUR, JAMSHEDPUR, JHARKHAND
831013
JAMHEDPUR</v>
          </cell>
          <cell r="G3996">
            <v>9608189810</v>
          </cell>
          <cell r="K3996" t="str">
            <v>GPBC370442</v>
          </cell>
        </row>
        <row r="3997">
          <cell r="E3997" t="str">
            <v>GIRIDIH</v>
          </cell>
          <cell r="G3997">
            <v>9570128391</v>
          </cell>
          <cell r="K3997" t="str">
            <v>BBKB042676</v>
          </cell>
        </row>
        <row r="3998">
          <cell r="E3998" t="str">
            <v>KALYANI, PHUSHRO</v>
          </cell>
          <cell r="G3998">
            <v>8106167121</v>
          </cell>
          <cell r="K3998" t="str">
            <v>BRHD161312</v>
          </cell>
        </row>
        <row r="3999">
          <cell r="E3999" t="str">
            <v>PHUSHRO</v>
          </cell>
          <cell r="G3999">
            <v>7091340232</v>
          </cell>
          <cell r="K3999" t="str">
            <v>BVKD163026</v>
          </cell>
        </row>
        <row r="4000">
          <cell r="E4000" t="str">
            <v>PHUSHRO</v>
          </cell>
          <cell r="G4000">
            <v>7091340232</v>
          </cell>
          <cell r="K4000" t="str">
            <v>BVED163244</v>
          </cell>
        </row>
        <row r="4001">
          <cell r="E4001" t="str">
            <v>PHUSHRO</v>
          </cell>
          <cell r="G4001">
            <v>7091340232</v>
          </cell>
          <cell r="K4001" t="str">
            <v>BWAD163687</v>
          </cell>
        </row>
        <row r="4002">
          <cell r="E4002" t="str">
            <v>PHUSHRO</v>
          </cell>
          <cell r="G4002">
            <v>7091340232</v>
          </cell>
          <cell r="K4002" t="str">
            <v>BVED163240</v>
          </cell>
        </row>
        <row r="4003">
          <cell r="E4003" t="str">
            <v>ADITYAPUR KANDRA ROAD
831013</v>
          </cell>
          <cell r="G4003">
            <v>9608189810</v>
          </cell>
          <cell r="K4003" t="str">
            <v>BRDC373261</v>
          </cell>
        </row>
        <row r="4004">
          <cell r="E4004" t="str">
            <v>BIT MESRA, RANCHI</v>
          </cell>
          <cell r="G4004">
            <v>8010635349</v>
          </cell>
          <cell r="K4004" t="str">
            <v>BVIC378175</v>
          </cell>
        </row>
        <row r="4005">
          <cell r="E4005" t="str">
            <v>MANDU, RAMGARH
JAISWAL COLONY, THANA CHOW,, RAMGARH CANTT. DIST. RAMGARH, JHARKHAND
825316
MANDU</v>
          </cell>
          <cell r="G4005">
            <v>7654107064</v>
          </cell>
          <cell r="K4005" t="str">
            <v>BWLS032057</v>
          </cell>
        </row>
        <row r="4006">
          <cell r="E4006" t="str">
            <v>BUSUR, ORMANJHI</v>
          </cell>
          <cell r="G4006">
            <v>7209999899</v>
          </cell>
          <cell r="K4006" t="str">
            <v>BVJC374173</v>
          </cell>
        </row>
        <row r="4007">
          <cell r="E4007" t="str">
            <v>PHOOLWARTAND, DHANBAD</v>
          </cell>
          <cell r="G4007">
            <v>8106167121</v>
          </cell>
          <cell r="K4007" t="str">
            <v>BVHD163393</v>
          </cell>
        </row>
        <row r="4008">
          <cell r="E4008" t="str">
            <v>RANCHI</v>
          </cell>
          <cell r="G4008">
            <v>9430143630</v>
          </cell>
          <cell r="K4008" t="str">
            <v>BVJC374172</v>
          </cell>
        </row>
        <row r="4009">
          <cell r="E4009" t="str">
            <v>TETULWARI</v>
          </cell>
          <cell r="G4009">
            <v>9835747740</v>
          </cell>
          <cell r="K4009" t="str">
            <v>BTGD162296</v>
          </cell>
        </row>
        <row r="4010">
          <cell r="E4010" t="str">
            <v>HESLA,RAMGARH
829101</v>
          </cell>
          <cell r="G4010">
            <v>7562823341</v>
          </cell>
          <cell r="K4010" t="str">
            <v>BSDS037710</v>
          </cell>
        </row>
        <row r="4011">
          <cell r="E4011" t="str">
            <v>HESLA,RAMGARH
829101</v>
          </cell>
          <cell r="G4011">
            <v>7562823341</v>
          </cell>
          <cell r="K4011" t="str">
            <v>BSJS035917</v>
          </cell>
        </row>
        <row r="4012">
          <cell r="E4012" t="str">
            <v>GODDA</v>
          </cell>
          <cell r="G4012">
            <v>9989394461</v>
          </cell>
          <cell r="K4012" t="str">
            <v>BWCD121690</v>
          </cell>
        </row>
        <row r="4013">
          <cell r="E4013" t="str">
            <v>KODERMA</v>
          </cell>
          <cell r="G4013">
            <v>6201438329</v>
          </cell>
          <cell r="K4013" t="str">
            <v>BWLS031959</v>
          </cell>
        </row>
        <row r="4014">
          <cell r="E4014" t="str">
            <v>PHUSHRO</v>
          </cell>
          <cell r="G4014">
            <v>7091340232</v>
          </cell>
          <cell r="K4014" t="str">
            <v>BRFD161164</v>
          </cell>
        </row>
        <row r="4015">
          <cell r="E4015" t="str">
            <v>BALIDIH INDUSTRIAL AREA
827014</v>
          </cell>
          <cell r="G4015">
            <v>8100184482</v>
          </cell>
          <cell r="K4015" t="str">
            <v>BTDS044313</v>
          </cell>
        </row>
        <row r="4016">
          <cell r="E4016" t="str">
            <v>BALIDIH, BOKARO</v>
          </cell>
          <cell r="G4016">
            <v>9523599905</v>
          </cell>
          <cell r="K4016" t="str">
            <v>BVCC376207</v>
          </cell>
        </row>
        <row r="4017">
          <cell r="E4017" t="str">
            <v>BALIDIH INDUSTRIAL AREA
827014</v>
          </cell>
          <cell r="G4017">
            <v>9553775728</v>
          </cell>
          <cell r="K4017" t="str">
            <v>BTDS044304</v>
          </cell>
        </row>
        <row r="4018">
          <cell r="E4018" t="str">
            <v>MANDU, RAMGARH
JAISWAL COLONY, THANA CHOW,, RAMGARH CANTT. DIST. RAMGARH, JHARKHAND
825316
MANDU</v>
          </cell>
          <cell r="G4018">
            <v>8797891051</v>
          </cell>
          <cell r="K4018" t="str">
            <v>BSGS043527</v>
          </cell>
        </row>
        <row r="4019">
          <cell r="E4019" t="str">
            <v>SARNATOLI,ANGADA,RANCHI
835222</v>
          </cell>
          <cell r="G4019">
            <v>9110012919</v>
          </cell>
          <cell r="K4019" t="str">
            <v>BSAF110719</v>
          </cell>
        </row>
        <row r="4020">
          <cell r="E4020" t="str">
            <v>ANGARA, TATISILWAI</v>
          </cell>
          <cell r="G4020">
            <v>9110012919</v>
          </cell>
          <cell r="K4020" t="str">
            <v>BVGF111611</v>
          </cell>
        </row>
        <row r="4021">
          <cell r="E4021" t="str">
            <v>ANGARA, TATISILWAI</v>
          </cell>
          <cell r="G4021">
            <v>9110012919</v>
          </cell>
          <cell r="K4021" t="str">
            <v>BVGF111615</v>
          </cell>
        </row>
        <row r="4022">
          <cell r="E4022" t="str">
            <v>ASHOKA PROJECT PIPARWAR</v>
          </cell>
          <cell r="G4022">
            <v>9934734139</v>
          </cell>
          <cell r="K4022" t="str">
            <v>BUID162912</v>
          </cell>
        </row>
        <row r="4023">
          <cell r="E4023" t="str">
            <v>KEREDARI</v>
          </cell>
          <cell r="G4023">
            <v>8885552542</v>
          </cell>
          <cell r="K4023" t="str">
            <v>BVHD163388</v>
          </cell>
        </row>
        <row r="4024">
          <cell r="E4024" t="str">
            <v>TUPUDANA INDUSTRIAL AREA, RANCHI
PLOT NO. - 45 &amp; 46, TUPUDAN AINDUSTRIAL AREA, TUPUDANA, HATIA, RANCHI
834003
TIPUDANA INDUSTRIAL AREA</v>
          </cell>
          <cell r="G4024">
            <v>7717734248</v>
          </cell>
          <cell r="K4024" t="str">
            <v>BQBS033819</v>
          </cell>
        </row>
        <row r="4025">
          <cell r="E4025" t="str">
            <v>GOBINDPUR INDUSTRIAL AREA, DHANBAD</v>
          </cell>
          <cell r="G4025">
            <v>9113169811</v>
          </cell>
          <cell r="K4025" t="str">
            <v>BVJS047894</v>
          </cell>
        </row>
        <row r="4026">
          <cell r="E4026" t="str">
            <v>GOMO, DHANBAD</v>
          </cell>
          <cell r="G4026">
            <v>9771445132</v>
          </cell>
          <cell r="K4026" t="str">
            <v>EUCS034229</v>
          </cell>
        </row>
        <row r="4027">
          <cell r="E4027" t="str">
            <v>TATULMURI, DHANBAD</v>
          </cell>
          <cell r="G4027">
            <v>9000090047</v>
          </cell>
          <cell r="K4027" t="str">
            <v>BUGD162852</v>
          </cell>
        </row>
        <row r="4028">
          <cell r="E4028" t="str">
            <v>MUNGMA</v>
          </cell>
          <cell r="G4028">
            <v>7439816339</v>
          </cell>
          <cell r="K4028" t="str">
            <v>BNCS030884</v>
          </cell>
        </row>
        <row r="4029">
          <cell r="E4029" t="str">
            <v>KULI, RAMGRAH</v>
          </cell>
          <cell r="G4029">
            <v>9691773091</v>
          </cell>
          <cell r="K4029" t="str">
            <v>BVGD163297</v>
          </cell>
        </row>
        <row r="4030">
          <cell r="E4030" t="str">
            <v>FLAT NO. 300, BLOCK - A, MP SRIRAM, CHHOTA GAMHARIA, P.S. - GAMHARIA, DIST.- SARAIKELA KHARSAWAN</v>
          </cell>
          <cell r="G4030">
            <v>7600700314</v>
          </cell>
          <cell r="K4030" t="str">
            <v>BRGL151464</v>
          </cell>
        </row>
        <row r="4031">
          <cell r="E4031" t="str">
            <v>FLAT NO. 300, BLOCK - A, MP SRIRAM, CHHOTA GAMHARIA, P.S. - GAMHARIA, DIST.- SARAIKELA KHARSAWAN</v>
          </cell>
          <cell r="G4031">
            <v>7900700814</v>
          </cell>
          <cell r="K4031" t="str">
            <v>BRGL151468</v>
          </cell>
        </row>
        <row r="4032">
          <cell r="E4032" t="str">
            <v>RAMGARH</v>
          </cell>
          <cell r="G4032">
            <v>7004401831</v>
          </cell>
          <cell r="K4032" t="str">
            <v>BQJD200011</v>
          </cell>
        </row>
        <row r="4033">
          <cell r="E4033" t="str">
            <v>JHARKHAND</v>
          </cell>
          <cell r="G4033">
            <v>9555053031</v>
          </cell>
          <cell r="K4033" t="str">
            <v>BQJD160040</v>
          </cell>
        </row>
        <row r="4034">
          <cell r="E4034" t="str">
            <v>ANKIT KUMAR SONTHALIA, R.N. BOSE ROAD, SATSANG GATE, NEAR HANUMAN MANDIR,, PURANDAHA, DEOGHAR, DIST. DUMKA,, JHARKHAND</v>
          </cell>
          <cell r="G4034">
            <v>8101028484</v>
          </cell>
          <cell r="K4034" t="str">
            <v>BSFD161795</v>
          </cell>
        </row>
        <row r="4035">
          <cell r="E4035" t="str">
            <v>NAWADA, BIHAR</v>
          </cell>
          <cell r="G4035">
            <v>7255010416</v>
          </cell>
          <cell r="K4035" t="str">
            <v>BTEL160427</v>
          </cell>
        </row>
        <row r="4036">
          <cell r="E4036" t="str">
            <v>PALAMU</v>
          </cell>
          <cell r="G4036">
            <v>7903236357</v>
          </cell>
          <cell r="K4036" t="str">
            <v>BSJD161378</v>
          </cell>
        </row>
        <row r="4037">
          <cell r="E4037" t="str">
            <v>DHANBAD JHARKHAND</v>
          </cell>
          <cell r="G4037">
            <v>7489823544</v>
          </cell>
          <cell r="K4037" t="str">
            <v>BQKD160115</v>
          </cell>
        </row>
        <row r="4038">
          <cell r="E4038" t="str">
            <v>DHANBAD</v>
          </cell>
          <cell r="G4038">
            <v>7489823544</v>
          </cell>
          <cell r="K4038" t="str">
            <v>BTDD162186</v>
          </cell>
        </row>
        <row r="4039">
          <cell r="E4039" t="str">
            <v>KOKAR, RANCHI</v>
          </cell>
          <cell r="G4039">
            <v>8051191796</v>
          </cell>
          <cell r="K4039" t="str">
            <v>BRGD161233</v>
          </cell>
        </row>
        <row r="4040">
          <cell r="E4040" t="str">
            <v>BIHAR, BEGUSARAI</v>
          </cell>
          <cell r="G4040">
            <v>8877841639</v>
          </cell>
          <cell r="K4040" t="str">
            <v>BUJD121019</v>
          </cell>
        </row>
        <row r="4041">
          <cell r="E4041" t="str">
            <v>KAARO SUBHASH NAGAR, DHANBAD</v>
          </cell>
          <cell r="G4041">
            <v>7873039065</v>
          </cell>
          <cell r="K4041" t="str">
            <v>BTFD162243</v>
          </cell>
        </row>
        <row r="4042">
          <cell r="E4042" t="str">
            <v>TOPA MINES, RAMGARH</v>
          </cell>
          <cell r="G4042">
            <v>7857919459</v>
          </cell>
          <cell r="K4042" t="str">
            <v>BSKD161467</v>
          </cell>
        </row>
        <row r="4043">
          <cell r="E4043" t="str">
            <v>CHANDMARI, JORAPHATAK,, DHANBAD</v>
          </cell>
          <cell r="G4043">
            <v>9585918025</v>
          </cell>
          <cell r="K4043" t="str">
            <v>BRCD160967</v>
          </cell>
        </row>
        <row r="4044">
          <cell r="E4044" t="str">
            <v>KASUNDA</v>
          </cell>
          <cell r="G4044">
            <v>8098986732</v>
          </cell>
          <cell r="K4044" t="str">
            <v>BTCD162162</v>
          </cell>
        </row>
        <row r="4045">
          <cell r="E4045" t="str">
            <v>NTA LODNA, DHANBAD</v>
          </cell>
          <cell r="G4045">
            <v>7644045555</v>
          </cell>
          <cell r="K4045" t="str">
            <v>BULD162559</v>
          </cell>
        </row>
        <row r="4046">
          <cell r="E4046" t="str">
            <v>BASKATOLA</v>
          </cell>
          <cell r="G4046">
            <v>7489823544</v>
          </cell>
          <cell r="K4046" t="str">
            <v>BULD162577</v>
          </cell>
        </row>
        <row r="4047">
          <cell r="E4047" t="str">
            <v>KATHITAND, RANCHI</v>
          </cell>
          <cell r="G4047">
            <v>9385466416</v>
          </cell>
          <cell r="K4047" t="str">
            <v>BSLD230361</v>
          </cell>
        </row>
        <row r="4048">
          <cell r="E4048" t="str">
            <v>CHATTARPUR, DALTAINGANJ</v>
          </cell>
          <cell r="G4048">
            <v>9835111213</v>
          </cell>
          <cell r="K4048" t="str">
            <v>BTID162392</v>
          </cell>
        </row>
        <row r="4049">
          <cell r="E4049" t="str">
            <v>BIHAR, BEGUSARAI</v>
          </cell>
          <cell r="G4049">
            <v>8877841639</v>
          </cell>
          <cell r="K4049" t="str">
            <v>BTJL152348</v>
          </cell>
        </row>
        <row r="4050">
          <cell r="E4050" t="str">
            <v>RANCHI PATNA ROAD, NH-33, SINDUR, HAZARIBAGH</v>
          </cell>
          <cell r="G4050">
            <v>7004095574</v>
          </cell>
          <cell r="K4050" t="str">
            <v>BTKD200646</v>
          </cell>
        </row>
        <row r="4051">
          <cell r="E4051" t="str">
            <v>TIPUDANA RANCHI</v>
          </cell>
          <cell r="G4051">
            <v>6200592790</v>
          </cell>
          <cell r="K4051" t="str">
            <v>BPBD200118</v>
          </cell>
        </row>
        <row r="4052">
          <cell r="E4052" t="str">
            <v>Govindpur, Dhanbad</v>
          </cell>
          <cell r="G4052">
            <v>6380540177</v>
          </cell>
          <cell r="K4052" t="str">
            <v>BQGD230029</v>
          </cell>
        </row>
        <row r="4053">
          <cell r="E4053" t="str">
            <v>BALIDIH BOKARO</v>
          </cell>
          <cell r="G4053">
            <v>9733293030</v>
          </cell>
          <cell r="K4053" t="str">
            <v>BVFS049358</v>
          </cell>
        </row>
        <row r="4054">
          <cell r="E4054" t="str">
            <v>GROUND AND 1 ST FLOOR, BESIDE DAINIK BHASKAR, GOVINDPUR ROAD, DIST :- DHANBAD
GROUND AND 1 ST FLOOR, BESIDE DAINIK BHASKAR, GOVINDPUR ROAD, DIST :- DHANBAD
828109</v>
          </cell>
          <cell r="G4054">
            <v>8789061377</v>
          </cell>
          <cell r="K4054" t="str">
            <v>BRES034488</v>
          </cell>
        </row>
        <row r="4055">
          <cell r="E4055" t="str">
            <v>TAPIN PROJECT, CHARHI</v>
          </cell>
          <cell r="G4055">
            <v>6204816691</v>
          </cell>
          <cell r="K4055" t="str">
            <v>BVLD163067</v>
          </cell>
        </row>
        <row r="4056">
          <cell r="E4056" t="str">
            <v>JHUMRI TELAIYA, KODARMA
825409</v>
          </cell>
          <cell r="G4056">
            <v>7753025487</v>
          </cell>
          <cell r="K4056" t="str">
            <v>BSBC375530</v>
          </cell>
        </row>
        <row r="4057">
          <cell r="E4057" t="str">
            <v>BARWADA, DHANBAD</v>
          </cell>
          <cell r="G4057">
            <v>7319684633</v>
          </cell>
          <cell r="K4057" t="str">
            <v>BQLD160148</v>
          </cell>
        </row>
        <row r="4058">
          <cell r="E4058" t="str">
            <v>KATRAS, DHANBAD</v>
          </cell>
          <cell r="G4058">
            <v>6204728418</v>
          </cell>
          <cell r="K4058" t="str">
            <v>BWAD163674</v>
          </cell>
        </row>
        <row r="4059">
          <cell r="E4059" t="str">
            <v>BARWADA, DHANBAD</v>
          </cell>
          <cell r="G4059">
            <v>8637831546</v>
          </cell>
          <cell r="K4059" t="str">
            <v>BWKD163559</v>
          </cell>
        </row>
        <row r="4060">
          <cell r="E4060" t="str">
            <v>REG. OFFICE: UNIT 106, MAHABIR TOWER, JOKHIRAM LANE, MAIN ROAD, RANCHI - 834 001
REG. OFFICE: UNIT 106, MAHABIR TOWER, JOKHIRAM LANE, MAIN ROAD, RANCHI - 834 001
835214</v>
          </cell>
          <cell r="G4060">
            <v>9661300651</v>
          </cell>
          <cell r="K4060" t="str">
            <v>BSDS043254</v>
          </cell>
        </row>
        <row r="4061">
          <cell r="E4061" t="str">
            <v>LODNA</v>
          </cell>
          <cell r="G4061">
            <v>8434845555</v>
          </cell>
          <cell r="K4061" t="str">
            <v>BWAD163648</v>
          </cell>
        </row>
        <row r="4062">
          <cell r="E4062" t="str">
            <v>GUMLA</v>
          </cell>
          <cell r="G4062">
            <v>9771328971</v>
          </cell>
          <cell r="K4062" t="str">
            <v>BWLS032007</v>
          </cell>
        </row>
        <row r="4063">
          <cell r="E4063" t="str">
            <v>GONDUDIH</v>
          </cell>
          <cell r="G4063">
            <v>9113788032</v>
          </cell>
          <cell r="K4063" t="str">
            <v>BQCD160129</v>
          </cell>
        </row>
        <row r="4064">
          <cell r="E4064" t="str">
            <v>GONDUDIH</v>
          </cell>
          <cell r="G4064">
            <v>9113788032</v>
          </cell>
          <cell r="K4064" t="str">
            <v>BSCD161691</v>
          </cell>
        </row>
        <row r="4065">
          <cell r="E4065" t="str">
            <v>KASUNDA</v>
          </cell>
          <cell r="G4065">
            <v>8098986732</v>
          </cell>
          <cell r="K4065" t="str">
            <v>BTCD162162</v>
          </cell>
        </row>
        <row r="4066">
          <cell r="E4066" t="str">
            <v>RAMGRAH</v>
          </cell>
          <cell r="G4066">
            <v>7281962540</v>
          </cell>
          <cell r="K4066" t="str">
            <v>BUFS046910</v>
          </cell>
        </row>
        <row r="4067">
          <cell r="E4067" t="str">
            <v>NAGARI, RANCHI
834006</v>
          </cell>
          <cell r="G4067">
            <v>7255848442</v>
          </cell>
          <cell r="K4067" t="str">
            <v>BRAC372524</v>
          </cell>
        </row>
        <row r="4068">
          <cell r="E4068" t="str">
            <v>MUNGMA</v>
          </cell>
          <cell r="G4068">
            <v>8466063949</v>
          </cell>
          <cell r="K4068" t="str">
            <v>GNGS030424</v>
          </cell>
        </row>
        <row r="4069">
          <cell r="E4069" t="str">
            <v>HOSHIR GIDDI,RAMGARH
NEAR P.N. BANK MAIN ROAD, RAMGARH CANTT. 829122
829110</v>
          </cell>
          <cell r="G4069">
            <v>8651078549</v>
          </cell>
          <cell r="K4069" t="str">
            <v>BSKS036261</v>
          </cell>
        </row>
        <row r="4070">
          <cell r="E4070" t="str">
            <v>VINAIKA’S COMPLEX RANCHI TATA ROAD, R.S. PLOT NO.:-615,VILLAGE-PANCHA,THANA-BUNDU RANCHI, JHARKHAND.
834002</v>
          </cell>
          <cell r="G4070">
            <v>9818905980</v>
          </cell>
          <cell r="K4070" t="str">
            <v>BUDS046275</v>
          </cell>
        </row>
        <row r="4071">
          <cell r="E4071" t="str">
            <v>PATRATU</v>
          </cell>
          <cell r="G4071">
            <v>7672025601</v>
          </cell>
          <cell r="K4071" t="str">
            <v>BWHD164015</v>
          </cell>
        </row>
        <row r="4072">
          <cell r="E4072" t="str">
            <v>CHANDWA, RANCHI</v>
          </cell>
          <cell r="G4072">
            <v>8168068360</v>
          </cell>
          <cell r="K4072" t="str">
            <v>BVEC376812</v>
          </cell>
        </row>
        <row r="4073">
          <cell r="E4073" t="str">
            <v>B7-PHASE-3, BALIDIH INDUSTRIAL AREA BALIDIH, BOKARO STEEL CITY BOKARO, JHARKHAND
SUNDARAM STEELS PVT. LTD, B-7 PHASE-III,BOKARO INDUSTRIAL AREA,BALIDIH, BOKARO
827014</v>
          </cell>
          <cell r="G4073">
            <v>7008287442</v>
          </cell>
          <cell r="K4073" t="str">
            <v>BSFS043411</v>
          </cell>
        </row>
        <row r="4074">
          <cell r="E4074" t="str">
            <v>LAXMI NAGAR HEHAL</v>
          </cell>
          <cell r="G4074">
            <v>9835390276</v>
          </cell>
          <cell r="K4074" t="str">
            <v>BVEC376770</v>
          </cell>
        </row>
        <row r="4075">
          <cell r="E4075" t="str">
            <v>BALIDIH, BOKARO</v>
          </cell>
          <cell r="G4075">
            <v>7008631882</v>
          </cell>
          <cell r="K4075" t="str">
            <v>BVJS047797</v>
          </cell>
        </row>
        <row r="4076">
          <cell r="E4076" t="str">
            <v>B7-PHASE-3, BALIDIH INDUSTRIAL AREA BALIDIH, BOKARO STEEL CITY BOKARO, JHARKHAND
SUNDARAM STEELS PVT. LTD, B-7 PHASE-III,BOKARO INDUSTRIAL AREA,BALIDIH, BOKARO
827014</v>
          </cell>
          <cell r="G4076">
            <v>9933757780</v>
          </cell>
          <cell r="K4076" t="str">
            <v>BTHS031467</v>
          </cell>
        </row>
        <row r="4077">
          <cell r="E4077" t="str">
            <v>NEAR P.N BANK MAIN ROAD,, RAMGARH CANTT-829122, DIST. RAMGARH
829122
BUDHAKHOP, AMBRELA, KARMA,</v>
          </cell>
          <cell r="G4077">
            <v>8789350097</v>
          </cell>
          <cell r="K4077" t="str">
            <v>BSHS038806</v>
          </cell>
        </row>
        <row r="4078">
          <cell r="E4078" t="str">
            <v>C/O PRAKASH RAM, PHUSHRO</v>
          </cell>
          <cell r="G4078">
            <v>9065179999</v>
          </cell>
          <cell r="K4078" t="str">
            <v>BWBD163701</v>
          </cell>
        </row>
        <row r="4079">
          <cell r="E4079" t="str">
            <v>BARKAGAOUN, HAZARIBAGH</v>
          </cell>
          <cell r="G4079">
            <v>6201454991</v>
          </cell>
          <cell r="K4079" t="str">
            <v>BVED231179</v>
          </cell>
        </row>
        <row r="4080">
          <cell r="E4080" t="str">
            <v>LODNA</v>
          </cell>
          <cell r="G4080">
            <v>9065764901</v>
          </cell>
          <cell r="K4080" t="str">
            <v>BVID163401</v>
          </cell>
        </row>
        <row r="4081">
          <cell r="E4081" t="str">
            <v>PIPRA</v>
          </cell>
          <cell r="G4081">
            <v>9304258268</v>
          </cell>
          <cell r="K4081" t="str">
            <v>BVIL161084</v>
          </cell>
        </row>
        <row r="4082">
          <cell r="E4082" t="str">
            <v>TAPIN PROJECT, TAPIN</v>
          </cell>
          <cell r="G4082">
            <v>8521064546</v>
          </cell>
          <cell r="K4082" t="str">
            <v>BUID162953</v>
          </cell>
        </row>
        <row r="4083">
          <cell r="E4083" t="str">
            <v>NTPC BARKAKANA</v>
          </cell>
          <cell r="G4083">
            <v>9572791969</v>
          </cell>
          <cell r="K4083" t="str">
            <v>124540</v>
          </cell>
        </row>
        <row r="4084">
          <cell r="E4084" t="str">
            <v>PALAMU, DALTAINGANJ</v>
          </cell>
          <cell r="G4084">
            <v>9153994622</v>
          </cell>
          <cell r="K4084" t="str">
            <v>BVAC375308</v>
          </cell>
        </row>
        <row r="4085">
          <cell r="E4085" t="str">
            <v>TAPIN HAZARIBAGH</v>
          </cell>
          <cell r="G4085">
            <v>8002177613</v>
          </cell>
          <cell r="K4085" t="str">
            <v>BTGD162289</v>
          </cell>
        </row>
        <row r="4086">
          <cell r="E4086" t="str">
            <v>TETULWARI</v>
          </cell>
          <cell r="G4086">
            <v>9835747740</v>
          </cell>
          <cell r="K4086" t="str">
            <v>BTGD162296</v>
          </cell>
        </row>
        <row r="4087">
          <cell r="E4087" t="str">
            <v>CHAPAPUR, NIRSA</v>
          </cell>
          <cell r="G4087">
            <v>9931921808</v>
          </cell>
          <cell r="K4087" t="str">
            <v>BQED160215</v>
          </cell>
        </row>
        <row r="4088">
          <cell r="E4088" t="str">
            <v>DALADALI, RANCHI</v>
          </cell>
          <cell r="G4088">
            <v>9934169368</v>
          </cell>
          <cell r="K4088" t="str">
            <v>BVKD163010</v>
          </cell>
        </row>
        <row r="4089">
          <cell r="E4089" t="str">
            <v>HOSHIR GIDDI,RAMGARH
NEAR P.N. BANK MAIN ROAD, RAMGARH CANTT. 829122
829110</v>
          </cell>
          <cell r="G4089">
            <v>8651078549</v>
          </cell>
          <cell r="K4089" t="str">
            <v>BRHS035368</v>
          </cell>
        </row>
        <row r="4090">
          <cell r="E4090" t="str">
            <v>HOSHIR GIDDI,RAMGARH
NEAR P.N. BANK MAIN ROAD, RAMGARH CANTT. 829122
829110</v>
          </cell>
          <cell r="G4090">
            <v>8651078549</v>
          </cell>
          <cell r="K4090" t="str">
            <v>BSKS036261</v>
          </cell>
        </row>
        <row r="4091">
          <cell r="E4091" t="str">
            <v>BADA TALAB, RANCHI</v>
          </cell>
          <cell r="G4091">
            <v>6207568694</v>
          </cell>
          <cell r="K4091" t="str">
            <v>BVFC377137</v>
          </cell>
        </row>
        <row r="4092">
          <cell r="E4092" t="str">
            <v>TUPUDANA INDUSTRIAL AREA,RANCHI
834003</v>
          </cell>
          <cell r="G4092">
            <v>9535249500</v>
          </cell>
          <cell r="K4092" t="str">
            <v>BRIS035695</v>
          </cell>
        </row>
        <row r="4093">
          <cell r="E4093" t="str">
            <v>LODNA</v>
          </cell>
          <cell r="G4093">
            <v>8434845555</v>
          </cell>
          <cell r="K4093" t="str">
            <v>BVID163401</v>
          </cell>
        </row>
        <row r="4094">
          <cell r="E4094" t="str">
            <v>DUMRI, GUMLA</v>
          </cell>
          <cell r="G4094">
            <v>6207173387</v>
          </cell>
          <cell r="K4094" t="str">
            <v>BRED161081</v>
          </cell>
        </row>
        <row r="4095">
          <cell r="E4095" t="str">
            <v>PLOT NO. 148, TUPUDANA, INDUSTRIAL AREA, HATIA, RANCHI
834002</v>
          </cell>
          <cell r="G4095">
            <v>9534249500</v>
          </cell>
          <cell r="K4095" t="str">
            <v>BSLS036682</v>
          </cell>
        </row>
        <row r="4096">
          <cell r="E4096" t="str">
            <v>JARANDIH, PHUSHRO</v>
          </cell>
          <cell r="G4096">
            <v>9006617909</v>
          </cell>
          <cell r="K4096" t="str">
            <v>BTKD162074</v>
          </cell>
        </row>
        <row r="4097">
          <cell r="E4097" t="str">
            <v>JARANDIH, PHUSHRO</v>
          </cell>
          <cell r="G4097">
            <v>9006617909</v>
          </cell>
          <cell r="K4097" t="str">
            <v>BTKD162077</v>
          </cell>
        </row>
        <row r="4098">
          <cell r="E4098" t="str">
            <v>AMLO, PHUSHRO</v>
          </cell>
          <cell r="G4098">
            <v>9006617909</v>
          </cell>
          <cell r="K4098" t="str">
            <v>BJGD200109</v>
          </cell>
        </row>
        <row r="4099">
          <cell r="E4099" t="str">
            <v>AMLO PHUSHRO</v>
          </cell>
          <cell r="G4099">
            <v>9006617909</v>
          </cell>
          <cell r="K4099" t="str">
            <v>BRKD220111</v>
          </cell>
        </row>
        <row r="4100">
          <cell r="E4100" t="str">
            <v>ASHOK NAGAR, RANCHI</v>
          </cell>
          <cell r="G4100">
            <v>8005942996</v>
          </cell>
          <cell r="K4100" t="str">
            <v>BQKD200048</v>
          </cell>
        </row>
        <row r="4101">
          <cell r="E4101" t="str">
            <v>RING ROAD, RAMPUR, RANCHI
834010</v>
          </cell>
          <cell r="G4101">
            <v>8269769977</v>
          </cell>
          <cell r="K4101" t="str">
            <v>BRCS033809</v>
          </cell>
        </row>
        <row r="4102">
          <cell r="E4102" t="str">
            <v>RING ROAD, RAMPUR, RANCHI
834010</v>
          </cell>
          <cell r="G4102">
            <v>8269769977</v>
          </cell>
          <cell r="K4102" t="str">
            <v>BRCS033813</v>
          </cell>
        </row>
        <row r="4103">
          <cell r="E4103" t="str">
            <v>RING ROAD, RAMPUR, RANCHI
834010</v>
          </cell>
          <cell r="G4103">
            <v>8269769977</v>
          </cell>
          <cell r="K4103" t="str">
            <v>BRBS033681</v>
          </cell>
        </row>
        <row r="4104">
          <cell r="E4104" t="str">
            <v>RAMPUR, RANCHI</v>
          </cell>
          <cell r="G4104">
            <v>8269769977</v>
          </cell>
          <cell r="K4104" t="str">
            <v>BRCS033785</v>
          </cell>
        </row>
        <row r="4105">
          <cell r="E4105" t="str">
            <v>DHANBAD</v>
          </cell>
          <cell r="G4105" t="str">
            <v>8299601020 &amp; 9153973417</v>
          </cell>
          <cell r="K4105" t="str">
            <v>BVHC377855</v>
          </cell>
        </row>
        <row r="4106">
          <cell r="E4106" t="str">
            <v>HAZARINAGH</v>
          </cell>
          <cell r="G4106">
            <v>6200063602</v>
          </cell>
          <cell r="K4106" t="str">
            <v>BUHC373622</v>
          </cell>
        </row>
        <row r="4107">
          <cell r="E4107" t="str">
            <v>MUNGMA</v>
          </cell>
          <cell r="G4107">
            <v>7439816339</v>
          </cell>
          <cell r="K4107" t="str">
            <v>BNCS030884</v>
          </cell>
        </row>
        <row r="4108">
          <cell r="E4108" t="str">
            <v>SHYAMDIH, KATRAS</v>
          </cell>
          <cell r="G4108">
            <v>9835988493</v>
          </cell>
          <cell r="K4108" t="str">
            <v>BQCD160098</v>
          </cell>
        </row>
        <row r="4109">
          <cell r="E4109" t="str">
            <v>CHUTIA, RANCHI</v>
          </cell>
          <cell r="G4109">
            <v>9060975013</v>
          </cell>
          <cell r="K4109" t="str">
            <v>BUFD162814</v>
          </cell>
        </row>
        <row r="4110">
          <cell r="E4110" t="str">
            <v>PHUSHRO</v>
          </cell>
          <cell r="G4110">
            <v>7091340232</v>
          </cell>
          <cell r="K4110" t="str">
            <v>BVED163244</v>
          </cell>
        </row>
        <row r="4111">
          <cell r="E4111" t="str">
            <v>LODNA</v>
          </cell>
          <cell r="G4111">
            <v>8434845555</v>
          </cell>
          <cell r="K4111" t="str">
            <v>BWAD163648</v>
          </cell>
        </row>
        <row r="4112">
          <cell r="E4112" t="str">
            <v>CHUTIA, RANCHI</v>
          </cell>
          <cell r="G4112">
            <v>8292766229</v>
          </cell>
          <cell r="K4112" t="str">
            <v>BVKC374485</v>
          </cell>
        </row>
        <row r="4113">
          <cell r="E4113" t="str">
            <v>SHEIKHPURA, BIHAR</v>
          </cell>
          <cell r="G4113">
            <v>9523096957</v>
          </cell>
          <cell r="K4113" t="str">
            <v>BULL160559</v>
          </cell>
        </row>
        <row r="4114">
          <cell r="E4114" t="str">
            <v>SHEIKHPURA, BIHAR</v>
          </cell>
          <cell r="G4114">
            <v>9523096957</v>
          </cell>
          <cell r="K4114" t="str">
            <v>BUAL160593</v>
          </cell>
        </row>
        <row r="4115">
          <cell r="E4115" t="str">
            <v>RANCHI</v>
          </cell>
          <cell r="G4115">
            <v>9973686006</v>
          </cell>
          <cell r="K4115" t="str">
            <v>BLIS031950</v>
          </cell>
        </row>
        <row r="4116">
          <cell r="E4116" t="str">
            <v>NICHITPUR</v>
          </cell>
          <cell r="G4116">
            <v>6202894138</v>
          </cell>
          <cell r="K4116" t="str">
            <v>BUCD162696</v>
          </cell>
        </row>
        <row r="4117">
          <cell r="E4117" t="str">
            <v>ADDRESS-PLOT-57B,BARAHI INDUSTRIAL AREA,ON DELHI HOWRAH NATIONAL HIGHWAY,BARHI,JAHARKHAND.</v>
          </cell>
          <cell r="G4117">
            <v>9559291224</v>
          </cell>
          <cell r="K4117" t="str">
            <v>BUBS033778</v>
          </cell>
        </row>
        <row r="4118">
          <cell r="E4118" t="str">
            <v>MUNGMA</v>
          </cell>
          <cell r="G4118">
            <v>7439816339</v>
          </cell>
          <cell r="K4118" t="str">
            <v>BNLS030573</v>
          </cell>
        </row>
        <row r="4119">
          <cell r="E4119" t="str">
            <v>TATISIWAI INDUSTRIAL AREA, RANCHI
835103
TATISILWAY RANCHI</v>
          </cell>
          <cell r="G4119">
            <v>7050549999</v>
          </cell>
          <cell r="K4119">
            <v>107837</v>
          </cell>
        </row>
        <row r="4120">
          <cell r="E4120" t="str">
            <v>KOKAR,INDUSTRIAL AREA,RANCHI
834002
RANCHI</v>
          </cell>
          <cell r="G4120">
            <v>7781017919</v>
          </cell>
          <cell r="K4120" t="str">
            <v>BMKC370048</v>
          </cell>
        </row>
        <row r="4121">
          <cell r="E4121" t="str">
            <v>KWJAMA COLLIERY, DHANBAD</v>
          </cell>
          <cell r="G4121">
            <v>7644045555</v>
          </cell>
          <cell r="K4121" t="str">
            <v>BVCD163165</v>
          </cell>
        </row>
        <row r="4122">
          <cell r="E4122" t="str">
            <v>AT - HEHAL, POST - BARKAKANA
BARKAKANA
829103</v>
          </cell>
          <cell r="G4122">
            <v>6200896545</v>
          </cell>
          <cell r="K4122" t="str">
            <v>BUAS033580</v>
          </cell>
        </row>
        <row r="4123">
          <cell r="E4123" t="str">
            <v>LODNA</v>
          </cell>
          <cell r="G4123">
            <v>7644045555</v>
          </cell>
          <cell r="K4123" t="str">
            <v>BTDD162169</v>
          </cell>
        </row>
        <row r="4124">
          <cell r="E4124" t="str">
            <v>LODNA</v>
          </cell>
          <cell r="G4124">
            <v>8434845555</v>
          </cell>
          <cell r="K4124" t="str">
            <v>BTCD162149</v>
          </cell>
        </row>
        <row r="4125">
          <cell r="E4125" t="str">
            <v>ADITYAPUR KANDRA ROAD
831013</v>
          </cell>
          <cell r="G4125">
            <v>8709350884</v>
          </cell>
          <cell r="K4125" t="str">
            <v>BRCD160984</v>
          </cell>
        </row>
        <row r="4126">
          <cell r="E4126" t="str">
            <v>GHATSHILA,JAMSHEDPUR</v>
          </cell>
          <cell r="G4126">
            <v>7992362488</v>
          </cell>
          <cell r="K4126" t="str">
            <v>BPED200187</v>
          </cell>
        </row>
        <row r="4127">
          <cell r="E4127" t="str">
            <v>DUMKA</v>
          </cell>
          <cell r="G4127">
            <v>8409042775</v>
          </cell>
          <cell r="K4127" t="str">
            <v>BRAD160777</v>
          </cell>
        </row>
        <row r="4128">
          <cell r="E4128" t="str">
            <v>NAGRI,RANCHI
835202
RANCHI</v>
          </cell>
          <cell r="G4128">
            <v>7004248429</v>
          </cell>
          <cell r="K4128">
            <v>108441</v>
          </cell>
        </row>
        <row r="4129">
          <cell r="E4129" t="str">
            <v>KODERMA
825410</v>
          </cell>
          <cell r="G4129">
            <v>7070098712</v>
          </cell>
          <cell r="K4129" t="str">
            <v>BLIS040713</v>
          </cell>
        </row>
        <row r="4130">
          <cell r="E4130" t="str">
            <v>C/O - PREM PRAKASH AGARWAL, OPP - HILLVIEW FUEL STATION, GODHUR, P.O - KUSUNDA, DHANBAD</v>
          </cell>
          <cell r="G4130">
            <v>7903412157</v>
          </cell>
          <cell r="K4130" t="str">
            <v>BTED162217</v>
          </cell>
        </row>
        <row r="4131">
          <cell r="E4131" t="str">
            <v>NEORI,VIKAS,RANCHI.
835217</v>
          </cell>
          <cell r="G4131">
            <v>9693768894</v>
          </cell>
          <cell r="K4131" t="str">
            <v>BWKS040406</v>
          </cell>
        </row>
        <row r="4132">
          <cell r="E4132" t="str">
            <v>BARKAGAOUN, HAZARIBAGH</v>
          </cell>
          <cell r="G4132">
            <v>6201454991</v>
          </cell>
          <cell r="K4132" t="str">
            <v>BVED231179</v>
          </cell>
        </row>
        <row r="4133">
          <cell r="E4133" t="str">
            <v>GOPI KANDHAR, DUMKA</v>
          </cell>
          <cell r="G4133">
            <v>9661732073</v>
          </cell>
          <cell r="K4133" t="str">
            <v>BUID162940</v>
          </cell>
        </row>
        <row r="4134">
          <cell r="E4134" t="str">
            <v>ADDRESS-PLOT-57B,BARAHI INDUSTRIAL AREA,ON DELHI HOWRAH NATIONAL HIGHWAY,BARHI,JAHARKHAND.</v>
          </cell>
          <cell r="G4134">
            <v>8488957184</v>
          </cell>
          <cell r="K4134" t="str">
            <v>BUBS033778</v>
          </cell>
        </row>
        <row r="4135">
          <cell r="E4135" t="str">
            <v>KOKAR, RANCHI</v>
          </cell>
          <cell r="G4135">
            <v>8051191796</v>
          </cell>
          <cell r="K4135" t="str">
            <v>BRGD161233</v>
          </cell>
        </row>
        <row r="4136">
          <cell r="E4136" t="str">
            <v>HAZARIBAGH
RANCHI JHARKHAND 834002
INDIA</v>
          </cell>
          <cell r="G4136">
            <v>7361044448</v>
          </cell>
          <cell r="K4136" t="str">
            <v>BKAS030685</v>
          </cell>
        </row>
        <row r="4137">
          <cell r="E4137" t="str">
            <v>NAGRI,RANCHI
835202
RANCHI</v>
          </cell>
          <cell r="G4137">
            <v>7004248429</v>
          </cell>
          <cell r="K4137">
            <v>108441</v>
          </cell>
        </row>
        <row r="4138">
          <cell r="E4138" t="str">
            <v>SIMALIYA, RANCHI
835103
SIMLIYA, RANCHI</v>
          </cell>
          <cell r="G4138">
            <v>9431115841</v>
          </cell>
          <cell r="K4138">
            <v>106989</v>
          </cell>
        </row>
        <row r="4139">
          <cell r="E4139" t="str">
            <v>KATHITAND, RANCHI</v>
          </cell>
          <cell r="G4139">
            <v>9385466416</v>
          </cell>
          <cell r="K4139" t="str">
            <v>BSLD230361</v>
          </cell>
        </row>
        <row r="4140">
          <cell r="E4140" t="str">
            <v>KATRAS, DHANBAD</v>
          </cell>
          <cell r="G4140">
            <v>6204728418</v>
          </cell>
          <cell r="K4140" t="str">
            <v>BWAD163674</v>
          </cell>
        </row>
        <row r="4141">
          <cell r="E4141" t="str">
            <v>DHANBAD</v>
          </cell>
          <cell r="G4141">
            <v>7004686026</v>
          </cell>
          <cell r="K4141" t="str">
            <v>BWLD163586</v>
          </cell>
        </row>
        <row r="4142">
          <cell r="E4142" t="str">
            <v>LOHARDAGA,JHARKHAND
LOHARDAGA, MOB. NO.9661111900
835302
LOHARDAGA</v>
          </cell>
          <cell r="G4142">
            <v>9973880780</v>
          </cell>
          <cell r="K4142" t="str">
            <v>BQFS031084</v>
          </cell>
        </row>
        <row r="4143">
          <cell r="E4143" t="str">
            <v>NEAR P.N BANK MAIN ROAD,, RAMGARH CANTT-829122, DIST. RAMGARH
829122
BUDHAKHOP, AMBRELA, KARMA,</v>
          </cell>
          <cell r="G4143">
            <v>8789350097</v>
          </cell>
          <cell r="K4143" t="str">
            <v>BQBS030091</v>
          </cell>
        </row>
        <row r="4144">
          <cell r="E4144" t="str">
            <v>SARWARI, ASANSOL, WB</v>
          </cell>
          <cell r="G4144">
            <v>9431101890</v>
          </cell>
          <cell r="K4144" t="str">
            <v>BPLF150007</v>
          </cell>
        </row>
        <row r="4145">
          <cell r="E4145" t="str">
            <v>BASTAWLA DHANBAD</v>
          </cell>
          <cell r="G4145">
            <v>6200119580</v>
          </cell>
          <cell r="K4145" t="str">
            <v>BTJD162046</v>
          </cell>
        </row>
        <row r="4146">
          <cell r="E4146" t="str">
            <v>LODNA MORE</v>
          </cell>
          <cell r="G4146">
            <v>9934642428</v>
          </cell>
          <cell r="K4146" t="str">
            <v>BWKD163512</v>
          </cell>
        </row>
        <row r="4147">
          <cell r="E4147" t="str">
            <v>LODNA MORE</v>
          </cell>
          <cell r="G4147">
            <v>9934642428</v>
          </cell>
          <cell r="K4147" t="str">
            <v>BVFD163261</v>
          </cell>
        </row>
        <row r="4148">
          <cell r="E4148" t="str">
            <v>LODNA MORE</v>
          </cell>
          <cell r="G4148">
            <v>9934642428</v>
          </cell>
          <cell r="K4148" t="str">
            <v>BWKD163543</v>
          </cell>
        </row>
        <row r="4149">
          <cell r="E4149" t="str">
            <v>LODNA</v>
          </cell>
          <cell r="G4149">
            <v>8434845555</v>
          </cell>
          <cell r="K4149" t="str">
            <v>BTCD162149</v>
          </cell>
        </row>
        <row r="4150">
          <cell r="E4150" t="str">
            <v>TUPUDANA INDUSTRIAL AREA</v>
          </cell>
          <cell r="G4150">
            <v>9534249500</v>
          </cell>
          <cell r="K4150" t="str">
            <v>BMBS030816</v>
          </cell>
        </row>
        <row r="4151">
          <cell r="E4151" t="str">
            <v>RANCHI PATNA ROAD
DEMOTAND
825301
HAZARIBAGH</v>
          </cell>
          <cell r="G4151">
            <v>7905424302</v>
          </cell>
          <cell r="K4151" t="str">
            <v>BMBL160078</v>
          </cell>
        </row>
        <row r="4152">
          <cell r="E4152" t="str">
            <v>JHUMRI TELAIYA, KODARMA
825409</v>
          </cell>
          <cell r="G4152">
            <v>9455305544</v>
          </cell>
          <cell r="K4152" t="str">
            <v>BSBC375530</v>
          </cell>
        </row>
        <row r="4153">
          <cell r="E4153" t="str">
            <v>TATISIWAI INDUSTRIAL AREA, RANCHI
835103
TATISILWAY RANCHI</v>
          </cell>
          <cell r="G4153">
            <v>7488690694</v>
          </cell>
          <cell r="K4153" t="str">
            <v>BSAS036958</v>
          </cell>
        </row>
        <row r="4154">
          <cell r="E4154" t="str">
            <v>PLOT NO 716,VILL-RUKKA,
835219</v>
          </cell>
          <cell r="G4154">
            <v>9791019799</v>
          </cell>
          <cell r="K4154" t="str">
            <v>BSKS036366</v>
          </cell>
        </row>
        <row r="4155">
          <cell r="E4155" t="str">
            <v>NAGARI,</v>
          </cell>
          <cell r="G4155">
            <v>8294385129</v>
          </cell>
          <cell r="K4155" t="str">
            <v>BLGS040582</v>
          </cell>
        </row>
        <row r="4156">
          <cell r="E4156" t="str">
            <v>FOREST COLONY, SENETRY ROAD,, NEAR RAHUL MARVAL, HAZARIBAGH
825302</v>
          </cell>
          <cell r="G4156">
            <v>6209942081</v>
          </cell>
          <cell r="K4156" t="str">
            <v>BWKC378684</v>
          </cell>
        </row>
        <row r="4157">
          <cell r="E4157" t="str">
            <v>KOKAR,INDUSTRIAL AREA,RANCHI
834002
RANCHI</v>
          </cell>
          <cell r="G4157">
            <v>7781017919</v>
          </cell>
          <cell r="K4157" t="str">
            <v>BMKC370048</v>
          </cell>
        </row>
        <row r="4158">
          <cell r="E4158" t="str">
            <v>NAGRI,RANCHI
835202
RANCHI</v>
          </cell>
          <cell r="G4158">
            <v>8210444743</v>
          </cell>
          <cell r="K4158" t="str">
            <v>BMJS040004</v>
          </cell>
        </row>
        <row r="4159">
          <cell r="E4159" t="str">
            <v>BIT MESRA, RANCHI</v>
          </cell>
          <cell r="G4159">
            <v>8010635349</v>
          </cell>
          <cell r="K4159" t="str">
            <v>BVIC378175</v>
          </cell>
        </row>
        <row r="4160">
          <cell r="E4160" t="str">
            <v>NEORI,VIKAS,RANCHI. 835217</v>
          </cell>
          <cell r="G4160">
            <v>9693768894</v>
          </cell>
          <cell r="K4160" t="str">
            <v>BWKS040406</v>
          </cell>
        </row>
        <row r="4161">
          <cell r="E4161" t="str">
            <v>REHLA,GARWA,JHARKHAND
822124
RANCHI</v>
          </cell>
          <cell r="G4161">
            <v>7004623399</v>
          </cell>
          <cell r="K4161" t="str">
            <v>BMFS031346</v>
          </cell>
        </row>
        <row r="4162">
          <cell r="E4162" t="str">
            <v>62, KOKAR INDUSTRIAL AREA, KOKAR,RANCHI.
834001</v>
          </cell>
          <cell r="G4162">
            <v>9534189364</v>
          </cell>
          <cell r="K4162" t="str">
            <v>BMFS031276</v>
          </cell>
        </row>
        <row r="4163">
          <cell r="E4163" t="str">
            <v>KODERMA</v>
          </cell>
          <cell r="G4163">
            <v>8210413459</v>
          </cell>
          <cell r="K4163" t="str">
            <v>BVFS049398</v>
          </cell>
        </row>
        <row r="4164">
          <cell r="E4164" t="str">
            <v>BHUYANDIH, JAMSHEDPUR</v>
          </cell>
          <cell r="G4164">
            <v>9304170499</v>
          </cell>
          <cell r="K4164" t="str">
            <v>BMFC370445</v>
          </cell>
        </row>
        <row r="4165">
          <cell r="E4165" t="str">
            <v>DEMO TANND HAZAIBAGH JHARKHAND,
825301
DEMO TANND HAZAIBAGH JHARKHAND</v>
          </cell>
          <cell r="G4165">
            <v>7905424302</v>
          </cell>
          <cell r="K4165" t="str">
            <v>BMDS040417</v>
          </cell>
        </row>
        <row r="4166">
          <cell r="E4166" t="str">
            <v>NAGRI,RANCHI
835202
RANCHI</v>
          </cell>
          <cell r="G4166">
            <v>6200132241</v>
          </cell>
          <cell r="K4166" t="str">
            <v>BRIS035698</v>
          </cell>
        </row>
        <row r="4167">
          <cell r="E4167" t="str">
            <v>DALADALI, RANCHUI</v>
          </cell>
          <cell r="G4167">
            <v>7992413342</v>
          </cell>
          <cell r="K4167" t="str">
            <v>BMJD200014</v>
          </cell>
        </row>
        <row r="4168">
          <cell r="E4168" t="str">
            <v>BIHAR</v>
          </cell>
          <cell r="G4168">
            <v>8935923285</v>
          </cell>
          <cell r="K4168" t="str">
            <v>BSID161968</v>
          </cell>
        </row>
        <row r="4169">
          <cell r="E4169" t="str">
            <v>MARAR, RAMGARH, JHARKHAND
MARRAR RAMGARH, 9155729786
829117
MARAR</v>
          </cell>
          <cell r="G4169">
            <v>9155729786</v>
          </cell>
          <cell r="K4169" t="str">
            <v>BMIS031759</v>
          </cell>
        </row>
        <row r="4170">
          <cell r="E4170" t="str">
            <v>GOUNDIDIH</v>
          </cell>
          <cell r="G4170">
            <v>9304207050</v>
          </cell>
          <cell r="K4170" t="str">
            <v>BSCD161691</v>
          </cell>
        </row>
        <row r="4171">
          <cell r="E4171" t="str">
            <v>BASTAWLA DHANBAD</v>
          </cell>
          <cell r="G4171">
            <v>6200119580</v>
          </cell>
          <cell r="K4171" t="str">
            <v>BTJD162046</v>
          </cell>
        </row>
        <row r="4172">
          <cell r="E4172" t="str">
            <v>DHANBAD, CONT PERSON :MR. IKTEKHAR AHMAD, PH.NO :9431316718</v>
          </cell>
          <cell r="G4172">
            <v>7371858481</v>
          </cell>
          <cell r="K4172" t="str">
            <v>BSKD161462</v>
          </cell>
        </row>
        <row r="4173">
          <cell r="E4173" t="str">
            <v>CHANDMARI, JORAPHATAK,, DHANBAD</v>
          </cell>
          <cell r="G4173">
            <v>8668122316</v>
          </cell>
          <cell r="K4173" t="str">
            <v>BRGD161212</v>
          </cell>
        </row>
        <row r="4174">
          <cell r="E4174" t="str">
            <v>DHANBAD</v>
          </cell>
          <cell r="G4174">
            <v>9585918025</v>
          </cell>
          <cell r="K4174" t="str">
            <v>BRCD160968</v>
          </cell>
        </row>
        <row r="4175">
          <cell r="E4175" t="str">
            <v>GUMLA</v>
          </cell>
          <cell r="G4175">
            <v>6201272144</v>
          </cell>
          <cell r="K4175" t="str">
            <v>BRGD161218</v>
          </cell>
        </row>
        <row r="4176">
          <cell r="E4176" t="str">
            <v>KHARATUNDA-BARWADDA, NH - 2, DAYABANS, PAHAR VILLAGE, NEAR GANGA HOTEL, DHANBAD OPPOSIT MONT FORT ACADEMY</v>
          </cell>
          <cell r="G4176">
            <v>9205712281</v>
          </cell>
          <cell r="K4176" t="str">
            <v>BPID120091</v>
          </cell>
        </row>
        <row r="4177">
          <cell r="E4177" t="str">
            <v>PATNA</v>
          </cell>
          <cell r="G4177">
            <v>9958703467</v>
          </cell>
          <cell r="K4177" t="str">
            <v>BUJD121018</v>
          </cell>
        </row>
        <row r="4178">
          <cell r="E4178" t="str">
            <v>GANGA BRIDGE, BAKHTIYARPUR, PATNA</v>
          </cell>
          <cell r="G4178">
            <v>8544557188</v>
          </cell>
          <cell r="K4178" t="str">
            <v>BULD121094</v>
          </cell>
        </row>
        <row r="4179">
          <cell r="E4179" t="str">
            <v>ANKIT KUMAR SONTHALIA, R.N. BOSE ROAD, SATSANG GATE, NEAR HANUMAN MANDIR,, PURANDAHA, DEOGHAR, DIST. DUMKA,, JHARKHAND</v>
          </cell>
          <cell r="G4179">
            <v>6200191036</v>
          </cell>
          <cell r="K4179" t="str">
            <v>BSID161979</v>
          </cell>
        </row>
        <row r="4180">
          <cell r="E4180" t="str">
            <v>ANKIT KUMAR SONTHALIA, R.N. BOSE ROAD, SATSANG GATE, NEAR HANUMAN MANDIR,, PURANDAHA, DEOGHAR, DIST. DUMKA,, JHARKHAND</v>
          </cell>
          <cell r="G4180">
            <v>7542025382</v>
          </cell>
          <cell r="K4180" t="str">
            <v>BSFD161819</v>
          </cell>
        </row>
        <row r="4181">
          <cell r="E4181" t="str">
            <v>NIMIAGHAT,GIRIDIH</v>
          </cell>
          <cell r="G4181">
            <v>9798869433</v>
          </cell>
          <cell r="K4181" t="str">
            <v>BSJD161406</v>
          </cell>
        </row>
        <row r="4182">
          <cell r="E4182" t="str">
            <v>BHULI DHANBAD</v>
          </cell>
          <cell r="G4182">
            <v>7004387228</v>
          </cell>
          <cell r="K4182" t="str">
            <v>BQED160244</v>
          </cell>
        </row>
        <row r="4183">
          <cell r="E4183" t="str">
            <v>SONARDHI</v>
          </cell>
          <cell r="G4183">
            <v>8210106692</v>
          </cell>
          <cell r="K4183" t="str">
            <v>BRCD160940</v>
          </cell>
        </row>
        <row r="4184">
          <cell r="E4184" t="str">
            <v xml:space="preserve">TOPIN SOUTH  </v>
          </cell>
          <cell r="G4184">
            <v>9102400908</v>
          </cell>
          <cell r="K4184" t="str">
            <v>BSGD161864</v>
          </cell>
        </row>
        <row r="4185">
          <cell r="E4185" t="str">
            <v>DALADALI, RANCHI</v>
          </cell>
          <cell r="G4185">
            <v>9934169368</v>
          </cell>
          <cell r="K4185" t="str">
            <v>BQHD160416</v>
          </cell>
        </row>
        <row r="4186">
          <cell r="E4186" t="str">
            <v>CHAKARDHARPUR, JHARKHAND</v>
          </cell>
          <cell r="G4186">
            <v>8639995694</v>
          </cell>
          <cell r="K4186" t="str">
            <v>BSJD161422</v>
          </cell>
        </row>
        <row r="4187">
          <cell r="E4187" t="str">
            <v>SAHIBGANJ</v>
          </cell>
          <cell r="G4187">
            <v>7544958524</v>
          </cell>
          <cell r="K4187" t="str">
            <v>BSID161973</v>
          </cell>
        </row>
        <row r="4188">
          <cell r="E4188" t="str">
            <v>PALAMU</v>
          </cell>
          <cell r="G4188">
            <v>8298188278</v>
          </cell>
          <cell r="K4188" t="str">
            <v>BUGC373213</v>
          </cell>
        </row>
        <row r="4189">
          <cell r="E4189" t="str">
            <v>HORHAP ROAD, MAHILONG, RANCHI
835103</v>
          </cell>
          <cell r="G4189">
            <v>9708039203</v>
          </cell>
          <cell r="K4189" t="str">
            <v>BRIC374329</v>
          </cell>
        </row>
        <row r="4190">
          <cell r="E4190" t="str">
            <v>PETARWAR</v>
          </cell>
          <cell r="G4190">
            <v>9828761045</v>
          </cell>
          <cell r="K4190" t="str">
            <v>BWBD163738</v>
          </cell>
        </row>
        <row r="4191">
          <cell r="E4191" t="str">
            <v>LOHARDAGAH</v>
          </cell>
          <cell r="G4191">
            <v>8434111029</v>
          </cell>
          <cell r="K4191" t="str">
            <v>BUFS046839</v>
          </cell>
        </row>
        <row r="4192">
          <cell r="E4192" t="str">
            <v>RANCHI</v>
          </cell>
          <cell r="G4192" t="str">
            <v>NA</v>
          </cell>
          <cell r="K4192" t="str">
            <v>BVFC377137</v>
          </cell>
        </row>
        <row r="4193">
          <cell r="E4193" t="str">
            <v>JHUMRI TILAIYA</v>
          </cell>
          <cell r="G4193">
            <v>7061052272</v>
          </cell>
          <cell r="K4193" t="str">
            <v>GPLS030458</v>
          </cell>
        </row>
        <row r="4194">
          <cell r="E4194" t="str">
            <v>BARHI, HAZARIBAGH</v>
          </cell>
          <cell r="G4194">
            <v>8488957184</v>
          </cell>
          <cell r="K4194" t="str">
            <v>BUCS034287</v>
          </cell>
        </row>
        <row r="4195">
          <cell r="E4195" t="str">
            <v>KODERMA</v>
          </cell>
          <cell r="G4195">
            <v>8210413459</v>
          </cell>
          <cell r="K4195" t="str">
            <v>BVFS049421</v>
          </cell>
        </row>
        <row r="4196">
          <cell r="E4196" t="str">
            <v>KODERMA</v>
          </cell>
          <cell r="G4196">
            <v>8210413459</v>
          </cell>
          <cell r="K4196" t="str">
            <v>BVFS049398</v>
          </cell>
        </row>
        <row r="4197">
          <cell r="E4197" t="str">
            <v>KODERMA</v>
          </cell>
          <cell r="G4197">
            <v>9631639052</v>
          </cell>
          <cell r="K4197" t="str">
            <v>BVFS049426</v>
          </cell>
        </row>
        <row r="4198">
          <cell r="E4198" t="str">
            <v>KODERMA</v>
          </cell>
          <cell r="G4198">
            <v>8210413459</v>
          </cell>
          <cell r="K4198" t="str">
            <v>BVFS049407</v>
          </cell>
        </row>
        <row r="4199">
          <cell r="E4199" t="str">
            <v>KOKAR INDUSTRIAL AREA,RANCHI
834001</v>
          </cell>
          <cell r="G4199">
            <v>7004147721</v>
          </cell>
          <cell r="K4199" t="str">
            <v>BSBC375532</v>
          </cell>
        </row>
        <row r="4200">
          <cell r="E4200" t="str">
            <v>RAMGARH CANTT, RAMGARH
RAMGARH
829122
RAMGARH</v>
          </cell>
          <cell r="G4200">
            <v>9576833882</v>
          </cell>
          <cell r="K4200" t="str">
            <v>BNKS030423</v>
          </cell>
        </row>
        <row r="4201">
          <cell r="E4201" t="str">
            <v>BERA, DHANBAD</v>
          </cell>
          <cell r="G4201">
            <v>9550053031</v>
          </cell>
          <cell r="K4201" t="str">
            <v>BUAD162634</v>
          </cell>
        </row>
        <row r="4202">
          <cell r="E4202" t="str">
            <v>KHAKHSA PAHAR, PAKURIYA, PAKUR</v>
          </cell>
          <cell r="G4202">
            <v>6206959324</v>
          </cell>
          <cell r="K4202" t="str">
            <v>BUGD162826</v>
          </cell>
        </row>
        <row r="4203">
          <cell r="E4203" t="str">
            <v>MUNGMA</v>
          </cell>
          <cell r="G4203">
            <v>7439816339</v>
          </cell>
          <cell r="K4203" t="str">
            <v>BNLS030573</v>
          </cell>
        </row>
        <row r="4204">
          <cell r="E4204" t="str">
            <v>DHARGRAM, PURULIA</v>
          </cell>
          <cell r="G4204">
            <v>9564188501</v>
          </cell>
          <cell r="K4204" t="str">
            <v>BWKD163522</v>
          </cell>
        </row>
        <row r="4205">
          <cell r="E4205" t="str">
            <v>LODNA</v>
          </cell>
          <cell r="G4205">
            <v>8434845555</v>
          </cell>
          <cell r="K4205" t="str">
            <v>BWAD163648</v>
          </cell>
        </row>
        <row r="4206">
          <cell r="E4206" t="str">
            <v>SARAIKELA</v>
          </cell>
          <cell r="G4206">
            <v>9905185143</v>
          </cell>
          <cell r="K4206" t="str">
            <v>BWJD163499</v>
          </cell>
        </row>
        <row r="4207">
          <cell r="E4207" t="str">
            <v>BASTAWLA DHANBAD</v>
          </cell>
          <cell r="G4207">
            <v>8658834483</v>
          </cell>
          <cell r="K4207" t="str">
            <v>BUAD162630</v>
          </cell>
        </row>
        <row r="4208">
          <cell r="E4208" t="str">
            <v>TIKRATOLI,SAPAROM
NEAR LALGUTWA OVERBRIDGE, TIKRATOLI, SAPAROM,, NAGRI, RANCHI
835303</v>
          </cell>
          <cell r="G4208">
            <v>7761843991</v>
          </cell>
          <cell r="K4208" t="str">
            <v>BQCS040170</v>
          </cell>
        </row>
        <row r="4209">
          <cell r="E4209" t="str">
            <v>MANIKA</v>
          </cell>
          <cell r="G4209">
            <v>7766039887</v>
          </cell>
          <cell r="K4209" t="str">
            <v>BRLD160756</v>
          </cell>
        </row>
        <row r="4210">
          <cell r="E4210" t="str">
            <v>SHEKHPURA, BIHAR</v>
          </cell>
          <cell r="G4210">
            <v>6205791626</v>
          </cell>
          <cell r="K4210" t="str">
            <v>BTGL160455</v>
          </cell>
        </row>
        <row r="4211">
          <cell r="E4211" t="str">
            <v>GANDHI MAIDAN, PATNA</v>
          </cell>
          <cell r="G4211">
            <v>9584401042</v>
          </cell>
          <cell r="K4211" t="str">
            <v>BUID220795</v>
          </cell>
        </row>
        <row r="4212">
          <cell r="E4212" t="str">
            <v>C&amp;W HATIA</v>
          </cell>
          <cell r="G4212">
            <v>7781002740</v>
          </cell>
          <cell r="K4212" t="str">
            <v>EVLL062069</v>
          </cell>
        </row>
        <row r="4213">
          <cell r="E4213" t="str">
            <v>NICHITPUR</v>
          </cell>
          <cell r="G4213">
            <v>7903412175</v>
          </cell>
          <cell r="K4213" t="str">
            <v>BUCD162696</v>
          </cell>
        </row>
        <row r="4214">
          <cell r="E4214" t="str">
            <v>NICHITPUR</v>
          </cell>
          <cell r="G4214">
            <v>6202894138</v>
          </cell>
          <cell r="K4214" t="str">
            <v>BUCD162696</v>
          </cell>
        </row>
        <row r="4215">
          <cell r="E4215" t="str">
            <v>DHANBAD, CONT PERSON :MR. IKTEKHAR AHMAD, PH.NO :9431316718</v>
          </cell>
          <cell r="G4215">
            <v>7371858184</v>
          </cell>
          <cell r="K4215" t="str">
            <v>BQID160499</v>
          </cell>
        </row>
        <row r="4216">
          <cell r="E4216" t="str">
            <v>PHUSHRO</v>
          </cell>
          <cell r="G4216">
            <v>7091340232</v>
          </cell>
          <cell r="K4216" t="str">
            <v>BVKD163026</v>
          </cell>
        </row>
        <row r="4217">
          <cell r="E4217" t="str">
            <v>C/O PALANIAPPAN CHANDRAN, KATTUKOTTAL, PAITHUR, P.O- ATTUR TK,SALEM, TAMILNADU</v>
          </cell>
          <cell r="G4217">
            <v>8809338483</v>
          </cell>
          <cell r="K4217" t="str">
            <v>BSAD230391</v>
          </cell>
        </row>
        <row r="4218">
          <cell r="E4218" t="str">
            <v>KHAKHSA PAHAR, PAKURIYA, PAKUR</v>
          </cell>
          <cell r="G4218">
            <v>6206959324</v>
          </cell>
          <cell r="K4218" t="str">
            <v>BUGD162826</v>
          </cell>
        </row>
        <row r="4219">
          <cell r="E4219" t="str">
            <v>GIRIDIH</v>
          </cell>
          <cell r="G4219">
            <v>9122619990</v>
          </cell>
          <cell r="K4219" t="str">
            <v>BWLC378957</v>
          </cell>
        </row>
        <row r="4220">
          <cell r="E4220" t="str">
            <v>BARHI</v>
          </cell>
          <cell r="G4220">
            <v>7903957272</v>
          </cell>
          <cell r="K4220" t="str">
            <v>BWBD163707</v>
          </cell>
        </row>
        <row r="4221">
          <cell r="E4221" t="str">
            <v>DALTAINGANJ</v>
          </cell>
          <cell r="G4221">
            <v>9153994622</v>
          </cell>
          <cell r="K4221" t="str">
            <v>BVAC375308</v>
          </cell>
        </row>
        <row r="4222">
          <cell r="E4222" t="str">
            <v>BASTAKOLA, DHANBAD</v>
          </cell>
          <cell r="G4222">
            <v>7489823544</v>
          </cell>
          <cell r="K4222" t="str">
            <v>BQKD160099</v>
          </cell>
        </row>
        <row r="4223">
          <cell r="E4223" t="str">
            <v>BASTAKOLA, DHANBAD</v>
          </cell>
          <cell r="G4223">
            <v>7489823544</v>
          </cell>
          <cell r="K4223" t="str">
            <v>BUKD162535</v>
          </cell>
        </row>
        <row r="4224">
          <cell r="E4224" t="str">
            <v>BASKATOLA</v>
          </cell>
          <cell r="G4224">
            <v>7489823544</v>
          </cell>
          <cell r="K4224" t="str">
            <v>BULD162577</v>
          </cell>
        </row>
        <row r="4225">
          <cell r="E4225" t="str">
            <v>DHANBAD JHARKHAND</v>
          </cell>
          <cell r="G4225">
            <v>7489823544</v>
          </cell>
          <cell r="K4225" t="str">
            <v>BQKD160115</v>
          </cell>
        </row>
        <row r="4226">
          <cell r="E4226" t="str">
            <v>TUPUDANA, RANCHI</v>
          </cell>
          <cell r="G4226">
            <v>8969978501</v>
          </cell>
          <cell r="K4226" t="str">
            <v>BVAD121386</v>
          </cell>
        </row>
        <row r="4227">
          <cell r="E4227" t="str">
            <v>MOHAMAD ARIF ZAFAR
KHATA NO. 27, PLOT NO. 37, RIT ROAD, CHHATARBAR, JHUMRITILAIYA
825409</v>
          </cell>
          <cell r="G4227">
            <v>9801479488</v>
          </cell>
          <cell r="K4227" t="str">
            <v>BUAC371371</v>
          </cell>
        </row>
        <row r="4228">
          <cell r="E4228" t="str">
            <v>C/O - PREM PRAKASH AGARWAL, OPP - HILLVIEW FUEL STATION, GODHUR, P.O - KUSUNDA, DHANBAD</v>
          </cell>
          <cell r="G4228">
            <v>7903412157</v>
          </cell>
          <cell r="K4228" t="str">
            <v>BTED162217</v>
          </cell>
        </row>
        <row r="4229">
          <cell r="E4229" t="str">
            <v>DHANBAD</v>
          </cell>
          <cell r="G4229">
            <v>7489823544</v>
          </cell>
          <cell r="K4229" t="str">
            <v>BTDD162186</v>
          </cell>
        </row>
        <row r="4230">
          <cell r="E4230" t="str">
            <v>JAMSHEDPUR</v>
          </cell>
          <cell r="G4230">
            <v>6206522169</v>
          </cell>
          <cell r="K4230" t="str">
            <v>BPGC370231</v>
          </cell>
        </row>
        <row r="4231">
          <cell r="E4231" t="str">
            <v>Govindpur, Dhanbad</v>
          </cell>
          <cell r="G4231">
            <v>6380540177</v>
          </cell>
          <cell r="K4231" t="str">
            <v>BQGD230029</v>
          </cell>
        </row>
        <row r="4232">
          <cell r="E4232" t="str">
            <v>UNIT OF HERITAGE LANDMARKS AUTOWORLD PVT. LTD., NEAR KAMRE AASHRAM, P.O. KAMRE, RATU ROAD, RANCHI
835214</v>
          </cell>
          <cell r="G4232">
            <v>8102800076</v>
          </cell>
          <cell r="K4232" t="str">
            <v>BTJC377158</v>
          </cell>
        </row>
        <row r="4233">
          <cell r="E4233" t="str">
            <v>RANCHI</v>
          </cell>
          <cell r="G4233">
            <v>9891199804</v>
          </cell>
          <cell r="K4233" t="str">
            <v>BWJC378261</v>
          </cell>
        </row>
        <row r="4234">
          <cell r="E4234" t="str">
            <v>PHOOLWARTAND, DHANBAD</v>
          </cell>
          <cell r="G4234">
            <v>8106167121</v>
          </cell>
          <cell r="K4234" t="str">
            <v>BVHD163393</v>
          </cell>
        </row>
        <row r="4235">
          <cell r="E4235" t="str">
            <v>JUMRI TELAIYA</v>
          </cell>
          <cell r="G4235">
            <v>7981797616</v>
          </cell>
          <cell r="K4235" t="str">
            <v>BUKC370499</v>
          </cell>
        </row>
        <row r="4236">
          <cell r="E4236" t="str">
            <v>NTA LODNA, DHANBAD</v>
          </cell>
          <cell r="G4236">
            <v>7644045555</v>
          </cell>
          <cell r="K4236" t="str">
            <v>BULD162559</v>
          </cell>
        </row>
        <row r="4237">
          <cell r="E4237" t="str">
            <v>NICHITPUR</v>
          </cell>
          <cell r="G4237">
            <v>7903412175</v>
          </cell>
          <cell r="K4237" t="str">
            <v>BUCD162696</v>
          </cell>
        </row>
        <row r="4238">
          <cell r="E4238" t="str">
            <v>RANCHI
834002</v>
          </cell>
          <cell r="G4238">
            <v>9210241710</v>
          </cell>
          <cell r="K4238" t="str">
            <v>BTIS032025</v>
          </cell>
        </row>
        <row r="4239">
          <cell r="E4239" t="str">
            <v>RANCHI
834002</v>
          </cell>
          <cell r="G4239">
            <v>8210241710</v>
          </cell>
          <cell r="K4239" t="str">
            <v>BULS033141</v>
          </cell>
        </row>
        <row r="4240">
          <cell r="E4240" t="str">
            <v>RANCHI
834002</v>
          </cell>
          <cell r="G4240">
            <v>8210241710</v>
          </cell>
          <cell r="K4240" t="str">
            <v>BTIS032020</v>
          </cell>
        </row>
        <row r="4241">
          <cell r="E4241" t="str">
            <v>PHOOLWARTAND, DHANBAD</v>
          </cell>
          <cell r="G4241">
            <v>9210106692</v>
          </cell>
          <cell r="K4241" t="str">
            <v>BVHD163393</v>
          </cell>
        </row>
        <row r="4242">
          <cell r="E4242" t="str">
            <v>KATHITAND
835222,RANCHI
835222</v>
          </cell>
          <cell r="G4242">
            <v>9608787400</v>
          </cell>
          <cell r="K4242" t="str">
            <v>GPAC370341</v>
          </cell>
        </row>
        <row r="4243">
          <cell r="E4243" t="str">
            <v>GIRIDIH</v>
          </cell>
          <cell r="G4243">
            <v>8051062502</v>
          </cell>
          <cell r="K4243" t="str">
            <v>BVKS048107</v>
          </cell>
        </row>
        <row r="4244">
          <cell r="E4244" t="str">
            <v>KATHITAR,RANCHI
KATHITAR,RANCHI
834004
KATHITAR,</v>
          </cell>
          <cell r="G4244">
            <v>6203721760</v>
          </cell>
          <cell r="K4244" t="str">
            <v>GPGC370774</v>
          </cell>
        </row>
        <row r="4245">
          <cell r="E4245" t="str">
            <v>REG. OFFICE: UNIT 106, MAHABIR TOWER, JOKHIRAM LANE, MAIN ROAD, RANCHI - 834 001
REG. OFFICE: UNIT 106, MAHABIR TOWER, JOKHIRAM LANE, MAIN ROAD, RANCHI - 834 001
835214</v>
          </cell>
          <cell r="G4245">
            <v>9661300651</v>
          </cell>
          <cell r="K4245" t="str">
            <v>BSDS043254</v>
          </cell>
        </row>
        <row r="4246">
          <cell r="E4246" t="str">
            <v>NAGRI,RANCHI
835202
RANCHI</v>
          </cell>
          <cell r="G4246">
            <v>9608884168</v>
          </cell>
          <cell r="K4246" t="str">
            <v>BIGS030904</v>
          </cell>
        </row>
        <row r="4247">
          <cell r="E4247" t="str">
            <v>BARHI, HAZARIBAGH</v>
          </cell>
          <cell r="G4247">
            <v>7991470471</v>
          </cell>
          <cell r="K4247" t="str">
            <v>BUCS034287</v>
          </cell>
        </row>
        <row r="4248">
          <cell r="E4248" t="str">
            <v>KASUNDA</v>
          </cell>
          <cell r="G4248">
            <v>8809111645</v>
          </cell>
          <cell r="K4248" t="str">
            <v>BRDD161023</v>
          </cell>
        </row>
        <row r="4249">
          <cell r="E4249" t="str">
            <v>DHANBAD</v>
          </cell>
          <cell r="G4249">
            <v>8106167121</v>
          </cell>
          <cell r="K4249" t="str">
            <v>BRGD161225</v>
          </cell>
        </row>
        <row r="4250">
          <cell r="E4250" t="str">
            <v>LODNA</v>
          </cell>
          <cell r="G4250">
            <v>9508203562</v>
          </cell>
          <cell r="K4250" t="str">
            <v>BWAD163648</v>
          </cell>
        </row>
        <row r="4251">
          <cell r="E4251" t="str">
            <v>BOKARO</v>
          </cell>
          <cell r="G4251">
            <v>8959823513</v>
          </cell>
          <cell r="K4251" t="str">
            <v>BSLC374985</v>
          </cell>
        </row>
        <row r="4252">
          <cell r="E4252" t="str">
            <v>NAYA MORE,RAMGARH
ARA SARU BERA ROAD, NAYA, RAMGARH,JHARKHAND
829110
NAYA MORE</v>
          </cell>
          <cell r="G4252">
            <v>8109928827</v>
          </cell>
          <cell r="K4252" t="str">
            <v>BQBS033796</v>
          </cell>
        </row>
        <row r="4253">
          <cell r="E4253" t="str">
            <v>NAYA MORE, RAMGRAH</v>
          </cell>
          <cell r="G4253">
            <v>8651078549</v>
          </cell>
          <cell r="K4253" t="str">
            <v>BUKS045388</v>
          </cell>
        </row>
        <row r="4254">
          <cell r="E4254" t="str">
            <v>NAYA MORE, RAMGRAH</v>
          </cell>
          <cell r="G4254">
            <v>8651078549</v>
          </cell>
          <cell r="K4254" t="str">
            <v>BUKS045387</v>
          </cell>
        </row>
        <row r="4255">
          <cell r="E4255" t="str">
            <v>PALAMU,GARWA, JHARKHAND
822124
GARHWA ROAD, NEAR BCCL PALAMU,</v>
          </cell>
          <cell r="G4255">
            <v>8877136770</v>
          </cell>
          <cell r="K4255" t="str">
            <v>GOCS030806</v>
          </cell>
        </row>
        <row r="4256">
          <cell r="E4256" t="str">
            <v>PIPARWAR,JHARKHAND
BAHERA, BENTI, PIPARWAR, CHATRA
825321</v>
          </cell>
          <cell r="G4256">
            <v>9430197163</v>
          </cell>
          <cell r="K4256" t="str">
            <v>BOID200231</v>
          </cell>
        </row>
        <row r="4257">
          <cell r="E4257" t="str">
            <v>NEAR P.N BANK MAIN ROAD,, RAMGARH CANTT-829122, DIST. RAMGARH
829122
BUDHAKHOP, AMBRELA, KARMA,</v>
          </cell>
          <cell r="G4257">
            <v>8789350097</v>
          </cell>
          <cell r="K4257" t="str">
            <v>BSHS038806</v>
          </cell>
        </row>
        <row r="4258">
          <cell r="E4258" t="str">
            <v>NEAR P.N BANK MAIN ROAD,, RAMGARH CANTT-829122, DIST. RAMGARH
829122
BUDHAKHOP, AMBRELA, KARMA,</v>
          </cell>
          <cell r="G4258">
            <v>8789350097</v>
          </cell>
          <cell r="K4258" t="str">
            <v>BQBS030091</v>
          </cell>
        </row>
        <row r="4259">
          <cell r="E4259" t="str">
            <v>ARGADA ROAD, BINJHAR, P.O. - MARAR, RAMGARH
829117</v>
          </cell>
          <cell r="G4259">
            <v>8294504879</v>
          </cell>
          <cell r="K4259" t="str">
            <v>BSCS037449</v>
          </cell>
        </row>
        <row r="4260">
          <cell r="E4260" t="str">
            <v>PHUSHRO</v>
          </cell>
          <cell r="G4260">
            <v>7091340232</v>
          </cell>
          <cell r="K4260" t="str">
            <v>BVED163244</v>
          </cell>
        </row>
        <row r="4261">
          <cell r="E4261" t="str">
            <v>PHUSHRO</v>
          </cell>
          <cell r="G4261">
            <v>7091340232</v>
          </cell>
          <cell r="K4261" t="str">
            <v>BVKD163026</v>
          </cell>
        </row>
        <row r="4262">
          <cell r="E4262" t="str">
            <v>KODERMA</v>
          </cell>
          <cell r="G4262">
            <v>9631639052</v>
          </cell>
          <cell r="K4262" t="str">
            <v>BVFS049426</v>
          </cell>
        </row>
        <row r="4263">
          <cell r="E4263" t="str">
            <v>PHUSHRO</v>
          </cell>
          <cell r="G4263">
            <v>7091340232</v>
          </cell>
          <cell r="K4263" t="str">
            <v>BVED163244</v>
          </cell>
        </row>
        <row r="4264">
          <cell r="E4264" t="str">
            <v>TRIDENT PNEUMATICS PVT LTD   5/232,KNG PUDUR ROADSOMAYAMPALAYAM POSTCOIMBATORE IND</v>
          </cell>
          <cell r="G4264">
            <v>7079053079</v>
          </cell>
          <cell r="K4264" t="str">
            <v>BRCC373040</v>
          </cell>
        </row>
        <row r="4265">
          <cell r="E4265" t="str">
            <v>MANDU, RAMGARH
JAISWAL COLONY, THANA CHOW,, RAMGARH CANTT. DIST. RAMGARH, JHARKHAND
825316
MANDU</v>
          </cell>
          <cell r="G4265">
            <v>7979930284</v>
          </cell>
          <cell r="K4265" t="str">
            <v>BTLS039748</v>
          </cell>
        </row>
        <row r="4266">
          <cell r="E4266" t="str">
            <v>MANDU, RAMGARH
JAISWAL COLONY, THANA CHOW,, RAMGARH CANTT. DIST. RAMGARH, JHARKHAND
825316
MANDU</v>
          </cell>
          <cell r="G4266">
            <v>7979930284</v>
          </cell>
          <cell r="K4266" t="str">
            <v>BTLS039719</v>
          </cell>
        </row>
        <row r="4267">
          <cell r="E4267" t="str">
            <v>MANDU, RAMGARH
JAISWAL COLONY, THANA CHOW,, RAMGARH CANTT. DIST. RAMGARH, JHARKHAND
825316
MANDU</v>
          </cell>
          <cell r="G4267">
            <v>6205951815</v>
          </cell>
          <cell r="K4267" t="str">
            <v>BSGS043528</v>
          </cell>
        </row>
        <row r="4268">
          <cell r="E4268" t="str">
            <v>MANDU, RAMGARH
JAISWAL COLONY, THANA CHOW,, RAMGARH CANTT. DIST. RAMGARH, JHARKHAND
825316
MANDU</v>
          </cell>
          <cell r="G4268">
            <v>7979930284</v>
          </cell>
          <cell r="K4268" t="str">
            <v>BTLS039787</v>
          </cell>
        </row>
        <row r="4269">
          <cell r="E4269" t="str">
            <v>MANDU, RAMGARH
JAISWAL COLONY, THANA CHOW,, RAMGARH CANTT. DIST. RAMGARH, JHARKHAND
825316
MANDU</v>
          </cell>
          <cell r="G4269">
            <v>7979930284</v>
          </cell>
          <cell r="K4269" t="str">
            <v>BTLS039851</v>
          </cell>
        </row>
        <row r="4270">
          <cell r="E4270" t="str">
            <v>PLOT NO. 148, TUPUDANA, INDUSTRIAL AREA, HATIA, RANCHI
834002</v>
          </cell>
          <cell r="G4270">
            <v>9534249500</v>
          </cell>
          <cell r="K4270" t="str">
            <v>BRIS035838</v>
          </cell>
        </row>
        <row r="4271">
          <cell r="E4271" t="str">
            <v>PLOT NO. 148, TUPUDANA, INDUSTRIAL AREA, HATIA, RANCHI
834002</v>
          </cell>
          <cell r="G4271">
            <v>9534249500</v>
          </cell>
          <cell r="K4271" t="str">
            <v>BSLS036682</v>
          </cell>
        </row>
        <row r="4272">
          <cell r="E4272" t="str">
            <v>SADAR HOSPITAL, BOKARO, C/O L &amp; T LTD. BOKARO, JHARKHAND
C/O L &amp; T LTD. BOKARO, JHARKHAND
000000</v>
          </cell>
          <cell r="G4272">
            <v>9939116955</v>
          </cell>
          <cell r="K4272" t="str">
            <v>BUBS045933</v>
          </cell>
        </row>
        <row r="4273">
          <cell r="E4273" t="str">
            <v>PLOT NO. 148, TUPUDANA, INDUSTRIAL AREA, HATIA, RANCHI
834002</v>
          </cell>
          <cell r="G4273">
            <v>9534249500</v>
          </cell>
          <cell r="K4273" t="str">
            <v>BRIS035838</v>
          </cell>
        </row>
        <row r="4274">
          <cell r="E4274" t="str">
            <v>LODNA</v>
          </cell>
          <cell r="G4274">
            <v>8434845555</v>
          </cell>
          <cell r="K4274" t="str">
            <v>BVID163401</v>
          </cell>
        </row>
        <row r="4275">
          <cell r="E4275" t="str">
            <v>SADAR HOSPITAL, BOKARO, C/O L &amp; T LTD. BOKARO, JHARKHAND
C/O L &amp; T LTD. BOKARO, JHARKHAND
000000</v>
          </cell>
          <cell r="G4275">
            <v>7654511684</v>
          </cell>
          <cell r="K4275" t="str">
            <v>BUBS045931</v>
          </cell>
        </row>
        <row r="4276">
          <cell r="E4276" t="str">
            <v>11 PINJRAPOLE, HARMU ROAD, RANCHI
11 PINJRAPOLE, HARMU ROAD, RANCHI
834001
MAHILONG, TATISILWAY</v>
          </cell>
          <cell r="G4276">
            <v>6202577175</v>
          </cell>
          <cell r="K4276" t="str">
            <v>BNCC370425</v>
          </cell>
        </row>
        <row r="4277">
          <cell r="E4277" t="str">
            <v>NICHITPUR</v>
          </cell>
          <cell r="G4277">
            <v>6202894138</v>
          </cell>
          <cell r="K4277" t="str">
            <v>BUCD162696</v>
          </cell>
        </row>
        <row r="4278">
          <cell r="E4278" t="str">
            <v>KASUNDA</v>
          </cell>
          <cell r="G4278">
            <v>8098986732</v>
          </cell>
          <cell r="K4278" t="str">
            <v>BTCD162162</v>
          </cell>
        </row>
        <row r="4279">
          <cell r="E4279" t="str">
            <v>GETALATU, RANCHI</v>
          </cell>
          <cell r="G4279">
            <v>8877664494</v>
          </cell>
          <cell r="K4279" t="str">
            <v>BUFC372853</v>
          </cell>
        </row>
        <row r="4280">
          <cell r="E4280" t="str">
            <v>GOPI KANDHAR, DUMKA</v>
          </cell>
          <cell r="G4280">
            <v>9661732073</v>
          </cell>
          <cell r="K4280" t="str">
            <v>BUID162940</v>
          </cell>
        </row>
        <row r="4281">
          <cell r="E4281" t="str">
            <v>AT. BONGABAR, SANDI, RAMGARH, AMC  FROM 1-8-2019 TO 30-7-2020
829122
SANDI ,</v>
          </cell>
          <cell r="G4281">
            <v>7004377365</v>
          </cell>
          <cell r="K4281" t="str">
            <v>BLGS040605</v>
          </cell>
        </row>
        <row r="4282">
          <cell r="E4282" t="str">
            <v>GROUND FLOOR, 8H AND 81, NATION PRINTERS, NAMKUM INDUSTRIAL AREA,, LOWADIH, RANCHI
GROUND FLOOR, 8H AND 81, NATION PRINTERS, NAMKUM INDUSTRIAL AREA,, LOWADIH, RANCHI
834010</v>
          </cell>
          <cell r="G4282">
            <v>9709225271</v>
          </cell>
          <cell r="K4282" t="str">
            <v>BRFC373676</v>
          </cell>
        </row>
        <row r="4283">
          <cell r="E4283" t="str">
            <v>NAGARI
 835303</v>
          </cell>
          <cell r="G4283">
            <v>9264443243</v>
          </cell>
          <cell r="K4283" t="str">
            <v>BREC373538</v>
          </cell>
        </row>
        <row r="4284">
          <cell r="E4284" t="str">
            <v>PATRATU</v>
          </cell>
          <cell r="G4284">
            <v>7908048644</v>
          </cell>
          <cell r="K4284" t="str">
            <v>EVKS047996</v>
          </cell>
        </row>
        <row r="4285">
          <cell r="E4285" t="str">
            <v>GROUND FLOOR,, OFFICE NO.448A, ROAD NO.4, ASHOK NAGAR
GROUND FLOOR,, OFFICE NO.448A, ROAD NO.4, ASHOK NAGAR
829118
PLOT NO:- 47P, PATRATU INDUSTRIAL AREA</v>
          </cell>
          <cell r="G4285">
            <v>8102928348</v>
          </cell>
          <cell r="K4285" t="str">
            <v>GOGC370754</v>
          </cell>
        </row>
        <row r="4286">
          <cell r="E4286" t="str">
            <v>GROUND FLOOR,, OFFICE NO.448A, ROAD NO.4, ASHOK NAGAR
GROUND FLOOR,, OFFICE NO.448A, ROAD NO.4, ASHOK NAGAR
829118
PLOT NO:- 47P, PATRATU INDUSTRIAL AREA</v>
          </cell>
          <cell r="G4286">
            <v>8102928348</v>
          </cell>
          <cell r="K4286" t="str">
            <v>ONIC370102</v>
          </cell>
        </row>
        <row r="4287">
          <cell r="E4287" t="str">
            <v>BARWADA, DHANBAD</v>
          </cell>
          <cell r="G4287">
            <v>9006060470</v>
          </cell>
          <cell r="K4287" t="str">
            <v>BWKD163559</v>
          </cell>
        </row>
        <row r="4288">
          <cell r="E4288" t="str">
            <v>BHULI, DHANBAD</v>
          </cell>
          <cell r="G4288">
            <v>7541046561</v>
          </cell>
          <cell r="K4288" t="str">
            <v>BVFS039912</v>
          </cell>
        </row>
        <row r="4289">
          <cell r="E4289" t="str">
            <v>GIRIDIH</v>
          </cell>
          <cell r="G4289">
            <v>9122619990</v>
          </cell>
          <cell r="K4289" t="str">
            <v>BWLC378957</v>
          </cell>
        </row>
        <row r="4290">
          <cell r="E4290" t="str">
            <v>GANDHI MAIDAN, PATNA</v>
          </cell>
          <cell r="G4290">
            <v>9919917081</v>
          </cell>
          <cell r="K4290" t="str">
            <v>BUID220795</v>
          </cell>
        </row>
        <row r="4291">
          <cell r="E4291" t="str">
            <v>Govindpur, Dhanbad</v>
          </cell>
          <cell r="G4291">
            <v>6380540177</v>
          </cell>
          <cell r="K4291" t="str">
            <v>BQGD230029</v>
          </cell>
        </row>
        <row r="4292">
          <cell r="E4292" t="str">
            <v>FATEPUR GAYA</v>
          </cell>
          <cell r="G4292">
            <v>8083671798</v>
          </cell>
          <cell r="K4292" t="str">
            <v>BWLD163608</v>
          </cell>
        </row>
        <row r="4293">
          <cell r="E4293" t="str">
            <v>RAHELA, DALTAINGANJ</v>
          </cell>
          <cell r="G4293">
            <v>7004471081</v>
          </cell>
          <cell r="K4293" t="str">
            <v>BUGS035879</v>
          </cell>
        </row>
        <row r="4294">
          <cell r="E4294" t="str">
            <v>ASHOKA PROJECT PIPARWAR</v>
          </cell>
          <cell r="G4294">
            <v>9100454119</v>
          </cell>
          <cell r="K4294" t="str">
            <v>BUID162912</v>
          </cell>
        </row>
        <row r="4295">
          <cell r="E4295" t="str">
            <v>RAMGRAH</v>
          </cell>
          <cell r="G4295">
            <v>7281962540</v>
          </cell>
          <cell r="K4295" t="str">
            <v>BUFS046910</v>
          </cell>
        </row>
        <row r="4296">
          <cell r="E4296" t="str">
            <v>GOVINDPUR DHANBAD</v>
          </cell>
          <cell r="G4296">
            <v>9110154620</v>
          </cell>
          <cell r="K4296" t="str">
            <v>BRBS041574</v>
          </cell>
        </row>
        <row r="4297">
          <cell r="E4297" t="str">
            <v>TIKRATOLI, NAGRI</v>
          </cell>
          <cell r="G4297">
            <v>7488589310</v>
          </cell>
          <cell r="K4297" t="str">
            <v>BWKC378709</v>
          </cell>
        </row>
        <row r="4298">
          <cell r="E4298" t="str">
            <v>LODNA</v>
          </cell>
          <cell r="G4298"/>
          <cell r="K4298" t="str">
            <v>BWAD163648</v>
          </cell>
        </row>
        <row r="4299">
          <cell r="E4299" t="str">
            <v>BHUYANDIH, JAMSHEDPUR</v>
          </cell>
          <cell r="G4299">
            <v>9304170499</v>
          </cell>
          <cell r="K4299" t="str">
            <v>BMFC370445</v>
          </cell>
        </row>
        <row r="4300">
          <cell r="E4300" t="str">
            <v>RAMGRAH</v>
          </cell>
          <cell r="G4300">
            <v>9431394348</v>
          </cell>
          <cell r="K4300" t="str">
            <v>BWKC378694</v>
          </cell>
        </row>
        <row r="4301">
          <cell r="E4301" t="str">
            <v>NEORI,VIKAS,RANCHI.
835217</v>
          </cell>
          <cell r="G4301">
            <v>9693768894</v>
          </cell>
          <cell r="K4301" t="str">
            <v>BWKS040406</v>
          </cell>
        </row>
        <row r="4302">
          <cell r="E4302" t="str">
            <v>ANKIT KUMAR SONTHALIA, R.N. BOSE ROAD, SATSANG GATE, NEAR HANUMAN MANDIR,, PURANDAHA, DEOGHAR, DIST. DUMKA,, JHARKHAND</v>
          </cell>
          <cell r="G4302">
            <v>6200191036</v>
          </cell>
          <cell r="K4302" t="str">
            <v>BSID161979</v>
          </cell>
        </row>
        <row r="4303">
          <cell r="E4303" t="str">
            <v>ARGORA, RANCHI
834002</v>
          </cell>
          <cell r="G4303">
            <v>6203976517</v>
          </cell>
          <cell r="K4303" t="str">
            <v>BSKC374901</v>
          </cell>
        </row>
        <row r="4304">
          <cell r="E4304" t="str">
            <v>RANCHI</v>
          </cell>
          <cell r="G4304">
            <v>9891199804</v>
          </cell>
          <cell r="K4304" t="str">
            <v>BWJC378261</v>
          </cell>
        </row>
        <row r="4305">
          <cell r="E4305" t="str">
            <v>BOKARO</v>
          </cell>
          <cell r="G4305">
            <v>8959823513</v>
          </cell>
          <cell r="K4305" t="str">
            <v>BSLC374986</v>
          </cell>
        </row>
        <row r="4306">
          <cell r="E4306" t="str">
            <v>HOSHIR GIDDI,RAMGARH
NEAR P.N. BANK MAIN ROAD, RAMGARH CANTT. 829122
829110</v>
          </cell>
          <cell r="G4306">
            <v>8651078549</v>
          </cell>
          <cell r="K4306" t="str">
            <v>BRHS035368</v>
          </cell>
        </row>
        <row r="4307">
          <cell r="E4307" t="str">
            <v>RAMGARH SPONGE IRON PVT LTD VILLAGE:HOSHIR GIDDI-POHAZARIBAGH(DT)JHARKHAND IND
829110</v>
          </cell>
          <cell r="G4307">
            <v>8651078549</v>
          </cell>
          <cell r="K4307" t="str">
            <v>BKCS040470</v>
          </cell>
        </row>
        <row r="4308">
          <cell r="E4308" t="str">
            <v>ANKIT KUMAR SONTHALIA, R.N. BOSE ROAD, SATSANG GATE, NEAR HANUMAN MANDIR,, PURANDAHA, DEOGHAR, DIST. DUMKA,, JHARKHAND</v>
          </cell>
          <cell r="G4308">
            <v>6200191036</v>
          </cell>
          <cell r="K4308" t="str">
            <v>BSID161979</v>
          </cell>
        </row>
        <row r="4309">
          <cell r="E4309" t="str">
            <v>TATISILWAI, JHARKHAND
835103</v>
          </cell>
          <cell r="G4309">
            <v>6200160428</v>
          </cell>
          <cell r="K4309" t="str">
            <v>BQHS040705</v>
          </cell>
        </row>
        <row r="4310">
          <cell r="E4310" t="str">
            <v>LODNA</v>
          </cell>
          <cell r="G4310">
            <v>8434845555</v>
          </cell>
          <cell r="K4310" t="str">
            <v>BTCD162149</v>
          </cell>
        </row>
        <row r="4311">
          <cell r="E4311" t="str">
            <v>LODNA</v>
          </cell>
          <cell r="G4311">
            <v>7644045555</v>
          </cell>
          <cell r="K4311" t="str">
            <v>BTDD162169</v>
          </cell>
        </row>
        <row r="4312">
          <cell r="E4312" t="str">
            <v>KWJAMA COLLIERY, DHANBAD</v>
          </cell>
          <cell r="G4312">
            <v>7644045555</v>
          </cell>
          <cell r="K4312" t="str">
            <v>BVCD163165</v>
          </cell>
        </row>
        <row r="4313">
          <cell r="E4313" t="str">
            <v>C/O - PREM PRAKASH AGARWAL, OPP - HILLVIEW FUEL STATION, GODHUR, P.O - KUSUNDA, DHANBAD</v>
          </cell>
          <cell r="G4313">
            <v>7903412157</v>
          </cell>
          <cell r="K4313" t="str">
            <v>BTED162217</v>
          </cell>
        </row>
        <row r="4314">
          <cell r="E4314" t="str">
            <v>KULI, RAMGRAH</v>
          </cell>
          <cell r="G4314">
            <v>7675844644</v>
          </cell>
          <cell r="K4314" t="str">
            <v>BWAD163680</v>
          </cell>
        </row>
        <row r="4315">
          <cell r="E4315" t="str">
            <v>PIPRA</v>
          </cell>
          <cell r="G4315">
            <v>7546914655</v>
          </cell>
          <cell r="K4315" t="str">
            <v>BVIL161084</v>
          </cell>
        </row>
        <row r="4316">
          <cell r="E4316" t="str">
            <v>KULI, RAMGRAH</v>
          </cell>
          <cell r="G4316">
            <v>7675844644</v>
          </cell>
          <cell r="K4316" t="str">
            <v>BVGD163297</v>
          </cell>
        </row>
        <row r="4317">
          <cell r="E4317" t="str">
            <v>DUMRI, DHANBAD</v>
          </cell>
          <cell r="G4317">
            <v>6204545670</v>
          </cell>
          <cell r="K4317" t="str">
            <v>BVHD163374</v>
          </cell>
        </row>
        <row r="4318">
          <cell r="E4318" t="str">
            <v>SAUNDI, RAMGRAH</v>
          </cell>
          <cell r="G4318">
            <v>7781010703</v>
          </cell>
          <cell r="K4318" t="str">
            <v>BVBC375436</v>
          </cell>
        </row>
        <row r="4319">
          <cell r="E4319" t="str">
            <v>PIPRA</v>
          </cell>
          <cell r="G4319">
            <v>9031622921</v>
          </cell>
          <cell r="K4319" t="str">
            <v>BVIL161084</v>
          </cell>
        </row>
        <row r="4320">
          <cell r="E4320" t="str">
            <v>TIKRATOLI, NAGRI</v>
          </cell>
          <cell r="G4320">
            <v>6204579583</v>
          </cell>
          <cell r="K4320" t="str">
            <v>BWKC378709</v>
          </cell>
        </row>
        <row r="4321">
          <cell r="E4321" t="str">
            <v>NAGRI,RANCHI
835202
RANCHI</v>
          </cell>
          <cell r="G4321">
            <v>6200132241</v>
          </cell>
          <cell r="K4321" t="str">
            <v>BRIS035698</v>
          </cell>
        </row>
        <row r="4322">
          <cell r="E4322" t="str">
            <v>TOPA MINES, RAMGARH</v>
          </cell>
          <cell r="G4322">
            <v>7857919459</v>
          </cell>
          <cell r="K4322" t="str">
            <v>BSKD161467</v>
          </cell>
        </row>
        <row r="4323">
          <cell r="E4323" t="str">
            <v>ITI MORE, CHAS</v>
          </cell>
          <cell r="G4323">
            <v>9708999798</v>
          </cell>
          <cell r="K4323" t="str">
            <v>BQID200160</v>
          </cell>
        </row>
        <row r="4324">
          <cell r="E4324" t="str">
            <v>PUNDAG, RANCHI</v>
          </cell>
          <cell r="G4324">
            <v>9471171432</v>
          </cell>
          <cell r="K4324" t="str">
            <v>BPED200181</v>
          </cell>
        </row>
        <row r="4325">
          <cell r="E4325" t="str">
            <v>JHAJHA BIHAR</v>
          </cell>
          <cell r="G4325">
            <v>9430312599</v>
          </cell>
          <cell r="K4325" t="str">
            <v>RJD230103</v>
          </cell>
        </row>
        <row r="4326">
          <cell r="E4326" t="str">
            <v>DUMKA</v>
          </cell>
          <cell r="G4326">
            <v>9304762882</v>
          </cell>
          <cell r="K4326" t="str">
            <v>BRAD160777</v>
          </cell>
        </row>
        <row r="4327">
          <cell r="E4327" t="str">
            <v>PALAMU</v>
          </cell>
          <cell r="G4327">
            <v>7903236357</v>
          </cell>
          <cell r="K4327" t="str">
            <v>BSJD161378</v>
          </cell>
        </row>
        <row r="4328">
          <cell r="E4328" t="str">
            <v>DHANBAD</v>
          </cell>
          <cell r="G4328">
            <v>7979892986</v>
          </cell>
          <cell r="K4328" t="str">
            <v>BPED160088</v>
          </cell>
        </row>
        <row r="4329">
          <cell r="E4329" t="str">
            <v>NAGARI
 835303</v>
          </cell>
          <cell r="G4329">
            <v>9264443243</v>
          </cell>
          <cell r="K4329" t="str">
            <v>BREC373538</v>
          </cell>
        </row>
        <row r="4330">
          <cell r="E4330" t="str">
            <v>MANDU, RAMGARH
JAISWAL COLONY, THANA CHOW,, RAMGARH CANTT. DIST. RAMGARH, JHARKHAND
825316
MANDU</v>
          </cell>
          <cell r="G4330">
            <v>7979930284</v>
          </cell>
          <cell r="K4330" t="str">
            <v>BTLS039787</v>
          </cell>
        </row>
        <row r="4331">
          <cell r="E4331" t="str">
            <v>MANDU, RAMGARH
JAISWAL COLONY, THANA CHOW,, RAMGARH CANTT. DIST. RAMGARH, JHARKHAND
825316
MANDU</v>
          </cell>
          <cell r="G4331">
            <v>7979930284</v>
          </cell>
          <cell r="K4331" t="str">
            <v>BTLS039719</v>
          </cell>
        </row>
        <row r="4332">
          <cell r="E4332" t="str">
            <v>MANDU, RAMGARH
JAISWAL COLONY, THANA CHOW,, RAMGARH CANTT. DIST. RAMGARH, JHARKHAND
825316
MANDU</v>
          </cell>
          <cell r="G4332">
            <v>7979930284</v>
          </cell>
          <cell r="K4332" t="str">
            <v>BTLS039748</v>
          </cell>
        </row>
        <row r="4333">
          <cell r="E4333" t="str">
            <v>MANDU, RAMGARH
JAISWAL COLONY, THANA CHOW,, RAMGARH CANTT. DIST. RAMGARH, JHARKHAND
825316
MANDU</v>
          </cell>
          <cell r="G4333">
            <v>7979930284</v>
          </cell>
          <cell r="K4333" t="str">
            <v>BTLS039851</v>
          </cell>
        </row>
        <row r="4334">
          <cell r="E4334" t="str">
            <v>MANDU, RAMGARH
JAISWAL COLONY, THANA CHOW,, RAMGARH CANTT. DIST. RAMGARH, JHARKHAND
825316
MANDU</v>
          </cell>
          <cell r="G4334">
            <v>8797891051</v>
          </cell>
          <cell r="K4334" t="str">
            <v>BQKS040079</v>
          </cell>
        </row>
        <row r="4335">
          <cell r="E4335" t="str">
            <v>MANDU, RAMGARH
JAISWAL COLONY, THANA CHOW,, RAMGARH CANTT. DIST. RAMGARH, JHARKHAND
825316
MANDU</v>
          </cell>
          <cell r="G4335">
            <v>8797891051</v>
          </cell>
          <cell r="K4335" t="str">
            <v>BLDS040403</v>
          </cell>
        </row>
        <row r="4336">
          <cell r="E4336" t="str">
            <v>JAMSHEDPUR</v>
          </cell>
          <cell r="G4336">
            <v>7209473226</v>
          </cell>
          <cell r="K4336" t="str">
            <v>BOCC370095</v>
          </cell>
        </row>
        <row r="4337">
          <cell r="E4337" t="str">
            <v>C/O - AMAN AGRAWAL, PLOT NO. 735, KAITHA, RAMGARH CANTT., RAMGARH
825101</v>
          </cell>
          <cell r="G4337">
            <v>8709937739</v>
          </cell>
          <cell r="K4337" t="str">
            <v>BSDC375954</v>
          </cell>
        </row>
        <row r="4338">
          <cell r="E4338" t="str">
            <v>MANDU, RAMGARH
JAISWAL COLONY, THANA CHOW,, RAMGARH CANTT. DIST. RAMGARH, JHARKHAND
825316
MANDU</v>
          </cell>
          <cell r="G4338">
            <v>8797891051</v>
          </cell>
          <cell r="K4338" t="str">
            <v>BSGS043527</v>
          </cell>
        </row>
        <row r="4339">
          <cell r="E4339" t="str">
            <v>HAZARIBAGH</v>
          </cell>
          <cell r="G4339">
            <v>9939701451</v>
          </cell>
          <cell r="K4339" t="str">
            <v>BVIS040049</v>
          </cell>
        </row>
        <row r="4340">
          <cell r="E4340" t="str">
            <v>MANDU, RAMGARH
JAISWAL COLONY, THANA CHOW,, RAMGARH CANTT. DIST. RAMGARH, JHARKHAND
825316
MANDU</v>
          </cell>
          <cell r="G4340">
            <v>7979930284</v>
          </cell>
          <cell r="K4340" t="str">
            <v>BTLS039793</v>
          </cell>
        </row>
        <row r="4341">
          <cell r="E4341" t="str">
            <v>CHUTIA, RANCHI</v>
          </cell>
          <cell r="G4341">
            <v>9334745488</v>
          </cell>
          <cell r="K4341" t="str">
            <v>BMED200254</v>
          </cell>
        </row>
        <row r="4342">
          <cell r="E4342" t="str">
            <v>TATISILWAY</v>
          </cell>
          <cell r="G4342">
            <v>6201580224</v>
          </cell>
          <cell r="K4342" t="str">
            <v>BOID200223</v>
          </cell>
        </row>
        <row r="4343">
          <cell r="E4343" t="str">
            <v>KATRAS, DHANBAD</v>
          </cell>
          <cell r="G4343">
            <v>9570178502</v>
          </cell>
          <cell r="K4343" t="str">
            <v>BRBD160901</v>
          </cell>
        </row>
        <row r="4344">
          <cell r="E4344" t="str">
            <v>RAJA PUR</v>
          </cell>
          <cell r="G4344">
            <v>7033918145</v>
          </cell>
          <cell r="K4344" t="str">
            <v>BRHD161312</v>
          </cell>
        </row>
        <row r="4345">
          <cell r="E4345" t="str">
            <v>KATRAS, DHANBAD</v>
          </cell>
          <cell r="G4345">
            <v>9570178502</v>
          </cell>
          <cell r="K4345" t="str">
            <v>BRBD160892</v>
          </cell>
        </row>
        <row r="4346">
          <cell r="E4346" t="str">
            <v>DHANBAD</v>
          </cell>
          <cell r="G4346">
            <v>7856067530</v>
          </cell>
          <cell r="K4346" t="str">
            <v>BRGD161225</v>
          </cell>
        </row>
        <row r="4347">
          <cell r="E4347" t="str">
            <v>BHULI, DHANBAD</v>
          </cell>
          <cell r="G4347">
            <v>7541046561</v>
          </cell>
          <cell r="K4347" t="str">
            <v>BVFS039912</v>
          </cell>
        </row>
        <row r="4348">
          <cell r="E4348" t="str">
            <v>NAGRI,RANCHI
835202
RANCHI</v>
          </cell>
          <cell r="G4348">
            <v>7004248429</v>
          </cell>
          <cell r="K4348" t="str">
            <v>BRIS035698</v>
          </cell>
        </row>
        <row r="4349">
          <cell r="E4349" t="str">
            <v>NAGRI,RANCHI
835202
RANCHI</v>
          </cell>
          <cell r="G4349">
            <v>8210444743</v>
          </cell>
          <cell r="K4349" t="str">
            <v>BMJS040004</v>
          </cell>
        </row>
        <row r="4350">
          <cell r="E4350" t="str">
            <v>COLLIEARY, DHANBAD</v>
          </cell>
          <cell r="G4350">
            <v>9573347055</v>
          </cell>
          <cell r="K4350" t="str">
            <v>BQCD160106</v>
          </cell>
        </row>
        <row r="4351">
          <cell r="E4351" t="str">
            <v>RAMPUR</v>
          </cell>
          <cell r="G4351">
            <v>9546884024</v>
          </cell>
          <cell r="K4351" t="str">
            <v>BSAD120582</v>
          </cell>
        </row>
        <row r="4352">
          <cell r="E4352" t="str">
            <v>RAMPUR, LOHARDGA</v>
          </cell>
          <cell r="G4352">
            <v>9934198170</v>
          </cell>
          <cell r="K4352" t="str">
            <v>BRKD160653</v>
          </cell>
        </row>
        <row r="4353">
          <cell r="E4353" t="str">
            <v>DEOGHAR</v>
          </cell>
          <cell r="G4353">
            <v>7261002856</v>
          </cell>
          <cell r="K4353" t="str">
            <v>BRED161124</v>
          </cell>
        </row>
        <row r="4354">
          <cell r="E4354" t="str">
            <v>BASJORA</v>
          </cell>
          <cell r="G4354">
            <v>9578883777</v>
          </cell>
          <cell r="K4354" t="str">
            <v>BRED161077</v>
          </cell>
        </row>
        <row r="4355">
          <cell r="E4355" t="str">
            <v>JAMSHEDPUR</v>
          </cell>
          <cell r="G4355">
            <v>7004637342</v>
          </cell>
          <cell r="K4355" t="str">
            <v>BQLD160182</v>
          </cell>
        </row>
        <row r="4356">
          <cell r="E4356" t="str">
            <v>SAHEBGANJ, JHARKHAND</v>
          </cell>
          <cell r="G4356">
            <v>8809703041</v>
          </cell>
          <cell r="K4356" t="str">
            <v>BNBD160162</v>
          </cell>
        </row>
        <row r="4357">
          <cell r="E4357" t="str">
            <v>SAHEBGANJ, JHARKHAND</v>
          </cell>
          <cell r="G4357">
            <v>9065259183</v>
          </cell>
          <cell r="K4357" t="str">
            <v>BTJD162047</v>
          </cell>
        </row>
        <row r="4358">
          <cell r="E4358" t="str">
            <v>C/O - NAVEEN KUMAR SINGH, PLOT NO.-538,718, DUNDURIA, GUMLA</v>
          </cell>
          <cell r="G4358">
            <v>8757678464</v>
          </cell>
          <cell r="K4358" t="str">
            <v>BTJD162038</v>
          </cell>
        </row>
        <row r="4359">
          <cell r="E4359"/>
          <cell r="G4359">
            <v>9529617425</v>
          </cell>
          <cell r="K4359" t="str">
            <v>BRCD160948</v>
          </cell>
        </row>
        <row r="4360">
          <cell r="E4360"/>
          <cell r="G4360">
            <v>8294898658</v>
          </cell>
          <cell r="K4360" t="str">
            <v>GPCD160123</v>
          </cell>
        </row>
        <row r="4361">
          <cell r="E4361" t="str">
            <v>CHAS BOKARO</v>
          </cell>
          <cell r="G4361">
            <v>9135780550</v>
          </cell>
          <cell r="K4361" t="str">
            <v>BPJD200007</v>
          </cell>
        </row>
        <row r="4362">
          <cell r="E4362" t="str">
            <v>GAYA, BIHAR</v>
          </cell>
          <cell r="G4362">
            <v>7272956960</v>
          </cell>
          <cell r="K4362" t="str">
            <v>BSFD161799</v>
          </cell>
        </row>
        <row r="4363">
          <cell r="E4363"/>
          <cell r="G4363">
            <v>9905577070</v>
          </cell>
          <cell r="K4363" t="str">
            <v>BSJD120492</v>
          </cell>
        </row>
        <row r="4364">
          <cell r="E4364" t="str">
            <v>NTPC, TANDWA</v>
          </cell>
          <cell r="G4364">
            <v>9572289274</v>
          </cell>
          <cell r="K4364" t="str">
            <v>BUFL152860</v>
          </cell>
        </row>
        <row r="4365">
          <cell r="E4365" t="str">
            <v>CHATTARPUR, DALTAINGANJ</v>
          </cell>
          <cell r="G4365">
            <v>9835111213</v>
          </cell>
          <cell r="K4365" t="str">
            <v>BTID162392</v>
          </cell>
        </row>
        <row r="4366">
          <cell r="E4366" t="str">
            <v>P.O.+P.S. - GURPA, DIST- GAYA, BIHAR</v>
          </cell>
          <cell r="G4366">
            <v>9934799633</v>
          </cell>
          <cell r="K4366" t="str">
            <v>BRED161131</v>
          </cell>
        </row>
        <row r="4367">
          <cell r="E4367" t="str">
            <v>DALADALI, RANCHI</v>
          </cell>
          <cell r="G4367">
            <v>9934169368</v>
          </cell>
          <cell r="K4367" t="str">
            <v>BVKD163010</v>
          </cell>
        </row>
        <row r="4368">
          <cell r="E4368" t="str">
            <v>FOREST COLONY, SENETRY ROAD,, NEAR RAHUL MARVAL, HAZARIBAGH
825302</v>
          </cell>
          <cell r="G4368">
            <v>6209942081</v>
          </cell>
          <cell r="K4368" t="str">
            <v>BWKC378684</v>
          </cell>
        </row>
        <row r="4369">
          <cell r="E4369" t="str">
            <v>PATRATU</v>
          </cell>
          <cell r="G4369">
            <v>7908048644</v>
          </cell>
          <cell r="K4369" t="str">
            <v>EVKS047996</v>
          </cell>
        </row>
        <row r="4370">
          <cell r="E4370" t="str">
            <v>PATRATU</v>
          </cell>
          <cell r="G4370">
            <v>7908048644</v>
          </cell>
          <cell r="K4370" t="str">
            <v>EVKS047996</v>
          </cell>
        </row>
        <row r="4371">
          <cell r="E4371" t="str">
            <v>KODERMA</v>
          </cell>
          <cell r="G4371">
            <v>8210413459</v>
          </cell>
          <cell r="K4371" t="str">
            <v>BVFS049421</v>
          </cell>
        </row>
        <row r="4372">
          <cell r="E4372" t="str">
            <v>KODERMA</v>
          </cell>
          <cell r="G4372">
            <v>8210413459</v>
          </cell>
          <cell r="K4372" t="str">
            <v>BVFS049407</v>
          </cell>
        </row>
        <row r="4373">
          <cell r="E4373" t="str">
            <v>DHANBAD</v>
          </cell>
          <cell r="G4373">
            <v>9753849615</v>
          </cell>
          <cell r="K4373" t="str">
            <v>BVGD163308</v>
          </cell>
        </row>
        <row r="4374">
          <cell r="E4374" t="str">
            <v>NAGRI, RANCHI
TIKRATOLI, P.O:- NAGRI, RANCHI
834006</v>
          </cell>
          <cell r="G4374">
            <v>7549287708</v>
          </cell>
          <cell r="K4374" t="str">
            <v>BKKS030393</v>
          </cell>
        </row>
        <row r="4375">
          <cell r="E4375" t="str">
            <v>RAMGARH
829103
NAYA MORE</v>
          </cell>
          <cell r="G4375">
            <v>6201225253</v>
          </cell>
          <cell r="K4375" t="str">
            <v>BPCS030196</v>
          </cell>
        </row>
        <row r="4376">
          <cell r="E4376" t="str">
            <v>ASANSOL</v>
          </cell>
          <cell r="G4376">
            <v>9431101890</v>
          </cell>
          <cell r="K4376" t="str">
            <v>BSCS037494</v>
          </cell>
        </row>
        <row r="4377">
          <cell r="E4377" t="str">
            <v>SARWARI, ASANSOL, WB</v>
          </cell>
          <cell r="G4377">
            <v>9431101890</v>
          </cell>
          <cell r="K4377" t="str">
            <v>BPLF150007</v>
          </cell>
        </row>
        <row r="4378">
          <cell r="E4378" t="str">
            <v>RANCHI
834002</v>
          </cell>
          <cell r="G4378">
            <v>8210241710</v>
          </cell>
          <cell r="K4378" t="str">
            <v>BULS033141</v>
          </cell>
        </row>
        <row r="4379">
          <cell r="E4379" t="str">
            <v>RANCHI
834002</v>
          </cell>
          <cell r="G4379">
            <v>9210241710</v>
          </cell>
          <cell r="K4379" t="str">
            <v>BTIS032025</v>
          </cell>
        </row>
        <row r="4380">
          <cell r="E4380" t="str">
            <v>RANCHI
834002</v>
          </cell>
          <cell r="G4380">
            <v>8210241710</v>
          </cell>
          <cell r="K4380" t="str">
            <v>BTIS032020</v>
          </cell>
        </row>
        <row r="4381">
          <cell r="E4381" t="str">
            <v>GOVINDPUR, DHANBAD</v>
          </cell>
          <cell r="G4381">
            <v>9755898034</v>
          </cell>
          <cell r="K4381" t="str">
            <v>BVDS039346</v>
          </cell>
        </row>
        <row r="4382">
          <cell r="E4382" t="str">
            <v>PLOT NO. 148, TUPUDANA, INDUSTRIAL AREA, HATIA, RANCHI
834002</v>
          </cell>
          <cell r="G4382">
            <v>9534249500</v>
          </cell>
          <cell r="K4382" t="str">
            <v>BSLS036682</v>
          </cell>
        </row>
        <row r="4383">
          <cell r="E4383" t="str">
            <v>TUPUDANA INDUSTRIAL AREA</v>
          </cell>
          <cell r="G4383">
            <v>9534249500</v>
          </cell>
          <cell r="K4383" t="str">
            <v>BMBS030816</v>
          </cell>
        </row>
        <row r="4384">
          <cell r="E4384" t="str">
            <v>PLOT NO. 148, TUPUDANA, INDUSTRIAL AREA, HATIA, RANCHI
834002</v>
          </cell>
          <cell r="G4384">
            <v>9534249500</v>
          </cell>
          <cell r="K4384" t="str">
            <v>BRIS035838</v>
          </cell>
        </row>
        <row r="4385">
          <cell r="E4385" t="str">
            <v>PLOT NO. 148, TUPUDANA, INDUSTRIAL AREA, HATIA, RANCHI
834002</v>
          </cell>
          <cell r="G4385">
            <v>9534249500</v>
          </cell>
          <cell r="K4385" t="str">
            <v>BSLS036682</v>
          </cell>
        </row>
        <row r="4386">
          <cell r="E4386" t="str">
            <v>NICHITPUR</v>
          </cell>
          <cell r="G4386">
            <v>6202894138</v>
          </cell>
          <cell r="K4386" t="str">
            <v>BUCD162696</v>
          </cell>
        </row>
        <row r="4387">
          <cell r="E4387" t="str">
            <v>ORGA RAIL DIVISION. ORGA</v>
          </cell>
          <cell r="G4387">
            <v>6203768613</v>
          </cell>
          <cell r="K4387" t="str">
            <v>BVID163429</v>
          </cell>
        </row>
        <row r="4388">
          <cell r="E4388" t="str">
            <v>KAARO SUBHASH NAGAR, DHANBAD</v>
          </cell>
          <cell r="G4388">
            <v>7873039065</v>
          </cell>
          <cell r="K4388" t="str">
            <v>BTFD162243</v>
          </cell>
        </row>
        <row r="4389">
          <cell r="E4389" t="str">
            <v>ANGAR PATRA,DHANBAD</v>
          </cell>
          <cell r="G4389">
            <v>9155379185</v>
          </cell>
          <cell r="K4389" t="str">
            <v>BSDD161729</v>
          </cell>
        </row>
        <row r="4390">
          <cell r="E4390" t="str">
            <v>C/O - AMAN AGRAWAL, PLOT NO. 735, KAITHA, RAMGARH CANTT., RAMGARH
825101</v>
          </cell>
          <cell r="G4390">
            <v>8709937739</v>
          </cell>
          <cell r="K4390" t="str">
            <v>BSDC375954</v>
          </cell>
        </row>
        <row r="4391">
          <cell r="E4391" t="str">
            <v>PHOOLWARTAND, DHANBAD</v>
          </cell>
          <cell r="G4391">
            <v>6203968308</v>
          </cell>
          <cell r="K4391" t="str">
            <v>BVHD163393</v>
          </cell>
        </row>
        <row r="4392">
          <cell r="E4392" t="str">
            <v>KHASHMAHAL PROJECT CCL, BERMO, PHUSHRO, JHARKHAND</v>
          </cell>
          <cell r="G4392">
            <v>6203968308</v>
          </cell>
          <cell r="K4392" t="str">
            <v>BULD162561</v>
          </cell>
        </row>
        <row r="4393">
          <cell r="E4393" t="str">
            <v>DHANBAD</v>
          </cell>
          <cell r="G4393">
            <v>9155379185</v>
          </cell>
          <cell r="K4393" t="str">
            <v>BTFD162244</v>
          </cell>
        </row>
        <row r="4394">
          <cell r="E4394" t="str">
            <v>RAMGRAH</v>
          </cell>
          <cell r="G4394">
            <v>7281962540</v>
          </cell>
          <cell r="K4394" t="str">
            <v>BUFS046910</v>
          </cell>
        </row>
        <row r="4395">
          <cell r="E4395" t="str">
            <v>PLOT NO 716,VILL-RUKKA,
835219</v>
          </cell>
          <cell r="G4395">
            <v>9791019799</v>
          </cell>
          <cell r="K4395" t="str">
            <v>BSKS036366</v>
          </cell>
        </row>
        <row r="4396">
          <cell r="E4396" t="str">
            <v>RANCHI,JHARKHAND
834001
RANCHI</v>
          </cell>
          <cell r="G4396">
            <v>7281962540</v>
          </cell>
          <cell r="K4396" t="str">
            <v>BJHS031586</v>
          </cell>
        </row>
        <row r="4397">
          <cell r="E4397" t="str">
            <v>BALIDIH INDUSTRIAL AREA, BOKARO
827014
BALIDIH</v>
          </cell>
          <cell r="G4397">
            <v>9334591780</v>
          </cell>
          <cell r="K4397" t="str">
            <v>BMCS030957</v>
          </cell>
        </row>
        <row r="4398">
          <cell r="E4398" t="str">
            <v>KASUNDA</v>
          </cell>
          <cell r="G4398">
            <v>7847053297</v>
          </cell>
          <cell r="K4398" t="str">
            <v>BTCD162162</v>
          </cell>
        </row>
        <row r="4399">
          <cell r="E4399" t="str">
            <v>MANJULA ENTERPRISES, KOKAR INDUSTRIAL AREA KOKAR</v>
          </cell>
          <cell r="G4399">
            <v>9431583027</v>
          </cell>
          <cell r="K4399" t="str">
            <v>BUFC372952</v>
          </cell>
        </row>
        <row r="4400">
          <cell r="E4400" t="str">
            <v>JUMRI TELAIYA</v>
          </cell>
          <cell r="G4400">
            <v>6202799479</v>
          </cell>
          <cell r="K4400" t="str">
            <v>BUKC370499</v>
          </cell>
        </row>
        <row r="4401">
          <cell r="E4401" t="str">
            <v>JHUMRI TELAIYA, KODARMA
825409</v>
          </cell>
          <cell r="G4401">
            <v>9455305544</v>
          </cell>
          <cell r="K4401" t="str">
            <v>BSBC375530</v>
          </cell>
        </row>
        <row r="4402">
          <cell r="E4402" t="str">
            <v>RANCHI</v>
          </cell>
          <cell r="G4402">
            <v>9973686006</v>
          </cell>
          <cell r="K4402" t="str">
            <v>BLIS031950</v>
          </cell>
        </row>
        <row r="4403">
          <cell r="E4403" t="str">
            <v>RAMGRAH BAZAR SAMITI, RAMGRAH</v>
          </cell>
          <cell r="G4403">
            <v>8092762251</v>
          </cell>
          <cell r="K4403" t="str">
            <v>BULC370861</v>
          </cell>
        </row>
        <row r="4404">
          <cell r="E4404" t="str">
            <v>RANCHI PATNA ROAD
DEMOTAND
825301
HAZARIBAGH</v>
          </cell>
          <cell r="G4404">
            <v>6203465926</v>
          </cell>
          <cell r="K4404" t="str">
            <v>BSCS037531</v>
          </cell>
        </row>
        <row r="4405">
          <cell r="E4405" t="str">
            <v>HESLA,RAMGARH
829101</v>
          </cell>
          <cell r="G4405">
            <v>7562823341</v>
          </cell>
          <cell r="K4405" t="str">
            <v>BSJS035917</v>
          </cell>
        </row>
        <row r="4406">
          <cell r="E4406" t="str">
            <v>HESLA,RAMGARH
829101</v>
          </cell>
          <cell r="G4406">
            <v>7562823341</v>
          </cell>
          <cell r="K4406" t="str">
            <v>BSDS037710</v>
          </cell>
        </row>
        <row r="4407">
          <cell r="E4407" t="str">
            <v>SARWARI, ASANSOL, WB</v>
          </cell>
          <cell r="G4407">
            <v>9431101890</v>
          </cell>
          <cell r="K4407" t="str">
            <v>BPLF150007</v>
          </cell>
        </row>
        <row r="4408">
          <cell r="E4408" t="str">
            <v>ASANSOL</v>
          </cell>
          <cell r="G4408">
            <v>9431101890</v>
          </cell>
          <cell r="K4408" t="str">
            <v>BSCS037494</v>
          </cell>
        </row>
        <row r="4409">
          <cell r="E4409" t="str">
            <v>KWJAMA COLLIERY, DHANBAD</v>
          </cell>
          <cell r="G4409">
            <v>7644045555</v>
          </cell>
          <cell r="K4409" t="str">
            <v>BVCD163165</v>
          </cell>
        </row>
        <row r="4410">
          <cell r="E4410" t="str">
            <v>NAMKUM INDUSTRIAL AREA,RANCHI
834010</v>
          </cell>
          <cell r="G4410">
            <v>777995005</v>
          </cell>
          <cell r="K4410" t="str">
            <v>BRHS035337</v>
          </cell>
        </row>
        <row r="4411">
          <cell r="E4411" t="str">
            <v>BHUYANDIH, JAMSHEDPUR</v>
          </cell>
          <cell r="G4411">
            <v>9304170499</v>
          </cell>
          <cell r="K4411" t="str">
            <v>BMFC370445</v>
          </cell>
        </row>
        <row r="4412">
          <cell r="E4412" t="str">
            <v>NAMKUM INDUSTRIAL AREA,RANCHI
834010</v>
          </cell>
          <cell r="G4412">
            <v>777995005</v>
          </cell>
          <cell r="K4412" t="str">
            <v>GOCC370403</v>
          </cell>
        </row>
        <row r="4413">
          <cell r="E4413" t="str">
            <v>NAMKUN INDUSTRIAL AREA,RANCHI
834010</v>
          </cell>
          <cell r="G4413">
            <v>9304141400</v>
          </cell>
          <cell r="K4413" t="str">
            <v>BUDS034771</v>
          </cell>
        </row>
        <row r="4414">
          <cell r="E4414" t="str">
            <v>LALGUTUWA, RANCHI</v>
          </cell>
          <cell r="G4414">
            <v>7004052584</v>
          </cell>
          <cell r="K4414" t="str">
            <v>BSES037922</v>
          </cell>
        </row>
        <row r="4415">
          <cell r="E4415" t="str">
            <v>KOKAR INDUSTRIAL AREA,RANCHI
834001</v>
          </cell>
          <cell r="G4415">
            <v>7004147721</v>
          </cell>
          <cell r="K4415" t="str">
            <v>BSBC375532</v>
          </cell>
        </row>
        <row r="4416">
          <cell r="E4416" t="str">
            <v>WEST MARKET ROAD UPPER BAZAJ
UPPER BAZAR
834001</v>
          </cell>
          <cell r="G4416">
            <v>9431104338</v>
          </cell>
          <cell r="K4416" t="str">
            <v>BTDC378223</v>
          </cell>
        </row>
        <row r="4417">
          <cell r="E4417" t="str">
            <v>TIKRATOLI,SAPAROM
NEAR LALGUTWA OVERBRIDGE, TIKRATOLI, SAPAROM,, NAGRI, RANCHI
835303</v>
          </cell>
          <cell r="G4417">
            <v>7004423828</v>
          </cell>
          <cell r="K4417" t="str">
            <v>BKJS040077</v>
          </cell>
        </row>
        <row r="4418">
          <cell r="E4418" t="str">
            <v>PLOT NO.-806, HARDAGKHUTI ROAD,RANCHI
KHUNTI ROAD HARDAG
835221</v>
          </cell>
          <cell r="G4418">
            <v>6201750703</v>
          </cell>
          <cell r="K4418" t="str">
            <v>BLGS031576</v>
          </cell>
        </row>
        <row r="4419">
          <cell r="E4419" t="str">
            <v>RANCHI</v>
          </cell>
          <cell r="G4419">
            <v>9973686006</v>
          </cell>
          <cell r="K4419" t="str">
            <v>BLIS031950</v>
          </cell>
        </row>
        <row r="4420">
          <cell r="E4420" t="str">
            <v>TUPUDANA INDUSTRIAL AREA</v>
          </cell>
          <cell r="G4420">
            <v>9534249500</v>
          </cell>
          <cell r="K4420" t="str">
            <v>BMBS030816</v>
          </cell>
        </row>
        <row r="4421">
          <cell r="E4421" t="str">
            <v>PHUSHRO</v>
          </cell>
          <cell r="G4421">
            <v>7091340232</v>
          </cell>
          <cell r="K4421" t="str">
            <v>BVKD163026</v>
          </cell>
        </row>
        <row r="4422">
          <cell r="E4422" t="str">
            <v>KOKAR, RANCHI</v>
          </cell>
          <cell r="G4422">
            <v>8051191796</v>
          </cell>
          <cell r="K4422" t="str">
            <v>BRGD161233</v>
          </cell>
        </row>
        <row r="4423">
          <cell r="E4423" t="str">
            <v>AT: SENEGARHA, P.O-RABODH, P.S-GIDDI,(RAMGARH),, DISTT. HAZARIBAGH,JHARKHAND-825330
829108
AT: SENEGARHA, P.O-RABODH, P.S-GIDDI,(RAMGARH),</v>
          </cell>
          <cell r="G4423">
            <v>9006877583</v>
          </cell>
          <cell r="K4423" t="str">
            <v>BQES030978</v>
          </cell>
        </row>
        <row r="4424">
          <cell r="E4424" t="str">
            <v>AT: SENEGARHA, P.O-RABODH, P.S-GIDDI,(RAMGARH),, DISTT. HAZARIBAGH,JHARKHAND-825330
829108
AT: SENEGARHA, P.O-RABODH, P.S-GIDDI,(RAMGARH),</v>
          </cell>
          <cell r="G4424">
            <v>9006877583</v>
          </cell>
          <cell r="K4424" t="str">
            <v>BSCS037349</v>
          </cell>
        </row>
        <row r="4425">
          <cell r="E4425" t="str">
            <v>SIMRAHI, SUPOL, BIHAR</v>
          </cell>
          <cell r="G4425">
            <v>6204668116</v>
          </cell>
          <cell r="K4425" t="str">
            <v>BUCD121174</v>
          </cell>
        </row>
        <row r="4426">
          <cell r="E4426" t="str">
            <v>FOREST COLONY, SENETRY ROAD,, NEAR RAHUL MARVAL, HAZARIBAGH
825302</v>
          </cell>
          <cell r="G4426">
            <v>9934366789</v>
          </cell>
          <cell r="K4426" t="str">
            <v>BULC370702</v>
          </cell>
        </row>
        <row r="4427">
          <cell r="E4427" t="str">
            <v>BASTAWLA DHANBAD</v>
          </cell>
          <cell r="G4427">
            <v>6200119580</v>
          </cell>
          <cell r="K4427" t="str">
            <v>BTJD162046</v>
          </cell>
        </row>
        <row r="4428">
          <cell r="E4428" t="str">
            <v>LODNA MORE</v>
          </cell>
          <cell r="G4428">
            <v>9934642428</v>
          </cell>
          <cell r="K4428" t="str">
            <v>BWKD163512</v>
          </cell>
        </row>
        <row r="4429">
          <cell r="E4429" t="str">
            <v>LODNA MORE</v>
          </cell>
          <cell r="G4429">
            <v>9934642428</v>
          </cell>
          <cell r="K4429" t="str">
            <v>BVFD163261</v>
          </cell>
        </row>
        <row r="4430">
          <cell r="E4430" t="str">
            <v>LODNA MORE</v>
          </cell>
          <cell r="G4430">
            <v>9934642428</v>
          </cell>
          <cell r="K4430" t="str">
            <v>BWKD163543</v>
          </cell>
        </row>
        <row r="4431">
          <cell r="E4431" t="str">
            <v>RATANPUR,DHANBAD
828109</v>
          </cell>
          <cell r="G4431">
            <v>9031029501</v>
          </cell>
          <cell r="K4431" t="str">
            <v>BTLC377584</v>
          </cell>
        </row>
        <row r="4432">
          <cell r="E4432" t="str">
            <v>BHOWRA</v>
          </cell>
          <cell r="G4432">
            <v>6201841406</v>
          </cell>
          <cell r="K4432" t="str">
            <v>BULD162568</v>
          </cell>
        </row>
        <row r="4433">
          <cell r="E4433" t="str">
            <v>NAGARI,</v>
          </cell>
          <cell r="G4433">
            <v>8294385129</v>
          </cell>
          <cell r="K4433" t="str">
            <v>BILS030211</v>
          </cell>
        </row>
        <row r="4434">
          <cell r="E4434" t="str">
            <v>AT: SENEGARHA, P.O-RABODH, P.S-GIDDI,(RAMGARH),, DISTT. HAZARIBAGH,JHARKHAND-825330
829108
AT: SENEGARHA, P.O-RABODH, P.S-GIDDI,(RAMGARH),</v>
          </cell>
          <cell r="G4434">
            <v>9006877583</v>
          </cell>
          <cell r="K4434" t="str">
            <v>BRAS033261</v>
          </cell>
        </row>
        <row r="4435">
          <cell r="E4435" t="str">
            <v>AT: SENEGARHA, P.O-RABODH, P.S-GIDDI,(RAMGARH),, DISTT. HAZARIBAGH,JHARKHAND-825330
829108
AT: SENEGARHA, P.O-RABODH, P.S-GIDDI,(RAMGARH),</v>
          </cell>
          <cell r="G4435">
            <v>9006877583</v>
          </cell>
          <cell r="K4435" t="str">
            <v>BQES030978</v>
          </cell>
        </row>
        <row r="4436">
          <cell r="E4436" t="str">
            <v>AT: SENEGARHA, P.O-RABODH, P.S-GIDDI,(RAMGARH),, DISTT. HAZARIBAGH,JHARKHAND-825330
829108
AT: SENEGARHA, P.O-RABODH, P.S-GIDDI,(RAMGARH),</v>
          </cell>
          <cell r="G4436">
            <v>9006877583</v>
          </cell>
          <cell r="K4436" t="str">
            <v>BSCS037349</v>
          </cell>
        </row>
        <row r="4437">
          <cell r="E4437" t="str">
            <v>FOREST COLONY, SENETRY ROAD,, NEAR RAHUL MARVAL, HAZARIBAGH
825302</v>
          </cell>
          <cell r="G4437">
            <v>9934366789</v>
          </cell>
          <cell r="K4437" t="str">
            <v>BTHC379544</v>
          </cell>
        </row>
        <row r="4438">
          <cell r="E4438" t="str">
            <v>NEAR HUTAR, KHUNTI</v>
          </cell>
          <cell r="G4438">
            <v>9308112212</v>
          </cell>
          <cell r="K4438" t="str">
            <v>BUDD162719</v>
          </cell>
        </row>
        <row r="4439">
          <cell r="E4439" t="str">
            <v>BAZAR SAMITI,RAMGARH
829122</v>
          </cell>
          <cell r="G4439">
            <v>9835764965</v>
          </cell>
          <cell r="K4439" t="str">
            <v>BTGC379081</v>
          </cell>
        </row>
        <row r="4440">
          <cell r="E4440" t="str">
            <v>BAZAR SAMITI,RAMGARH
829122</v>
          </cell>
          <cell r="G4440">
            <v>9835764965</v>
          </cell>
          <cell r="K4440" t="str">
            <v>BSBC375576</v>
          </cell>
        </row>
        <row r="4441">
          <cell r="E4441" t="str">
            <v>BALIDIH BOKARO</v>
          </cell>
          <cell r="G4441">
            <v>9733293030</v>
          </cell>
          <cell r="K4441" t="str">
            <v>BVFS049358</v>
          </cell>
        </row>
        <row r="4442">
          <cell r="E4442" t="str">
            <v>BALIDIH BOKARO</v>
          </cell>
          <cell r="G4442">
            <v>9733293030</v>
          </cell>
          <cell r="K4442" t="str">
            <v>BVFS049365</v>
          </cell>
        </row>
        <row r="4443">
          <cell r="E4443" t="str">
            <v>BALIDIH BOKARO</v>
          </cell>
          <cell r="G4443">
            <v>9733293030</v>
          </cell>
          <cell r="K4443" t="str">
            <v>BVFS049364</v>
          </cell>
        </row>
        <row r="4444">
          <cell r="E4444" t="str">
            <v>RAMGARH</v>
          </cell>
          <cell r="G4444">
            <v>7004401831</v>
          </cell>
          <cell r="K4444" t="str">
            <v>BQJD200011</v>
          </cell>
        </row>
        <row r="4445">
          <cell r="E4445" t="str">
            <v>JAY PRAKASH NAGAR, NEAR RANI SATI MANDIR, RATU ROAD RANCHI
834005</v>
          </cell>
          <cell r="G4445">
            <v>7781895349</v>
          </cell>
          <cell r="K4445" t="str">
            <v>BTFC378808</v>
          </cell>
        </row>
        <row r="4446">
          <cell r="E4446" t="str">
            <v>KAILWAR, ARA, BIHAR</v>
          </cell>
          <cell r="G4446">
            <v>8102875698</v>
          </cell>
          <cell r="K4446" t="str">
            <v>BVDD121453</v>
          </cell>
        </row>
        <row r="4447">
          <cell r="E4447" t="str">
            <v>BOKARO</v>
          </cell>
          <cell r="G4447">
            <v>9608528525</v>
          </cell>
          <cell r="K4447" t="str">
            <v>BWJL153327</v>
          </cell>
        </row>
        <row r="4448">
          <cell r="E4448" t="str">
            <v>JAY PRAKASH NAGAR, NEAR RANI SATI MANDIR, RATU ROAD RANCHI
834005</v>
          </cell>
          <cell r="G4448">
            <v>7903440263</v>
          </cell>
          <cell r="K4448" t="str">
            <v>BTFC378808</v>
          </cell>
        </row>
        <row r="4449">
          <cell r="E4449" t="str">
            <v>ANGARA, TATISILWAI</v>
          </cell>
          <cell r="G4449">
            <v>9110012919</v>
          </cell>
          <cell r="K4449" t="str">
            <v>BVGF111611</v>
          </cell>
        </row>
        <row r="4450">
          <cell r="E4450" t="str">
            <v>ANGARA, TATISILWAI</v>
          </cell>
          <cell r="G4450">
            <v>9110012919</v>
          </cell>
          <cell r="K4450" t="str">
            <v>BVGF111615</v>
          </cell>
        </row>
        <row r="4451">
          <cell r="E4451" t="str">
            <v>RAGAVPUR MORE, CITY CENTRE, PURULIA</v>
          </cell>
          <cell r="G4451">
            <v>9973775819</v>
          </cell>
          <cell r="K4451" t="str">
            <v>BMKD120057</v>
          </cell>
        </row>
        <row r="4452">
          <cell r="E4452" t="str">
            <v>AT. BONGABAR, SANDI, RAMGARH, AMC  FROM 1-8-2019 TO 30-7-2020
829122
SANDI ,</v>
          </cell>
          <cell r="G4452">
            <v>7004377365</v>
          </cell>
          <cell r="K4452" t="str">
            <v>BLGS040605</v>
          </cell>
        </row>
        <row r="4453">
          <cell r="E4453" t="str">
            <v>BOKARO</v>
          </cell>
          <cell r="G4453">
            <v>9608528525</v>
          </cell>
          <cell r="K4453" t="str">
            <v>BWJL153357</v>
          </cell>
        </row>
        <row r="4454">
          <cell r="E4454" t="str">
            <v>RAMGARH</v>
          </cell>
          <cell r="G4454">
            <v>7004377365</v>
          </cell>
          <cell r="K4454" t="str">
            <v>BLES031356</v>
          </cell>
        </row>
        <row r="4455">
          <cell r="E4455" t="str">
            <v>NICHITPUR</v>
          </cell>
          <cell r="G4455">
            <v>6202894138</v>
          </cell>
          <cell r="K4455" t="str">
            <v>BUCD162696</v>
          </cell>
        </row>
        <row r="4456">
          <cell r="E4456" t="str">
            <v>RAHELA, DALTAINGANJ</v>
          </cell>
          <cell r="G4456">
            <v>7004471081</v>
          </cell>
          <cell r="K4456" t="str">
            <v>BUGS035879</v>
          </cell>
        </row>
        <row r="4457">
          <cell r="E4457" t="str">
            <v>REHLA, GARHWA ROAD, PALAMU D.T, JHARKHAND
PALAMU JHARKHAND 822124
INDIA</v>
          </cell>
          <cell r="G4457">
            <v>7004971081</v>
          </cell>
          <cell r="K4457" t="str">
            <v>BLFS031469</v>
          </cell>
        </row>
        <row r="4458">
          <cell r="E4458" t="str">
            <v>SARNATOLI,ANGADA,RANCHI
835222</v>
          </cell>
          <cell r="G4458">
            <v>9110012919</v>
          </cell>
          <cell r="K4458" t="str">
            <v>BSAF110719</v>
          </cell>
        </row>
        <row r="4459">
          <cell r="E4459" t="str">
            <v>CHAMPUA, ODISA</v>
          </cell>
          <cell r="G4459">
            <v>9040140203</v>
          </cell>
          <cell r="K4459" t="str">
            <v>BPKD200021</v>
          </cell>
        </row>
        <row r="4460">
          <cell r="E4460" t="str">
            <v>KANKE, RANCHI
834002</v>
          </cell>
          <cell r="G4460">
            <v>7979732853</v>
          </cell>
          <cell r="K4460" t="str">
            <v>BSFC376396</v>
          </cell>
        </row>
        <row r="4461">
          <cell r="E4461" t="str">
            <v>DHANBAD</v>
          </cell>
          <cell r="G4461">
            <v>9753849615</v>
          </cell>
          <cell r="K4461" t="str">
            <v>BVGD163308</v>
          </cell>
        </row>
        <row r="4462">
          <cell r="E4462" t="str">
            <v>KODERMA</v>
          </cell>
          <cell r="G4462">
            <v>8210413459</v>
          </cell>
          <cell r="K4462" t="str">
            <v>BVFS049398</v>
          </cell>
        </row>
        <row r="4463">
          <cell r="E4463" t="str">
            <v>SIDRAUL, NAMKUM, RANCHI
834010
SIDRAUL, NAMKUM, RANCHI</v>
          </cell>
          <cell r="G4463">
            <v>8877172788</v>
          </cell>
          <cell r="K4463" t="str">
            <v>UOHS030121</v>
          </cell>
        </row>
        <row r="4464">
          <cell r="E4464" t="str">
            <v>LAXMI NAGAR HEHAL</v>
          </cell>
          <cell r="G4464">
            <v>9835390276</v>
          </cell>
          <cell r="K4464" t="str">
            <v>BVEC376770</v>
          </cell>
        </row>
        <row r="4465">
          <cell r="E4465" t="str">
            <v>JHUMRI TILAIYA</v>
          </cell>
          <cell r="G4465">
            <v>7061052272</v>
          </cell>
          <cell r="K4465" t="str">
            <v>GPLS030458</v>
          </cell>
        </row>
        <row r="4466">
          <cell r="E4466" t="str">
            <v>TAPIN PROJECT, TAPIN</v>
          </cell>
          <cell r="G4466">
            <v>6207628876</v>
          </cell>
          <cell r="K4466" t="str">
            <v>BUID162953</v>
          </cell>
        </row>
        <row r="4467">
          <cell r="E4467" t="str">
            <v>TETULMARI, DHANBAD</v>
          </cell>
          <cell r="G4467">
            <v>9113788032</v>
          </cell>
          <cell r="K4467" t="str">
            <v>BVLD163040</v>
          </cell>
        </row>
        <row r="4468">
          <cell r="E4468" t="str">
            <v>KWJAMA COLLIERY, DHANBAD</v>
          </cell>
          <cell r="G4468">
            <v>9065764901</v>
          </cell>
          <cell r="K4468" t="str">
            <v>BVCD163165</v>
          </cell>
        </row>
        <row r="4469">
          <cell r="E4469" t="str">
            <v>LODNA</v>
          </cell>
          <cell r="G4469">
            <v>9065764901</v>
          </cell>
          <cell r="K4469" t="str">
            <v>BVID163401</v>
          </cell>
        </row>
        <row r="4470">
          <cell r="E4470" t="str">
            <v>C/O - SUJIT KUMAR, SAHAJANAND NAGAR, H. NO. -121, RANI ROAD, BHUDA, BARMASIA,, DHANBAD</v>
          </cell>
          <cell r="G4470">
            <v>9334537849</v>
          </cell>
          <cell r="K4470" t="str">
            <v>BTED200706</v>
          </cell>
        </row>
        <row r="4471">
          <cell r="E4471" t="str">
            <v>BALIDIH INDUSTRIAL AREA, BALIDIH BOKARO</v>
          </cell>
          <cell r="G4471">
            <v>8100184482</v>
          </cell>
          <cell r="K4471">
            <v>164253</v>
          </cell>
        </row>
        <row r="4472">
          <cell r="E4472" t="str">
            <v>GUMLA</v>
          </cell>
          <cell r="G4472">
            <v>9771480433</v>
          </cell>
          <cell r="K4472" t="str">
            <v>BWKS031684</v>
          </cell>
        </row>
        <row r="4473">
          <cell r="E4473" t="str">
            <v>KHAKHSA PAHAR, PAKURIYA, PAKUR</v>
          </cell>
          <cell r="G4473">
            <v>8789667246</v>
          </cell>
          <cell r="K4473" t="str">
            <v>BUGD162826</v>
          </cell>
        </row>
        <row r="4474">
          <cell r="E4474" t="str">
            <v>PITHORIA</v>
          </cell>
          <cell r="G4474">
            <v>9036722423</v>
          </cell>
          <cell r="K4474" t="str">
            <v>BVCC376206</v>
          </cell>
        </row>
        <row r="4475">
          <cell r="E4475" t="str">
            <v>KOKAR INDUSTRIAL AREA,RANCHI
834001</v>
          </cell>
          <cell r="G4475">
            <v>8709740232</v>
          </cell>
          <cell r="K4475" t="str">
            <v>BPIC370386</v>
          </cell>
        </row>
        <row r="4476">
          <cell r="E4476" t="str">
            <v>KUJAMA</v>
          </cell>
          <cell r="G4476">
            <v>7644045555</v>
          </cell>
          <cell r="K4476" t="str">
            <v>BVJD162972</v>
          </cell>
        </row>
        <row r="4477">
          <cell r="E4477" t="str">
            <v>BANDHIYA RAOD, NAGRI RANCHI, MOB.8709325266
834006
BANDHIYA ROAD, NAGARI RANCHI</v>
          </cell>
          <cell r="G4477">
            <v>9110033639</v>
          </cell>
          <cell r="K4477" t="str">
            <v>BLFS040558</v>
          </cell>
        </row>
        <row r="4478">
          <cell r="E4478" t="str">
            <v>GOPI KANDHAR, DUMKA</v>
          </cell>
          <cell r="G4478">
            <v>9661732073</v>
          </cell>
          <cell r="K4478" t="str">
            <v>BUID162940</v>
          </cell>
        </row>
        <row r="4479">
          <cell r="E4479" t="str">
            <v>CHAIBASA</v>
          </cell>
          <cell r="G4479"/>
          <cell r="K4479" t="str">
            <v>BKJD210038</v>
          </cell>
        </row>
        <row r="4480">
          <cell r="E4480" t="str">
            <v>BALIDIH INDUSTRIAL AREA
827014</v>
          </cell>
          <cell r="G4480">
            <v>9553775728</v>
          </cell>
          <cell r="K4480" t="str">
            <v>BTDS044304</v>
          </cell>
        </row>
        <row r="4481">
          <cell r="E4481" t="str">
            <v>TUPUDANA, RANCHI</v>
          </cell>
          <cell r="G4481">
            <v>8102915589</v>
          </cell>
          <cell r="K4481" t="str">
            <v>BUDC372327</v>
          </cell>
        </row>
        <row r="4482">
          <cell r="E4482" t="str">
            <v>PHUSHRO</v>
          </cell>
          <cell r="G4482">
            <v>7091340232</v>
          </cell>
          <cell r="K4482" t="str">
            <v>BVED163244</v>
          </cell>
        </row>
        <row r="4483">
          <cell r="E4483" t="str">
            <v>HAZARIBAGH,JHARKHAND
825301
HAZARIBAGH</v>
          </cell>
          <cell r="G4483">
            <v>9431141006</v>
          </cell>
          <cell r="K4483" t="str">
            <v>BMGC370521</v>
          </cell>
        </row>
        <row r="4484">
          <cell r="E4484" t="str">
            <v>MARRAR RAMGRAH</v>
          </cell>
          <cell r="G4484">
            <v>7654107064</v>
          </cell>
          <cell r="K4484" t="str">
            <v>BQIS031848</v>
          </cell>
        </row>
        <row r="4485">
          <cell r="E4485" t="str">
            <v>UNIT OF HERITAGE LANDMARKS AUTOWORLD PVT. LTD., NEAR KAMRE AASHRAM, P.O. KAMRE, RATU ROAD, RANCHI
835214</v>
          </cell>
          <cell r="G4485">
            <v>9905571061</v>
          </cell>
          <cell r="K4485" t="str">
            <v>BQFC370869</v>
          </cell>
        </row>
        <row r="4486">
          <cell r="E4486" t="str">
            <v>MARRAR RAMGRAH</v>
          </cell>
          <cell r="G4486">
            <v>9638545205</v>
          </cell>
          <cell r="K4486" t="str">
            <v>GNFS040092</v>
          </cell>
        </row>
        <row r="4487">
          <cell r="E4487" t="str">
            <v>GIRIDIH</v>
          </cell>
          <cell r="G4487">
            <v>9835535277</v>
          </cell>
          <cell r="K4487" t="str">
            <v>GNES040048</v>
          </cell>
        </row>
        <row r="4488">
          <cell r="E4488" t="str">
            <v>ORMANJHI,RANCHI
835219</v>
          </cell>
          <cell r="G4488">
            <v>9155006000</v>
          </cell>
          <cell r="K4488" t="str">
            <v>BSGC376577</v>
          </cell>
        </row>
        <row r="4489">
          <cell r="E4489" t="str">
            <v>TATISIWAI INDUSTRIAL AREA, RANCHI
835103
TATISILWAY RANCHI</v>
          </cell>
          <cell r="G4489">
            <v>9122209999</v>
          </cell>
          <cell r="K4489" t="str">
            <v>BNJC370072</v>
          </cell>
        </row>
        <row r="4490">
          <cell r="E4490" t="str">
            <v>JUMRI TELAIYA</v>
          </cell>
          <cell r="G4490">
            <v>6202799479</v>
          </cell>
          <cell r="K4490" t="str">
            <v>BUKC370499</v>
          </cell>
        </row>
        <row r="4491">
          <cell r="E4491" t="str">
            <v>38 MILLS AND GODOWNS AREA BURMAMINES, JAMSHEDPUR - 831007
831012</v>
          </cell>
          <cell r="G4491">
            <v>9204784818</v>
          </cell>
          <cell r="K4491" t="str">
            <v>BREC373493</v>
          </cell>
        </row>
        <row r="4492">
          <cell r="E4492" t="str">
            <v>BOKARO CITY SECTOR-4 BOKARO
827001
CITY CENTER, SECTOR-4</v>
          </cell>
          <cell r="G4492">
            <v>9263636107</v>
          </cell>
          <cell r="K4492" t="str">
            <v>GOEC370631</v>
          </cell>
        </row>
        <row r="4493">
          <cell r="E4493" t="str">
            <v>HARMU, RANCHI
834001</v>
          </cell>
          <cell r="G4493">
            <v>9835339783</v>
          </cell>
          <cell r="K4493" t="str">
            <v>BSJC374595</v>
          </cell>
        </row>
        <row r="4494">
          <cell r="E4494" t="str">
            <v>RANCHI,JHARKHAND
834001
RANCHI</v>
          </cell>
          <cell r="G4494">
            <v>9507860584</v>
          </cell>
          <cell r="K4494" t="str">
            <v>BJHS031586</v>
          </cell>
        </row>
        <row r="4495">
          <cell r="E4495" t="str">
            <v>B7-PHASE-3, BALIDIH INDUSTRIAL AREA BALIDIH, BOKARO STEEL CITY BOKARO, JHARKHAND
SUNDARAM STEELS PVT. LTD, B-7 PHASE-III,BOKARO INDUSTRIAL AREA,BALIDIH, BOKARO
827014</v>
          </cell>
          <cell r="G4495">
            <v>7008287442</v>
          </cell>
          <cell r="K4495" t="str">
            <v>BSFS043411</v>
          </cell>
        </row>
        <row r="4496">
          <cell r="E4496" t="str">
            <v>9.P .INDUSTRIAL AREA  KOKAR, RANCHI, TIN-20880200515
9.P .INDUSTRIAL AREA  KOKAR, RANCHI, TIN-20880200515
834001</v>
          </cell>
          <cell r="G4496">
            <v>7009018342</v>
          </cell>
          <cell r="K4496" t="str">
            <v>BTGS031205</v>
          </cell>
        </row>
        <row r="4497">
          <cell r="E4497" t="str">
            <v>ARGADA ROAD, BINJHAR, P.O. - MARAR, RAMGARH
829117</v>
          </cell>
          <cell r="G4497">
            <v>7004688401</v>
          </cell>
          <cell r="K4497" t="str">
            <v>BSCS037449</v>
          </cell>
        </row>
        <row r="4498">
          <cell r="E4498" t="str">
            <v>BALIDIH INDUSTRIAL AREA
827014</v>
          </cell>
          <cell r="G4498">
            <v>8100184482</v>
          </cell>
          <cell r="K4498" t="str">
            <v>BTDS044313</v>
          </cell>
        </row>
        <row r="4499">
          <cell r="E4499" t="str">
            <v>NAGARI RANCHI
NAGARI RANCHI
835303</v>
          </cell>
          <cell r="G4499">
            <v>6201457979</v>
          </cell>
          <cell r="K4499" t="str">
            <v>BKJS030050</v>
          </cell>
        </row>
        <row r="4500">
          <cell r="E4500" t="str">
            <v>GROUND AND 1 ST FLOOR, BESIDE DAINIK BHASKAR, GOVINDPUR ROAD, DIST :- DHANBAD
GROUND AND 1 ST FLOOR, BESIDE DAINIK BHASKAR, GOVINDPUR ROAD, DIST :- DHANBAD
828109</v>
          </cell>
          <cell r="G4500">
            <v>8789061377</v>
          </cell>
          <cell r="K4500" t="str">
            <v>BRES034488</v>
          </cell>
        </row>
        <row r="4501">
          <cell r="E4501" t="str">
            <v>GROUND FLOOR,, OFFICE NO.448A, ROAD NO.4, ASHOK NAGAR
GROUND FLOOR,, OFFICE NO.448A, ROAD NO.4, ASHOK NAGAR
829118
PLOT NO:- 47P, PATRATU INDUSTRIAL AREA</v>
          </cell>
          <cell r="G4501">
            <v>8102928348</v>
          </cell>
          <cell r="K4501" t="str">
            <v>ONIC370102</v>
          </cell>
        </row>
        <row r="4502">
          <cell r="E4502" t="str">
            <v>RAMGARH,JHARKHAND
825101
RAMGARH</v>
          </cell>
          <cell r="G4502">
            <v>8252062205</v>
          </cell>
          <cell r="K4502" t="str">
            <v>BSGC376585</v>
          </cell>
        </row>
        <row r="4503">
          <cell r="E4503" t="str">
            <v>BOKARO</v>
          </cell>
          <cell r="G4503">
            <v>9122966997</v>
          </cell>
          <cell r="K4503" t="str">
            <v>BUDD162721</v>
          </cell>
        </row>
        <row r="4504">
          <cell r="E4504" t="str">
            <v>KOKAR INDUSTRIAL AREA,RANCHI
834002
KOKAR INDUSTRIAL AREA</v>
          </cell>
          <cell r="G4504">
            <v>7091098487</v>
          </cell>
          <cell r="K4504" t="str">
            <v>BQAC373733</v>
          </cell>
        </row>
        <row r="4505">
          <cell r="E4505" t="str">
            <v>RAMGRAH</v>
          </cell>
          <cell r="G4505">
            <v>8280104133</v>
          </cell>
          <cell r="K4505" t="str">
            <v>BQIS040809</v>
          </cell>
        </row>
        <row r="4506">
          <cell r="E4506" t="str">
            <v>RAMGRAH</v>
          </cell>
          <cell r="G4506">
            <v>8280104133</v>
          </cell>
          <cell r="K4506" t="str">
            <v>BIBS040161</v>
          </cell>
        </row>
        <row r="4507">
          <cell r="E4507" t="str">
            <v>MANDU, RAMGARH
JAISWAL COLONY, THANA CHOW,, RAMGARH CANTT. DIST. RAMGARH, JHARKHAND
825316
MANDU</v>
          </cell>
          <cell r="G4507">
            <v>6205951815</v>
          </cell>
          <cell r="K4507" t="str">
            <v>BTLS039719</v>
          </cell>
        </row>
        <row r="4508">
          <cell r="E4508" t="str">
            <v>MANDU, RAMGARH
JAISWAL COLONY, THANA CHOW,, RAMGARH CANTT. DIST. RAMGARH, JHARKHAND
825316
MANDU</v>
          </cell>
          <cell r="G4508">
            <v>8708249759</v>
          </cell>
          <cell r="K4508" t="str">
            <v>BTLS039851</v>
          </cell>
        </row>
        <row r="4509">
          <cell r="E4509" t="str">
            <v>MANDU, RAMGARH
JAISWAL COLONY, THANA CHOW,, RAMGARH CANTT. DIST. RAMGARH, JHARKHAND
825316
MANDU</v>
          </cell>
          <cell r="G4509">
            <v>6205951815</v>
          </cell>
          <cell r="K4509" t="str">
            <v>BSGS043528</v>
          </cell>
        </row>
        <row r="4510">
          <cell r="E4510" t="str">
            <v>LODNA</v>
          </cell>
          <cell r="G4510">
            <v>7644045555</v>
          </cell>
          <cell r="K4510" t="str">
            <v>BTDD162169</v>
          </cell>
        </row>
        <row r="4511">
          <cell r="E4511" t="str">
            <v>LODNA</v>
          </cell>
          <cell r="G4511">
            <v>8434845555</v>
          </cell>
          <cell r="K4511" t="str">
            <v>BTCD162149</v>
          </cell>
        </row>
        <row r="4512">
          <cell r="E4512" t="str">
            <v>TUPUDANA, RANCHI</v>
          </cell>
          <cell r="G4512">
            <v>8102915589</v>
          </cell>
          <cell r="K4512" t="str">
            <v>BUDC372327</v>
          </cell>
        </row>
        <row r="4513">
          <cell r="E4513" t="str">
            <v>62, KOKAR INDUSTRIAL AREA, KOKAR,RANCHI.
834001</v>
          </cell>
          <cell r="G4513">
            <v>9534189364</v>
          </cell>
          <cell r="K4513" t="str">
            <v>BMFS031276</v>
          </cell>
        </row>
        <row r="4514">
          <cell r="E4514" t="str">
            <v>RAMGARH
829103
NAYA MORE</v>
          </cell>
          <cell r="G4514">
            <v>8789325754</v>
          </cell>
          <cell r="K4514" t="str">
            <v>BRGS035169</v>
          </cell>
        </row>
        <row r="4515">
          <cell r="E4515" t="str">
            <v>DHANBAD JHARKHAND</v>
          </cell>
          <cell r="G4515">
            <v>7623886938</v>
          </cell>
          <cell r="K4515" t="str">
            <v>BQKD160115</v>
          </cell>
        </row>
        <row r="4516">
          <cell r="E4516" t="str">
            <v>BASTAKOLA, DHANBAD</v>
          </cell>
          <cell r="G4516">
            <v>9553053031</v>
          </cell>
          <cell r="K4516" t="str">
            <v>BUKD162535</v>
          </cell>
        </row>
        <row r="4517">
          <cell r="E4517" t="str">
            <v>BASTAKOLA, DHANBAD</v>
          </cell>
          <cell r="G4517">
            <v>9550053031</v>
          </cell>
          <cell r="K4517" t="str">
            <v>BQKD160099</v>
          </cell>
        </row>
        <row r="4518">
          <cell r="E4518" t="str">
            <v>VAISHALI</v>
          </cell>
          <cell r="G4518">
            <v>9919970189</v>
          </cell>
          <cell r="K4518" t="str">
            <v>BUID200797</v>
          </cell>
        </row>
        <row r="4519">
          <cell r="E4519" t="str">
            <v>TETULWARI</v>
          </cell>
          <cell r="G4519">
            <v>9835747740</v>
          </cell>
          <cell r="K4519" t="str">
            <v>BTGD162296</v>
          </cell>
        </row>
        <row r="4520">
          <cell r="E4520" t="str">
            <v>KWJAMA COLLIERY, DHANBAD</v>
          </cell>
          <cell r="G4520">
            <v>7644045555</v>
          </cell>
          <cell r="K4520" t="str">
            <v>BVCD163165</v>
          </cell>
        </row>
        <row r="4521">
          <cell r="E4521" t="str">
            <v>KUJAMA</v>
          </cell>
          <cell r="G4521">
            <v>7644045555</v>
          </cell>
          <cell r="K4521" t="str">
            <v>BVJD162972</v>
          </cell>
        </row>
        <row r="4522">
          <cell r="E4522" t="str">
            <v>TETULIA MORE, DHANBAD</v>
          </cell>
          <cell r="G4522">
            <v>8777354683</v>
          </cell>
          <cell r="K4522" t="str">
            <v>BUDS034770</v>
          </cell>
        </row>
        <row r="4523">
          <cell r="E4523" t="str">
            <v>TETULIA MORE, DHANBAD</v>
          </cell>
          <cell r="G4523">
            <v>8777354683</v>
          </cell>
          <cell r="K4523" t="str">
            <v>BUDS034880</v>
          </cell>
        </row>
        <row r="4524">
          <cell r="E4524" t="str">
            <v>TETULIA MORE, DHANBAD</v>
          </cell>
          <cell r="G4524">
            <v>8777354683</v>
          </cell>
          <cell r="K4524" t="str">
            <v>BUDS046497</v>
          </cell>
        </row>
        <row r="4525">
          <cell r="E4525" t="str">
            <v>TETULIA MORE, DHANBAD</v>
          </cell>
          <cell r="G4525">
            <v>8777354683</v>
          </cell>
          <cell r="K4525" t="str">
            <v>BUDS046443</v>
          </cell>
        </row>
        <row r="4526">
          <cell r="E4526" t="str">
            <v>RANCHI</v>
          </cell>
          <cell r="G4526">
            <v>9973686006</v>
          </cell>
          <cell r="K4526" t="str">
            <v>BLIS031950</v>
          </cell>
        </row>
        <row r="4527">
          <cell r="E4527" t="str">
            <v>PALAMU,GARWA, JHARKHAND
822124
GARHWA ROAD, NEAR BCCL PALAMU,</v>
          </cell>
          <cell r="G4527">
            <v>9113478726</v>
          </cell>
          <cell r="K4527" t="str">
            <v>GOCS030806</v>
          </cell>
        </row>
        <row r="4528">
          <cell r="E4528" t="str">
            <v>DHANBAD</v>
          </cell>
          <cell r="G4528">
            <v>6207308280</v>
          </cell>
          <cell r="K4528" t="str">
            <v>BTED162231</v>
          </cell>
        </row>
        <row r="4529">
          <cell r="E4529" t="str">
            <v>ANGAR PATRA,DHANBAD</v>
          </cell>
          <cell r="G4529">
            <v>6207308280</v>
          </cell>
          <cell r="K4529" t="str">
            <v>BSGD161898</v>
          </cell>
        </row>
        <row r="4530">
          <cell r="E4530" t="str">
            <v>DHANBAD</v>
          </cell>
          <cell r="G4530">
            <v>8106167121</v>
          </cell>
          <cell r="K4530" t="str">
            <v>BVGD163308</v>
          </cell>
        </row>
        <row r="4531">
          <cell r="E4531" t="str">
            <v>TUPUDANA INDUSTRIAL AREA, RANCHI
PLOT NO. - 45 &amp; 46, TUPUDAN AINDUSTRIAL AREA, TUPUDANA, HATIA, RANCHI
834003
TIPUDANA INDUSTRIAL AREA</v>
          </cell>
          <cell r="G4531">
            <v>7717734248</v>
          </cell>
          <cell r="K4531" t="str">
            <v>BVDS039458</v>
          </cell>
        </row>
        <row r="4532">
          <cell r="E4532" t="str">
            <v>NAMKUM, RANCHI</v>
          </cell>
          <cell r="G4532">
            <v>7004828227</v>
          </cell>
          <cell r="K4532" t="str">
            <v>BVKS037559</v>
          </cell>
        </row>
        <row r="4533">
          <cell r="E4533" t="str">
            <v>TUPUDANA INDUSTRIAL AREA, RANCHI
PLOT NO. - 45 &amp; 46, TUPUDAN AINDUSTRIAL AREA, TUPUDANA, HATIA, RANCHI
834003
TIPUDANA INDUSTRIAL AREA</v>
          </cell>
          <cell r="G4533">
            <v>7717734248</v>
          </cell>
          <cell r="K4533" t="str">
            <v>BVDS039458</v>
          </cell>
        </row>
        <row r="4534">
          <cell r="E4534" t="str">
            <v>BHOWRA, DHANBAD</v>
          </cell>
          <cell r="G4534">
            <v>7667061376</v>
          </cell>
          <cell r="K4534" t="str">
            <v>BVJD162958</v>
          </cell>
        </row>
        <row r="4535">
          <cell r="E4535" t="str">
            <v>GIRIDIH</v>
          </cell>
          <cell r="G4535">
            <v>7903377362</v>
          </cell>
          <cell r="K4535" t="str">
            <v>BVFS049456</v>
          </cell>
        </row>
        <row r="4536">
          <cell r="E4536" t="str">
            <v>KHAKHSA PAHAR, PAKURIYA, PAKUR</v>
          </cell>
          <cell r="G4536">
            <v>8409123087</v>
          </cell>
          <cell r="K4536" t="str">
            <v>BUGD162826</v>
          </cell>
        </row>
        <row r="4537">
          <cell r="E4537" t="str">
            <v>BERA, DHANBAD</v>
          </cell>
          <cell r="G4537">
            <v>7632886938</v>
          </cell>
          <cell r="K4537" t="str">
            <v>BUAD162634</v>
          </cell>
        </row>
        <row r="4538">
          <cell r="E4538" t="str">
            <v>BASTAWLA DHANBAD</v>
          </cell>
          <cell r="G4538">
            <v>8658834483</v>
          </cell>
          <cell r="K4538" t="str">
            <v>BUAD162630</v>
          </cell>
        </row>
        <row r="4539">
          <cell r="E4539" t="str">
            <v>TUPUDANA INDUSTRIAL AREA, RANCHI
PLOT NO. - 45 &amp; 46, TUPUDAN AINDUSTRIAL AREA, TUPUDANA, HATIA, RANCHI
834003
TIPUDANA INDUSTRIAL AREA</v>
          </cell>
          <cell r="G4539">
            <v>7717734248</v>
          </cell>
          <cell r="K4539" t="str">
            <v>BQBS033819</v>
          </cell>
        </row>
        <row r="4540">
          <cell r="E4540" t="str">
            <v>HAZARIBAGH</v>
          </cell>
          <cell r="G4540">
            <v>7255084681</v>
          </cell>
          <cell r="K4540" t="str">
            <v>BWLS031775</v>
          </cell>
        </row>
        <row r="4541">
          <cell r="E4541" t="str">
            <v>ADMINISTRATIVE BLOCK, MECHINICAL DEPARTMENT, DHANBAD</v>
          </cell>
          <cell r="G4541">
            <v>7761943999</v>
          </cell>
          <cell r="K4541" t="str">
            <v>BUIS036656</v>
          </cell>
        </row>
        <row r="4542">
          <cell r="E4542" t="str">
            <v>CHAS, BOKARO
827013</v>
          </cell>
          <cell r="G4542">
            <v>7992434966</v>
          </cell>
          <cell r="K4542" t="str">
            <v>BSEC376103</v>
          </cell>
        </row>
        <row r="4543">
          <cell r="E4543" t="str">
            <v>MAHTO COLONY, TELEDIH, CHAS, BOKARO</v>
          </cell>
          <cell r="G4543">
            <v>7992434966</v>
          </cell>
          <cell r="K4543" t="str">
            <v>BVJC374285</v>
          </cell>
        </row>
        <row r="4544">
          <cell r="E4544" t="str">
            <v>NAMKUM INDUSTRIAL AREA,RANCHI
RANCHI
834010
INDIA</v>
          </cell>
          <cell r="G4544">
            <v>7070993638</v>
          </cell>
          <cell r="K4544" t="str">
            <v>GOCC370465</v>
          </cell>
        </row>
        <row r="4545">
          <cell r="E4545" t="str">
            <v>PATRATU</v>
          </cell>
          <cell r="G4545">
            <v>7908048644</v>
          </cell>
          <cell r="K4545" t="str">
            <v>EVKS047996</v>
          </cell>
        </row>
        <row r="4546">
          <cell r="E4546" t="str">
            <v>BOKARO,JHARKHAND
827004</v>
          </cell>
          <cell r="G4546">
            <v>7280055889</v>
          </cell>
          <cell r="K4546" t="str">
            <v>BRGC373881</v>
          </cell>
        </row>
        <row r="4547">
          <cell r="E4547" t="str">
            <v>DASMILE, RANCHI</v>
          </cell>
          <cell r="G4547">
            <v>9304802153</v>
          </cell>
          <cell r="K4547" t="str">
            <v>BVHD163366</v>
          </cell>
        </row>
        <row r="4548">
          <cell r="E4548" t="str">
            <v>TILTA RING ROAD.
834006</v>
          </cell>
          <cell r="G4548">
            <v>6200855859</v>
          </cell>
          <cell r="K4548" t="str">
            <v>BSHC376807</v>
          </cell>
        </row>
        <row r="4549">
          <cell r="E4549" t="str">
            <v>AT: SENEGARHA, P.O-RABODH, P.S-GIDDI,(RAMGARH),, DISTT. HAZARIBAGH,JHARKHAND-825330
829108
AT: SENEGARHA, P.O-RABODH, P.S-GIDDI,(RAMGARH),</v>
          </cell>
          <cell r="G4549">
            <v>9006877583</v>
          </cell>
          <cell r="K4549" t="str">
            <v>BQES030978</v>
          </cell>
        </row>
        <row r="4550">
          <cell r="E4550" t="str">
            <v>RATU ROAD, RANCHI</v>
          </cell>
          <cell r="G4550">
            <v>7070091150</v>
          </cell>
          <cell r="K4550" t="str">
            <v>BVEC377128</v>
          </cell>
        </row>
        <row r="4551">
          <cell r="E4551" t="str">
            <v>SINDRI,DHANBAD
828122</v>
          </cell>
          <cell r="G4551">
            <v>7004661850</v>
          </cell>
          <cell r="K4551" t="str">
            <v>GOEC370640</v>
          </cell>
        </row>
        <row r="4552">
          <cell r="E4552" t="str">
            <v>PLOT NO. 79, KAPASARA,, SUNDERNAGAR, CHIRKUNDA,, DHANBAD - 828 202
PLOT NO. 79, KAPASARA,, SUNDERNAGAR, CHIRKUNDA,, DHANBAD - 828 202
828202</v>
          </cell>
          <cell r="G4552">
            <v>8101005542</v>
          </cell>
          <cell r="K4552" t="str">
            <v>BTFS031006</v>
          </cell>
        </row>
        <row r="4553">
          <cell r="E4553" t="str">
            <v>AT: SENEGARHA, P.O-RABODH, P.S-GIDDI,(RAMGARH),, DISTT. HAZARIBAGH,JHARKHAND-825330
829108
AT: SENEGARHA, P.O-RABODH, P.S-GIDDI,(RAMGARH),</v>
          </cell>
          <cell r="G4553">
            <v>9006877583</v>
          </cell>
          <cell r="K4553" t="str">
            <v>BSCS037349</v>
          </cell>
        </row>
        <row r="4554">
          <cell r="E4554" t="str">
            <v>LODNA</v>
          </cell>
          <cell r="G4554">
            <v>8434845555</v>
          </cell>
          <cell r="K4554" t="str">
            <v>BTCD162149</v>
          </cell>
        </row>
        <row r="4555">
          <cell r="E4555" t="str">
            <v>KUJAMA</v>
          </cell>
          <cell r="G4555">
            <v>9065764901</v>
          </cell>
          <cell r="K4555" t="str">
            <v>BVJD162972</v>
          </cell>
        </row>
        <row r="4556">
          <cell r="E4556" t="str">
            <v>KWJAMA COLLIERY, DHANBAD</v>
          </cell>
          <cell r="G4556">
            <v>9044360313</v>
          </cell>
          <cell r="K4556" t="str">
            <v>BVCD163165</v>
          </cell>
        </row>
        <row r="4557">
          <cell r="E4557" t="str">
            <v>LODNA</v>
          </cell>
          <cell r="G4557">
            <v>7644045555</v>
          </cell>
          <cell r="K4557" t="str">
            <v>BTDD162169</v>
          </cell>
        </row>
        <row r="4558">
          <cell r="E4558" t="str">
            <v>NTA LODNA, DHANBAD</v>
          </cell>
          <cell r="G4558">
            <v>7644045555</v>
          </cell>
          <cell r="K4558" t="str">
            <v>BULD162559</v>
          </cell>
        </row>
        <row r="4559">
          <cell r="E4559" t="str">
            <v>LODNA</v>
          </cell>
          <cell r="G4559">
            <v>7644045555</v>
          </cell>
          <cell r="K4559" t="str">
            <v>BVID163401</v>
          </cell>
        </row>
        <row r="4560">
          <cell r="E4560" t="str">
            <v>BASKATOLA</v>
          </cell>
          <cell r="G4560">
            <v>7489823544</v>
          </cell>
          <cell r="K4560" t="str">
            <v>BULD162577</v>
          </cell>
        </row>
        <row r="4561">
          <cell r="E4561" t="str">
            <v>CHAS BOKARO</v>
          </cell>
          <cell r="G4561">
            <v>9805175913</v>
          </cell>
          <cell r="K4561" t="str">
            <v>BVEC376827</v>
          </cell>
        </row>
        <row r="4562">
          <cell r="E4562" t="str">
            <v>CHANDWA, HAZARIBAGH</v>
          </cell>
          <cell r="G4562">
            <v>7070091156</v>
          </cell>
          <cell r="K4562" t="str">
            <v>BVEC377128</v>
          </cell>
        </row>
        <row r="4563">
          <cell r="E4563" t="str">
            <v>TATULMURI, DHANBAD</v>
          </cell>
          <cell r="G4563">
            <v>9000090047</v>
          </cell>
          <cell r="K4563" t="str">
            <v>BUGD162852</v>
          </cell>
        </row>
        <row r="4564">
          <cell r="E4564" t="str">
            <v>SHEIKHPURA, BIHAR</v>
          </cell>
          <cell r="G4564">
            <v>9234638430</v>
          </cell>
          <cell r="K4564" t="str">
            <v>BULL160559</v>
          </cell>
        </row>
        <row r="4565">
          <cell r="E4565" t="str">
            <v>BEGUSARAI, BIHAR</v>
          </cell>
          <cell r="G4565">
            <v>8678000802</v>
          </cell>
          <cell r="K4565" t="str">
            <v>BVGD121497</v>
          </cell>
        </row>
        <row r="4566">
          <cell r="E4566" t="str">
            <v>AT: SENEGARHA, P.O-RABODH, P.S-GIDDI,(RAMGARH),, DISTT. HAZARIBAGH,JHARKHAND-825330
829108
AT: SENEGARHA, P.O-RABODH, P.S-GIDDI,(RAMGARH),</v>
          </cell>
          <cell r="G4566">
            <v>9006877583</v>
          </cell>
          <cell r="K4566" t="str">
            <v>BRAS033261</v>
          </cell>
        </row>
        <row r="4567">
          <cell r="E4567" t="str">
            <v>PHOOLWARTAND, DHANBAD</v>
          </cell>
          <cell r="G4567">
            <v>8106167121</v>
          </cell>
          <cell r="K4567" t="str">
            <v>BVHD163393</v>
          </cell>
        </row>
        <row r="4568">
          <cell r="E4568" t="str">
            <v>KUJAMA</v>
          </cell>
          <cell r="G4568">
            <v>7644045555</v>
          </cell>
          <cell r="K4568" t="str">
            <v>BVJD162972</v>
          </cell>
        </row>
        <row r="4569">
          <cell r="E4569" t="str">
            <v>DHANBAD</v>
          </cell>
          <cell r="G4569">
            <v>7489823544</v>
          </cell>
          <cell r="K4569" t="str">
            <v>BTDD162186</v>
          </cell>
        </row>
        <row r="4570">
          <cell r="E4570" t="str">
            <v>BALIDIH INDUSTRIAL AREA,BOKARO
PLOT NO. - A/2 (P) INDUSTRIAL AREA, BALIDIH BOKARO STEEL CITY - 14, BOKARO
827014
BOKARO INDUSTRIAL ESTATE</v>
          </cell>
          <cell r="G4570">
            <v>8797867925</v>
          </cell>
          <cell r="K4570" t="str">
            <v>BSJS035946</v>
          </cell>
        </row>
        <row r="4571">
          <cell r="E4571" t="str">
            <v>TILTA RING ROAD.
834006</v>
          </cell>
          <cell r="G4571">
            <v>6200855859</v>
          </cell>
          <cell r="K4571" t="str">
            <v>BSHC376807</v>
          </cell>
        </row>
        <row r="4572">
          <cell r="E4572" t="str">
            <v>RAMGRAH</v>
          </cell>
          <cell r="G4572">
            <v>7898058712</v>
          </cell>
          <cell r="K4572" t="str">
            <v>BPKHS030402</v>
          </cell>
        </row>
        <row r="4573">
          <cell r="E4573" t="str">
            <v>LALGUTUWA, RANCHI</v>
          </cell>
          <cell r="G4573">
            <v>9798542502</v>
          </cell>
          <cell r="K4573" t="str">
            <v>BSES037922</v>
          </cell>
        </row>
        <row r="4574">
          <cell r="E4574" t="str">
            <v>GOBINDPUR INDUSTRIAL AREA, DHANBAD</v>
          </cell>
          <cell r="G4574">
            <v>9113169811</v>
          </cell>
          <cell r="K4574" t="str">
            <v>BVJS047894</v>
          </cell>
        </row>
        <row r="4575">
          <cell r="E4575" t="str">
            <v>RANCHI ROAD,RAMGARH 
DIGWAR,RAMGARH
829122
DIGWAR , RANCHI ROAD ,</v>
          </cell>
          <cell r="G4575">
            <v>7004848564</v>
          </cell>
          <cell r="K4575" t="str">
            <v>GOAC370220</v>
          </cell>
        </row>
        <row r="4576">
          <cell r="E4576" t="str">
            <v>TATISILWI, RANCHI</v>
          </cell>
          <cell r="G4576">
            <v>9572693497</v>
          </cell>
          <cell r="K4576" t="str">
            <v>BSDD120664</v>
          </cell>
        </row>
        <row r="4577">
          <cell r="E4577" t="str">
            <v>TUPUDANA</v>
          </cell>
          <cell r="G4577">
            <v>8340549423</v>
          </cell>
          <cell r="K4577" t="str">
            <v>BVLD163043</v>
          </cell>
        </row>
        <row r="4578">
          <cell r="E4578" t="str">
            <v>RAMPUR</v>
          </cell>
          <cell r="G4578">
            <v>9546884024</v>
          </cell>
          <cell r="K4578" t="str">
            <v>BSAD120582</v>
          </cell>
        </row>
        <row r="4579">
          <cell r="E4579" t="str">
            <v>REHLA,GARWA,JHARKHAND
822124
RANCHI</v>
          </cell>
          <cell r="G4579">
            <v>7004623399</v>
          </cell>
          <cell r="K4579" t="str">
            <v>BMFS031346</v>
          </cell>
        </row>
        <row r="4580">
          <cell r="E4580" t="str">
            <v>NAGARI,</v>
          </cell>
          <cell r="G4580">
            <v>8294385129</v>
          </cell>
          <cell r="K4580" t="str">
            <v>BLGS040582</v>
          </cell>
        </row>
        <row r="4581">
          <cell r="E4581" t="str">
            <v>NAGARI,</v>
          </cell>
          <cell r="G4581">
            <v>8294385129</v>
          </cell>
          <cell r="K4581" t="str">
            <v>BILS030211</v>
          </cell>
        </row>
        <row r="4582">
          <cell r="E4582" t="str">
            <v>TAPIN PROJECT, CHARHI</v>
          </cell>
          <cell r="G4582">
            <v>6204816691</v>
          </cell>
          <cell r="K4582" t="str">
            <v>BVLD163067</v>
          </cell>
        </row>
        <row r="4583">
          <cell r="E4583" t="str">
            <v>BALIDIH INDUSTRIAL AREA, BALIDIH BOKARO</v>
          </cell>
          <cell r="G4583">
            <v>7980994058</v>
          </cell>
          <cell r="K4583">
            <v>164253</v>
          </cell>
        </row>
        <row r="4584">
          <cell r="E4584" t="str">
            <v>CHANDWA, HAZARIBAGH</v>
          </cell>
          <cell r="G4584">
            <v>7255084681</v>
          </cell>
          <cell r="K4584" t="str">
            <v>BWLS031775</v>
          </cell>
        </row>
        <row r="4585">
          <cell r="E4585" t="str">
            <v>BALIDIH INDUSTRIAL AREA
827014</v>
          </cell>
          <cell r="G4585">
            <v>7980994058</v>
          </cell>
          <cell r="K4585" t="str">
            <v>BTDS044304</v>
          </cell>
        </row>
        <row r="4586">
          <cell r="E4586" t="str">
            <v>CHATRA</v>
          </cell>
          <cell r="G4586">
            <v>9939116955</v>
          </cell>
          <cell r="K4586" t="str">
            <v>BUIS036515</v>
          </cell>
        </row>
        <row r="4587">
          <cell r="E4587" t="str">
            <v>CHATRA</v>
          </cell>
          <cell r="G4587">
            <v>6204502684</v>
          </cell>
          <cell r="K4587" t="str">
            <v>BUES035163</v>
          </cell>
        </row>
        <row r="4588">
          <cell r="E4588" t="str">
            <v>RAMPUR</v>
          </cell>
          <cell r="G4588">
            <v>9546884024</v>
          </cell>
          <cell r="K4588" t="str">
            <v>BSAD120582</v>
          </cell>
        </row>
        <row r="4589">
          <cell r="E4589" t="str">
            <v>TATISILWI, RANCHI</v>
          </cell>
          <cell r="G4589">
            <v>9572693497</v>
          </cell>
          <cell r="K4589" t="str">
            <v>BSDD120664</v>
          </cell>
        </row>
        <row r="4590">
          <cell r="E4590" t="str">
            <v>MARAR, RAMGARH, JHARKHAND
MARRAR RAMGARH, 9155729786
829117
MARAR</v>
          </cell>
          <cell r="G4590">
            <v>9155729786</v>
          </cell>
          <cell r="K4590" t="str">
            <v>BMIS031759</v>
          </cell>
        </row>
        <row r="4591">
          <cell r="E4591" t="str">
            <v>BANDHTOLI, NAGRI</v>
          </cell>
          <cell r="G4591">
            <v>6201457979</v>
          </cell>
          <cell r="K4591" t="str">
            <v>BUFS046813</v>
          </cell>
        </row>
        <row r="4592">
          <cell r="E4592" t="str">
            <v>TATULMURI, DHANBAD</v>
          </cell>
          <cell r="G4592">
            <v>9931519401</v>
          </cell>
          <cell r="K4592" t="str">
            <v>BUGD162852</v>
          </cell>
        </row>
        <row r="4593">
          <cell r="E4593" t="str">
            <v>KOKAR,INDUSTRIAL AREA,RANCHI
834002
RANCHI</v>
          </cell>
          <cell r="G4593">
            <v>7781017919</v>
          </cell>
          <cell r="K4593" t="str">
            <v>BMKC370048</v>
          </cell>
        </row>
        <row r="4594">
          <cell r="E4594" t="str">
            <v>PITHORIA</v>
          </cell>
          <cell r="G4594">
            <v>9431370655</v>
          </cell>
          <cell r="K4594" t="str">
            <v>BWJC378445</v>
          </cell>
        </row>
        <row r="4595">
          <cell r="E4595" t="str">
            <v>KASUNDA</v>
          </cell>
          <cell r="G4595">
            <v>8809111645</v>
          </cell>
          <cell r="K4595" t="str">
            <v>BRDD161023</v>
          </cell>
        </row>
        <row r="4596">
          <cell r="E4596" t="str">
            <v>GHATSILA</v>
          </cell>
          <cell r="G4596">
            <v>9771489009</v>
          </cell>
          <cell r="K4596" t="str">
            <v>BUDD162719</v>
          </cell>
        </row>
        <row r="4597">
          <cell r="E4597" t="str">
            <v>KODERMA</v>
          </cell>
          <cell r="G4597">
            <v>8210413459</v>
          </cell>
          <cell r="K4597" t="str">
            <v>BVFS049398</v>
          </cell>
        </row>
        <row r="4598">
          <cell r="E4598" t="str">
            <v>PITHORIA</v>
          </cell>
          <cell r="G4598">
            <v>9431370655</v>
          </cell>
          <cell r="K4598" t="str">
            <v>BWJC378445</v>
          </cell>
        </row>
        <row r="4599">
          <cell r="E4599" t="str">
            <v>GUMLA</v>
          </cell>
          <cell r="G4599">
            <v>9771480433</v>
          </cell>
          <cell r="K4599" t="str">
            <v>BWKS031684</v>
          </cell>
        </row>
        <row r="4600">
          <cell r="E4600" t="str">
            <v>AAMZAR, BALIAPUR ROAD, DHANBAD
AAMZAR, BALIAPUR ROAD, DHANBAD
000000</v>
          </cell>
          <cell r="G4600">
            <v>7488737393</v>
          </cell>
          <cell r="K4600" t="str">
            <v>BUES035210</v>
          </cell>
        </row>
        <row r="4601">
          <cell r="E4601" t="str">
            <v>1, KOCP, DHANSAR, Dhanbad, Jharkhand, 828106</v>
          </cell>
          <cell r="G4601">
            <v>6360902039</v>
          </cell>
          <cell r="K4601" t="str">
            <v>BUIC373701</v>
          </cell>
        </row>
        <row r="4602">
          <cell r="E4602" t="str">
            <v>GROUND FLOOR,, OFFICE NO.448A, ROAD NO.4, ASHOK NAGAR
GROUND FLOOR,, OFFICE NO.448A, ROAD NO.4, ASHOK NAGAR
829118
PLOT NO:- 47P, PATRATU INDUSTRIAL AREA</v>
          </cell>
          <cell r="G4602">
            <v>8102928348</v>
          </cell>
          <cell r="K4602" t="str">
            <v>ONIC370102</v>
          </cell>
        </row>
        <row r="4603">
          <cell r="E4603" t="str">
            <v>GIDDI A</v>
          </cell>
          <cell r="G4603">
            <v>9142402876</v>
          </cell>
          <cell r="K4603" t="str">
            <v>BRID161336</v>
          </cell>
        </row>
        <row r="4604">
          <cell r="E4604" t="str">
            <v>KHURPANIA, KHASHMAHAL, PHUSHRO</v>
          </cell>
          <cell r="G4604">
            <v>6299732316</v>
          </cell>
          <cell r="K4604" t="str">
            <v>BTHD162350</v>
          </cell>
        </row>
        <row r="4605">
          <cell r="E4605" t="str">
            <v>DHANBAD</v>
          </cell>
          <cell r="G4605">
            <v>8521430494</v>
          </cell>
          <cell r="K4605" t="str">
            <v>BTCD162159</v>
          </cell>
        </row>
        <row r="4606">
          <cell r="E4606" t="str">
            <v>KODERMA</v>
          </cell>
          <cell r="G4606">
            <v>9631639052</v>
          </cell>
          <cell r="K4606" t="str">
            <v>BVFS049398</v>
          </cell>
        </row>
        <row r="4607">
          <cell r="E4607" t="str">
            <v>RANCHI ROAD,RAMGARH 
DIGWAR,RAMGARH
829122
DIGWAR , RANCHI ROAD ,</v>
          </cell>
          <cell r="G4607">
            <v>7004848564</v>
          </cell>
          <cell r="K4607" t="str">
            <v>GOAC370220</v>
          </cell>
        </row>
        <row r="4608">
          <cell r="E4608" t="str">
            <v>DEMO, LATEHAR</v>
          </cell>
          <cell r="G4608">
            <v>8757541844</v>
          </cell>
          <cell r="K4608" t="str">
            <v>BSED161783</v>
          </cell>
        </row>
        <row r="4609">
          <cell r="E4609" t="str">
            <v>BIT MESRA, RANCHI</v>
          </cell>
          <cell r="G4609">
            <v>8010635349</v>
          </cell>
          <cell r="K4609" t="str">
            <v>BVIC378175</v>
          </cell>
        </row>
        <row r="4610">
          <cell r="E4610" t="str">
            <v>AMLO, PHUSHRO</v>
          </cell>
          <cell r="G4610">
            <v>9006617909</v>
          </cell>
          <cell r="K4610" t="str">
            <v>BJGD200109</v>
          </cell>
        </row>
        <row r="4611">
          <cell r="E4611" t="str">
            <v>C/O - PREM PRAKASH AGARWAL, OPP - HILLVIEW FUEL STATION, GODHUR, P.O - KUSUNDA, DHANBAD</v>
          </cell>
          <cell r="G4611">
            <v>7903412157</v>
          </cell>
          <cell r="K4611" t="str">
            <v>BTED162217</v>
          </cell>
        </row>
        <row r="4612">
          <cell r="E4612" t="str">
            <v>BHULI, DHANBAD</v>
          </cell>
          <cell r="G4612">
            <v>7541046561</v>
          </cell>
          <cell r="K4612" t="str">
            <v>BVFS039912</v>
          </cell>
        </row>
        <row r="4613">
          <cell r="E4613" t="str">
            <v>BALIDIH, BOKARO</v>
          </cell>
          <cell r="G4613">
            <v>9523599901</v>
          </cell>
          <cell r="K4613" t="str">
            <v>BVCC376207</v>
          </cell>
        </row>
        <row r="4614">
          <cell r="E4614" t="str">
            <v>NAGARI, RANCHI
834006</v>
          </cell>
          <cell r="G4614">
            <v>8849370927</v>
          </cell>
          <cell r="K4614" t="str">
            <v>BRAC372524</v>
          </cell>
        </row>
        <row r="4615">
          <cell r="E4615" t="str">
            <v>ANGARA, TATISILWAI</v>
          </cell>
          <cell r="G4615">
            <v>9110012919</v>
          </cell>
          <cell r="K4615" t="str">
            <v>BVGF111611</v>
          </cell>
        </row>
        <row r="4616">
          <cell r="E4616" t="str">
            <v>AMLO PHUSHRO</v>
          </cell>
          <cell r="G4616">
            <v>9006617909</v>
          </cell>
          <cell r="K4616" t="str">
            <v>BRKD220111</v>
          </cell>
        </row>
        <row r="4617">
          <cell r="E4617" t="str">
            <v>JARANDIH, PHUSHRO</v>
          </cell>
          <cell r="G4617">
            <v>9006617909</v>
          </cell>
          <cell r="K4617" t="str">
            <v>BTKD162077</v>
          </cell>
        </row>
        <row r="4618">
          <cell r="E4618" t="str">
            <v>JARANDIH, PHUSHRO</v>
          </cell>
          <cell r="G4618">
            <v>9006617909</v>
          </cell>
          <cell r="K4618" t="str">
            <v>BTKD162074</v>
          </cell>
        </row>
        <row r="4619">
          <cell r="E4619" t="str">
            <v>ANGARA, TATISILWAI</v>
          </cell>
          <cell r="G4619">
            <v>9110012919</v>
          </cell>
          <cell r="K4619" t="str">
            <v>BVGF111615</v>
          </cell>
        </row>
        <row r="4620">
          <cell r="E4620" t="str">
            <v>NAMKUM INDUSTRIAL AREA,RANCHI
834010</v>
          </cell>
          <cell r="G4620">
            <v>9386408111</v>
          </cell>
          <cell r="K4620" t="str">
            <v>GOCC370403</v>
          </cell>
        </row>
        <row r="4621">
          <cell r="E4621" t="str">
            <v>ORMANJHI</v>
          </cell>
          <cell r="G4621">
            <v>6205364351</v>
          </cell>
          <cell r="K4621" t="str">
            <v>BVHD163336</v>
          </cell>
        </row>
        <row r="4622">
          <cell r="E4622" t="str">
            <v>NAGRI, RANCHI
TIKRATOLI, P.O:- NAGRI, RANCHI
834006</v>
          </cell>
          <cell r="G4622">
            <v>7549287704</v>
          </cell>
          <cell r="K4622" t="str">
            <v>BKKS030393</v>
          </cell>
        </row>
        <row r="4623">
          <cell r="E4623" t="str">
            <v>DHANBAD</v>
          </cell>
          <cell r="G4623">
            <v>7856067530</v>
          </cell>
          <cell r="K4623" t="str">
            <v>BRGD161225</v>
          </cell>
        </row>
        <row r="4624">
          <cell r="E4624" t="str">
            <v>JHARIA, DHANBAD</v>
          </cell>
          <cell r="G4624">
            <v>7856067530</v>
          </cell>
          <cell r="K4624" t="str">
            <v>BRHD161304</v>
          </cell>
        </row>
        <row r="4625">
          <cell r="E4625" t="str">
            <v>PHUSHRO</v>
          </cell>
          <cell r="G4625">
            <v>7751812111</v>
          </cell>
          <cell r="K4625" t="str">
            <v>BVKD163026</v>
          </cell>
        </row>
        <row r="4626">
          <cell r="E4626" t="str">
            <v>UPPER BAZAR,RANCHI
834001
OPP. MAHAVIR MANDIR , RADHA NAGAR ROAD</v>
          </cell>
          <cell r="G4626">
            <v>7909069824</v>
          </cell>
          <cell r="K4626" t="str">
            <v>GOHC370805</v>
          </cell>
        </row>
        <row r="4627">
          <cell r="E4627" t="str">
            <v>NTA LODNA, DHANBAD</v>
          </cell>
          <cell r="G4627">
            <v>7644045555</v>
          </cell>
          <cell r="K4627" t="str">
            <v>BULD162559</v>
          </cell>
        </row>
        <row r="4628">
          <cell r="E4628" t="str">
            <v>BARKAGAOUN, HAZARIBAGH</v>
          </cell>
          <cell r="G4628">
            <v>7070010949</v>
          </cell>
          <cell r="K4628" t="str">
            <v>BVED231179</v>
          </cell>
        </row>
        <row r="4629">
          <cell r="E4629" t="str">
            <v>KWJAMA COLLIERY, DHANBAD</v>
          </cell>
          <cell r="G4629">
            <v>7644045555</v>
          </cell>
          <cell r="K4629" t="str">
            <v>BVCD163165</v>
          </cell>
        </row>
        <row r="4630">
          <cell r="E4630" t="str">
            <v>KODERMA</v>
          </cell>
          <cell r="G4630">
            <v>9631639052</v>
          </cell>
          <cell r="K4630" t="str">
            <v>BVFS049407</v>
          </cell>
        </row>
        <row r="4631">
          <cell r="E4631" t="str">
            <v>KASUNDA</v>
          </cell>
          <cell r="G4631">
            <v>7847053297</v>
          </cell>
          <cell r="K4631" t="str">
            <v>BTCD162162</v>
          </cell>
        </row>
        <row r="4632">
          <cell r="E4632" t="str">
            <v>RAMGARH CANTT, RAMGARH
RAMGARH
829122
RAMGARH</v>
          </cell>
          <cell r="G4632">
            <v>9576833882</v>
          </cell>
          <cell r="K4632" t="str">
            <v>BNKS030423</v>
          </cell>
        </row>
        <row r="4633">
          <cell r="E4633" t="str">
            <v>C/O - AMAN AGRAWAL, PLOT NO. 735, KAITHA, RAMGARH CANTT., RAMGARH
825101</v>
          </cell>
          <cell r="G4633">
            <v>8709937739</v>
          </cell>
          <cell r="K4633" t="str">
            <v>BSDC375954</v>
          </cell>
        </row>
        <row r="4634">
          <cell r="E4634" t="str">
            <v>KATRAS, DHANBAD</v>
          </cell>
          <cell r="G4634">
            <v>9113788032</v>
          </cell>
          <cell r="K4634" t="str">
            <v>BSKD161477</v>
          </cell>
        </row>
        <row r="4635">
          <cell r="E4635" t="str">
            <v>TETULMARI, DHANBAD</v>
          </cell>
          <cell r="G4635">
            <v>9113788032</v>
          </cell>
          <cell r="K4635" t="str">
            <v>BVLD163040</v>
          </cell>
        </row>
        <row r="4636">
          <cell r="E4636" t="str">
            <v>TAPIN HAZARIBAGH</v>
          </cell>
          <cell r="G4636">
            <v>8002177613</v>
          </cell>
          <cell r="K4636" t="str">
            <v>BTGD162289</v>
          </cell>
        </row>
        <row r="4637">
          <cell r="E4637" t="str">
            <v>NTA LODNA, DHANBAD</v>
          </cell>
          <cell r="G4637">
            <v>7644045555</v>
          </cell>
          <cell r="K4637" t="str">
            <v>BULD162559</v>
          </cell>
        </row>
        <row r="4638">
          <cell r="E4638" t="str">
            <v>HOSHIR GIDDI,RAMGARH
NEAR P.N. BANK MAIN ROAD, RAMGARH CANTT. 829122
829110</v>
          </cell>
          <cell r="G4638">
            <v>8651078549</v>
          </cell>
          <cell r="K4638" t="str">
            <v>BSKS036261</v>
          </cell>
        </row>
        <row r="4639">
          <cell r="E4639" t="str">
            <v>PITHORIYA, RANCHI</v>
          </cell>
          <cell r="G4639">
            <v>9546089443</v>
          </cell>
          <cell r="K4639" t="str">
            <v>BVIC377970</v>
          </cell>
        </row>
        <row r="4640">
          <cell r="E4640" t="str">
            <v>NAGRI, RANCHI
TIKRATOLI, P.O:- NAGRI, RANCHI
834006</v>
          </cell>
          <cell r="G4640">
            <v>7549287704</v>
          </cell>
          <cell r="K4640" t="str">
            <v>BKKS030393</v>
          </cell>
        </row>
        <row r="4641">
          <cell r="E4641" t="str">
            <v>HAZARIBAGH</v>
          </cell>
          <cell r="G4641">
            <v>8372923013</v>
          </cell>
          <cell r="K4641" t="str">
            <v>BUIS036401</v>
          </cell>
        </row>
        <row r="4642">
          <cell r="E4642" t="str">
            <v>KOKAR INDUSTRIAL AREA</v>
          </cell>
          <cell r="G4642">
            <v>6204866275</v>
          </cell>
          <cell r="K4642" t="str">
            <v>BVKC374486</v>
          </cell>
        </row>
        <row r="4643">
          <cell r="E4643" t="str">
            <v>HOSHIR GIDDI,RAMGARH
NEAR P.N. BANK MAIN ROAD, RAMGARH CANTT. 829122
829110</v>
          </cell>
          <cell r="G4643">
            <v>8651078549</v>
          </cell>
          <cell r="K4643" t="str">
            <v>BRHS035368</v>
          </cell>
        </row>
        <row r="4644">
          <cell r="E4644" t="str">
            <v>RAMGARH SPONGE IRON PVT LTD VILLAGE:HOSHIR GIDDI-POHAZARIBAGH(DT)JHARKHAND IND
829110</v>
          </cell>
          <cell r="G4644">
            <v>8651078549</v>
          </cell>
          <cell r="K4644" t="str">
            <v>BKCS040470</v>
          </cell>
        </row>
        <row r="4645">
          <cell r="E4645" t="str">
            <v>HOSHIR GIDDI,RAMGARH
NEAR P.N. BANK MAIN ROAD, RAMGARH CANTT. 829122
829110</v>
          </cell>
          <cell r="G4645">
            <v>8651078549</v>
          </cell>
          <cell r="K4645" t="str">
            <v>GPJS030042</v>
          </cell>
        </row>
        <row r="4646">
          <cell r="E4646" t="str">
            <v>BALIDIH, BOKARO</v>
          </cell>
          <cell r="G4646">
            <v>6287142243</v>
          </cell>
          <cell r="K4646" t="str">
            <v>BVEL062302</v>
          </cell>
        </row>
        <row r="4647">
          <cell r="E4647" t="str">
            <v>BALIDIH, BOKARO</v>
          </cell>
          <cell r="G4647">
            <v>6287142243</v>
          </cell>
          <cell r="K4647" t="str">
            <v>BVEL062291</v>
          </cell>
        </row>
        <row r="4648">
          <cell r="E4648" t="str">
            <v>ITKI MOSE, ORMAJHI</v>
          </cell>
          <cell r="G4648">
            <v>7209999899</v>
          </cell>
          <cell r="K4648" t="str">
            <v>BVJC374173</v>
          </cell>
        </row>
        <row r="4649">
          <cell r="E4649" t="str">
            <v>BALIDIH, BOKARO</v>
          </cell>
          <cell r="G4649">
            <v>6287142243</v>
          </cell>
          <cell r="K4649" t="str">
            <v>BVEL062302</v>
          </cell>
        </row>
        <row r="4650">
          <cell r="E4650" t="str">
            <v>ITKI MOSE, ORMAJHI</v>
          </cell>
          <cell r="G4650">
            <v>7209999899</v>
          </cell>
          <cell r="K4650" t="str">
            <v>BVJC374173</v>
          </cell>
        </row>
        <row r="4651">
          <cell r="E4651" t="str">
            <v>NEAR OVER BRIDGE, RANCHI</v>
          </cell>
          <cell r="G4651">
            <v>7049289596</v>
          </cell>
          <cell r="K4651" t="str">
            <v>BUCD121176</v>
          </cell>
        </row>
        <row r="4652">
          <cell r="E4652" t="str">
            <v>CHANDWA, RANCHI</v>
          </cell>
          <cell r="G4652">
            <v>8168068360</v>
          </cell>
          <cell r="K4652" t="str">
            <v>BVEC376812</v>
          </cell>
        </row>
        <row r="4653">
          <cell r="E4653" t="str">
            <v>ANGAR PATRA,DHANBAD</v>
          </cell>
          <cell r="G4653">
            <v>8106167121</v>
          </cell>
          <cell r="K4653" t="str">
            <v>BSDD161729</v>
          </cell>
        </row>
        <row r="4654">
          <cell r="E4654" t="str">
            <v>GOUNDIDIH</v>
          </cell>
          <cell r="G4654">
            <v>9304207050</v>
          </cell>
          <cell r="K4654" t="str">
            <v>BSCD161691</v>
          </cell>
        </row>
        <row r="4655">
          <cell r="E4655" t="str">
            <v>TIPUDANA RANCHI</v>
          </cell>
          <cell r="G4655">
            <v>6200592790</v>
          </cell>
          <cell r="K4655" t="str">
            <v>BPBD200118</v>
          </cell>
        </row>
        <row r="4656">
          <cell r="E4656" t="str">
            <v>BALIDIH, BOKARO</v>
          </cell>
          <cell r="G4656">
            <v>6287142243</v>
          </cell>
          <cell r="K4656" t="str">
            <v>BVEL062291</v>
          </cell>
        </row>
        <row r="4657">
          <cell r="E4657" t="str">
            <v>KHASHMAHAL PROJECT CCL, BERMO, PHUSHRO, JHARKHAND</v>
          </cell>
          <cell r="G4657">
            <v>8688007966</v>
          </cell>
          <cell r="K4657" t="str">
            <v>BULD162561</v>
          </cell>
        </row>
        <row r="4658">
          <cell r="E4658" t="str">
            <v>PITHORIA</v>
          </cell>
          <cell r="G4658">
            <v>7004130981</v>
          </cell>
          <cell r="K4658" t="str">
            <v>BWJC378445</v>
          </cell>
        </row>
        <row r="4659">
          <cell r="E4659" t="str">
            <v>BAZAR SAMITI,RAMGARH
829122</v>
          </cell>
          <cell r="G4659">
            <v>9801381719</v>
          </cell>
          <cell r="K4659" t="str">
            <v>BTGC379081</v>
          </cell>
        </row>
        <row r="4660">
          <cell r="E4660" t="str">
            <v>DHANBAD</v>
          </cell>
          <cell r="G4660">
            <v>9753849615</v>
          </cell>
          <cell r="K4660" t="str">
            <v>BVGD163308</v>
          </cell>
        </row>
        <row r="4661">
          <cell r="E4661" t="str">
            <v>NEAR P.N BANK MAIN ROAD,, RAMGARH CANTT-829122, DIST. RAMGARH
829122
BUDHAKHOP, AMBRELA, KARMA,</v>
          </cell>
          <cell r="G4661">
            <v>8978200989</v>
          </cell>
          <cell r="K4661" t="str">
            <v>BSHS038806</v>
          </cell>
        </row>
        <row r="4662">
          <cell r="E4662" t="str">
            <v>NTA LODNA, DHANBAD</v>
          </cell>
          <cell r="G4662">
            <v>7061894965</v>
          </cell>
          <cell r="K4662" t="str">
            <v>BULD162559</v>
          </cell>
        </row>
        <row r="4663">
          <cell r="E4663" t="str">
            <v>OPERATIONS OFFICER, BOKARO BP, KIND ATTEN.ABHISHEK TRIPATHI, MOB. NO.8789972995, VENDOR CODE-11970380
OPERATIONS OFFICER, BOKARO BP, KIND ATTEN.ABHISHEK TRIPATHI, MOB. NO.8789972995, VENDOR CODE-11970380
827014
LPG BOTTALING PLANT, BALIDIH,</v>
          </cell>
          <cell r="G4663">
            <v>7905252185</v>
          </cell>
          <cell r="K4663" t="str">
            <v>BOCS040147</v>
          </cell>
        </row>
        <row r="4664">
          <cell r="E4664" t="str">
            <v>DUMRI, DHANBAD</v>
          </cell>
          <cell r="G4664">
            <v>6204545670</v>
          </cell>
          <cell r="K4664" t="str">
            <v>BVHD163374</v>
          </cell>
        </row>
        <row r="4665">
          <cell r="E4665" t="str">
            <v>KODERMA</v>
          </cell>
          <cell r="G4665">
            <v>9608568443</v>
          </cell>
          <cell r="K4665" t="str">
            <v>BSAD161567</v>
          </cell>
        </row>
        <row r="4666">
          <cell r="E4666" t="str">
            <v>NEAR P.N BANK MAIN ROAD,, RAMGARH CANTT-829122, DIST. RAMGARH
829122
BUDHAKHOP, AMBRELA, KARMA,</v>
          </cell>
          <cell r="G4666">
            <v>8778200989</v>
          </cell>
          <cell r="K4666" t="str">
            <v>BQBS030091</v>
          </cell>
        </row>
        <row r="4667">
          <cell r="E4667" t="str">
            <v>CHANDIL BAZAR</v>
          </cell>
          <cell r="G4667">
            <v>9123594446</v>
          </cell>
          <cell r="K4667" t="str">
            <v>BRKD160684</v>
          </cell>
        </row>
        <row r="4668">
          <cell r="E4668" t="str">
            <v>CHAS BOKARO</v>
          </cell>
          <cell r="G4668">
            <v>7004290575</v>
          </cell>
          <cell r="K4668" t="str">
            <v>BQKD160076</v>
          </cell>
        </row>
        <row r="4669">
          <cell r="E4669" t="str">
            <v>GHATSHILA,JAMSHEDPUR</v>
          </cell>
          <cell r="G4669">
            <v>7992362488</v>
          </cell>
          <cell r="K4669" t="str">
            <v>BPED200187</v>
          </cell>
        </row>
        <row r="4670">
          <cell r="E4670" t="str">
            <v>PLOT NO 716,VILL-RUKKA,
835219</v>
          </cell>
          <cell r="G4670">
            <v>9791019799</v>
          </cell>
          <cell r="K4670" t="str">
            <v>BSKS036365</v>
          </cell>
        </row>
        <row r="4671">
          <cell r="E4671" t="str">
            <v>MADANPUR</v>
          </cell>
          <cell r="G4671">
            <v>7004213534</v>
          </cell>
          <cell r="K4671" t="str">
            <v>BSID161961</v>
          </cell>
        </row>
        <row r="4672">
          <cell r="E4672" t="str">
            <v>GANGA BRIDGE, BAKHTIYARPUR, PATNA</v>
          </cell>
          <cell r="G4672">
            <v>8544557188</v>
          </cell>
          <cell r="K4672" t="str">
            <v>BTHD120963</v>
          </cell>
        </row>
        <row r="4673">
          <cell r="E4673" t="str">
            <v>DHANBAD</v>
          </cell>
          <cell r="G4673">
            <v>9155379185</v>
          </cell>
          <cell r="K4673" t="str">
            <v>BTFD162244</v>
          </cell>
        </row>
        <row r="4674">
          <cell r="E4674" t="str">
            <v>DHANBAD</v>
          </cell>
          <cell r="G4674">
            <v>9546535031</v>
          </cell>
          <cell r="K4674" t="str">
            <v>BRAD160803</v>
          </cell>
        </row>
        <row r="4675">
          <cell r="E4675" t="str">
            <v>OPP. PUNJAB NATIONAL BANK,, BUKRU, RANCHI</v>
          </cell>
          <cell r="G4675">
            <v>9304198323</v>
          </cell>
          <cell r="K4675" t="str">
            <v>BTKD162083</v>
          </cell>
        </row>
        <row r="4676">
          <cell r="E4676" t="str">
            <v>VILL: MORWAY,, P.O. : GURPA, P.S.: FATEHPUR, DIST. GAYA  - 824232 (BIHAR)</v>
          </cell>
          <cell r="G4676">
            <v>7903301635</v>
          </cell>
          <cell r="K4676" t="str">
            <v>BSED161766</v>
          </cell>
        </row>
        <row r="4677">
          <cell r="E4677" t="str">
            <v>KAARO SUBHASH NAGAR, DHANBAD</v>
          </cell>
          <cell r="G4677">
            <v>7873039065</v>
          </cell>
          <cell r="K4677" t="str">
            <v>BTFD162243</v>
          </cell>
        </row>
        <row r="4678">
          <cell r="E4678" t="str">
            <v>SHEETLA PRASAD SINGH,, MISHRA PADA, NEAR DURGA MANDIR,, JHARIA, DHANBAD - 828 111, JHARKHAND.</v>
          </cell>
          <cell r="G4678">
            <v>7644045555</v>
          </cell>
          <cell r="K4678" t="str">
            <v>BTKD162112</v>
          </cell>
        </row>
        <row r="4679">
          <cell r="E4679" t="str">
            <v>RANCHI</v>
          </cell>
          <cell r="G4679">
            <v>6203788687</v>
          </cell>
          <cell r="K4679" t="str">
            <v>BRCD160978</v>
          </cell>
        </row>
        <row r="4680">
          <cell r="E4680" t="str">
            <v>KAMDE,RANCHI</v>
          </cell>
          <cell r="G4680">
            <v>9304197723</v>
          </cell>
          <cell r="K4680" t="str">
            <v>BSJD161438</v>
          </cell>
        </row>
        <row r="4681">
          <cell r="E4681" t="str">
            <v>SARAN BIHAR</v>
          </cell>
          <cell r="G4681">
            <v>7091096222</v>
          </cell>
          <cell r="K4681" t="str">
            <v>BSKD220275</v>
          </cell>
        </row>
        <row r="4682">
          <cell r="E4682" t="str">
            <v>MIRJA CHOWK, SAHEBGANJ</v>
          </cell>
          <cell r="G4682"/>
          <cell r="K4682" t="str">
            <v>BQBD160040</v>
          </cell>
        </row>
        <row r="4683">
          <cell r="E4683" t="str">
            <v>BEGUSARAI</v>
          </cell>
          <cell r="G4683">
            <v>9608007411</v>
          </cell>
          <cell r="K4683" t="str">
            <v>BRLD120253</v>
          </cell>
        </row>
        <row r="4684">
          <cell r="E4684" t="str">
            <v>FLAT NO. 300, BLOCK - A, MP SRIRAM, CHHOTA GAMHARIA, P.S. - GAMHARIA, DIST.- SARAIKELA KHARSAWAN</v>
          </cell>
          <cell r="G4684">
            <v>7600700814</v>
          </cell>
          <cell r="K4684" t="str">
            <v>BRGL151464</v>
          </cell>
        </row>
        <row r="4685">
          <cell r="E4685" t="str">
            <v>FLAT NO. 300, BLOCK - A, MP SRIRAM, CHHOTA GAMHARIA, P.S. - GAMHARIA, DIST.- SARAIKELA KHARSAWAN</v>
          </cell>
          <cell r="G4685">
            <v>7900700814</v>
          </cell>
          <cell r="K4685" t="str">
            <v>BRGL151468</v>
          </cell>
        </row>
        <row r="4686">
          <cell r="E4686" t="str">
            <v>FLAT NO. 300, BLOCK - A, MP SRIRAM, CHHOTA GAMHARIA, P.S. - GAMHARIA, DIST.- SARAIKELA KHARSAWAN</v>
          </cell>
          <cell r="G4686">
            <v>7600700814</v>
          </cell>
          <cell r="K4686" t="str">
            <v>BSEL152195</v>
          </cell>
        </row>
        <row r="4687">
          <cell r="E4687" t="str">
            <v>CHATRA</v>
          </cell>
          <cell r="G4687">
            <v>7735729983</v>
          </cell>
          <cell r="K4687" t="str">
            <v>BHKS030073</v>
          </cell>
        </row>
        <row r="4688">
          <cell r="E4688" t="str">
            <v>RAMPUR</v>
          </cell>
          <cell r="G4688">
            <v>9546884024</v>
          </cell>
          <cell r="K4688" t="str">
            <v>BSAD120582</v>
          </cell>
        </row>
        <row r="4689">
          <cell r="E4689" t="str">
            <v>1ST FLOOR, RAJ GLASS AND HARDWARE, PISKA MORE, PO - HEHEL, RATU ROAD, RANCHI
1ST FLOOR, RAJ GLASS AND HARDWARE, PISKA MORE, PO - HEHEL, RATU ROAD, RANCHI
835214</v>
          </cell>
          <cell r="G4689">
            <v>7999889085</v>
          </cell>
          <cell r="K4689" t="str">
            <v>BTES044431</v>
          </cell>
        </row>
        <row r="4690">
          <cell r="E4690" t="str">
            <v>FLAT NO. 300, BLOCK - A, MP SRIRAM, CHHOTA GAMHARIA, P.S. - GAMHARIA, DIST.- SARAIKELA KHARSAWAN</v>
          </cell>
          <cell r="G4690">
            <v>7900700814</v>
          </cell>
          <cell r="K4690" t="str">
            <v>BRBL150944</v>
          </cell>
        </row>
        <row r="4691">
          <cell r="E4691" t="str">
            <v>NAGRI,RANCHI
835202
RANCHI</v>
          </cell>
          <cell r="G4691">
            <v>9361106140</v>
          </cell>
          <cell r="K4691" t="str">
            <v>BMJS040004</v>
          </cell>
        </row>
        <row r="4692">
          <cell r="E4692" t="str">
            <v>CHUTIA, RANCHI</v>
          </cell>
          <cell r="G4692">
            <v>8757478359</v>
          </cell>
          <cell r="K4692" t="str">
            <v>BUFD162814</v>
          </cell>
        </row>
        <row r="4693">
          <cell r="E4693" t="str">
            <v>CHUTIA, RANCHI</v>
          </cell>
          <cell r="G4693">
            <v>9334745488</v>
          </cell>
          <cell r="K4693" t="str">
            <v>BMED200254</v>
          </cell>
        </row>
        <row r="4694">
          <cell r="E4694" t="str">
            <v>NAGARI,</v>
          </cell>
          <cell r="G4694">
            <v>9204493506</v>
          </cell>
          <cell r="K4694" t="str">
            <v>BLGS040582</v>
          </cell>
        </row>
        <row r="4695">
          <cell r="E4695" t="str">
            <v>NAGARI,</v>
          </cell>
          <cell r="G4695">
            <v>9204493506</v>
          </cell>
          <cell r="K4695" t="str">
            <v>BILS030211</v>
          </cell>
        </row>
        <row r="4696">
          <cell r="E4696" t="str">
            <v>LODNA</v>
          </cell>
          <cell r="G4696">
            <v>8434845555</v>
          </cell>
          <cell r="K4696" t="str">
            <v>BTCD162149</v>
          </cell>
        </row>
        <row r="4697">
          <cell r="E4697" t="str">
            <v>GROUND FLOOR, 8H AND 81, NATION PRINTERS, NAMKUM INDUSTRIAL AREA,, LOWADIH, RANCHI
GROUND FLOOR, 8H AND 81, NATION PRINTERS, NAMKUM INDUSTRIAL AREA,, LOWADIH, RANCHI
834010</v>
          </cell>
          <cell r="G4697">
            <v>9386895542</v>
          </cell>
          <cell r="K4697" t="str">
            <v>BRCC372871</v>
          </cell>
        </row>
        <row r="4698">
          <cell r="E4698" t="str">
            <v>SARNATOLI,ANGADA,RANCHI
835222</v>
          </cell>
          <cell r="G4698">
            <v>9661709593</v>
          </cell>
          <cell r="K4698" t="str">
            <v>BSAF110719</v>
          </cell>
        </row>
        <row r="4699">
          <cell r="E4699" t="str">
            <v>AT. BONGABAR, SANDI, RAMGARH, AMC  FROM 1-8-2019 TO 30-7-2020
829122
SANDI ,</v>
          </cell>
          <cell r="G4699">
            <v>7004377365</v>
          </cell>
          <cell r="K4699" t="str">
            <v>BLGS040605</v>
          </cell>
        </row>
        <row r="4700">
          <cell r="E4700" t="str">
            <v>RAMGARH</v>
          </cell>
          <cell r="G4700">
            <v>7004377365</v>
          </cell>
          <cell r="K4700" t="str">
            <v>BLES031356</v>
          </cell>
        </row>
        <row r="4701">
          <cell r="E4701" t="str">
            <v>HORHAP ROAD, MAHILONG, RANCHI
835103</v>
          </cell>
          <cell r="G4701">
            <v>9708039203</v>
          </cell>
          <cell r="K4701" t="str">
            <v>BRIC374329</v>
          </cell>
        </row>
        <row r="4702">
          <cell r="E4702" t="str">
            <v>KOKAR INDUSTRIAL AREA</v>
          </cell>
          <cell r="G4702">
            <v>8404802065</v>
          </cell>
          <cell r="K4702" t="str">
            <v>BVKC374486</v>
          </cell>
        </row>
        <row r="4703">
          <cell r="E4703" t="str">
            <v>KOKAR INDUSTRIAL AREA,RANCHI
834001</v>
          </cell>
          <cell r="G4703">
            <v>8709740232</v>
          </cell>
          <cell r="K4703" t="str">
            <v>BPIC370386</v>
          </cell>
        </row>
        <row r="4704">
          <cell r="E4704" t="str">
            <v>LODNA</v>
          </cell>
          <cell r="G4704">
            <v>7644045555</v>
          </cell>
          <cell r="K4704" t="str">
            <v>BVID163401</v>
          </cell>
        </row>
        <row r="4705">
          <cell r="E4705" t="str">
            <v>TETULWARI</v>
          </cell>
          <cell r="G4705">
            <v>9835747740</v>
          </cell>
          <cell r="K4705" t="str">
            <v>BTGD162296</v>
          </cell>
        </row>
        <row r="4706">
          <cell r="E4706" t="str">
            <v>NICHITPUR</v>
          </cell>
          <cell r="G4706">
            <v>6202894138</v>
          </cell>
          <cell r="K4706" t="str">
            <v>BUCD162696</v>
          </cell>
        </row>
        <row r="4707">
          <cell r="E4707" t="str">
            <v>PLOT NO. 148, TUPUDANA, INDUSTRIAL AREA, HATIA, RANCHI
834002</v>
          </cell>
          <cell r="G4707">
            <v>9534249500</v>
          </cell>
          <cell r="K4707" t="str">
            <v>BRIS035838</v>
          </cell>
        </row>
        <row r="4708">
          <cell r="E4708" t="str">
            <v>GOBINDPUR INDUSTRIAL AREA, DHANBAD</v>
          </cell>
          <cell r="G4708">
            <v>9113169811</v>
          </cell>
          <cell r="K4708" t="str">
            <v>BVJS047894</v>
          </cell>
        </row>
        <row r="4709">
          <cell r="E4709" t="str">
            <v>RAJA PUR</v>
          </cell>
          <cell r="G4709">
            <v>7033918145</v>
          </cell>
          <cell r="K4709" t="str">
            <v>BRHD161312</v>
          </cell>
        </row>
        <row r="4710">
          <cell r="E4710" t="str">
            <v>RATANPUR,DHANBAD
828109</v>
          </cell>
          <cell r="G4710">
            <v>9031029501</v>
          </cell>
          <cell r="K4710" t="str">
            <v>BTLC377584</v>
          </cell>
        </row>
        <row r="4711">
          <cell r="E4711" t="str">
            <v>501, H.NO.3-4-136/B., ROYAL ASHOK, RESIDENCY , BARKATPURA, HYDERABAD, TELANGANA - 500027</v>
          </cell>
          <cell r="G4711">
            <v>7033918145</v>
          </cell>
          <cell r="K4711" t="str">
            <v>BTJD162045</v>
          </cell>
        </row>
        <row r="4712">
          <cell r="E4712" t="str">
            <v>KAARO SUBHASH NAGAR, DHANBAD</v>
          </cell>
          <cell r="G4712">
            <v>7873039065</v>
          </cell>
          <cell r="K4712" t="str">
            <v>BTFD162243</v>
          </cell>
        </row>
        <row r="4713">
          <cell r="E4713" t="str">
            <v>DEOGHAR,JHARKHAND</v>
          </cell>
          <cell r="G4713">
            <v>7250504785</v>
          </cell>
          <cell r="K4713" t="str">
            <v>BQED160222</v>
          </cell>
        </row>
        <row r="4714">
          <cell r="E4714" t="str">
            <v>C/O L&amp;T LIMITED, CHOUSA, BUXER, BIHAR</v>
          </cell>
          <cell r="G4714">
            <v>8349233066</v>
          </cell>
          <cell r="K4714" t="str">
            <v>BVDD163198</v>
          </cell>
        </row>
        <row r="4715">
          <cell r="E4715" t="str">
            <v>NICHITPUR</v>
          </cell>
          <cell r="G4715">
            <v>7903412157</v>
          </cell>
          <cell r="K4715" t="str">
            <v>BUCD162696</v>
          </cell>
        </row>
        <row r="4716">
          <cell r="E4716" t="str">
            <v>RAMGARH,JHARKHAND
825101
RAMGARH</v>
          </cell>
          <cell r="G4716">
            <v>9431394348</v>
          </cell>
          <cell r="K4716" t="str">
            <v>BSGC376585</v>
          </cell>
        </row>
        <row r="4717">
          <cell r="E4717" t="str">
            <v>PIPRA</v>
          </cell>
          <cell r="G4717">
            <v>9304258268</v>
          </cell>
          <cell r="K4717" t="str">
            <v>BVIL161084</v>
          </cell>
        </row>
        <row r="4718">
          <cell r="E4718" t="str">
            <v>KHASHMAHAL PROJECT CCL, BERMO, PHUSHRO, JHARKHAND</v>
          </cell>
          <cell r="G4718">
            <v>8210106692</v>
          </cell>
          <cell r="K4718" t="str">
            <v>BULD162561</v>
          </cell>
        </row>
        <row r="4719">
          <cell r="E4719" t="str">
            <v>DEOGHAR,JHARKHAND</v>
          </cell>
          <cell r="G4719">
            <v>7250504785</v>
          </cell>
          <cell r="K4719" t="str">
            <v>BQED160222</v>
          </cell>
        </row>
        <row r="4720">
          <cell r="E4720" t="str">
            <v>TATISIWAI INDUSTRIAL AREA, RANCHI
835103
TATISILWAY RANCHI</v>
          </cell>
          <cell r="G4720">
            <v>7488690694</v>
          </cell>
          <cell r="K4720" t="str">
            <v>BSAS036958</v>
          </cell>
        </row>
        <row r="4721">
          <cell r="E4721" t="str">
            <v>KUSAMDHANGA, PAKUR</v>
          </cell>
          <cell r="G4721">
            <v>9525750010</v>
          </cell>
          <cell r="K4721" t="str">
            <v>BQGD220072</v>
          </cell>
        </row>
        <row r="4722">
          <cell r="E4722" t="str">
            <v>BANK MOTE, GOMIA</v>
          </cell>
          <cell r="G4722">
            <v>8383051462</v>
          </cell>
          <cell r="K4722" t="str">
            <v>BWJC378352</v>
          </cell>
        </row>
        <row r="4723">
          <cell r="E4723" t="str">
            <v>DHANBAD</v>
          </cell>
          <cell r="G4723">
            <v>9753849615</v>
          </cell>
          <cell r="K4723" t="str">
            <v>BVGD163308</v>
          </cell>
        </row>
        <row r="4724">
          <cell r="E4724" t="str">
            <v>CHAPAPUR, NIRSA</v>
          </cell>
          <cell r="G4724">
            <v>9931921808</v>
          </cell>
          <cell r="K4724" t="str">
            <v>BQED160215</v>
          </cell>
        </row>
        <row r="4725">
          <cell r="E4725" t="str">
            <v>PHOOLWARTAND, DHANBAD</v>
          </cell>
          <cell r="G4725">
            <v>8106167121</v>
          </cell>
          <cell r="K4725" t="str">
            <v>BVHD163393</v>
          </cell>
        </row>
        <row r="4726">
          <cell r="E4726" t="str">
            <v>GROUND AND 1 ST FLOOR, BESIDE DAINIK BHASKAR, GOVINDPUR ROAD, DIST :- DHANBAD
GROUND AND 1 ST FLOOR, BESIDE DAINIK BHASKAR, GOVINDPUR ROAD, DIST :- DHANBAD
828109</v>
          </cell>
          <cell r="G4726">
            <v>8789061377</v>
          </cell>
          <cell r="K4726" t="str">
            <v>BRES034488</v>
          </cell>
        </row>
        <row r="4727">
          <cell r="E4727" t="str">
            <v>RAJAPUR, DHANBAD</v>
          </cell>
          <cell r="G4727">
            <v>7667544644</v>
          </cell>
          <cell r="K4727" t="str">
            <v>BQKD200046</v>
          </cell>
        </row>
        <row r="4728">
          <cell r="E4728" t="str">
            <v>KATRAS, DHANBAD</v>
          </cell>
          <cell r="G4728">
            <v>9570178502</v>
          </cell>
          <cell r="K4728" t="str">
            <v>BRBD160892</v>
          </cell>
        </row>
        <row r="4729">
          <cell r="E4729" t="str">
            <v>KATRAS, DHANBAD</v>
          </cell>
          <cell r="G4729">
            <v>9570178502</v>
          </cell>
          <cell r="K4729" t="str">
            <v>BRBD160901</v>
          </cell>
        </row>
        <row r="4730">
          <cell r="E4730" t="str">
            <v>RAMGARH,JHARKHAND
829122</v>
          </cell>
          <cell r="G4730">
            <v>9934012694</v>
          </cell>
          <cell r="K4730" t="str">
            <v>BOKC370020</v>
          </cell>
        </row>
        <row r="4731">
          <cell r="E4731" t="str">
            <v>TETULMARI, DHANBAD</v>
          </cell>
          <cell r="G4731">
            <v>6299066158</v>
          </cell>
          <cell r="K4731" t="str">
            <v>BVLD163040</v>
          </cell>
        </row>
        <row r="4732">
          <cell r="E4732" t="str">
            <v>KATRAS, DHANBAD</v>
          </cell>
          <cell r="G4732">
            <v>62990166158</v>
          </cell>
          <cell r="K4732" t="str">
            <v>BSKD161477</v>
          </cell>
        </row>
        <row r="4733">
          <cell r="E4733" t="str">
            <v>KATHITAR,RANCHI
KATHITAR,RANCHI
834004
KATHITAR,</v>
          </cell>
          <cell r="G4733">
            <v>6203721760</v>
          </cell>
          <cell r="K4733" t="str">
            <v>BSFC376340</v>
          </cell>
        </row>
        <row r="4734">
          <cell r="E4734" t="str">
            <v>RAMGARH,JHARKHAND
825101
RAMGARH</v>
          </cell>
          <cell r="G4734">
            <v>6299651760</v>
          </cell>
          <cell r="K4734" t="str">
            <v>BSGC376585</v>
          </cell>
        </row>
        <row r="4735">
          <cell r="E4735" t="str">
            <v>JHUMRI TILAIYA</v>
          </cell>
          <cell r="G4735">
            <v>7061052272</v>
          </cell>
          <cell r="K4735" t="str">
            <v>GPLS030458</v>
          </cell>
        </row>
        <row r="4736">
          <cell r="E4736" t="str">
            <v>BARKAGAON</v>
          </cell>
          <cell r="G4736">
            <v>8210586801</v>
          </cell>
          <cell r="K4736" t="str">
            <v>GOKS040081</v>
          </cell>
        </row>
        <row r="4737">
          <cell r="E4737" t="str">
            <v>MOKAMA, BIHAR</v>
          </cell>
          <cell r="G4737">
            <v>9279265464</v>
          </cell>
          <cell r="K4737" t="str">
            <v>AUKD230777</v>
          </cell>
        </row>
        <row r="4738">
          <cell r="E4738" t="str">
            <v>BASTAKOLA, DHANBAD</v>
          </cell>
          <cell r="G4738">
            <v>9553053031</v>
          </cell>
          <cell r="K4738" t="str">
            <v>BUKD162535</v>
          </cell>
        </row>
        <row r="4739">
          <cell r="E4739" t="str">
            <v>KWJAMA COLLIERY, DHANBAD</v>
          </cell>
          <cell r="G4739">
            <v>9044360313</v>
          </cell>
          <cell r="K4739" t="str">
            <v>BVCD163165</v>
          </cell>
        </row>
        <row r="4740">
          <cell r="E4740" t="str">
            <v>C/O PALANIAPPAN CHANDRAN, KATTUKOTTAL, PAITHUR, P.O- ATTUR TK,SALEM, TAMILNADU</v>
          </cell>
          <cell r="G4740">
            <v>8809338483</v>
          </cell>
          <cell r="K4740" t="str">
            <v>BSAD230391</v>
          </cell>
        </row>
        <row r="4741">
          <cell r="E4741" t="str">
            <v>RAHELA, DALTAINGANJ</v>
          </cell>
          <cell r="G4741">
            <v>9006084471</v>
          </cell>
          <cell r="K4741" t="str">
            <v>BUGS035879</v>
          </cell>
        </row>
        <row r="4742">
          <cell r="E4742" t="str">
            <v>HAZARIBAGH</v>
          </cell>
          <cell r="G4742">
            <v>7634075471</v>
          </cell>
          <cell r="K4742" t="str">
            <v>BUKC370622</v>
          </cell>
        </row>
        <row r="4743">
          <cell r="E4743" t="str">
            <v>BANDHIYA RAOD, NAGRI RANCHI, MOB.8709325266
834006
BANDHIYA ROAD, NAGARI RANCHI</v>
          </cell>
          <cell r="G4743">
            <v>9110033639</v>
          </cell>
          <cell r="K4743" t="str">
            <v>BLFS040558</v>
          </cell>
        </row>
        <row r="4744">
          <cell r="E4744" t="str">
            <v>BERA, DHANBAD</v>
          </cell>
          <cell r="G4744">
            <v>7632886938</v>
          </cell>
          <cell r="K4744" t="str">
            <v>BUAD162634</v>
          </cell>
        </row>
        <row r="4745">
          <cell r="E4745" t="str">
            <v>NAGRI,RANCHI
835202
RANCHI</v>
          </cell>
          <cell r="G4745">
            <v>6200132241</v>
          </cell>
          <cell r="K4745" t="str">
            <v>BRIS035698</v>
          </cell>
        </row>
        <row r="4746">
          <cell r="E4746" t="str">
            <v>SUNDER NAGAR, JAMSHEDPUR</v>
          </cell>
          <cell r="G4746">
            <v>9437548852</v>
          </cell>
          <cell r="K4746" t="str">
            <v>BVED163235</v>
          </cell>
        </row>
        <row r="4747">
          <cell r="E4747" t="str">
            <v>SUNDER NAGAR, JAMSHEDPUR</v>
          </cell>
          <cell r="G4747">
            <v>9437548852</v>
          </cell>
          <cell r="K4747" t="str">
            <v>BVED163231</v>
          </cell>
        </row>
        <row r="4748">
          <cell r="E4748" t="str">
            <v>KODERMA</v>
          </cell>
          <cell r="G4748">
            <v>9631639052</v>
          </cell>
          <cell r="K4748" t="str">
            <v>BVFS049421</v>
          </cell>
        </row>
        <row r="4749">
          <cell r="E4749" t="str">
            <v>KODERMA</v>
          </cell>
          <cell r="G4749">
            <v>9631639052</v>
          </cell>
          <cell r="K4749" t="str">
            <v>BVFS049407</v>
          </cell>
        </row>
        <row r="4750">
          <cell r="E4750" t="str">
            <v>KODERMA</v>
          </cell>
          <cell r="G4750">
            <v>9631639052</v>
          </cell>
          <cell r="K4750" t="str">
            <v>BVFS049398</v>
          </cell>
        </row>
        <row r="4751">
          <cell r="E4751" t="str">
            <v>KODERMA</v>
          </cell>
          <cell r="G4751">
            <v>9631639052</v>
          </cell>
          <cell r="K4751" t="str">
            <v>BVFS049426</v>
          </cell>
        </row>
        <row r="4752">
          <cell r="E4752" t="str">
            <v>DHANBAD JHARKHAND</v>
          </cell>
          <cell r="G4752">
            <v>7623886938</v>
          </cell>
          <cell r="K4752" t="str">
            <v>BQKD160115</v>
          </cell>
        </row>
        <row r="4753">
          <cell r="E4753" t="str">
            <v>ANKIT KUMAR SONTHALIA, R.N. BOSE ROAD, SATSANG GATE, NEAR HANUMAN MANDIR,, PURANDAHA, DEOGHAR, DIST. DUMKA,, JHARKHAND</v>
          </cell>
          <cell r="G4753">
            <v>6200191036</v>
          </cell>
          <cell r="K4753" t="str">
            <v>BSID161979</v>
          </cell>
        </row>
        <row r="4754">
          <cell r="E4754" t="str">
            <v>NAGRI,RANCHI
835202
RANCHI</v>
          </cell>
          <cell r="G4754">
            <v>7004248429</v>
          </cell>
          <cell r="K4754" t="str">
            <v>BRIS035698</v>
          </cell>
        </row>
        <row r="4755">
          <cell r="E4755" t="str">
            <v>BEGUSARAI</v>
          </cell>
          <cell r="G4755">
            <v>7738515781</v>
          </cell>
          <cell r="K4755" t="str">
            <v>BWJL153355</v>
          </cell>
        </row>
        <row r="4756">
          <cell r="E4756" t="str">
            <v>BHOWRA, DHANBAD</v>
          </cell>
          <cell r="G4756">
            <v>7667061376</v>
          </cell>
          <cell r="K4756" t="str">
            <v>BVJD162958</v>
          </cell>
        </row>
        <row r="4757">
          <cell r="E4757" t="str">
            <v>Chiturdih, Dhanbad.</v>
          </cell>
          <cell r="G4757">
            <v>9931519401</v>
          </cell>
          <cell r="K4757" t="str">
            <v>BTDD162192</v>
          </cell>
        </row>
        <row r="4758">
          <cell r="E4758" t="str">
            <v>GODDA</v>
          </cell>
          <cell r="G4758">
            <v>9835363702</v>
          </cell>
          <cell r="K4758" t="str">
            <v>GOKL150021</v>
          </cell>
        </row>
        <row r="4759">
          <cell r="E4759" t="str">
            <v>TATULMURI, DHANBAD</v>
          </cell>
          <cell r="G4759">
            <v>9985445152</v>
          </cell>
          <cell r="K4759" t="str">
            <v>BUGD162852</v>
          </cell>
        </row>
        <row r="4760">
          <cell r="E4760" t="str">
            <v>JHUMRI TILAIYA</v>
          </cell>
          <cell r="G4760">
            <v>7061052272</v>
          </cell>
          <cell r="K4760" t="str">
            <v>GPLS030458</v>
          </cell>
        </row>
        <row r="4761">
          <cell r="E4761" t="str">
            <v>C/O - PREM PRAKASH AGARWAL, OPP - HILLVIEW FUEL STATION, GODHUR, P.O - KUSUNDA, DHANBAD</v>
          </cell>
          <cell r="G4761">
            <v>6202894138</v>
          </cell>
          <cell r="K4761" t="str">
            <v>BTED162217</v>
          </cell>
        </row>
        <row r="4762">
          <cell r="E4762" t="str">
            <v>PIPRA</v>
          </cell>
          <cell r="G4762">
            <v>9304258268</v>
          </cell>
          <cell r="K4762" t="str">
            <v>BVIL161084</v>
          </cell>
        </row>
        <row r="4763">
          <cell r="E4763" t="str">
            <v>PIPRA</v>
          </cell>
          <cell r="G4763">
            <v>9304258268</v>
          </cell>
          <cell r="K4763" t="str">
            <v>BVIL161084</v>
          </cell>
        </row>
        <row r="4764">
          <cell r="E4764" t="str">
            <v>KATRAS, DHANBAD</v>
          </cell>
          <cell r="G4764">
            <v>8210106692</v>
          </cell>
          <cell r="K4764" t="str">
            <v>BRBD160892</v>
          </cell>
        </row>
        <row r="4765">
          <cell r="E4765" t="str">
            <v>SONARDHI</v>
          </cell>
          <cell r="G4765">
            <v>8210106692</v>
          </cell>
          <cell r="K4765" t="str">
            <v>BRCD160940</v>
          </cell>
        </row>
        <row r="4766">
          <cell r="E4766" t="str">
            <v>TATISILWI, RANCHI</v>
          </cell>
          <cell r="G4766">
            <v>9572693497</v>
          </cell>
          <cell r="K4766" t="str">
            <v>BSDD120664</v>
          </cell>
        </row>
        <row r="4767">
          <cell r="E4767" t="str">
            <v>RANCHI</v>
          </cell>
          <cell r="G4767">
            <v>9973686006</v>
          </cell>
          <cell r="K4767" t="str">
            <v>BLIS031950</v>
          </cell>
        </row>
        <row r="4768">
          <cell r="E4768" t="str">
            <v>SIDRAUL, NAMKUM, RANCHI
834010
SIDRAUL, NAMKUM, RANCHI</v>
          </cell>
          <cell r="G4768">
            <v>9993423669</v>
          </cell>
          <cell r="K4768" t="str">
            <v>UOIS030128</v>
          </cell>
        </row>
        <row r="4769">
          <cell r="E4769" t="str">
            <v>KWJAMA COLLIERY, DHANBAD</v>
          </cell>
          <cell r="G4769">
            <v>9044360313</v>
          </cell>
          <cell r="K4769" t="str">
            <v>BVCD163165</v>
          </cell>
        </row>
        <row r="4770">
          <cell r="E4770" t="str">
            <v>KUJAMA</v>
          </cell>
          <cell r="G4770">
            <v>9065764901</v>
          </cell>
          <cell r="K4770" t="str">
            <v>BVJD162972</v>
          </cell>
        </row>
        <row r="4771">
          <cell r="E4771" t="str">
            <v>SADAR HOSPITAL, BOKARO, C/O L &amp; T LTD. BOKARO, JHARKHAND
C/O L &amp; T LTD. BOKARO, JHARKHAND
000000</v>
          </cell>
          <cell r="G4771">
            <v>7654511684</v>
          </cell>
          <cell r="K4771" t="str">
            <v>BUBS045931</v>
          </cell>
        </row>
        <row r="4772">
          <cell r="E4772" t="str">
            <v>BARKAGAOUN, HAZARIBAGH</v>
          </cell>
          <cell r="G4772">
            <v>7070010949</v>
          </cell>
          <cell r="K4772" t="str">
            <v>BVED231179</v>
          </cell>
        </row>
        <row r="4773">
          <cell r="E4773" t="str">
            <v>SADAR HOSPITAL, BOKARO, C/O L &amp; T LTD. BOKARO, JHARKHAND
C/O L &amp; T LTD. BOKARO, JHARKHAND
000000</v>
          </cell>
          <cell r="G4773">
            <v>7654511684</v>
          </cell>
          <cell r="K4773" t="str">
            <v>BUBS045933</v>
          </cell>
        </row>
        <row r="4774">
          <cell r="E4774" t="str">
            <v>DALADALI, RANCHI</v>
          </cell>
          <cell r="G4774">
            <v>9934169368</v>
          </cell>
          <cell r="K4774" t="str">
            <v>BVKD163010</v>
          </cell>
        </row>
        <row r="4775">
          <cell r="E4775" t="str">
            <v>BHULI, DHANBAD</v>
          </cell>
          <cell r="G4775">
            <v>9122090175</v>
          </cell>
          <cell r="K4775" t="str">
            <v>BVFS039912</v>
          </cell>
        </row>
        <row r="4776">
          <cell r="E4776" t="str">
            <v>GIRIDIH</v>
          </cell>
          <cell r="G4776">
            <v>8051062502</v>
          </cell>
          <cell r="K4776" t="str">
            <v>BVKS048107</v>
          </cell>
        </row>
        <row r="4777">
          <cell r="E4777" t="str">
            <v>JHUMRI TELAIYA, KODARMA
825409</v>
          </cell>
          <cell r="G4777">
            <v>9455305544</v>
          </cell>
          <cell r="K4777" t="str">
            <v>BSBC375530</v>
          </cell>
        </row>
        <row r="4778">
          <cell r="E4778" t="str">
            <v>KOKAR INDUSTRIAL AREA,RANCHI
834001</v>
          </cell>
          <cell r="G4778">
            <v>8709740232</v>
          </cell>
          <cell r="K4778" t="str">
            <v>BPIC370386</v>
          </cell>
        </row>
        <row r="4779">
          <cell r="E4779" t="str">
            <v>9.P .INDUSTRIAL AREA  KOKAR, RANCHI, TIN-20880200515
9.P .INDUSTRIAL AREA  KOKAR, RANCHI, TIN-20880200515
834001</v>
          </cell>
          <cell r="G4779">
            <v>9431101890</v>
          </cell>
          <cell r="K4779" t="str">
            <v>BTGS031205</v>
          </cell>
        </row>
        <row r="4780">
          <cell r="E4780" t="str">
            <v>BARIATU,RANCHI
834009
BARIATU</v>
          </cell>
          <cell r="G4780">
            <v>9504901125</v>
          </cell>
          <cell r="K4780" t="str">
            <v>BQLC370193</v>
          </cell>
        </row>
        <row r="4781">
          <cell r="E4781" t="str">
            <v>NTPC, TANDWA</v>
          </cell>
          <cell r="G4781">
            <v>9572289274</v>
          </cell>
          <cell r="K4781" t="str">
            <v>BUFL152860</v>
          </cell>
        </row>
        <row r="4782">
          <cell r="E4782" t="str">
            <v>ANA COLLERY, DHANBAD</v>
          </cell>
          <cell r="G4782">
            <v>9789102930</v>
          </cell>
          <cell r="K4782" t="str">
            <v>BPKD200025</v>
          </cell>
        </row>
        <row r="4783">
          <cell r="E4783" t="str">
            <v>KASUNDA</v>
          </cell>
          <cell r="G4783">
            <v>7091340232</v>
          </cell>
          <cell r="K4783" t="str">
            <v>BTCD162162</v>
          </cell>
        </row>
        <row r="4784">
          <cell r="E4784" t="str">
            <v>DHANBAD</v>
          </cell>
          <cell r="G4784">
            <v>9155379185</v>
          </cell>
          <cell r="K4784" t="str">
            <v>BTFD162244</v>
          </cell>
        </row>
        <row r="4785">
          <cell r="E4785" t="str">
            <v>LODNA</v>
          </cell>
          <cell r="G4785">
            <v>9694641834</v>
          </cell>
          <cell r="K4785" t="str">
            <v>BTCD162149</v>
          </cell>
        </row>
        <row r="4786">
          <cell r="E4786" t="str">
            <v>TOPA MINES, RAMGARH</v>
          </cell>
          <cell r="G4786">
            <v>7857919459</v>
          </cell>
          <cell r="K4786" t="str">
            <v>BSKD161467</v>
          </cell>
        </row>
        <row r="4787">
          <cell r="E4787" t="str">
            <v>FLAT NO. 300, BLOCK - A, MP SRIRAM, CHHOTA GAMHARIA, P.S. - GAMHARIA, DIST.- SARAIKELA KHARSAWAN</v>
          </cell>
          <cell r="G4787">
            <v>7900700814</v>
          </cell>
          <cell r="K4787" t="str">
            <v>BRBL150944</v>
          </cell>
        </row>
        <row r="4788">
          <cell r="E4788" t="str">
            <v>DHANBAD, CONT PERSON :MR. IKTEKHAR AHMAD, PH.NO :9431316718</v>
          </cell>
          <cell r="G4788">
            <v>8210567144</v>
          </cell>
          <cell r="K4788" t="str">
            <v>BQID160499</v>
          </cell>
        </row>
        <row r="4789">
          <cell r="E4789" t="str">
            <v>SARNATOLI,ANGADA,RANCHI
835222</v>
          </cell>
          <cell r="G4789">
            <v>9661709593</v>
          </cell>
          <cell r="K4789" t="str">
            <v>BSAF110719</v>
          </cell>
        </row>
        <row r="4790">
          <cell r="E4790" t="str">
            <v>DHANBAD, CONT PERSON :MR. IKTEKHAR AHMAD, PH.NO :9431316718</v>
          </cell>
          <cell r="G4790">
            <v>7371858481</v>
          </cell>
          <cell r="K4790" t="str">
            <v>BSKD161462</v>
          </cell>
        </row>
        <row r="4791">
          <cell r="E4791" t="str">
            <v>BHULI, DHANBAD</v>
          </cell>
          <cell r="G4791">
            <v>7541046561</v>
          </cell>
          <cell r="K4791" t="str">
            <v>BVFS039912</v>
          </cell>
        </row>
        <row r="4792">
          <cell r="E4792" t="str">
            <v>SARWARI, ASANSOL, WB</v>
          </cell>
          <cell r="G4792">
            <v>9431101890</v>
          </cell>
          <cell r="K4792" t="str">
            <v>BPLF150007</v>
          </cell>
        </row>
        <row r="4793">
          <cell r="E4793" t="str">
            <v>ARGADA ROAD, BINJHAR, P.O. - MARAR, RAMGARH
829117</v>
          </cell>
          <cell r="G4793">
            <v>8294504879</v>
          </cell>
          <cell r="K4793" t="str">
            <v>BSCS037449</v>
          </cell>
        </row>
        <row r="4794">
          <cell r="E4794" t="str">
            <v>C/O - ANUP JOSHI, DOCTOR GALI FRONT OF JAIN MANDIR, P.O. - JHUMRITILAIYA, KODERMA</v>
          </cell>
          <cell r="G4794">
            <v>9762686087</v>
          </cell>
          <cell r="K4794" t="str">
            <v>BSBD161629</v>
          </cell>
        </row>
        <row r="4795">
          <cell r="E4795" t="str">
            <v>CHOUSA, BUXER, BIHAR</v>
          </cell>
          <cell r="G4795">
            <v>6391527243</v>
          </cell>
          <cell r="K4795" t="str">
            <v>BUHL152930</v>
          </cell>
        </row>
        <row r="4796">
          <cell r="E4796" t="str">
            <v>RAMGRAH CANTT</v>
          </cell>
          <cell r="G4796">
            <v>8340759746</v>
          </cell>
          <cell r="K4796" t="str">
            <v>BVAC375345</v>
          </cell>
        </row>
        <row r="4797">
          <cell r="E4797" t="str">
            <v>ASANSOL</v>
          </cell>
          <cell r="G4797">
            <v>9431101890</v>
          </cell>
          <cell r="K4797" t="str">
            <v>BSES034494</v>
          </cell>
        </row>
        <row r="4798">
          <cell r="E4798" t="str">
            <v>MUNGMA</v>
          </cell>
          <cell r="G4798">
            <v>8466063949</v>
          </cell>
          <cell r="K4798" t="str">
            <v>BNLS030573</v>
          </cell>
        </row>
        <row r="4799">
          <cell r="E4799" t="str">
            <v>BHOWRA</v>
          </cell>
          <cell r="G4799">
            <v>942744640</v>
          </cell>
          <cell r="K4799" t="str">
            <v>BULD162568</v>
          </cell>
        </row>
        <row r="4800">
          <cell r="E4800" t="str">
            <v>BERA, DHANBAD</v>
          </cell>
          <cell r="G4800">
            <v>7632886938</v>
          </cell>
          <cell r="K4800" t="str">
            <v>BUAD162634</v>
          </cell>
        </row>
        <row r="4801">
          <cell r="E4801" t="str">
            <v>BASTAWLA DHANBAD</v>
          </cell>
          <cell r="G4801">
            <v>8658834483</v>
          </cell>
          <cell r="K4801" t="str">
            <v>BUAD162630</v>
          </cell>
        </row>
        <row r="4802">
          <cell r="E4802" t="str">
            <v>DHANBAD JHARKHAND</v>
          </cell>
          <cell r="G4802">
            <v>7623886938</v>
          </cell>
          <cell r="K4802" t="str">
            <v>BQKD160115</v>
          </cell>
        </row>
        <row r="4803">
          <cell r="E4803" t="str">
            <v>LODNA</v>
          </cell>
          <cell r="G4803">
            <v>9694641834</v>
          </cell>
          <cell r="K4803" t="str">
            <v>BTCD162149</v>
          </cell>
        </row>
        <row r="4804">
          <cell r="E4804" t="str">
            <v>BASTAKOLA, DHANBAD</v>
          </cell>
          <cell r="G4804">
            <v>7489823544</v>
          </cell>
          <cell r="K4804" t="str">
            <v>BUKD162535</v>
          </cell>
        </row>
        <row r="4805">
          <cell r="E4805" t="str">
            <v>AT: SENEGARHA, P.O-RABODH, P.S-GIDDI,(RAMGARH),, DISTT. HAZARIBAGH,JHARKHAND-825330
829108
AT: SENEGARHA, P.O-RABODH, P.S-GIDDI,(RAMGARH),</v>
          </cell>
          <cell r="G4805">
            <v>9006877583</v>
          </cell>
          <cell r="K4805" t="str">
            <v>BRAS033261</v>
          </cell>
        </row>
        <row r="4806">
          <cell r="E4806" t="str">
            <v>AT: SENEGARHA, P.O-RABODH, P.S-GIDDI,(RAMGARH),, DISTT. HAZARIBAGH,JHARKHAND-825330
829108
AT: SENEGARHA, P.O-RABODH, P.S-GIDDI,(RAMGARH),</v>
          </cell>
          <cell r="G4806">
            <v>9006877583</v>
          </cell>
          <cell r="K4806" t="str">
            <v>BSCS037349</v>
          </cell>
        </row>
        <row r="4807">
          <cell r="E4807" t="str">
            <v>DHANBAD</v>
          </cell>
          <cell r="G4807">
            <v>7870788557</v>
          </cell>
          <cell r="K4807" t="str">
            <v>BUBS046036</v>
          </cell>
        </row>
        <row r="4808">
          <cell r="E4808" t="str">
            <v>DHANBAD</v>
          </cell>
          <cell r="G4808">
            <v>7870788557</v>
          </cell>
          <cell r="K4808" t="str">
            <v>BUBS046035</v>
          </cell>
        </row>
        <row r="4809">
          <cell r="E4809" t="str">
            <v>MUNGMA</v>
          </cell>
          <cell r="G4809">
            <v>8466063949</v>
          </cell>
          <cell r="K4809" t="str">
            <v>BNLS030573</v>
          </cell>
        </row>
        <row r="4810">
          <cell r="E4810" t="str">
            <v>TATISILWI, RANCHI</v>
          </cell>
          <cell r="G4810">
            <v>7992479722</v>
          </cell>
          <cell r="K4810" t="str">
            <v>BSDD120664</v>
          </cell>
        </row>
        <row r="4811">
          <cell r="E4811" t="str">
            <v>NAGARI
 835303</v>
          </cell>
          <cell r="G4811">
            <v>9264443243</v>
          </cell>
          <cell r="K4811" t="str">
            <v>BREC373538</v>
          </cell>
        </row>
        <row r="4812">
          <cell r="E4812" t="str">
            <v>OPERATIONS OFFICER, BOKARO BP, KIND ATTEN.ABHISHEK TRIPATHI, MOB. NO.8789972995, VENDOR CODE-11970380
OPERATIONS OFFICER, BOKARO BP, KIND ATTEN.ABHISHEK TRIPATHI, MOB. NO.8789972995, VENDOR CODE-11970380
827014
LPG BOTTALING PLANT, BALIDIH,</v>
          </cell>
          <cell r="G4812">
            <v>7905252185</v>
          </cell>
          <cell r="K4812" t="str">
            <v>BOCS040147</v>
          </cell>
        </row>
        <row r="4813">
          <cell r="E4813" t="str">
            <v>NEAR P.N BANK MAIN ROAD,, RAMGARH CANTT-829122, DIST. RAMGARH
829122
BUDHAKHOP, AMBRELA, KARMA,</v>
          </cell>
          <cell r="G4813">
            <v>9693796748</v>
          </cell>
          <cell r="K4813" t="str">
            <v>BSHS038806</v>
          </cell>
        </row>
        <row r="4814">
          <cell r="E4814" t="str">
            <v>PIPRA</v>
          </cell>
          <cell r="G4814">
            <v>9304258268</v>
          </cell>
          <cell r="K4814" t="str">
            <v>BVIL161084</v>
          </cell>
        </row>
        <row r="4815">
          <cell r="E4815" t="str">
            <v>MUNGMA</v>
          </cell>
          <cell r="G4815">
            <v>7439816339</v>
          </cell>
          <cell r="K4815" t="str">
            <v>BNLS030573</v>
          </cell>
        </row>
        <row r="4816">
          <cell r="E4816" t="str">
            <v>GOBINDPUR INDUSTRIAL AREA, DHANBAD</v>
          </cell>
          <cell r="G4816">
            <v>9113169811</v>
          </cell>
          <cell r="K4816" t="str">
            <v>BVJS047894</v>
          </cell>
        </row>
        <row r="4817">
          <cell r="E4817" t="str">
            <v>DHANBAD</v>
          </cell>
          <cell r="G4817">
            <v>7644045555</v>
          </cell>
          <cell r="K4817" t="str">
            <v>BTCD162159</v>
          </cell>
        </row>
        <row r="4818">
          <cell r="E4818" t="str">
            <v>ORGA RAIL DIVISION. ORGA</v>
          </cell>
          <cell r="G4818">
            <v>6203768613</v>
          </cell>
          <cell r="K4818" t="str">
            <v>BVID163429</v>
          </cell>
        </row>
        <row r="4819">
          <cell r="E4819" t="str">
            <v>DHANBAD</v>
          </cell>
          <cell r="G4819">
            <v>9753849615</v>
          </cell>
          <cell r="K4819" t="str">
            <v>BVGD163308</v>
          </cell>
        </row>
        <row r="4820">
          <cell r="E4820" t="str">
            <v>LODNA</v>
          </cell>
          <cell r="G4820">
            <v>7644045555</v>
          </cell>
          <cell r="K4820" t="str">
            <v>BTDD162169</v>
          </cell>
        </row>
        <row r="4821">
          <cell r="E4821" t="str">
            <v>NAGARI
 835303</v>
          </cell>
          <cell r="G4821">
            <v>9570000319</v>
          </cell>
          <cell r="K4821" t="str">
            <v>BREC373538</v>
          </cell>
        </row>
        <row r="4822">
          <cell r="E4822" t="str">
            <v>DALADALI, RANCHI</v>
          </cell>
          <cell r="G4822">
            <v>9487713345</v>
          </cell>
          <cell r="K4822" t="str">
            <v>BSHD200586</v>
          </cell>
        </row>
        <row r="4823">
          <cell r="E4823" t="str">
            <v>TAPIN HAZARIBAGH</v>
          </cell>
          <cell r="G4823">
            <v>8002177613</v>
          </cell>
          <cell r="K4823" t="str">
            <v>BTGD162289</v>
          </cell>
        </row>
        <row r="4824">
          <cell r="E4824" t="str">
            <v>SHYAMDIH, KATRAS</v>
          </cell>
          <cell r="G4824">
            <v>9835988493</v>
          </cell>
          <cell r="K4824" t="str">
            <v>BQCD160098</v>
          </cell>
        </row>
        <row r="4825">
          <cell r="E4825" t="str">
            <v>KUSUNDA DHABAD</v>
          </cell>
          <cell r="G4825">
            <v>8210106692</v>
          </cell>
          <cell r="K4825" t="str">
            <v>BRCD160939</v>
          </cell>
        </row>
        <row r="4826">
          <cell r="E4826" t="str">
            <v>BALIDIH, BOKARO</v>
          </cell>
          <cell r="G4826">
            <v>7033291304</v>
          </cell>
          <cell r="K4826" t="str">
            <v>BRAF110427</v>
          </cell>
        </row>
        <row r="4827">
          <cell r="E4827" t="str">
            <v>DHANBAD</v>
          </cell>
          <cell r="G4827">
            <v>9344284002</v>
          </cell>
          <cell r="K4827" t="str">
            <v>BRJD160605</v>
          </cell>
        </row>
        <row r="4828">
          <cell r="E4828" t="str">
            <v>RAMGARH
829103
NAYA MORE</v>
          </cell>
          <cell r="G4828">
            <v>8651078549</v>
          </cell>
          <cell r="K4828" t="str">
            <v>BRGS035169</v>
          </cell>
        </row>
        <row r="4829">
          <cell r="E4829" t="str">
            <v>DHANBAD</v>
          </cell>
          <cell r="G4829">
            <v>6207308280</v>
          </cell>
          <cell r="K4829" t="str">
            <v>BTED162231</v>
          </cell>
        </row>
        <row r="4830">
          <cell r="E4830" t="str">
            <v>ANGAR PATRA,DHANBAD</v>
          </cell>
          <cell r="G4830">
            <v>6207308280</v>
          </cell>
          <cell r="K4830" t="str">
            <v>BSGD161898</v>
          </cell>
        </row>
        <row r="4831">
          <cell r="E4831" t="str">
            <v>RAMGARH
829103
NAYA MORE</v>
          </cell>
          <cell r="G4831">
            <v>8651078549</v>
          </cell>
          <cell r="K4831" t="str">
            <v>BPCS030196</v>
          </cell>
        </row>
        <row r="4832">
          <cell r="E4832" t="str">
            <v>DUMRI, JHARKHAND</v>
          </cell>
          <cell r="G4832">
            <v>9608325210</v>
          </cell>
          <cell r="K4832" t="str">
            <v>BSFD161830</v>
          </cell>
        </row>
        <row r="4833">
          <cell r="E4833" t="str">
            <v>DHANBAD</v>
          </cell>
          <cell r="G4833">
            <v>9470475729</v>
          </cell>
          <cell r="K4833" t="str">
            <v>BQDD160156</v>
          </cell>
        </row>
        <row r="4834">
          <cell r="E4834" t="str">
            <v>DHANBAD</v>
          </cell>
          <cell r="G4834">
            <v>9801665100</v>
          </cell>
          <cell r="K4834" t="str">
            <v>BQHD160418</v>
          </cell>
        </row>
        <row r="4835">
          <cell r="E4835" t="str">
            <v>KATHITAND, RANCHI</v>
          </cell>
          <cell r="G4835">
            <v>9385466416</v>
          </cell>
          <cell r="K4835" t="str">
            <v>BSLD230361</v>
          </cell>
        </row>
        <row r="4836">
          <cell r="E4836" t="str">
            <v>ANGAR PATRA,DHANBAD</v>
          </cell>
          <cell r="G4836">
            <v>8210106692</v>
          </cell>
          <cell r="K4836" t="str">
            <v>BSDD161729</v>
          </cell>
        </row>
        <row r="4837">
          <cell r="E4837" t="str">
            <v>GANGA BRIDGE, BAKHTIYARPUR, PATNA</v>
          </cell>
          <cell r="G4837">
            <v>8544557188</v>
          </cell>
          <cell r="K4837" t="str">
            <v>BTDD120878</v>
          </cell>
        </row>
        <row r="4838">
          <cell r="E4838" t="str">
            <v>DALADALI, RANCHI</v>
          </cell>
          <cell r="G4838">
            <v>9994792468</v>
          </cell>
          <cell r="K4838" t="str">
            <v>BSLD230358</v>
          </cell>
        </row>
        <row r="4839">
          <cell r="E4839" t="str">
            <v>DALADALI, RANCHUI</v>
          </cell>
          <cell r="G4839">
            <v>7992413342</v>
          </cell>
          <cell r="K4839" t="str">
            <v>BMJD200014</v>
          </cell>
        </row>
        <row r="4840">
          <cell r="E4840" t="str">
            <v>BENIDIH</v>
          </cell>
          <cell r="G4840">
            <v>9006617909</v>
          </cell>
          <cell r="K4840" t="str">
            <v>BPGD220036</v>
          </cell>
        </row>
        <row r="4841">
          <cell r="E4841" t="str">
            <v>ASHOK NAGAR, RANCHI</v>
          </cell>
          <cell r="G4841">
            <v>7643943375</v>
          </cell>
          <cell r="K4841" t="str">
            <v>BQKD200047</v>
          </cell>
        </row>
        <row r="4842">
          <cell r="E4842" t="str">
            <v>TOPA MINES, RAMGARH</v>
          </cell>
          <cell r="G4842">
            <v>9425513941</v>
          </cell>
          <cell r="K4842" t="str">
            <v>BQID160519</v>
          </cell>
        </row>
        <row r="4843">
          <cell r="E4843" t="str">
            <v>ANGAR PATRA,DHANBAD</v>
          </cell>
          <cell r="G4843">
            <v>6207308280</v>
          </cell>
          <cell r="K4843" t="str">
            <v>BSGD161898</v>
          </cell>
        </row>
        <row r="4844">
          <cell r="E4844" t="str">
            <v>BHULI DHANBAD</v>
          </cell>
          <cell r="G4844">
            <v>7004387228</v>
          </cell>
          <cell r="K4844" t="str">
            <v>BQED160244</v>
          </cell>
        </row>
        <row r="4845">
          <cell r="E4845" t="str">
            <v>DHANBAD</v>
          </cell>
          <cell r="G4845">
            <v>8210106692</v>
          </cell>
          <cell r="K4845" t="str">
            <v>BQJD160027</v>
          </cell>
        </row>
        <row r="4846">
          <cell r="E4846" t="str">
            <v>TELULMARI</v>
          </cell>
          <cell r="G4846">
            <v>6299066158</v>
          </cell>
          <cell r="K4846" t="str">
            <v>BQCD160129</v>
          </cell>
        </row>
        <row r="4847">
          <cell r="E4847" t="str">
            <v>JAMSHEDPUR</v>
          </cell>
          <cell r="G4847">
            <v>9234643909</v>
          </cell>
          <cell r="K4847" t="str">
            <v>BLGL160217</v>
          </cell>
        </row>
        <row r="4848">
          <cell r="E4848" t="str">
            <v>JAMSHEDPUR</v>
          </cell>
          <cell r="G4848">
            <v>9234643909</v>
          </cell>
          <cell r="K4848" t="str">
            <v>BLGL160201</v>
          </cell>
        </row>
        <row r="4849">
          <cell r="E4849" t="str">
            <v>JUMRI TELAIYA</v>
          </cell>
          <cell r="G4849">
            <v>6202799479</v>
          </cell>
          <cell r="K4849" t="str">
            <v>BUKC370499</v>
          </cell>
        </row>
        <row r="4850">
          <cell r="E4850" t="str">
            <v>TAPIN PROJECT, TAPIN</v>
          </cell>
          <cell r="G4850">
            <v>8521064546</v>
          </cell>
          <cell r="K4850" t="str">
            <v>BUID162953</v>
          </cell>
        </row>
        <row r="4851">
          <cell r="E4851" t="str">
            <v>KIRIGARA, JHARKHAND</v>
          </cell>
          <cell r="G4851">
            <v>9304197723</v>
          </cell>
          <cell r="K4851" t="str">
            <v>BRGD161229</v>
          </cell>
        </row>
        <row r="4852">
          <cell r="E4852" t="str">
            <v>OPP. PUNJAB NATIONAL BANK,, BUKRU, RANCHI</v>
          </cell>
          <cell r="G4852">
            <v>7091772999</v>
          </cell>
          <cell r="K4852" t="str">
            <v>BSGD161854</v>
          </cell>
        </row>
        <row r="4853">
          <cell r="E4853" t="str">
            <v>CHATRA</v>
          </cell>
          <cell r="G4853">
            <v>7004915623</v>
          </cell>
          <cell r="K4853" t="str">
            <v>BRJD160543</v>
          </cell>
        </row>
        <row r="4854">
          <cell r="E4854" t="str">
            <v>KIRIGARA, JHARKHAND</v>
          </cell>
          <cell r="G4854">
            <v>6204816691</v>
          </cell>
          <cell r="K4854" t="str">
            <v>BRGD161229</v>
          </cell>
        </row>
        <row r="4855">
          <cell r="E4855" t="str">
            <v>AP COLONY GAYA BIHAR</v>
          </cell>
          <cell r="G4855">
            <v>9431266779</v>
          </cell>
          <cell r="K4855" t="str">
            <v>BRJD160577</v>
          </cell>
        </row>
        <row r="4856">
          <cell r="E4856" t="str">
            <v>ASHOK NAGAR, RANCHI</v>
          </cell>
          <cell r="G4856">
            <v>9334701321</v>
          </cell>
          <cell r="K4856" t="str">
            <v>BQKD200048</v>
          </cell>
        </row>
        <row r="4857">
          <cell r="E4857" t="str">
            <v>DHANBAD</v>
          </cell>
          <cell r="G4857">
            <v>9955336699</v>
          </cell>
          <cell r="K4857" t="str">
            <v>BQBD160067</v>
          </cell>
        </row>
        <row r="4858">
          <cell r="E4858" t="str">
            <v>BAGODER</v>
          </cell>
          <cell r="G4858">
            <v>9608255210</v>
          </cell>
          <cell r="K4858" t="str">
            <v>BRBD160856</v>
          </cell>
        </row>
        <row r="4859">
          <cell r="E4859" t="str">
            <v>PATNA</v>
          </cell>
          <cell r="G4859">
            <v>9617831594</v>
          </cell>
          <cell r="K4859" t="str">
            <v>BSHD120740</v>
          </cell>
        </row>
        <row r="4860">
          <cell r="E4860" t="str">
            <v>DHANBAD</v>
          </cell>
          <cell r="G4860">
            <v>7489823544</v>
          </cell>
          <cell r="K4860" t="str">
            <v>BTDD162186</v>
          </cell>
        </row>
        <row r="4861">
          <cell r="E4861" t="str">
            <v>PATNA</v>
          </cell>
          <cell r="G4861">
            <v>9617831594</v>
          </cell>
          <cell r="K4861" t="str">
            <v>BSBD120630</v>
          </cell>
        </row>
        <row r="4862">
          <cell r="E4862" t="str">
            <v>TATISAILWAI</v>
          </cell>
          <cell r="G4862">
            <v>6201580224</v>
          </cell>
          <cell r="K4862" t="str">
            <v>BQBD200008</v>
          </cell>
        </row>
        <row r="4863">
          <cell r="E4863" t="str">
            <v>NAMKUM INDUSTRIAL AREA,RANCHI
834010</v>
          </cell>
          <cell r="G4863">
            <v>9386408111</v>
          </cell>
          <cell r="K4863" t="str">
            <v>GOCC370403</v>
          </cell>
        </row>
        <row r="4864">
          <cell r="E4864" t="str">
            <v>ORMANJHI
835219</v>
          </cell>
          <cell r="G4864">
            <v>7091690999</v>
          </cell>
          <cell r="K4864" t="str">
            <v>BTFC378771</v>
          </cell>
        </row>
        <row r="4865">
          <cell r="E4865" t="str">
            <v>NICHITPUR</v>
          </cell>
          <cell r="G4865">
            <v>6202894138</v>
          </cell>
          <cell r="K4865" t="str">
            <v>BUCD162696</v>
          </cell>
        </row>
        <row r="4866">
          <cell r="E4866" t="str">
            <v>LODNA</v>
          </cell>
          <cell r="G4866">
            <v>7644045555</v>
          </cell>
          <cell r="K4866" t="str">
            <v>BTDD162169</v>
          </cell>
        </row>
        <row r="4867">
          <cell r="E4867" t="str">
            <v>KUJAMA</v>
          </cell>
          <cell r="G4867">
            <v>9065764901</v>
          </cell>
          <cell r="K4867" t="str">
            <v>BVJD162972</v>
          </cell>
        </row>
        <row r="4868">
          <cell r="E4868" t="str">
            <v>BASKATOLA</v>
          </cell>
          <cell r="G4868">
            <v>7489823544</v>
          </cell>
          <cell r="K4868" t="str">
            <v>BULD162577</v>
          </cell>
        </row>
        <row r="4869">
          <cell r="E4869" t="str">
            <v>BASTAKOLA, DHANBAD</v>
          </cell>
          <cell r="G4869">
            <v>9550053031</v>
          </cell>
          <cell r="K4869" t="str">
            <v>BQKD160099</v>
          </cell>
        </row>
        <row r="4870">
          <cell r="E4870" t="str">
            <v>NTA LODNA, DHANBAD</v>
          </cell>
          <cell r="G4870">
            <v>7061894965</v>
          </cell>
          <cell r="K4870" t="str">
            <v>BULD162559</v>
          </cell>
        </row>
        <row r="4871">
          <cell r="E4871" t="str">
            <v>LODNA</v>
          </cell>
          <cell r="G4871">
            <v>9694641834</v>
          </cell>
          <cell r="K4871" t="str">
            <v>BTCD162149</v>
          </cell>
        </row>
        <row r="4872">
          <cell r="E4872" t="str">
            <v>KWJAMA COLLIERY, DHANBAD</v>
          </cell>
          <cell r="G4872">
            <v>9044360313</v>
          </cell>
          <cell r="K4872" t="str">
            <v>BVCD163165</v>
          </cell>
        </row>
        <row r="4873">
          <cell r="E4873" t="str">
            <v>TRIDENT PNEUMATICS PVT LTD   5/232,KNG PUDUR ROADSOMAYAMPALAYAM POSTCOIMBATORE IND</v>
          </cell>
          <cell r="G4873">
            <v>7546977770</v>
          </cell>
          <cell r="K4873" t="str">
            <v>BRCC373040</v>
          </cell>
        </row>
        <row r="4874">
          <cell r="E4874" t="str">
            <v>BALIDIH, BOKARO</v>
          </cell>
          <cell r="G4874"/>
          <cell r="K4874" t="str">
            <v>BVEL062291</v>
          </cell>
        </row>
        <row r="4875">
          <cell r="E4875" t="str">
            <v>BALIDIH, BOKARO</v>
          </cell>
          <cell r="G4875"/>
          <cell r="K4875" t="str">
            <v>BVEL062302</v>
          </cell>
        </row>
        <row r="4876">
          <cell r="E4876" t="str">
            <v>ARGADA ROAD, BINJHAR, P.O. - MARAR, RAMGARH
829117</v>
          </cell>
          <cell r="G4876">
            <v>8294504879</v>
          </cell>
          <cell r="K4876" t="str">
            <v>BSCS037449</v>
          </cell>
        </row>
        <row r="4877">
          <cell r="E4877" t="str">
            <v>REG. OFFICE: UNIT 106, MAHABIR TOWER, JOKHIRAM LANE, MAIN ROAD, RANCHI - 834 001
REG. OFFICE: UNIT 106, MAHABIR TOWER, JOKHIRAM LANE, MAIN ROAD, RANCHI - 834 001
835214</v>
          </cell>
          <cell r="G4877">
            <v>9661300651</v>
          </cell>
          <cell r="K4877" t="str">
            <v>BSDS043254</v>
          </cell>
        </row>
        <row r="4878">
          <cell r="E4878" t="str">
            <v>NAMKUM, RANCHI</v>
          </cell>
          <cell r="G4878">
            <v>9308020400</v>
          </cell>
          <cell r="K4878" t="str">
            <v>BVKS037559</v>
          </cell>
        </row>
        <row r="4879">
          <cell r="E4879" t="str">
            <v>BASTAKOLA, DHANBAD</v>
          </cell>
          <cell r="G4879">
            <v>7489823544</v>
          </cell>
          <cell r="K4879" t="str">
            <v>BUKD162535</v>
          </cell>
        </row>
        <row r="4880">
          <cell r="E4880" t="str">
            <v>BHULI, DHANBAD</v>
          </cell>
          <cell r="G4880">
            <v>9122090175</v>
          </cell>
          <cell r="K4880" t="str">
            <v>BVFS039912</v>
          </cell>
        </row>
        <row r="4881">
          <cell r="E4881" t="str">
            <v>HESLA,RAMGARH
829101</v>
          </cell>
          <cell r="G4881">
            <v>7562823341</v>
          </cell>
          <cell r="K4881" t="str">
            <v>BSJS035917</v>
          </cell>
        </row>
        <row r="4882">
          <cell r="E4882" t="str">
            <v>HESLA,RAMGARH
829101</v>
          </cell>
          <cell r="G4882">
            <v>7562823341</v>
          </cell>
          <cell r="K4882" t="str">
            <v>BSDS037710</v>
          </cell>
        </row>
        <row r="4883">
          <cell r="E4883" t="str">
            <v>GROUND AND 1 ST FLOOR, BESIDE DAINIK BHASKAR, GOVINDPUR ROAD, DIST :- DHANBAD
GROUND AND 1 ST FLOOR, BESIDE DAINIK BHASKAR, GOVINDPUR ROAD, DIST :- DHANBAD
828109</v>
          </cell>
          <cell r="G4883">
            <v>8789061377</v>
          </cell>
          <cell r="K4883" t="str">
            <v>BRES034488</v>
          </cell>
        </row>
        <row r="4884">
          <cell r="E4884" t="str">
            <v>BASTAWLA DHANBAD</v>
          </cell>
          <cell r="G4884">
            <v>8658834483</v>
          </cell>
          <cell r="K4884" t="str">
            <v>BUAD162630</v>
          </cell>
        </row>
        <row r="4885">
          <cell r="E4885" t="str">
            <v>SHEIKHPURA, BIHAR</v>
          </cell>
          <cell r="G4885">
            <v>9234638430</v>
          </cell>
          <cell r="K4885" t="str">
            <v>BULL160559</v>
          </cell>
        </row>
        <row r="4886">
          <cell r="E4886" t="str">
            <v>KUJAMA</v>
          </cell>
          <cell r="G4886">
            <v>7061594965</v>
          </cell>
          <cell r="K4886" t="str">
            <v>BVJD162972</v>
          </cell>
        </row>
        <row r="4887">
          <cell r="E4887" t="str">
            <v>KRISHNA NAGAR, BOOTY MORE, RANCHI</v>
          </cell>
          <cell r="G4887">
            <v>8910434312</v>
          </cell>
          <cell r="K4887" t="str">
            <v>BUES034926</v>
          </cell>
        </row>
        <row r="4888">
          <cell r="E4888" t="str">
            <v>RANCHI</v>
          </cell>
          <cell r="G4888">
            <v>8877136770</v>
          </cell>
          <cell r="K4888" t="str">
            <v>BLIS031950</v>
          </cell>
        </row>
        <row r="4889">
          <cell r="E4889" t="str">
            <v>NAGARI
 835303</v>
          </cell>
          <cell r="G4889">
            <v>9264443243</v>
          </cell>
          <cell r="K4889" t="str">
            <v>BREC373538</v>
          </cell>
        </row>
        <row r="4890">
          <cell r="E4890" t="str">
            <v>GROUND FLOOR, 8H AND 81, NATION PRINTERS, NAMKUM INDUSTRIAL AREA,, LOWADIH, RANCHI
GROUND FLOOR, 8H AND 81, NATION PRINTERS, NAMKUM INDUSTRIAL AREA,, LOWADIH, RANCHI
834010</v>
          </cell>
          <cell r="G4890">
            <v>9386895542</v>
          </cell>
          <cell r="K4890" t="str">
            <v>BRCC372871</v>
          </cell>
        </row>
        <row r="4891">
          <cell r="E4891" t="str">
            <v>RAHELA, DALTAINGANJ</v>
          </cell>
          <cell r="G4891">
            <v>8969103599</v>
          </cell>
          <cell r="K4891" t="str">
            <v>BUGS035879</v>
          </cell>
        </row>
        <row r="4892">
          <cell r="E4892" t="str">
            <v>NEAR P.N BANK MAIN ROAD,, RAMGARH CANTT-829122, DIST. RAMGARH
829122
BUDHAKHOP, AMBRELA, KARMA,</v>
          </cell>
          <cell r="G4892">
            <v>8789350097</v>
          </cell>
          <cell r="K4892" t="str">
            <v>BSHS038806</v>
          </cell>
        </row>
        <row r="4893">
          <cell r="E4893" t="str">
            <v>GOMO, DHANBAD</v>
          </cell>
          <cell r="G4893">
            <v>9771445132</v>
          </cell>
          <cell r="K4893" t="str">
            <v>EUCS034229</v>
          </cell>
        </row>
        <row r="4894">
          <cell r="E4894" t="str">
            <v>NAGARI, RANCHI
834006</v>
          </cell>
          <cell r="G4894">
            <v>9002080493</v>
          </cell>
          <cell r="K4894" t="str">
            <v>BRAC372524</v>
          </cell>
        </row>
        <row r="4895">
          <cell r="E4895" t="str">
            <v>DUMRI, DHANBAD</v>
          </cell>
          <cell r="G4895">
            <v>9608325210</v>
          </cell>
          <cell r="K4895" t="str">
            <v>BVHD163374</v>
          </cell>
        </row>
        <row r="4896">
          <cell r="E4896" t="str">
            <v>BALIDIH INDUSTRIAL AREA,BOKARO
PLOT NO. - A/2 (P) INDUSTRIAL AREA, BALIDIH BOKARO STEEL CITY - 14, BOKARO
827014
BOKARO INDUSTRIAL ESTATE</v>
          </cell>
          <cell r="G4896">
            <v>9978928888</v>
          </cell>
          <cell r="K4896" t="str">
            <v>BSJS035946</v>
          </cell>
        </row>
        <row r="4897">
          <cell r="E4897" t="str">
            <v>GROUND FLOOR,, OFFICE NO.448A, ROAD NO.4, ASHOK NAGAR
GROUND FLOOR,, OFFICE NO.448A, ROAD NO.4, ASHOK NAGAR
829118
PLOT NO:- 47P, PATRATU INDUSTRIAL AREA</v>
          </cell>
          <cell r="G4897">
            <v>8102928348</v>
          </cell>
          <cell r="K4897" t="str">
            <v>ONIC370102</v>
          </cell>
        </row>
        <row r="4898">
          <cell r="E4898" t="str">
            <v>TUPUDANA INDUSTRIAL AREA,RANCHI
834003</v>
          </cell>
          <cell r="G4898">
            <v>7979877049</v>
          </cell>
          <cell r="K4898" t="str">
            <v>BRIS035695</v>
          </cell>
        </row>
        <row r="4899">
          <cell r="E4899" t="str">
            <v>TETULMARI, DHANBAD</v>
          </cell>
          <cell r="G4899">
            <v>9155382795</v>
          </cell>
          <cell r="K4899" t="str">
            <v>BVLD163040</v>
          </cell>
        </row>
        <row r="4900">
          <cell r="E4900" t="str">
            <v>DHANBAD</v>
          </cell>
          <cell r="G4900">
            <v>9753849615</v>
          </cell>
          <cell r="K4900" t="str">
            <v>BVGD163308</v>
          </cell>
        </row>
        <row r="4901">
          <cell r="E4901" t="str">
            <v>ADMINISTRATIVE BLOCK, MECHINICAL DEPARTMENT, DHANBAD</v>
          </cell>
          <cell r="G4901">
            <v>9471192437</v>
          </cell>
          <cell r="K4901" t="str">
            <v>BUIS036656</v>
          </cell>
        </row>
        <row r="4902">
          <cell r="E4902" t="str">
            <v>GROUND FLOOR,, OFFICE NO.448A, ROAD NO.4, ASHOK NAGAR
GROUND FLOOR,, OFFICE NO.448A, ROAD NO.4, ASHOK NAGAR
829118
PLOT NO:- 47P, PATRATU INDUSTRIAL AREA</v>
          </cell>
          <cell r="G4902">
            <v>7541959323</v>
          </cell>
          <cell r="K4902" t="str">
            <v>GOGC370754</v>
          </cell>
        </row>
        <row r="4903">
          <cell r="E4903" t="str">
            <v>PHOOLWARTAND, DHANBAD</v>
          </cell>
          <cell r="G4903">
            <v>8210106692</v>
          </cell>
          <cell r="K4903" t="str">
            <v>BVHD163393</v>
          </cell>
        </row>
        <row r="4904">
          <cell r="E4904" t="str">
            <v>KWJAMA COLLIERY, DHANBAD</v>
          </cell>
          <cell r="G4904">
            <v>9044360313</v>
          </cell>
          <cell r="K4904" t="str">
            <v>BVCD163165</v>
          </cell>
        </row>
        <row r="4905">
          <cell r="E4905" t="str">
            <v>KATHITAND, RANCHI</v>
          </cell>
          <cell r="G4905">
            <v>9385466416</v>
          </cell>
          <cell r="K4905" t="str">
            <v>BSLD230361</v>
          </cell>
        </row>
        <row r="4906">
          <cell r="E4906" t="str">
            <v>SATBARWA, DHANBAD</v>
          </cell>
          <cell r="G4906">
            <v>8809697867</v>
          </cell>
          <cell r="K4906" t="str">
            <v>BVJD162957</v>
          </cell>
        </row>
        <row r="4907">
          <cell r="E4907" t="str">
            <v>KOKAR INDUSTRIAL AREA, RANCHI
834002</v>
          </cell>
          <cell r="G4907">
            <v>7633885415</v>
          </cell>
          <cell r="K4907" t="str">
            <v>BRJS040951</v>
          </cell>
        </row>
        <row r="4908">
          <cell r="E4908" t="str">
            <v>KODERMA</v>
          </cell>
          <cell r="G4908">
            <v>7991121574</v>
          </cell>
          <cell r="K4908" t="str">
            <v>BSAD161567</v>
          </cell>
        </row>
        <row r="4909">
          <cell r="E4909" t="str">
            <v>BIDPUR, VAISHALI, BIHAR</v>
          </cell>
          <cell r="G4909">
            <v>8252793386</v>
          </cell>
          <cell r="K4909" t="str">
            <v>BVID121539</v>
          </cell>
        </row>
        <row r="4910">
          <cell r="E4910" t="str">
            <v>SHEIKHPURA, BIHAR</v>
          </cell>
          <cell r="G4910">
            <v>6202016835</v>
          </cell>
          <cell r="K4910" t="str">
            <v>BUAL160593</v>
          </cell>
        </row>
        <row r="4911">
          <cell r="E4911" t="str">
            <v>KODERMA</v>
          </cell>
          <cell r="G4911">
            <v>7991121574</v>
          </cell>
          <cell r="K4911" t="str">
            <v>BSAD161567</v>
          </cell>
        </row>
        <row r="4912">
          <cell r="E4912" t="str">
            <v>BEGUSARAI, BIHAR</v>
          </cell>
          <cell r="G4912">
            <v>6205667340</v>
          </cell>
          <cell r="K4912" t="str">
            <v>BVIL161081</v>
          </cell>
        </row>
        <row r="4913">
          <cell r="E4913" t="str">
            <v>JHUMRI TILAIYA</v>
          </cell>
          <cell r="G4913">
            <v>7909092042</v>
          </cell>
          <cell r="K4913" t="str">
            <v>GPLS030458</v>
          </cell>
        </row>
        <row r="4914">
          <cell r="E4914" t="str">
            <v xml:space="preserve">M/S.AGASTYA AERO WORKS PVT LTD, BIRU,
 SIMDEGA JHARKHAND-835228
</v>
          </cell>
          <cell r="G4914">
            <v>9430394090</v>
          </cell>
          <cell r="K4914" t="str">
            <v>BUBS033764</v>
          </cell>
        </row>
        <row r="4915">
          <cell r="E4915" t="str">
            <v>BHOWRA</v>
          </cell>
          <cell r="G4915">
            <v>7488119074</v>
          </cell>
          <cell r="K4915" t="str">
            <v>BULD162568</v>
          </cell>
        </row>
        <row r="4916">
          <cell r="E4916" t="str">
            <v>LODNA</v>
          </cell>
          <cell r="G4916">
            <v>7644045555</v>
          </cell>
          <cell r="K4916" t="str">
            <v>BTCD162149</v>
          </cell>
        </row>
        <row r="4917">
          <cell r="E4917" t="str">
            <v>PLOT NO 716,VILL-RUKKA,
835219</v>
          </cell>
          <cell r="G4917">
            <v>9791019799</v>
          </cell>
          <cell r="K4917" t="str">
            <v>BSKS036366</v>
          </cell>
        </row>
        <row r="4918">
          <cell r="E4918" t="str">
            <v>MANJULA ENTERPRISES, KOKAR INDUSTRIAL AREA KOKAR</v>
          </cell>
          <cell r="G4918">
            <v>9334826499</v>
          </cell>
          <cell r="K4918" t="str">
            <v>BUFC372952</v>
          </cell>
        </row>
        <row r="4919">
          <cell r="E4919" t="str">
            <v>AT - HEHAL, POST - BARKAKANA
BARKAKANA
829103</v>
          </cell>
          <cell r="G4919">
            <v>6200896545</v>
          </cell>
          <cell r="K4919" t="str">
            <v>BUAS033580</v>
          </cell>
        </row>
        <row r="4920">
          <cell r="E4920" t="str">
            <v>JUMRI TELAIYA</v>
          </cell>
          <cell r="G4920">
            <v>7981797616</v>
          </cell>
          <cell r="K4920" t="str">
            <v>BUKC370499</v>
          </cell>
        </row>
        <row r="4921">
          <cell r="E4921" t="str">
            <v>SUNDI, RAMGARH</v>
          </cell>
          <cell r="G4921">
            <v>8294028310</v>
          </cell>
          <cell r="K4921">
            <v>123054</v>
          </cell>
        </row>
        <row r="4922">
          <cell r="E4922" t="str">
            <v>NTA LODNA, DHANBAD</v>
          </cell>
          <cell r="G4922">
            <v>7061894965</v>
          </cell>
          <cell r="K4922" t="str">
            <v>BULD162559</v>
          </cell>
        </row>
        <row r="4923">
          <cell r="E4923" t="str">
            <v>MAHTO COLONY, TELEDIH, CHAS, BOKARO</v>
          </cell>
          <cell r="G4923">
            <v>7992434967</v>
          </cell>
          <cell r="K4923" t="str">
            <v>BVJC374285</v>
          </cell>
        </row>
        <row r="4924">
          <cell r="E4924" t="str">
            <v>C/O - PREM PRAKASH AGARWAL, OPP - HILLVIEW FUEL STATION, GODHUR, P.O - KUSUNDA, DHANBAD</v>
          </cell>
          <cell r="G4924">
            <v>7903412157</v>
          </cell>
          <cell r="K4924" t="str">
            <v>BTED162217</v>
          </cell>
        </row>
        <row r="4925">
          <cell r="E4925" t="str">
            <v>LODNA</v>
          </cell>
          <cell r="G4925">
            <v>7644045555</v>
          </cell>
          <cell r="K4925" t="str">
            <v>BTDD162169</v>
          </cell>
        </row>
        <row r="4926">
          <cell r="E4926" t="str">
            <v>RAMGARH
829103
NAYA MORE</v>
          </cell>
          <cell r="G4926">
            <v>8651078549</v>
          </cell>
          <cell r="K4926" t="str">
            <v>BRGS035169</v>
          </cell>
        </row>
        <row r="4927">
          <cell r="E4927" t="str">
            <v>RAMGARH
829103
NAYA MORE</v>
          </cell>
          <cell r="G4927">
            <v>8651078549</v>
          </cell>
          <cell r="K4927" t="str">
            <v>BPCS030196</v>
          </cell>
        </row>
        <row r="4928">
          <cell r="E4928" t="str">
            <v>TIPUDANA INDUSTRIAL AREA, HATIA,</v>
          </cell>
          <cell r="G4928">
            <v>9534249500</v>
          </cell>
          <cell r="K4928" t="str">
            <v>BJGS031396</v>
          </cell>
        </row>
        <row r="4929">
          <cell r="E4929" t="str">
            <v>PLOT NO. 148, TUPUDANA, INDUSTRIAL AREA, HATIA, RANCHI
834002</v>
          </cell>
          <cell r="G4929">
            <v>9534249500</v>
          </cell>
          <cell r="K4929" t="str">
            <v>BSLS036682</v>
          </cell>
        </row>
        <row r="4930">
          <cell r="E4930" t="str">
            <v>BALIDIH, BOKARO</v>
          </cell>
          <cell r="G4930">
            <v>7992378509</v>
          </cell>
          <cell r="K4930" t="str">
            <v>BVCS038776</v>
          </cell>
        </row>
        <row r="4931">
          <cell r="E4931" t="str">
            <v>CHAS, BOKARO</v>
          </cell>
          <cell r="G4931">
            <v>7991170924</v>
          </cell>
          <cell r="K4931" t="str">
            <v>BQDD160205</v>
          </cell>
        </row>
        <row r="4932">
          <cell r="E4932" t="str">
            <v>MURHU
C/O ASHISH SABOO, MURHU, DIST- KHUNTI
835216</v>
          </cell>
          <cell r="G4932">
            <v>8862826990</v>
          </cell>
          <cell r="K4932" t="str">
            <v>BTLC377591</v>
          </cell>
        </row>
        <row r="4933">
          <cell r="E4933" t="str">
            <v>HAZARIBAGH</v>
          </cell>
          <cell r="G4933">
            <v>9939701451</v>
          </cell>
          <cell r="K4933" t="str">
            <v>BVIS040049</v>
          </cell>
        </row>
        <row r="4934">
          <cell r="E4934" t="str">
            <v>TATISILWAI, JHARKHAND
835103</v>
          </cell>
          <cell r="G4934">
            <v>6200160428</v>
          </cell>
          <cell r="K4934" t="str">
            <v>BQHS040705</v>
          </cell>
        </row>
        <row r="4935">
          <cell r="E4935" t="str">
            <v>LOHARDAGAH</v>
          </cell>
          <cell r="G4935">
            <v>7979950751</v>
          </cell>
          <cell r="K4935" t="str">
            <v>BUFS046839</v>
          </cell>
        </row>
        <row r="4936">
          <cell r="E4936" t="str">
            <v>TATISILWAI, JHARKHAND
835103</v>
          </cell>
          <cell r="G4936">
            <v>6200160428</v>
          </cell>
          <cell r="K4936" t="str">
            <v>BQHS040705</v>
          </cell>
        </row>
        <row r="4937">
          <cell r="E4937" t="str">
            <v>RAMGRAH</v>
          </cell>
          <cell r="G4937">
            <v>9155799786</v>
          </cell>
          <cell r="K4937" t="str">
            <v>BVAS038005</v>
          </cell>
        </row>
        <row r="4938">
          <cell r="E4938" t="str">
            <v>C/O - PREM PRAKASH AGARWAL, OPP - HILLVIEW FUEL STATION, GODHUR, P.O - KUSUNDA, DHANBAD</v>
          </cell>
          <cell r="G4938">
            <v>7903412157</v>
          </cell>
          <cell r="K4938" t="str">
            <v>BTED162217</v>
          </cell>
        </row>
        <row r="4939">
          <cell r="E4939" t="str">
            <v>THUMBAGARI, SATBARWA, PALAMU</v>
          </cell>
          <cell r="G4939">
            <v>7039553329</v>
          </cell>
          <cell r="K4939" t="str">
            <v>BUDC372146</v>
          </cell>
        </row>
        <row r="4940">
          <cell r="E4940" t="str">
            <v>RAMGRAH</v>
          </cell>
          <cell r="G4940">
            <v>9204780801</v>
          </cell>
          <cell r="K4940" t="str">
            <v>BVAS038005</v>
          </cell>
        </row>
        <row r="4941">
          <cell r="E4941" t="str">
            <v>MARAR, RAMGARH, JHARKHAND
MARRAR RAMGARH, 9155729786
829117
MARAR</v>
          </cell>
          <cell r="G4941">
            <v>9204780801</v>
          </cell>
          <cell r="K4941" t="str">
            <v>BMIS031759</v>
          </cell>
        </row>
        <row r="4942">
          <cell r="E4942" t="str">
            <v>SIDRAUL, NAMKUM, RANCHI
834010
SIDRAUL, NAMKUM, RANCHI</v>
          </cell>
          <cell r="G4942">
            <v>9304986052</v>
          </cell>
          <cell r="K4942" t="str">
            <v>UOHS030121</v>
          </cell>
        </row>
        <row r="4943">
          <cell r="E4943" t="str">
            <v>DALADALI, RANCHI</v>
          </cell>
          <cell r="G4943">
            <v>9994792468</v>
          </cell>
          <cell r="K4943" t="str">
            <v>BSLD230358</v>
          </cell>
        </row>
        <row r="4944">
          <cell r="E4944" t="str">
            <v xml:space="preserve">M/S.AGASTYA AERO WORKS PVT LTD, BIRU,
 SIMDEGA JHARKHAND-835228
</v>
          </cell>
          <cell r="G4944">
            <v>9934578812</v>
          </cell>
          <cell r="K4944" t="str">
            <v>BUBS033764</v>
          </cell>
        </row>
        <row r="4945">
          <cell r="E4945" t="str">
            <v>LOHARDAGA,JHARKHAND
LOHARDAGA, MOB. NO.9661111900
835302
LOHARDAGA</v>
          </cell>
          <cell r="G4945">
            <v>9973880780</v>
          </cell>
          <cell r="K4945" t="str">
            <v>BQFS031084</v>
          </cell>
        </row>
        <row r="4946">
          <cell r="E4946" t="str">
            <v>SHADEV NAGAR
834002
SHADEV NAGAR</v>
          </cell>
          <cell r="G4946">
            <v>9431395214</v>
          </cell>
          <cell r="K4946" t="str">
            <v>GOHC370857</v>
          </cell>
        </row>
        <row r="4947">
          <cell r="E4947" t="str">
            <v>KOKAR INDUSTRIAL AREA,RANCHI
834001</v>
          </cell>
          <cell r="G4947">
            <v>7004349722</v>
          </cell>
          <cell r="K4947" t="str">
            <v>BSBC375535</v>
          </cell>
        </row>
        <row r="4948">
          <cell r="E4948" t="str">
            <v>NAMKUM INDUSTRIAL AREA,RANCHI
834010</v>
          </cell>
          <cell r="G4948">
            <v>9386408111</v>
          </cell>
          <cell r="K4948" t="str">
            <v>GOCC370403</v>
          </cell>
        </row>
        <row r="4949">
          <cell r="E4949" t="str">
            <v>WARD NO. 15, GUMO  BARWADIH
JHUMRITILAIYA KODERMA
000000</v>
          </cell>
          <cell r="G4949">
            <v>9931138677</v>
          </cell>
          <cell r="K4949" t="str">
            <v>BUDC372326</v>
          </cell>
        </row>
        <row r="4950">
          <cell r="E4950" t="str">
            <v>NAMKUM INDUSTRIAL AREA,RANCHI
834010</v>
          </cell>
          <cell r="G4950">
            <v>9386408111</v>
          </cell>
          <cell r="K4950" t="str">
            <v>BRHS035337</v>
          </cell>
        </row>
        <row r="4951">
          <cell r="E4951" t="str">
            <v>ANGARA, TATISILWAI</v>
          </cell>
          <cell r="G4951">
            <v>9110012919</v>
          </cell>
          <cell r="K4951" t="str">
            <v>BVGF111615</v>
          </cell>
        </row>
        <row r="4952">
          <cell r="E4952" t="str">
            <v>ANGARA, TATISILWAI</v>
          </cell>
          <cell r="G4952">
            <v>9110012919</v>
          </cell>
          <cell r="K4952" t="str">
            <v>BVGF111611</v>
          </cell>
        </row>
        <row r="4953">
          <cell r="E4953" t="str">
            <v>RAMGARH CANTT, RAMGARH
RAMGARH
829122
RAMGARH</v>
          </cell>
          <cell r="G4953">
            <v>9576833882</v>
          </cell>
          <cell r="K4953" t="str">
            <v>BNKS030423</v>
          </cell>
        </row>
        <row r="4954">
          <cell r="E4954" t="str">
            <v>CHANDWAY CHOWK,RANCHI
834006</v>
          </cell>
          <cell r="G4954">
            <v>7549100809</v>
          </cell>
          <cell r="K4954" t="str">
            <v>BRAC372352</v>
          </cell>
        </row>
        <row r="4955">
          <cell r="E4955" t="str">
            <v>JAY PRAKASH NAGAR, NEAR RANI SATI MANDIR, RATU ROAD RANCHI
834005</v>
          </cell>
          <cell r="G4955">
            <v>9934104449</v>
          </cell>
          <cell r="K4955" t="str">
            <v>BTFC378808</v>
          </cell>
        </row>
        <row r="4956">
          <cell r="E4956" t="str">
            <v>CHUTIA, RANCHI</v>
          </cell>
          <cell r="G4956">
            <v>8757478359</v>
          </cell>
          <cell r="K4956" t="str">
            <v>BUFD162814</v>
          </cell>
        </row>
        <row r="4957">
          <cell r="E4957" t="str">
            <v>HAZARIBAGH
RANCHI JHARKHAND 834002
INDIA</v>
          </cell>
          <cell r="G4957">
            <v>7361044448</v>
          </cell>
          <cell r="K4957" t="str">
            <v>BKAS030685</v>
          </cell>
        </row>
        <row r="4958">
          <cell r="E4958" t="str">
            <v>SIMDEGA</v>
          </cell>
          <cell r="G4958">
            <v>6203833614</v>
          </cell>
          <cell r="K4958" t="str">
            <v>BRCD160998</v>
          </cell>
        </row>
        <row r="4959">
          <cell r="E4959" t="str">
            <v>SUNDER NAGAR, JAMSHEDPUR</v>
          </cell>
          <cell r="G4959">
            <v>7908183052</v>
          </cell>
          <cell r="K4959" t="str">
            <v>BVED163231</v>
          </cell>
        </row>
        <row r="4960">
          <cell r="E4960" t="str">
            <v>SUNDER NAGAR, JAMSHEDPUR</v>
          </cell>
          <cell r="G4960">
            <v>7908183052</v>
          </cell>
          <cell r="K4960" t="str">
            <v>BVED163235</v>
          </cell>
        </row>
        <row r="4961">
          <cell r="E4961" t="str">
            <v>BALIDIH INDUSTRIAL AREA, BOKARO
BYE PASS ROAD, CHAS, BOKARO, JHARKHAND.
827014</v>
          </cell>
          <cell r="G4961">
            <v>9153885504</v>
          </cell>
          <cell r="K4961" t="str">
            <v>BRCC373034</v>
          </cell>
        </row>
        <row r="4962">
          <cell r="E4962" t="str">
            <v>11 PINJRAPOLE, HARMU ROAD, RANCHI
11 PINJRAPOLE, HARMU ROAD, RANCHI
834001
MAHILONG, TATISILWAY</v>
          </cell>
          <cell r="G4962">
            <v>6202577175</v>
          </cell>
          <cell r="K4962" t="str">
            <v>BNCC370425</v>
          </cell>
        </row>
        <row r="4963">
          <cell r="E4963" t="str">
            <v>SUNDAR NAGAR, JAMSHEDPUR</v>
          </cell>
          <cell r="G4963">
            <v>7908183052</v>
          </cell>
          <cell r="K4963" t="str">
            <v>BUAD162625</v>
          </cell>
        </row>
        <row r="4964">
          <cell r="E4964" t="str">
            <v>PATNA</v>
          </cell>
          <cell r="G4964"/>
          <cell r="K4964" t="str">
            <v>BVID121544</v>
          </cell>
        </row>
        <row r="4965">
          <cell r="E4965" t="str">
            <v>SUNDI, RAMGARH</v>
          </cell>
          <cell r="G4965">
            <v>0</v>
          </cell>
          <cell r="K4965">
            <v>123054</v>
          </cell>
        </row>
        <row r="4966">
          <cell r="E4966" t="str">
            <v>LALPUR</v>
          </cell>
          <cell r="G4966">
            <v>8587981692</v>
          </cell>
          <cell r="K4966" t="str">
            <v>BVKS048013</v>
          </cell>
        </row>
        <row r="4967">
          <cell r="E4967" t="str">
            <v>RAJA PUR</v>
          </cell>
          <cell r="G4967">
            <v>7033918145</v>
          </cell>
          <cell r="K4967" t="str">
            <v>BRHD161312</v>
          </cell>
        </row>
        <row r="4968">
          <cell r="E4968" t="str">
            <v>AT - HEHAL, POST - BARKAKANA
BARKAKANA
829103</v>
          </cell>
          <cell r="G4968">
            <v>6200896545</v>
          </cell>
          <cell r="K4968" t="str">
            <v>BUAS033580</v>
          </cell>
        </row>
        <row r="4969">
          <cell r="E4969" t="str">
            <v xml:space="preserve">M/S.AGASTYA AERO WORKS PVT LTD, BIRU,
 SIMDEGA JHARKHAND-835228
</v>
          </cell>
          <cell r="G4969">
            <v>7488310514</v>
          </cell>
          <cell r="K4969" t="str">
            <v>BUBS033764</v>
          </cell>
        </row>
        <row r="4970">
          <cell r="E4970" t="str">
            <v>RANCHI ROAD,RAMGARH 
DIGWAR,RAMGARH
829122
DIGWAR , RANCHI ROAD ,</v>
          </cell>
          <cell r="G4970">
            <v>7004848564</v>
          </cell>
          <cell r="K4970" t="str">
            <v>BSFC376459</v>
          </cell>
        </row>
        <row r="4971">
          <cell r="E4971" t="str">
            <v>RANCHI ROAD,RAMGARH 
DIGWAR,RAMGARH
829122
DIGWAR , RANCHI ROAD ,</v>
          </cell>
          <cell r="G4971">
            <v>7004848564</v>
          </cell>
          <cell r="K4971" t="str">
            <v>GOAC370220</v>
          </cell>
        </row>
        <row r="4972">
          <cell r="E4972" t="str">
            <v>KATRAS, DHANBAD</v>
          </cell>
          <cell r="G4972">
            <v>9304207050</v>
          </cell>
          <cell r="K4972" t="str">
            <v>BSKD161477</v>
          </cell>
        </row>
        <row r="4973">
          <cell r="E4973" t="str">
            <v>LALPUR</v>
          </cell>
          <cell r="G4973">
            <v>8587981692</v>
          </cell>
          <cell r="K4973" t="str">
            <v>BVKS048013</v>
          </cell>
        </row>
        <row r="4974">
          <cell r="E4974" t="str">
            <v>LOHARDAGA,JHARKHAND
LOHARDAGA, MOB. NO.9661111900
835302
LOHARDAGA</v>
          </cell>
          <cell r="G4974">
            <v>9973880780</v>
          </cell>
          <cell r="K4974" t="str">
            <v>BQFS031084</v>
          </cell>
        </row>
        <row r="4975">
          <cell r="E4975" t="str">
            <v>RANCHI</v>
          </cell>
          <cell r="G4975">
            <v>9973880780</v>
          </cell>
          <cell r="K4975" t="str">
            <v>BKDS031405</v>
          </cell>
        </row>
        <row r="4976">
          <cell r="E4976" t="str">
            <v>CHAPAPUR, NIRSA</v>
          </cell>
          <cell r="G4976">
            <v>9835747740</v>
          </cell>
          <cell r="K4976" t="str">
            <v>BQED160215</v>
          </cell>
        </row>
        <row r="4977">
          <cell r="E4977" t="str">
            <v>LOHARDAGAH</v>
          </cell>
          <cell r="G4977">
            <v>8434111029</v>
          </cell>
          <cell r="K4977" t="str">
            <v>BUFS046839</v>
          </cell>
        </row>
        <row r="4978">
          <cell r="E4978" t="str">
            <v>PEPARWAR, KHILADI</v>
          </cell>
          <cell r="G4978">
            <v>9006617909</v>
          </cell>
          <cell r="K4978" t="str">
            <v>BRKD220111</v>
          </cell>
        </row>
        <row r="4979">
          <cell r="E4979" t="str">
            <v>AMLO, PHUSHRO</v>
          </cell>
          <cell r="G4979">
            <v>9006617909</v>
          </cell>
          <cell r="K4979" t="str">
            <v>BTKD162074</v>
          </cell>
        </row>
        <row r="4980">
          <cell r="E4980" t="str">
            <v>PALAMU,GARWA, JHARKHAND
822124
GARHWA ROAD, NEAR BCCL PALAMU,</v>
          </cell>
          <cell r="G4980">
            <v>9113478726</v>
          </cell>
          <cell r="K4980" t="str">
            <v>GOCS030806</v>
          </cell>
        </row>
        <row r="4981">
          <cell r="E4981" t="str">
            <v>TETULMARI, DHANBAD</v>
          </cell>
          <cell r="G4981">
            <v>9155382795</v>
          </cell>
          <cell r="K4981" t="str">
            <v>BVLD163040</v>
          </cell>
        </row>
        <row r="4982">
          <cell r="E4982" t="str">
            <v>REHLA,GARWA,JHARKHAND
822124
RANCHI</v>
          </cell>
          <cell r="G4982">
            <v>7004623399</v>
          </cell>
          <cell r="K4982" t="str">
            <v>GOIS031795</v>
          </cell>
        </row>
        <row r="4983">
          <cell r="E4983" t="str">
            <v>RAVULA SHYAM SUNDER REDDY, HOUSE NO. 3-5-196/1, ROAD NO. 5M, KRISHNANAGAR COLONY, MOULALI, HYDRABAD</v>
          </cell>
          <cell r="G4983">
            <v>9304207056</v>
          </cell>
          <cell r="K4983" t="str">
            <v>BSCD161691</v>
          </cell>
        </row>
        <row r="4984">
          <cell r="E4984" t="str">
            <v>NICHITPUR</v>
          </cell>
          <cell r="G4984">
            <v>7903412157</v>
          </cell>
          <cell r="K4984" t="str">
            <v>BUCD162696</v>
          </cell>
        </row>
        <row r="4985">
          <cell r="E4985" t="str">
            <v>C/O PALANIAPPAN CHANDRAN, KATTUKOTTAL, PAITHUR, P.O- ATTUR TK,SALEM, TAMILNADU</v>
          </cell>
          <cell r="G4985">
            <v>8809338483</v>
          </cell>
          <cell r="K4985" t="str">
            <v>BSAD230391</v>
          </cell>
        </row>
        <row r="4986">
          <cell r="E4986" t="str">
            <v>PEPARWAR, KHILADI</v>
          </cell>
          <cell r="G4986">
            <v>9006617909</v>
          </cell>
          <cell r="K4986" t="str">
            <v>BRKD220111</v>
          </cell>
        </row>
        <row r="4987">
          <cell r="E4987" t="str">
            <v>GARHWA DALTONGANJ</v>
          </cell>
          <cell r="G4987">
            <v>7488259727</v>
          </cell>
          <cell r="K4987" t="str">
            <v>BSAD161582</v>
          </cell>
        </row>
        <row r="4988">
          <cell r="E4988" t="str">
            <v>KHURPANIA, KHASHMAHAL, PHUSHRO</v>
          </cell>
          <cell r="G4988">
            <v>6299732316</v>
          </cell>
          <cell r="K4988" t="str">
            <v>BTHD162350</v>
          </cell>
        </row>
        <row r="4989">
          <cell r="E4989" t="str">
            <v>BIHAR</v>
          </cell>
          <cell r="G4989">
            <v>8935923285</v>
          </cell>
          <cell r="K4989" t="str">
            <v>BSID161968</v>
          </cell>
        </row>
        <row r="4990">
          <cell r="E4990" t="str">
            <v>SAHIBGANJ</v>
          </cell>
          <cell r="G4990">
            <v>7544958524</v>
          </cell>
          <cell r="K4990" t="str">
            <v>BSID161973</v>
          </cell>
        </row>
        <row r="4991">
          <cell r="E4991" t="str">
            <v>VILL - BARIDARI, BOKARO</v>
          </cell>
          <cell r="G4991">
            <v>6204816691</v>
          </cell>
          <cell r="K4991" t="str">
            <v>BSCD161704</v>
          </cell>
        </row>
        <row r="4992">
          <cell r="E4992" t="str">
            <v>TIPUDANA RANCHI</v>
          </cell>
          <cell r="G4992">
            <v>9334745488</v>
          </cell>
          <cell r="K4992" t="str">
            <v>BPBD200118</v>
          </cell>
        </row>
        <row r="4993">
          <cell r="E4993" t="str">
            <v>DALADALI, RANCHI</v>
          </cell>
          <cell r="G4993">
            <v>9934169368</v>
          </cell>
          <cell r="K4993" t="str">
            <v>BQHD160416</v>
          </cell>
        </row>
        <row r="4994">
          <cell r="E4994" t="str">
            <v>JHUMRI TELAIYA, KODARMA
825409</v>
          </cell>
          <cell r="G4994">
            <v>7753025487</v>
          </cell>
          <cell r="K4994" t="str">
            <v>BSBC375530</v>
          </cell>
        </row>
        <row r="4995">
          <cell r="E4995" t="str">
            <v>KWJAMA COLLIERY, DHANBAD</v>
          </cell>
          <cell r="G4995">
            <v>7644045555</v>
          </cell>
          <cell r="K4995" t="str">
            <v>BVCD163165</v>
          </cell>
        </row>
        <row r="4996">
          <cell r="E4996" t="str">
            <v>KODERMA</v>
          </cell>
          <cell r="G4996">
            <v>6299040018</v>
          </cell>
          <cell r="K4996" t="str">
            <v>BWID220970</v>
          </cell>
        </row>
        <row r="4997">
          <cell r="E4997" t="str">
            <v>TETULWARI</v>
          </cell>
          <cell r="G4997">
            <v>9835747740</v>
          </cell>
          <cell r="K4997" t="str">
            <v>BTGD162296</v>
          </cell>
        </row>
        <row r="4998">
          <cell r="E4998" t="str">
            <v>TATISILWAI, JHARKHAND
835103</v>
          </cell>
          <cell r="G4998">
            <v>6200160428</v>
          </cell>
          <cell r="K4998" t="str">
            <v>BQGS031413</v>
          </cell>
        </row>
        <row r="4999">
          <cell r="E4999" t="str">
            <v>GETALATU, RANCHI</v>
          </cell>
          <cell r="G4999">
            <v>8877664494</v>
          </cell>
          <cell r="K4999" t="str">
            <v>BUFC372853</v>
          </cell>
        </row>
        <row r="5000">
          <cell r="E5000" t="str">
            <v>ORMANJHI
835219</v>
          </cell>
          <cell r="G5000">
            <v>7091690999</v>
          </cell>
          <cell r="K5000" t="str">
            <v>BTFC378771</v>
          </cell>
        </row>
        <row r="5001">
          <cell r="E5001" t="str">
            <v>PLOT NO 716,VILL-RUKKA,
835219</v>
          </cell>
          <cell r="G5001">
            <v>9791019799</v>
          </cell>
          <cell r="K5001" t="str">
            <v>BSKS036366</v>
          </cell>
        </row>
        <row r="5002">
          <cell r="E5002" t="str">
            <v>UNIT OF HERITAGE LANDMARKS AUTOWORLD PVT. LTD., NEAR KAMRE AASHRAM, P.O. KAMRE, RATU ROAD, RANCHI
835214</v>
          </cell>
          <cell r="G5002">
            <v>9065552131</v>
          </cell>
          <cell r="K5002" t="str">
            <v>BTJC377158</v>
          </cell>
        </row>
        <row r="5003">
          <cell r="E5003" t="str">
            <v>TAPIN PROJECT, CHARHI</v>
          </cell>
          <cell r="G5003">
            <v>6204816691</v>
          </cell>
          <cell r="K5003" t="str">
            <v>BVLD163067</v>
          </cell>
        </row>
        <row r="5004">
          <cell r="E5004" t="str">
            <v>1ST FLOOR, RAJ GLASS AND HARDWARE, PISKA MORE, PO - HEHEL, RATU ROAD, RANCHI
1ST FLOOR, RAJ GLASS AND HARDWARE, PISKA MORE, PO - HEHEL, RATU ROAD, RANCHI
835214</v>
          </cell>
          <cell r="G5004">
            <v>7999889085</v>
          </cell>
          <cell r="K5004" t="str">
            <v>BTES044431</v>
          </cell>
        </row>
        <row r="5005">
          <cell r="E5005" t="str">
            <v>MANDAR,  RANCHI - 835214. JHARKHAND.</v>
          </cell>
          <cell r="G5005">
            <v>8969296308</v>
          </cell>
          <cell r="K5005" t="str">
            <v>BUDS046356</v>
          </cell>
        </row>
        <row r="5006">
          <cell r="E5006" t="str">
            <v>TETULWARI</v>
          </cell>
          <cell r="G5006">
            <v>9835747740</v>
          </cell>
          <cell r="K5006" t="str">
            <v>BTGD162296</v>
          </cell>
        </row>
        <row r="5007">
          <cell r="E5007" t="str">
            <v>PIPARWAR,JHARKHAND
BAHERA, BENTI, PIPARWAR, CHATRA
825321</v>
          </cell>
          <cell r="G5007">
            <v>9430197163</v>
          </cell>
          <cell r="K5007" t="str">
            <v>BOID200231</v>
          </cell>
        </row>
        <row r="5008">
          <cell r="E5008" t="str">
            <v>GHATOTAND, RAMGRAH</v>
          </cell>
          <cell r="G5008">
            <v>9204233196</v>
          </cell>
          <cell r="K5008" t="str">
            <v>GOES040388</v>
          </cell>
        </row>
        <row r="5009">
          <cell r="E5009" t="str">
            <v>BARKAGAOUN, HAZARIBAGH</v>
          </cell>
          <cell r="G5009">
            <v>7070010949</v>
          </cell>
          <cell r="K5009" t="str">
            <v>BVED231179</v>
          </cell>
        </row>
        <row r="5010">
          <cell r="E5010" t="str">
            <v>KAMRE
835222</v>
          </cell>
          <cell r="G5010">
            <v>7004730822</v>
          </cell>
          <cell r="K5010" t="str">
            <v>BTCC377923</v>
          </cell>
        </row>
        <row r="5011">
          <cell r="E5011" t="str">
            <v>AL-MED EQUIPMENTS
BARIATU ROAD, RANCHI
834009</v>
          </cell>
          <cell r="G5011">
            <v>8652295184</v>
          </cell>
          <cell r="K5011" t="str">
            <v>BUBS045901</v>
          </cell>
        </row>
        <row r="5012">
          <cell r="E5012" t="str">
            <v>SUJATA CINEMA COMPOUND</v>
          </cell>
          <cell r="G5012">
            <v>7004990156</v>
          </cell>
          <cell r="K5012" t="str">
            <v>BQEC370742</v>
          </cell>
        </row>
        <row r="5013">
          <cell r="E5013" t="str">
            <v>BARHI INDUSTRIAL ARE BARHI</v>
          </cell>
          <cell r="G5013">
            <v>8795889641</v>
          </cell>
          <cell r="K5013" t="str">
            <v>BUAF111226</v>
          </cell>
        </row>
        <row r="5014">
          <cell r="E5014" t="str">
            <v>BAZAR SAMITI,RAMGARH
829122</v>
          </cell>
          <cell r="G5014">
            <v>9835764965</v>
          </cell>
          <cell r="K5014" t="str">
            <v>BSBC375576</v>
          </cell>
        </row>
        <row r="5015">
          <cell r="E5015" t="str">
            <v>KATRAS, DHANBAD</v>
          </cell>
          <cell r="G5015">
            <v>7667074257</v>
          </cell>
          <cell r="K5015" t="str">
            <v>BWAD163674</v>
          </cell>
        </row>
        <row r="5016">
          <cell r="E5016" t="str">
            <v>NAMKUM INDUSTRIAL AREA,RANCHI
834010</v>
          </cell>
          <cell r="G5016">
            <v>7779995005</v>
          </cell>
          <cell r="K5016" t="str">
            <v>GOCC370403</v>
          </cell>
        </row>
        <row r="5017">
          <cell r="E5017" t="str">
            <v>NAMKUM INDUSTRIAL AREA,RANCHI
834010</v>
          </cell>
          <cell r="G5017">
            <v>7779995005</v>
          </cell>
          <cell r="K5017" t="str">
            <v>BRHS035337</v>
          </cell>
        </row>
        <row r="5018">
          <cell r="E5018" t="str">
            <v>SHIVA JEE LANE, HARMU
834002</v>
          </cell>
          <cell r="G5018">
            <v>9431574189</v>
          </cell>
          <cell r="K5018" t="str">
            <v>BRGC374007</v>
          </cell>
        </row>
        <row r="5019">
          <cell r="E5019" t="str">
            <v>KATHITAR,RANCHI
KATHITAR,RANCHI
834004
KATHITAR,</v>
          </cell>
          <cell r="G5019">
            <v>6203721760</v>
          </cell>
          <cell r="K5019" t="str">
            <v>BSFC376340</v>
          </cell>
        </row>
        <row r="5020">
          <cell r="E5020" t="str">
            <v>LALGUTUWA, RANCHI</v>
          </cell>
          <cell r="G5020">
            <v>9798542502</v>
          </cell>
          <cell r="K5020" t="str">
            <v>BSES037922</v>
          </cell>
        </row>
        <row r="5021">
          <cell r="E5021" t="str">
            <v>NAMKUN INDUSTRIAL AREA,RANCHI
834010</v>
          </cell>
          <cell r="G5021">
            <v>9431921699</v>
          </cell>
          <cell r="K5021" t="str">
            <v>BUDS034771</v>
          </cell>
        </row>
        <row r="5022">
          <cell r="E5022" t="str">
            <v>BASTAWLA DHANBAD</v>
          </cell>
          <cell r="G5022">
            <v>7623886938</v>
          </cell>
          <cell r="K5022" t="str">
            <v>BUAD162630</v>
          </cell>
        </row>
        <row r="5023">
          <cell r="E5023" t="str">
            <v>BERA, DHANBAD</v>
          </cell>
          <cell r="G5023">
            <v>7632886938</v>
          </cell>
          <cell r="K5023" t="str">
            <v>BUAD162634</v>
          </cell>
        </row>
        <row r="5024">
          <cell r="E5024" t="str">
            <v>DHANBAD JHARKHAND</v>
          </cell>
          <cell r="G5024">
            <v>7623886938</v>
          </cell>
          <cell r="K5024" t="str">
            <v>BQKD160115</v>
          </cell>
        </row>
        <row r="5025">
          <cell r="E5025" t="str">
            <v>GROUND FLOOR, 8H AND 81, NATION PRINTERS, NAMKUM INDUSTRIAL AREA,, LOWADIH, RANCHI
GROUND FLOOR, 8H AND 81, NATION PRINTERS, NAMKUM INDUSTRIAL AREA,, LOWADIH, RANCHI
834010</v>
          </cell>
          <cell r="G5025">
            <v>9709225271</v>
          </cell>
          <cell r="K5025" t="str">
            <v>BRFC373676</v>
          </cell>
        </row>
        <row r="5026">
          <cell r="E5026" t="str">
            <v>RAMNAGAR , HAZARIBAGH,JHARKHAND
825302</v>
          </cell>
          <cell r="G5026">
            <v>9113183803</v>
          </cell>
          <cell r="K5026" t="str">
            <v>BQAC373617</v>
          </cell>
        </row>
        <row r="5027">
          <cell r="E5027" t="str">
            <v>DHANBAD</v>
          </cell>
          <cell r="G5027">
            <v>9262918814</v>
          </cell>
          <cell r="K5027" t="str">
            <v>BVKD163026</v>
          </cell>
        </row>
        <row r="5028">
          <cell r="E5028" t="str">
            <v>BHOWRA</v>
          </cell>
          <cell r="G5028">
            <v>7488119074</v>
          </cell>
          <cell r="K5028" t="str">
            <v>BULD162568</v>
          </cell>
        </row>
        <row r="5029">
          <cell r="E5029" t="str">
            <v>C/O - PREM PRAKASH AGARWAL, OPP - HILLVIEW FUEL STATION, GODHUR, P.O - KUSUNDA, DHANBAD</v>
          </cell>
          <cell r="G5029">
            <v>7903412157</v>
          </cell>
          <cell r="K5029" t="str">
            <v>BTED162217</v>
          </cell>
        </row>
        <row r="5030">
          <cell r="E5030" t="str">
            <v>HESLA,RAMGARH
829101</v>
          </cell>
          <cell r="G5030">
            <v>7562823341</v>
          </cell>
          <cell r="K5030" t="str">
            <v>BSJS035917</v>
          </cell>
        </row>
        <row r="5031">
          <cell r="E5031" t="str">
            <v>HESLA,RAMGARH
829101</v>
          </cell>
          <cell r="G5031">
            <v>7562823341</v>
          </cell>
          <cell r="K5031" t="str">
            <v>BSDS037710</v>
          </cell>
        </row>
        <row r="5032">
          <cell r="E5032" t="str">
            <v>KOKAR INDUSTRIAL AREA</v>
          </cell>
          <cell r="G5032">
            <v>8709740232</v>
          </cell>
          <cell r="K5032" t="str">
            <v>BVKC374486</v>
          </cell>
        </row>
        <row r="5033">
          <cell r="E5033" t="str">
            <v>RAJRAPPA</v>
          </cell>
          <cell r="G5033">
            <v>8092762251</v>
          </cell>
          <cell r="K5033" t="str">
            <v>BUKC370655</v>
          </cell>
        </row>
        <row r="5034">
          <cell r="E5034" t="str">
            <v>AT - HEHAL, POST - BARKAKANA
BARKAKANA
829103</v>
          </cell>
          <cell r="G5034">
            <v>6200896545</v>
          </cell>
          <cell r="K5034" t="str">
            <v>BUAS033580</v>
          </cell>
        </row>
        <row r="5035">
          <cell r="E5035"/>
          <cell r="G5035">
            <v>7258986832</v>
          </cell>
          <cell r="K5035" t="str">
            <v>BVEC376770</v>
          </cell>
        </row>
        <row r="5036">
          <cell r="E5036" t="str">
            <v>VILLAGE - PANDRA
P.O. - KANKE
835222</v>
          </cell>
          <cell r="G5036">
            <v>8476880297</v>
          </cell>
          <cell r="K5036" t="str">
            <v>BUJS032230</v>
          </cell>
        </row>
        <row r="5037">
          <cell r="E5037" t="str">
            <v>NAYA MORE,RAMGARH
ARA SARU BERA ROAD, NAYA, RAMGARH,JHARKHAND
829110
NAYA MORE</v>
          </cell>
          <cell r="G5037">
            <v>8651078549</v>
          </cell>
          <cell r="K5037" t="str">
            <v>BQBS033796</v>
          </cell>
        </row>
        <row r="5038">
          <cell r="E5038" t="str">
            <v>BHULI, DHANBAD</v>
          </cell>
          <cell r="G5038">
            <v>7541046561</v>
          </cell>
          <cell r="K5038" t="str">
            <v>BVFS039912</v>
          </cell>
        </row>
        <row r="5039">
          <cell r="E5039" t="str">
            <v>AAMZAR, BALIAPUR ROAD, DHANBAD
AAMZAR, BALIAPUR ROAD, DHANBAD
000000</v>
          </cell>
          <cell r="G5039">
            <v>7488737393</v>
          </cell>
          <cell r="K5039" t="str">
            <v>BUES035210</v>
          </cell>
        </row>
        <row r="5040">
          <cell r="E5040" t="str">
            <v>BAZAR SAMITI,RAMGARH
829122</v>
          </cell>
          <cell r="G5040">
            <v>9801381719</v>
          </cell>
          <cell r="K5040" t="str">
            <v>BTGC379081</v>
          </cell>
        </row>
        <row r="5041">
          <cell r="E5041" t="str">
            <v>BAZAR SAMITI,RAMGARH
829122</v>
          </cell>
          <cell r="G5041">
            <v>9801381719</v>
          </cell>
          <cell r="K5041" t="str">
            <v>BSBC375576</v>
          </cell>
        </row>
        <row r="5042">
          <cell r="E5042" t="str">
            <v>JHUMRI TILAIYA</v>
          </cell>
          <cell r="G5042">
            <v>7004725287</v>
          </cell>
          <cell r="K5042" t="str">
            <v>GPLS030458</v>
          </cell>
        </row>
        <row r="5043">
          <cell r="E5043" t="str">
            <v>MANDU, RAMGARH
JAISWAL COLONY, THANA CHOW,, RAMGARH CANTT. DIST. RAMGARH, JHARKHAND
825316
MANDU</v>
          </cell>
          <cell r="G5043">
            <v>9939701451</v>
          </cell>
          <cell r="K5043">
            <v>123399</v>
          </cell>
        </row>
        <row r="5044">
          <cell r="E5044" t="str">
            <v>DHANBAD</v>
          </cell>
          <cell r="G5044">
            <v>9262918814</v>
          </cell>
          <cell r="K5044" t="str">
            <v>BVKD163026</v>
          </cell>
        </row>
        <row r="5045">
          <cell r="E5045" t="str">
            <v>KWJAMA COLLIERY, DHANBAD</v>
          </cell>
          <cell r="G5045">
            <v>7644045555</v>
          </cell>
          <cell r="K5045" t="str">
            <v>BVCD163165</v>
          </cell>
        </row>
        <row r="5046">
          <cell r="E5046" t="str">
            <v>NAGARI,</v>
          </cell>
          <cell r="G5046">
            <v>7903706711</v>
          </cell>
          <cell r="K5046" t="str">
            <v>BILS030211</v>
          </cell>
        </row>
        <row r="5047">
          <cell r="E5047" t="str">
            <v>NAGARI,</v>
          </cell>
          <cell r="G5047">
            <v>7903706711</v>
          </cell>
          <cell r="K5047" t="str">
            <v>BLGS040582</v>
          </cell>
        </row>
        <row r="5048">
          <cell r="E5048" t="str">
            <v>NICHITPUR</v>
          </cell>
          <cell r="G5048">
            <v>9153445133</v>
          </cell>
          <cell r="K5048" t="str">
            <v>BUCD162696</v>
          </cell>
        </row>
        <row r="5049">
          <cell r="E5049" t="str">
            <v>TUPUDANA, RANCHI</v>
          </cell>
          <cell r="G5049">
            <v>8969978501</v>
          </cell>
          <cell r="K5049" t="str">
            <v>BVAD121386</v>
          </cell>
        </row>
        <row r="5050">
          <cell r="E5050" t="str">
            <v>TETULWARI</v>
          </cell>
          <cell r="G5050">
            <v>9835747740</v>
          </cell>
          <cell r="K5050" t="str">
            <v>BTGD162296</v>
          </cell>
        </row>
        <row r="5051">
          <cell r="E5051" t="str">
            <v>BHOWRA, DHANBAD</v>
          </cell>
          <cell r="G5051">
            <v>6207308280</v>
          </cell>
          <cell r="K5051" t="str">
            <v>BVJD162958</v>
          </cell>
        </row>
        <row r="5052">
          <cell r="E5052" t="str">
            <v>RAJAPUR, DHANBAD</v>
          </cell>
          <cell r="G5052">
            <v>7667544644</v>
          </cell>
          <cell r="K5052" t="str">
            <v>BQKD200046</v>
          </cell>
        </row>
        <row r="5053">
          <cell r="E5053" t="str">
            <v>RAJAPUR, DHANBAD</v>
          </cell>
          <cell r="G5053">
            <v>7667544644</v>
          </cell>
          <cell r="K5053" t="str">
            <v>BQKD200046</v>
          </cell>
        </row>
        <row r="5054">
          <cell r="E5054" t="str">
            <v>TUPUDANA</v>
          </cell>
          <cell r="G5054">
            <v>9709018329</v>
          </cell>
          <cell r="K5054" t="str">
            <v>BVLD163043</v>
          </cell>
        </row>
        <row r="5055">
          <cell r="E5055" t="str">
            <v>KUJAMA</v>
          </cell>
          <cell r="G5055">
            <v>7644045555</v>
          </cell>
          <cell r="K5055" t="str">
            <v>BVJD162972</v>
          </cell>
        </row>
        <row r="5056">
          <cell r="E5056" t="str">
            <v>NTA LODNA, DHANBAD</v>
          </cell>
          <cell r="G5056">
            <v>7644045555</v>
          </cell>
          <cell r="K5056" t="str">
            <v>BULD162559</v>
          </cell>
        </row>
        <row r="5057">
          <cell r="E5057" t="str">
            <v>LODNA</v>
          </cell>
          <cell r="G5057">
            <v>7644045555</v>
          </cell>
          <cell r="K5057" t="str">
            <v>BTCD162149</v>
          </cell>
        </row>
        <row r="5058">
          <cell r="E5058" t="str">
            <v>LODNA</v>
          </cell>
          <cell r="G5058">
            <v>7644045555</v>
          </cell>
          <cell r="K5058" t="str">
            <v>BTDD162169</v>
          </cell>
        </row>
        <row r="5059">
          <cell r="E5059" t="str">
            <v>JHARIA, DHANBAD</v>
          </cell>
          <cell r="G5059">
            <v>9340918510</v>
          </cell>
          <cell r="K5059" t="str">
            <v>BRHD161304</v>
          </cell>
        </row>
        <row r="5060">
          <cell r="E5060" t="str">
            <v>DHANBAD</v>
          </cell>
          <cell r="G5060">
            <v>7644045555</v>
          </cell>
          <cell r="K5060" t="str">
            <v>BTCD162159</v>
          </cell>
        </row>
        <row r="5061">
          <cell r="E5061" t="str">
            <v>RAMGARH</v>
          </cell>
          <cell r="G5061">
            <v>7004377365</v>
          </cell>
          <cell r="K5061" t="str">
            <v>BLES031356</v>
          </cell>
        </row>
        <row r="5062">
          <cell r="E5062" t="str">
            <v>SONARDHI</v>
          </cell>
          <cell r="G5062">
            <v>9348231798</v>
          </cell>
          <cell r="K5062" t="str">
            <v>BRCD160940</v>
          </cell>
        </row>
        <row r="5063">
          <cell r="E5063" t="str">
            <v>PHUSHRO, KARO</v>
          </cell>
          <cell r="G5063">
            <v>7440956279</v>
          </cell>
          <cell r="K5063" t="str">
            <v>BTED162209</v>
          </cell>
        </row>
        <row r="5064">
          <cell r="E5064" t="str">
            <v>PHUSHRO, KARO</v>
          </cell>
          <cell r="G5064">
            <v>8210106692</v>
          </cell>
          <cell r="K5064" t="str">
            <v>BTED162209</v>
          </cell>
        </row>
        <row r="5065">
          <cell r="E5065" t="str">
            <v>RAMGARH</v>
          </cell>
          <cell r="G5065">
            <v>7004377365</v>
          </cell>
          <cell r="K5065" t="str">
            <v>BLES031356</v>
          </cell>
        </row>
        <row r="5066">
          <cell r="E5066" t="str">
            <v>DUMRI, DHANBAD</v>
          </cell>
          <cell r="G5066">
            <v>6204545670</v>
          </cell>
          <cell r="K5066" t="str">
            <v>BVHD163374</v>
          </cell>
        </row>
        <row r="5067">
          <cell r="E5067" t="str">
            <v>DHANBAD</v>
          </cell>
          <cell r="G5067">
            <v>9262918814</v>
          </cell>
          <cell r="K5067" t="str">
            <v>BVKD163026</v>
          </cell>
        </row>
        <row r="5068">
          <cell r="E5068" t="str">
            <v>ANGAR PATRA,DHANBAD</v>
          </cell>
          <cell r="G5068">
            <v>6207308280</v>
          </cell>
          <cell r="K5068" t="str">
            <v>BSGD161898</v>
          </cell>
        </row>
        <row r="5069">
          <cell r="E5069" t="str">
            <v>LODNA</v>
          </cell>
          <cell r="G5069">
            <v>7644045555</v>
          </cell>
          <cell r="K5069" t="str">
            <v>BVJD162972</v>
          </cell>
        </row>
        <row r="5070">
          <cell r="E5070" t="str">
            <v>AT - HEHAL, POST - BARKAKANA
BARKAKANA
829103</v>
          </cell>
          <cell r="G5070">
            <v>9386515681</v>
          </cell>
          <cell r="K5070" t="str">
            <v>BUAS033580</v>
          </cell>
        </row>
        <row r="5071">
          <cell r="E5071" t="str">
            <v>AT. BONGABAR, SANDI, RAMGARH, AMC  FROM 1-8-2019 TO 30-7-2020
829122
SANDI ,</v>
          </cell>
          <cell r="G5071">
            <v>6201790044</v>
          </cell>
          <cell r="K5071" t="str">
            <v>BLGS040605</v>
          </cell>
        </row>
        <row r="5072">
          <cell r="E5072" t="str">
            <v>TATULMURI, DHANBAD</v>
          </cell>
          <cell r="G5072">
            <v>6203273412</v>
          </cell>
          <cell r="K5072" t="str">
            <v>BUGD162852</v>
          </cell>
        </row>
        <row r="5073">
          <cell r="E5073" t="str">
            <v>NAGRI, RANCHI
TIKRATOLI, P.O:- NAGRI, RANCHI
834006</v>
          </cell>
          <cell r="G5073">
            <v>7549287704</v>
          </cell>
          <cell r="K5073" t="str">
            <v>BKKS030393</v>
          </cell>
        </row>
        <row r="5074">
          <cell r="E5074" t="str">
            <v>Govindpur, Dhanbad</v>
          </cell>
          <cell r="G5074">
            <v>6380540177</v>
          </cell>
          <cell r="K5074" t="str">
            <v>BQGD230029</v>
          </cell>
        </row>
        <row r="5075">
          <cell r="E5075" t="str">
            <v>REHLA,GARWA,JHARKHAND
822124
RANCHI</v>
          </cell>
          <cell r="G5075">
            <v>7004623399</v>
          </cell>
          <cell r="K5075" t="str">
            <v>BMFS031346</v>
          </cell>
        </row>
        <row r="5076">
          <cell r="E5076" t="str">
            <v>VINAIKA’S COMPLEX RANCHI TATA ROAD, R.S. PLOT NO.:-615,VILLAGE-PANCHA,THANA-BUNDU RANCHI, JHARKHAND.
834002</v>
          </cell>
          <cell r="G5076">
            <v>9818905980</v>
          </cell>
          <cell r="K5076" t="str">
            <v>BUDS046275</v>
          </cell>
        </row>
        <row r="5077">
          <cell r="E5077" t="str">
            <v>C&amp;W HATIA</v>
          </cell>
          <cell r="G5077">
            <v>7781002740</v>
          </cell>
          <cell r="K5077" t="str">
            <v>EVLL062069</v>
          </cell>
        </row>
        <row r="5078">
          <cell r="E5078" t="str">
            <v>NICHITPUR</v>
          </cell>
          <cell r="G5078">
            <v>9153445133</v>
          </cell>
          <cell r="K5078" t="str">
            <v>BUCD162696</v>
          </cell>
        </row>
        <row r="5079">
          <cell r="E5079" t="str">
            <v>C/O L&amp;T LIMITED, CHOUSA, BUXER, BIHAR</v>
          </cell>
          <cell r="G5079">
            <v>8349233066</v>
          </cell>
          <cell r="K5079" t="str">
            <v>BVDD163198</v>
          </cell>
        </row>
        <row r="5080">
          <cell r="E5080" t="str">
            <v>GOMO, DHANBAD</v>
          </cell>
          <cell r="G5080">
            <v>9771445218</v>
          </cell>
          <cell r="K5080" t="str">
            <v>EUCS034229</v>
          </cell>
        </row>
        <row r="5081">
          <cell r="E5081" t="str">
            <v>SARWARI, ASANSOL, WB</v>
          </cell>
          <cell r="G5081">
            <v>8809380657</v>
          </cell>
          <cell r="K5081" t="str">
            <v>BPLF150007</v>
          </cell>
        </row>
        <row r="5082">
          <cell r="E5082" t="str">
            <v>KOKAR INDUSTRIAL AREA,RANCHI
834001</v>
          </cell>
          <cell r="G5082">
            <v>7004349722</v>
          </cell>
          <cell r="K5082" t="str">
            <v>BSBC375535</v>
          </cell>
        </row>
        <row r="5083">
          <cell r="E5083" t="str">
            <v>DHANBAD</v>
          </cell>
          <cell r="G5083">
            <v>9693809590</v>
          </cell>
          <cell r="K5083" t="str">
            <v>BVGD163308</v>
          </cell>
        </row>
        <row r="5084">
          <cell r="E5084" t="str">
            <v>BHIALAI PAHADI, JAMSHEDPUR</v>
          </cell>
          <cell r="G5084">
            <v>6207276669</v>
          </cell>
          <cell r="K5084" t="str">
            <v>BVDC376483</v>
          </cell>
        </row>
        <row r="5085">
          <cell r="E5085" t="str">
            <v>DALADALI, RANCHI</v>
          </cell>
          <cell r="G5085">
            <v>9934169368</v>
          </cell>
          <cell r="K5085" t="str">
            <v>BVKD163010</v>
          </cell>
        </row>
        <row r="5086">
          <cell r="E5086" t="str">
            <v>PAKUR</v>
          </cell>
          <cell r="G5086">
            <v>9608770887</v>
          </cell>
          <cell r="K5086" t="str">
            <v>BTDD162190</v>
          </cell>
        </row>
        <row r="5087">
          <cell r="E5087" t="str">
            <v>KOKAR, RANCHI</v>
          </cell>
          <cell r="G5087">
            <v>8051191796</v>
          </cell>
          <cell r="K5087" t="str">
            <v>BRGD161233</v>
          </cell>
        </row>
        <row r="5088">
          <cell r="E5088" t="str">
            <v>TUPUDANA INDUSTRIAL AREA,RANCHI
834003</v>
          </cell>
          <cell r="G5088">
            <v>9835167418</v>
          </cell>
          <cell r="K5088" t="str">
            <v>BRIS035695</v>
          </cell>
        </row>
        <row r="5089">
          <cell r="E5089" t="str">
            <v>PAKUR</v>
          </cell>
          <cell r="G5089">
            <v>9959134215</v>
          </cell>
          <cell r="K5089" t="str">
            <v>BUKD162491</v>
          </cell>
        </row>
        <row r="5090">
          <cell r="E5090" t="str">
            <v>PAKUR</v>
          </cell>
          <cell r="G5090">
            <v>9608770887</v>
          </cell>
          <cell r="K5090" t="str">
            <v>BUKD162500</v>
          </cell>
        </row>
        <row r="5091">
          <cell r="E5091" t="str">
            <v>BHOWRA</v>
          </cell>
          <cell r="G5091">
            <v>9424744640</v>
          </cell>
          <cell r="K5091" t="str">
            <v>BULD162568</v>
          </cell>
        </row>
        <row r="5092">
          <cell r="E5092" t="str">
            <v>BERA, DHANBAD</v>
          </cell>
          <cell r="G5092">
            <v>7632886938</v>
          </cell>
          <cell r="K5092" t="str">
            <v>BUAD162634</v>
          </cell>
        </row>
        <row r="5093">
          <cell r="E5093" t="str">
            <v>UNIT OF HERITAGE LANDMARKS AUTOWORLD PVT. LTD., NEAR KAMRE AASHRAM, P.O. KAMRE, RATU ROAD, RANCHI
835214</v>
          </cell>
          <cell r="G5093">
            <v>9801312499</v>
          </cell>
          <cell r="K5093" t="str">
            <v>BTJC377158</v>
          </cell>
        </row>
        <row r="5094">
          <cell r="E5094" t="str">
            <v>ASANSOL</v>
          </cell>
          <cell r="G5094">
            <v>8809382657</v>
          </cell>
          <cell r="K5094" t="str">
            <v>BSCS037494</v>
          </cell>
        </row>
        <row r="5095">
          <cell r="E5095" t="str">
            <v>DHANBAD</v>
          </cell>
          <cell r="G5095">
            <v>9262918814</v>
          </cell>
          <cell r="K5095" t="str">
            <v>BVKD163026</v>
          </cell>
        </row>
        <row r="5096">
          <cell r="E5096" t="str">
            <v>SAHINGANJ</v>
          </cell>
          <cell r="G5096">
            <v>9002024487</v>
          </cell>
          <cell r="K5096" t="str">
            <v>NA</v>
          </cell>
        </row>
        <row r="5097">
          <cell r="E5097" t="str">
            <v>C/O - AMAN AGRAWAL, PLOT NO. 735, KAITHA, RAMGARH CANTT., RAMGARH
825101</v>
          </cell>
          <cell r="G5097">
            <v>8709937739</v>
          </cell>
          <cell r="K5097" t="str">
            <v>BSDC375954</v>
          </cell>
        </row>
        <row r="5098">
          <cell r="E5098" t="str">
            <v>TUPUDANA, RANCHI</v>
          </cell>
          <cell r="G5098">
            <v>8102915589</v>
          </cell>
          <cell r="K5098" t="str">
            <v>BUDC372327</v>
          </cell>
        </row>
        <row r="5099">
          <cell r="E5099" t="str">
            <v>PAKUR</v>
          </cell>
          <cell r="G5099">
            <v>9959134215</v>
          </cell>
          <cell r="K5099" t="str">
            <v>BUKD162491</v>
          </cell>
        </row>
        <row r="5100">
          <cell r="E5100" t="str">
            <v>PAKUR</v>
          </cell>
          <cell r="G5100">
            <v>9608770887</v>
          </cell>
          <cell r="K5100" t="str">
            <v>BUKD162500</v>
          </cell>
        </row>
        <row r="5101">
          <cell r="E5101" t="str">
            <v>ASHOKA PROJECT PIPARWAR</v>
          </cell>
          <cell r="G5101">
            <v>9934734139</v>
          </cell>
          <cell r="K5101" t="str">
            <v>BUID162912</v>
          </cell>
        </row>
        <row r="5102">
          <cell r="E5102" t="str">
            <v>MANDU, RAMGARH
JAISWAL COLONY, THANA CHOW,, RAMGARH CANTT. DIST. RAMGARH, JHARKHAND
825316
MANDU</v>
          </cell>
          <cell r="G5102">
            <v>6201790044</v>
          </cell>
          <cell r="K5102">
            <v>123399</v>
          </cell>
        </row>
        <row r="5103">
          <cell r="E5103" t="str">
            <v>B7-PHASE-3, BALIDIH INDUSTRIAL AREA BALIDIH, BOKARO STEEL CITY BOKARO, JHARKHAND
SUNDARAM STEELS PVT. LTD, B-7 PHASE-III,BOKARO INDUSTRIAL AREA,BALIDIH, BOKARO
827014</v>
          </cell>
          <cell r="G5103">
            <v>9955777717</v>
          </cell>
          <cell r="K5103" t="str">
            <v>BTHS031467</v>
          </cell>
        </row>
        <row r="5104">
          <cell r="E5104" t="str">
            <v>CHAS, BOKARO
827013</v>
          </cell>
          <cell r="G5104">
            <v>7992434966</v>
          </cell>
          <cell r="K5104" t="str">
            <v>BSEC376103</v>
          </cell>
        </row>
        <row r="5105">
          <cell r="E5105" t="str">
            <v>BALIDIH, BOKARO</v>
          </cell>
          <cell r="G5105">
            <v>9523599901</v>
          </cell>
          <cell r="K5105" t="str">
            <v>BVCC376207</v>
          </cell>
        </row>
        <row r="5106">
          <cell r="E5106" t="str">
            <v>ASHOK NAGAR, RANCHI</v>
          </cell>
          <cell r="G5106">
            <v>9334701321</v>
          </cell>
          <cell r="K5106" t="str">
            <v>BRGD230256</v>
          </cell>
        </row>
        <row r="5107">
          <cell r="E5107" t="str">
            <v>KAMRE
835222</v>
          </cell>
          <cell r="G5107">
            <v>7004730822</v>
          </cell>
          <cell r="K5107" t="str">
            <v>BTCC377923</v>
          </cell>
        </row>
        <row r="5108">
          <cell r="E5108" t="str">
            <v>JHUMRI TELAIYA, KODARMA
825409</v>
          </cell>
          <cell r="G5108">
            <v>7753025487</v>
          </cell>
          <cell r="K5108" t="str">
            <v>BSBC375530</v>
          </cell>
        </row>
        <row r="5109">
          <cell r="E5109" t="str">
            <v>GROUND AND 1 ST FLOOR, BESIDE DAINIK BHASKAR, GOVINDPUR ROAD, DIST :- DHANBAD
GROUND AND 1 ST FLOOR, BESIDE DAINIK BHASKAR, GOVINDPUR ROAD, DIST :- DHANBAD
828109</v>
          </cell>
          <cell r="G5109">
            <v>8789061377</v>
          </cell>
          <cell r="K5109" t="str">
            <v>BRES034488</v>
          </cell>
        </row>
        <row r="5110">
          <cell r="E5110" t="str">
            <v>LODNA</v>
          </cell>
          <cell r="G5110">
            <v>7644045555</v>
          </cell>
          <cell r="K5110" t="str">
            <v>BVJD162972</v>
          </cell>
        </row>
        <row r="5111">
          <cell r="E5111" t="str">
            <v>DHANBAD JHARKHAND</v>
          </cell>
          <cell r="G5111">
            <v>9550053031</v>
          </cell>
          <cell r="K5111" t="str">
            <v>BQKD160115</v>
          </cell>
        </row>
        <row r="5112">
          <cell r="E5112" t="str">
            <v>LODNA</v>
          </cell>
          <cell r="G5112">
            <v>7644045555</v>
          </cell>
          <cell r="K5112" t="str">
            <v>BTCD162149</v>
          </cell>
        </row>
        <row r="5113">
          <cell r="E5113" t="str">
            <v>BASTAKOLA, DHANBAD</v>
          </cell>
          <cell r="G5113">
            <v>9550053031</v>
          </cell>
          <cell r="K5113" t="str">
            <v>BQKD160099</v>
          </cell>
        </row>
        <row r="5114">
          <cell r="E5114" t="str">
            <v>JHARKHAND</v>
          </cell>
          <cell r="G5114">
            <v>9555053031</v>
          </cell>
          <cell r="K5114" t="str">
            <v>BQJD160040</v>
          </cell>
        </row>
        <row r="5115">
          <cell r="E5115" t="str">
            <v>KATITARH,RANCHI
835222</v>
          </cell>
          <cell r="G5115">
            <v>8210811587</v>
          </cell>
          <cell r="K5115" t="str">
            <v>BSAS036940</v>
          </cell>
        </row>
        <row r="5116">
          <cell r="E5116" t="str">
            <v>HESLA,RAMGARH
829101</v>
          </cell>
          <cell r="G5116">
            <v>8809981451</v>
          </cell>
          <cell r="K5116" t="str">
            <v>BSJS035917</v>
          </cell>
        </row>
        <row r="5117">
          <cell r="E5117" t="str">
            <v>HESLA,RAMGARH
829101</v>
          </cell>
          <cell r="G5117">
            <v>7562823341</v>
          </cell>
          <cell r="K5117" t="str">
            <v>BSDS037710</v>
          </cell>
        </row>
        <row r="5118">
          <cell r="E5118" t="str">
            <v>AT: SENEGARHA, P.O-RABODH, P.S-GIDDI,(RAMGARH),, DISTT. HAZARIBAGH,JHARKHAND-825330
829108
AT: SENEGARHA, P.O-RABODH, P.S-GIDDI,(RAMGARH),</v>
          </cell>
          <cell r="G5118">
            <v>9006877583</v>
          </cell>
          <cell r="K5118" t="str">
            <v>BQES030978</v>
          </cell>
        </row>
        <row r="5119">
          <cell r="E5119" t="str">
            <v>RANCHI PATNA ROAD
DEMOTAND
825301
HAZARIBAGH</v>
          </cell>
          <cell r="G5119">
            <v>7905424302</v>
          </cell>
          <cell r="K5119" t="str">
            <v>BSCS037531</v>
          </cell>
        </row>
        <row r="5120">
          <cell r="E5120" t="str">
            <v>AT: SENEGARHA, P.O-RABODH, P.S-GIDDI,(RAMGARH),, DISTT. HAZARIBAGH,JHARKHAND-825330
829108
AT: SENEGARHA, P.O-RABODH, P.S-GIDDI,(RAMGARH),</v>
          </cell>
          <cell r="G5120">
            <v>9006877583</v>
          </cell>
          <cell r="K5120" t="str">
            <v>BRAS033261</v>
          </cell>
        </row>
        <row r="5121">
          <cell r="E5121" t="str">
            <v>BEGUSARAI, BIHAR</v>
          </cell>
          <cell r="G5121">
            <v>8678000802</v>
          </cell>
          <cell r="K5121" t="str">
            <v>BVGD121497</v>
          </cell>
        </row>
        <row r="5122">
          <cell r="E5122" t="str">
            <v>RANCHI
834002</v>
          </cell>
          <cell r="G5122">
            <v>8877100129</v>
          </cell>
          <cell r="K5122" t="str">
            <v>BULS033141</v>
          </cell>
        </row>
        <row r="5123">
          <cell r="E5123" t="str">
            <v>RANCHI
834002</v>
          </cell>
          <cell r="G5123">
            <v>8210241710</v>
          </cell>
          <cell r="K5123" t="str">
            <v>BTIS032020</v>
          </cell>
        </row>
        <row r="5124">
          <cell r="E5124" t="str">
            <v>AT: SENEGARHA, P.O-RABODH, P.S-GIDDI,(RAMGARH),, DISTT. HAZARIBAGH,JHARKHAND-825330
829108
AT: SENEGARHA, P.O-RABODH, P.S-GIDDI,(RAMGARH),</v>
          </cell>
          <cell r="G5124">
            <v>9006877583</v>
          </cell>
          <cell r="K5124" t="str">
            <v>BSCS037349</v>
          </cell>
        </row>
        <row r="5125">
          <cell r="E5125" t="str">
            <v>HORHAP ROAD, MAHILONG, RANCHI
835103</v>
          </cell>
          <cell r="G5125">
            <v>9708039203</v>
          </cell>
          <cell r="K5125" t="str">
            <v>BRIC374329</v>
          </cell>
        </row>
        <row r="5126">
          <cell r="E5126" t="str">
            <v>NICHITPUR</v>
          </cell>
          <cell r="G5126">
            <v>6200250979</v>
          </cell>
          <cell r="K5126" t="str">
            <v>BUCD162696</v>
          </cell>
        </row>
        <row r="5127">
          <cell r="E5127" t="str">
            <v>AMLO, PHUSHRO</v>
          </cell>
          <cell r="G5127">
            <v>9006617909</v>
          </cell>
          <cell r="K5127" t="str">
            <v>BTKD162074</v>
          </cell>
        </row>
        <row r="5128">
          <cell r="E5128" t="str">
            <v>BALIDIH, BOKARO</v>
          </cell>
          <cell r="G5128">
            <v>7033291304</v>
          </cell>
          <cell r="K5128" t="str">
            <v>BRAF110427</v>
          </cell>
        </row>
        <row r="5129">
          <cell r="E5129" t="str">
            <v>KASUNDA</v>
          </cell>
          <cell r="G5129">
            <v>7091340232</v>
          </cell>
          <cell r="K5129" t="str">
            <v>BRDD161023</v>
          </cell>
        </row>
        <row r="5130">
          <cell r="E5130" t="str">
            <v>KASUNDA</v>
          </cell>
          <cell r="G5130">
            <v>7091340232</v>
          </cell>
          <cell r="K5130" t="str">
            <v>BTCD162162</v>
          </cell>
        </row>
        <row r="5131">
          <cell r="E5131" t="str">
            <v>RANCHI PATNA ROAD
DEMOTAND
825301
HAZARIBAGH</v>
          </cell>
          <cell r="G5131">
            <v>7905424302</v>
          </cell>
          <cell r="K5131" t="str">
            <v>BMBL160078</v>
          </cell>
        </row>
        <row r="5132">
          <cell r="E5132" t="str">
            <v>DHANBAD</v>
          </cell>
          <cell r="G5132">
            <v>9441693704</v>
          </cell>
          <cell r="K5132" t="str">
            <v>BTDD162183</v>
          </cell>
        </row>
        <row r="5133">
          <cell r="E5133" t="str">
            <v>HORHAP ROAD, MAHILONG, RANCHI
835103</v>
          </cell>
          <cell r="G5133">
            <v>9708039203</v>
          </cell>
          <cell r="K5133" t="str">
            <v>BRIC374329</v>
          </cell>
        </row>
        <row r="5134">
          <cell r="E5134" t="str">
            <v>TAPIN PROJECT, TAPIN</v>
          </cell>
          <cell r="G5134">
            <v>8521064546</v>
          </cell>
          <cell r="K5134" t="str">
            <v>BUID162953</v>
          </cell>
        </row>
        <row r="5135">
          <cell r="E5135" t="str">
            <v>NAMKUM, RANCHI</v>
          </cell>
          <cell r="G5135">
            <v>9308020400</v>
          </cell>
          <cell r="K5135" t="str">
            <v>BVKS037559</v>
          </cell>
        </row>
        <row r="5136">
          <cell r="E5136" t="str">
            <v>KATITARH,RANCHI
835222</v>
          </cell>
          <cell r="G5136">
            <v>7004273341</v>
          </cell>
          <cell r="K5136" t="str">
            <v>BSAS036940</v>
          </cell>
        </row>
        <row r="5137">
          <cell r="E5137" t="str">
            <v>SAHEBGANJ, JHARKHAND</v>
          </cell>
          <cell r="G5137">
            <v>9065259183</v>
          </cell>
          <cell r="K5137" t="str">
            <v>BTJD162047</v>
          </cell>
        </row>
        <row r="5138">
          <cell r="E5138" t="str">
            <v>DHANBAD JHARKHAND</v>
          </cell>
          <cell r="G5138">
            <v>9550053031</v>
          </cell>
          <cell r="K5138" t="str">
            <v>BQKD160115</v>
          </cell>
        </row>
        <row r="5139">
          <cell r="E5139" t="str">
            <v>NTA LODNA, DHANBAD</v>
          </cell>
          <cell r="G5139">
            <v>7644045555</v>
          </cell>
          <cell r="K5139" t="str">
            <v>BULD162559</v>
          </cell>
        </row>
        <row r="5140">
          <cell r="E5140" t="str">
            <v>KOKAR, RANCHI</v>
          </cell>
          <cell r="G5140">
            <v>8051191796</v>
          </cell>
          <cell r="K5140" t="str">
            <v>BRGD161233</v>
          </cell>
        </row>
        <row r="5141">
          <cell r="E5141" t="str">
            <v>RAMGRAH</v>
          </cell>
          <cell r="G5141">
            <v>9155799786</v>
          </cell>
          <cell r="K5141" t="str">
            <v>BVAS038005</v>
          </cell>
        </row>
        <row r="5142">
          <cell r="E5142" t="str">
            <v>MARAR, RAMGARH, JHARKHAND
MARRAR RAMGARH, 9155729786
829117
MARAR</v>
          </cell>
          <cell r="G5142">
            <v>9204780801</v>
          </cell>
          <cell r="K5142" t="str">
            <v>BMIS031759</v>
          </cell>
        </row>
        <row r="5143">
          <cell r="E5143" t="str">
            <v>NEAR P.N BANK MAIN ROAD,, RAMGARH CANTT-829122, DIST. RAMGARH
829122
BUDHAKHOP, AMBRELA, KARMA,</v>
          </cell>
          <cell r="G5143">
            <v>9693796948</v>
          </cell>
          <cell r="K5143" t="str">
            <v>BSHS038806</v>
          </cell>
        </row>
        <row r="5144">
          <cell r="E5144" t="str">
            <v>GIRIDIH</v>
          </cell>
          <cell r="G5144">
            <v>8051062502</v>
          </cell>
          <cell r="K5144" t="str">
            <v>BVKS048107</v>
          </cell>
        </row>
        <row r="5145">
          <cell r="E5145" t="str">
            <v>ORMANJHI,RANCHI
835219</v>
          </cell>
          <cell r="G5145">
            <v>9155006000</v>
          </cell>
          <cell r="K5145" t="str">
            <v>BSGC376577</v>
          </cell>
        </row>
        <row r="5146">
          <cell r="E5146" t="str">
            <v>GIRIDIH</v>
          </cell>
          <cell r="G5146">
            <v>9204651370</v>
          </cell>
          <cell r="K5146" t="str">
            <v>BVFS049456</v>
          </cell>
        </row>
        <row r="5147">
          <cell r="E5147" t="str">
            <v>NEAR P.N BANK MAIN ROAD,, RAMGARH CANTT-829122, DIST. RAMGARH
829122
BUDHAKHOP, AMBRELA, KARMA,</v>
          </cell>
          <cell r="G5147">
            <v>9693796948</v>
          </cell>
          <cell r="K5147" t="str">
            <v>BQBS030091</v>
          </cell>
        </row>
        <row r="5148">
          <cell r="E5148" t="str">
            <v>CHUTIA, RANCHI</v>
          </cell>
          <cell r="G5148">
            <v>8292766229</v>
          </cell>
          <cell r="K5148" t="str">
            <v>BVKC374485</v>
          </cell>
        </row>
        <row r="5149">
          <cell r="E5149" t="str">
            <v>TIPUDANA, RANCHI</v>
          </cell>
          <cell r="G5149">
            <v>7070990285</v>
          </cell>
          <cell r="K5149" t="str">
            <v>BUGC373215</v>
          </cell>
        </row>
        <row r="5150">
          <cell r="E5150" t="str">
            <v>DHANBAD</v>
          </cell>
          <cell r="G5150">
            <v>8210106692</v>
          </cell>
          <cell r="K5150" t="str">
            <v>BVGD163308</v>
          </cell>
        </row>
        <row r="5151">
          <cell r="E5151" t="str">
            <v>RAMGARH,JHARKHAND
825101
RAMGARH</v>
          </cell>
          <cell r="G5151">
            <v>9798534885</v>
          </cell>
          <cell r="K5151" t="str">
            <v>BSGC376585</v>
          </cell>
        </row>
        <row r="5152">
          <cell r="E5152" t="str">
            <v>JAMSHEDPUR</v>
          </cell>
          <cell r="G5152">
            <v>6207276669</v>
          </cell>
          <cell r="K5152" t="str">
            <v>BVAC375102</v>
          </cell>
        </row>
        <row r="5153">
          <cell r="E5153" t="str">
            <v>KOKAR INDUSTRIAL AREA, RANCHI
834001</v>
          </cell>
          <cell r="G5153">
            <v>7542028941</v>
          </cell>
          <cell r="K5153" t="str">
            <v>BJAET10022</v>
          </cell>
        </row>
        <row r="5154">
          <cell r="E5154" t="str">
            <v>C/O - PREM PRAKASH AGARWAL, OPP - HILLVIEW FUEL STATION, GODHUR, P.O - KUSUNDA, DHANBAD</v>
          </cell>
          <cell r="G5154">
            <v>7903412157</v>
          </cell>
          <cell r="K5154" t="str">
            <v>BTED162217</v>
          </cell>
        </row>
        <row r="5155">
          <cell r="E5155" t="str">
            <v>HAZARINAGH</v>
          </cell>
          <cell r="G5155">
            <v>6200063602</v>
          </cell>
          <cell r="K5155" t="str">
            <v>BUHC373622</v>
          </cell>
        </row>
        <row r="5156">
          <cell r="E5156" t="str">
            <v>HAZARIBAGH,  HAZARIBAGH, JHARKHAND 825301</v>
          </cell>
          <cell r="G5156">
            <v>9031303137</v>
          </cell>
          <cell r="K5156" t="str">
            <v>BUAS033747</v>
          </cell>
        </row>
        <row r="5157">
          <cell r="E5157" t="str">
            <v>ARGADA ROAD, BINJHAR, P.O. - MARAR, RAMGARH
829117</v>
          </cell>
          <cell r="G5157">
            <v>7004687780</v>
          </cell>
          <cell r="K5157" t="str">
            <v>BSCS037449</v>
          </cell>
        </row>
        <row r="5158">
          <cell r="E5158" t="str">
            <v>KHASHMAHAL PROJECT CCL, BERMO, PHUSHRO, JHARKHAND</v>
          </cell>
          <cell r="G5158">
            <v>8210106692</v>
          </cell>
          <cell r="K5158" t="str">
            <v>BULD162561</v>
          </cell>
        </row>
        <row r="5159">
          <cell r="E5159" t="str">
            <v>TATULMURI, DHANBAD</v>
          </cell>
          <cell r="G5159">
            <v>9113788032</v>
          </cell>
          <cell r="K5159" t="str">
            <v>BUGD162852</v>
          </cell>
        </row>
        <row r="5160">
          <cell r="E5160" t="str">
            <v>MANDU, RAMGARH
JAISWAL COLONY, THANA CHOW,, RAMGARH CANTT. DIST. RAMGARH, JHARKHAND
825316
MANDU</v>
          </cell>
          <cell r="G5160">
            <v>8708249759</v>
          </cell>
          <cell r="K5160" t="str">
            <v>BTLS039748</v>
          </cell>
        </row>
        <row r="5161">
          <cell r="E5161" t="str">
            <v>NAMKUM, RANCHI</v>
          </cell>
          <cell r="G5161">
            <v>9308020400</v>
          </cell>
          <cell r="K5161" t="str">
            <v>BVKS037559</v>
          </cell>
        </row>
        <row r="5162">
          <cell r="E5162" t="str">
            <v>NICHITPUR</v>
          </cell>
          <cell r="G5162">
            <v>7903412157</v>
          </cell>
          <cell r="K5162" t="str">
            <v>BUCD162696</v>
          </cell>
        </row>
        <row r="5163">
          <cell r="E5163" t="str">
            <v>BASKATOLA</v>
          </cell>
          <cell r="G5163">
            <v>7489823544</v>
          </cell>
          <cell r="K5163" t="str">
            <v>BULD162577</v>
          </cell>
        </row>
        <row r="5164">
          <cell r="E5164" t="str">
            <v>JASIDIH, DEOGHAR
814142</v>
          </cell>
          <cell r="G5164">
            <v>6202270389</v>
          </cell>
          <cell r="K5164" t="str">
            <v>BSBC375571</v>
          </cell>
        </row>
        <row r="5165">
          <cell r="E5165" t="str">
            <v>BALIDIH INDUSTRIAL AREA, BOKARO
827014
BALIDIH</v>
          </cell>
          <cell r="G5165">
            <v>9523599905</v>
          </cell>
          <cell r="K5165" t="str">
            <v>BMCS030957</v>
          </cell>
        </row>
        <row r="5166">
          <cell r="E5166" t="str">
            <v>RANCHI
834002</v>
          </cell>
          <cell r="G5166">
            <v>8877100129</v>
          </cell>
          <cell r="K5166" t="str">
            <v>BULS033141</v>
          </cell>
        </row>
        <row r="5167">
          <cell r="E5167" t="str">
            <v>BHOWRA</v>
          </cell>
          <cell r="G5167">
            <v>7847058297</v>
          </cell>
          <cell r="K5167" t="str">
            <v>BTCD162162</v>
          </cell>
        </row>
        <row r="5168">
          <cell r="E5168" t="str">
            <v>BALIDIH, BOKARO</v>
          </cell>
          <cell r="G5168">
            <v>9523599901</v>
          </cell>
          <cell r="K5168" t="str">
            <v>BVCC376207</v>
          </cell>
        </row>
        <row r="5169">
          <cell r="E5169" t="str">
            <v>PATRATU</v>
          </cell>
          <cell r="G5169">
            <v>9771426461</v>
          </cell>
          <cell r="K5169" t="str">
            <v>EVKS047996</v>
          </cell>
        </row>
        <row r="5170">
          <cell r="E5170" t="str">
            <v>Chiturdih, Dhanbad.</v>
          </cell>
          <cell r="G5170">
            <v>9931519401</v>
          </cell>
          <cell r="K5170" t="str">
            <v>BTDD162192</v>
          </cell>
        </row>
        <row r="5171">
          <cell r="E5171" t="str">
            <v>DASMILE, RANCHI</v>
          </cell>
          <cell r="G5171">
            <v>9304803878</v>
          </cell>
          <cell r="K5171" t="str">
            <v>BVHD163366</v>
          </cell>
        </row>
        <row r="5172">
          <cell r="E5172" t="str">
            <v>BALIDIH BOKARO</v>
          </cell>
          <cell r="G5172">
            <v>9733293030</v>
          </cell>
          <cell r="K5172" t="str">
            <v>BVFS049358</v>
          </cell>
        </row>
        <row r="5173">
          <cell r="E5173" t="str">
            <v>BALIDIH BOKARO</v>
          </cell>
          <cell r="G5173">
            <v>9733293030</v>
          </cell>
          <cell r="K5173" t="str">
            <v>BVFS049364</v>
          </cell>
        </row>
        <row r="5174">
          <cell r="E5174" t="str">
            <v>BALIDIH BOKARO</v>
          </cell>
          <cell r="G5174">
            <v>9733293030</v>
          </cell>
          <cell r="K5174" t="str">
            <v>BVFS049365</v>
          </cell>
        </row>
        <row r="5175">
          <cell r="E5175" t="str">
            <v>RING ROAD, RANCHI</v>
          </cell>
          <cell r="G5175">
            <v>7903541834</v>
          </cell>
          <cell r="K5175" t="str">
            <v>BULC371019</v>
          </cell>
        </row>
        <row r="5176">
          <cell r="E5176" t="str">
            <v>KHAKHSA PAHAR, PAKURIYA, PAKUR</v>
          </cell>
          <cell r="G5176">
            <v>8789667246</v>
          </cell>
          <cell r="K5176" t="str">
            <v>BUGD162826</v>
          </cell>
        </row>
        <row r="5177">
          <cell r="E5177" t="str">
            <v>DALADALI, RANCHI</v>
          </cell>
          <cell r="G5177">
            <v>9199364073</v>
          </cell>
          <cell r="K5177" t="str">
            <v>BVKD163010</v>
          </cell>
        </row>
        <row r="5178">
          <cell r="E5178" t="str">
            <v>AMLO, PHUSHRO</v>
          </cell>
          <cell r="G5178">
            <v>7541869555</v>
          </cell>
          <cell r="K5178" t="str">
            <v>BTKD162074</v>
          </cell>
        </row>
        <row r="5179">
          <cell r="E5179" t="str">
            <v>DALTONGANJ, JHARKHAND
822101
DALTONGANJ</v>
          </cell>
          <cell r="G5179">
            <v>6204789092</v>
          </cell>
          <cell r="K5179" t="str">
            <v>BRJC371742</v>
          </cell>
        </row>
        <row r="5180">
          <cell r="E5180" t="str">
            <v>TIPUDANA, RANCHI</v>
          </cell>
          <cell r="G5180">
            <v>7070990285</v>
          </cell>
          <cell r="K5180" t="str">
            <v>BUGC373215</v>
          </cell>
        </row>
        <row r="5181">
          <cell r="E5181" t="str">
            <v>ANGAR PATRA,DHANBAD</v>
          </cell>
          <cell r="G5181">
            <v>8210106692</v>
          </cell>
          <cell r="K5181" t="str">
            <v>BRBD160892</v>
          </cell>
        </row>
        <row r="5182">
          <cell r="E5182" t="str">
            <v>GANDHI MAIDAN, PATNA</v>
          </cell>
          <cell r="G5182">
            <v>9919917081</v>
          </cell>
          <cell r="K5182" t="str">
            <v>BUID220795</v>
          </cell>
        </row>
        <row r="5183">
          <cell r="E5183" t="str">
            <v>DHANBAD</v>
          </cell>
          <cell r="G5183">
            <v>7644045555</v>
          </cell>
          <cell r="K5183" t="str">
            <v>BTCD162159</v>
          </cell>
        </row>
        <row r="5184">
          <cell r="E5184" t="str">
            <v>C/O - PREM PRAKASH AGARWAL, OPP - HILLVIEW FUEL STATION, GODHUR, P.O - KUSUNDA, DHANBAD</v>
          </cell>
          <cell r="G5184">
            <v>7903412157</v>
          </cell>
          <cell r="K5184" t="str">
            <v>BTED162217</v>
          </cell>
        </row>
        <row r="5185">
          <cell r="E5185" t="str">
            <v>PIPARWAR, ASHOKA PROJECT, ASHOKA</v>
          </cell>
          <cell r="G5185">
            <v>7541872921</v>
          </cell>
          <cell r="K5185" t="str">
            <v>102373</v>
          </cell>
        </row>
        <row r="5186">
          <cell r="E5186" t="str">
            <v>BALIDIH BOKARO</v>
          </cell>
          <cell r="G5186">
            <v>9733293030</v>
          </cell>
          <cell r="K5186" t="str">
            <v>BVFS049358</v>
          </cell>
        </row>
        <row r="5187">
          <cell r="E5187" t="str">
            <v>BALIDIH BOKARO</v>
          </cell>
          <cell r="G5187">
            <v>9733293030</v>
          </cell>
          <cell r="K5187" t="str">
            <v>BVFS049364</v>
          </cell>
        </row>
        <row r="5188">
          <cell r="E5188" t="str">
            <v>BALIDIH BOKARO</v>
          </cell>
          <cell r="G5188">
            <v>9733293030</v>
          </cell>
          <cell r="K5188" t="str">
            <v>BVFS049365</v>
          </cell>
        </row>
        <row r="5189">
          <cell r="E5189" t="str">
            <v>SUNDER NAGAR, JAMSHEDPUR</v>
          </cell>
          <cell r="G5189">
            <v>9556546094</v>
          </cell>
          <cell r="K5189" t="str">
            <v>BVED163231</v>
          </cell>
        </row>
        <row r="5190">
          <cell r="E5190" t="str">
            <v>ANGARA, TATISILWAI</v>
          </cell>
          <cell r="G5190">
            <v>9110012919</v>
          </cell>
          <cell r="K5190" t="str">
            <v>BVGF111611</v>
          </cell>
        </row>
        <row r="5191">
          <cell r="E5191" t="str">
            <v>ANGARA, TATISILWAI</v>
          </cell>
          <cell r="G5191">
            <v>9110012919</v>
          </cell>
          <cell r="K5191" t="str">
            <v>BVGF111615</v>
          </cell>
        </row>
        <row r="5192">
          <cell r="E5192" t="str">
            <v>OPERATIONS OFFICER, BOKARO BP, KIND ATTEN.ABHISHEK TRIPATHI, MOB. NO.8789972995, VENDOR CODE-11970380
OPERATIONS OFFICER, BOKARO BP, KIND ATTEN.ABHISHEK TRIPATHI, MOB. NO.8789972995, VENDOR CODE-11970380
827014
LPG BOTTALING PLANT, BALIDIH,</v>
          </cell>
          <cell r="G5192">
            <v>9679970318</v>
          </cell>
          <cell r="K5192" t="str">
            <v>BOCS040147</v>
          </cell>
        </row>
        <row r="5193">
          <cell r="E5193" t="str">
            <v>LODNA</v>
          </cell>
          <cell r="G5193">
            <v>7644045555</v>
          </cell>
          <cell r="K5193" t="str">
            <v>BTDD162169</v>
          </cell>
        </row>
        <row r="5194">
          <cell r="E5194" t="str">
            <v>LODNA</v>
          </cell>
          <cell r="G5194">
            <v>6394641834</v>
          </cell>
          <cell r="K5194" t="str">
            <v>BSJD161429</v>
          </cell>
        </row>
        <row r="5195">
          <cell r="E5195" t="str">
            <v>BHOWRA</v>
          </cell>
          <cell r="G5195">
            <v>7488119074</v>
          </cell>
          <cell r="K5195" t="str">
            <v>BULD162568</v>
          </cell>
        </row>
        <row r="5196">
          <cell r="E5196" t="str">
            <v>Chiturdih, Dhanbad.</v>
          </cell>
          <cell r="G5196">
            <v>8008924995</v>
          </cell>
          <cell r="K5196" t="str">
            <v>BTDD162192</v>
          </cell>
        </row>
        <row r="5197">
          <cell r="E5197" t="str">
            <v>BHOWRA</v>
          </cell>
          <cell r="G5197">
            <v>9931519401</v>
          </cell>
          <cell r="K5197" t="str">
            <v>BSGD161904</v>
          </cell>
        </row>
        <row r="5198">
          <cell r="E5198" t="str">
            <v>SIDRAUL, NAMKUM, RANCHI
834010
SIDRAUL, NAMKUM, RANCHI</v>
          </cell>
          <cell r="G5198">
            <v>9993423669</v>
          </cell>
          <cell r="K5198" t="str">
            <v>UOIS030128</v>
          </cell>
        </row>
        <row r="5199">
          <cell r="E5199" t="str">
            <v>SUNDER NAGAR, JAMSHEDPUR</v>
          </cell>
          <cell r="G5199">
            <v>9556546094</v>
          </cell>
          <cell r="K5199" t="str">
            <v>BVED163235</v>
          </cell>
        </row>
        <row r="5200">
          <cell r="E5200" t="str">
            <v>GOVINDPUR, DHANBAD</v>
          </cell>
          <cell r="G5200">
            <v>7999546129</v>
          </cell>
          <cell r="K5200" t="str">
            <v>BVDS039346</v>
          </cell>
        </row>
        <row r="5201">
          <cell r="E5201" t="str">
            <v>BASTAKOLA, DHANBAD</v>
          </cell>
          <cell r="G5201">
            <v>7489823544</v>
          </cell>
          <cell r="K5201" t="str">
            <v>BQKD160099</v>
          </cell>
        </row>
        <row r="5202">
          <cell r="E5202" t="str">
            <v>DHANBAD JHARKHAND</v>
          </cell>
          <cell r="G5202">
            <v>6203533052</v>
          </cell>
          <cell r="K5202" t="str">
            <v>BQKD160115</v>
          </cell>
        </row>
        <row r="5203">
          <cell r="E5203" t="str">
            <v>BERA, DHANBAD</v>
          </cell>
          <cell r="G5203">
            <v>9424764640</v>
          </cell>
          <cell r="K5203" t="str">
            <v>BUAD162634</v>
          </cell>
        </row>
        <row r="5204">
          <cell r="E5204" t="str">
            <v>BASTAWLA DHANBAD</v>
          </cell>
          <cell r="G5204">
            <v>9424744640</v>
          </cell>
          <cell r="K5204" t="str">
            <v>BUAD162630</v>
          </cell>
        </row>
        <row r="5205">
          <cell r="E5205" t="str">
            <v>CHUTIA, RANCHI</v>
          </cell>
          <cell r="G5205">
            <v>9939622140</v>
          </cell>
          <cell r="K5205" t="str">
            <v>BUFD162814</v>
          </cell>
        </row>
        <row r="5206">
          <cell r="E5206" t="str">
            <v>RANCHI PATNA ROAD, NH-33, SINDUR, HAZARIBAGH</v>
          </cell>
          <cell r="G5206">
            <v>7004095574</v>
          </cell>
          <cell r="K5206" t="str">
            <v>BTKD200646</v>
          </cell>
        </row>
        <row r="5207">
          <cell r="E5207" t="str">
            <v>SHEIKHPURA, BIHAR</v>
          </cell>
          <cell r="G5207">
            <v>9234638430</v>
          </cell>
          <cell r="K5207" t="str">
            <v>BULL160559</v>
          </cell>
        </row>
        <row r="5208">
          <cell r="E5208" t="str">
            <v>KOKAR INDUSTRIAL AREA, RANCHI
834001</v>
          </cell>
          <cell r="G5208">
            <v>9264469962</v>
          </cell>
          <cell r="K5208" t="str">
            <v>BJAET10022</v>
          </cell>
        </row>
        <row r="5209">
          <cell r="E5209" t="str">
            <v>TAPIN HAZARIBAGH</v>
          </cell>
          <cell r="G5209">
            <v>8002177613</v>
          </cell>
          <cell r="K5209" t="str">
            <v>BTGD162289</v>
          </cell>
        </row>
        <row r="5210">
          <cell r="E5210" t="str">
            <v>CHAPAPUR, NIRSA</v>
          </cell>
          <cell r="G5210">
            <v>9931921808</v>
          </cell>
          <cell r="K5210" t="str">
            <v>BQED160215</v>
          </cell>
        </row>
        <row r="5211">
          <cell r="E5211" t="str">
            <v>BASTAKOLA, DHANBAD</v>
          </cell>
          <cell r="G5211">
            <v>7489823544</v>
          </cell>
          <cell r="K5211" t="str">
            <v>BUKD162535</v>
          </cell>
        </row>
        <row r="5212">
          <cell r="E5212" t="str">
            <v>DHANBAD</v>
          </cell>
          <cell r="G5212">
            <v>7489823544</v>
          </cell>
          <cell r="K5212" t="str">
            <v>BTDD162186</v>
          </cell>
        </row>
        <row r="5213">
          <cell r="E5213" t="str">
            <v>BASKATOLA</v>
          </cell>
          <cell r="G5213">
            <v>7489823544</v>
          </cell>
          <cell r="K5213" t="str">
            <v>BULD162577</v>
          </cell>
        </row>
        <row r="5214">
          <cell r="E5214" t="str">
            <v>BASTAWLA DHANBAD</v>
          </cell>
          <cell r="G5214">
            <v>6200119580</v>
          </cell>
          <cell r="K5214" t="str">
            <v>BTJD162046</v>
          </cell>
        </row>
        <row r="5215">
          <cell r="E5215" t="str">
            <v>GHATSILA</v>
          </cell>
          <cell r="G5215">
            <v>9771489009</v>
          </cell>
          <cell r="K5215" t="str">
            <v>BUDD162719</v>
          </cell>
        </row>
        <row r="5216">
          <cell r="E5216" t="str">
            <v>ADDRESS-PLOT-57B,BARAHI INDUSTRIAL AREA,ON DELHI HOWRAH NATIONAL HIGHWAY,BARHI,JAHARKHAND.</v>
          </cell>
          <cell r="G5216">
            <v>9559291224</v>
          </cell>
          <cell r="K5216" t="str">
            <v>BUBS033778</v>
          </cell>
        </row>
        <row r="5217">
          <cell r="E5217" t="str">
            <v>LODNA</v>
          </cell>
          <cell r="G5217">
            <v>7644045555</v>
          </cell>
          <cell r="K5217" t="str">
            <v>BTCD162149</v>
          </cell>
        </row>
        <row r="5218">
          <cell r="E5218" t="str">
            <v>LODNA</v>
          </cell>
          <cell r="G5218">
            <v>7644045555</v>
          </cell>
          <cell r="K5218" t="str">
            <v>BVJD162972</v>
          </cell>
        </row>
        <row r="5219">
          <cell r="E5219" t="str">
            <v>NTA LODNA, DHANBAD</v>
          </cell>
          <cell r="G5219">
            <v>7644045555</v>
          </cell>
          <cell r="K5219" t="str">
            <v>BULD162559</v>
          </cell>
        </row>
        <row r="5220">
          <cell r="E5220" t="str">
            <v>KATRAS, DHANBAD</v>
          </cell>
          <cell r="G5220">
            <v>8210106692</v>
          </cell>
          <cell r="K5220" t="str">
            <v>BRBD160901</v>
          </cell>
        </row>
        <row r="5221">
          <cell r="E5221" t="str">
            <v>AT: SENEGARHA, P.O-RABODH, P.S-GIDDI,(RAMGARH),, DISTT. HAZARIBAGH,JHARKHAND-825330
829108
AT: SENEGARHA, P.O-RABODH, P.S-GIDDI,(RAMGARH),</v>
          </cell>
          <cell r="G5221">
            <v>9006877583</v>
          </cell>
          <cell r="K5221" t="str">
            <v>BRAS033261</v>
          </cell>
        </row>
        <row r="5222">
          <cell r="E5222" t="str">
            <v>AT: SENEGARHA, P.O-RABODH, P.S-GIDDI,(RAMGARH),, DISTT. HAZARIBAGH,JHARKHAND-825330
829108
AT: SENEGARHA, P.O-RABODH, P.S-GIDDI,(RAMGARH),</v>
          </cell>
          <cell r="G5222">
            <v>9006877583</v>
          </cell>
          <cell r="K5222" t="str">
            <v>BQES030978</v>
          </cell>
        </row>
        <row r="5223">
          <cell r="E5223" t="str">
            <v>NAYA MORE,RAMGARH
ARA SARU BERA ROAD, NAYA, RAMGARH,JHARKHAND
829110
NAYA MORE</v>
          </cell>
          <cell r="G5223">
            <v>8651078549</v>
          </cell>
          <cell r="K5223" t="str">
            <v>BQBS033796</v>
          </cell>
        </row>
        <row r="5224">
          <cell r="E5224" t="str">
            <v>FLAT NO. 300, BLOCK - A, MP SRIRAM, CHHOTA GAMHARIA, P.S. - GAMHARIA, DIST.- SARAIKELA KHARSAWAN</v>
          </cell>
          <cell r="G5224">
            <v>7600700814</v>
          </cell>
          <cell r="K5224" t="str">
            <v>BRGL151464</v>
          </cell>
        </row>
        <row r="5225">
          <cell r="E5225" t="str">
            <v>FLAT NO. 300, BLOCK - A, MP SRIRAM, CHHOTA GAMHARIA, P.S. - GAMHARIA, DIST.- SARAIKELA KHARSAWAN</v>
          </cell>
          <cell r="G5225">
            <v>7900700814</v>
          </cell>
          <cell r="K5225" t="str">
            <v>BRGL151468</v>
          </cell>
        </row>
        <row r="5226">
          <cell r="E5226" t="str">
            <v>FLAT NO. 300, BLOCK - A, MP SRIRAM, CHHOTA GAMHARIA, P.S. - GAMHARIA, DIST.- SARAIKELA KHARSAWAN</v>
          </cell>
          <cell r="G5226">
            <v>7900700814</v>
          </cell>
          <cell r="K5226" t="str">
            <v>BRBL150944</v>
          </cell>
        </row>
        <row r="5227">
          <cell r="E5227" t="str">
            <v>SARWARI, ASANSOL, WB</v>
          </cell>
          <cell r="G5227">
            <v>8809380657</v>
          </cell>
          <cell r="K5227" t="str">
            <v>BPLF150007</v>
          </cell>
        </row>
        <row r="5228">
          <cell r="E5228" t="str">
            <v>SUNDER NAGAR, JAMSHEDPUR</v>
          </cell>
          <cell r="G5228">
            <v>9556546094</v>
          </cell>
          <cell r="K5228" t="str">
            <v>BVED163231</v>
          </cell>
        </row>
        <row r="5229">
          <cell r="E5229" t="str">
            <v>BALIDIH INDUSTRIAL AREA,BOKARO
PLOT NO. - A/2 (P) INDUSTRIAL AREA, BALIDIH BOKARO STEEL CITY - 14, BOKARO
827014
BOKARO INDUSTRIAL ESTATE</v>
          </cell>
          <cell r="G5229">
            <v>9978928888</v>
          </cell>
          <cell r="K5229" t="str">
            <v>BSJS035946</v>
          </cell>
        </row>
        <row r="5230">
          <cell r="E5230" t="str">
            <v>GROUND AND 1 ST FLOOR, BESIDE DAINIK BHASKAR, GOVINDPUR ROAD, DIST :- DHANBAD
GROUND AND 1 ST FLOOR, BESIDE DAINIK BHASKAR, GOVINDPUR ROAD, DIST :- DHANBAD
828109</v>
          </cell>
          <cell r="G5230">
            <v>8789061377</v>
          </cell>
          <cell r="K5230" t="str">
            <v>BRES034488</v>
          </cell>
        </row>
        <row r="5231">
          <cell r="E5231" t="str">
            <v>BIHAR</v>
          </cell>
          <cell r="G5231">
            <v>8935923285</v>
          </cell>
          <cell r="K5231" t="str">
            <v>BSID161968</v>
          </cell>
        </row>
        <row r="5232">
          <cell r="E5232" t="str">
            <v>RANIGANJ</v>
          </cell>
          <cell r="G5232">
            <v>7010705456</v>
          </cell>
          <cell r="K5232" t="str">
            <v>BQED160241</v>
          </cell>
        </row>
        <row r="5233">
          <cell r="E5233" t="str">
            <v>CHHARTARPUR, PALAMU</v>
          </cell>
          <cell r="G5233">
            <v>6203240174</v>
          </cell>
          <cell r="K5233" t="str">
            <v>BULD162583</v>
          </cell>
        </row>
        <row r="5234">
          <cell r="E5234" t="str">
            <v>ANGARA, TATISILWAI</v>
          </cell>
          <cell r="G5234">
            <v>9110012919</v>
          </cell>
          <cell r="K5234" t="str">
            <v>BVGF111611</v>
          </cell>
        </row>
        <row r="5235">
          <cell r="E5235" t="str">
            <v>ANGARA, TATISILWAI</v>
          </cell>
          <cell r="G5235">
            <v>9110012919</v>
          </cell>
          <cell r="K5235" t="str">
            <v>BVGF111615</v>
          </cell>
        </row>
        <row r="5236">
          <cell r="E5236" t="str">
            <v>ANA COLLERY, DHANBAD</v>
          </cell>
          <cell r="G5236">
            <v>9789102930</v>
          </cell>
          <cell r="K5236" t="str">
            <v>BPKD200025</v>
          </cell>
        </row>
        <row r="5237">
          <cell r="E5237" t="str">
            <v>1, KOCP, DHANSAR, Dhanbad, Jharkhand, 828106</v>
          </cell>
          <cell r="G5237">
            <v>6360902039</v>
          </cell>
          <cell r="K5237" t="str">
            <v>BUIC373701</v>
          </cell>
        </row>
        <row r="5238">
          <cell r="E5238" t="str">
            <v>NTA LODNA, DHANBAD</v>
          </cell>
          <cell r="G5238">
            <v>6394641834</v>
          </cell>
          <cell r="K5238" t="str">
            <v>BULD162559</v>
          </cell>
        </row>
        <row r="5239">
          <cell r="E5239" t="str">
            <v>LODNA</v>
          </cell>
          <cell r="G5239">
            <v>7644045555</v>
          </cell>
          <cell r="K5239" t="str">
            <v>BTDD162169</v>
          </cell>
        </row>
        <row r="5240">
          <cell r="E5240" t="str">
            <v>SUNDER NAGAR, JAMSHEDPUR</v>
          </cell>
          <cell r="G5240">
            <v>9556546094</v>
          </cell>
          <cell r="K5240" t="str">
            <v>BVED163231</v>
          </cell>
        </row>
        <row r="5241">
          <cell r="E5241" t="str">
            <v>PALAMU,GARWA, JHARKHAND
822124
GARHWA ROAD, NEAR BCCL PALAMU,</v>
          </cell>
          <cell r="G5241">
            <v>8877137307</v>
          </cell>
          <cell r="K5241" t="str">
            <v>GOCS030806</v>
          </cell>
        </row>
        <row r="5242">
          <cell r="E5242" t="str">
            <v>RANCHI</v>
          </cell>
          <cell r="G5242">
            <v>9973686006</v>
          </cell>
          <cell r="K5242" t="str">
            <v>BLIS031950</v>
          </cell>
        </row>
        <row r="5243">
          <cell r="E5243" t="str">
            <v>AT: SENEGARHA, P.O-RABODH, P.S-GIDDI,(RAMGARH),, DISTT. HAZARIBAGH,JHARKHAND-825330
829108
AT: SENEGARHA, P.O-RABODH, P.S-GIDDI,(RAMGARH),</v>
          </cell>
          <cell r="G5243">
            <v>9006877583</v>
          </cell>
          <cell r="K5243" t="str">
            <v>BRAS033261</v>
          </cell>
        </row>
        <row r="5244">
          <cell r="E5244" t="str">
            <v>ORMANJHI</v>
          </cell>
          <cell r="G5244">
            <v>7488145094</v>
          </cell>
          <cell r="K5244" t="str">
            <v>BVHD163336</v>
          </cell>
        </row>
        <row r="5245">
          <cell r="E5245" t="str">
            <v>C/O - REKHA KUMARI, AT TENDER, PANDRA, KAMRE, RATU, RANCHI
C/O - REKHA KUMARI, AT TENDER, PANDRA, KAMRE, RATU, RANCHI
835103</v>
          </cell>
          <cell r="G5245">
            <v>6201227612</v>
          </cell>
          <cell r="K5245" t="str">
            <v>BREC373485</v>
          </cell>
        </row>
        <row r="5246">
          <cell r="E5246" t="str">
            <v>NAGRI,RANCHI
835303</v>
          </cell>
          <cell r="G5246">
            <v>9771432711</v>
          </cell>
          <cell r="K5246" t="str">
            <v>BJDET70060</v>
          </cell>
        </row>
        <row r="5247">
          <cell r="E5247" t="str">
            <v>GROUND FLOOR, 8H AND 81, NATION PRINTERS, NAMKUM INDUSTRIAL AREA,, LOWADIH, RANCHI
GROUND FLOOR, 8H AND 81, NATION PRINTERS, NAMKUM INDUSTRIAL AREA,, LOWADIH, RANCHI
834010</v>
          </cell>
          <cell r="G5247">
            <v>9386895542</v>
          </cell>
          <cell r="K5247" t="str">
            <v>BRCC372871</v>
          </cell>
        </row>
        <row r="5248">
          <cell r="E5248" t="str">
            <v>GROUND FLOOR, 8H AND 81, NATION PRINTERS, NAMKUM INDUSTRIAL AREA,, LOWADIH, RANCHI
GROUND FLOOR, 8H AND 81, NATION PRINTERS, NAMKUM INDUSTRIAL AREA,, LOWADIH, RANCHI
834010</v>
          </cell>
          <cell r="G5248">
            <v>9386895542</v>
          </cell>
          <cell r="K5248" t="str">
            <v>BRFC373676</v>
          </cell>
        </row>
        <row r="5249">
          <cell r="E5249" t="str">
            <v>CHUTIA, RANCHI</v>
          </cell>
          <cell r="G5249">
            <v>9939622140</v>
          </cell>
          <cell r="K5249" t="str">
            <v>BUFD162814</v>
          </cell>
        </row>
        <row r="5250">
          <cell r="E5250" t="str">
            <v>NAGRI,RANCHI
835202
RANCHI</v>
          </cell>
          <cell r="G5250">
            <v>8877024924</v>
          </cell>
          <cell r="K5250" t="str">
            <v>BMJS040004</v>
          </cell>
        </row>
        <row r="5251">
          <cell r="E5251" t="str">
            <v>DHANBAD</v>
          </cell>
          <cell r="G5251">
            <v>8210106692</v>
          </cell>
          <cell r="K5251" t="str">
            <v>BVGD163308</v>
          </cell>
        </row>
        <row r="5252">
          <cell r="E5252" t="str">
            <v>BALIDIH, BOKARO</v>
          </cell>
          <cell r="G5252">
            <v>9523599901</v>
          </cell>
          <cell r="K5252" t="str">
            <v>BVCC376207</v>
          </cell>
        </row>
        <row r="5253">
          <cell r="E5253" t="str">
            <v>TAPIN PROJECT, TAPIN</v>
          </cell>
          <cell r="G5253">
            <v>8521064546</v>
          </cell>
          <cell r="K5253" t="str">
            <v>BUID162953</v>
          </cell>
        </row>
        <row r="5254">
          <cell r="E5254" t="str">
            <v>TETULIA MORE, DHANBAD</v>
          </cell>
          <cell r="G5254">
            <v>8777354683</v>
          </cell>
          <cell r="K5254" t="str">
            <v>BUDS046497</v>
          </cell>
        </row>
        <row r="5255">
          <cell r="E5255" t="str">
            <v>TETULIA MORE, DHANBAD</v>
          </cell>
          <cell r="G5255">
            <v>8777354683</v>
          </cell>
          <cell r="K5255" t="str">
            <v>BUDS046443</v>
          </cell>
        </row>
        <row r="5256">
          <cell r="E5256" t="str">
            <v>TETULIA MORE, DHANBAD</v>
          </cell>
          <cell r="G5256">
            <v>8777354683</v>
          </cell>
          <cell r="K5256" t="str">
            <v>BUDS034880</v>
          </cell>
        </row>
        <row r="5257">
          <cell r="E5257" t="str">
            <v>TETULIA MORE, DHANBAD</v>
          </cell>
          <cell r="G5257">
            <v>8777354683</v>
          </cell>
          <cell r="K5257" t="str">
            <v>BUDS034770</v>
          </cell>
        </row>
        <row r="5258">
          <cell r="E5258" t="str">
            <v>1, KOCP, DHANSAR, Dhanbad, Jharkhand, 828106</v>
          </cell>
          <cell r="G5258">
            <v>6360902039</v>
          </cell>
          <cell r="K5258" t="str">
            <v>BUIC373701</v>
          </cell>
        </row>
        <row r="5259">
          <cell r="E5259" t="str">
            <v>RATANPUR,DHANBAD
828109</v>
          </cell>
          <cell r="G5259">
            <v>9031029501</v>
          </cell>
          <cell r="K5259" t="str">
            <v>BTLC377584</v>
          </cell>
        </row>
        <row r="5260">
          <cell r="E5260" t="str">
            <v>TWLIDIH, CHAS, BOKARO</v>
          </cell>
          <cell r="G5260">
            <v>7992434966</v>
          </cell>
          <cell r="K5260" t="str">
            <v>BVJC374285</v>
          </cell>
        </row>
        <row r="5261">
          <cell r="E5261" t="str">
            <v>PLOT NO 716,VILL-RUKKA,
835219</v>
          </cell>
          <cell r="G5261">
            <v>7481831963</v>
          </cell>
          <cell r="K5261" t="str">
            <v>BSKS036366</v>
          </cell>
        </row>
        <row r="5262">
          <cell r="E5262" t="str">
            <v>BEGUSARAI, BIHAR</v>
          </cell>
          <cell r="G5262">
            <v>9386279110</v>
          </cell>
          <cell r="K5262" t="str">
            <v>BVGD121497</v>
          </cell>
        </row>
        <row r="5263">
          <cell r="E5263" t="str">
            <v>REHLA, GARHWA ROAD, PALAMU D.T, JHARKHAND
PALAMU JHARKHAND 822124
INDIA</v>
          </cell>
          <cell r="G5263">
            <v>7004971081</v>
          </cell>
          <cell r="K5263" t="str">
            <v>BLFS031469</v>
          </cell>
        </row>
        <row r="5264">
          <cell r="E5264" t="str">
            <v>BOKARO CITY SECTOR-4 BOKARO
827001
CITY CENTER, SECTOR-4</v>
          </cell>
          <cell r="G5264">
            <v>9263636107</v>
          </cell>
          <cell r="K5264" t="str">
            <v>GOEC370631</v>
          </cell>
        </row>
        <row r="5265">
          <cell r="E5265" t="str">
            <v>DALTAINGANJ</v>
          </cell>
          <cell r="G5265">
            <v>7039553329</v>
          </cell>
          <cell r="K5265" t="str">
            <v>BVBF111508</v>
          </cell>
        </row>
        <row r="5266">
          <cell r="E5266" t="str">
            <v>BALIDIH, BOKARO</v>
          </cell>
          <cell r="G5266">
            <v>9031748861</v>
          </cell>
          <cell r="K5266" t="str">
            <v>BLLET10016</v>
          </cell>
        </row>
        <row r="5267">
          <cell r="E5267" t="str">
            <v>BHOWRA</v>
          </cell>
          <cell r="G5267">
            <v>7488119074</v>
          </cell>
          <cell r="K5267" t="str">
            <v>BULD162568</v>
          </cell>
        </row>
        <row r="5268">
          <cell r="E5268" t="str">
            <v>BASTAWLA DHANBAD</v>
          </cell>
          <cell r="G5268">
            <v>9550053031</v>
          </cell>
          <cell r="K5268" t="str">
            <v>BUAD162630</v>
          </cell>
        </row>
        <row r="5269">
          <cell r="E5269" t="str">
            <v>TAPIN PROJECT, TAPIN</v>
          </cell>
          <cell r="G5269">
            <v>8521064546</v>
          </cell>
          <cell r="K5269" t="str">
            <v>BUID162953</v>
          </cell>
        </row>
        <row r="5270">
          <cell r="E5270" t="str">
            <v>TIPUDANA, RANCHI</v>
          </cell>
          <cell r="G5270">
            <v>8709343595</v>
          </cell>
          <cell r="K5270" t="str">
            <v>BSGD161861</v>
          </cell>
        </row>
        <row r="5271">
          <cell r="E5271" t="str">
            <v>KOKAR INDUSTRIAL AREA, RANCHI
834001</v>
          </cell>
          <cell r="G5271">
            <v>9264469962</v>
          </cell>
          <cell r="K5271" t="str">
            <v>BJAET10022</v>
          </cell>
        </row>
        <row r="5272">
          <cell r="E5272" t="str">
            <v>PIPARWAR,JHARKHAND
BAHERA, BENTI, PIPARWAR, CHATRA
825321</v>
          </cell>
          <cell r="G5272">
            <v>8709324527</v>
          </cell>
          <cell r="K5272" t="str">
            <v>BRGC373918</v>
          </cell>
        </row>
        <row r="5273">
          <cell r="E5273" t="str">
            <v>RAHELA, DALTAINGANJ</v>
          </cell>
          <cell r="G5273">
            <v>7004971081</v>
          </cell>
          <cell r="K5273" t="str">
            <v>BUGS035879</v>
          </cell>
        </row>
        <row r="5274">
          <cell r="E5274" t="str">
            <v>TAPIN PROJECT, CHARHI</v>
          </cell>
          <cell r="G5274">
            <v>6204816691</v>
          </cell>
          <cell r="K5274" t="str">
            <v>BVLD163067</v>
          </cell>
        </row>
        <row r="5275">
          <cell r="E5275" t="str">
            <v>BHOWRA</v>
          </cell>
          <cell r="G5275">
            <v>9931519401</v>
          </cell>
          <cell r="K5275" t="str">
            <v>BSGD161904</v>
          </cell>
        </row>
        <row r="5276">
          <cell r="E5276" t="str">
            <v>BHOWRA</v>
          </cell>
          <cell r="G5276">
            <v>9931519401</v>
          </cell>
          <cell r="K5276" t="str">
            <v>BTCD162162</v>
          </cell>
        </row>
        <row r="5277">
          <cell r="E5277" t="str">
            <v>Chiturdih, Dhanbad.</v>
          </cell>
          <cell r="G5277">
            <v>9931519401</v>
          </cell>
          <cell r="K5277" t="str">
            <v>BTDD162192</v>
          </cell>
        </row>
        <row r="5278">
          <cell r="E5278" t="str">
            <v>TAPIN HAZARIBAGH</v>
          </cell>
          <cell r="G5278">
            <v>8112177613</v>
          </cell>
          <cell r="K5278" t="str">
            <v>BTGD162289</v>
          </cell>
        </row>
        <row r="5279">
          <cell r="E5279" t="str">
            <v>PLOT NO.-806, HARDAGKHUTI ROAD,RANCHI
KHUNTI ROAD HARDAG
835221</v>
          </cell>
          <cell r="G5279">
            <v>6201750703</v>
          </cell>
          <cell r="K5279" t="str">
            <v>BLGS031576</v>
          </cell>
        </row>
        <row r="5280">
          <cell r="E5280" t="str">
            <v>TATISILWI, RANCHI</v>
          </cell>
          <cell r="G5280">
            <v>9572693497</v>
          </cell>
          <cell r="K5280" t="str">
            <v>BSDD120664</v>
          </cell>
        </row>
        <row r="5281">
          <cell r="E5281" t="str">
            <v>TIKRATOLI,SAPAROM
NEAR LALGUTWA OVERBRIDGE, TIKRATOLI, SAPAROM,, NAGRI, RANCHI
835303</v>
          </cell>
          <cell r="G5281">
            <v>7761843991</v>
          </cell>
          <cell r="K5281" t="str">
            <v>BKJS040077</v>
          </cell>
        </row>
        <row r="5282">
          <cell r="E5282" t="str">
            <v>PLOT NO.-806, HARDAGKHUTI ROAD,RANCHI
KHUNTI ROAD HARDAG
835221</v>
          </cell>
          <cell r="G5282">
            <v>6201750703</v>
          </cell>
          <cell r="K5282" t="str">
            <v>BLGS031576</v>
          </cell>
        </row>
        <row r="5283">
          <cell r="E5283" t="str">
            <v>CHHATRAPUR, PALAMU</v>
          </cell>
          <cell r="G5283">
            <v>7488795484</v>
          </cell>
          <cell r="K5283" t="str">
            <v>BSAD161576</v>
          </cell>
        </row>
        <row r="5284">
          <cell r="E5284" t="str">
            <v>DHANBAD</v>
          </cell>
          <cell r="G5284">
            <v>8521430494</v>
          </cell>
          <cell r="K5284" t="str">
            <v>BTCD162159</v>
          </cell>
        </row>
        <row r="5285">
          <cell r="E5285" t="str">
            <v>LATEHAR JHARKHAND
834002</v>
          </cell>
          <cell r="G5285">
            <v>8779843200</v>
          </cell>
          <cell r="K5285" t="str">
            <v>BUJC370090</v>
          </cell>
        </row>
        <row r="5286">
          <cell r="E5286" t="str">
            <v>LODNA</v>
          </cell>
          <cell r="G5286">
            <v>7644045555</v>
          </cell>
          <cell r="K5286" t="str">
            <v>BVJD162972</v>
          </cell>
        </row>
        <row r="5287">
          <cell r="E5287" t="str">
            <v>ASHOK NAGAR, RANCHI</v>
          </cell>
          <cell r="G5287">
            <v>9471356821</v>
          </cell>
          <cell r="K5287" t="str">
            <v>BPLD200068</v>
          </cell>
        </row>
        <row r="5288">
          <cell r="E5288" t="str">
            <v>BALIDIH INDUSTRIAL AREA
827014</v>
          </cell>
          <cell r="G5288">
            <v>7980994058</v>
          </cell>
          <cell r="K5288" t="str">
            <v>BTDS044304</v>
          </cell>
        </row>
        <row r="5289">
          <cell r="E5289" t="str">
            <v>PHASE - IV, PLOT NO. - IV-C/3 P AND IV-C/2 P, BOKARO INDUSTRIAL AREA, BALIDIH, BOKARO
PHASE - IV, PLOT NO. - IV-C/3 P AND IV-C/2 P, BOKARO INDUSTRIAL AREA, BALIDIH, BOKARO
827014</v>
          </cell>
          <cell r="G5289">
            <v>9006512017</v>
          </cell>
          <cell r="K5289" t="str">
            <v>BSDS037649</v>
          </cell>
        </row>
        <row r="5290">
          <cell r="E5290" t="str">
            <v>ANA COLLERY, DHANBAD</v>
          </cell>
          <cell r="G5290">
            <v>9789102930</v>
          </cell>
          <cell r="K5290" t="str">
            <v>BPKD200025</v>
          </cell>
        </row>
        <row r="5291">
          <cell r="E5291" t="str">
            <v>BASTAWLA DHANBAD</v>
          </cell>
          <cell r="G5291">
            <v>9424744640</v>
          </cell>
          <cell r="K5291" t="str">
            <v>BUAD162630</v>
          </cell>
        </row>
        <row r="5292">
          <cell r="E5292" t="str">
            <v>GOBINDPUR INDUSTRIAL AREA, DHANBAD</v>
          </cell>
          <cell r="G5292">
            <v>9113169811</v>
          </cell>
          <cell r="K5292" t="str">
            <v>BVJS047894</v>
          </cell>
        </row>
        <row r="5293">
          <cell r="E5293" t="str">
            <v>LODNA</v>
          </cell>
          <cell r="G5293">
            <v>7644045555</v>
          </cell>
          <cell r="K5293" t="str">
            <v>BTCD162149</v>
          </cell>
        </row>
        <row r="5294">
          <cell r="E5294" t="str">
            <v>NITESH</v>
          </cell>
          <cell r="G5294">
            <v>7847053297</v>
          </cell>
          <cell r="K5294" t="str">
            <v>BTCD162162</v>
          </cell>
        </row>
        <row r="5295">
          <cell r="E5295" t="str">
            <v>PLOT NO. 79, KAPASARA,, SUNDERNAGAR, CHIRKUNDA,, DHANBAD - 828 202
PLOT NO. 79, KAPASARA,, SUNDERNAGAR, CHIRKUNDA,, DHANBAD - 828 202
828202</v>
          </cell>
          <cell r="G5295">
            <v>8101005542</v>
          </cell>
          <cell r="K5295" t="str">
            <v>BTFS031006</v>
          </cell>
        </row>
        <row r="5296">
          <cell r="E5296" t="str">
            <v>DHANBAD</v>
          </cell>
          <cell r="G5296">
            <v>6207308280</v>
          </cell>
          <cell r="K5296" t="str">
            <v>BSGD161904</v>
          </cell>
        </row>
        <row r="5297">
          <cell r="E5297" t="str">
            <v>CHAS BOKARO</v>
          </cell>
          <cell r="G5297">
            <v>9805175913</v>
          </cell>
          <cell r="K5297" t="str">
            <v>BVEC376827</v>
          </cell>
        </row>
        <row r="5298">
          <cell r="E5298" t="str">
            <v>BERA, DHANBAD</v>
          </cell>
          <cell r="G5298">
            <v>7632886938</v>
          </cell>
          <cell r="K5298" t="str">
            <v>BUAD162634</v>
          </cell>
        </row>
        <row r="5299">
          <cell r="E5299" t="str">
            <v>BASKATOLA</v>
          </cell>
          <cell r="G5299">
            <v>7489823544</v>
          </cell>
          <cell r="K5299" t="str">
            <v>BULD162577</v>
          </cell>
        </row>
        <row r="5300">
          <cell r="E5300" t="str">
            <v>BASTAKOLA, DHANBAD</v>
          </cell>
          <cell r="G5300">
            <v>7489823544</v>
          </cell>
          <cell r="K5300" t="str">
            <v>BUKD162535</v>
          </cell>
        </row>
        <row r="5301">
          <cell r="E5301" t="str">
            <v>DHANBAD</v>
          </cell>
          <cell r="G5301">
            <v>7489823544</v>
          </cell>
          <cell r="K5301" t="str">
            <v>BTDD162186</v>
          </cell>
        </row>
        <row r="5302">
          <cell r="E5302" t="str">
            <v>BASTAKOLA, DHANBAD</v>
          </cell>
          <cell r="G5302">
            <v>7489823544</v>
          </cell>
          <cell r="K5302" t="str">
            <v>BQKD160099</v>
          </cell>
        </row>
        <row r="5303">
          <cell r="E5303" t="str">
            <v>DHANBAD</v>
          </cell>
          <cell r="G5303">
            <v>8210106692</v>
          </cell>
          <cell r="K5303" t="str">
            <v>BTFD162244</v>
          </cell>
        </row>
        <row r="5304">
          <cell r="E5304" t="str">
            <v>RAVULA SHYAM SUNDER REDDY, HOUSE NO. 3-5-196/1, ROAD NO. 5M, KRISHNANAGAR COLONY, MOULALI, HYDRABAD</v>
          </cell>
          <cell r="G5304">
            <v>9304207056</v>
          </cell>
          <cell r="K5304" t="str">
            <v>BSCD161691</v>
          </cell>
        </row>
        <row r="5305">
          <cell r="E5305" t="str">
            <v>SIMARIYA ROAD, CHATRA
825401</v>
          </cell>
          <cell r="G5305">
            <v>7779922031</v>
          </cell>
          <cell r="K5305" t="str">
            <v>BSFC376341</v>
          </cell>
        </row>
        <row r="5306">
          <cell r="E5306" t="str">
            <v>KATRAS, DHANBAD</v>
          </cell>
          <cell r="G5306">
            <v>9304207050</v>
          </cell>
          <cell r="K5306" t="str">
            <v>BSKD161477</v>
          </cell>
        </row>
        <row r="5307">
          <cell r="E5307" t="str">
            <v>BASTAKOLA, DHANBAD</v>
          </cell>
          <cell r="G5307">
            <v>7489823544</v>
          </cell>
          <cell r="K5307" t="str">
            <v>BUKD162535</v>
          </cell>
        </row>
        <row r="5308">
          <cell r="E5308" t="str">
            <v>KOKAR,INDUSTRIAL AREA,RANCHI
834002
RANCHI</v>
          </cell>
          <cell r="G5308">
            <v>7781017919</v>
          </cell>
          <cell r="K5308" t="str">
            <v>BMKC370048</v>
          </cell>
        </row>
        <row r="5309">
          <cell r="E5309" t="str">
            <v>KWJAMA COLLIERY, DHANBAD</v>
          </cell>
          <cell r="G5309">
            <v>7644045555</v>
          </cell>
          <cell r="K5309" t="str">
            <v>BVCD163165</v>
          </cell>
        </row>
        <row r="5310">
          <cell r="E5310" t="str">
            <v>RAMGRAH</v>
          </cell>
          <cell r="G5310">
            <v>9350262396</v>
          </cell>
          <cell r="K5310" t="str">
            <v>BUFS046910</v>
          </cell>
        </row>
        <row r="5311">
          <cell r="E5311" t="str">
            <v>BERA, DHANBAD</v>
          </cell>
          <cell r="G5311">
            <v>9424764640</v>
          </cell>
          <cell r="K5311" t="str">
            <v>BUAD162634</v>
          </cell>
        </row>
        <row r="5312">
          <cell r="E5312" t="str">
            <v xml:space="preserve">TOPIN SOUTH  </v>
          </cell>
          <cell r="G5312">
            <v>9102400908</v>
          </cell>
          <cell r="K5312" t="str">
            <v>BSGD161864</v>
          </cell>
        </row>
        <row r="5313">
          <cell r="E5313" t="str">
            <v>BERA, DHANBAD</v>
          </cell>
          <cell r="G5313">
            <v>9424764640</v>
          </cell>
          <cell r="K5313" t="str">
            <v>BUAD162634</v>
          </cell>
        </row>
        <row r="5314">
          <cell r="E5314" t="str">
            <v>SARWARI, ASANSOL, WB</v>
          </cell>
          <cell r="G5314">
            <v>8809380657</v>
          </cell>
          <cell r="K5314" t="str">
            <v>BSCS037494</v>
          </cell>
        </row>
        <row r="5315">
          <cell r="E5315" t="str">
            <v>SARWARI, ASANSOL, WB</v>
          </cell>
          <cell r="G5315">
            <v>8809380657</v>
          </cell>
          <cell r="K5315" t="str">
            <v>BPLF150007</v>
          </cell>
        </row>
        <row r="5316">
          <cell r="E5316" t="str">
            <v>DHANBAD</v>
          </cell>
          <cell r="G5316">
            <v>6207308280</v>
          </cell>
          <cell r="K5316" t="str">
            <v>BTED162231</v>
          </cell>
        </row>
        <row r="5317">
          <cell r="E5317" t="str">
            <v>VINAIKA’S COMPLEX RANCHI TATA ROAD, R.S. PLOT NO.:-615,VILLAGE-PANCHA,THANA-BUNDU RANCHI, JHARKHAND.
834002</v>
          </cell>
          <cell r="G5317">
            <v>9818905980</v>
          </cell>
          <cell r="K5317" t="str">
            <v>BUDS046275</v>
          </cell>
        </row>
        <row r="5318">
          <cell r="E5318" t="str">
            <v>ANGAR PATRA,DHANBAD</v>
          </cell>
          <cell r="G5318">
            <v>6207308280</v>
          </cell>
          <cell r="K5318" t="str">
            <v>BSGD161898</v>
          </cell>
        </row>
        <row r="5319">
          <cell r="E5319" t="str">
            <v>KANKE, RANCHI
834002</v>
          </cell>
          <cell r="G5319">
            <v>9162779018</v>
          </cell>
          <cell r="K5319" t="str">
            <v>BSFC376396</v>
          </cell>
        </row>
        <row r="5320">
          <cell r="E5320" t="str">
            <v>TRIDENT PNEUMATICS PVT LTD   5/232,KNG PUDUR ROADSOMAYAMPALAYAM POSTCOIMBATORE IND</v>
          </cell>
          <cell r="G5320">
            <v>7079053079</v>
          </cell>
          <cell r="K5320" t="str">
            <v>BRCC373040</v>
          </cell>
        </row>
        <row r="5321">
          <cell r="E5321" t="str">
            <v>11 PINJRAPOLE, HARMU ROAD, RANCHI
11 PINJRAPOLE, HARMU ROAD, RANCHI
834001
MAHILONG, TATISILWAY</v>
          </cell>
          <cell r="G5321">
            <v>9709000070</v>
          </cell>
          <cell r="K5321" t="str">
            <v>BNCC370425</v>
          </cell>
        </row>
        <row r="5322">
          <cell r="E5322" t="str">
            <v>GROUND AND 1 ST FLOOR, BESIDE DAINIK BHASKAR, GOVINDPUR ROAD, DIST :- DHANBAD
GROUND AND 1 ST FLOOR, BESIDE DAINIK BHASKAR, GOVINDPUR ROAD, DIST :- DHANBAD
828109</v>
          </cell>
          <cell r="G5322">
            <v>7004043731</v>
          </cell>
          <cell r="K5322" t="str">
            <v>BRJC371698</v>
          </cell>
        </row>
        <row r="5323">
          <cell r="E5323" t="str">
            <v>RAMGARH SPONGE IRON PVT LTD VILLAGE:HOSHIR GIDDI-POHAZARIBAGH(DT)JHARKHAND IND
829110</v>
          </cell>
          <cell r="G5323">
            <v>6201225253</v>
          </cell>
          <cell r="K5323" t="str">
            <v>BKCS040470</v>
          </cell>
        </row>
        <row r="5324">
          <cell r="E5324" t="str">
            <v>PLOT NO. 148, TUPUDANA, INDUSTRIAL AREA, HATIA, RANCHI
834002</v>
          </cell>
          <cell r="G5324">
            <v>9534249500</v>
          </cell>
          <cell r="K5324" t="str">
            <v>BRIS035838</v>
          </cell>
        </row>
        <row r="5325">
          <cell r="E5325" t="str">
            <v>KHURPANIA, KHASHMAHAL, PHUSHRO</v>
          </cell>
          <cell r="G5325">
            <v>9031496711</v>
          </cell>
          <cell r="K5325" t="str">
            <v>BTHD162350</v>
          </cell>
        </row>
        <row r="5326">
          <cell r="E5326" t="str">
            <v>NAGRI,RANCHI
835202
RANCHI</v>
          </cell>
          <cell r="G5326">
            <v>7004248489</v>
          </cell>
          <cell r="K5326" t="str">
            <v>BRIS035698</v>
          </cell>
        </row>
        <row r="5327">
          <cell r="E5327" t="str">
            <v>DALTONGANJ</v>
          </cell>
          <cell r="G5327">
            <v>8757260073</v>
          </cell>
          <cell r="K5327" t="str">
            <v>BUBS045965</v>
          </cell>
        </row>
        <row r="5328">
          <cell r="E5328" t="str">
            <v>DALTONGANJ</v>
          </cell>
          <cell r="G5328">
            <v>8757260073</v>
          </cell>
          <cell r="K5328" t="str">
            <v>BUBS045955</v>
          </cell>
        </row>
        <row r="5329">
          <cell r="E5329" t="str">
            <v>C/O URANIUM CORPORATION OF INDIA LIMITED, MOHULDIH MINES, SARAIKELA, KHARSAWAN</v>
          </cell>
          <cell r="G5329">
            <v>8367674492</v>
          </cell>
          <cell r="K5329" t="str">
            <v>BUAL160594</v>
          </cell>
        </row>
        <row r="5330">
          <cell r="E5330" t="str">
            <v>KANKE, RANCHI
834002</v>
          </cell>
          <cell r="G5330">
            <v>7979732853</v>
          </cell>
          <cell r="K5330" t="str">
            <v>BSFC376396</v>
          </cell>
        </row>
        <row r="5331">
          <cell r="E5331" t="str">
            <v>NAGRI,RANCHI
835202
RANCHI</v>
          </cell>
          <cell r="G5331">
            <v>7004248429</v>
          </cell>
          <cell r="K5331">
            <v>108441</v>
          </cell>
        </row>
        <row r="5332">
          <cell r="E5332" t="str">
            <v>NAGRI,RANCHI
835202
RANCHI</v>
          </cell>
          <cell r="G5332">
            <v>8877024924</v>
          </cell>
          <cell r="K5332" t="str">
            <v>BMJS040004</v>
          </cell>
        </row>
        <row r="5333">
          <cell r="E5333" t="str">
            <v>NAGRI,RANCHI
835202
RANCHI</v>
          </cell>
          <cell r="G5333">
            <v>9608884168</v>
          </cell>
          <cell r="K5333" t="str">
            <v>BIGS030904</v>
          </cell>
        </row>
        <row r="5334">
          <cell r="E5334" t="str">
            <v>NAGRI, RANCHI
TIKRATOLI, P.O:- NAGRI, RANCHI
834006</v>
          </cell>
          <cell r="G5334">
            <v>7549287704</v>
          </cell>
          <cell r="K5334" t="str">
            <v>BKKS030393</v>
          </cell>
        </row>
        <row r="5335">
          <cell r="E5335" t="str">
            <v>BASTAWLA DHANBAD</v>
          </cell>
          <cell r="G5335">
            <v>7489823544</v>
          </cell>
          <cell r="K5335" t="str">
            <v>BUAD162630</v>
          </cell>
        </row>
        <row r="5336">
          <cell r="E5336" t="str">
            <v>ASHOKA PROJECT PIPARWAR</v>
          </cell>
          <cell r="G5336">
            <v>9102400908</v>
          </cell>
          <cell r="K5336" t="str">
            <v>BUID162912</v>
          </cell>
        </row>
        <row r="5337">
          <cell r="E5337" t="str">
            <v>HESLA,RAMGARH
829101</v>
          </cell>
          <cell r="G5337">
            <v>8809981451</v>
          </cell>
          <cell r="K5337" t="str">
            <v>BSJS035917</v>
          </cell>
        </row>
        <row r="5338">
          <cell r="E5338" t="str">
            <v>HESLA,RAMGARH
829101</v>
          </cell>
          <cell r="G5338">
            <v>8809981451</v>
          </cell>
          <cell r="K5338" t="str">
            <v>BSDS037710</v>
          </cell>
        </row>
        <row r="5339">
          <cell r="E5339" t="str">
            <v>AT - HEHAL, POST - BARKAKANA
BARKAKANA
829103</v>
          </cell>
          <cell r="G5339">
            <v>9386515681</v>
          </cell>
          <cell r="K5339" t="str">
            <v>BUAS033580</v>
          </cell>
        </row>
        <row r="5340">
          <cell r="E5340" t="str">
            <v>PLOT NO 716,VILL-RUKKA,
835219</v>
          </cell>
          <cell r="G5340">
            <v>9791019799</v>
          </cell>
          <cell r="K5340" t="str">
            <v>BSKS036365</v>
          </cell>
        </row>
        <row r="5341">
          <cell r="E5341" t="str">
            <v>PLOT NO 716,VILL-RUKKA,
835219</v>
          </cell>
          <cell r="G5341">
            <v>9791019799</v>
          </cell>
          <cell r="K5341" t="str">
            <v>BSKS036366</v>
          </cell>
        </row>
        <row r="5342">
          <cell r="E5342" t="str">
            <v>BALIDIH INDUSTRIAL AREA
827014</v>
          </cell>
          <cell r="G5342">
            <v>7980994058</v>
          </cell>
          <cell r="K5342" t="str">
            <v>BTDS044304</v>
          </cell>
        </row>
        <row r="5343">
          <cell r="E5343" t="str">
            <v>BALIDIH INDUSTRIAL AREA, BALIDIH BOKARO</v>
          </cell>
          <cell r="G5343">
            <v>7980994058</v>
          </cell>
          <cell r="K5343">
            <v>164253</v>
          </cell>
        </row>
        <row r="5344">
          <cell r="E5344" t="str">
            <v>KOKAR INDUSTRIAL AREA,,RANCHI
834002
KOKAR INDUSTRIAL AREA RANCHI</v>
          </cell>
          <cell r="G5344">
            <v>9431101890</v>
          </cell>
          <cell r="K5344" t="str">
            <v>BPLF150007</v>
          </cell>
        </row>
        <row r="5345">
          <cell r="E5345" t="str">
            <v>SARWARI, ASANSOL, WB</v>
          </cell>
          <cell r="G5345">
            <v>8809380657</v>
          </cell>
          <cell r="K5345" t="str">
            <v>BSCS037494</v>
          </cell>
        </row>
        <row r="5346">
          <cell r="E5346" t="str">
            <v>TAPIN PROJECT, TAPIN</v>
          </cell>
          <cell r="G5346">
            <v>8521064546</v>
          </cell>
          <cell r="K5346" t="str">
            <v>BUID162953</v>
          </cell>
        </row>
        <row r="5347">
          <cell r="E5347" t="str">
            <v>BASTAKOLA, DHANBAD</v>
          </cell>
          <cell r="G5347">
            <v>8521064546</v>
          </cell>
          <cell r="K5347" t="str">
            <v>BQKD160099</v>
          </cell>
        </row>
        <row r="5348">
          <cell r="E5348" t="str">
            <v>FLAT NO. 300, BLOCK - A, MP SRIRAM, CHHOTA GAMHARIA, P.S. - GAMHARIA, DIST.- SARAIKELA KHARSAWAN</v>
          </cell>
          <cell r="G5348">
            <v>7900700814</v>
          </cell>
          <cell r="K5348" t="str">
            <v>BRBL150944</v>
          </cell>
        </row>
        <row r="5349">
          <cell r="E5349" t="str">
            <v>DHANBAD</v>
          </cell>
          <cell r="G5349">
            <v>9550053031</v>
          </cell>
          <cell r="K5349" t="str">
            <v>BTDD162186</v>
          </cell>
        </row>
        <row r="5350">
          <cell r="E5350" t="str">
            <v>BASTAKOLA, DHANBAD</v>
          </cell>
          <cell r="G5350">
            <v>7667296002</v>
          </cell>
          <cell r="K5350" t="str">
            <v>BQKD160099</v>
          </cell>
        </row>
        <row r="5351">
          <cell r="E5351" t="str">
            <v>C/O - ANUP JOSHI, DOCTOR GALI FRONT OF JAIN MANDIR, P.O. - JHUMRITILAIYA, KODERMA</v>
          </cell>
          <cell r="G5351">
            <v>9340943062</v>
          </cell>
          <cell r="K5351" t="str">
            <v>BSBD161629</v>
          </cell>
        </row>
        <row r="5352">
          <cell r="E5352" t="str">
            <v>BALIDIH INDUSTRIAL AREA, BALIDIH BOKARO</v>
          </cell>
          <cell r="G5352">
            <v>8535891873</v>
          </cell>
          <cell r="K5352">
            <v>164253</v>
          </cell>
        </row>
        <row r="5353">
          <cell r="E5353" t="str">
            <v>BALIDIH, BOKARO</v>
          </cell>
          <cell r="G5353">
            <v>7008631882</v>
          </cell>
          <cell r="K5353" t="str">
            <v>BVJS047797</v>
          </cell>
        </row>
        <row r="5354">
          <cell r="E5354" t="str">
            <v>GIRIDIH</v>
          </cell>
          <cell r="G5354">
            <v>9204651370</v>
          </cell>
          <cell r="K5354" t="str">
            <v>BVFS049456</v>
          </cell>
        </row>
        <row r="5355">
          <cell r="E5355" t="str">
            <v>BHORA</v>
          </cell>
          <cell r="G5355">
            <v>9550053031</v>
          </cell>
          <cell r="K5355" t="str">
            <v>BULD162568</v>
          </cell>
        </row>
        <row r="5356">
          <cell r="E5356" t="str">
            <v>ADITYAPUR KANDRA ROAD
831013</v>
          </cell>
          <cell r="G5356">
            <v>9608189810</v>
          </cell>
          <cell r="K5356" t="str">
            <v>BRDC373261</v>
          </cell>
        </row>
        <row r="5357">
          <cell r="E5357" t="str">
            <v>A-3, 2ND PHASE, ADITYAPUR INDUSTRIAL AREA, ADITYAPUR, JAMSHEDPUR, JHARKHAND
A-3, 2ND PHASE, ADITYAPUR INDUSTRIAL AREA, ADITYAPUR, JAMSHEDPUR, JHARKHAND
831013
JAMHEDPUR</v>
          </cell>
          <cell r="G5357">
            <v>9608189810</v>
          </cell>
          <cell r="K5357" t="str">
            <v>GPBC370442</v>
          </cell>
        </row>
        <row r="5358">
          <cell r="E5358" t="str">
            <v>NAGARI, RANCHI
834006</v>
          </cell>
          <cell r="G5358">
            <v>7903326978</v>
          </cell>
          <cell r="K5358" t="str">
            <v>BRAC372524</v>
          </cell>
        </row>
        <row r="5359">
          <cell r="E5359" t="str">
            <v>GOVINDPUR, DHANBAD</v>
          </cell>
          <cell r="G5359">
            <v>7999546129</v>
          </cell>
          <cell r="K5359" t="str">
            <v>BVDS039346</v>
          </cell>
        </row>
        <row r="5360">
          <cell r="E5360" t="str">
            <v>C/O - PREM PRAKASH AGARWAL, OPP - HILLVIEW FUEL STATION, GODHUR, P.O - KUSUNDA, DHANBAD</v>
          </cell>
          <cell r="G5360">
            <v>6200250979</v>
          </cell>
          <cell r="K5360" t="str">
            <v>BTED162217</v>
          </cell>
        </row>
        <row r="5361">
          <cell r="E5361" t="str">
            <v>NICHITPUR</v>
          </cell>
          <cell r="G5361">
            <v>6200250979</v>
          </cell>
          <cell r="K5361" t="str">
            <v>BUCD162696</v>
          </cell>
        </row>
        <row r="5362">
          <cell r="E5362" t="str">
            <v>RAMGARH
829103
NAYA MORE</v>
          </cell>
          <cell r="G5362">
            <v>8651078549</v>
          </cell>
          <cell r="K5362" t="str">
            <v>BRGS035169</v>
          </cell>
        </row>
        <row r="5363">
          <cell r="E5363" t="str">
            <v>KHERA</v>
          </cell>
          <cell r="G5363">
            <v>9263634417</v>
          </cell>
          <cell r="K5363" t="str">
            <v>BTCD162159</v>
          </cell>
        </row>
        <row r="5364">
          <cell r="E5364" t="str">
            <v>NEAR P.N BANK MAIN ROAD,, RAMGARH CANTT-829122, DIST. RAMGARH
829122
BUDHAKHOP, AMBRELA, KARMA,</v>
          </cell>
          <cell r="G5364">
            <v>8978200989</v>
          </cell>
          <cell r="K5364" t="str">
            <v>BSHS038806</v>
          </cell>
        </row>
        <row r="5365">
          <cell r="E5365" t="str">
            <v>AT: SENEGARHA, P.O-RABODH, P.S-GIDDI,(RAMGARH),, DISTT. HAZARIBAGH,JHARKHAND-825330
829108
AT: SENEGARHA, P.O-RABODH, P.S-GIDDI,(RAMGARH),</v>
          </cell>
          <cell r="G5365">
            <v>9006877583</v>
          </cell>
          <cell r="K5365" t="str">
            <v>BQES030978</v>
          </cell>
        </row>
        <row r="5366">
          <cell r="E5366" t="str">
            <v>NEAR P.N BANK MAIN ROAD,, RAMGARH CANTT-829122, DIST. RAMGARH
829122
BUDHAKHOP, AMBRELA, KARMA,</v>
          </cell>
          <cell r="G5366">
            <v>8978200989</v>
          </cell>
          <cell r="K5366" t="str">
            <v>BSHS038806</v>
          </cell>
        </row>
        <row r="5367">
          <cell r="E5367" t="str">
            <v>BERA, DHANBAD</v>
          </cell>
          <cell r="G5367">
            <v>7623886938</v>
          </cell>
          <cell r="K5367" t="str">
            <v>BUAD162634</v>
          </cell>
        </row>
        <row r="5368">
          <cell r="E5368" t="str">
            <v>BASTAWLA DHANBAD</v>
          </cell>
          <cell r="G5368">
            <v>9550053031</v>
          </cell>
          <cell r="K5368" t="str">
            <v>BTJD162046</v>
          </cell>
        </row>
        <row r="5369">
          <cell r="E5369" t="str">
            <v>LODNA</v>
          </cell>
          <cell r="G5369">
            <v>7644045555</v>
          </cell>
          <cell r="K5369" t="str">
            <v>BVJD162972</v>
          </cell>
        </row>
        <row r="5370">
          <cell r="E5370" t="str">
            <v>NEAR P.N BANK MAIN ROAD,, RAMGARH CANTT-829122, DIST. RAMGARH
829122
BUDHAKHOP, AMBRELA, KARMA,</v>
          </cell>
          <cell r="G5370">
            <v>8978200989</v>
          </cell>
          <cell r="K5370" t="str">
            <v>BQBS030091</v>
          </cell>
        </row>
        <row r="5371">
          <cell r="E5371" t="str">
            <v>BHULI, DHANBAD</v>
          </cell>
          <cell r="G5371">
            <v>7541046561</v>
          </cell>
          <cell r="K5371" t="str">
            <v>BVFS039912</v>
          </cell>
        </row>
        <row r="5372">
          <cell r="E5372" t="str">
            <v>SARNATOLI,ANGADA,RANCHI
835222</v>
          </cell>
          <cell r="G5372">
            <v>9110012919</v>
          </cell>
          <cell r="K5372" t="str">
            <v>BSAF110719</v>
          </cell>
        </row>
        <row r="5373">
          <cell r="E5373" t="str">
            <v>FLAT NO. 300, BLOCK - A, MP SRIRAM, CHHOTA GAMHARIA, P.S. - GAMHARIA, DIST.- SARAIKELA KHARSAWAN</v>
          </cell>
          <cell r="G5373">
            <v>7900700814</v>
          </cell>
          <cell r="K5373" t="str">
            <v>BRBL150944</v>
          </cell>
        </row>
        <row r="5374">
          <cell r="E5374" t="str">
            <v>FLAT NO. 300, BLOCK - A, MP SRIRAM, CHHOTA GAMHARIA, P.S. - GAMHARIA, DIST.- SARAIKELA KHARSAWAN</v>
          </cell>
          <cell r="G5374">
            <v>7900700814</v>
          </cell>
          <cell r="K5374" t="str">
            <v>BRGL151468</v>
          </cell>
        </row>
        <row r="5375">
          <cell r="E5375" t="str">
            <v>FLAT NO. 300, BLOCK - A, MP SRIRAM, CHHOTA GAMHARIA, P.S. - GAMHARIA, DIST.- SARAIKELA KHARSAWAN</v>
          </cell>
          <cell r="G5375">
            <v>7600700814</v>
          </cell>
          <cell r="K5375" t="str">
            <v>BRGL151464</v>
          </cell>
        </row>
        <row r="5376">
          <cell r="E5376" t="str">
            <v>UPPER BAZAR,RANCHI
834001
OPP. MAHAVIR MANDIR , RADHA NAGAR ROAD</v>
          </cell>
          <cell r="G5376">
            <v>7909069824</v>
          </cell>
          <cell r="K5376" t="str">
            <v>GOHC370805</v>
          </cell>
        </row>
        <row r="5377">
          <cell r="E5377" t="str">
            <v>DHANBAD, CONT PERSON :MR. IKTEKHAR AHMAD, PH.NO :9431316718</v>
          </cell>
          <cell r="G5377">
            <v>7402773991</v>
          </cell>
          <cell r="K5377" t="str">
            <v>BSKD161462</v>
          </cell>
        </row>
        <row r="5378">
          <cell r="E5378" t="str">
            <v>1, KOCP, DHANSAR, Dhanbad, Jharkhand, 828106</v>
          </cell>
          <cell r="G5378">
            <v>6360902039</v>
          </cell>
          <cell r="K5378" t="str">
            <v>BUIC373701</v>
          </cell>
        </row>
        <row r="5379">
          <cell r="E5379" t="str">
            <v>AMLO, PHUSHRO</v>
          </cell>
          <cell r="G5379">
            <v>9546640125</v>
          </cell>
          <cell r="K5379" t="str">
            <v>BTKD162074</v>
          </cell>
        </row>
        <row r="5380">
          <cell r="E5380" t="str">
            <v>RANCHI
834002</v>
          </cell>
          <cell r="G5380">
            <v>6201790044</v>
          </cell>
          <cell r="K5380" t="str">
            <v>BULS033141</v>
          </cell>
        </row>
        <row r="5381">
          <cell r="E5381" t="str">
            <v>RANCHI
834002</v>
          </cell>
          <cell r="G5381">
            <v>6201790044</v>
          </cell>
          <cell r="K5381" t="str">
            <v>BTIS032020</v>
          </cell>
        </row>
        <row r="5382">
          <cell r="E5382" t="str">
            <v>RANCHI
834002</v>
          </cell>
          <cell r="G5382">
            <v>6201790044</v>
          </cell>
          <cell r="K5382" t="str">
            <v>BTIS032025</v>
          </cell>
        </row>
        <row r="5383">
          <cell r="E5383" t="str">
            <v>HAZARIBAGH</v>
          </cell>
          <cell r="G5383">
            <v>7905424302</v>
          </cell>
          <cell r="K5383" t="str">
            <v>BUIS036401</v>
          </cell>
        </row>
        <row r="5384">
          <cell r="E5384" t="str">
            <v>BHULI, DHANBAD</v>
          </cell>
          <cell r="G5384">
            <v>7541046561</v>
          </cell>
          <cell r="K5384" t="str">
            <v>BVFS039912</v>
          </cell>
        </row>
        <row r="5385">
          <cell r="E5385" t="str">
            <v>SUNDER NAGAR, JAMSHEDPUR</v>
          </cell>
          <cell r="G5385">
            <v>9556546094</v>
          </cell>
          <cell r="K5385" t="str">
            <v>BVED163235</v>
          </cell>
        </row>
        <row r="5386">
          <cell r="E5386" t="str">
            <v>BHORA</v>
          </cell>
          <cell r="G5386">
            <v>9550053031</v>
          </cell>
          <cell r="K5386" t="str">
            <v>BULD162568</v>
          </cell>
        </row>
        <row r="5387">
          <cell r="E5387" t="str">
            <v>BHORA</v>
          </cell>
          <cell r="G5387">
            <v>9550053031</v>
          </cell>
          <cell r="K5387" t="str">
            <v>BULD162568</v>
          </cell>
        </row>
        <row r="5388">
          <cell r="E5388" t="str">
            <v>HOSHIR GIDDI,RAMGARH
NEAR P.N. BANK MAIN ROAD, RAMGARH CANTT. 829122
829110</v>
          </cell>
          <cell r="G5388">
            <v>8789325724</v>
          </cell>
          <cell r="K5388" t="str">
            <v>BRHS035368</v>
          </cell>
        </row>
        <row r="5389">
          <cell r="E5389" t="str">
            <v>BASKATOLA</v>
          </cell>
          <cell r="G5389">
            <v>8521311810</v>
          </cell>
          <cell r="K5389" t="str">
            <v>BULD162577</v>
          </cell>
        </row>
        <row r="5390">
          <cell r="E5390" t="str">
            <v>CHANDWA, RANCHI</v>
          </cell>
          <cell r="G5390">
            <v>8168068360</v>
          </cell>
          <cell r="K5390" t="str">
            <v>BVEC376812</v>
          </cell>
        </row>
        <row r="5391">
          <cell r="E5391" t="str">
            <v>BARKAGAOUN, HAZARIBAGH</v>
          </cell>
          <cell r="G5391">
            <v>7070010949</v>
          </cell>
          <cell r="K5391" t="str">
            <v>BVED231179</v>
          </cell>
        </row>
        <row r="5392">
          <cell r="E5392" t="str">
            <v>RAMGRAH CANTT</v>
          </cell>
          <cell r="G5392">
            <v>8340759746</v>
          </cell>
          <cell r="K5392" t="str">
            <v>BVAC375345</v>
          </cell>
        </row>
        <row r="5393">
          <cell r="E5393" t="str">
            <v>NTA LODNA, DHANBAD</v>
          </cell>
          <cell r="G5393">
            <v>6394641834</v>
          </cell>
          <cell r="K5393" t="str">
            <v>BULD162559</v>
          </cell>
        </row>
        <row r="5394">
          <cell r="E5394" t="str">
            <v>SUNDER NAGAR, JAMSHEDPUR</v>
          </cell>
          <cell r="G5394">
            <v>9556546094</v>
          </cell>
          <cell r="K5394" t="str">
            <v>BVED163231</v>
          </cell>
        </row>
        <row r="5395">
          <cell r="E5395" t="str">
            <v>LODNA</v>
          </cell>
          <cell r="G5395">
            <v>6394641834</v>
          </cell>
          <cell r="K5395" t="str">
            <v>BTDD162169</v>
          </cell>
        </row>
        <row r="5396">
          <cell r="E5396" t="str">
            <v>NTA LODNA, DHANBAD</v>
          </cell>
          <cell r="G5396">
            <v>6394641834</v>
          </cell>
          <cell r="K5396" t="str">
            <v>BULD162559</v>
          </cell>
        </row>
        <row r="5397">
          <cell r="E5397" t="str">
            <v>LODNA</v>
          </cell>
          <cell r="G5397">
            <v>6394641834</v>
          </cell>
          <cell r="K5397" t="str">
            <v>BSJD161429</v>
          </cell>
        </row>
        <row r="5398">
          <cell r="E5398" t="str">
            <v>LODNA</v>
          </cell>
          <cell r="G5398">
            <v>6394641834</v>
          </cell>
          <cell r="K5398" t="str">
            <v>BTCD162149</v>
          </cell>
        </row>
        <row r="5399">
          <cell r="E5399" t="str">
            <v>BASTAKOLA, DHANBAD</v>
          </cell>
          <cell r="G5399">
            <v>9550053031</v>
          </cell>
          <cell r="K5399" t="str">
            <v>BUKD162535</v>
          </cell>
        </row>
        <row r="5400">
          <cell r="E5400" t="str">
            <v>BASKATOLA</v>
          </cell>
          <cell r="G5400">
            <v>9550053031</v>
          </cell>
          <cell r="K5400" t="str">
            <v>BULD162577</v>
          </cell>
        </row>
        <row r="5401">
          <cell r="E5401" t="str">
            <v>JAMSHEDPUR</v>
          </cell>
          <cell r="G5401">
            <v>6206522169</v>
          </cell>
          <cell r="K5401" t="str">
            <v>BPGC370231</v>
          </cell>
        </row>
        <row r="5402">
          <cell r="E5402" t="str">
            <v>BALIDIH INDUSTRIAL AREA
827014</v>
          </cell>
          <cell r="G5402">
            <v>7980994058</v>
          </cell>
          <cell r="K5402" t="str">
            <v>BTDS044313</v>
          </cell>
        </row>
        <row r="5403">
          <cell r="E5403" t="str">
            <v>RAMGRAH</v>
          </cell>
          <cell r="G5403">
            <v>7898058712</v>
          </cell>
          <cell r="K5403" t="str">
            <v>BPKHS030402</v>
          </cell>
        </row>
        <row r="5404">
          <cell r="E5404" t="str">
            <v>RAMGARH SPONGE IRON PVT LTD VILLAGE:HOSHIR GIDDI-POHAZARIBAGH(DT)JHARKHAND IND
829110</v>
          </cell>
          <cell r="G5404">
            <v>6201225253</v>
          </cell>
          <cell r="K5404" t="str">
            <v>BKCS040470</v>
          </cell>
        </row>
        <row r="5405">
          <cell r="E5405" t="str">
            <v>RANCHI</v>
          </cell>
          <cell r="G5405">
            <v>8709406268</v>
          </cell>
          <cell r="K5405" t="str">
            <v>BKDS031405</v>
          </cell>
        </row>
        <row r="5406">
          <cell r="E5406" t="str">
            <v>LOHARDAGA,JHARKHAND
LOHARDAGA, MOB. NO.9661111900
835302
LOHARDAGA</v>
          </cell>
          <cell r="G5406">
            <v>8709406268</v>
          </cell>
          <cell r="K5406" t="str">
            <v>BQFS031084</v>
          </cell>
        </row>
        <row r="5407">
          <cell r="E5407" t="str">
            <v>KATRAS, DHANBAD</v>
          </cell>
          <cell r="G5407">
            <v>9113788032</v>
          </cell>
          <cell r="K5407" t="str">
            <v>BSKD161477</v>
          </cell>
        </row>
        <row r="5408">
          <cell r="E5408" t="str">
            <v>BHUYANDIH, JAMSHEDPUR</v>
          </cell>
          <cell r="G5408">
            <v>9304170499</v>
          </cell>
          <cell r="K5408" t="str">
            <v>BMFC370445</v>
          </cell>
        </row>
        <row r="5409">
          <cell r="E5409" t="str">
            <v>BALIDIH, BOKARO</v>
          </cell>
          <cell r="G5409">
            <v>7992378509</v>
          </cell>
          <cell r="K5409" t="str">
            <v>BVCS038776</v>
          </cell>
        </row>
        <row r="5410">
          <cell r="E5410" t="str">
            <v>HAWAI NAGAR,NEAR BIRSA CHOWK KHUTI ROAD RANCHI JHARKHAND
834002</v>
          </cell>
          <cell r="G5410">
            <v>8409282969</v>
          </cell>
          <cell r="K5410" t="str">
            <v>BUEC372458</v>
          </cell>
        </row>
        <row r="5411">
          <cell r="E5411" t="str">
            <v>RAMGRAH</v>
          </cell>
          <cell r="G5411">
            <v>7281962540</v>
          </cell>
          <cell r="K5411" t="str">
            <v>BUFS046910</v>
          </cell>
        </row>
        <row r="5412">
          <cell r="E5412" t="str">
            <v>BARIATU,RANCHI
834009
BARIATU</v>
          </cell>
          <cell r="G5412">
            <v>9504901125</v>
          </cell>
          <cell r="K5412" t="str">
            <v>BQLC370193</v>
          </cell>
        </row>
        <row r="5413">
          <cell r="E5413" t="str">
            <v>RAMGARH CANTT, RAMGARH
RAMGARH
829122
RAMGARH</v>
          </cell>
          <cell r="G5413">
            <v>9905511245</v>
          </cell>
          <cell r="K5413" t="str">
            <v>BNKS030423</v>
          </cell>
        </row>
        <row r="5414">
          <cell r="E5414" t="str">
            <v>TETULMARI, DHANBAD</v>
          </cell>
          <cell r="G5414">
            <v>9113788032</v>
          </cell>
          <cell r="K5414" t="str">
            <v>BVLD163040</v>
          </cell>
        </row>
        <row r="5415">
          <cell r="E5415" t="str">
            <v>KASUNDA</v>
          </cell>
          <cell r="G5415">
            <v>7847053297</v>
          </cell>
          <cell r="K5415" t="str">
            <v>BRDD161023</v>
          </cell>
        </row>
        <row r="5416">
          <cell r="E5416" t="str">
            <v>PLOT NO. 148, TUPUDANA, INDUSTRIAL AREA, HATIA, RANCHI
834002</v>
          </cell>
          <cell r="G5416">
            <v>9534249500</v>
          </cell>
          <cell r="K5416" t="str">
            <v>BSLS036682</v>
          </cell>
        </row>
        <row r="5417">
          <cell r="E5417" t="str">
            <v>PLOT NO. 148, TUPUDANA, INDUSTRIAL AREA, HATIA, RANCHI
834002</v>
          </cell>
          <cell r="G5417">
            <v>9534249500</v>
          </cell>
          <cell r="K5417" t="str">
            <v>BRIS035838</v>
          </cell>
        </row>
        <row r="5418">
          <cell r="E5418" t="str">
            <v>KATRAS, DHANBAD</v>
          </cell>
          <cell r="G5418">
            <v>9113788032</v>
          </cell>
          <cell r="K5418" t="str">
            <v>BSKD161477</v>
          </cell>
        </row>
        <row r="5419">
          <cell r="E5419" t="str">
            <v>BALIDIH, BOKARO</v>
          </cell>
          <cell r="G5419">
            <v>7008631882</v>
          </cell>
          <cell r="K5419" t="str">
            <v>BVJS047797</v>
          </cell>
        </row>
        <row r="5420">
          <cell r="E5420" t="str">
            <v>TAPIN PROJECT, CHARHI</v>
          </cell>
          <cell r="G5420">
            <v>6204816691</v>
          </cell>
          <cell r="K5420" t="str">
            <v>BVLD163067</v>
          </cell>
        </row>
        <row r="5421">
          <cell r="E5421" t="str">
            <v>BERA, DHANBAD</v>
          </cell>
          <cell r="G5421">
            <v>7623886938</v>
          </cell>
          <cell r="K5421" t="str">
            <v>BUAD162634</v>
          </cell>
        </row>
        <row r="5422">
          <cell r="E5422" t="str">
            <v>BARIDIH</v>
          </cell>
          <cell r="G5422">
            <v>9304170499</v>
          </cell>
          <cell r="K5422" t="str">
            <v>BQIC371495</v>
          </cell>
        </row>
        <row r="5423">
          <cell r="E5423" t="str">
            <v>HATIA RAILWAY STATION DEPOIT</v>
          </cell>
          <cell r="G5423">
            <v>7781002740</v>
          </cell>
          <cell r="K5423" t="str">
            <v>EVJS037006</v>
          </cell>
        </row>
        <row r="5424">
          <cell r="E5424" t="str">
            <v>KHURPANIA, KHASHMAHAL, PHUSHRO</v>
          </cell>
          <cell r="G5424">
            <v>6299732316</v>
          </cell>
          <cell r="K5424" t="str">
            <v>BTHD162350</v>
          </cell>
        </row>
        <row r="5425">
          <cell r="E5425" t="str">
            <v>DIBDIH, RANCHI
834002</v>
          </cell>
          <cell r="G5425">
            <v>8102915588</v>
          </cell>
          <cell r="K5425" t="str">
            <v>BTEC378588</v>
          </cell>
        </row>
        <row r="5426">
          <cell r="E5426" t="str">
            <v>1, KOCP, DHANSAR, Dhanbad, Jharkhand, 828106</v>
          </cell>
          <cell r="G5426">
            <v>6360902039</v>
          </cell>
          <cell r="K5426" t="str">
            <v>BUIC373701</v>
          </cell>
        </row>
        <row r="5427">
          <cell r="E5427" t="str">
            <v>BALIDIH INDUSTRIAL AREA, BOKARO
827014
BALIDIH</v>
          </cell>
          <cell r="G5427">
            <v>9334591780</v>
          </cell>
          <cell r="K5427" t="str">
            <v>BMCS030957</v>
          </cell>
        </row>
        <row r="5428">
          <cell r="E5428" t="str">
            <v>TATISIWAI INDUSTRIAL AREA, RANCHI
835103
TATISILWAY RANCHI</v>
          </cell>
          <cell r="G5428">
            <v>9122209999</v>
          </cell>
          <cell r="K5428" t="str">
            <v>BNJC370072</v>
          </cell>
        </row>
        <row r="5429">
          <cell r="E5429" t="str">
            <v>PHASE 3
827014
PHASE 3 INDUSTRIAL AREA827013</v>
          </cell>
          <cell r="G5429">
            <v>9122209999</v>
          </cell>
          <cell r="K5429" t="str">
            <v>BQIS031915</v>
          </cell>
        </row>
        <row r="5430">
          <cell r="E5430" t="str">
            <v>1, KOCP, DHANSAR, Dhanbad, Jharkhand, 828106</v>
          </cell>
          <cell r="G5430">
            <v>6360902039</v>
          </cell>
          <cell r="K5430" t="str">
            <v>BUIC373701</v>
          </cell>
        </row>
        <row r="5431">
          <cell r="E5431" t="str">
            <v>NAGARI,</v>
          </cell>
          <cell r="G5431">
            <v>9204493506</v>
          </cell>
          <cell r="K5431" t="str">
            <v>BLGS040582</v>
          </cell>
        </row>
        <row r="5432">
          <cell r="E5432" t="str">
            <v>NAGARI,</v>
          </cell>
          <cell r="G5432">
            <v>9204493506</v>
          </cell>
          <cell r="K5432" t="str">
            <v>BILS030211</v>
          </cell>
        </row>
        <row r="5433">
          <cell r="E5433" t="str">
            <v>NICHITPUR</v>
          </cell>
          <cell r="G5433">
            <v>7295943617</v>
          </cell>
          <cell r="K5433" t="str">
            <v>BUCD162696</v>
          </cell>
        </row>
        <row r="5434">
          <cell r="E5434" t="str">
            <v>DIBDIH, RANCHI
834002</v>
          </cell>
          <cell r="G5434">
            <v>8102915589</v>
          </cell>
          <cell r="K5434" t="str">
            <v>BTEC378588</v>
          </cell>
        </row>
        <row r="5435">
          <cell r="E5435" t="str">
            <v>NITESH</v>
          </cell>
          <cell r="G5435">
            <v>6201424621</v>
          </cell>
          <cell r="K5435" t="str">
            <v>BTCD162162</v>
          </cell>
        </row>
        <row r="5436">
          <cell r="E5436" t="str">
            <v>RAMGARH,JHARKHAND
829122</v>
          </cell>
          <cell r="G5436">
            <v>9016063949</v>
          </cell>
          <cell r="K5436" t="str">
            <v>BSIC376940</v>
          </cell>
        </row>
        <row r="5437">
          <cell r="E5437" t="str">
            <v>PIPARWAR,JHARKHAND</v>
          </cell>
          <cell r="G5437">
            <v>8809238352</v>
          </cell>
          <cell r="K5437" t="str">
            <v>BQHC371278</v>
          </cell>
        </row>
        <row r="5438">
          <cell r="E5438" t="str">
            <v>MAGADH PROJECT, BALUMATH</v>
          </cell>
          <cell r="G5438">
            <v>9102402602</v>
          </cell>
          <cell r="K5438" t="str">
            <v>BTDD162190</v>
          </cell>
        </row>
        <row r="5439">
          <cell r="E5439" t="str">
            <v>JHUMRI TILAIYA</v>
          </cell>
          <cell r="G5439">
            <v>7061052272</v>
          </cell>
          <cell r="K5439" t="str">
            <v>GPLS030458</v>
          </cell>
        </row>
        <row r="5440">
          <cell r="E5440" t="str">
            <v>GARHWA JHARKHAND</v>
          </cell>
          <cell r="G5440">
            <v>9709158650</v>
          </cell>
          <cell r="K5440" t="str">
            <v>BPHD200246</v>
          </cell>
        </row>
        <row r="5441">
          <cell r="E5441" t="str">
            <v>RAMGRAH CANTT</v>
          </cell>
          <cell r="G5441">
            <v>8340759746</v>
          </cell>
          <cell r="K5441" t="str">
            <v>BVAC375345</v>
          </cell>
        </row>
        <row r="5442">
          <cell r="E5442" t="str">
            <v>MANDU, RAMGARH
JAISWAL COLONY, THANA CHOW,, RAMGARH CANTT. DIST. RAMGARH, JHARKHAND
825316
MANDU</v>
          </cell>
          <cell r="G5442">
            <v>8708249759</v>
          </cell>
          <cell r="K5442" t="str">
            <v>BTLS039748</v>
          </cell>
        </row>
        <row r="5443">
          <cell r="E5443" t="str">
            <v>MANDU, RAMGARH
JAISWAL COLONY, THANA CHOW,, RAMGARH CANTT. DIST. RAMGARH, JHARKHAND
825316
MANDU</v>
          </cell>
          <cell r="G5443">
            <v>8708249759</v>
          </cell>
          <cell r="K5443" t="str">
            <v>BTLS039787</v>
          </cell>
        </row>
        <row r="5444">
          <cell r="E5444" t="str">
            <v>MANDU, RAMGARH
JAISWAL COLONY, THANA CHOW,, RAMGARH CANTT. DIST. RAMGARH, JHARKHAND
825316
MANDU</v>
          </cell>
          <cell r="G5444">
            <v>8708249759</v>
          </cell>
          <cell r="K5444" t="str">
            <v>BTLS039851</v>
          </cell>
        </row>
        <row r="5445">
          <cell r="E5445" t="str">
            <v>HOSHIR GIDDI,RAMGARH
NEAR P.N. BANK MAIN ROAD, RAMGARH CANTT. 829122
829110</v>
          </cell>
          <cell r="G5445">
            <v>9523148731</v>
          </cell>
          <cell r="K5445" t="str">
            <v>BRHS035368</v>
          </cell>
        </row>
        <row r="5446">
          <cell r="E5446" t="str">
            <v>C/O - SUJIT KUMAR, SAHAJANAND NAGAR, H. NO. -121, RANI ROAD, BHUDA, BARMASIA,, DHANBAD</v>
          </cell>
          <cell r="G5446">
            <v>9334537849</v>
          </cell>
          <cell r="K5446" t="str">
            <v>BTED200706</v>
          </cell>
        </row>
        <row r="5447">
          <cell r="E5447" t="str">
            <v>LODNA</v>
          </cell>
          <cell r="G5447">
            <v>7644045555</v>
          </cell>
          <cell r="K5447" t="str">
            <v>BTDD162169</v>
          </cell>
        </row>
        <row r="5448">
          <cell r="E5448" t="str">
            <v>LODNA</v>
          </cell>
          <cell r="G5448">
            <v>7644045555</v>
          </cell>
          <cell r="K5448" t="str">
            <v>BTDD162169</v>
          </cell>
        </row>
        <row r="5449">
          <cell r="E5449" t="str">
            <v>MANDU, RAMGARH
JAISWAL COLONY, THANA CHOW,, RAMGARH CANTT. DIST. RAMGARH, JHARKHAND
825316
MANDU</v>
          </cell>
          <cell r="G5449">
            <v>8708249759</v>
          </cell>
          <cell r="K5449" t="str">
            <v>BTLS039793</v>
          </cell>
        </row>
        <row r="5450">
          <cell r="E5450" t="str">
            <v>MANDU, RAMGARH
JAISWAL COLONY, THANA CHOW,, RAMGARH CANTT. DIST. RAMGARH, JHARKHAND
825316
MANDU</v>
          </cell>
          <cell r="G5450">
            <v>8708249759</v>
          </cell>
          <cell r="K5450" t="str">
            <v>BTLS039719</v>
          </cell>
        </row>
        <row r="5451">
          <cell r="E5451" t="str">
            <v>BARIDIH</v>
          </cell>
          <cell r="G5451">
            <v>9304170499</v>
          </cell>
          <cell r="K5451" t="str">
            <v>BQIC371495</v>
          </cell>
        </row>
        <row r="5452">
          <cell r="E5452" t="str">
            <v>BARIDIH</v>
          </cell>
          <cell r="G5452">
            <v>9304170499</v>
          </cell>
          <cell r="K5452" t="str">
            <v>BMFC370445</v>
          </cell>
        </row>
        <row r="5453">
          <cell r="E5453" t="str">
            <v>CHAPAPUR, NIRSA</v>
          </cell>
          <cell r="G5453">
            <v>9931921808</v>
          </cell>
          <cell r="K5453" t="str">
            <v>BQED160215</v>
          </cell>
        </row>
        <row r="5454">
          <cell r="E5454" t="str">
            <v>RAMGARH
829103
NAYA MORE</v>
          </cell>
          <cell r="G5454">
            <v>8651078549</v>
          </cell>
          <cell r="K5454" t="str">
            <v>BPCS030196</v>
          </cell>
        </row>
        <row r="5455">
          <cell r="E5455" t="str">
            <v>PLOT NO.-806, HARDAGKHUTI ROAD,RANCHI
KHUNTI ROAD HARDAG
835221</v>
          </cell>
          <cell r="G5455">
            <v>9903493509</v>
          </cell>
          <cell r="K5455" t="str">
            <v>BLGS031576</v>
          </cell>
        </row>
        <row r="5456">
          <cell r="E5456" t="str">
            <v>PLOT NO.-806, HARDAGKHUTI ROAD,RANCHI
KHUNTI ROAD HARDAG
835221</v>
          </cell>
          <cell r="G5456">
            <v>9903493509</v>
          </cell>
          <cell r="K5456" t="str">
            <v>BRGS035244</v>
          </cell>
        </row>
        <row r="5457">
          <cell r="E5457" t="str">
            <v>KAARO SUBHASH NAGAR, DHANBAD</v>
          </cell>
          <cell r="G5457">
            <v>7873039065</v>
          </cell>
          <cell r="K5457" t="str">
            <v>BTFD162243</v>
          </cell>
        </row>
        <row r="5458">
          <cell r="E5458" t="str">
            <v>NICHITPUR</v>
          </cell>
          <cell r="G5458">
            <v>7295943617</v>
          </cell>
          <cell r="K5458" t="str">
            <v>BUCD162696</v>
          </cell>
        </row>
        <row r="5459">
          <cell r="E5459" t="str">
            <v>C/O - PREM PRAKASH AGARWAL, OPP - HILLVIEW FUEL STATION, GODHUR, P.O - KUSUNDA, DHANBAD</v>
          </cell>
          <cell r="G5459">
            <v>7295943617</v>
          </cell>
          <cell r="K5459" t="str">
            <v>BTED162217</v>
          </cell>
        </row>
        <row r="5460">
          <cell r="E5460" t="str">
            <v>ANGAR PATRA,DHANBAD</v>
          </cell>
          <cell r="G5460">
            <v>8210106692</v>
          </cell>
          <cell r="K5460" t="str">
            <v>BSDD161729</v>
          </cell>
        </row>
        <row r="5461">
          <cell r="E5461" t="str">
            <v>MANDU, RAMGARH
JAISWAL COLONY, THANA CHOW,, RAMGARH CANTT. DIST. RAMGARH, JHARKHAND
825316
MANDU</v>
          </cell>
          <cell r="G5461">
            <v>9361106140</v>
          </cell>
          <cell r="K5461" t="str">
            <v>BSGS043528</v>
          </cell>
        </row>
        <row r="5462">
          <cell r="E5462" t="str">
            <v>REG. OFFICE: UNIT 106, MAHABIR TOWER, JOKHIRAM LANE, MAIN ROAD, RANCHI - 834 001
REG. OFFICE: UNIT 106, MAHABIR TOWER, JOKHIRAM LANE, MAIN ROAD, RANCHI - 834 001
835214</v>
          </cell>
          <cell r="G5462">
            <v>9373952193</v>
          </cell>
          <cell r="K5462" t="str">
            <v>BSDS043254</v>
          </cell>
        </row>
        <row r="5463">
          <cell r="E5463" t="str">
            <v>TELULMARI</v>
          </cell>
          <cell r="G5463">
            <v>6299066158</v>
          </cell>
          <cell r="K5463" t="str">
            <v>BQCD160129</v>
          </cell>
        </row>
        <row r="5464">
          <cell r="E5464" t="str">
            <v>TELULMARI</v>
          </cell>
          <cell r="G5464">
            <v>6299066158</v>
          </cell>
          <cell r="K5464" t="str">
            <v>BQCD160129</v>
          </cell>
        </row>
        <row r="5465">
          <cell r="E5465" t="str">
            <v>GOPI KANDHAR, DUMKA</v>
          </cell>
          <cell r="G5465">
            <v>9263193314</v>
          </cell>
          <cell r="K5465" t="str">
            <v>BUID162940</v>
          </cell>
        </row>
        <row r="5466">
          <cell r="E5466" t="str">
            <v>SARWARI, ASANSOL, WB</v>
          </cell>
          <cell r="G5466">
            <v>8084058323</v>
          </cell>
          <cell r="K5466" t="str">
            <v>BSCS037494</v>
          </cell>
        </row>
        <row r="5467">
          <cell r="E5467" t="str">
            <v>BAGSUMA,GOVINDPUR, DHANBAD
GT ROAD, BAGSUMA
828109</v>
          </cell>
          <cell r="G5467">
            <v>9334979276</v>
          </cell>
          <cell r="K5467" t="str">
            <v>BTJC377259</v>
          </cell>
        </row>
        <row r="5468">
          <cell r="E5468" t="str">
            <v>DALTAINGANJ</v>
          </cell>
          <cell r="G5468">
            <v>9153994622</v>
          </cell>
          <cell r="K5468" t="str">
            <v>BVAC375308</v>
          </cell>
        </row>
        <row r="5469">
          <cell r="E5469" t="str">
            <v>TELULMARI</v>
          </cell>
          <cell r="G5469">
            <v>8539967565</v>
          </cell>
          <cell r="K5469" t="str">
            <v>BQCD160129</v>
          </cell>
        </row>
        <row r="5470">
          <cell r="E5470" t="str">
            <v>SUNRISE COMPLEX, KATRAS ROAD,, MATKURIA, DHANBAD, JHARKHAND-826001, WORKS: BHELATAND, GOVINDPUR,, DHANBAD, JHARKHAND - 828109.
828109</v>
          </cell>
          <cell r="G5470">
            <v>7004746001</v>
          </cell>
          <cell r="K5470" t="str">
            <v>BTLS044130</v>
          </cell>
        </row>
        <row r="5471">
          <cell r="E5471" t="str">
            <v>SUNRISE COMPLEX, KATRAS ROAD,, MATKURIA, DHANBAD, JHARKHAND-826001, WORKS: BHELATAND, GOVINDPUR,, DHANBAD, JHARKHAND - 828109.
828109</v>
          </cell>
          <cell r="G5471">
            <v>7004746001</v>
          </cell>
          <cell r="K5471" t="str">
            <v>BTLS044130</v>
          </cell>
        </row>
        <row r="5472">
          <cell r="E5472" t="str">
            <v>BANDHTOLI, NAGRI</v>
          </cell>
          <cell r="G5472">
            <v>6201457979</v>
          </cell>
          <cell r="K5472" t="str">
            <v>BUFS046813</v>
          </cell>
        </row>
        <row r="5473">
          <cell r="E5473" t="str">
            <v>DUMKA</v>
          </cell>
          <cell r="G5473">
            <v>9304762882</v>
          </cell>
          <cell r="K5473" t="str">
            <v>BRAD160777</v>
          </cell>
        </row>
        <row r="5474">
          <cell r="E5474" t="str">
            <v>HAZARIBAGH,  HAZARIBAGH, JHARKHAND 825301</v>
          </cell>
          <cell r="G5474">
            <v>9031303137</v>
          </cell>
          <cell r="K5474" t="str">
            <v>BUCS034128</v>
          </cell>
        </row>
        <row r="5475">
          <cell r="E5475" t="str">
            <v>RING ROAD, RAMPUR, RANCHI
834010</v>
          </cell>
          <cell r="G5475">
            <v>9579206672</v>
          </cell>
          <cell r="K5475" t="str">
            <v>BRCS033809</v>
          </cell>
        </row>
        <row r="5476">
          <cell r="E5476" t="str">
            <v>RING ROAD, RAMPUR, RANCHI
834010</v>
          </cell>
          <cell r="G5476">
            <v>9579206672</v>
          </cell>
          <cell r="K5476" t="str">
            <v>BRCS033813</v>
          </cell>
        </row>
        <row r="5477">
          <cell r="E5477" t="str">
            <v>RING ROAD, RAMPUR, RANCHI
834010</v>
          </cell>
          <cell r="G5477">
            <v>9579206672</v>
          </cell>
          <cell r="K5477" t="str">
            <v>BRBS033681</v>
          </cell>
        </row>
        <row r="5478">
          <cell r="E5478" t="str">
            <v>RAMPUR, RANCHI</v>
          </cell>
          <cell r="G5478">
            <v>9579206672</v>
          </cell>
          <cell r="K5478" t="str">
            <v>BRCS033785</v>
          </cell>
        </row>
        <row r="5479">
          <cell r="E5479" t="str">
            <v>HAZARINAGH</v>
          </cell>
          <cell r="G5479">
            <v>9310680717</v>
          </cell>
          <cell r="K5479" t="str">
            <v>BUHC373622</v>
          </cell>
        </row>
        <row r="5480">
          <cell r="E5480" t="str">
            <v>LODNA</v>
          </cell>
          <cell r="G5480">
            <v>7644045555</v>
          </cell>
          <cell r="K5480" t="str">
            <v>BTDD162169</v>
          </cell>
        </row>
        <row r="5481">
          <cell r="E5481" t="str">
            <v>KATRAS, DHANBAD</v>
          </cell>
          <cell r="G5481">
            <v>8210106692</v>
          </cell>
          <cell r="K5481" t="str">
            <v>BUJD162460</v>
          </cell>
        </row>
        <row r="5482">
          <cell r="E5482" t="str">
            <v>TATULMURI, DHANBAD</v>
          </cell>
          <cell r="G5482">
            <v>9113788032</v>
          </cell>
          <cell r="K5482" t="str">
            <v>BUGD162852</v>
          </cell>
        </row>
        <row r="5483">
          <cell r="E5483" t="str">
            <v>AT: SENEGARHA, P.O-RABODH, P.S-GIDDI,(RAMGARH),, DISTT. HAZARIBAGH,JHARKHAND-825330
829108
AT: SENEGARHA, P.O-RABODH, P.S-GIDDI,(RAMGARH),</v>
          </cell>
          <cell r="G5483">
            <v>9006877583</v>
          </cell>
          <cell r="K5483" t="str">
            <v>BSCS037349</v>
          </cell>
        </row>
        <row r="5484">
          <cell r="E5484" t="str">
            <v>BEDMAKKA, HAZARIBAGH</v>
          </cell>
          <cell r="G5484">
            <v>8235225310</v>
          </cell>
          <cell r="K5484" t="str">
            <v>BVJC374202</v>
          </cell>
        </row>
        <row r="5485">
          <cell r="E5485" t="str">
            <v>SINDRI,DHANBAD
828122</v>
          </cell>
          <cell r="G5485">
            <v>7004661850</v>
          </cell>
          <cell r="K5485" t="str">
            <v>GOEC370640</v>
          </cell>
        </row>
        <row r="5486">
          <cell r="E5486" t="str">
            <v>BHORA</v>
          </cell>
          <cell r="G5486">
            <v>7488779074</v>
          </cell>
          <cell r="K5486" t="str">
            <v>BULD162568</v>
          </cell>
        </row>
        <row r="5487">
          <cell r="E5487" t="str">
            <v>HEHAL</v>
          </cell>
          <cell r="G5487">
            <v>9540735360</v>
          </cell>
          <cell r="K5487" t="str">
            <v>BVKC374370</v>
          </cell>
        </row>
        <row r="5488">
          <cell r="E5488" t="str">
            <v>RAMGARH</v>
          </cell>
          <cell r="G5488">
            <v>7360077726</v>
          </cell>
          <cell r="K5488" t="str">
            <v>BLES031356</v>
          </cell>
        </row>
        <row r="5489">
          <cell r="E5489" t="str">
            <v>NAGRI,RANCHI
835202
RANCHI</v>
          </cell>
          <cell r="G5489">
            <v>6200132241</v>
          </cell>
          <cell r="K5489" t="str">
            <v>BRIS035698</v>
          </cell>
        </row>
        <row r="5490">
          <cell r="E5490" t="str">
            <v>TETULWARI</v>
          </cell>
          <cell r="G5490">
            <v>7368926835</v>
          </cell>
          <cell r="K5490" t="str">
            <v>BTGD162296</v>
          </cell>
        </row>
        <row r="5491">
          <cell r="E5491" t="str">
            <v>KHASHMAHAL PROJECT CCL, BERMO, PHUSHRO, JHARKHAND</v>
          </cell>
          <cell r="G5491">
            <v>8210106692</v>
          </cell>
          <cell r="K5491" t="str">
            <v>BULD162561</v>
          </cell>
        </row>
        <row r="5492">
          <cell r="E5492" t="str">
            <v>ANGAR PATRA,DHANBAD</v>
          </cell>
          <cell r="G5492">
            <v>9570178502</v>
          </cell>
          <cell r="K5492" t="str">
            <v>BRBD160892</v>
          </cell>
        </row>
        <row r="5493">
          <cell r="E5493" t="str">
            <v>DHANBAD</v>
          </cell>
          <cell r="G5493">
            <v>9570178502</v>
          </cell>
          <cell r="K5493" t="str">
            <v>BTFD162244</v>
          </cell>
        </row>
        <row r="5494">
          <cell r="E5494" t="str">
            <v>KATRAS, DHANBAD</v>
          </cell>
          <cell r="G5494">
            <v>9570178502</v>
          </cell>
          <cell r="K5494" t="str">
            <v>BRBD160901</v>
          </cell>
        </row>
        <row r="5495">
          <cell r="E5495" t="str">
            <v>ANGAR PATRA,DHANBAD</v>
          </cell>
          <cell r="G5495">
            <v>9570178502</v>
          </cell>
          <cell r="K5495" t="str">
            <v>BRBD160892</v>
          </cell>
        </row>
        <row r="5496">
          <cell r="E5496" t="str">
            <v>DHANBAD</v>
          </cell>
          <cell r="G5496">
            <v>9570178502</v>
          </cell>
          <cell r="K5496" t="str">
            <v>BTFD162244</v>
          </cell>
        </row>
        <row r="5497">
          <cell r="E5497" t="str">
            <v>KATRAS, DHANBAD</v>
          </cell>
          <cell r="G5497">
            <v>9570178502</v>
          </cell>
          <cell r="K5497" t="str">
            <v>BRBD160901</v>
          </cell>
        </row>
        <row r="5498">
          <cell r="E5498" t="str">
            <v>RANCHI PATNA ROAD
DEMOTAND
825301
HAZARIBAGH</v>
          </cell>
          <cell r="G5498">
            <v>7905424302</v>
          </cell>
          <cell r="K5498" t="str">
            <v>BMBL160078</v>
          </cell>
        </row>
        <row r="5499">
          <cell r="E5499" t="str">
            <v>HAZARIBAGH
RANCHI JHARKHAND 834002
INDIA</v>
          </cell>
          <cell r="G5499">
            <v>7361044448</v>
          </cell>
          <cell r="K5499" t="str">
            <v>BKAS030685</v>
          </cell>
        </row>
        <row r="5500">
          <cell r="E5500" t="str">
            <v>SONARDHI</v>
          </cell>
          <cell r="G5500">
            <v>8210106692</v>
          </cell>
          <cell r="K5500" t="str">
            <v>BRCD160940</v>
          </cell>
        </row>
        <row r="5501">
          <cell r="E5501" t="str">
            <v>501, H.NO.3-4-136/B., ROYAL ASHOK, RESIDENCY , BARKATPURA, HYDERABAD, TELANGANA - 500027</v>
          </cell>
          <cell r="G5501">
            <v>7033918145</v>
          </cell>
          <cell r="K5501" t="str">
            <v>BTJD162045</v>
          </cell>
        </row>
        <row r="5502">
          <cell r="E5502" t="str">
            <v>RAJA PUR</v>
          </cell>
          <cell r="G5502">
            <v>7033918145</v>
          </cell>
          <cell r="K5502" t="str">
            <v>BRHD161312</v>
          </cell>
        </row>
        <row r="5503">
          <cell r="E5503" t="str">
            <v>LODNA</v>
          </cell>
          <cell r="G5503">
            <v>7644045555</v>
          </cell>
          <cell r="K5503" t="str">
            <v>BTDD162169</v>
          </cell>
        </row>
        <row r="5504">
          <cell r="E5504" t="str">
            <v>SHEETLA PRASAD SINGH,, MISHRA PADA, NEAR DURGA MANDIR,, JHARIA, DHANBAD - 828 111, JHARKHAND.</v>
          </cell>
          <cell r="G5504">
            <v>7644045555</v>
          </cell>
          <cell r="K5504" t="str">
            <v>BTCD162149</v>
          </cell>
        </row>
        <row r="5505">
          <cell r="E5505" t="str">
            <v>ANGAR PATRA,DHANBAD</v>
          </cell>
          <cell r="G5505">
            <v>8102325605</v>
          </cell>
          <cell r="K5505" t="str">
            <v>BSGD161898</v>
          </cell>
        </row>
        <row r="5506">
          <cell r="E5506" t="str">
            <v>PHUSHRO, KARO</v>
          </cell>
          <cell r="G5506">
            <v>8210106692</v>
          </cell>
          <cell r="K5506" t="str">
            <v>BTED162209</v>
          </cell>
        </row>
        <row r="5507">
          <cell r="E5507" t="str">
            <v>KATHITAR,RANCHI
KATHITAR,RANCHI
834004
KATHITAR,</v>
          </cell>
          <cell r="G5507">
            <v>6203721760</v>
          </cell>
          <cell r="K5507" t="str">
            <v>GPGC370774</v>
          </cell>
        </row>
        <row r="5508">
          <cell r="E5508" t="str">
            <v>KATHITAR,RANCHI
KATHITAR,RANCHI
834004
KATHITAR,</v>
          </cell>
          <cell r="G5508">
            <v>6203721760</v>
          </cell>
          <cell r="K5508" t="str">
            <v>BSFC376340</v>
          </cell>
        </row>
        <row r="5509">
          <cell r="E5509" t="str">
            <v>UPPER BAZAR,RANCHI
834001
OPP. MAHAVIR MANDIR , RADHA NAGAR ROAD</v>
          </cell>
          <cell r="G5509">
            <v>790969824</v>
          </cell>
          <cell r="K5509" t="str">
            <v>GOHC370805</v>
          </cell>
        </row>
        <row r="5510">
          <cell r="E5510" t="str">
            <v>TILTA RING ROAD.
834006</v>
          </cell>
          <cell r="G5510">
            <v>9263633107</v>
          </cell>
          <cell r="K5510" t="str">
            <v>BSHC376807</v>
          </cell>
        </row>
        <row r="5511">
          <cell r="E5511" t="str">
            <v>RANCHI PATNA ROAD
DEMOTAND
825301
HAZARIBAGH</v>
          </cell>
          <cell r="G5511">
            <v>7905424302</v>
          </cell>
          <cell r="K5511" t="str">
            <v>BSCS037531</v>
          </cell>
        </row>
        <row r="5512">
          <cell r="E5512" t="str">
            <v>ANGAR PATRA,DHANBAD</v>
          </cell>
          <cell r="G5512">
            <v>8210106692</v>
          </cell>
          <cell r="K5512" t="str">
            <v>BSDD161729</v>
          </cell>
        </row>
        <row r="5513">
          <cell r="E5513" t="str">
            <v>DHANBAD</v>
          </cell>
          <cell r="G5513">
            <v>8102325605</v>
          </cell>
          <cell r="K5513" t="str">
            <v>BTED162231</v>
          </cell>
        </row>
        <row r="5514">
          <cell r="E5514" t="str">
            <v>DHANBAD</v>
          </cell>
          <cell r="G5514">
            <v>8102325605</v>
          </cell>
          <cell r="K5514" t="str">
            <v>BTED162231</v>
          </cell>
        </row>
        <row r="5515">
          <cell r="E5515" t="str">
            <v>KOKAR INDUSTRIAL AREA,RANCHI
834001</v>
          </cell>
          <cell r="G5515">
            <v>8709740232</v>
          </cell>
          <cell r="K5515" t="str">
            <v>BPIC370386</v>
          </cell>
        </row>
        <row r="5516">
          <cell r="E5516" t="str">
            <v>RAHELA, DALTAINGANJ</v>
          </cell>
          <cell r="G5516">
            <v>7004971081</v>
          </cell>
          <cell r="K5516" t="str">
            <v>BUGS035879</v>
          </cell>
        </row>
        <row r="5517">
          <cell r="E5517" t="str">
            <v>RAMGARH
829103
NAYA MORE</v>
          </cell>
          <cell r="G5517">
            <v>8651078549</v>
          </cell>
          <cell r="K5517" t="str">
            <v>BPCS030196</v>
          </cell>
        </row>
        <row r="5518">
          <cell r="E5518" t="str">
            <v>NAYA MORE, RAMGRAH</v>
          </cell>
          <cell r="G5518">
            <v>8651078549</v>
          </cell>
          <cell r="K5518" t="str">
            <v>BUKS045388</v>
          </cell>
        </row>
        <row r="5519">
          <cell r="E5519" t="str">
            <v>NAYA MORE, RAMGRAH</v>
          </cell>
          <cell r="G5519">
            <v>8651078549</v>
          </cell>
          <cell r="K5519" t="str">
            <v>BUKS045387</v>
          </cell>
        </row>
        <row r="5520">
          <cell r="E5520" t="str">
            <v>SHADEV NAGAR
834002
SHADEV NAGAR</v>
          </cell>
          <cell r="G5520">
            <v>8102898877</v>
          </cell>
          <cell r="K5520" t="str">
            <v>GOHC370857</v>
          </cell>
        </row>
        <row r="5521">
          <cell r="E5521" t="str">
            <v>HORHAP ROAD, MAHILONG, RANCHI
835103</v>
          </cell>
          <cell r="G5521">
            <v>9708039203</v>
          </cell>
          <cell r="K5521" t="str">
            <v>BRIC374329</v>
          </cell>
        </row>
        <row r="5522">
          <cell r="E5522" t="str">
            <v>KOKAR INDUSTRIAL AREA</v>
          </cell>
          <cell r="G5522">
            <v>8709740232</v>
          </cell>
          <cell r="K5522" t="str">
            <v>BVKC374486</v>
          </cell>
        </row>
        <row r="5523">
          <cell r="E5523" t="str">
            <v>BARWADIH, LATEHAR</v>
          </cell>
          <cell r="G5523">
            <v>8700673588</v>
          </cell>
          <cell r="K5523" t="str">
            <v>EUES046621</v>
          </cell>
        </row>
        <row r="5524">
          <cell r="E5524" t="str">
            <v>OPP. WAXPOLE TATISILWAY</v>
          </cell>
          <cell r="G5524">
            <v>8987495120</v>
          </cell>
          <cell r="K5524" t="str">
            <v>BVDC376415</v>
          </cell>
        </row>
        <row r="5525">
          <cell r="E5525" t="str">
            <v>TATISILWAI, JHARKHAND
835103</v>
          </cell>
          <cell r="G5525">
            <v>6200160428</v>
          </cell>
          <cell r="K5525" t="str">
            <v>BQGS031413</v>
          </cell>
        </row>
        <row r="5526">
          <cell r="E5526" t="str">
            <v>TATISIWAI INDUSTRIAL AREA, RANCHI
835103
TATISILWAY RANCHI</v>
          </cell>
          <cell r="G5526">
            <v>7050549999</v>
          </cell>
          <cell r="K5526">
            <v>107837</v>
          </cell>
        </row>
        <row r="5527">
          <cell r="E5527" t="str">
            <v>GROUND AND 1 ST FLOOR, BESIDE DAINIK BHASKAR, GOVINDPUR ROAD, DIST :- DHANBAD
GROUND AND 1 ST FLOOR, BESIDE DAINIK BHASKAR, GOVINDPUR ROAD, DIST :- DHANBAD
828109</v>
          </cell>
          <cell r="G5527">
            <v>8789061377</v>
          </cell>
          <cell r="K5527" t="str">
            <v>BRES034488</v>
          </cell>
        </row>
        <row r="5528">
          <cell r="E5528" t="str">
            <v>LODNA</v>
          </cell>
          <cell r="G5528">
            <v>7644045555</v>
          </cell>
          <cell r="K5528" t="str">
            <v>BTDD162169</v>
          </cell>
        </row>
        <row r="5529">
          <cell r="E5529" t="str">
            <v>TATISILWAI, JHARKHAND
835103</v>
          </cell>
          <cell r="G5529">
            <v>6200160428</v>
          </cell>
          <cell r="K5529" t="str">
            <v>BQHS040705</v>
          </cell>
        </row>
        <row r="5530">
          <cell r="E5530" t="str">
            <v>NAGARI, RANCHI
834006</v>
          </cell>
          <cell r="G5530">
            <v>7255848442</v>
          </cell>
          <cell r="K5530" t="str">
            <v>BRAC372524</v>
          </cell>
        </row>
        <row r="5531">
          <cell r="E5531" t="str">
            <v>JHUMRI TILAIYA</v>
          </cell>
          <cell r="G5531">
            <v>7061052272</v>
          </cell>
          <cell r="K5531" t="str">
            <v>GPLS030458</v>
          </cell>
        </row>
        <row r="5532">
          <cell r="E5532" t="str">
            <v>GARHWA JHARKHAND</v>
          </cell>
          <cell r="G5532">
            <v>9709158650</v>
          </cell>
          <cell r="K5532" t="str">
            <v>BPHD200246</v>
          </cell>
        </row>
        <row r="5533">
          <cell r="E5533" t="str">
            <v>LODNA</v>
          </cell>
          <cell r="G5533">
            <v>7644045555</v>
          </cell>
          <cell r="K5533" t="str">
            <v>BTDD162169</v>
          </cell>
        </row>
        <row r="5534">
          <cell r="E5534" t="str">
            <v>LODNA</v>
          </cell>
          <cell r="G5534">
            <v>7644045555</v>
          </cell>
          <cell r="K5534" t="str">
            <v>BTDD162169</v>
          </cell>
        </row>
        <row r="5535">
          <cell r="E5535" t="str">
            <v>BANDHTOLI, NAGRI</v>
          </cell>
          <cell r="G5535">
            <v>6201457979</v>
          </cell>
          <cell r="K5535" t="str">
            <v>BUFS046813</v>
          </cell>
        </row>
        <row r="5536">
          <cell r="E5536" t="str">
            <v>TAPIN PROJECT, CHARHI</v>
          </cell>
          <cell r="G5536">
            <v>6204816691</v>
          </cell>
          <cell r="K5536" t="str">
            <v>BVLD163067</v>
          </cell>
        </row>
        <row r="5537">
          <cell r="E5537" t="str">
            <v>NAGARI,</v>
          </cell>
          <cell r="G5537">
            <v>9204493506</v>
          </cell>
          <cell r="K5537" t="str">
            <v>BILS030211</v>
          </cell>
        </row>
        <row r="5538">
          <cell r="E5538" t="str">
            <v>NAGARI,</v>
          </cell>
          <cell r="G5538">
            <v>9204493506</v>
          </cell>
          <cell r="K5538" t="str">
            <v>BLGS040582</v>
          </cell>
        </row>
        <row r="5539">
          <cell r="E5539" t="str">
            <v>GOBINDPUR INDUSTRIAL AREA, DHANBAD</v>
          </cell>
          <cell r="G5539">
            <v>9113169811</v>
          </cell>
          <cell r="K5539" t="str">
            <v>BVJS047894</v>
          </cell>
        </row>
        <row r="5540">
          <cell r="E5540" t="str">
            <v>BALIDIH, BOKARO</v>
          </cell>
          <cell r="G5540">
            <v>8207778877</v>
          </cell>
          <cell r="K5540" t="str">
            <v>BRAF110427</v>
          </cell>
        </row>
        <row r="5541">
          <cell r="E5541" t="str">
            <v>ARGADA ROAD, BINJHAR, P.O. - MARAR, RAMGARH
829117</v>
          </cell>
          <cell r="G5541">
            <v>7004687780</v>
          </cell>
          <cell r="K5541" t="str">
            <v>BSCS037449</v>
          </cell>
        </row>
        <row r="5542">
          <cell r="E5542" t="str">
            <v>CHUTIA, RANCHI</v>
          </cell>
          <cell r="G5542">
            <v>6204166942</v>
          </cell>
          <cell r="K5542" t="str">
            <v>BVKC374485</v>
          </cell>
        </row>
        <row r="5543">
          <cell r="E5543" t="str">
            <v>A-3, 2ND PHASE, ADITYAPUR INDUSTRIAL AREA, ADITYAPUR, JAMSHEDPUR, JHARKHAND
A-3, 2ND PHASE, ADITYAPUR INDUSTRIAL AREA, ADITYAPUR, JAMSHEDPUR, JHARKHAND
831013
JAMHEDPUR</v>
          </cell>
          <cell r="G5543">
            <v>9608189810</v>
          </cell>
          <cell r="K5543" t="str">
            <v>GPBC370442</v>
          </cell>
        </row>
        <row r="5544">
          <cell r="E5544" t="str">
            <v>ADITYAPUR KANDRA ROAD
831013</v>
          </cell>
          <cell r="G5544">
            <v>9608189810</v>
          </cell>
          <cell r="K5544" t="str">
            <v>BRDC373261</v>
          </cell>
        </row>
        <row r="5545">
          <cell r="E5545" t="str">
            <v>LODNA</v>
          </cell>
          <cell r="G5545">
            <v>7644045555</v>
          </cell>
          <cell r="K5545" t="str">
            <v>BTDD162169</v>
          </cell>
        </row>
        <row r="5546">
          <cell r="E5546" t="str">
            <v>LODNA</v>
          </cell>
          <cell r="G5546">
            <v>7644045555</v>
          </cell>
          <cell r="K5546" t="str">
            <v>BTDD162169</v>
          </cell>
        </row>
        <row r="5547">
          <cell r="E5547" t="str">
            <v>PHASE - IV, PLOT NO. - IV-C/3 P AND IV-C/2 P, BOKARO INDUSTRIAL AREA, BALIDIH, BOKARO
PHASE - IV, PLOT NO. - IV-C/3 P AND IV-C/2 P, BOKARO INDUSTRIAL AREA, BALIDIH, BOKARO
827014</v>
          </cell>
          <cell r="G5547">
            <v>9006512017</v>
          </cell>
          <cell r="K5547" t="str">
            <v>BSDS037649</v>
          </cell>
        </row>
        <row r="5548">
          <cell r="E5548" t="str">
            <v>NEAR P.N BANK MAIN ROAD,, RAMGARH CANTT-829122, DIST. RAMGARH
829122
BUDHAKHOP, AMBRELA, KARMA,</v>
          </cell>
          <cell r="G5548">
            <v>9693796748</v>
          </cell>
          <cell r="K5548" t="str">
            <v>BSHS038806</v>
          </cell>
        </row>
        <row r="5549">
          <cell r="E5549" t="str">
            <v>NEAR P.N BANK MAIN ROAD,, RAMGARH CANTT-829122, DIST. RAMGARH
829122
BUDHAKHOP, AMBRELA, KARMA,</v>
          </cell>
          <cell r="G5549">
            <v>9693796748</v>
          </cell>
          <cell r="K5549" t="str">
            <v>BQBS030091</v>
          </cell>
        </row>
        <row r="5550">
          <cell r="E5550" t="str">
            <v>KHERA</v>
          </cell>
          <cell r="G5550">
            <v>9263634417</v>
          </cell>
          <cell r="K5550" t="str">
            <v>BTCD162159</v>
          </cell>
        </row>
        <row r="5551">
          <cell r="E5551" t="str">
            <v>KHERA</v>
          </cell>
          <cell r="G5551">
            <v>9263634417</v>
          </cell>
          <cell r="K5551" t="str">
            <v>BTCD162159</v>
          </cell>
        </row>
        <row r="5552">
          <cell r="E5552" t="str">
            <v>HAZARIBAGH
RANCHI JHARKHAND 834002
INDIA</v>
          </cell>
          <cell r="G5552">
            <v>7361044448</v>
          </cell>
          <cell r="K5552" t="str">
            <v>BKAS030685</v>
          </cell>
        </row>
        <row r="5553">
          <cell r="E5553" t="str">
            <v>ARGADA ROAD, BINJHAR, P.O. - MARAR, RAMGARH
829117</v>
          </cell>
          <cell r="G5553">
            <v>8294504879</v>
          </cell>
          <cell r="K5553" t="str">
            <v>BSCS037449</v>
          </cell>
        </row>
        <row r="5554">
          <cell r="E5554" t="str">
            <v>Chiturdih, Dhanbad.</v>
          </cell>
          <cell r="G5554">
            <v>8008924995</v>
          </cell>
          <cell r="K5554" t="str">
            <v>BTDD162192</v>
          </cell>
        </row>
        <row r="5555">
          <cell r="E5555" t="str">
            <v>BHOWRA, DHANBAD</v>
          </cell>
          <cell r="G5555">
            <v>9304628308</v>
          </cell>
          <cell r="K5555" t="str">
            <v>BSAD161597</v>
          </cell>
        </row>
        <row r="5556">
          <cell r="E5556" t="str">
            <v>GETALATU, RANCHI</v>
          </cell>
          <cell r="G5556">
            <v>8877664494</v>
          </cell>
          <cell r="K5556" t="str">
            <v>BUFC372853</v>
          </cell>
        </row>
        <row r="5557">
          <cell r="E5557" t="str">
            <v>9.P .INDUSTRIAL AREA  KOKAR, RANCHI, TIN-20880200515
9.P .INDUSTRIAL AREA  KOKAR, RANCHI, TIN-20880200515
834001</v>
          </cell>
          <cell r="G5557">
            <v>9431101890</v>
          </cell>
          <cell r="K5557" t="str">
            <v>BTGS031205</v>
          </cell>
        </row>
        <row r="5558">
          <cell r="E5558" t="str">
            <v>CHUTIA, RANCHI</v>
          </cell>
          <cell r="G5558">
            <v>9939622140</v>
          </cell>
          <cell r="K5558" t="str">
            <v>BUFD162814</v>
          </cell>
        </row>
        <row r="5559">
          <cell r="E5559" t="str">
            <v>NTA LODNA, DHANBAD</v>
          </cell>
          <cell r="G5559">
            <v>9065764901</v>
          </cell>
          <cell r="K5559" t="str">
            <v>BULD162559</v>
          </cell>
        </row>
        <row r="5560">
          <cell r="E5560" t="str">
            <v>TATISILWAI, JHARKHAND
835103</v>
          </cell>
          <cell r="G5560">
            <v>6200160428</v>
          </cell>
          <cell r="K5560" t="str">
            <v>BQHS040705</v>
          </cell>
        </row>
        <row r="5561">
          <cell r="E5561" t="str">
            <v>TAPIN PROJECT, TAPIN</v>
          </cell>
          <cell r="G5561">
            <v>8521064546</v>
          </cell>
          <cell r="K5561" t="str">
            <v>BUID162953</v>
          </cell>
        </row>
        <row r="5562">
          <cell r="E5562" t="str">
            <v>BOKARO,JHARKHAND
827004</v>
          </cell>
          <cell r="G5562">
            <v>9686365011</v>
          </cell>
          <cell r="K5562" t="str">
            <v>BRGC373881</v>
          </cell>
        </row>
        <row r="5563">
          <cell r="E5563" t="str">
            <v>RANCHI,JHARKHAND
825301
JHUMRA</v>
          </cell>
          <cell r="G5563">
            <v>8541022146</v>
          </cell>
          <cell r="K5563" t="str">
            <v>BTIS031829</v>
          </cell>
        </row>
        <row r="5564">
          <cell r="E5564" t="str">
            <v>TAPIN PROJECT, TAPIN</v>
          </cell>
          <cell r="G5564">
            <v>8521064546</v>
          </cell>
          <cell r="K5564" t="str">
            <v>BUID162953</v>
          </cell>
        </row>
        <row r="5565">
          <cell r="E5565" t="str">
            <v>TATISILWAI, JHARKHAND
835103</v>
          </cell>
          <cell r="G5565">
            <v>6200160428</v>
          </cell>
          <cell r="K5565" t="str">
            <v>BQHS040705</v>
          </cell>
        </row>
        <row r="5566">
          <cell r="E5566" t="str">
            <v>TATISILWAI, JHARKHAND
835103</v>
          </cell>
          <cell r="G5566">
            <v>6200160428</v>
          </cell>
          <cell r="K5566" t="str">
            <v>BQGS031413</v>
          </cell>
        </row>
        <row r="5567">
          <cell r="E5567" t="str">
            <v>TATULMURI, DHANBAD</v>
          </cell>
          <cell r="G5567">
            <v>9661544624</v>
          </cell>
          <cell r="K5567" t="str">
            <v>BUGD162852</v>
          </cell>
        </row>
        <row r="5568">
          <cell r="E5568" t="str">
            <v>TATULMURI, DHANBAD</v>
          </cell>
          <cell r="G5568">
            <v>9661544624</v>
          </cell>
          <cell r="K5568" t="str">
            <v>BUGD162852</v>
          </cell>
        </row>
        <row r="5569">
          <cell r="E5569" t="str">
            <v>DHANBAD</v>
          </cell>
          <cell r="G5569">
            <v>6207308280</v>
          </cell>
          <cell r="K5569" t="str">
            <v>BTED162231</v>
          </cell>
        </row>
        <row r="5570">
          <cell r="E5570" t="str">
            <v>ANGAR PATRA,DHANBAD</v>
          </cell>
          <cell r="G5570">
            <v>6207308280</v>
          </cell>
          <cell r="K5570" t="str">
            <v>BSGD161898</v>
          </cell>
        </row>
        <row r="5571">
          <cell r="E5571" t="str">
            <v>GROUND AND 1 ST FLOOR, BESIDE DAINIK BHASKAR, GOVINDPUR ROAD, DIST :- DHANBAD
GROUND AND 1 ST FLOOR, BESIDE DAINIK BHASKAR, GOVINDPUR ROAD, DIST :- DHANBAD
828109</v>
          </cell>
          <cell r="G5571">
            <v>8789061377</v>
          </cell>
          <cell r="K5571" t="str">
            <v>BRES034488</v>
          </cell>
        </row>
        <row r="5572">
          <cell r="E5572" t="str">
            <v>KOKAR INDUSTRIAL AREA,,RANCHI
834002
KOKAR INDUSTRIAL AREA RANCHI</v>
          </cell>
          <cell r="G5572">
            <v>9599040419</v>
          </cell>
          <cell r="K5572" t="str">
            <v>BPLF150007</v>
          </cell>
        </row>
        <row r="5573">
          <cell r="E5573" t="str">
            <v>TRIDENT PNEUMATICS PVT LTD   5/232,KNG PUDUR ROADSOMAYAMPALAYAM POSTCOIMBATORE IND</v>
          </cell>
          <cell r="G5573">
            <v>7079053079</v>
          </cell>
          <cell r="K5573" t="str">
            <v>BRCC373040</v>
          </cell>
        </row>
        <row r="5574">
          <cell r="E5574" t="str">
            <v>HAZARIBAGH</v>
          </cell>
          <cell r="G5574">
            <v>7011855919</v>
          </cell>
          <cell r="K5574" t="str">
            <v>BVKC374401</v>
          </cell>
        </row>
        <row r="5575">
          <cell r="E5575" t="str">
            <v>PATRATU</v>
          </cell>
          <cell r="G5575">
            <v>9714426461</v>
          </cell>
          <cell r="K5575" t="str">
            <v>EVKS047996</v>
          </cell>
        </row>
        <row r="5576">
          <cell r="E5576" t="str">
            <v>NAGRI,RANCHI
835202
RANCHI</v>
          </cell>
          <cell r="G5576">
            <v>9608884168</v>
          </cell>
          <cell r="K5576" t="str">
            <v>BIGS030904</v>
          </cell>
        </row>
        <row r="5577">
          <cell r="E5577" t="str">
            <v>REHLA,GARWA,JHARKHAND
822124
RANCHI</v>
          </cell>
          <cell r="G5577">
            <v>7004623399</v>
          </cell>
          <cell r="K5577" t="str">
            <v>GOIS031795</v>
          </cell>
        </row>
        <row r="5578">
          <cell r="E5578" t="str">
            <v>RATANPUR,DHANBAD
828109</v>
          </cell>
          <cell r="G5578">
            <v>9031029501</v>
          </cell>
          <cell r="K5578" t="str">
            <v>BTLC377584</v>
          </cell>
        </row>
        <row r="5579">
          <cell r="E5579" t="str">
            <v>LATEHAR JHARKHAND
834002</v>
          </cell>
          <cell r="G5579">
            <v>8779843200</v>
          </cell>
          <cell r="K5579" t="str">
            <v>BUJC370090</v>
          </cell>
        </row>
        <row r="5580">
          <cell r="E5580" t="str">
            <v>LATEHAR JHARKHAND
834002</v>
          </cell>
          <cell r="G5580">
            <v>8779843200</v>
          </cell>
          <cell r="K5580" t="str">
            <v>BUJC370090</v>
          </cell>
        </row>
        <row r="5581">
          <cell r="E5581" t="str">
            <v>18/2 DALADALI ROAD, NEAR ANKUR NURSERY</v>
          </cell>
          <cell r="G5581">
            <v>9540735360</v>
          </cell>
          <cell r="K5581" t="str">
            <v>NA</v>
          </cell>
        </row>
        <row r="5582">
          <cell r="E5582" t="str">
            <v>AAMZAR, BALIAPUR ROAD, DHANBAD
AAMZAR, BALIAPUR ROAD, DHANBAD
000000</v>
          </cell>
          <cell r="G5582">
            <v>7488737393</v>
          </cell>
          <cell r="K5582" t="str">
            <v>BUES035210</v>
          </cell>
        </row>
        <row r="5583">
          <cell r="E5583" t="str">
            <v>NTA LODNA, DHANBAD</v>
          </cell>
          <cell r="G5583">
            <v>7644045555</v>
          </cell>
          <cell r="K5583" t="str">
            <v>BULD162559</v>
          </cell>
        </row>
        <row r="5584">
          <cell r="E5584" t="str">
            <v>GROUND FLOOR,, OFFICE NO.448A, ROAD NO.4, ASHOK NAGAR
GROUND FLOOR,, OFFICE NO.448A, ROAD NO.4, ASHOK NAGAR
829118
PLOT NO:- 47P, PATRATU INDUSTRIAL AREA</v>
          </cell>
          <cell r="G5584">
            <v>7541959323</v>
          </cell>
          <cell r="K5584" t="str">
            <v>GOGC370754</v>
          </cell>
        </row>
        <row r="5585">
          <cell r="E5585" t="str">
            <v>DALTONGANJ</v>
          </cell>
          <cell r="G5585">
            <v>8757260073</v>
          </cell>
          <cell r="K5585" t="str">
            <v>BUBS045955</v>
          </cell>
        </row>
        <row r="5586">
          <cell r="E5586" t="str">
            <v>DALTONGANJ</v>
          </cell>
          <cell r="G5586">
            <v>8757260073</v>
          </cell>
          <cell r="K5586" t="str">
            <v>BUBS045965</v>
          </cell>
        </row>
        <row r="5587">
          <cell r="E5587" t="str">
            <v>C/O L&amp;T LIMITED, CHOUSA, BUXER, BIHAR</v>
          </cell>
          <cell r="G5587">
            <v>8349233066</v>
          </cell>
          <cell r="K5587" t="str">
            <v>BVDD163198</v>
          </cell>
        </row>
        <row r="5588">
          <cell r="E5588" t="str">
            <v>BARHI INDUSTRIAL ARE BARHI</v>
          </cell>
          <cell r="G5588">
            <v>8795889641</v>
          </cell>
          <cell r="K5588" t="str">
            <v>BUES034992</v>
          </cell>
        </row>
        <row r="5589">
          <cell r="E5589" t="str">
            <v>C/O - PREM PRAKASH AGARWAL, OPP - HILLVIEW FUEL STATION, GODHUR, P.O - KUSUNDA, DHANBAD</v>
          </cell>
          <cell r="G5589">
            <v>7295943617</v>
          </cell>
          <cell r="K5589" t="str">
            <v>BTED162217</v>
          </cell>
        </row>
        <row r="5590">
          <cell r="E5590" t="str">
            <v>TATULMURI, DHANBAD</v>
          </cell>
          <cell r="G5590">
            <v>6299066158</v>
          </cell>
          <cell r="K5590" t="str">
            <v>BUGD162852</v>
          </cell>
        </row>
        <row r="5591">
          <cell r="E5591" t="str">
            <v>9.P .INDUSTRIAL AREA  KOKAR, RANCHI, TIN-20880200515
9.P .INDUSTRIAL AREA  KOKAR, RANCHI, TIN-20880200515
834001</v>
          </cell>
          <cell r="G5591">
            <v>9955178750</v>
          </cell>
          <cell r="K5591" t="str">
            <v>BTGS031205</v>
          </cell>
        </row>
        <row r="5592">
          <cell r="E5592" t="str">
            <v>REHLA,GARWA,JHARKHAND
822124
RANCHI</v>
          </cell>
          <cell r="G5592">
            <v>7004623399</v>
          </cell>
          <cell r="K5592" t="str">
            <v>GOIS031795</v>
          </cell>
        </row>
        <row r="5593">
          <cell r="E5593" t="str">
            <v>SADAR HOSPITAL, BOKARO, C/O L &amp; T LTD. BOKARO, JHARKHAND
C/O L &amp; T LTD. BOKARO, JHARKHAND
000000</v>
          </cell>
          <cell r="G5593">
            <v>7654511684</v>
          </cell>
          <cell r="K5593" t="str">
            <v>BUBS045931</v>
          </cell>
        </row>
        <row r="5594">
          <cell r="E5594" t="str">
            <v>SADAR HOSPITAL, BOKARO, C/O L &amp; T LTD. BOKARO, JHARKHAND
C/O L &amp; T LTD. BOKARO, JHARKHAND
000000</v>
          </cell>
          <cell r="G5594">
            <v>7654511684</v>
          </cell>
          <cell r="K5594" t="str">
            <v>BUBS045933</v>
          </cell>
        </row>
        <row r="5595">
          <cell r="E5595" t="str">
            <v>BAZAR SAMITI,RAMGARH
829122</v>
          </cell>
          <cell r="G5595">
            <v>9835764965</v>
          </cell>
          <cell r="K5595" t="str">
            <v>BTGC379081</v>
          </cell>
        </row>
        <row r="5596">
          <cell r="E5596" t="str">
            <v>BAZAR SAMITI,RAMGARH
829122</v>
          </cell>
          <cell r="G5596">
            <v>9835764965</v>
          </cell>
          <cell r="K5596" t="str">
            <v>BSBC375576</v>
          </cell>
        </row>
        <row r="5597">
          <cell r="E5597" t="str">
            <v>HAZARIBAGH,  HAZARIBAGH, JHARKHAND 825301</v>
          </cell>
          <cell r="G5597">
            <v>9031303137</v>
          </cell>
          <cell r="K5597" t="str">
            <v>BUCS034128</v>
          </cell>
        </row>
        <row r="5598">
          <cell r="E5598" t="str">
            <v>HAZARIBAGH,  HAZARIBAGH, JHARKHAND 825301</v>
          </cell>
          <cell r="G5598">
            <v>9031303137</v>
          </cell>
          <cell r="K5598" t="str">
            <v>BUAS033747</v>
          </cell>
        </row>
        <row r="5599">
          <cell r="E5599" t="str">
            <v>NAGRI, RANCHI
TIKRATOLI, P.O:- NAGRI, RANCHI
834006</v>
          </cell>
          <cell r="G5599">
            <v>7549287704</v>
          </cell>
          <cell r="K5599" t="str">
            <v>BKKS030393</v>
          </cell>
        </row>
        <row r="5600">
          <cell r="E5600" t="str">
            <v>GOVINDPUR DHANBAD</v>
          </cell>
          <cell r="G5600">
            <v>9110154620</v>
          </cell>
          <cell r="K5600" t="str">
            <v>BRFS034901</v>
          </cell>
        </row>
        <row r="5601">
          <cell r="E5601" t="str">
            <v>GOVINDPUR DHANBAD</v>
          </cell>
          <cell r="G5601">
            <v>9110154620</v>
          </cell>
          <cell r="K5601" t="str">
            <v>BRBS041574</v>
          </cell>
        </row>
        <row r="5602">
          <cell r="E5602" t="str">
            <v>GOVINDPUR, DHANBAD</v>
          </cell>
          <cell r="G5602">
            <v>9661677261</v>
          </cell>
          <cell r="K5602" t="str">
            <v>BJFS031286</v>
          </cell>
        </row>
        <row r="5603">
          <cell r="E5603" t="str">
            <v>DALTONGANJ, JHARKHAND
822101
DALTONGANJ</v>
          </cell>
          <cell r="G5603">
            <v>6204789092</v>
          </cell>
          <cell r="K5603" t="str">
            <v>BRJC371742</v>
          </cell>
        </row>
        <row r="5604">
          <cell r="E5604" t="str">
            <v>NAGRI,RANCHI
835202
RANCHI</v>
          </cell>
          <cell r="G5604">
            <v>8877024924</v>
          </cell>
          <cell r="K5604" t="str">
            <v>BMJS040004</v>
          </cell>
        </row>
        <row r="5605">
          <cell r="E5605" t="str">
            <v>NICHITPUR</v>
          </cell>
          <cell r="G5605">
            <v>7295943617</v>
          </cell>
          <cell r="K5605" t="str">
            <v>BUCD162696</v>
          </cell>
        </row>
        <row r="5606">
          <cell r="E5606" t="str">
            <v>SADAR HOSPITAL, LATEHAR, C/O L &amp; T LTD. LATEHAR, JHARKHAND
C/O L &amp; T LTD. BOKARO, JHARKHAND
000000</v>
          </cell>
          <cell r="G5606">
            <v>6206408130</v>
          </cell>
          <cell r="K5606" t="str">
            <v>BUCS046101</v>
          </cell>
        </row>
        <row r="5607">
          <cell r="E5607" t="str">
            <v>SADAR HOSPITAL, LATEHAR, C/O L &amp; T LTD. LATEHAR, JHARKHAND
C/O L &amp; T LTD. BOKARO, JHARKHAND
000000</v>
          </cell>
          <cell r="G5607">
            <v>6206408130</v>
          </cell>
          <cell r="K5607" t="str">
            <v>BUCS046173</v>
          </cell>
        </row>
        <row r="5608">
          <cell r="E5608" t="str">
            <v>BASTAWLA DHANBAD</v>
          </cell>
          <cell r="G5608">
            <v>7489823544</v>
          </cell>
          <cell r="K5608" t="str">
            <v>BUAD162630</v>
          </cell>
        </row>
        <row r="5609">
          <cell r="E5609" t="str">
            <v>AMLO, PHUSHRO</v>
          </cell>
          <cell r="G5609">
            <v>6202842173</v>
          </cell>
          <cell r="K5609" t="str">
            <v>BTKD162074</v>
          </cell>
        </row>
        <row r="5610">
          <cell r="E5610" t="str">
            <v>AMLO, PHUSHRO</v>
          </cell>
          <cell r="G5610">
            <v>6202842173</v>
          </cell>
          <cell r="K5610" t="str">
            <v>BTKD162077</v>
          </cell>
        </row>
        <row r="5611">
          <cell r="E5611" t="str">
            <v>C/O - SUJIT KUMAR, SAHAJANAND NAGAR, H. NO. -121, RANI ROAD, BHUDA, BARMASIA,, DHANBAD</v>
          </cell>
          <cell r="G5611">
            <v>9334537849</v>
          </cell>
          <cell r="K5611" t="str">
            <v>BTED200706</v>
          </cell>
        </row>
        <row r="5612">
          <cell r="E5612" t="str">
            <v>ASHOKA PROJECT PIPARWAR</v>
          </cell>
          <cell r="G5612">
            <v>9102994458</v>
          </cell>
          <cell r="K5612" t="str">
            <v>BUID162912</v>
          </cell>
        </row>
        <row r="5613">
          <cell r="E5613" t="str">
            <v>REHLA, GARHWA ROAD, PALAMU D.T, JHARKHAND
PALAMU JHARKHAND 822124
INDIA</v>
          </cell>
          <cell r="G5613">
            <v>7902431955</v>
          </cell>
          <cell r="K5613" t="str">
            <v>BLFS031469</v>
          </cell>
        </row>
        <row r="5614">
          <cell r="E5614" t="str">
            <v>PLOT NO. 79, KAPASARA,, SUNDERNAGAR, CHIRKUNDA,, DHANBAD - 828 202
PLOT NO. 79, KAPASARA,, SUNDERNAGAR, CHIRKUNDA,, DHANBAD - 828 202
828202</v>
          </cell>
          <cell r="G5614">
            <v>8101005542</v>
          </cell>
          <cell r="K5614" t="str">
            <v>BTFS031006</v>
          </cell>
        </row>
        <row r="5615">
          <cell r="E5615" t="str">
            <v>REHLA,GARWA,JHARKHAND
822124
RANCHI</v>
          </cell>
          <cell r="G5615">
            <v>7004623399</v>
          </cell>
          <cell r="K5615" t="str">
            <v>BMFS031346</v>
          </cell>
        </row>
        <row r="5616">
          <cell r="E5616" t="str">
            <v>RANCHI</v>
          </cell>
          <cell r="G5616">
            <v>9973686006</v>
          </cell>
          <cell r="K5616" t="str">
            <v>BLIS031950</v>
          </cell>
        </row>
        <row r="5617">
          <cell r="E5617" t="str">
            <v>ADITYAPUR KANDRA ROAD
831013</v>
          </cell>
          <cell r="G5617">
            <v>8709350884</v>
          </cell>
          <cell r="K5617" t="str">
            <v>BRCD160984</v>
          </cell>
        </row>
        <row r="5618">
          <cell r="E5618" t="str">
            <v>C/O URANIUM CORPORATION OF INDIA LIMITED, MOHULDIH MINES, SARAIKELA, KHARSAWAN</v>
          </cell>
          <cell r="G5618">
            <v>7903246361</v>
          </cell>
          <cell r="K5618" t="str">
            <v>BUAL160594</v>
          </cell>
        </row>
        <row r="5619">
          <cell r="E5619" t="str">
            <v>AT - HEHAL, POST - BARKAKANA
BARKAKANA
829103</v>
          </cell>
          <cell r="G5619">
            <v>9386515681</v>
          </cell>
          <cell r="K5619" t="str">
            <v>BUAS033580</v>
          </cell>
        </row>
        <row r="5620">
          <cell r="E5620" t="str">
            <v>KHURPANIA, KHASHMAHAL, PHUSHRO</v>
          </cell>
          <cell r="G5620">
            <v>8084594544</v>
          </cell>
          <cell r="K5620" t="str">
            <v>BTHD162350</v>
          </cell>
        </row>
        <row r="5621">
          <cell r="E5621" t="str">
            <v>TUPUDANA INDUSTRIAL AREA, RANCHI
PLOT NO. - 45 &amp; 46, TUPUDAN AINDUSTRIAL AREA, TUPUDANA, HATIA, RANCHI
834003
TIPUDANA INDUSTRIAL AREA</v>
          </cell>
          <cell r="G5621">
            <v>7717734248</v>
          </cell>
          <cell r="K5621" t="str">
            <v>BQBS033819</v>
          </cell>
        </row>
        <row r="5622">
          <cell r="E5622" t="str">
            <v>MARAR, RAMGARH, JHARKHAND
MARRAR RAMGARH, 9155729786
829117
MARAR</v>
          </cell>
          <cell r="G5622">
            <v>9204780801</v>
          </cell>
          <cell r="K5622" t="str">
            <v>BMIS031759</v>
          </cell>
        </row>
        <row r="5623">
          <cell r="E5623" t="str">
            <v>ADITYAPUR KANDRA ROAD
831013</v>
          </cell>
          <cell r="G5623">
            <v>8709350884</v>
          </cell>
          <cell r="K5623" t="str">
            <v>BRCD160984</v>
          </cell>
        </row>
        <row r="5624">
          <cell r="E5624" t="str">
            <v>REG. OFFICE: UNIT 106, MAHABIR TOWER, JOKHIRAM LANE, MAIN ROAD, RANCHI - 834 001
REG. OFFICE: UNIT 106, MAHABIR TOWER, JOKHIRAM LANE, MAIN ROAD, RANCHI - 834 001
835214</v>
          </cell>
          <cell r="G5624">
            <v>9661300651</v>
          </cell>
          <cell r="K5624" t="str">
            <v>BSDS043254</v>
          </cell>
        </row>
        <row r="5625">
          <cell r="E5625" t="str">
            <v>KOKAR INDUSTRIAL AREA,RANCHI
834001</v>
          </cell>
          <cell r="G5625">
            <v>8709740232</v>
          </cell>
          <cell r="K5625" t="str">
            <v>BPIC370386</v>
          </cell>
        </row>
        <row r="5626">
          <cell r="E5626" t="str">
            <v>RAMGARH</v>
          </cell>
          <cell r="G5626">
            <v>7004377365</v>
          </cell>
          <cell r="K5626" t="str">
            <v>BLES031356</v>
          </cell>
        </row>
        <row r="5627">
          <cell r="E5627" t="str">
            <v>HAZARIBAGH
RANCHI JHARKHAND 834002
INDIA</v>
          </cell>
          <cell r="G5627">
            <v>7361044448</v>
          </cell>
          <cell r="K5627" t="str">
            <v>BKAS030685</v>
          </cell>
        </row>
        <row r="5628">
          <cell r="E5628" t="str">
            <v>TATULMURI, DHANBAD</v>
          </cell>
          <cell r="G5628">
            <v>6299066158</v>
          </cell>
          <cell r="K5628" t="str">
            <v>BUGD162852</v>
          </cell>
        </row>
        <row r="5629">
          <cell r="E5629" t="str">
            <v>SHEETLA PRASAD SINGH,, MISHRA PADA, NEAR DURGA MANDIR,, JHARIA, DHANBAD - 828 111, JHARKHAND.</v>
          </cell>
          <cell r="G5629">
            <v>7644045555</v>
          </cell>
          <cell r="K5629" t="str">
            <v>BTCD162149</v>
          </cell>
        </row>
        <row r="5630">
          <cell r="E5630" t="str">
            <v>SHEETLA PRASAD SINGH,, MISHRA PADA, NEAR DURGA MANDIR,, JHARIA, DHANBAD - 828 111, JHARKHAND.</v>
          </cell>
          <cell r="G5630">
            <v>7644045555</v>
          </cell>
          <cell r="K5630" t="str">
            <v>BTKD162112</v>
          </cell>
        </row>
        <row r="5631">
          <cell r="E5631" t="str">
            <v>LODNA</v>
          </cell>
          <cell r="G5631">
            <v>7644045555</v>
          </cell>
          <cell r="K5631" t="str">
            <v>BTDD162169</v>
          </cell>
        </row>
        <row r="5632">
          <cell r="E5632" t="str">
            <v>NTA LODNA, DHANBAD</v>
          </cell>
          <cell r="G5632">
            <v>7644045555</v>
          </cell>
          <cell r="K5632" t="str">
            <v>BULD162559</v>
          </cell>
        </row>
        <row r="5633">
          <cell r="E5633" t="str">
            <v>BARHI INDUSTRIAL ARE BARHI</v>
          </cell>
          <cell r="G5633">
            <v>8795889641</v>
          </cell>
          <cell r="K5633" t="str">
            <v>BUES034992</v>
          </cell>
        </row>
        <row r="5634">
          <cell r="E5634" t="str">
            <v>BARHI INDUSTRIAL ARE BARHI</v>
          </cell>
          <cell r="G5634">
            <v>8795889641</v>
          </cell>
          <cell r="K5634" t="str">
            <v>BUES035120</v>
          </cell>
        </row>
        <row r="5635">
          <cell r="E5635" t="str">
            <v>BARHI INDUSTRIAL ARE BARHI</v>
          </cell>
          <cell r="G5635">
            <v>8795889641</v>
          </cell>
          <cell r="K5635" t="str">
            <v>BUAF111226</v>
          </cell>
        </row>
        <row r="5636">
          <cell r="E5636" t="str">
            <v>TIPUDANA, RANCHI</v>
          </cell>
          <cell r="G5636">
            <v>7070990285</v>
          </cell>
          <cell r="K5636" t="str">
            <v>BUGC373215</v>
          </cell>
        </row>
        <row r="5637">
          <cell r="E5637" t="str">
            <v>RATU ROAD KMT</v>
          </cell>
          <cell r="G5637">
            <v>8252009370</v>
          </cell>
          <cell r="K5637" t="str">
            <v>BUIC373911</v>
          </cell>
        </row>
        <row r="5638">
          <cell r="E5638" t="str">
            <v>THUMBAGARI, SATBARWA, PALAMU</v>
          </cell>
          <cell r="G5638">
            <v>7039553329</v>
          </cell>
          <cell r="K5638" t="str">
            <v>BUDC372146</v>
          </cell>
        </row>
        <row r="5639">
          <cell r="E5639" t="str">
            <v>BARHI INDUSTRIAL ARE BARHI</v>
          </cell>
          <cell r="G5639">
            <v>8795889641</v>
          </cell>
          <cell r="K5639" t="str">
            <v>BUBF111245</v>
          </cell>
        </row>
        <row r="5640">
          <cell r="E5640" t="str">
            <v>SAHEBGANJ, JHARKHAND</v>
          </cell>
          <cell r="G5640">
            <v>9304930718</v>
          </cell>
          <cell r="K5640" t="str">
            <v>BTJD162047</v>
          </cell>
        </row>
        <row r="5641">
          <cell r="E5641" t="str">
            <v>KATRAS, DHANBAD</v>
          </cell>
          <cell r="G5641">
            <v>9570178502</v>
          </cell>
          <cell r="K5641" t="str">
            <v>BRBD160901</v>
          </cell>
        </row>
        <row r="5642">
          <cell r="E5642" t="str">
            <v>ANGAR PATRA,DHANBAD</v>
          </cell>
          <cell r="G5642">
            <v>9570178502</v>
          </cell>
          <cell r="K5642" t="str">
            <v>BRBD160892</v>
          </cell>
        </row>
        <row r="5643">
          <cell r="E5643" t="str">
            <v>KUSUNDA DHANBAD</v>
          </cell>
          <cell r="G5643">
            <v>8210106692</v>
          </cell>
          <cell r="K5643" t="str">
            <v>BRDD161036</v>
          </cell>
        </row>
        <row r="5644">
          <cell r="E5644" t="str">
            <v>KUSUNDA DHANBAD</v>
          </cell>
          <cell r="G5644">
            <v>8210106692</v>
          </cell>
          <cell r="K5644" t="str">
            <v>BRDD161036</v>
          </cell>
        </row>
        <row r="5645">
          <cell r="E5645" t="str">
            <v>PITHORIA</v>
          </cell>
          <cell r="G5645">
            <v>9036722423</v>
          </cell>
          <cell r="K5645" t="str">
            <v>BVCC376206</v>
          </cell>
        </row>
        <row r="5646">
          <cell r="E5646" t="str">
            <v>KOKAR INDUSTRIAL AREA,RANCHI
834002
KOKAR INDUSTRIAL AREA</v>
          </cell>
          <cell r="G5646">
            <v>9771441275</v>
          </cell>
          <cell r="K5646" t="str">
            <v>BRKC371988</v>
          </cell>
        </row>
        <row r="5647">
          <cell r="E5647" t="str">
            <v>CHUTIA, RANCHI</v>
          </cell>
          <cell r="G5647">
            <v>9939622140</v>
          </cell>
          <cell r="K5647" t="str">
            <v>BUFD162814</v>
          </cell>
        </row>
        <row r="5648">
          <cell r="E5648" t="str">
            <v>BERA, DHANBAD</v>
          </cell>
          <cell r="G5648">
            <v>6205673514</v>
          </cell>
          <cell r="K5648" t="str">
            <v>BUAD162634</v>
          </cell>
        </row>
        <row r="5649">
          <cell r="E5649" t="str">
            <v>DALTAINGANJ</v>
          </cell>
          <cell r="G5649"/>
          <cell r="K5649" t="str">
            <v>BVAC375308</v>
          </cell>
        </row>
        <row r="5650">
          <cell r="E5650" t="str">
            <v>DEMO TANND HAZAIBAGH JHARKHAND,
825301
DEMO TANND HAZAIBAGH JHARKHAND</v>
          </cell>
          <cell r="G5650">
            <v>7905424302</v>
          </cell>
          <cell r="K5650" t="str">
            <v>BMDS040417</v>
          </cell>
        </row>
        <row r="5651">
          <cell r="E5651" t="str">
            <v>THUMBAGARI, SATBARWA, PALAMU</v>
          </cell>
          <cell r="G5651">
            <v>7039553329</v>
          </cell>
          <cell r="K5651" t="str">
            <v>BUDC372146</v>
          </cell>
        </row>
        <row r="5652">
          <cell r="E5652" t="str">
            <v>BIT MESRA, RANCHI
835215
BIT MISRA, RANCHI</v>
          </cell>
          <cell r="G5652">
            <v>9934303421</v>
          </cell>
          <cell r="K5652" t="str">
            <v>BPHS030467</v>
          </cell>
        </row>
        <row r="5653">
          <cell r="E5653" t="str">
            <v>TIKRATOLI,SAPAROM
NEAR LALGUTWA OVERBRIDGE, TIKRATOLI, SAPAROM,, NAGRI, RANCHI
835303</v>
          </cell>
          <cell r="G5653">
            <v>9608131381</v>
          </cell>
          <cell r="K5653" t="str">
            <v>BRGC373885</v>
          </cell>
        </row>
        <row r="5654">
          <cell r="E5654" t="str">
            <v>NAMKUN INDUSTRIAL AREA,RANCHI
834010</v>
          </cell>
          <cell r="G5654">
            <v>9304481400</v>
          </cell>
          <cell r="K5654" t="str">
            <v>BUDS034771</v>
          </cell>
        </row>
        <row r="5655">
          <cell r="E5655" t="str">
            <v>MAHILONG, TATISILWAI</v>
          </cell>
          <cell r="G5655">
            <v>6200160428</v>
          </cell>
          <cell r="K5655" t="str">
            <v>BIKS030135</v>
          </cell>
        </row>
        <row r="5656">
          <cell r="E5656" t="str">
            <v>TUPUDANA, RANCHI</v>
          </cell>
          <cell r="G5656">
            <v>8102915589</v>
          </cell>
          <cell r="K5656" t="str">
            <v>BUDC372327</v>
          </cell>
        </row>
        <row r="5657">
          <cell r="E5657" t="str">
            <v>DEMO TANND HAZAIBAGH JHARKHAND,
825301
DEMO TANND HAZAIBAGH JHARKHAND</v>
          </cell>
          <cell r="G5657">
            <v>9939988225</v>
          </cell>
          <cell r="K5657" t="str">
            <v>BMDS040417</v>
          </cell>
        </row>
        <row r="5658">
          <cell r="E5658" t="str">
            <v>1, KOCP, DHANSAR, Dhanbad, Jharkhand, 828106</v>
          </cell>
          <cell r="G5658">
            <v>7070654425</v>
          </cell>
          <cell r="K5658" t="str">
            <v>BUIC373701</v>
          </cell>
        </row>
        <row r="5659">
          <cell r="E5659" t="str">
            <v>PLOT NO. 79, KAPASARA,, SUNDERNAGAR, CHIRKUNDA,, DHANBAD - 828 202
PLOT NO. 79, KAPASARA,, SUNDERNAGAR, CHIRKUNDA,, DHANBAD - 828 202
828202</v>
          </cell>
          <cell r="G5659">
            <v>8101005542</v>
          </cell>
          <cell r="K5659" t="str">
            <v>BTFS031006</v>
          </cell>
        </row>
        <row r="5660">
          <cell r="E5660" t="str">
            <v>TETULIA MORE, DHANBAD</v>
          </cell>
          <cell r="G5660">
            <v>7000949386</v>
          </cell>
          <cell r="K5660" t="str">
            <v>BUDS046443</v>
          </cell>
        </row>
        <row r="5661">
          <cell r="E5661" t="str">
            <v>TETULIA MORE, DHANBAD</v>
          </cell>
          <cell r="G5661">
            <v>7000949386</v>
          </cell>
          <cell r="K5661" t="str">
            <v>BUDS034770</v>
          </cell>
        </row>
        <row r="5662">
          <cell r="E5662" t="str">
            <v>TETULIA MORE, DHANBAD</v>
          </cell>
          <cell r="G5662">
            <v>7000949386</v>
          </cell>
          <cell r="K5662" t="str">
            <v>BUDS046497</v>
          </cell>
        </row>
        <row r="5663">
          <cell r="E5663" t="str">
            <v>TETULIA MORE, DHANBAD</v>
          </cell>
          <cell r="G5663">
            <v>7000949386</v>
          </cell>
          <cell r="K5663" t="str">
            <v>BUDS034880</v>
          </cell>
        </row>
        <row r="5664">
          <cell r="E5664" t="str">
            <v>AAMZAR, BALIAPUR ROAD, DHANBAD
AAMZAR, BALIAPUR ROAD, DHANBAD
000000</v>
          </cell>
          <cell r="G5664">
            <v>8789061377</v>
          </cell>
          <cell r="K5664" t="str">
            <v>BUES035210</v>
          </cell>
        </row>
        <row r="5665">
          <cell r="E5665" t="str">
            <v>HAZARIBAGH</v>
          </cell>
          <cell r="G5665">
            <v>7905424032</v>
          </cell>
          <cell r="K5665" t="str">
            <v>BUIS036401</v>
          </cell>
        </row>
        <row r="5666">
          <cell r="E5666" t="str">
            <v>KODERMA
825410</v>
          </cell>
          <cell r="G5666">
            <v>7070098712</v>
          </cell>
          <cell r="K5666" t="str">
            <v>BLIS040713</v>
          </cell>
        </row>
        <row r="5667">
          <cell r="E5667" t="str">
            <v>BARWADIH, LATEHAR</v>
          </cell>
          <cell r="G5667">
            <v>8700673588</v>
          </cell>
          <cell r="K5667" t="str">
            <v>EUES046621</v>
          </cell>
        </row>
        <row r="5668">
          <cell r="E5668" t="str">
            <v>MARAR, RAMGARH, JHARKHAND
MARRAR RAMGARH, 9155729786
829117
MARAR</v>
          </cell>
          <cell r="G5668">
            <v>9155729786</v>
          </cell>
          <cell r="K5668" t="str">
            <v>BMIS031759</v>
          </cell>
        </row>
        <row r="5669">
          <cell r="E5669" t="str">
            <v>RAMGARH,JHARKHAND
829122</v>
          </cell>
          <cell r="G5669">
            <v>8016063949</v>
          </cell>
          <cell r="K5669" t="str">
            <v>BSIC376940</v>
          </cell>
        </row>
        <row r="5670">
          <cell r="E5670" t="str">
            <v>GOVINDPUR, DHANBAD</v>
          </cell>
          <cell r="G5670">
            <v>9031000459</v>
          </cell>
          <cell r="K5670" t="str">
            <v>BMHS040567</v>
          </cell>
        </row>
        <row r="5671">
          <cell r="E5671" t="str">
            <v>TIPUDANA, RANCHI</v>
          </cell>
          <cell r="G5671">
            <v>7070990285</v>
          </cell>
          <cell r="K5671" t="str">
            <v>BUGC373215</v>
          </cell>
        </row>
        <row r="5672">
          <cell r="E5672" t="str">
            <v>BARHI, HAZARIBAGH</v>
          </cell>
          <cell r="G5672">
            <v>9559291224</v>
          </cell>
          <cell r="K5672" t="str">
            <v>BUCS034287</v>
          </cell>
        </row>
        <row r="5673">
          <cell r="E5673" t="str">
            <v>BARIATU,RANCHI
834009
BARIATU</v>
          </cell>
          <cell r="G5673">
            <v>9504901125</v>
          </cell>
          <cell r="K5673" t="str">
            <v>BQLC370193</v>
          </cell>
        </row>
        <row r="5674">
          <cell r="E5674" t="str">
            <v>RAVULA SHYAM SUNDER REDDY, HOUSE NO. 3-5-196/1, ROAD NO. 5M, KRISHNANAGAR COLONY, MOULALI, HYDRABAD</v>
          </cell>
          <cell r="G5674">
            <v>9798360305</v>
          </cell>
          <cell r="K5674" t="str">
            <v>BSCD161691</v>
          </cell>
        </row>
        <row r="5675">
          <cell r="E5675" t="str">
            <v>JHARIA, DHANBAD</v>
          </cell>
          <cell r="G5675">
            <v>7488102974</v>
          </cell>
          <cell r="K5675" t="str">
            <v>BRHD161304</v>
          </cell>
        </row>
        <row r="5676">
          <cell r="E5676" t="str">
            <v>KHERA</v>
          </cell>
          <cell r="G5676">
            <v>9263634493</v>
          </cell>
          <cell r="K5676" t="str">
            <v>BTCD162159</v>
          </cell>
        </row>
        <row r="5677">
          <cell r="E5677" t="str">
            <v>AL-MED EQUIPMENTS
BARIATU ROAD, RANCHI
834009</v>
          </cell>
          <cell r="G5677">
            <v>7763807458</v>
          </cell>
          <cell r="K5677" t="str">
            <v>BUBS045901</v>
          </cell>
        </row>
        <row r="5678">
          <cell r="E5678" t="str">
            <v>BASKATOLA</v>
          </cell>
          <cell r="G5678">
            <v>9550053031</v>
          </cell>
          <cell r="K5678" t="str">
            <v>BULD162577</v>
          </cell>
        </row>
        <row r="5679">
          <cell r="E5679" t="str">
            <v>BASTAKOLA, DHANBAD</v>
          </cell>
          <cell r="G5679">
            <v>9550053031</v>
          </cell>
          <cell r="K5679" t="str">
            <v>BUKD162535</v>
          </cell>
        </row>
        <row r="5680">
          <cell r="E5680" t="str">
            <v>BASTAKOLA, DHANBAD</v>
          </cell>
          <cell r="G5680">
            <v>7667296002</v>
          </cell>
          <cell r="K5680" t="str">
            <v>BQKD160099</v>
          </cell>
        </row>
        <row r="5681">
          <cell r="E5681" t="str">
            <v>TIPUDANA, RANCHI</v>
          </cell>
          <cell r="G5681">
            <v>7070990285</v>
          </cell>
          <cell r="K5681" t="str">
            <v>BUGC373215</v>
          </cell>
        </row>
        <row r="5682">
          <cell r="E5682" t="str">
            <v>PIPARWAR,JHARKHAND</v>
          </cell>
          <cell r="G5682">
            <v>8809238352</v>
          </cell>
          <cell r="K5682" t="str">
            <v>BSCC375819</v>
          </cell>
        </row>
        <row r="5683">
          <cell r="E5683" t="str">
            <v>PIPARWAR,JHARKHAND</v>
          </cell>
          <cell r="G5683">
            <v>8809238352</v>
          </cell>
          <cell r="K5683" t="str">
            <v>BQHC371278</v>
          </cell>
        </row>
        <row r="5684">
          <cell r="E5684" t="str">
            <v>GROUND AND 1 ST FLOOR, BESIDE DAINIK BHASKAR, GOVINDPUR ROAD, DIST :- DHANBAD
GROUND AND 1 ST FLOOR, BESIDE DAINIK BHASKAR, GOVINDPUR ROAD, DIST :- DHANBAD
828109</v>
          </cell>
          <cell r="G5684">
            <v>8677808056</v>
          </cell>
          <cell r="K5684" t="str">
            <v>BRJC371698</v>
          </cell>
        </row>
        <row r="5685">
          <cell r="E5685" t="str">
            <v>SUNRISE COMPLEX, KATRAS ROAD,, MATKURIA, DHANBAD, JHARKHAND-826001, WORKS: BHELATAND, GOVINDPUR,, DHANBAD, JHARKHAND - 828109.
828109</v>
          </cell>
          <cell r="G5685">
            <v>8809316516</v>
          </cell>
          <cell r="K5685" t="str">
            <v>BTLS044130</v>
          </cell>
        </row>
        <row r="5686">
          <cell r="E5686" t="str">
            <v>GROUND AND 1 ST FLOOR, BESIDE DAINIK BHASKAR, GOVINDPUR ROAD, DIST :- DHANBAD
GROUND AND 1 ST FLOOR, BESIDE DAINIK BHASKAR, GOVINDPUR ROAD, DIST :- DHANBAD
828109</v>
          </cell>
          <cell r="G5686">
            <v>8709272726</v>
          </cell>
          <cell r="K5686" t="str">
            <v>BRES034488</v>
          </cell>
        </row>
        <row r="5687">
          <cell r="E5687" t="str">
            <v>RATANPUR,DHANBAD
828109</v>
          </cell>
          <cell r="G5687">
            <v>9031029501</v>
          </cell>
          <cell r="K5687" t="str">
            <v>BTLC377584</v>
          </cell>
        </row>
        <row r="5688">
          <cell r="E5688" t="str">
            <v>KATRAS, DHANBAD</v>
          </cell>
          <cell r="G5688">
            <v>9661544624</v>
          </cell>
          <cell r="K5688" t="str">
            <v>BSKD161477</v>
          </cell>
        </row>
        <row r="5689">
          <cell r="E5689" t="str">
            <v>Chiturdih, Dhanbad.</v>
          </cell>
          <cell r="G5689">
            <v>9981519401</v>
          </cell>
          <cell r="K5689" t="str">
            <v>BTDD162192</v>
          </cell>
        </row>
        <row r="5690">
          <cell r="E5690" t="str">
            <v>DHANBAD</v>
          </cell>
          <cell r="G5690">
            <v>9550053031</v>
          </cell>
          <cell r="K5690" t="str">
            <v>BTDD162186</v>
          </cell>
        </row>
        <row r="5691">
          <cell r="E5691" t="str">
            <v>NAGRI,RANCHI
835202
RANCHI</v>
          </cell>
          <cell r="G5691">
            <v>7004248429</v>
          </cell>
          <cell r="K5691" t="str">
            <v>BRIS035698</v>
          </cell>
        </row>
        <row r="5692">
          <cell r="E5692" t="str">
            <v>RANCHI,JHARKHAND
825301
JHUMRA</v>
          </cell>
          <cell r="G5692">
            <v>8541022146</v>
          </cell>
          <cell r="K5692" t="str">
            <v>BTIS031829</v>
          </cell>
        </row>
        <row r="5693">
          <cell r="E5693" t="str">
            <v>NAGRI,RANCHI
835202
RANCHI</v>
          </cell>
          <cell r="G5693">
            <v>8877024924</v>
          </cell>
          <cell r="K5693" t="str">
            <v>BMJS040004</v>
          </cell>
        </row>
        <row r="5694">
          <cell r="E5694" t="str">
            <v>GROUND FLOOR,, OFFICE NO.448A, ROAD NO.4, ASHOK NAGAR
GROUND FLOOR,, OFFICE NO.448A, ROAD NO.4, ASHOK NAGAR
829118
PLOT NO:- 47P, PATRATU INDUSTRIAL AREA</v>
          </cell>
          <cell r="G5694">
            <v>7541959323</v>
          </cell>
          <cell r="K5694" t="str">
            <v>GOGC370754</v>
          </cell>
        </row>
        <row r="5695">
          <cell r="E5695" t="str">
            <v>KOKAR INDUSTRIAL AREA,RANCHI
834002
KOKAR INDUSTRIAL AREA</v>
          </cell>
          <cell r="G5695">
            <v>9771441275</v>
          </cell>
          <cell r="K5695" t="str">
            <v>BRKC371988</v>
          </cell>
        </row>
        <row r="5696">
          <cell r="E5696" t="str">
            <v>KAMRE
835222</v>
          </cell>
          <cell r="G5696">
            <v>9570185050</v>
          </cell>
          <cell r="K5696" t="str">
            <v>BTCC377923</v>
          </cell>
        </row>
        <row r="5697">
          <cell r="E5697" t="str">
            <v>NAYA MORE, RAMGRAH</v>
          </cell>
          <cell r="G5697">
            <v>8109928827</v>
          </cell>
          <cell r="K5697" t="str">
            <v>BUKS045388</v>
          </cell>
        </row>
        <row r="5698">
          <cell r="E5698" t="str">
            <v>RAMGARH,JHARKHAND
825101
RAMGARH</v>
          </cell>
          <cell r="G5698">
            <v>8434166028</v>
          </cell>
          <cell r="K5698" t="str">
            <v>BSGC376585</v>
          </cell>
        </row>
        <row r="5699">
          <cell r="E5699" t="str">
            <v>VINAIKA’S COMPLEX RANCHI TATA ROAD, R.S. PLOT NO.:-615,VILLAGE-PANCHA,THANA-BUNDU RANCHI, JHARKHAND.
834002</v>
          </cell>
          <cell r="G5699">
            <v>9818905980</v>
          </cell>
          <cell r="K5699" t="str">
            <v>BUDS046275</v>
          </cell>
        </row>
        <row r="5700">
          <cell r="E5700" t="str">
            <v>NAYA MORE, RAMGRAH</v>
          </cell>
          <cell r="G5700">
            <v>8109928827</v>
          </cell>
          <cell r="K5700" t="str">
            <v>BUKS045387</v>
          </cell>
        </row>
        <row r="5701">
          <cell r="E5701" t="str">
            <v>RANCHI
834002</v>
          </cell>
          <cell r="G5701">
            <v>8709145429</v>
          </cell>
          <cell r="K5701" t="str">
            <v>BTIS032020</v>
          </cell>
        </row>
        <row r="5702">
          <cell r="E5702" t="str">
            <v>RANCHI
834002</v>
          </cell>
          <cell r="G5702">
            <v>8709145429</v>
          </cell>
          <cell r="K5702" t="str">
            <v>BTIS032025</v>
          </cell>
        </row>
        <row r="5703">
          <cell r="E5703" t="str">
            <v>RAMGARH
829103
NAYA MORE</v>
          </cell>
          <cell r="G5703">
            <v>8651078549</v>
          </cell>
          <cell r="K5703" t="str">
            <v>BRGS035169</v>
          </cell>
        </row>
        <row r="5704">
          <cell r="E5704" t="str">
            <v>RANCHI
834002</v>
          </cell>
          <cell r="G5704">
            <v>8709145429</v>
          </cell>
          <cell r="K5704" t="str">
            <v>BULS033141</v>
          </cell>
        </row>
        <row r="5705">
          <cell r="E5705" t="str">
            <v>KHAKHSA PAHAR, PAKURIYA, PAKUR</v>
          </cell>
          <cell r="G5705">
            <v>7004249138</v>
          </cell>
          <cell r="K5705" t="str">
            <v>BUGD162826</v>
          </cell>
        </row>
        <row r="5706">
          <cell r="E5706" t="str">
            <v>SARNATOLI,ANGADA,RANCHI
835222</v>
          </cell>
          <cell r="G5706">
            <v>9110012919</v>
          </cell>
          <cell r="K5706" t="str">
            <v>BSAF110719</v>
          </cell>
        </row>
        <row r="5707">
          <cell r="E5707" t="str">
            <v>TETULMARI, DHANBAD</v>
          </cell>
          <cell r="G5707">
            <v>6203273412</v>
          </cell>
          <cell r="K5707" t="str">
            <v>BVLD163040</v>
          </cell>
        </row>
        <row r="5708">
          <cell r="E5708" t="str">
            <v>BHORA</v>
          </cell>
          <cell r="G5708">
            <v>7488779074</v>
          </cell>
          <cell r="K5708" t="str">
            <v>BULD162568</v>
          </cell>
        </row>
        <row r="5709">
          <cell r="E5709" t="str">
            <v>PLOT NO 716,VILL-RUKKA,
835219</v>
          </cell>
          <cell r="G5709">
            <v>8759215726</v>
          </cell>
          <cell r="K5709" t="str">
            <v>BSKS036366</v>
          </cell>
        </row>
        <row r="5710">
          <cell r="E5710" t="str">
            <v>PLOT NO 716,VILL-RUKKA,
835219</v>
          </cell>
          <cell r="G5710">
            <v>8759215726</v>
          </cell>
          <cell r="K5710" t="str">
            <v>BSKS036365</v>
          </cell>
        </row>
        <row r="5711">
          <cell r="E5711" t="str">
            <v>BALIDIH, BOKARO</v>
          </cell>
          <cell r="G5711">
            <v>9119693082</v>
          </cell>
          <cell r="K5711" t="str">
            <v>ALGS030185</v>
          </cell>
        </row>
        <row r="5712">
          <cell r="E5712" t="str">
            <v>JASIDIH, DEOGHAR
814142</v>
          </cell>
          <cell r="G5712">
            <v>6202270389</v>
          </cell>
          <cell r="K5712" t="str">
            <v>BSBC375571</v>
          </cell>
        </row>
        <row r="5713">
          <cell r="E5713" t="str">
            <v>PLOT NO. 148, TUPUDANA, INDUSTRIAL AREA, HATIA, RANCHI
834002</v>
          </cell>
          <cell r="G5713">
            <v>9434219500</v>
          </cell>
          <cell r="K5713" t="str">
            <v>BRIS035838</v>
          </cell>
        </row>
        <row r="5714">
          <cell r="E5714" t="str">
            <v>PLOT NO. 148, TUPUDANA, INDUSTRIAL AREA, HATIA, RANCHI
834002</v>
          </cell>
          <cell r="G5714">
            <v>9534249500</v>
          </cell>
          <cell r="K5714" t="str">
            <v>BSLS036682</v>
          </cell>
        </row>
        <row r="5715">
          <cell r="E5715" t="str">
            <v>AT: SENEGARHA, P.O-RABODH, P.S-GIDDI,(RAMGARH),, DISTT. HAZARIBAGH,JHARKHAND-825330
829108
AT: SENEGARHA, P.O-RABODH, P.S-GIDDI,(RAMGARH),</v>
          </cell>
          <cell r="G5715">
            <v>9006877583</v>
          </cell>
          <cell r="K5715" t="str">
            <v>BQES030978</v>
          </cell>
        </row>
        <row r="5716">
          <cell r="E5716" t="str">
            <v>TAPIN PROJECT, TAPIN</v>
          </cell>
          <cell r="G5716">
            <v>7061781990</v>
          </cell>
          <cell r="K5716" t="str">
            <v>BUID162953</v>
          </cell>
        </row>
        <row r="5717">
          <cell r="E5717" t="str">
            <v>TAPIN PROJECT, CHARHI</v>
          </cell>
          <cell r="G5717">
            <v>6204816691</v>
          </cell>
          <cell r="K5717" t="str">
            <v>BVLD163067</v>
          </cell>
        </row>
        <row r="5718">
          <cell r="E5718" t="str">
            <v>TETULMARI, DHANBAD</v>
          </cell>
          <cell r="G5718">
            <v>6203273412</v>
          </cell>
          <cell r="K5718" t="str">
            <v>BVLD163040</v>
          </cell>
        </row>
        <row r="5719">
          <cell r="E5719" t="str">
            <v>HORHAP ROAD, MAHILONG, RANCHI
835103</v>
          </cell>
          <cell r="G5719">
            <v>9708039203</v>
          </cell>
          <cell r="K5719" t="str">
            <v>BRIC374329</v>
          </cell>
        </row>
        <row r="5720">
          <cell r="E5720" t="str">
            <v>BAGODAR
GIRIDIH</v>
          </cell>
          <cell r="G5720">
            <v>8873344440</v>
          </cell>
          <cell r="K5720" t="str">
            <v>BUDS034763</v>
          </cell>
        </row>
        <row r="5721">
          <cell r="E5721" t="str">
            <v>BAGODAR
GIRIDIH</v>
          </cell>
          <cell r="G5721">
            <v>8873344440</v>
          </cell>
          <cell r="K5721" t="str">
            <v>BVJS036816</v>
          </cell>
        </row>
        <row r="5722">
          <cell r="E5722" t="str">
            <v>NICHITPUR</v>
          </cell>
          <cell r="G5722">
            <v>7295943617</v>
          </cell>
          <cell r="K5722" t="str">
            <v>BUCD162696</v>
          </cell>
        </row>
        <row r="5723">
          <cell r="E5723" t="str">
            <v>GONDUDIH</v>
          </cell>
          <cell r="G5723">
            <v>9113788032</v>
          </cell>
          <cell r="K5723" t="str">
            <v>BSKD161477</v>
          </cell>
        </row>
        <row r="5724">
          <cell r="E5724" t="str">
            <v>RATU ROAD KMT</v>
          </cell>
          <cell r="G5724">
            <v>8252009370</v>
          </cell>
          <cell r="K5724" t="str">
            <v>BUIC373911</v>
          </cell>
        </row>
        <row r="5725">
          <cell r="E5725" t="str">
            <v>BARHI INDUSTRIAL ARE BARHI</v>
          </cell>
          <cell r="G5725">
            <v>8795889641</v>
          </cell>
          <cell r="K5725" t="str">
            <v>BUAF111226</v>
          </cell>
        </row>
        <row r="5726">
          <cell r="E5726" t="str">
            <v>BARHI INDUSTRIAL ARE BARHI</v>
          </cell>
          <cell r="G5726">
            <v>8795889641</v>
          </cell>
          <cell r="K5726" t="str">
            <v>BUBF111245</v>
          </cell>
        </row>
        <row r="5727">
          <cell r="E5727" t="str">
            <v>BARHI INDUSTRIAL ARE BARHI</v>
          </cell>
          <cell r="G5727">
            <v>8795889641</v>
          </cell>
          <cell r="K5727" t="str">
            <v>BUES034992</v>
          </cell>
        </row>
        <row r="5728">
          <cell r="E5728" t="str">
            <v>BARHI INDUSTRIAL ARE BARHI</v>
          </cell>
          <cell r="G5728">
            <v>8795889641</v>
          </cell>
          <cell r="K5728" t="str">
            <v>BUES035120</v>
          </cell>
        </row>
        <row r="5729">
          <cell r="E5729" t="str">
            <v>DHANBAD, CONT PERSON :MR. IKTEKHAR AHMAD, PH.NO :9431316718</v>
          </cell>
          <cell r="G5729">
            <v>7402773991</v>
          </cell>
          <cell r="K5729" t="str">
            <v>BSKD161462</v>
          </cell>
        </row>
        <row r="5730">
          <cell r="E5730" t="str">
            <v>GOBINDPUR INDUSTRIAL AREA, DHANBAD</v>
          </cell>
          <cell r="G5730">
            <v>9113169811</v>
          </cell>
          <cell r="K5730" t="str">
            <v>BVJS047894</v>
          </cell>
        </row>
        <row r="5731">
          <cell r="E5731" t="str">
            <v>PUDANG,RANCHI
834002</v>
          </cell>
          <cell r="G5731">
            <v>7480057033</v>
          </cell>
          <cell r="K5731" t="str">
            <v>BSEC376140</v>
          </cell>
        </row>
        <row r="5732">
          <cell r="E5732" t="str">
            <v>GAYA, BIHAR</v>
          </cell>
          <cell r="G5732">
            <v>7272956960</v>
          </cell>
          <cell r="K5732" t="str">
            <v>BSFD161799</v>
          </cell>
        </row>
        <row r="5733">
          <cell r="E5733" t="str">
            <v>DHANBAD</v>
          </cell>
          <cell r="G5733">
            <v>6207308280</v>
          </cell>
          <cell r="K5733" t="str">
            <v>BTED162231</v>
          </cell>
        </row>
        <row r="5734">
          <cell r="E5734" t="str">
            <v>ANGAR PATRA,DHANBAD</v>
          </cell>
          <cell r="G5734">
            <v>6207308280</v>
          </cell>
          <cell r="K5734" t="str">
            <v>BSGD161898</v>
          </cell>
        </row>
        <row r="5735">
          <cell r="E5735" t="str">
            <v>C/O - PREM PRAKASH AGARWAL, OPP - HILLVIEW FUEL STATION, GODHUR, P.O - KUSUNDA, DHANBAD</v>
          </cell>
          <cell r="G5735">
            <v>7295943617</v>
          </cell>
          <cell r="K5735" t="str">
            <v>BTED162217</v>
          </cell>
        </row>
        <row r="5736">
          <cell r="E5736" t="str">
            <v>NICHITPUR</v>
          </cell>
          <cell r="G5736">
            <v>7295943617</v>
          </cell>
          <cell r="K5736" t="str">
            <v>BUCD162696</v>
          </cell>
        </row>
        <row r="5737">
          <cell r="E5737" t="str">
            <v>ASHOKA PROJECT PIPARWAR</v>
          </cell>
          <cell r="G5737">
            <v>9102994458</v>
          </cell>
          <cell r="K5737" t="str">
            <v>BUID162912</v>
          </cell>
        </row>
        <row r="5738">
          <cell r="E5738" t="str">
            <v>ALKUSA, DHANBAD</v>
          </cell>
          <cell r="G5738">
            <v>7847053297</v>
          </cell>
          <cell r="K5738" t="str">
            <v>BTCD162162</v>
          </cell>
        </row>
        <row r="5739">
          <cell r="E5739" t="str">
            <v>LALPUR</v>
          </cell>
          <cell r="G5739">
            <v>9334333488</v>
          </cell>
          <cell r="K5739" t="str">
            <v>BVKS048013</v>
          </cell>
        </row>
        <row r="5740">
          <cell r="E5740" t="str">
            <v>TAPIN PROJECT, TAPIN</v>
          </cell>
          <cell r="G5740">
            <v>7644045555</v>
          </cell>
          <cell r="K5740" t="str">
            <v>BUID162953</v>
          </cell>
        </row>
        <row r="5741">
          <cell r="E5741" t="str">
            <v>TAPIN HAZARIBAGH</v>
          </cell>
          <cell r="G5741">
            <v>6202807047</v>
          </cell>
          <cell r="K5741" t="str">
            <v>BTGD162289</v>
          </cell>
        </row>
        <row r="5742">
          <cell r="E5742" t="str">
            <v xml:space="preserve">TOPIN SOUTH  </v>
          </cell>
          <cell r="G5742">
            <v>9102994453</v>
          </cell>
          <cell r="K5742" t="str">
            <v>BSGD161864</v>
          </cell>
        </row>
        <row r="5743">
          <cell r="E5743" t="str">
            <v>OPERATIONS OFFICER, BOKARO BP, KIND ATTEN.ABHISHEK TRIPATHI, MOB. NO.8789972995, VENDOR CODE-11970380
OPERATIONS OFFICER, BOKARO BP, KIND ATTEN.ABHISHEK TRIPATHI, MOB. NO.8789972995, VENDOR CODE-11970380
827014
LPG BOTTALING PLANT, BALIDIH,</v>
          </cell>
          <cell r="G5743">
            <v>9679970318</v>
          </cell>
          <cell r="K5743" t="str">
            <v>BOCS040147</v>
          </cell>
        </row>
        <row r="5744">
          <cell r="E5744" t="str">
            <v>REHLA, GARHWA ROAD, PALAMU D.T, JHARKHAND
PALAMU JHARKHAND 822124
INDIA</v>
          </cell>
          <cell r="G5744">
            <v>7902431955</v>
          </cell>
          <cell r="K5744" t="str">
            <v>BLFS031469</v>
          </cell>
        </row>
        <row r="5745">
          <cell r="E5745" t="str">
            <v>SHEETLA PRASAD SINGH,, MISHRA PADA, NEAR DURGA MANDIR,, JHARIA, DHANBAD - 828 111, JHARKHAND.</v>
          </cell>
          <cell r="G5745">
            <v>7644045555</v>
          </cell>
          <cell r="K5745" t="str">
            <v>BTCD162149</v>
          </cell>
        </row>
        <row r="5746">
          <cell r="E5746" t="str">
            <v>SHEETLA PRASAD SINGH,, MISHRA PADA, NEAR DURGA MANDIR,, JHARIA, DHANBAD - 828 111, JHARKHAND.</v>
          </cell>
          <cell r="G5746">
            <v>7644045555</v>
          </cell>
          <cell r="K5746" t="str">
            <v>BTKD162112</v>
          </cell>
        </row>
        <row r="5747">
          <cell r="E5747" t="str">
            <v>CHUTIA, RANCHI</v>
          </cell>
          <cell r="G5747">
            <v>9939622140</v>
          </cell>
          <cell r="K5747" t="str">
            <v>BUFD162814</v>
          </cell>
        </row>
        <row r="5748">
          <cell r="E5748" t="str">
            <v>BARIDIH</v>
          </cell>
          <cell r="G5748">
            <v>9271857525</v>
          </cell>
          <cell r="K5748" t="str">
            <v>BQIC371495</v>
          </cell>
        </row>
        <row r="5749">
          <cell r="E5749" t="str">
            <v>JAMSHEDPUR</v>
          </cell>
          <cell r="G5749">
            <v>9304170499</v>
          </cell>
          <cell r="K5749" t="str">
            <v>BMFC370445</v>
          </cell>
        </row>
        <row r="5750">
          <cell r="E5750" t="str">
            <v>TIKRATOLI,SAPAROM
NEAR LALGUTWA OVERBRIDGE, TIKRATOLI, SAPAROM,, NAGRI, RANCHI
835303</v>
          </cell>
          <cell r="G5750">
            <v>9608086621</v>
          </cell>
          <cell r="K5750" t="str">
            <v>BRGC373885</v>
          </cell>
        </row>
        <row r="5751">
          <cell r="E5751" t="str">
            <v>TRIDENT PNEUMATICS PVT LTD   5/232,KNG PUDUR ROADSOMAYAMPALAYAM POSTCOIMBATORE IND</v>
          </cell>
          <cell r="G5751">
            <v>7079053079</v>
          </cell>
          <cell r="K5751" t="str">
            <v>BRCC373040</v>
          </cell>
        </row>
        <row r="5752">
          <cell r="E5752" t="str">
            <v>RANCHI PATNA ROAD
DEMOTAND
825301
HAZARIBAGH</v>
          </cell>
          <cell r="G5752">
            <v>6203465926</v>
          </cell>
          <cell r="K5752" t="str">
            <v>BMBL160078</v>
          </cell>
        </row>
        <row r="5753">
          <cell r="E5753" t="str">
            <v>KATRAS, DHANBAD</v>
          </cell>
          <cell r="G5753">
            <v>8210106692</v>
          </cell>
          <cell r="K5753" t="str">
            <v>BUJD162460</v>
          </cell>
        </row>
        <row r="5754">
          <cell r="E5754" t="str">
            <v>GONDUDIH</v>
          </cell>
          <cell r="G5754">
            <v>9113788032</v>
          </cell>
          <cell r="K5754" t="str">
            <v>BSKD161477</v>
          </cell>
        </row>
        <row r="5755">
          <cell r="E5755" t="str">
            <v>RANCHI PATNA ROAD
DEMOTAND
825301
HAZARIBAGH</v>
          </cell>
          <cell r="G5755">
            <v>6203465926</v>
          </cell>
          <cell r="K5755" t="str">
            <v>BIFS040367</v>
          </cell>
        </row>
        <row r="5756">
          <cell r="E5756" t="str">
            <v>KHERA</v>
          </cell>
          <cell r="G5756">
            <v>9263634493</v>
          </cell>
          <cell r="K5756" t="str">
            <v>BTCD162159</v>
          </cell>
        </row>
        <row r="5757">
          <cell r="E5757" t="str">
            <v>RAVULA SHYAM SUNDER REDDY, HOUSE NO. 3-5-196/1, ROAD NO. 5M, KRISHNANAGAR COLONY, MOULALI, HYDRABAD</v>
          </cell>
          <cell r="G5757">
            <v>9798360305</v>
          </cell>
          <cell r="K5757" t="str">
            <v>BSCD161691</v>
          </cell>
        </row>
        <row r="5758">
          <cell r="E5758" t="str">
            <v>C/O - PREM PRAKASH AGARWAL, OPP - HILLVIEW FUEL STATION, GODHUR, P.O - KUSUNDA, DHANBAD</v>
          </cell>
          <cell r="G5758">
            <v>7903412157</v>
          </cell>
          <cell r="K5758" t="str">
            <v>BTED162217</v>
          </cell>
        </row>
        <row r="5759">
          <cell r="E5759" t="str">
            <v>38 MILLS AND GODOWNS AREA BURMAMINES, JAMSHEDPUR - 831007
831012</v>
          </cell>
          <cell r="G5759">
            <v>9204784818</v>
          </cell>
          <cell r="K5759" t="str">
            <v>BREC373493</v>
          </cell>
        </row>
        <row r="5760">
          <cell r="E5760" t="str">
            <v>REG. OFFICE: UNIT 106, MAHABIR TOWER, JOKHIRAM LANE, MAIN ROAD, RANCHI - 834 001
REG. OFFICE: UNIT 106, MAHABIR TOWER, JOKHIRAM LANE, MAIN ROAD, RANCHI - 834 001
835214</v>
          </cell>
          <cell r="G5760">
            <v>8207010500</v>
          </cell>
          <cell r="K5760" t="str">
            <v>BSDS043254</v>
          </cell>
        </row>
        <row r="5761">
          <cell r="E5761" t="str">
            <v>HAZARIBAGH
RANCHI JHARKHAND 834002
INDIA</v>
          </cell>
          <cell r="G5761">
            <v>7361044448</v>
          </cell>
          <cell r="K5761" t="str">
            <v>BKAS030685</v>
          </cell>
        </row>
        <row r="5762">
          <cell r="E5762" t="str">
            <v>KOKAR,INDUSTRIAL AREA,RANCHI
834002
RANCHI</v>
          </cell>
          <cell r="G5762">
            <v>7781017919</v>
          </cell>
          <cell r="K5762" t="str">
            <v>BMKC370048</v>
          </cell>
        </row>
        <row r="5763">
          <cell r="E5763" t="str">
            <v>AT. BONGABAR, SANDI, RAMGARH, AMC  FROM 1-8-2019 TO 30-7-2020
829122
SANDI ,</v>
          </cell>
          <cell r="G5763">
            <v>7004377365</v>
          </cell>
          <cell r="K5763" t="str">
            <v>BLGS040605</v>
          </cell>
        </row>
        <row r="5764">
          <cell r="E5764" t="str">
            <v>HAZARIBAGH
RANCHI JHARKHAND 834002
INDIA</v>
          </cell>
          <cell r="G5764">
            <v>7361044448</v>
          </cell>
          <cell r="K5764" t="str">
            <v>BKAS030685</v>
          </cell>
        </row>
        <row r="5765">
          <cell r="E5765" t="str">
            <v>RAMGARH</v>
          </cell>
          <cell r="G5765">
            <v>7004377365</v>
          </cell>
          <cell r="K5765" t="str">
            <v>BLES031356</v>
          </cell>
        </row>
        <row r="5766">
          <cell r="E5766" t="str">
            <v>NAGRI,RANCHI
835202
RANCHI</v>
          </cell>
          <cell r="G5766">
            <v>9304482300</v>
          </cell>
          <cell r="K5766" t="str">
            <v>BMJS040004</v>
          </cell>
        </row>
        <row r="5767">
          <cell r="E5767" t="str">
            <v>GOVINDPUR MINES</v>
          </cell>
          <cell r="G5767">
            <v>7847053297</v>
          </cell>
          <cell r="K5767" t="str">
            <v>BSCD161694</v>
          </cell>
        </row>
        <row r="5768">
          <cell r="E5768" t="str">
            <v>REG. OFFICE: UNIT 106, MAHABIR TOWER, JOKHIRAM LANE, MAIN ROAD, RANCHI - 834 001
REG. OFFICE: UNIT 106, MAHABIR TOWER, JOKHIRAM LANE, MAIN ROAD, RANCHI - 834 001
835214</v>
          </cell>
          <cell r="G5768">
            <v>8207010500</v>
          </cell>
          <cell r="K5768" t="str">
            <v>BSDS043254</v>
          </cell>
        </row>
        <row r="5769">
          <cell r="E5769" t="str">
            <v>HESLA,RAMGARH
829101</v>
          </cell>
          <cell r="G5769">
            <v>7526823341</v>
          </cell>
          <cell r="K5769" t="str">
            <v>BSJS035917</v>
          </cell>
        </row>
        <row r="5770">
          <cell r="E5770" t="str">
            <v>BASKATOLA</v>
          </cell>
          <cell r="G5770">
            <v>9550053031</v>
          </cell>
          <cell r="K5770" t="str">
            <v>BULD162577</v>
          </cell>
        </row>
        <row r="5771">
          <cell r="E5771" t="str">
            <v>ASHOKA PROJECT PIPARWAR</v>
          </cell>
          <cell r="G5771">
            <v>9102994458</v>
          </cell>
          <cell r="K5771" t="str">
            <v>BUID162912</v>
          </cell>
        </row>
        <row r="5772">
          <cell r="E5772" t="str">
            <v>TETULMARI, DHANBAD</v>
          </cell>
          <cell r="G5772">
            <v>9798360305</v>
          </cell>
          <cell r="K5772" t="str">
            <v>BVLD163040</v>
          </cell>
        </row>
        <row r="5773">
          <cell r="E5773" t="str">
            <v>CHAKARDHARPUR, JHARKHAND</v>
          </cell>
          <cell r="G5773">
            <v>8639995694</v>
          </cell>
          <cell r="K5773" t="str">
            <v>BSJD161422</v>
          </cell>
        </row>
        <row r="5774">
          <cell r="E5774" t="str">
            <v>TATULMURI, DHANBAD</v>
          </cell>
          <cell r="G5774">
            <v>6299066158</v>
          </cell>
          <cell r="K5774" t="str">
            <v>BUGD162852</v>
          </cell>
        </row>
        <row r="5775">
          <cell r="E5775" t="str">
            <v>TATISILWAI, JHARKHAND
835103</v>
          </cell>
          <cell r="G5775">
            <v>6200160428</v>
          </cell>
          <cell r="K5775" t="str">
            <v>BQGS031413</v>
          </cell>
        </row>
        <row r="5776">
          <cell r="E5776" t="str">
            <v>TATISILWAI, JHARKHAND
835103</v>
          </cell>
          <cell r="G5776">
            <v>6200160428</v>
          </cell>
          <cell r="K5776" t="str">
            <v>BQHS040705</v>
          </cell>
        </row>
        <row r="5777">
          <cell r="E5777" t="str">
            <v>NEAR P.N BANK MAIN ROAD,, RAMGARH CANTT-829122, DIST. RAMGARH
829122
BUDHAKHOP, AMBRELA, KARMA,</v>
          </cell>
          <cell r="G5777">
            <v>9437090314</v>
          </cell>
          <cell r="K5777" t="str">
            <v>BSHS038806</v>
          </cell>
        </row>
        <row r="5778">
          <cell r="E5778" t="str">
            <v>NEAR P.N BANK MAIN ROAD,, RAMGARH CANTT-829122, DIST. RAMGARH
829122
BUDHAKHOP, AMBRELA, KARMA,</v>
          </cell>
          <cell r="G5778">
            <v>9437090314</v>
          </cell>
          <cell r="K5778" t="str">
            <v>BQBS030091</v>
          </cell>
        </row>
        <row r="5779">
          <cell r="E5779" t="str">
            <v>KOKAR, RANCHI</v>
          </cell>
          <cell r="G5779">
            <v>8051191796</v>
          </cell>
          <cell r="K5779" t="str">
            <v>BRGD161233</v>
          </cell>
        </row>
        <row r="5780">
          <cell r="E5780" t="str">
            <v>CHUTIA, RANCHI</v>
          </cell>
          <cell r="G5780">
            <v>9939622140</v>
          </cell>
          <cell r="K5780" t="str">
            <v>BUFD162814</v>
          </cell>
        </row>
        <row r="5781">
          <cell r="E5781" t="str">
            <v>JHUMRI TILAIYA</v>
          </cell>
          <cell r="G5781">
            <v>7061052272</v>
          </cell>
          <cell r="K5781" t="str">
            <v>GPLS030458</v>
          </cell>
        </row>
        <row r="5782">
          <cell r="E5782" t="str">
            <v>KODERMA</v>
          </cell>
          <cell r="G5782">
            <v>9065338211</v>
          </cell>
          <cell r="K5782" t="str">
            <v>BUES035290</v>
          </cell>
        </row>
        <row r="5783">
          <cell r="E5783" t="str">
            <v>NAYA MORE,RAMGARH
ARA SARU BERA ROAD, NAYA, RAMGARH,JHARKHAND
829110
NAYA MORE</v>
          </cell>
          <cell r="G5783">
            <v>8651078549</v>
          </cell>
          <cell r="K5783" t="str">
            <v>BQBS033796</v>
          </cell>
        </row>
        <row r="5784">
          <cell r="E5784" t="str">
            <v>RAMGARH
829103
NAYA MORE</v>
          </cell>
          <cell r="G5784">
            <v>8651078519</v>
          </cell>
          <cell r="K5784" t="str">
            <v>BRGS035169</v>
          </cell>
        </row>
        <row r="5785">
          <cell r="E5785" t="str">
            <v>RAMGARH
829103
NAYA MORE</v>
          </cell>
          <cell r="G5785">
            <v>8651078549</v>
          </cell>
          <cell r="K5785" t="str">
            <v>BPCS030196</v>
          </cell>
        </row>
        <row r="5786">
          <cell r="E5786" t="str">
            <v>HAZARIBAGH,  HAZARIBAGH, JHARKHAND 825301</v>
          </cell>
          <cell r="G5786">
            <v>9031303137</v>
          </cell>
          <cell r="K5786" t="str">
            <v>BUAS033747</v>
          </cell>
        </row>
        <row r="5787">
          <cell r="E5787" t="str">
            <v>KODERMA</v>
          </cell>
          <cell r="G5787">
            <v>9065338211</v>
          </cell>
          <cell r="K5787" t="str">
            <v>BVKS037293</v>
          </cell>
        </row>
        <row r="5788">
          <cell r="E5788" t="str">
            <v>HAZARINAGH</v>
          </cell>
          <cell r="G5788">
            <v>8603273205</v>
          </cell>
          <cell r="K5788" t="str">
            <v>BUHC373622</v>
          </cell>
        </row>
        <row r="5789">
          <cell r="E5789" t="str">
            <v>CHATTARPUR</v>
          </cell>
          <cell r="G5789">
            <v>9667825845</v>
          </cell>
          <cell r="K5789" t="str">
            <v>BRDD161021</v>
          </cell>
        </row>
        <row r="5790">
          <cell r="E5790" t="str">
            <v>BASTAKOLA, DHANBAD</v>
          </cell>
          <cell r="G5790">
            <v>9550053031</v>
          </cell>
          <cell r="K5790" t="str">
            <v>BUKD162535</v>
          </cell>
        </row>
        <row r="5791">
          <cell r="E5791" t="str">
            <v>BARHI, HAZARIBAGH</v>
          </cell>
          <cell r="G5791">
            <v>9559291224</v>
          </cell>
          <cell r="K5791" t="str">
            <v>BUCS034287</v>
          </cell>
        </row>
        <row r="5792">
          <cell r="E5792" t="str">
            <v>C/O - NAVEEN KUMAR SINGH, PLOT NO.-538,718, DUNDURIA, GUMLA</v>
          </cell>
          <cell r="G5792">
            <v>8757678464</v>
          </cell>
          <cell r="K5792" t="str">
            <v>BTJD162038</v>
          </cell>
        </row>
        <row r="5793">
          <cell r="E5793" t="str">
            <v>JARANDIH,KATHARA</v>
          </cell>
          <cell r="G5793">
            <v>6381567751</v>
          </cell>
          <cell r="K5793" t="str">
            <v>BRGD161206</v>
          </cell>
        </row>
        <row r="5794">
          <cell r="E5794" t="str">
            <v>ADDRESS-PLOT-57B,BARAHI INDUSTRIAL AREA,ON DELHI HOWRAH NATIONAL HIGHWAY,BARHI,JAHARKHAND.</v>
          </cell>
          <cell r="G5794">
            <v>9559291224</v>
          </cell>
          <cell r="K5794" t="str">
            <v>BUBS033778</v>
          </cell>
        </row>
        <row r="5795">
          <cell r="E5795" t="str">
            <v>NICHITPUR</v>
          </cell>
          <cell r="G5795">
            <v>7295943617</v>
          </cell>
          <cell r="K5795" t="str">
            <v>BUCD162696</v>
          </cell>
        </row>
        <row r="5796">
          <cell r="E5796" t="str">
            <v>1ST FLOOR, RAJ GLASS AND HARDWARE, PISKA MORE, PO - HEHEL, RATU ROAD, RANCHI
1ST FLOOR, RAJ GLASS AND HARDWARE, PISKA MORE, PO - HEHEL, RATU ROAD, RANCHI
835214</v>
          </cell>
          <cell r="G5796">
            <v>7999889085</v>
          </cell>
          <cell r="K5796" t="str">
            <v>BTES044431</v>
          </cell>
        </row>
        <row r="5797">
          <cell r="E5797" t="str">
            <v>Chiturdih, Dhanbad.</v>
          </cell>
          <cell r="G5797">
            <v>9981519401</v>
          </cell>
          <cell r="K5797" t="str">
            <v>BTDD162192</v>
          </cell>
        </row>
        <row r="5798">
          <cell r="E5798" t="str">
            <v>KOKAR,INDUSTRIAL AREA,RANCHI
834002
RANCHI</v>
          </cell>
          <cell r="G5798">
            <v>7781017919</v>
          </cell>
          <cell r="K5798" t="str">
            <v>BMKC370048</v>
          </cell>
        </row>
        <row r="5799">
          <cell r="E5799" t="str">
            <v>KHAKHSA PAHAR, PAKURIYA, PAKUR</v>
          </cell>
          <cell r="G5799">
            <v>6206959324</v>
          </cell>
          <cell r="K5799" t="str">
            <v>BUGD162826</v>
          </cell>
        </row>
        <row r="5800">
          <cell r="E5800" t="str">
            <v>DHANBAD, CONT PERSON :MR. IKTEKHAR AHMAD, PH.NO :9431316718</v>
          </cell>
          <cell r="G5800">
            <v>7402773991</v>
          </cell>
          <cell r="K5800" t="str">
            <v>BSKD161462</v>
          </cell>
        </row>
        <row r="5801">
          <cell r="E5801" t="str">
            <v>UNIT OF HERITAGE LANDMARKS AUTOWORLD PVT. LTD., NEAR KAMRE AASHRAM, P.O. KAMRE, RATU ROAD, RANCHI
835214</v>
          </cell>
          <cell r="G5801">
            <v>8102800076</v>
          </cell>
          <cell r="K5801" t="str">
            <v>BTJC377158</v>
          </cell>
        </row>
        <row r="5802">
          <cell r="E5802" t="str">
            <v>GOMO, DHANBAD</v>
          </cell>
          <cell r="G5802">
            <v>9771445218</v>
          </cell>
          <cell r="K5802" t="str">
            <v>EUCS034229</v>
          </cell>
        </row>
        <row r="5803">
          <cell r="E5803" t="str">
            <v>BARWADIH, LATEHAR</v>
          </cell>
          <cell r="G5803">
            <v>8700673588</v>
          </cell>
          <cell r="K5803" t="str">
            <v>EUES046621</v>
          </cell>
        </row>
        <row r="5804">
          <cell r="E5804" t="str">
            <v>DALADALI, RANCHI</v>
          </cell>
          <cell r="G5804">
            <v>9199364073</v>
          </cell>
          <cell r="K5804" t="str">
            <v>BVKD163010</v>
          </cell>
        </row>
        <row r="5805">
          <cell r="E5805" t="str">
            <v>RAMGRAH</v>
          </cell>
          <cell r="G5805">
            <v>9507860584</v>
          </cell>
          <cell r="K5805" t="str">
            <v>BUFS046910</v>
          </cell>
        </row>
        <row r="5806">
          <cell r="E5806" t="str">
            <v>RANCHI,JHARKHAND
834001
RANCHI</v>
          </cell>
          <cell r="G5806">
            <v>9507860584</v>
          </cell>
          <cell r="K5806" t="str">
            <v>BJHS031586</v>
          </cell>
        </row>
        <row r="5807">
          <cell r="E5807" t="str">
            <v>GARHWA DALTONGANJ</v>
          </cell>
          <cell r="G5807">
            <v>7488259727</v>
          </cell>
          <cell r="K5807" t="str">
            <v>BSAD161582</v>
          </cell>
        </row>
        <row r="5808">
          <cell r="E5808" t="str">
            <v>TUPUDANA INDUSTRIAL AREA, RANCHI
PLOT NO. - 45 &amp; 46, TUPUDAN AINDUSTRIAL AREA, TUPUDANA, HATIA, RANCHI
834003
TIPUDANA INDUSTRIAL AREA</v>
          </cell>
          <cell r="G5808">
            <v>7717734248</v>
          </cell>
          <cell r="K5808" t="str">
            <v>BQBS033819</v>
          </cell>
        </row>
        <row r="5809">
          <cell r="E5809" t="str">
            <v>ASHOKA PROJECT PIPARWAR</v>
          </cell>
          <cell r="G5809">
            <v>9102400908</v>
          </cell>
          <cell r="K5809" t="str">
            <v>BUID162912</v>
          </cell>
        </row>
        <row r="5810">
          <cell r="E5810" t="str">
            <v>KAARO SUBHASH NAGAR, DHANBAD</v>
          </cell>
          <cell r="G5810">
            <v>8210106692</v>
          </cell>
          <cell r="K5810" t="str">
            <v>BTFD162243</v>
          </cell>
        </row>
        <row r="5811">
          <cell r="E5811" t="str">
            <v>BAKHTIYARPUR</v>
          </cell>
          <cell r="G5811">
            <v>7486815310</v>
          </cell>
          <cell r="K5811" t="str">
            <v>BNFD210070</v>
          </cell>
        </row>
        <row r="5812">
          <cell r="E5812" t="str">
            <v>CHAKAY, LAKHISARAI</v>
          </cell>
          <cell r="G5812">
            <v>7486815310</v>
          </cell>
          <cell r="K5812" t="str">
            <v>BUKD230773</v>
          </cell>
        </row>
        <row r="5813">
          <cell r="E5813" t="str">
            <v>NAGARI, RANCHI
834006</v>
          </cell>
          <cell r="G5813">
            <v>7255848442</v>
          </cell>
          <cell r="K5813" t="str">
            <v>BRAC372524</v>
          </cell>
        </row>
        <row r="5814">
          <cell r="E5814" t="str">
            <v>JHUMRI TILAIYA, KODERMA</v>
          </cell>
          <cell r="G5814">
            <v>9430001757</v>
          </cell>
          <cell r="K5814" t="str">
            <v>BUHS047551</v>
          </cell>
        </row>
        <row r="5815">
          <cell r="E5815" t="str">
            <v>SINDRI,DHANBAD
828122</v>
          </cell>
          <cell r="G5815">
            <v>7004661850</v>
          </cell>
          <cell r="K5815" t="str">
            <v>GOEC370640</v>
          </cell>
        </row>
        <row r="5816">
          <cell r="E5816" t="str">
            <v>WARD NO. 15, GUMO  BARWADIH
JHUMRITILAIYA KODERMA
000000</v>
          </cell>
          <cell r="G5816">
            <v>6207543988</v>
          </cell>
          <cell r="K5816" t="str">
            <v>BUDC372326</v>
          </cell>
        </row>
        <row r="5817">
          <cell r="E5817" t="str">
            <v>SHEIKHPURA, BIHAR</v>
          </cell>
          <cell r="G5817">
            <v>6202016835</v>
          </cell>
          <cell r="K5817" t="str">
            <v>BUAL160593</v>
          </cell>
        </row>
        <row r="5818">
          <cell r="E5818" t="str">
            <v>DHANBAD</v>
          </cell>
          <cell r="G5818">
            <v>9570178502</v>
          </cell>
          <cell r="K5818" t="str">
            <v>BTFD162244</v>
          </cell>
        </row>
        <row r="5819">
          <cell r="E5819" t="str">
            <v>SHEETLA PRASAD SINGH,, MISHRA PADA, NEAR DURGA MANDIR,, JHARIA, DHANBAD - 828 111, JHARKHAND.</v>
          </cell>
          <cell r="G5819">
            <v>7061894965</v>
          </cell>
          <cell r="K5819" t="str">
            <v>BTKD162112</v>
          </cell>
        </row>
        <row r="5820">
          <cell r="E5820" t="str">
            <v>BEDMAKKA, HAZARIBAGH</v>
          </cell>
          <cell r="G5820">
            <v>9162900724</v>
          </cell>
          <cell r="K5820" t="str">
            <v>BVJC374202</v>
          </cell>
        </row>
        <row r="5821">
          <cell r="E5821" t="str">
            <v>AL-MED EQUIPMENTS
BARIATU ROAD, RANCHI
834009</v>
          </cell>
          <cell r="G5821">
            <v>7763807458</v>
          </cell>
          <cell r="K5821" t="str">
            <v>BUBS045901</v>
          </cell>
        </row>
        <row r="5822">
          <cell r="E5822" t="str">
            <v>ANGAR PATRA,DHANBAD</v>
          </cell>
          <cell r="G5822">
            <v>8210106692</v>
          </cell>
          <cell r="K5822" t="str">
            <v>BRBD160892</v>
          </cell>
        </row>
        <row r="5823">
          <cell r="E5823" t="str">
            <v>HATIA PATHAR ZILA SCHOOL ROAD DUMKA JHARKHAND
834002</v>
          </cell>
          <cell r="G5823">
            <v>9382038901</v>
          </cell>
          <cell r="K5823" t="str">
            <v>BTEC378536</v>
          </cell>
        </row>
        <row r="5824">
          <cell r="E5824" t="str">
            <v>DUMKA</v>
          </cell>
          <cell r="G5824">
            <v>9713448619</v>
          </cell>
          <cell r="K5824" t="str">
            <v>BUDS034513</v>
          </cell>
        </row>
        <row r="5825">
          <cell r="E5825" t="str">
            <v>LODNA</v>
          </cell>
          <cell r="G5825">
            <v>7644045555</v>
          </cell>
          <cell r="K5825" t="str">
            <v>BTDD162169</v>
          </cell>
        </row>
        <row r="5826">
          <cell r="E5826" t="str">
            <v>BAKHTIYARPUR</v>
          </cell>
          <cell r="G5826">
            <v>7486815310</v>
          </cell>
          <cell r="K5826" t="str">
            <v>BUKD230779</v>
          </cell>
        </row>
        <row r="5827">
          <cell r="E5827" t="str">
            <v>ARGADA ROAD, BINJHAR, P.O. - MARAR, RAMGARH
829117</v>
          </cell>
          <cell r="G5827">
            <v>9386834417</v>
          </cell>
          <cell r="K5827" t="str">
            <v>BSCS037449</v>
          </cell>
        </row>
        <row r="5828">
          <cell r="E5828" t="str">
            <v>BOKARO</v>
          </cell>
          <cell r="G5828">
            <v>7033291304</v>
          </cell>
          <cell r="K5828" t="str">
            <v>BRAF110427</v>
          </cell>
        </row>
        <row r="5829">
          <cell r="E5829" t="str">
            <v>KAMRE
835222</v>
          </cell>
          <cell r="G5829">
            <v>7903195726</v>
          </cell>
          <cell r="K5829" t="str">
            <v>BTCC377923</v>
          </cell>
        </row>
        <row r="5830">
          <cell r="E5830" t="str">
            <v>FLAT NO. 300, BLOCK - A, MP SRIRAM, CHHOTA GAMHARIA, P.S. - GAMHARIA, DIST.- SARAIKELA KHARSAWAN</v>
          </cell>
          <cell r="G5830">
            <v>6201067001</v>
          </cell>
          <cell r="K5830" t="str">
            <v>BRGL151464</v>
          </cell>
        </row>
        <row r="5831">
          <cell r="E5831" t="str">
            <v>SADAR HOSPITAL, BOKARO, C/O L &amp; T LTD. BOKARO, JHARKHAND
C/O L &amp; T LTD. BOKARO, JHARKHAND
000000</v>
          </cell>
          <cell r="G5831">
            <v>7654511684</v>
          </cell>
          <cell r="K5831" t="str">
            <v>BUBS045931</v>
          </cell>
        </row>
        <row r="5832">
          <cell r="E5832" t="str">
            <v>LOHARDAGAH</v>
          </cell>
          <cell r="G5832">
            <v>8434111029</v>
          </cell>
          <cell r="K5832" t="str">
            <v>BUFS046839</v>
          </cell>
        </row>
        <row r="5833">
          <cell r="E5833" t="str">
            <v>KHURPANIA, KHASHMAHAL, PHUSHRO</v>
          </cell>
          <cell r="G5833">
            <v>8084594544</v>
          </cell>
          <cell r="K5833" t="str">
            <v>BTHD162350</v>
          </cell>
        </row>
        <row r="5834">
          <cell r="E5834" t="str">
            <v>SHEIKHPURA, BIHAR</v>
          </cell>
          <cell r="G5834">
            <v>6202016835</v>
          </cell>
          <cell r="K5834" t="str">
            <v>BUAL160593</v>
          </cell>
        </row>
        <row r="5835">
          <cell r="E5835" t="str">
            <v>HAZARIBAGH</v>
          </cell>
          <cell r="G5835">
            <v>7905424032</v>
          </cell>
          <cell r="K5835" t="str">
            <v>BUIS036401</v>
          </cell>
        </row>
        <row r="5836">
          <cell r="E5836" t="str">
            <v>BAKHTIYARPUR, BIHAR</v>
          </cell>
          <cell r="G5836">
            <v>8695642191</v>
          </cell>
          <cell r="K5836" t="str">
            <v>BUCD230856</v>
          </cell>
        </row>
        <row r="5837">
          <cell r="E5837" t="str">
            <v>RANCHI PATNA ROAD
DEMOTAND
825301
HAZARIBAGH</v>
          </cell>
          <cell r="G5837">
            <v>7905424302</v>
          </cell>
          <cell r="K5837" t="str">
            <v>BSCS037531</v>
          </cell>
        </row>
        <row r="5838">
          <cell r="E5838" t="str">
            <v>11 PINJRAPOLE, HARMU ROAD, RANCHI
11 PINJRAPOLE, HARMU ROAD, RANCHI
834001
MAHILONG, TATISILWAY</v>
          </cell>
          <cell r="G5838">
            <v>9709000070</v>
          </cell>
          <cell r="K5838" t="str">
            <v>BNCC370425</v>
          </cell>
        </row>
        <row r="5839">
          <cell r="E5839" t="str">
            <v>DALTAINGANJ</v>
          </cell>
          <cell r="G5839">
            <v>7039553321</v>
          </cell>
          <cell r="K5839" t="str">
            <v>BVBF111508</v>
          </cell>
        </row>
        <row r="5840">
          <cell r="E5840" t="str">
            <v>DHANBAD</v>
          </cell>
          <cell r="G5840">
            <v>9550053031</v>
          </cell>
          <cell r="K5840" t="str">
            <v>BTDD162186</v>
          </cell>
        </row>
        <row r="5841">
          <cell r="E5841" t="str">
            <v>TUPUDANA, RANCHI</v>
          </cell>
          <cell r="G5841">
            <v>8969978501</v>
          </cell>
          <cell r="K5841" t="str">
            <v>BVAD121386</v>
          </cell>
        </row>
        <row r="5842">
          <cell r="E5842" t="str">
            <v>RAKAMAINS, JAMSHEDPUR</v>
          </cell>
          <cell r="G5842">
            <v>9771489009</v>
          </cell>
          <cell r="K5842" t="str">
            <v>BUDD162719</v>
          </cell>
        </row>
        <row r="5843">
          <cell r="E5843" t="str">
            <v>SHEETLA PRASAD SINGH,, MISHRA PADA, NEAR DURGA MANDIR,, JHARIA, DHANBAD - 828 111, JHARKHAND.</v>
          </cell>
          <cell r="G5843">
            <v>7644045555</v>
          </cell>
          <cell r="K5843" t="str">
            <v>BTDD162169</v>
          </cell>
        </row>
        <row r="5844">
          <cell r="E5844" t="str">
            <v>AMLO, PHUSHRO</v>
          </cell>
          <cell r="G5844">
            <v>6202842173</v>
          </cell>
          <cell r="K5844" t="str">
            <v>BJFD210601</v>
          </cell>
        </row>
        <row r="5845">
          <cell r="E5845" t="str">
            <v>BHOWRA, DHANBAD</v>
          </cell>
          <cell r="G5845">
            <v>9981519401</v>
          </cell>
          <cell r="K5845" t="str">
            <v>BTDD162192</v>
          </cell>
        </row>
        <row r="5846">
          <cell r="E5846" t="str">
            <v>UNIT OF HERITAGE LANDMARKS AUTOWORLD PVT. LTD., NEAR KAMRE AASHRAM, P.O. KAMRE, RATU ROAD, RANCHI
835214</v>
          </cell>
          <cell r="G5846">
            <v>9065521314</v>
          </cell>
          <cell r="K5846" t="str">
            <v>BTJC377158</v>
          </cell>
        </row>
        <row r="5847">
          <cell r="E5847" t="str">
            <v xml:space="preserve">M/S.AGASTYA AERO WORKS PVT LTD, BIRU,
 SIMDEGA JHARKHAND-835228
</v>
          </cell>
          <cell r="G5847">
            <v>7011785486</v>
          </cell>
          <cell r="K5847" t="str">
            <v>BUBS033764</v>
          </cell>
        </row>
        <row r="5848">
          <cell r="E5848" t="str">
            <v>MANJULA ENTERPRISES, KOKAR INDUSTRIAL AREA KOKAR</v>
          </cell>
          <cell r="G5848">
            <v>9431583027</v>
          </cell>
          <cell r="K5848" t="str">
            <v>BUFC372952</v>
          </cell>
        </row>
        <row r="5849">
          <cell r="E5849" t="str">
            <v>KHAKHSA PAHAR, PAKURIYA, PAKUR</v>
          </cell>
          <cell r="G5849">
            <v>9661732073</v>
          </cell>
          <cell r="K5849" t="str">
            <v>BUGD162826</v>
          </cell>
        </row>
        <row r="5850">
          <cell r="E5850" t="str">
            <v>AMLO, PHUSHRO</v>
          </cell>
          <cell r="G5850">
            <v>6202842173</v>
          </cell>
          <cell r="K5850" t="str">
            <v>BTKD162074</v>
          </cell>
        </row>
        <row r="5851">
          <cell r="E5851" t="str">
            <v>AMLO, PHUSHRO</v>
          </cell>
          <cell r="G5851">
            <v>6202842173</v>
          </cell>
          <cell r="K5851" t="str">
            <v>BTKD162077</v>
          </cell>
        </row>
        <row r="5852">
          <cell r="E5852" t="str">
            <v>DALADALI, RANCHI</v>
          </cell>
          <cell r="G5852">
            <v>9934169368</v>
          </cell>
          <cell r="K5852" t="str">
            <v>BVKD163010</v>
          </cell>
        </row>
        <row r="5853">
          <cell r="E5853" t="str">
            <v xml:space="preserve">TOPIN SOUTH  </v>
          </cell>
          <cell r="G5853">
            <v>9959660604</v>
          </cell>
          <cell r="K5853" t="str">
            <v>BSGD161864</v>
          </cell>
        </row>
        <row r="5854">
          <cell r="E5854" t="str">
            <v>NAGRI,RANCHI
835202
RANCHI</v>
          </cell>
          <cell r="G5854">
            <v>7004248429</v>
          </cell>
          <cell r="K5854" t="str">
            <v>BRIS035698</v>
          </cell>
        </row>
        <row r="5855">
          <cell r="E5855" t="str">
            <v>MANJULA ENTERPRISES, KOKAR INDUSTRIAL AREA KOKAR</v>
          </cell>
          <cell r="G5855">
            <v>9431583027</v>
          </cell>
          <cell r="K5855" t="str">
            <v>BUFC372952</v>
          </cell>
        </row>
        <row r="5856">
          <cell r="E5856" t="str">
            <v>HOSHIR GIDDI,RAMGARH
NEAR P.N. BANK MAIN ROAD, RAMGARH CANTT. 829122
829110</v>
          </cell>
          <cell r="G5856">
            <v>6201225253</v>
          </cell>
          <cell r="K5856" t="str">
            <v>GPJS030042</v>
          </cell>
        </row>
        <row r="5857">
          <cell r="E5857" t="str">
            <v>GHATSHILA,JAMSHEDPUR</v>
          </cell>
          <cell r="G5857">
            <v>9771489009</v>
          </cell>
          <cell r="K5857" t="str">
            <v>BUDD162719</v>
          </cell>
        </row>
        <row r="5858">
          <cell r="E5858" t="str">
            <v>RANCHI</v>
          </cell>
          <cell r="G5858">
            <v>8709406268</v>
          </cell>
          <cell r="K5858" t="str">
            <v>BKDS031405</v>
          </cell>
        </row>
        <row r="5859">
          <cell r="E5859" t="str">
            <v>C/O PALANIAPPAN CHANDRAN, KATTUKOTTAL, PAITHUR, P.O- ATTUR TK,SALEM, TAMILNADU</v>
          </cell>
          <cell r="G5859">
            <v>8809338483</v>
          </cell>
          <cell r="K5859" t="str">
            <v>BSAD230391</v>
          </cell>
        </row>
        <row r="5860">
          <cell r="E5860" t="str">
            <v>TATISAILWAI</v>
          </cell>
          <cell r="G5860">
            <v>6201580224</v>
          </cell>
          <cell r="K5860" t="str">
            <v>BQBD200008</v>
          </cell>
        </row>
        <row r="5861">
          <cell r="E5861" t="str">
            <v>LOHARDAGA,JHARKHAND
LOHARDAGA, MOB. NO.9661111900
835302
LOHARDAGA</v>
          </cell>
          <cell r="G5861">
            <v>8709406268</v>
          </cell>
          <cell r="K5861" t="str">
            <v>BQFS031084</v>
          </cell>
        </row>
        <row r="5862">
          <cell r="E5862" t="str">
            <v>NAGRI,RANCHI
835202
RANCHI</v>
          </cell>
          <cell r="G5862">
            <v>7004248429</v>
          </cell>
          <cell r="K5862">
            <v>108441</v>
          </cell>
        </row>
        <row r="5863">
          <cell r="E5863" t="str">
            <v>PLOT NO.-806, HARDAGKHUTI ROAD,RANCHI
KHUNTI ROAD HARDAG
835221</v>
          </cell>
          <cell r="G5863">
            <v>9903493509</v>
          </cell>
          <cell r="K5863" t="str">
            <v>BLGS031576</v>
          </cell>
        </row>
        <row r="5864">
          <cell r="E5864" t="str">
            <v>KASUNDA</v>
          </cell>
          <cell r="G5864">
            <v>7847053297</v>
          </cell>
          <cell r="K5864" t="str">
            <v>BRDD161023</v>
          </cell>
        </row>
        <row r="5865">
          <cell r="E5865" t="str">
            <v>TOPA MINES, RAMGARH</v>
          </cell>
          <cell r="G5865">
            <v>7857919459</v>
          </cell>
          <cell r="K5865" t="str">
            <v>BSKD161467</v>
          </cell>
        </row>
        <row r="5866">
          <cell r="E5866" t="str">
            <v>RAVULA SHYAM SUNDER REDDY, HOUSE NO. 3-5-196/1, ROAD NO. 5M, KRISHNANAGAR COLONY, MOULALI, HYDRABAD</v>
          </cell>
          <cell r="G5866">
            <v>7847053297</v>
          </cell>
          <cell r="K5866" t="str">
            <v>BTCD162162</v>
          </cell>
        </row>
        <row r="5867">
          <cell r="E5867" t="str">
            <v>LALPUR</v>
          </cell>
          <cell r="G5867"/>
          <cell r="K5867" t="str">
            <v>BVKS048013</v>
          </cell>
        </row>
        <row r="5868">
          <cell r="E5868" t="str">
            <v>BASKATOLA</v>
          </cell>
          <cell r="G5868">
            <v>9550053031</v>
          </cell>
          <cell r="K5868" t="str">
            <v>BULD162577</v>
          </cell>
        </row>
        <row r="5869">
          <cell r="E5869" t="str">
            <v>Chiturdih, Dhanbad.</v>
          </cell>
          <cell r="G5869">
            <v>9981519401</v>
          </cell>
          <cell r="K5869" t="str">
            <v>BTDD162192</v>
          </cell>
        </row>
        <row r="5870">
          <cell r="E5870" t="str">
            <v>UPPER BAZAR,RANCHI
834001
UPPER BAZAR,</v>
          </cell>
          <cell r="G5870">
            <v>8381069617</v>
          </cell>
          <cell r="K5870" t="str">
            <v>BRJC371828</v>
          </cell>
        </row>
        <row r="5871">
          <cell r="E5871" t="str">
            <v>NAMKUM INDUSTRIAL AREA,RANCHI
RANCHI
834010
INDIA</v>
          </cell>
          <cell r="G5871">
            <v>7070993638</v>
          </cell>
          <cell r="K5871" t="str">
            <v>GOCC370465</v>
          </cell>
        </row>
        <row r="5872">
          <cell r="E5872" t="str">
            <v>AT: SENEGARHA, P.O-RABODH, P.S-GIDDI,(RAMGARH),, DISTT. HAZARIBAGH,JHARKHAND-825330
829108
AT: SENEGARHA, P.O-RABODH, P.S-GIDDI,(RAMGARH),</v>
          </cell>
          <cell r="G5872">
            <v>9006877583</v>
          </cell>
          <cell r="K5872" t="str">
            <v>BRAS033261</v>
          </cell>
        </row>
        <row r="5873">
          <cell r="E5873" t="str">
            <v>TATULMURI, DHANBAD</v>
          </cell>
          <cell r="G5873">
            <v>8252097907</v>
          </cell>
          <cell r="K5873" t="str">
            <v>BUGD162852</v>
          </cell>
        </row>
        <row r="5874">
          <cell r="E5874" t="str">
            <v xml:space="preserve">TOPIN SOUTH  </v>
          </cell>
          <cell r="G5874">
            <v>9102994453</v>
          </cell>
          <cell r="K5874" t="str">
            <v>BSGD161864</v>
          </cell>
        </row>
        <row r="5875">
          <cell r="E5875" t="str">
            <v>RAMGRAH</v>
          </cell>
          <cell r="G5875">
            <v>9155799786</v>
          </cell>
          <cell r="K5875" t="str">
            <v>BVAS038005</v>
          </cell>
        </row>
        <row r="5876">
          <cell r="E5876" t="str">
            <v>TETULWARI</v>
          </cell>
          <cell r="G5876">
            <v>7805016183</v>
          </cell>
          <cell r="K5876" t="str">
            <v>BTGD162296</v>
          </cell>
        </row>
        <row r="5877">
          <cell r="E5877" t="str">
            <v>RAMGARH,JHARKHAND
829122</v>
          </cell>
          <cell r="G5877">
            <v>8016063949</v>
          </cell>
          <cell r="K5877" t="str">
            <v>BSIC376940</v>
          </cell>
        </row>
        <row r="5878">
          <cell r="E5878" t="str">
            <v>BASKATOLA</v>
          </cell>
          <cell r="G5878">
            <v>7004100652</v>
          </cell>
          <cell r="K5878" t="str">
            <v>BULD162577</v>
          </cell>
        </row>
        <row r="5879">
          <cell r="E5879" t="str">
            <v>TRIDENT PNEUMATICS PVT LTD   5/232,KNG PUDUR ROADSOMAYAMPALAYAM POSTCOIMBATORE IND</v>
          </cell>
          <cell r="G5879">
            <v>9386007608</v>
          </cell>
          <cell r="K5879" t="str">
            <v>BRCC373040</v>
          </cell>
        </row>
        <row r="5880">
          <cell r="E5880" t="str">
            <v>DALADALI, RANCHI</v>
          </cell>
          <cell r="G5880">
            <v>9934169368</v>
          </cell>
          <cell r="K5880" t="str">
            <v>BVKD163010</v>
          </cell>
        </row>
        <row r="5881">
          <cell r="E5881" t="str">
            <v>NAGRI,RANCHI
835202
RANCHI</v>
          </cell>
          <cell r="G5881">
            <v>9608884168</v>
          </cell>
          <cell r="K5881" t="str">
            <v>BIGS030904</v>
          </cell>
        </row>
        <row r="5882">
          <cell r="E5882" t="str">
            <v>KATRAS, DHANBAD</v>
          </cell>
          <cell r="G5882">
            <v>8102325605</v>
          </cell>
          <cell r="K5882" t="str">
            <v>BSGD161898</v>
          </cell>
        </row>
        <row r="5883">
          <cell r="E5883" t="str">
            <v>GROUND AND 1 ST FLOOR, BESIDE DAINIK BHASKAR, GOVINDPUR ROAD, DIST :- DHANBAD
GROUND AND 1 ST FLOOR, BESIDE DAINIK BHASKAR, GOVINDPUR ROAD, DIST :- DHANBAD
828109</v>
          </cell>
          <cell r="G5883">
            <v>8677808056</v>
          </cell>
          <cell r="K5883" t="str">
            <v>BRJC371698</v>
          </cell>
        </row>
        <row r="5884">
          <cell r="E5884" t="str">
            <v>NAGRI, RANCHI
TIKRATOLI, P.O:- NAGRI, RANCHI
834006</v>
          </cell>
          <cell r="G5884">
            <v>8002727910</v>
          </cell>
          <cell r="K5884" t="str">
            <v>BKKS030393</v>
          </cell>
        </row>
        <row r="5885">
          <cell r="E5885" t="str">
            <v>Chiturdih, Dhanbad.</v>
          </cell>
          <cell r="G5885">
            <v>9981519401</v>
          </cell>
          <cell r="K5885" t="str">
            <v>BTDD162192</v>
          </cell>
        </row>
        <row r="5886">
          <cell r="E5886" t="str">
            <v>BHOWRA, DHANBAD</v>
          </cell>
          <cell r="G5886">
            <v>6299121892</v>
          </cell>
          <cell r="K5886" t="str">
            <v>BSAD161597</v>
          </cell>
        </row>
        <row r="5887">
          <cell r="E5887" t="str">
            <v>AL-MED EQUIPMENTS
BARIATU ROAD, RANCHI
834009</v>
          </cell>
          <cell r="G5887">
            <v>8707445740</v>
          </cell>
          <cell r="K5887" t="str">
            <v>BUBS045901</v>
          </cell>
        </row>
        <row r="5888">
          <cell r="E5888" t="str">
            <v>NAGARI,</v>
          </cell>
          <cell r="G5888">
            <v>9204493506</v>
          </cell>
          <cell r="K5888" t="str">
            <v>BLGS040582</v>
          </cell>
        </row>
        <row r="5889">
          <cell r="E5889" t="str">
            <v>NAGARI,</v>
          </cell>
          <cell r="G5889">
            <v>9204493506</v>
          </cell>
          <cell r="K5889" t="str">
            <v>BILS030211</v>
          </cell>
        </row>
        <row r="5890">
          <cell r="E5890" t="str">
            <v>MANIKA</v>
          </cell>
          <cell r="G5890">
            <v>9718681124</v>
          </cell>
          <cell r="K5890" t="str">
            <v>BRLD160756</v>
          </cell>
        </row>
        <row r="5891">
          <cell r="E5891" t="str">
            <v>TUPUDANA INDUSTRIAL AREA, RANCHI
PLOT NO. 114, TUPUDANA INDUSTRIAL AREA, TUPUDANA,HATIA, RANCHI
834002
RANCHI</v>
          </cell>
          <cell r="G5891">
            <v>8709670947</v>
          </cell>
          <cell r="K5891">
            <v>123434</v>
          </cell>
        </row>
        <row r="5892">
          <cell r="E5892" t="str">
            <v>TUPUDANA INDUSTRIAL AREA, RANCHI
PLOT NO. 114, TUPUDANA INDUSTRIAL AREA, TUPUDANA,HATIA, RANCHI
834002
RANCHI</v>
          </cell>
          <cell r="G5892">
            <v>8210182306</v>
          </cell>
          <cell r="K5892" t="str">
            <v>GOKS040088</v>
          </cell>
        </row>
        <row r="5893">
          <cell r="E5893" t="str">
            <v>LOHARDAGAH</v>
          </cell>
          <cell r="G5893">
            <v>8434111029</v>
          </cell>
          <cell r="K5893" t="str">
            <v>BUFS046839</v>
          </cell>
        </row>
        <row r="5894">
          <cell r="E5894" t="str">
            <v>DHANBAD</v>
          </cell>
          <cell r="G5894">
            <v>8102325605</v>
          </cell>
          <cell r="K5894" t="str">
            <v>BTED162231</v>
          </cell>
        </row>
        <row r="5895">
          <cell r="E5895" t="str">
            <v>URMILA TOWER, ROOM NO. 805, DHANBAD</v>
          </cell>
          <cell r="G5895">
            <v>6202842173</v>
          </cell>
          <cell r="K5895" t="str">
            <v>BTKD162074</v>
          </cell>
        </row>
        <row r="5896">
          <cell r="E5896" t="str">
            <v>BHORA</v>
          </cell>
          <cell r="G5896">
            <v>9973432134</v>
          </cell>
          <cell r="K5896" t="str">
            <v>BULD162568</v>
          </cell>
        </row>
        <row r="5897">
          <cell r="E5897" t="str">
            <v>CHUTIA, RANCHI</v>
          </cell>
          <cell r="G5897">
            <v>9939622140</v>
          </cell>
          <cell r="K5897" t="str">
            <v>BUFD162814</v>
          </cell>
        </row>
        <row r="5898">
          <cell r="E5898" t="str">
            <v>NIRSA, DHANBAD</v>
          </cell>
          <cell r="G5898">
            <v>9931921808</v>
          </cell>
          <cell r="K5898" t="str">
            <v>BIED200036</v>
          </cell>
        </row>
        <row r="5899">
          <cell r="E5899" t="str">
            <v>CHAPAPUR, NIRSA</v>
          </cell>
          <cell r="G5899">
            <v>9931921808</v>
          </cell>
          <cell r="K5899" t="str">
            <v>BQED160215</v>
          </cell>
        </row>
        <row r="5900">
          <cell r="E5900" t="str">
            <v>THUMBAGARI, SATBARWA, PALAMU</v>
          </cell>
          <cell r="G5900">
            <v>7039553329</v>
          </cell>
          <cell r="K5900" t="str">
            <v>BUDC372146</v>
          </cell>
        </row>
        <row r="5901">
          <cell r="E5901" t="str">
            <v>PEPARWAR, KHILADI</v>
          </cell>
          <cell r="G5901">
            <v>9006617909</v>
          </cell>
          <cell r="K5901" t="str">
            <v>BRKD220111</v>
          </cell>
        </row>
        <row r="5902">
          <cell r="E5902" t="str">
            <v>DALTAINGANJ</v>
          </cell>
          <cell r="G5902">
            <v>7039553329</v>
          </cell>
          <cell r="K5902" t="str">
            <v>BVBF111508</v>
          </cell>
        </row>
        <row r="5903">
          <cell r="E5903" t="str">
            <v>KRISHNA NAGAR, BOOTY MORE, RANCHI</v>
          </cell>
          <cell r="G5903">
            <v>8877100129</v>
          </cell>
          <cell r="K5903" t="str">
            <v>BUES034926</v>
          </cell>
        </row>
        <row r="5904">
          <cell r="E5904" t="str">
            <v>BHULI DHANBAD</v>
          </cell>
          <cell r="G5904">
            <v>7004387228</v>
          </cell>
          <cell r="K5904" t="str">
            <v>BQED160244</v>
          </cell>
        </row>
        <row r="5905">
          <cell r="E5905" t="str">
            <v>BOKARO, DHANBAD</v>
          </cell>
          <cell r="G5905">
            <v>7004387228</v>
          </cell>
          <cell r="K5905" t="str">
            <v>BQID160467</v>
          </cell>
        </row>
        <row r="5906">
          <cell r="E5906" t="str">
            <v>ORMANJHI,RANCHI
835219</v>
          </cell>
          <cell r="G5906">
            <v>8210259768</v>
          </cell>
          <cell r="K5906" t="str">
            <v>BSGC376577</v>
          </cell>
        </row>
        <row r="5907">
          <cell r="E5907" t="str">
            <v>UNIT OF HERITAGE LANDMARKS AUTOWORLD PVT. LTD., NEAR KAMRE AASHRAM, P.O. KAMRE, RATU ROAD, RANCHI
835214</v>
          </cell>
          <cell r="G5907">
            <v>9297895334</v>
          </cell>
          <cell r="K5907" t="str">
            <v>BTJC377158</v>
          </cell>
        </row>
        <row r="5908">
          <cell r="E5908" t="str">
            <v>MANDU, RAMGARH
JAISWAL COLONY, THANA CHOW,, RAMGARH CANTT. DIST. RAMGARH, JHARKHAND
825316
MANDU</v>
          </cell>
          <cell r="G5908">
            <v>9361106140</v>
          </cell>
          <cell r="K5908" t="str">
            <v>BSGS043528</v>
          </cell>
        </row>
        <row r="5909">
          <cell r="E5909" t="str">
            <v>KHURPANIA, KHASHMAHAL, PHUSHRO</v>
          </cell>
          <cell r="G5909">
            <v>8084594544</v>
          </cell>
          <cell r="K5909" t="str">
            <v>BTHD162350</v>
          </cell>
        </row>
        <row r="5910">
          <cell r="E5910" t="str">
            <v>CHUTIA, RANCHI</v>
          </cell>
          <cell r="G5910">
            <v>9939622140</v>
          </cell>
          <cell r="K5910" t="str">
            <v>BUFD162814</v>
          </cell>
        </row>
        <row r="5911">
          <cell r="E5911" t="str">
            <v>BENIDIH</v>
          </cell>
          <cell r="G5911">
            <v>9006617909</v>
          </cell>
          <cell r="K5911" t="str">
            <v>BPGD220036</v>
          </cell>
        </row>
        <row r="5912">
          <cell r="E5912" t="str">
            <v>PEPARWAR, KHILADI</v>
          </cell>
          <cell r="G5912">
            <v>9006617909</v>
          </cell>
          <cell r="K5912" t="str">
            <v>BRKD220111</v>
          </cell>
        </row>
        <row r="5913">
          <cell r="E5913" t="str">
            <v>NAMKUN INDUSTRIAL AREA,RANCHI
834010</v>
          </cell>
          <cell r="G5913">
            <v>8340452790</v>
          </cell>
          <cell r="K5913" t="str">
            <v>BUDS034771</v>
          </cell>
        </row>
        <row r="5914">
          <cell r="E5914" t="str">
            <v>SADAR HOSPITAL, LATEHAR, C/O L &amp; T LTD. LATEHAR, JHARKHAND
C/O L &amp; T LTD. BOKARO, JHARKHAND
000000</v>
          </cell>
          <cell r="G5914">
            <v>7991105505</v>
          </cell>
          <cell r="K5914" t="str">
            <v>BUCS046173</v>
          </cell>
        </row>
        <row r="5915">
          <cell r="E5915" t="str">
            <v>SADAR HOSPITAL, LATEHAR, C/O L &amp; T LTD. LATEHAR, JHARKHAND
C/O L &amp; T LTD. BOKARO, JHARKHAND
000000</v>
          </cell>
          <cell r="G5915">
            <v>6206408130</v>
          </cell>
          <cell r="K5915" t="str">
            <v>BUCS046101</v>
          </cell>
        </row>
        <row r="5916">
          <cell r="E5916" t="str">
            <v>KOKAR,INDUSTRIAL AREA,RANCHI
834002
RANCHI</v>
          </cell>
          <cell r="G5916">
            <v>7781017919</v>
          </cell>
          <cell r="K5916" t="str">
            <v>BMKC370048</v>
          </cell>
        </row>
        <row r="5917">
          <cell r="E5917" t="str">
            <v>KATHITAR,RANCHI
KATHITAR,RANCHI
834004
KATHITAR,</v>
          </cell>
          <cell r="G5917">
            <v>6203721760</v>
          </cell>
          <cell r="K5917" t="str">
            <v>BSFC376340</v>
          </cell>
        </row>
        <row r="5918">
          <cell r="E5918" t="str">
            <v>DALTONGANJ</v>
          </cell>
          <cell r="G5918">
            <v>8757260073</v>
          </cell>
          <cell r="K5918" t="str">
            <v>BUBS045955</v>
          </cell>
        </row>
        <row r="5919">
          <cell r="E5919" t="str">
            <v>DALTONGANJ</v>
          </cell>
          <cell r="G5919">
            <v>8757260073</v>
          </cell>
          <cell r="K5919" t="str">
            <v>BUBS045965</v>
          </cell>
        </row>
        <row r="5920">
          <cell r="E5920" t="str">
            <v>C/O - SUJIT KUMAR, SAHAJANAND NAGAR, H. NO. -121, RANI ROAD, BHUDA, BARMASIA,, DHANBAD</v>
          </cell>
          <cell r="G5920">
            <v>9263996999</v>
          </cell>
          <cell r="K5920" t="str">
            <v>BTED200706</v>
          </cell>
        </row>
        <row r="5921">
          <cell r="E5921" t="str">
            <v>CHAKARDHARPUR, JHARKHAND</v>
          </cell>
          <cell r="G5921">
            <v>8639995694</v>
          </cell>
          <cell r="K5921" t="str">
            <v>BSJD161422</v>
          </cell>
        </row>
        <row r="5922">
          <cell r="E5922" t="str">
            <v>HORHAP ROAD, MAHILONG, RANCHI
835103</v>
          </cell>
          <cell r="G5922">
            <v>9708039203</v>
          </cell>
          <cell r="K5922" t="str">
            <v>BRIC374329</v>
          </cell>
        </row>
        <row r="5923">
          <cell r="E5923" t="str">
            <v>RAMGARH CANTT, RAMGARH
RAMGARH
829122
RAMGARH</v>
          </cell>
          <cell r="G5923">
            <v>9576833882</v>
          </cell>
          <cell r="K5923" t="str">
            <v>BNKS030423</v>
          </cell>
        </row>
        <row r="5924">
          <cell r="E5924" t="str">
            <v>SHEETLA PRASAD SINGH,, MISHRA PADA, NEAR DURGA MANDIR,, JHARIA, DHANBAD - 828 111, JHARKHAND.</v>
          </cell>
          <cell r="G5924">
            <v>7644045555</v>
          </cell>
          <cell r="K5924" t="str">
            <v>BTCD162149</v>
          </cell>
        </row>
        <row r="5925">
          <cell r="E5925" t="str">
            <v>SHEETLA PRASAD SINGH,, MISHRA PADA, NEAR DURGA MANDIR,, JHARIA, DHANBAD - 828 111, JHARKHAND.</v>
          </cell>
          <cell r="G5925">
            <v>7644045555</v>
          </cell>
          <cell r="K5925" t="str">
            <v>BTDD162169</v>
          </cell>
        </row>
        <row r="5926">
          <cell r="E5926" t="str">
            <v>SHEETLA PRASAD SINGH,, MISHRA PADA, NEAR DURGA MANDIR,, JHARIA, DHANBAD - 828 111, JHARKHAND.</v>
          </cell>
          <cell r="G5926">
            <v>7644045555</v>
          </cell>
          <cell r="K5926" t="str">
            <v>BTKD162112</v>
          </cell>
        </row>
        <row r="5927">
          <cell r="E5927" t="str">
            <v>DHANBAD</v>
          </cell>
          <cell r="G5927">
            <v>9550053031</v>
          </cell>
          <cell r="K5927" t="str">
            <v>BTDD162186</v>
          </cell>
        </row>
        <row r="5928">
          <cell r="E5928" t="str">
            <v>SARNATOLI,ANGADA,RANCHI
835222</v>
          </cell>
          <cell r="G5928">
            <v>9798563448</v>
          </cell>
          <cell r="K5928" t="str">
            <v>BOGC370193</v>
          </cell>
        </row>
        <row r="5929">
          <cell r="E5929" t="str">
            <v>BASTAWLA DHANBAD</v>
          </cell>
          <cell r="G5929">
            <v>6266983257</v>
          </cell>
          <cell r="K5929" t="str">
            <v>BTJD162046</v>
          </cell>
        </row>
        <row r="5930">
          <cell r="E5930" t="str">
            <v>BHORA</v>
          </cell>
          <cell r="G5930">
            <v>9973432134</v>
          </cell>
          <cell r="K5930" t="str">
            <v>BULD162568</v>
          </cell>
        </row>
        <row r="5931">
          <cell r="E5931" t="str">
            <v>JHARKHAND</v>
          </cell>
          <cell r="G5931">
            <v>9555053031</v>
          </cell>
          <cell r="K5931" t="str">
            <v>BQJD160040</v>
          </cell>
        </row>
        <row r="5932">
          <cell r="E5932" t="str">
            <v>RANCHI PATNA ROAD
DEMOTAND
825301
HAZARIBAGH</v>
          </cell>
          <cell r="G5932">
            <v>6203465926</v>
          </cell>
          <cell r="K5932" t="str">
            <v>BSCS037531</v>
          </cell>
        </row>
        <row r="5933">
          <cell r="E5933" t="str">
            <v>SHEIKHPURA, BIHAR</v>
          </cell>
          <cell r="G5933">
            <v>6202016835</v>
          </cell>
          <cell r="K5933" t="str">
            <v>BUAL160593</v>
          </cell>
        </row>
        <row r="5934">
          <cell r="E5934" t="str">
            <v>SADAR HOSPITAL, BOKARO, C/O L &amp; T LTD. BOKARO, JHARKHAND
C/O L &amp; T LTD. BOKARO, JHARKHAND
000000</v>
          </cell>
          <cell r="G5934">
            <v>7654511684</v>
          </cell>
          <cell r="K5934" t="str">
            <v>BUBS045931</v>
          </cell>
        </row>
        <row r="5935">
          <cell r="E5935" t="str">
            <v>SADAR HOSPITAL, BOKARO, C/O L &amp; T LTD. BOKARO, JHARKHAND
C/O L &amp; T LTD. BOKARO, JHARKHAND
000000</v>
          </cell>
          <cell r="G5935">
            <v>7654511684</v>
          </cell>
          <cell r="K5935" t="str">
            <v>BUBS045933</v>
          </cell>
        </row>
        <row r="5936">
          <cell r="E5936" t="str">
            <v>BASTAKOLA, DHANBAD</v>
          </cell>
          <cell r="G5936">
            <v>9550053031</v>
          </cell>
          <cell r="K5936" t="str">
            <v>BUKD162535</v>
          </cell>
        </row>
        <row r="5937">
          <cell r="E5937" t="str">
            <v>DALADALI, RANCHI</v>
          </cell>
          <cell r="G5937">
            <v>9199364073</v>
          </cell>
          <cell r="K5937" t="str">
            <v>BVKD163010</v>
          </cell>
        </row>
        <row r="5938">
          <cell r="E5938" t="str">
            <v>MURHU
C/O ASHISH SABOO, MURHU, DIST- KHUNTI
835216</v>
          </cell>
          <cell r="G5938">
            <v>8862826990</v>
          </cell>
          <cell r="K5938" t="str">
            <v>BTLC377591</v>
          </cell>
        </row>
        <row r="5939">
          <cell r="E5939" t="str">
            <v>BASKATOLA</v>
          </cell>
          <cell r="G5939">
            <v>9550053031</v>
          </cell>
          <cell r="K5939" t="str">
            <v>BULD162577</v>
          </cell>
        </row>
        <row r="5940">
          <cell r="E5940" t="str">
            <v>BASTAKOLA, DHANBAD</v>
          </cell>
          <cell r="G5940">
            <v>7667296002</v>
          </cell>
          <cell r="K5940" t="str">
            <v>BQKD160099</v>
          </cell>
        </row>
        <row r="5941">
          <cell r="E5941" t="str">
            <v>BERA, DHANBAD</v>
          </cell>
          <cell r="G5941">
            <v>9905338679</v>
          </cell>
          <cell r="K5941" t="str">
            <v>BUAD162634</v>
          </cell>
        </row>
        <row r="5942">
          <cell r="E5942" t="str">
            <v>BASTAWLA DHANBAD</v>
          </cell>
          <cell r="G5942">
            <v>9905338679</v>
          </cell>
          <cell r="K5942" t="str">
            <v>BUAD162630</v>
          </cell>
        </row>
        <row r="5943">
          <cell r="E5943" t="str">
            <v>DUMKA</v>
          </cell>
          <cell r="G5943">
            <v>9713448619</v>
          </cell>
          <cell r="K5943" t="str">
            <v>BVJS036881</v>
          </cell>
        </row>
        <row r="5944">
          <cell r="E5944" t="str">
            <v>C/O - SUJIT KUMAR, SAHAJANAND NAGAR, H. NO. -121, RANI ROAD, BHUDA, BARMASIA,, DHANBAD</v>
          </cell>
          <cell r="G5944">
            <v>9263996999</v>
          </cell>
          <cell r="K5944" t="str">
            <v>BTED200706</v>
          </cell>
        </row>
        <row r="5945">
          <cell r="E5945" t="str">
            <v>NAWADA, BIHAR</v>
          </cell>
          <cell r="G5945">
            <v>9304172201</v>
          </cell>
          <cell r="K5945" t="str">
            <v>BUAL160585</v>
          </cell>
        </row>
        <row r="5946">
          <cell r="E5946" t="str">
            <v>KARANPURA, TANDWA, CHANDWA</v>
          </cell>
          <cell r="G5946">
            <v>7001583081</v>
          </cell>
          <cell r="K5946" t="str">
            <v>BRKS041124</v>
          </cell>
        </row>
        <row r="5947">
          <cell r="E5947" t="str">
            <v>KARANPURA, TANDWA, CHANDWA</v>
          </cell>
          <cell r="G5947">
            <v>7001583081</v>
          </cell>
          <cell r="K5947" t="str">
            <v>BRKS041128</v>
          </cell>
        </row>
        <row r="5948">
          <cell r="E5948" t="str">
            <v>BASKATOLA</v>
          </cell>
          <cell r="G5948">
            <v>9550053031</v>
          </cell>
          <cell r="K5948" t="str">
            <v>BULD162577</v>
          </cell>
        </row>
        <row r="5949">
          <cell r="E5949" t="str">
            <v>SARNATOLI,ANGADA,RANCHI
835222</v>
          </cell>
          <cell r="G5949">
            <v>9110012919</v>
          </cell>
          <cell r="K5949" t="str">
            <v>BSAF110719</v>
          </cell>
        </row>
        <row r="5950">
          <cell r="E5950" t="str">
            <v>SARNATOLI,ANGADA,RANCHI
835222</v>
          </cell>
          <cell r="G5950">
            <v>9110012919</v>
          </cell>
          <cell r="K5950" t="str">
            <v>BOGC370193</v>
          </cell>
        </row>
        <row r="5951">
          <cell r="E5951" t="str">
            <v>PATRATU</v>
          </cell>
          <cell r="G5951" t="str">
            <v>-</v>
          </cell>
          <cell r="K5951" t="str">
            <v>EVKS047996</v>
          </cell>
        </row>
        <row r="5952">
          <cell r="E5952" t="str">
            <v>RATANPUR,DHANBAD
828109</v>
          </cell>
          <cell r="G5952">
            <v>9031029501</v>
          </cell>
          <cell r="K5952" t="str">
            <v>BTLC377584</v>
          </cell>
        </row>
        <row r="5953">
          <cell r="E5953" t="str">
            <v>HAZARIBAGH,  HAZARIBAGH, JHARKHAND 825301</v>
          </cell>
          <cell r="G5953">
            <v>9031303137</v>
          </cell>
          <cell r="K5953" t="str">
            <v>BUAS033747</v>
          </cell>
        </row>
        <row r="5954">
          <cell r="E5954" t="str">
            <v>GOMO, DHANBAD</v>
          </cell>
          <cell r="G5954">
            <v>9771445132</v>
          </cell>
          <cell r="K5954" t="str">
            <v>EUCS034229</v>
          </cell>
        </row>
        <row r="5955">
          <cell r="E5955" t="str">
            <v>HAZARIBAGH,  HAZARIBAGH, JHARKHAND 825301</v>
          </cell>
          <cell r="G5955">
            <v>9031303137</v>
          </cell>
          <cell r="K5955" t="str">
            <v>BUCS034128</v>
          </cell>
        </row>
        <row r="5956">
          <cell r="E5956" t="str">
            <v>TATULMURI, DHANBAD</v>
          </cell>
          <cell r="G5956">
            <v>6203273412</v>
          </cell>
          <cell r="K5956" t="str">
            <v>BUGD162852</v>
          </cell>
        </row>
        <row r="5957">
          <cell r="E5957" t="str">
            <v>WARD NO. 15, GUMO  BARWADIH
JHUMRITILAIYA KODERMA
000000</v>
          </cell>
          <cell r="G5957">
            <v>8826239175</v>
          </cell>
          <cell r="K5957" t="str">
            <v>BUDC372326</v>
          </cell>
        </row>
        <row r="5958">
          <cell r="E5958" t="str">
            <v>RAVULA SHYAM SUNDER REDDY, HOUSE NO. 3-5-196/1, ROAD NO. 5M, KRISHNANAGAR COLONY, MOULALI, HYDRABAD</v>
          </cell>
          <cell r="G5958">
            <v>7847053297</v>
          </cell>
          <cell r="K5958" t="str">
            <v>BTCD162162</v>
          </cell>
        </row>
        <row r="5959">
          <cell r="E5959" t="str">
            <v>VILLAGE - PANDRA
P.O. - KANKE
835222</v>
          </cell>
          <cell r="G5959">
            <v>8476880297</v>
          </cell>
          <cell r="K5959" t="str">
            <v>BUJS032230</v>
          </cell>
        </row>
        <row r="5960">
          <cell r="E5960" t="str">
            <v>CHUTIA, RANCHI</v>
          </cell>
          <cell r="G5960">
            <v>9939622140</v>
          </cell>
          <cell r="K5960" t="str">
            <v>BUFD162814</v>
          </cell>
        </row>
        <row r="5961">
          <cell r="E5961" t="str">
            <v>BASKATOLA</v>
          </cell>
          <cell r="G5961">
            <v>9550053031</v>
          </cell>
          <cell r="K5961" t="str">
            <v>BULD162577</v>
          </cell>
        </row>
        <row r="5962">
          <cell r="E5962" t="str">
            <v>RAMGRAH</v>
          </cell>
          <cell r="G5962">
            <v>8280104133</v>
          </cell>
          <cell r="K5962" t="str">
            <v>BQIS040809</v>
          </cell>
        </row>
        <row r="5963">
          <cell r="E5963" t="str">
            <v>TATISILWAY</v>
          </cell>
          <cell r="G5963">
            <v>6201580224</v>
          </cell>
          <cell r="K5963" t="str">
            <v>BQBD200003</v>
          </cell>
        </row>
        <row r="5964">
          <cell r="E5964" t="str">
            <v>TETULWARI</v>
          </cell>
          <cell r="G5964">
            <v>9835747740</v>
          </cell>
          <cell r="K5964" t="str">
            <v>BTGD162296</v>
          </cell>
        </row>
        <row r="5965">
          <cell r="E5965" t="str">
            <v>NAMKUM INDUSTRIAL AREA,RANCHI
834010</v>
          </cell>
          <cell r="G5965">
            <v>9386408111</v>
          </cell>
          <cell r="K5965" t="str">
            <v>BRHS035337</v>
          </cell>
        </row>
        <row r="5966">
          <cell r="E5966" t="str">
            <v>NAMKUM INDUSTRIAL AREA,RANCHI
834010</v>
          </cell>
          <cell r="G5966">
            <v>9386408111</v>
          </cell>
          <cell r="K5966" t="str">
            <v>GOCC370403</v>
          </cell>
        </row>
        <row r="5967">
          <cell r="E5967" t="str">
            <v>TANDWA</v>
          </cell>
          <cell r="G5967">
            <v>9523233640</v>
          </cell>
          <cell r="K5967" t="str">
            <v>BUFC372970</v>
          </cell>
        </row>
        <row r="5968">
          <cell r="E5968" t="str">
            <v>PLOT NO. 148, TUPUDANA, INDUSTRIAL AREA, HATIA, RANCHI
834002</v>
          </cell>
          <cell r="G5968">
            <v>9534249500</v>
          </cell>
          <cell r="K5968" t="str">
            <v>BSLS036682</v>
          </cell>
        </row>
        <row r="5969">
          <cell r="E5969" t="str">
            <v>Chiturdih, Dhanbad.</v>
          </cell>
          <cell r="G5969">
            <v>9981519401</v>
          </cell>
          <cell r="K5969" t="str">
            <v>BTDD162192</v>
          </cell>
        </row>
        <row r="5970">
          <cell r="E5970" t="str">
            <v>BHOWRA</v>
          </cell>
          <cell r="G5970">
            <v>6207280765</v>
          </cell>
          <cell r="K5970" t="str">
            <v>BUDD162713</v>
          </cell>
        </row>
        <row r="5971">
          <cell r="E5971" t="str">
            <v>PATRATU</v>
          </cell>
          <cell r="G5971"/>
          <cell r="K5971" t="str">
            <v>EVKS047996</v>
          </cell>
        </row>
        <row r="5972">
          <cell r="E5972" t="str">
            <v>GROUND FLOOR, 8H AND 81, NATION PRINTERS, NAMKUM INDUSTRIAL AREA,, LOWADIH, RANCHI
GROUND FLOOR, 8H AND 81, NATION PRINTERS, NAMKUM INDUSTRIAL AREA,, LOWADIH, RANCHI
834010</v>
          </cell>
          <cell r="G5972">
            <v>9709225271</v>
          </cell>
          <cell r="K5972" t="str">
            <v>BRFC373676</v>
          </cell>
        </row>
        <row r="5973">
          <cell r="E5973" t="str">
            <v>GROUND FLOOR, 8H AND 81, NATION PRINTERS, NAMKUM INDUSTRIAL AREA,, LOWADIH, RANCHI
GROUND FLOOR, 8H AND 81, NATION PRINTERS, NAMKUM INDUSTRIAL AREA,, LOWADIH, RANCHI
834010</v>
          </cell>
          <cell r="G5973">
            <v>9709225271</v>
          </cell>
          <cell r="K5973" t="str">
            <v>BRCC372871</v>
          </cell>
        </row>
        <row r="5974">
          <cell r="E5974" t="str">
            <v>1ST FLOOR, RAJ GLASS AND HARDWARE, PISKA MORE, PO - HEHEL, RATU ROAD, RANCHI
1ST FLOOR, RAJ GLASS AND HARDWARE, PISKA MORE, PO - HEHEL, RATU ROAD, RANCHI
835214</v>
          </cell>
          <cell r="G5974">
            <v>7999889085</v>
          </cell>
          <cell r="K5974" t="str">
            <v>BTES044431</v>
          </cell>
        </row>
        <row r="5975">
          <cell r="E5975" t="str">
            <v>RAVULA SHYAM SUNDER REDDY, HOUSE NO. 3-5-196/1, ROAD NO. 5M, KRISHNANAGAR COLONY, MOULALI, HYDRABAD</v>
          </cell>
          <cell r="G5975">
            <v>7847053297</v>
          </cell>
          <cell r="K5975" t="str">
            <v>BTCD162162</v>
          </cell>
        </row>
        <row r="5976">
          <cell r="E5976" t="str">
            <v>DHANBAD</v>
          </cell>
          <cell r="G5976">
            <v>8102325605</v>
          </cell>
          <cell r="K5976" t="str">
            <v>BSGD161904</v>
          </cell>
        </row>
        <row r="5977">
          <cell r="E5977" t="str">
            <v>DHANBAD</v>
          </cell>
          <cell r="G5977">
            <v>8102325605</v>
          </cell>
          <cell r="K5977" t="str">
            <v>BTED162231</v>
          </cell>
        </row>
        <row r="5978">
          <cell r="E5978" t="str">
            <v>KASUNDA</v>
          </cell>
          <cell r="G5978">
            <v>7847053297</v>
          </cell>
          <cell r="K5978" t="str">
            <v>BRDD161023</v>
          </cell>
        </row>
        <row r="5979">
          <cell r="E5979" t="str">
            <v>GARHWA DALTONGANJ</v>
          </cell>
          <cell r="G5979">
            <v>7488289727</v>
          </cell>
          <cell r="K5979" t="str">
            <v>BSAD161582</v>
          </cell>
        </row>
        <row r="5980">
          <cell r="E5980" t="str">
            <v>JASIDIH, DEOGHAR
814142</v>
          </cell>
          <cell r="G5980">
            <v>9431794976</v>
          </cell>
          <cell r="K5980" t="str">
            <v>BSBC375571</v>
          </cell>
        </row>
        <row r="5981">
          <cell r="E5981" t="str">
            <v>HORHAP ROAD, MAHILONG, RANCHI
835103</v>
          </cell>
          <cell r="G5981">
            <v>9708039203</v>
          </cell>
          <cell r="K5981" t="str">
            <v>BRIC374329</v>
          </cell>
        </row>
        <row r="5982">
          <cell r="E5982" t="str">
            <v>TATISIWAI INDUSTRIAL AREA, RANCHI
835103
TATISILWAY RANCHI</v>
          </cell>
          <cell r="G5982">
            <v>9934854302</v>
          </cell>
          <cell r="K5982" t="str">
            <v>BSAS036958</v>
          </cell>
        </row>
        <row r="5983">
          <cell r="E5983" t="str">
            <v>ASHOKA PROJECT PIPARWAR</v>
          </cell>
          <cell r="G5983">
            <v>9102400908</v>
          </cell>
          <cell r="K5983" t="str">
            <v>BUID162912</v>
          </cell>
        </row>
        <row r="5984">
          <cell r="E5984" t="str">
            <v>DHANBAD</v>
          </cell>
          <cell r="G5984">
            <v>7847053297</v>
          </cell>
          <cell r="K5984" t="str">
            <v>BVKD163026</v>
          </cell>
        </row>
        <row r="5985">
          <cell r="E5985" t="str">
            <v>TETULWARI</v>
          </cell>
          <cell r="G5985">
            <v>9835747740</v>
          </cell>
          <cell r="K5985" t="str">
            <v>BTGD162296</v>
          </cell>
        </row>
        <row r="5986">
          <cell r="E5986" t="str">
            <v>RAMGARH,JHARKHAND
825101
RAMGARH</v>
          </cell>
          <cell r="G5986">
            <v>6201431636</v>
          </cell>
          <cell r="K5986" t="str">
            <v>BSGC376585</v>
          </cell>
        </row>
        <row r="5987">
          <cell r="E5987" t="str">
            <v>SHEKHPURA, BIHAR</v>
          </cell>
          <cell r="G5987">
            <v>9304172201</v>
          </cell>
          <cell r="K5987" t="str">
            <v>BULL160564</v>
          </cell>
        </row>
        <row r="5988">
          <cell r="E5988" t="str">
            <v>MOHAMAD ARIF ZAFAR
KHATA NO. 27, PLOT NO. 37, RIT ROAD, CHHATARBAR, JHUMRITILAIYA
825409</v>
          </cell>
          <cell r="G5988">
            <v>9555858880</v>
          </cell>
          <cell r="K5988" t="str">
            <v>BUAC371371</v>
          </cell>
        </row>
        <row r="5989">
          <cell r="E5989" t="str">
            <v>UNIT OF HERITAGE LANDMARKS AUTOWORLD PVT. LTD., NEAR KAMRE AASHRAM, P.O. KAMRE, RATU ROAD, RANCHI
835214</v>
          </cell>
          <cell r="G5989">
            <v>9297895334</v>
          </cell>
          <cell r="K5989" t="str">
            <v>BTJC377158</v>
          </cell>
        </row>
        <row r="5990">
          <cell r="E5990" t="str">
            <v>DEMOTAR, HAZARIBAGH</v>
          </cell>
          <cell r="G5990">
            <v>9123165040</v>
          </cell>
          <cell r="K5990" t="str">
            <v>BJGS040653</v>
          </cell>
        </row>
        <row r="5991">
          <cell r="E5991" t="str">
            <v>BALUMATH, LATEHAR</v>
          </cell>
          <cell r="G5991">
            <v>9949777444</v>
          </cell>
          <cell r="K5991" t="str">
            <v>BSJD161380</v>
          </cell>
        </row>
        <row r="5992">
          <cell r="E5992" t="str">
            <v>sanatorium itki Ranchi, post itk</v>
          </cell>
          <cell r="G5992">
            <v>7011745486</v>
          </cell>
          <cell r="K5992" t="str">
            <v>BUCS046063</v>
          </cell>
        </row>
        <row r="5993">
          <cell r="E5993" t="str">
            <v>TIPUDANA RANCHI</v>
          </cell>
          <cell r="G5993">
            <v>9334745488</v>
          </cell>
          <cell r="K5993" t="str">
            <v>BPBD200118</v>
          </cell>
        </row>
        <row r="5994">
          <cell r="E5994" t="str">
            <v>DHANBAD</v>
          </cell>
          <cell r="G5994">
            <v>7847053297</v>
          </cell>
          <cell r="K5994" t="str">
            <v>BVKD163026</v>
          </cell>
        </row>
        <row r="5995">
          <cell r="E5995" t="str">
            <v>BARWADIH, LATEHAR</v>
          </cell>
          <cell r="G5995">
            <v>8700673588</v>
          </cell>
          <cell r="K5995" t="str">
            <v>EUES046621</v>
          </cell>
        </row>
        <row r="5996">
          <cell r="E5996" t="str">
            <v>RAMGARH CANTT, RAMGARH
RAMGARH
829122
RAMGARH</v>
          </cell>
          <cell r="G5996">
            <v>9576833882</v>
          </cell>
          <cell r="K5996" t="str">
            <v>BNKS030423</v>
          </cell>
        </row>
        <row r="5997">
          <cell r="E5997" t="str">
            <v>CHANDIL JSR</v>
          </cell>
          <cell r="G5997">
            <v>7541959323</v>
          </cell>
          <cell r="K5997" t="str">
            <v>BQJC370029</v>
          </cell>
        </row>
        <row r="5998">
          <cell r="E5998" t="str">
            <v>CHANDIL JSR</v>
          </cell>
          <cell r="G5998">
            <v>9835829141</v>
          </cell>
          <cell r="K5998" t="str">
            <v>BSEC376227</v>
          </cell>
        </row>
        <row r="5999">
          <cell r="E5999" t="str">
            <v>GANGA BRIDGE, BAKHTIYARPUR, PATNA</v>
          </cell>
          <cell r="G5999">
            <v>8544557188</v>
          </cell>
          <cell r="K5999" t="str">
            <v>BULD121094</v>
          </cell>
        </row>
        <row r="6000">
          <cell r="E6000" t="str">
            <v>GANGA BRIDGE PROJECT, BAKHTIYARPR</v>
          </cell>
          <cell r="G6000">
            <v>8544557188</v>
          </cell>
          <cell r="K6000" t="str">
            <v>BULD221094</v>
          </cell>
        </row>
        <row r="6001">
          <cell r="E6001" t="str">
            <v>DHANBAD</v>
          </cell>
          <cell r="G6001">
            <v>7847053297</v>
          </cell>
          <cell r="K6001" t="str">
            <v>BVKD163026</v>
          </cell>
        </row>
        <row r="6002">
          <cell r="E6002" t="str">
            <v>DHANBAD</v>
          </cell>
          <cell r="G6002">
            <v>8210106692</v>
          </cell>
          <cell r="K6002" t="str">
            <v>BTFD162244</v>
          </cell>
        </row>
        <row r="6003">
          <cell r="E6003" t="str">
            <v>CHUTIA, RANCHI</v>
          </cell>
          <cell r="G6003">
            <v>8292766229</v>
          </cell>
          <cell r="K6003" t="str">
            <v>BVKC374485</v>
          </cell>
        </row>
        <row r="6004">
          <cell r="E6004" t="str">
            <v>GHATSHILA,JAMSHEDPUR</v>
          </cell>
          <cell r="G6004">
            <v>7992362488</v>
          </cell>
          <cell r="K6004" t="str">
            <v>BPED200187</v>
          </cell>
        </row>
        <row r="6005">
          <cell r="E6005" t="str">
            <v>DEMOTAR, HAZARIBAGH</v>
          </cell>
          <cell r="G6005">
            <v>9304907237</v>
          </cell>
          <cell r="K6005" t="str">
            <v>BJGS040653</v>
          </cell>
        </row>
        <row r="6006">
          <cell r="E6006" t="str">
            <v>B7-PHASE-3, BALIDIH INDUSTRIAL AREA BALIDIH, BOKARO STEEL CITY BOKARO, JHARKHAND
SUNDARAM STEELS PVT. LTD, B-7 PHASE-III,BOKARO INDUSTRIAL AREA,BALIDIH, BOKARO
827014</v>
          </cell>
          <cell r="G6006">
            <v>9955777717</v>
          </cell>
          <cell r="K6006" t="str">
            <v>BTHS031467</v>
          </cell>
        </row>
        <row r="6007">
          <cell r="E6007" t="str">
            <v>THUMBAGARA SATBARWA PALAMU</v>
          </cell>
          <cell r="G6007">
            <v>7039553329</v>
          </cell>
          <cell r="K6007" t="str">
            <v>BVBF111508</v>
          </cell>
        </row>
        <row r="6008">
          <cell r="E6008" t="str">
            <v>NAYA MORE,RAMGARH
ARA SARU BERA ROAD, NAYA, RAMGARH,JHARKHAND
829110
NAYA MORE</v>
          </cell>
          <cell r="G6008">
            <v>8271433755</v>
          </cell>
          <cell r="K6008" t="str">
            <v>BQBS033796</v>
          </cell>
        </row>
        <row r="6009">
          <cell r="E6009" t="str">
            <v>GANGA BRIDGE, BAKHTIYARPUR, PATNA</v>
          </cell>
          <cell r="G6009">
            <v>8544557188</v>
          </cell>
          <cell r="K6009" t="str">
            <v>BTDD120878</v>
          </cell>
        </row>
        <row r="6010">
          <cell r="E6010" t="str">
            <v>GANGA BRIDGE, BAKHTIYARPUR, PATNA</v>
          </cell>
          <cell r="G6010">
            <v>8544557188</v>
          </cell>
          <cell r="K6010" t="str">
            <v>BTHD120963</v>
          </cell>
        </row>
        <row r="6011">
          <cell r="E6011" t="str">
            <v>C/O - PREM PRAKASH AGARWAL, OPP - HILLVIEW FUEL STATION, GODHUR, P.O - KUSUNDA, DHANBAD</v>
          </cell>
          <cell r="G6011">
            <v>7295943617</v>
          </cell>
          <cell r="K6011" t="str">
            <v>BTED162217</v>
          </cell>
        </row>
        <row r="6012">
          <cell r="E6012" t="str">
            <v>C/O - PREM PRAKASH AGARWAL, OPP - HILLVIEW FUEL STATION, GODHUR, P.O - KUSUNDA, DHANBAD</v>
          </cell>
          <cell r="G6012">
            <v>7295943617</v>
          </cell>
          <cell r="K6012" t="str">
            <v>BTED162217</v>
          </cell>
        </row>
        <row r="6013">
          <cell r="E6013" t="str">
            <v>JHARIA, DHANBAD</v>
          </cell>
          <cell r="G6013">
            <v>7873039065</v>
          </cell>
          <cell r="K6013" t="str">
            <v>BRHD161304</v>
          </cell>
        </row>
        <row r="6014">
          <cell r="E6014" t="str">
            <v>GHATSILA, JAMSHEDPUR</v>
          </cell>
          <cell r="G6014">
            <v>7992363488</v>
          </cell>
          <cell r="K6014" t="str">
            <v>BPED200187</v>
          </cell>
        </row>
        <row r="6015">
          <cell r="E6015" t="str">
            <v>KOKAR INDUSTRIAL AREA,RANCHI
834001</v>
          </cell>
          <cell r="G6015">
            <v>8404802062</v>
          </cell>
          <cell r="K6015" t="str">
            <v>BSBC375535</v>
          </cell>
        </row>
        <row r="6016">
          <cell r="E6016" t="str">
            <v>TUPUDANA INDUSTRIAL AREA, RANCHI
PLOT NO. 114, TUPUDANA INDUSTRIAL AREA, TUPUDANA,HATIA, RANCHI
834002
RANCHI</v>
          </cell>
          <cell r="G6016">
            <v>7859077019</v>
          </cell>
          <cell r="K6016" t="str">
            <v>BIKS040038</v>
          </cell>
        </row>
        <row r="6017">
          <cell r="E6017" t="str">
            <v>TAPIN PROJECT, CHARHI</v>
          </cell>
          <cell r="G6017">
            <v>6204816691</v>
          </cell>
          <cell r="K6017" t="str">
            <v>BVLD163067</v>
          </cell>
        </row>
        <row r="6018">
          <cell r="E6018" t="str">
            <v>GANGA BRIDGE, BAKHTIYARPUR, PATNA</v>
          </cell>
          <cell r="G6018">
            <v>8544557188</v>
          </cell>
          <cell r="K6018" t="str">
            <v>BTHD120963</v>
          </cell>
        </row>
        <row r="6019">
          <cell r="E6019" t="str">
            <v>PHASE - IV, PLOT NO. - IV-C/3 P AND IV-C/2 P, BOKARO INDUSTRIAL AREA, BALIDIH, BOKARO
PHASE - IV, PLOT NO. - IV-C/3 P AND IV-C/2 P, BOKARO INDUSTRIAL AREA, BALIDIH, BOKARO
827014</v>
          </cell>
          <cell r="G6019">
            <v>8072244545</v>
          </cell>
          <cell r="K6019" t="str">
            <v>BSDS037649</v>
          </cell>
        </row>
        <row r="6020">
          <cell r="E6020" t="str">
            <v>C/O - SUJIT KUMAR, SAHAJANAND NAGAR, H. NO. -121, RANI ROAD, BHUDA, BARMASIA,, DHANBAD</v>
          </cell>
          <cell r="G6020">
            <v>9334537849</v>
          </cell>
          <cell r="K6020" t="str">
            <v>BTED200706</v>
          </cell>
        </row>
        <row r="6021">
          <cell r="E6021" t="str">
            <v>BASKATOLA</v>
          </cell>
          <cell r="G6021">
            <v>9550053031</v>
          </cell>
          <cell r="K6021" t="str">
            <v>BULD162577</v>
          </cell>
        </row>
        <row r="6022">
          <cell r="E6022" t="str">
            <v>CHUTIA, RANCHI</v>
          </cell>
          <cell r="G6022">
            <v>9939622140</v>
          </cell>
          <cell r="K6022" t="str">
            <v>BUFD162814</v>
          </cell>
        </row>
        <row r="6023">
          <cell r="E6023" t="str">
            <v>GOBINDPUR INDUSTRIAL AREA, DHANBAD</v>
          </cell>
          <cell r="G6023">
            <v>9113169811</v>
          </cell>
          <cell r="K6023" t="str">
            <v>BVJS047894</v>
          </cell>
        </row>
        <row r="6024">
          <cell r="E6024" t="str">
            <v>KANKE, RANCHI
834002</v>
          </cell>
          <cell r="G6024">
            <v>7979732853</v>
          </cell>
          <cell r="K6024" t="str">
            <v>BSFC376396</v>
          </cell>
        </row>
        <row r="6025">
          <cell r="E6025" t="str">
            <v>TATISILWAI, JHARKHAND
835103</v>
          </cell>
          <cell r="G6025">
            <v>6200160428</v>
          </cell>
          <cell r="K6025" t="str">
            <v>BQHS040705</v>
          </cell>
        </row>
        <row r="6026">
          <cell r="E6026" t="str">
            <v>TATISILWAI, JHARKHAND
835103</v>
          </cell>
          <cell r="G6026">
            <v>6200160428</v>
          </cell>
          <cell r="K6026" t="str">
            <v>BQGS031413</v>
          </cell>
        </row>
        <row r="6027">
          <cell r="E6027" t="str">
            <v>9.P .INDUSTRIAL AREA  KOKAR, RANCHI, TIN-20880200515
9.P .INDUSTRIAL AREA  KOKAR, RANCHI, TIN-20880200515
834001</v>
          </cell>
          <cell r="G6027">
            <v>9955178750</v>
          </cell>
          <cell r="K6027" t="str">
            <v>BTGS031205</v>
          </cell>
        </row>
        <row r="6028">
          <cell r="E6028" t="str">
            <v>PALAMU</v>
          </cell>
          <cell r="G6028">
            <v>943139166</v>
          </cell>
          <cell r="K6028" t="str">
            <v>BUGC373213</v>
          </cell>
        </row>
        <row r="6029">
          <cell r="E6029" t="str">
            <v>SARWARI, ASANSOL, WB</v>
          </cell>
          <cell r="G6029">
            <v>9599040419</v>
          </cell>
          <cell r="K6029" t="str">
            <v>BSCS037494</v>
          </cell>
        </row>
        <row r="6030">
          <cell r="E6030" t="str">
            <v>KATITARH,RANCHI
835222</v>
          </cell>
          <cell r="G6030">
            <v>7004273341</v>
          </cell>
          <cell r="K6030" t="str">
            <v>BSAS036940</v>
          </cell>
        </row>
        <row r="6031">
          <cell r="E6031" t="str">
            <v>HAZARIBAGH
RANCHI JHARKHAND 834002
INDIA</v>
          </cell>
          <cell r="G6031">
            <v>7361044448</v>
          </cell>
          <cell r="K6031" t="str">
            <v>BKAS030685</v>
          </cell>
        </row>
        <row r="6032">
          <cell r="E6032" t="str">
            <v>KATRAS, DHANBAD</v>
          </cell>
          <cell r="G6032">
            <v>6203273412</v>
          </cell>
          <cell r="K6032" t="str">
            <v>BSKD161477</v>
          </cell>
        </row>
        <row r="6033">
          <cell r="E6033" t="str">
            <v>RAVULA SHYAM SUNDER REDDY, HOUSE NO. 3-5-196/1, ROAD NO. 5M, KRISHNANAGAR COLONY, MOULALI, HYDRABAD</v>
          </cell>
          <cell r="G6033">
            <v>6203273412</v>
          </cell>
          <cell r="K6033" t="str">
            <v>BSCD161691</v>
          </cell>
        </row>
        <row r="6034">
          <cell r="E6034" t="str">
            <v>UNIT OF HERITAGE LANDMARKS AUTOWORLD PVT. LTD., NEAR KAMRE AASHRAM, P.O. KAMRE, RATU ROAD, RANCHI
835214</v>
          </cell>
          <cell r="G6034">
            <v>9905571061</v>
          </cell>
          <cell r="K6034" t="str">
            <v>BQFC370869</v>
          </cell>
        </row>
        <row r="6035">
          <cell r="E6035" t="str">
            <v>MUNGMA</v>
          </cell>
          <cell r="G6035">
            <v>8466063949</v>
          </cell>
          <cell r="K6035" t="str">
            <v>BNCS030884</v>
          </cell>
        </row>
        <row r="6036">
          <cell r="E6036" t="str">
            <v>MUNGMA</v>
          </cell>
          <cell r="G6036">
            <v>8466063949</v>
          </cell>
          <cell r="K6036" t="str">
            <v>GNGS030424</v>
          </cell>
        </row>
        <row r="6037">
          <cell r="E6037" t="str">
            <v>MUNGMA</v>
          </cell>
          <cell r="G6037">
            <v>8466063949</v>
          </cell>
          <cell r="K6037" t="str">
            <v>BNLS030573</v>
          </cell>
        </row>
        <row r="6038">
          <cell r="E6038" t="str">
            <v>NICHITPUR</v>
          </cell>
          <cell r="G6038">
            <v>7903412157</v>
          </cell>
          <cell r="K6038" t="str">
            <v>BUCD162696</v>
          </cell>
        </row>
        <row r="6039">
          <cell r="E6039" t="str">
            <v>KHERA</v>
          </cell>
          <cell r="G6039">
            <v>9263634417</v>
          </cell>
          <cell r="K6039" t="str">
            <v>BTCD162159</v>
          </cell>
        </row>
        <row r="6040">
          <cell r="E6040" t="str">
            <v>MUNGMA</v>
          </cell>
          <cell r="G6040">
            <v>8466063949</v>
          </cell>
          <cell r="K6040" t="str">
            <v>BNEC370487</v>
          </cell>
        </row>
        <row r="6041">
          <cell r="E6041" t="str">
            <v>UNIT OF HERITAGE LANDMARKS AUTOWORLD PVT. LTD., NEAR KAMRE AASHRAM, P.O. KAMRE, RATU ROAD, RANCHI
835214</v>
          </cell>
          <cell r="G6041">
            <v>9297895334</v>
          </cell>
          <cell r="K6041" t="str">
            <v>BTJC377158</v>
          </cell>
        </row>
        <row r="6042">
          <cell r="E6042" t="str">
            <v>GROUND FLOOR, 8H AND 81, NATION PRINTERS, NAMKUM INDUSTRIAL AREA,, LOWADIH, RANCHI
GROUND FLOOR, 8H AND 81, NATION PRINTERS, NAMKUM INDUSTRIAL AREA,, LOWADIH, RANCHI
834010</v>
          </cell>
          <cell r="G6042">
            <v>9709225271</v>
          </cell>
          <cell r="K6042" t="str">
            <v>BRFC373676</v>
          </cell>
        </row>
        <row r="6043">
          <cell r="E6043" t="str">
            <v>NAMKUN INDUSTRIAL AREA,RANCHI
834010</v>
          </cell>
          <cell r="G6043">
            <v>8340452790</v>
          </cell>
          <cell r="K6043" t="str">
            <v>BUDS034771</v>
          </cell>
        </row>
        <row r="6044">
          <cell r="E6044" t="str">
            <v>RAMGARH,JHARKHAND
825101
RAMGARH</v>
          </cell>
          <cell r="G6044">
            <v>9798534885</v>
          </cell>
          <cell r="K6044" t="str">
            <v>BSGC376585</v>
          </cell>
        </row>
        <row r="6045">
          <cell r="E6045" t="str">
            <v>TETULWARI</v>
          </cell>
          <cell r="G6045">
            <v>9835747740</v>
          </cell>
          <cell r="K6045" t="str">
            <v>BTGD162296</v>
          </cell>
        </row>
        <row r="6046">
          <cell r="E6046" t="str">
            <v>C/O - PREM PRAKASH AGARWAL, OPP - HILLVIEW FUEL STATION, GODHUR, P.O - KUSUNDA, DHANBAD</v>
          </cell>
          <cell r="G6046">
            <v>7295943617</v>
          </cell>
          <cell r="K6046" t="str">
            <v>BTED162217</v>
          </cell>
        </row>
        <row r="6047">
          <cell r="E6047" t="str">
            <v>KOKAR INDUSTRIAL AREA,RANCHI
834002
KOKAR INDUSTRIAL AREA</v>
          </cell>
          <cell r="G6047">
            <v>9771441275</v>
          </cell>
          <cell r="K6047" t="str">
            <v>BRKC371988</v>
          </cell>
        </row>
        <row r="6048">
          <cell r="E6048" t="str">
            <v>RAMGRAH BAZAR SAMITI, RAMGRAH</v>
          </cell>
          <cell r="G6048">
            <v>8092762251</v>
          </cell>
          <cell r="K6048" t="str">
            <v>BULC370861</v>
          </cell>
        </row>
        <row r="6049">
          <cell r="E6049" t="str">
            <v>KOKAR, RANCHI</v>
          </cell>
          <cell r="G6049">
            <v>8051191796</v>
          </cell>
          <cell r="K6049" t="str">
            <v>BRGD161233</v>
          </cell>
        </row>
        <row r="6050">
          <cell r="E6050" t="str">
            <v>BAZAR SAMITI,RAMGARH
829122</v>
          </cell>
          <cell r="G6050">
            <v>9103498679</v>
          </cell>
          <cell r="K6050" t="str">
            <v>BTGC379081</v>
          </cell>
        </row>
        <row r="6051">
          <cell r="E6051" t="str">
            <v>Chiturdih, Dhanbad.</v>
          </cell>
          <cell r="G6051">
            <v>9981519401</v>
          </cell>
          <cell r="K6051" t="str">
            <v>BTDD162192</v>
          </cell>
        </row>
        <row r="6052">
          <cell r="E6052" t="str">
            <v>C/O PALANIAPPAN CHANDRAN, KATTUKOTTAL, PAITHUR, P.O- ATTUR TK,SALEM, TAMILNADU</v>
          </cell>
          <cell r="G6052">
            <v>8809338483</v>
          </cell>
          <cell r="K6052" t="str">
            <v>BSAD230391</v>
          </cell>
        </row>
        <row r="6053">
          <cell r="E6053" t="str">
            <v>KOKAR, RANCHI</v>
          </cell>
          <cell r="G6053">
            <v>8051191796</v>
          </cell>
          <cell r="K6053" t="str">
            <v>BRGD161233</v>
          </cell>
        </row>
        <row r="6054">
          <cell r="E6054" t="str">
            <v>KATHITAND, RANCHI</v>
          </cell>
          <cell r="G6054">
            <v>7904455688</v>
          </cell>
          <cell r="K6054" t="str">
            <v>BSLD230361</v>
          </cell>
        </row>
        <row r="6055">
          <cell r="E6055" t="str">
            <v>NAGARI, RANCHI
834006</v>
          </cell>
          <cell r="G6055">
            <v>7255848442</v>
          </cell>
          <cell r="K6055" t="str">
            <v>BRAC372524</v>
          </cell>
        </row>
        <row r="6056">
          <cell r="E6056" t="str">
            <v>NAMKUM INDUSTRIAL AREA,RANCHI
834010</v>
          </cell>
          <cell r="G6056">
            <v>9386408111</v>
          </cell>
          <cell r="K6056" t="str">
            <v>BRHS035337</v>
          </cell>
        </row>
        <row r="6057">
          <cell r="E6057" t="str">
            <v>NAMKUM INDUSTRIAL AREA,RANCHI
834010</v>
          </cell>
          <cell r="G6057">
            <v>9386408111</v>
          </cell>
          <cell r="K6057" t="str">
            <v>GOCC370403</v>
          </cell>
        </row>
        <row r="6058">
          <cell r="E6058" t="str">
            <v>KHURPANIA, KHASHMAHAL, PHUSHRO</v>
          </cell>
          <cell r="G6058">
            <v>7079920159</v>
          </cell>
          <cell r="K6058" t="str">
            <v>BTHD162350</v>
          </cell>
        </row>
        <row r="6059">
          <cell r="E6059" t="str">
            <v>C/O - PREM PRAKASH AGARWAL, OPP - HILLVIEW FUEL STATION, GODHUR, P.O - KUSUNDA, DHANBAD</v>
          </cell>
          <cell r="G6059">
            <v>7295943617</v>
          </cell>
          <cell r="K6059" t="str">
            <v>BTED162217</v>
          </cell>
        </row>
        <row r="6060">
          <cell r="E6060" t="str">
            <v>RAMGARH,JHARKHAND
825101
RAMGARH</v>
          </cell>
          <cell r="G6060">
            <v>6201431636</v>
          </cell>
          <cell r="K6060" t="str">
            <v>BSGC376585</v>
          </cell>
        </row>
        <row r="6061">
          <cell r="E6061" t="str">
            <v>JASIDIH, DEOGHAR
814142</v>
          </cell>
          <cell r="G6061">
            <v>9431794974</v>
          </cell>
          <cell r="K6061" t="str">
            <v>BSBC375571</v>
          </cell>
        </row>
        <row r="6062">
          <cell r="E6062" t="str">
            <v>NICHITPUR</v>
          </cell>
          <cell r="G6062">
            <v>7667981242</v>
          </cell>
          <cell r="K6062" t="str">
            <v>BUCD162696</v>
          </cell>
        </row>
        <row r="6063">
          <cell r="E6063" t="str">
            <v>BALUMATH, LATEHAR</v>
          </cell>
          <cell r="G6063">
            <v>9949777444</v>
          </cell>
          <cell r="K6063" t="str">
            <v>BSJD161380</v>
          </cell>
        </row>
        <row r="6064">
          <cell r="E6064" t="str">
            <v>KOKAR,INDUSTRIAL AREA,RANCHI
834002
RANCHI</v>
          </cell>
          <cell r="G6064">
            <v>7781017919</v>
          </cell>
          <cell r="K6064" t="str">
            <v>BMKC370048</v>
          </cell>
        </row>
        <row r="6065">
          <cell r="E6065" t="str">
            <v>KOKAR INDUSTRIAL AREA,RANCHI
834001</v>
          </cell>
          <cell r="G6065"/>
          <cell r="K6065" t="str">
            <v>BPIC370386</v>
          </cell>
        </row>
        <row r="6066">
          <cell r="E6066" t="str">
            <v>HAZARIBAGH</v>
          </cell>
          <cell r="G6066">
            <v>7634075471</v>
          </cell>
          <cell r="K6066" t="str">
            <v>BUKC370622</v>
          </cell>
        </row>
        <row r="6067">
          <cell r="E6067" t="str">
            <v>LOHARDAGA,JHARKHAND
LOHARDAGA, MOB. NO.9661111900
835302
LOHARDAGA</v>
          </cell>
          <cell r="G6067">
            <v>8709406268</v>
          </cell>
          <cell r="K6067" t="str">
            <v>BQFS031084</v>
          </cell>
        </row>
        <row r="6068">
          <cell r="E6068" t="str">
            <v>RANCHI</v>
          </cell>
          <cell r="G6068">
            <v>8709406268</v>
          </cell>
          <cell r="K6068" t="str">
            <v>BKDS031405</v>
          </cell>
        </row>
        <row r="6069">
          <cell r="E6069" t="str">
            <v>KOKAR INDUSTRIAL AREA</v>
          </cell>
          <cell r="G6069">
            <v>8404802065</v>
          </cell>
          <cell r="K6069" t="str">
            <v>BVKC374486</v>
          </cell>
        </row>
        <row r="6070">
          <cell r="E6070" t="str">
            <v>BAZAR SAMITI,RAMGARH
829122</v>
          </cell>
          <cell r="G6070">
            <v>9103498679</v>
          </cell>
          <cell r="K6070" t="str">
            <v>BTGC379081</v>
          </cell>
        </row>
        <row r="6071">
          <cell r="E6071" t="str">
            <v>HAZARIBAGH
RANCHI JHARKHAND 834002
INDIA</v>
          </cell>
          <cell r="G6071">
            <v>7361044448</v>
          </cell>
          <cell r="K6071" t="str">
            <v>BKAS030685</v>
          </cell>
        </row>
        <row r="6072">
          <cell r="E6072" t="str">
            <v>BAZAR SAMITI,RAMGARH
829122</v>
          </cell>
          <cell r="G6072">
            <v>6207099427</v>
          </cell>
          <cell r="K6072" t="str">
            <v>BSBC375576</v>
          </cell>
        </row>
        <row r="6073">
          <cell r="E6073" t="str">
            <v>CHATTARPUR, DALTAINGANJ</v>
          </cell>
          <cell r="G6073">
            <v>9416185862</v>
          </cell>
          <cell r="K6073" t="str">
            <v>BUED220691</v>
          </cell>
        </row>
        <row r="6074">
          <cell r="E6074" t="str">
            <v>CHANDIL BAZAR</v>
          </cell>
          <cell r="G6074">
            <v>9123594446</v>
          </cell>
          <cell r="K6074" t="str">
            <v>BRKD160684</v>
          </cell>
        </row>
        <row r="6075">
          <cell r="E6075" t="str">
            <v>TUPUDANA, RANCHI</v>
          </cell>
          <cell r="G6075">
            <v>8102915586</v>
          </cell>
          <cell r="K6075" t="str">
            <v>BUDC372327</v>
          </cell>
        </row>
        <row r="6076">
          <cell r="E6076" t="str">
            <v>CHATTARPUR, DALTAINGANJ</v>
          </cell>
          <cell r="G6076">
            <v>9416185862</v>
          </cell>
          <cell r="K6076" t="str">
            <v>BUED220691</v>
          </cell>
        </row>
        <row r="6077">
          <cell r="E6077" t="str">
            <v>KATRAS, DHANBAD</v>
          </cell>
          <cell r="G6077">
            <v>8210106692</v>
          </cell>
          <cell r="K6077" t="str">
            <v>BRBD160892</v>
          </cell>
        </row>
        <row r="6078">
          <cell r="E6078" t="str">
            <v>KATRAS, DHANBAD</v>
          </cell>
          <cell r="G6078">
            <v>8210106692</v>
          </cell>
          <cell r="K6078" t="str">
            <v>BRBD160901</v>
          </cell>
        </row>
        <row r="6079">
          <cell r="E6079" t="str">
            <v>Chiturdih, Dhanbad.</v>
          </cell>
          <cell r="G6079">
            <v>9981519401</v>
          </cell>
          <cell r="K6079" t="str">
            <v>BTDD162192</v>
          </cell>
        </row>
        <row r="6080">
          <cell r="E6080" t="str">
            <v>DIBDIH, RANCHI
834002</v>
          </cell>
          <cell r="G6080">
            <v>8102915589</v>
          </cell>
          <cell r="K6080" t="str">
            <v>BTEC378588</v>
          </cell>
        </row>
        <row r="6081">
          <cell r="E6081" t="str">
            <v>RAMPUR, RANCHI</v>
          </cell>
          <cell r="G6081">
            <v>8698019221</v>
          </cell>
          <cell r="K6081" t="str">
            <v>BRCS033785</v>
          </cell>
        </row>
        <row r="6082">
          <cell r="E6082" t="str">
            <v>SHEETLA PRASAD SINGH,, MISHRA PADA, NEAR DURGA MANDIR,, JHARIA, DHANBAD - 828 111, JHARKHAND.</v>
          </cell>
          <cell r="G6082">
            <v>7644045555</v>
          </cell>
          <cell r="K6082" t="str">
            <v>BTDD162169</v>
          </cell>
        </row>
        <row r="6083">
          <cell r="E6083" t="str">
            <v>JHARIA, DHANBAD</v>
          </cell>
          <cell r="G6083">
            <v>7873039065</v>
          </cell>
          <cell r="K6083" t="str">
            <v>BRHD161304</v>
          </cell>
        </row>
        <row r="6084">
          <cell r="E6084" t="str">
            <v>TAPIN PROJECT, CHARHI</v>
          </cell>
          <cell r="G6084">
            <v>6204816691</v>
          </cell>
          <cell r="K6084" t="str">
            <v>BVLD163067</v>
          </cell>
        </row>
        <row r="6085">
          <cell r="E6085" t="str">
            <v>TETULMARI, DHANBAD</v>
          </cell>
          <cell r="G6085">
            <v>6203273412</v>
          </cell>
          <cell r="K6085" t="str">
            <v>BVLD163040</v>
          </cell>
        </row>
        <row r="6086">
          <cell r="E6086" t="str">
            <v>RING ROAD, RAMPUR, RANCHI
834010</v>
          </cell>
          <cell r="G6086">
            <v>8698019221</v>
          </cell>
          <cell r="K6086" t="str">
            <v>BRCS033809</v>
          </cell>
        </row>
        <row r="6087">
          <cell r="E6087" t="str">
            <v>RING ROAD, RAMPUR, RANCHI
834010</v>
          </cell>
          <cell r="G6087">
            <v>8698019221</v>
          </cell>
          <cell r="K6087" t="str">
            <v>BRBS033681</v>
          </cell>
        </row>
        <row r="6088">
          <cell r="E6088" t="str">
            <v>RING ROAD, RAMPUR, RANCHI
834010</v>
          </cell>
          <cell r="G6088">
            <v>8698019221</v>
          </cell>
          <cell r="K6088" t="str">
            <v>BRCS033813</v>
          </cell>
        </row>
        <row r="6089">
          <cell r="E6089" t="str">
            <v>BEDMAKKA, HAZARIBAGH</v>
          </cell>
          <cell r="G6089">
            <v>9162900724</v>
          </cell>
          <cell r="K6089" t="str">
            <v>BVJC374202</v>
          </cell>
        </row>
        <row r="6090">
          <cell r="E6090" t="str">
            <v>TUPUDANA INDUSTRIAL AREA, RANCHI
PLOT NO. 114, TUPUDANA INDUSTRIAL AREA, TUPUDANA,HATIA, RANCHI
834002
RANCHI</v>
          </cell>
          <cell r="G6090">
            <v>8709670947</v>
          </cell>
          <cell r="K6090" t="str">
            <v>BNAS040245</v>
          </cell>
        </row>
        <row r="6091">
          <cell r="E6091" t="str">
            <v>PHASE - IV, PLOT NO. - IV-C/3 P AND IV-C/2 P, BOKARO INDUSTRIAL AREA, BALIDIH, BOKARO
PHASE - IV, PLOT NO. - IV-C/3 P AND IV-C/2 P, BOKARO INDUSTRIAL AREA, BALIDIH, BOKARO
827014</v>
          </cell>
          <cell r="G6091">
            <v>9814340048</v>
          </cell>
          <cell r="K6091" t="str">
            <v>BSDS037649</v>
          </cell>
        </row>
        <row r="6092">
          <cell r="E6092" t="str">
            <v>KUSUNDA DHANBAD</v>
          </cell>
          <cell r="G6092">
            <v>9570178502</v>
          </cell>
          <cell r="K6092" t="str">
            <v>BRDD161036</v>
          </cell>
        </row>
        <row r="6093">
          <cell r="E6093" t="str">
            <v>DHANBAD</v>
          </cell>
          <cell r="G6093">
            <v>9570178502</v>
          </cell>
          <cell r="K6093" t="str">
            <v>BTFD162244</v>
          </cell>
        </row>
        <row r="6094">
          <cell r="E6094" t="str">
            <v>RANCHI</v>
          </cell>
          <cell r="G6094">
            <v>9430143630</v>
          </cell>
          <cell r="K6094" t="str">
            <v>BVJC374172</v>
          </cell>
        </row>
        <row r="6095">
          <cell r="E6095" t="str">
            <v>RAMGRAH BAZAR SAMITI, RAMGRAH</v>
          </cell>
          <cell r="G6095">
            <v>8092762251</v>
          </cell>
          <cell r="K6095" t="str">
            <v>BULC370861</v>
          </cell>
        </row>
        <row r="6096">
          <cell r="E6096" t="str">
            <v>RANCHI ROAD,RAMGARH 
DIGWAR,RAMGARH
829122
DIGWAR , RANCHI ROAD ,</v>
          </cell>
          <cell r="G6096">
            <v>7004848564</v>
          </cell>
          <cell r="K6096" t="str">
            <v>GOAC370220</v>
          </cell>
        </row>
        <row r="6097">
          <cell r="E6097" t="str">
            <v>RANCHI ROAD,RAMGARH 
DIGWAR,RAMGARH
829122
DIGWAR , RANCHI ROAD ,</v>
          </cell>
          <cell r="G6097">
            <v>7004848564</v>
          </cell>
          <cell r="K6097" t="str">
            <v>BSFC376459</v>
          </cell>
        </row>
        <row r="6098">
          <cell r="E6098" t="str">
            <v>SAHEBGANJ, JHARKHAND</v>
          </cell>
          <cell r="G6098">
            <v>8809703041</v>
          </cell>
          <cell r="K6098" t="str">
            <v>BNBD160162</v>
          </cell>
        </row>
        <row r="6099">
          <cell r="E6099" t="str">
            <v>TIPUDANA RANCHI</v>
          </cell>
          <cell r="G6099">
            <v>7979908397</v>
          </cell>
          <cell r="K6099" t="str">
            <v>BPBD200118</v>
          </cell>
        </row>
        <row r="6100">
          <cell r="E6100" t="str">
            <v>Chiturdih, Dhanbad.</v>
          </cell>
          <cell r="G6100">
            <v>9981519401</v>
          </cell>
          <cell r="K6100" t="str">
            <v>BTDD162192</v>
          </cell>
        </row>
        <row r="6101">
          <cell r="E6101" t="str">
            <v>RANCHI</v>
          </cell>
          <cell r="G6101">
            <v>9430143630</v>
          </cell>
          <cell r="K6101" t="str">
            <v>BVJC374172</v>
          </cell>
        </row>
        <row r="6102">
          <cell r="E6102" t="str">
            <v>JHUMRI TILAIYA, KODERMA</v>
          </cell>
          <cell r="G6102">
            <v>9430001757</v>
          </cell>
          <cell r="K6102" t="str">
            <v>BUHS047551</v>
          </cell>
        </row>
        <row r="6103">
          <cell r="E6103" t="str">
            <v>SHEETLA PRASAD SINGH,, MISHRA PADA, NEAR DURGA MANDIR,, JHARIA, DHANBAD - 828 111, JHARKHAND.</v>
          </cell>
          <cell r="G6103">
            <v>6202687246</v>
          </cell>
          <cell r="K6103" t="str">
            <v>BTCD162149</v>
          </cell>
        </row>
        <row r="6104">
          <cell r="E6104" t="str">
            <v>BHOWRA</v>
          </cell>
          <cell r="G6104">
            <v>6207280765</v>
          </cell>
          <cell r="K6104" t="str">
            <v>BUDD162713</v>
          </cell>
        </row>
        <row r="6105">
          <cell r="E6105" t="str">
            <v>RANCHI</v>
          </cell>
          <cell r="G6105">
            <v>9973686006</v>
          </cell>
          <cell r="K6105" t="str">
            <v>BLIS031950</v>
          </cell>
        </row>
        <row r="6106">
          <cell r="E6106" t="str">
            <v>TATISILWAI, JHARKHAND
835103</v>
          </cell>
          <cell r="G6106">
            <v>6200160428</v>
          </cell>
          <cell r="K6106" t="str">
            <v>BQHS040705</v>
          </cell>
        </row>
        <row r="6107">
          <cell r="E6107" t="str">
            <v>SIDRAUL, NAMKUM, RANCHI
834010
SIDRAUL, NAMKUM, RANCHI</v>
          </cell>
          <cell r="G6107">
            <v>9993423669</v>
          </cell>
          <cell r="K6107" t="str">
            <v>UOHS030121</v>
          </cell>
        </row>
        <row r="6108">
          <cell r="E6108" t="str">
            <v>NAGRI,RANCHI
835303</v>
          </cell>
          <cell r="G6108">
            <v>7633997333</v>
          </cell>
          <cell r="K6108" t="str">
            <v>BJDET70060</v>
          </cell>
        </row>
        <row r="6109">
          <cell r="E6109" t="str">
            <v>SHEETLA PRASAD SINGH,, MISHRA PADA, NEAR DURGA MANDIR,, JHARIA, DHANBAD - 828 111, JHARKHAND.</v>
          </cell>
          <cell r="G6109">
            <v>6202687246</v>
          </cell>
          <cell r="K6109" t="str">
            <v>BTDD162169</v>
          </cell>
        </row>
        <row r="6110">
          <cell r="E6110" t="str">
            <v>TATISILWAI, JHARKHAND
835103</v>
          </cell>
          <cell r="G6110">
            <v>6200160428</v>
          </cell>
          <cell r="K6110" t="str">
            <v>BQGS031413</v>
          </cell>
        </row>
        <row r="6111">
          <cell r="E6111" t="str">
            <v>TUPUDANA INDUSTRIAL AREA, RANCHI
PLOT NO. - 45 &amp; 46, TUPUDAN AINDUSTRIAL AREA, TUPUDANA, HATIA, RANCHI
834003
TIPUDANA INDUSTRIAL AREA</v>
          </cell>
          <cell r="G6111">
            <v>7717734248</v>
          </cell>
          <cell r="K6111" t="str">
            <v>BQBS033819</v>
          </cell>
        </row>
        <row r="6112">
          <cell r="E6112" t="str">
            <v>URMILA TOWER, ROOM NO. 805, DHANBAD</v>
          </cell>
          <cell r="G6112">
            <v>6202842173</v>
          </cell>
          <cell r="K6112" t="str">
            <v>BTKD162074</v>
          </cell>
        </row>
        <row r="6113">
          <cell r="E6113" t="str">
            <v>TUPUDANA INDUSTRIAL AREA, RANCHI
PLOT NO. 114, TUPUDANA INDUSTRIAL AREA, TUPUDANA,HATIA, RANCHI
834002
RANCHI</v>
          </cell>
          <cell r="G6113">
            <v>7248899000</v>
          </cell>
          <cell r="K6113" t="str">
            <v>BNAS040245</v>
          </cell>
        </row>
        <row r="6114">
          <cell r="E6114" t="str">
            <v>LATEHAR</v>
          </cell>
          <cell r="G6114">
            <v>9934700413</v>
          </cell>
          <cell r="K6114" t="str">
            <v>BRID161341</v>
          </cell>
        </row>
        <row r="6115">
          <cell r="E6115" t="str">
            <v>PLOT NO 716,VILL-RUKKA,
835219</v>
          </cell>
          <cell r="G6115">
            <v>9791019799</v>
          </cell>
          <cell r="K6115" t="str">
            <v>BSKS036366</v>
          </cell>
        </row>
        <row r="6116">
          <cell r="E6116" t="str">
            <v>PLOT NO 716,VILL-RUKKA,
835219</v>
          </cell>
          <cell r="G6116">
            <v>9791019799</v>
          </cell>
          <cell r="K6116" t="str">
            <v>BSKS036365</v>
          </cell>
        </row>
        <row r="6117">
          <cell r="E6117" t="str">
            <v>CHAS BOKARO</v>
          </cell>
          <cell r="G6117">
            <v>9135780550</v>
          </cell>
          <cell r="K6117" t="str">
            <v>BPJD200007</v>
          </cell>
        </row>
        <row r="6118">
          <cell r="E6118" t="str">
            <v>TATULMURI, DHANBAD</v>
          </cell>
          <cell r="G6118">
            <v>6203273412</v>
          </cell>
          <cell r="K6118" t="str">
            <v>BUGD162852</v>
          </cell>
        </row>
        <row r="6119">
          <cell r="E6119" t="str">
            <v>ADMINISTRATIVE BLOCK, MECHINICAL DEPARTMENT, DHANBAD</v>
          </cell>
          <cell r="G6119">
            <v>9471192437</v>
          </cell>
          <cell r="K6119" t="str">
            <v>BUIS036656</v>
          </cell>
        </row>
        <row r="6120">
          <cell r="E6120" t="str">
            <v>CHAKAY, LAKHISARAI</v>
          </cell>
          <cell r="G6120">
            <v>7486815310</v>
          </cell>
          <cell r="K6120" t="str">
            <v>BUKD230773</v>
          </cell>
        </row>
        <row r="6121">
          <cell r="E6121" t="str">
            <v>DUMRI, JHARKHAND</v>
          </cell>
          <cell r="G6121">
            <v>6204545670</v>
          </cell>
          <cell r="K6121" t="str">
            <v>BSFD161830</v>
          </cell>
        </row>
        <row r="6122">
          <cell r="E6122" t="str">
            <v>TAPIN PROJECT, TAPIN</v>
          </cell>
          <cell r="G6122">
            <v>6207628876</v>
          </cell>
          <cell r="K6122" t="str">
            <v>BUID162953</v>
          </cell>
        </row>
        <row r="6123">
          <cell r="E6123" t="str">
            <v>CHUTIA, RANCHI</v>
          </cell>
          <cell r="G6123">
            <v>9939622140</v>
          </cell>
          <cell r="K6123" t="str">
            <v>BUFD162814</v>
          </cell>
        </row>
        <row r="6124">
          <cell r="E6124" t="str">
            <v>POLICE LINR, SHEIKHPURA</v>
          </cell>
          <cell r="G6124">
            <v>7782976533</v>
          </cell>
          <cell r="K6124" t="str">
            <v>BOJD160012</v>
          </cell>
        </row>
        <row r="6125">
          <cell r="E6125" t="str">
            <v>HESLA,RAMGARH
829101</v>
          </cell>
          <cell r="G6125">
            <v>7526823341</v>
          </cell>
          <cell r="K6125" t="str">
            <v>BSJS035917</v>
          </cell>
        </row>
        <row r="6126">
          <cell r="E6126" t="str">
            <v>HESLA,RAMGARH
829101</v>
          </cell>
          <cell r="G6126">
            <v>8862948833</v>
          </cell>
          <cell r="K6126" t="str">
            <v>BSDS037710</v>
          </cell>
        </row>
        <row r="6127">
          <cell r="E6127" t="str">
            <v>DALADALI, RANCHI</v>
          </cell>
          <cell r="G6127">
            <v>9199364073</v>
          </cell>
          <cell r="K6127" t="str">
            <v>BVKD163010</v>
          </cell>
        </row>
        <row r="6128">
          <cell r="E6128" t="str">
            <v>UNIT OF HERITAGE LANDMARKS AUTOWORLD PVT. LTD., NEAR KAMRE AASHRAM, P.O. KAMRE, RATU ROAD, RANCHI
835214</v>
          </cell>
          <cell r="G6128">
            <v>8102800076</v>
          </cell>
          <cell r="K6128" t="str">
            <v>BTJC377158</v>
          </cell>
        </row>
        <row r="6129">
          <cell r="E6129" t="str">
            <v>POLICE LINR, SHEIKHPURA</v>
          </cell>
          <cell r="G6129">
            <v>7782976533</v>
          </cell>
          <cell r="K6129" t="str">
            <v>BTKD162080</v>
          </cell>
        </row>
        <row r="6130">
          <cell r="E6130" t="str">
            <v>TATULMURI, DHANBAD</v>
          </cell>
          <cell r="G6130">
            <v>6203273412</v>
          </cell>
          <cell r="K6130" t="str">
            <v>BUGD162852</v>
          </cell>
        </row>
        <row r="6131">
          <cell r="E6131" t="str">
            <v>C/O - SUJIT KUMAR, SAHAJANAND NAGAR, H. NO. -121, RANI ROAD, BHUDA, BARMASIA,, DHANBAD</v>
          </cell>
          <cell r="G6131">
            <v>9334537849</v>
          </cell>
          <cell r="K6131" t="str">
            <v>BTED200706</v>
          </cell>
        </row>
        <row r="6132">
          <cell r="E6132" t="str">
            <v>KOKAR INDUSTRIAL AREA,RANCHI
834001</v>
          </cell>
          <cell r="G6132">
            <v>7004147721</v>
          </cell>
          <cell r="K6132" t="str">
            <v>BSBC375532</v>
          </cell>
        </row>
        <row r="6133">
          <cell r="E6133" t="str">
            <v>KOKAR INDUSTRIAL AREA,RANCHI
834001</v>
          </cell>
          <cell r="G6133">
            <v>7004147721</v>
          </cell>
          <cell r="K6133" t="str">
            <v>BSBC375532</v>
          </cell>
        </row>
        <row r="6134">
          <cell r="E6134" t="str">
            <v>BASTAWLA DHANBAD</v>
          </cell>
          <cell r="G6134">
            <v>8292799892</v>
          </cell>
          <cell r="K6134" t="str">
            <v>BUAD162630</v>
          </cell>
        </row>
        <row r="6135">
          <cell r="E6135" t="str">
            <v>JHUMRI TILAIYA</v>
          </cell>
          <cell r="G6135">
            <v>7903780388</v>
          </cell>
          <cell r="K6135" t="str">
            <v>GPLS030458</v>
          </cell>
        </row>
        <row r="6136">
          <cell r="E6136" t="str">
            <v>JHUMRI TELAIYA, KODARMA
825409</v>
          </cell>
          <cell r="G6136">
            <v>7903575770</v>
          </cell>
          <cell r="K6136" t="str">
            <v>BSBC375530</v>
          </cell>
        </row>
        <row r="6137">
          <cell r="E6137" t="str">
            <v>KOKAR INDUSTRIAL AREA</v>
          </cell>
          <cell r="G6137">
            <v>8404802065</v>
          </cell>
          <cell r="K6137" t="str">
            <v>BVKC374486</v>
          </cell>
        </row>
        <row r="6138">
          <cell r="E6138" t="str">
            <v>BOKARO RAILWAY STATION</v>
          </cell>
          <cell r="G6138">
            <v>9002080392</v>
          </cell>
          <cell r="K6138" t="str">
            <v>EVKS037236</v>
          </cell>
        </row>
        <row r="6139">
          <cell r="E6139" t="str">
            <v>BOKARO STEEL CITY, RAILWAY STATION</v>
          </cell>
          <cell r="G6139">
            <v>9002080392</v>
          </cell>
          <cell r="K6139" t="str">
            <v>EVKS037236</v>
          </cell>
        </row>
        <row r="6140">
          <cell r="E6140" t="str">
            <v>KOKAR, RANCHI</v>
          </cell>
          <cell r="G6140">
            <v>8051191796</v>
          </cell>
          <cell r="K6140" t="str">
            <v>BRGD161233</v>
          </cell>
        </row>
        <row r="6141">
          <cell r="E6141" t="str">
            <v>JODDA, ORISSA</v>
          </cell>
          <cell r="G6141">
            <v>9848338703</v>
          </cell>
          <cell r="K6141" t="str">
            <v>BMKD160057</v>
          </cell>
        </row>
        <row r="6142">
          <cell r="E6142" t="str">
            <v>C/O - SUJIT KUMAR, SAHAJANAND NAGAR, H. NO. -121, RANI ROAD, BHUDA, BARMASIA,, DHANBAD</v>
          </cell>
          <cell r="G6142">
            <v>7766908429</v>
          </cell>
          <cell r="K6142" t="str">
            <v>BTED200706</v>
          </cell>
        </row>
        <row r="6143">
          <cell r="E6143" t="str">
            <v>BASTAWLA DHANBAD</v>
          </cell>
          <cell r="G6143">
            <v>9550053031</v>
          </cell>
          <cell r="K6143" t="str">
            <v>BUAD162630</v>
          </cell>
        </row>
        <row r="6144">
          <cell r="E6144" t="str">
            <v>OPERATIONS OFFICER, BOKARO BP, KIND ATTEN.ABHISHEK TRIPATHI, MOB. NO.8789972995, VENDOR CODE-11970380
OPERATIONS OFFICER, BOKARO BP, KIND ATTEN.ABHISHEK TRIPATHI, MOB. NO.8789972995, VENDOR CODE-11970380
827014
LPG BOTTALING PLANT, BALIDIH,</v>
          </cell>
          <cell r="G6144">
            <v>7905252185</v>
          </cell>
          <cell r="K6144" t="str">
            <v>BOCS040147</v>
          </cell>
        </row>
        <row r="6145">
          <cell r="E6145" t="str">
            <v>B7-PHASE-3, BALIDIH INDUSTRIAL AREA BALIDIH, BOKARO STEEL CITY BOKARO, JHARKHAND
SUNDARAM STEELS PVT. LTD, B-7 PHASE-III,BOKARO INDUSTRIAL AREA,BALIDIH, BOKARO
827014</v>
          </cell>
          <cell r="G6145">
            <v>7008287442</v>
          </cell>
          <cell r="K6145" t="str">
            <v>BSFS043411</v>
          </cell>
        </row>
        <row r="6146">
          <cell r="E6146" t="str">
            <v>GUMLA</v>
          </cell>
          <cell r="G6146">
            <v>6201272144</v>
          </cell>
          <cell r="K6146" t="str">
            <v>BRGD161218</v>
          </cell>
        </row>
        <row r="6147">
          <cell r="E6147" t="str">
            <v>RANCHI PATNA ROAD
DEMOTAND
825301
HAZARIBAGH</v>
          </cell>
          <cell r="G6147">
            <v>6203465926</v>
          </cell>
          <cell r="K6147" t="str">
            <v>BSCS037531</v>
          </cell>
        </row>
        <row r="6148">
          <cell r="E6148" t="str">
            <v>RANCHI PATNA ROAD
DEMOTAND
825301
HAZARIBAGH</v>
          </cell>
          <cell r="G6148">
            <v>6203465926</v>
          </cell>
          <cell r="K6148" t="str">
            <v>BMBL160078</v>
          </cell>
        </row>
        <row r="6149">
          <cell r="E6149" t="str">
            <v>DALADALI, RANCHUI</v>
          </cell>
          <cell r="G6149">
            <v>7992413342</v>
          </cell>
          <cell r="K6149" t="str">
            <v>BMJD200014</v>
          </cell>
        </row>
        <row r="6150">
          <cell r="E6150" t="str">
            <v>C/O - SUJIT KUMAR, SAHAJANAND NAGAR, H. NO. -121, RANI ROAD, BHUDA, BARMASIA,, DHANBAD</v>
          </cell>
          <cell r="G6150">
            <v>7766908429</v>
          </cell>
          <cell r="K6150" t="str">
            <v>BTED200706</v>
          </cell>
        </row>
        <row r="6151">
          <cell r="E6151" t="str">
            <v>SHEETLA PRASAD SINGH,, MISHRA PADA, NEAR DURGA MANDIR,, JHARIA, DHANBAD - 828 111, JHARKHAND.</v>
          </cell>
          <cell r="G6151">
            <v>7644045555</v>
          </cell>
          <cell r="K6151" t="str">
            <v>BTDD162169</v>
          </cell>
        </row>
        <row r="6152">
          <cell r="E6152" t="str">
            <v>GUMLA</v>
          </cell>
          <cell r="G6152">
            <v>6201272144</v>
          </cell>
          <cell r="K6152" t="str">
            <v>BRGD161218</v>
          </cell>
        </row>
        <row r="6153">
          <cell r="E6153" t="str">
            <v>DIBDIH, RANCHI
834002</v>
          </cell>
          <cell r="G6153">
            <v>8102915589</v>
          </cell>
          <cell r="K6153" t="str">
            <v>BTEC378588</v>
          </cell>
        </row>
        <row r="6154">
          <cell r="E6154" t="str">
            <v>CHATRA</v>
          </cell>
          <cell r="G6154">
            <v>9608456350</v>
          </cell>
          <cell r="K6154" t="str">
            <v>BOLD200057</v>
          </cell>
        </row>
        <row r="6155">
          <cell r="E6155" t="str">
            <v>ARGADA ROAD, BINJHAR, P.O. - MARAR, RAMGARH
829117</v>
          </cell>
          <cell r="G6155">
            <v>9386834417</v>
          </cell>
          <cell r="K6155" t="str">
            <v>BSCS037449</v>
          </cell>
        </row>
        <row r="6156">
          <cell r="E6156" t="str">
            <v>KHERA</v>
          </cell>
          <cell r="G6156">
            <v>9263634417</v>
          </cell>
          <cell r="K6156" t="str">
            <v>BTCD162159</v>
          </cell>
        </row>
        <row r="6157">
          <cell r="E6157" t="str">
            <v>BASTAKOLA, DHANBAD</v>
          </cell>
          <cell r="G6157">
            <v>9550053031</v>
          </cell>
          <cell r="K6157" t="str">
            <v>BUKD162535</v>
          </cell>
        </row>
        <row r="6158">
          <cell r="E6158" t="str">
            <v>NEAR P.N BANK MAIN ROAD,, RAMGARH CANTT-829122, DIST. RAMGARH
829122
BUDHAKHOP, AMBRELA, KARMA,</v>
          </cell>
          <cell r="G6158">
            <v>8789350097</v>
          </cell>
          <cell r="K6158" t="str">
            <v>BQBS030091</v>
          </cell>
        </row>
        <row r="6159">
          <cell r="E6159" t="str">
            <v>KATHITAND, RANCHI</v>
          </cell>
          <cell r="G6159">
            <v>7904455688</v>
          </cell>
          <cell r="K6159" t="str">
            <v>BSLD230361</v>
          </cell>
        </row>
        <row r="6160">
          <cell r="E6160" t="str">
            <v>SHEIKHPURA, BIHAR</v>
          </cell>
          <cell r="G6160">
            <v>6202016835</v>
          </cell>
          <cell r="K6160" t="str">
            <v>BULL160559</v>
          </cell>
        </row>
        <row r="6161">
          <cell r="E6161" t="str">
            <v>TUPUDANA INDUSTRIAL AREA, RANCHI
PLOT NO. 114, TUPUDANA INDUSTRIAL AREA, TUPUDANA,HATIA, RANCHI
834002
RANCHI</v>
          </cell>
          <cell r="G6161">
            <v>8210182306</v>
          </cell>
          <cell r="K6161" t="str">
            <v>GOKS040088</v>
          </cell>
        </row>
        <row r="6162">
          <cell r="E6162" t="str">
            <v>SHEIKHPURA, BIHAR</v>
          </cell>
          <cell r="G6162">
            <v>6202016835</v>
          </cell>
          <cell r="K6162" t="str">
            <v>BUAL160593</v>
          </cell>
        </row>
        <row r="6163">
          <cell r="E6163" t="str">
            <v>TETULWARI</v>
          </cell>
          <cell r="G6163">
            <v>7805016183</v>
          </cell>
          <cell r="K6163" t="str">
            <v>BTGD162296</v>
          </cell>
        </row>
        <row r="6164">
          <cell r="E6164" t="str">
            <v>RANCHI</v>
          </cell>
          <cell r="G6164">
            <v>9973686006</v>
          </cell>
          <cell r="K6164" t="str">
            <v>BLIS031950</v>
          </cell>
        </row>
        <row r="6165">
          <cell r="E6165" t="str">
            <v>NICHITPUR</v>
          </cell>
          <cell r="G6165">
            <v>7903412157</v>
          </cell>
          <cell r="K6165" t="str">
            <v>BUCD162696</v>
          </cell>
        </row>
        <row r="6166">
          <cell r="E6166" t="str">
            <v>HORHAP ROAD, MAHILONG, RANCHI
835103</v>
          </cell>
          <cell r="G6166">
            <v>9708039203</v>
          </cell>
          <cell r="K6166" t="str">
            <v>BRIC374329</v>
          </cell>
        </row>
        <row r="6167">
          <cell r="E6167" t="str">
            <v>PALAMU,GARWA, JHARKHAND
822124
GARHWA ROAD, NEAR BCCL PALAMU,</v>
          </cell>
          <cell r="G6167">
            <v>8877137307</v>
          </cell>
          <cell r="K6167" t="str">
            <v>GOCS030806</v>
          </cell>
        </row>
        <row r="6168">
          <cell r="E6168" t="str">
            <v>GROUND FLOOR,, OFFICE NO.448A, ROAD NO.4, ASHOK NAGAR
GROUND FLOOR,, OFFICE NO.448A, ROAD NO.4, ASHOK NAGAR
829118
PLOT NO:- 47P, PATRATU INDUSTRIAL AREA</v>
          </cell>
          <cell r="G6168">
            <v>7541959323</v>
          </cell>
          <cell r="K6168" t="str">
            <v>GOGC370754</v>
          </cell>
        </row>
        <row r="6169">
          <cell r="E6169" t="str">
            <v>GROUND FLOOR,, OFFICE NO.448A, ROAD NO.4, ASHOK NAGAR
GROUND FLOOR,, OFFICE NO.448A, ROAD NO.4, ASHOK NAGAR
829118
PLOT NO:- 47P, PATRATU INDUSTRIAL AREA</v>
          </cell>
          <cell r="G6169">
            <v>7541959323</v>
          </cell>
          <cell r="K6169" t="str">
            <v>ONIC370102</v>
          </cell>
        </row>
        <row r="6170">
          <cell r="E6170" t="str">
            <v xml:space="preserve">TOPIN SOUTH  </v>
          </cell>
          <cell r="G6170">
            <v>9102994453</v>
          </cell>
          <cell r="K6170" t="str">
            <v>BSGD161864</v>
          </cell>
        </row>
        <row r="6171">
          <cell r="E6171" t="str">
            <v>BASTAWLA DHANBAD</v>
          </cell>
          <cell r="G6171">
            <v>9550053031</v>
          </cell>
          <cell r="K6171" t="str">
            <v>BUAD162630</v>
          </cell>
        </row>
        <row r="6172">
          <cell r="E6172" t="str">
            <v>KHERA</v>
          </cell>
          <cell r="G6172">
            <v>8521430494</v>
          </cell>
          <cell r="K6172" t="str">
            <v>BTCD162159</v>
          </cell>
        </row>
        <row r="6173">
          <cell r="E6173" t="str">
            <v>TELULMARI</v>
          </cell>
          <cell r="G6173">
            <v>6203273412</v>
          </cell>
          <cell r="K6173" t="str">
            <v>BQCD160129</v>
          </cell>
        </row>
        <row r="6174">
          <cell r="E6174" t="str">
            <v>TATULMURI, DHANBAD</v>
          </cell>
          <cell r="G6174">
            <v>6203273412</v>
          </cell>
          <cell r="K6174" t="str">
            <v>BUGD162852</v>
          </cell>
        </row>
        <row r="6175">
          <cell r="E6175" t="str">
            <v>VILL - BARIDARI, BOKARO</v>
          </cell>
          <cell r="G6175">
            <v>6204816691</v>
          </cell>
          <cell r="K6175" t="str">
            <v>BSCD161704</v>
          </cell>
        </row>
        <row r="6176">
          <cell r="E6176" t="str">
            <v>BAGODAR
GIRIDIH</v>
          </cell>
          <cell r="G6176">
            <v>7761032448</v>
          </cell>
          <cell r="K6176" t="str">
            <v>BUDS034763</v>
          </cell>
        </row>
        <row r="6177">
          <cell r="E6177" t="str">
            <v>RAJA PUR</v>
          </cell>
          <cell r="G6177">
            <v>8210106692</v>
          </cell>
          <cell r="K6177" t="str">
            <v>BRHD161312</v>
          </cell>
        </row>
        <row r="6178">
          <cell r="E6178" t="str">
            <v>RANCHI PATNA ROAD
DEMOTAND
825301
HAZARIBAGH</v>
          </cell>
          <cell r="G6178">
            <v>7905424302</v>
          </cell>
          <cell r="K6178" t="str">
            <v>BSCS037531</v>
          </cell>
        </row>
        <row r="6179">
          <cell r="E6179" t="str">
            <v>RANCHI PATNA ROAD
DEMOTAND
825301
HAZARIBAGH</v>
          </cell>
          <cell r="G6179">
            <v>7905424302</v>
          </cell>
          <cell r="K6179" t="str">
            <v>BMBL160078</v>
          </cell>
        </row>
        <row r="6180">
          <cell r="E6180" t="str">
            <v>SAHIBGANJ</v>
          </cell>
          <cell r="G6180">
            <v>7544958524</v>
          </cell>
          <cell r="K6180" t="str">
            <v>BSID161973</v>
          </cell>
        </row>
        <row r="6181">
          <cell r="E6181" t="str">
            <v>MIRZA CHOUKI, SAHEBGANJ</v>
          </cell>
          <cell r="G6181">
            <v>7544958524</v>
          </cell>
          <cell r="K6181" t="str">
            <v>BUBD162649</v>
          </cell>
        </row>
        <row r="6182">
          <cell r="E6182" t="str">
            <v>TRAFFIC DEPARTMENT BOKARO</v>
          </cell>
          <cell r="G6182">
            <v>8986874124</v>
          </cell>
          <cell r="K6182" t="str">
            <v>BUAD121111</v>
          </cell>
        </row>
        <row r="6183">
          <cell r="E6183" t="str">
            <v>SHEETLA PRASAD SINGH,, MISHRA PADA, NEAR DURGA MANDIR,, JHARIA, DHANBAD - 828 111, JHARKHAND.</v>
          </cell>
          <cell r="G6183">
            <v>7644045555</v>
          </cell>
          <cell r="K6183" t="str">
            <v>BTCD162149</v>
          </cell>
        </row>
        <row r="6184">
          <cell r="E6184" t="str">
            <v>BHOWRA, DHANBAD</v>
          </cell>
          <cell r="G6184">
            <v>8102325605</v>
          </cell>
          <cell r="K6184" t="str">
            <v>BSAD161597</v>
          </cell>
        </row>
        <row r="6185">
          <cell r="E6185" t="str">
            <v>RAVULA SHYAM SUNDER REDDY, HOUSE NO. 3-5-196/1, ROAD NO. 5M, KRISHNANAGAR COLONY, MOULALI, HYDRABAD</v>
          </cell>
          <cell r="G6185">
            <v>9661544624</v>
          </cell>
          <cell r="K6185" t="str">
            <v>BSCD161691</v>
          </cell>
        </row>
        <row r="6186">
          <cell r="E6186" t="str">
            <v>KATRAS, DHANBAD</v>
          </cell>
          <cell r="G6186">
            <v>9661544624</v>
          </cell>
          <cell r="K6186" t="str">
            <v>BSKD161477</v>
          </cell>
        </row>
        <row r="6187">
          <cell r="E6187" t="str">
            <v>SHEETLA PRASAD SINGH,, MISHRA PADA, NEAR DURGA MANDIR,, JHARIA, DHANBAD - 828 111, JHARKHAND.</v>
          </cell>
          <cell r="G6187">
            <v>7644045555</v>
          </cell>
          <cell r="K6187" t="str">
            <v>BTDD162169</v>
          </cell>
        </row>
        <row r="6188">
          <cell r="E6188" t="str">
            <v>TRIDENT PNEUMATICS PVT LTD   5/232,KNG PUDUR ROADSOMAYAMPALAYAM POSTCOIMBATORE IND</v>
          </cell>
          <cell r="G6188">
            <v>9386007608</v>
          </cell>
          <cell r="K6188" t="str">
            <v>BRCC373040</v>
          </cell>
        </row>
        <row r="6189">
          <cell r="E6189" t="str">
            <v>TAPIN HAZARIBAGH</v>
          </cell>
          <cell r="G6189">
            <v>8002177613</v>
          </cell>
          <cell r="K6189" t="str">
            <v>BTGD162289</v>
          </cell>
        </row>
        <row r="6190">
          <cell r="E6190" t="str">
            <v>LODNA</v>
          </cell>
          <cell r="G6190">
            <v>9508203562</v>
          </cell>
          <cell r="K6190" t="str">
            <v>BSJD161429</v>
          </cell>
        </row>
        <row r="6191">
          <cell r="E6191" t="str">
            <v>NAGRI,RANCHI
835303</v>
          </cell>
          <cell r="G6191">
            <v>9771432674</v>
          </cell>
          <cell r="K6191" t="str">
            <v>BJDET70060</v>
          </cell>
        </row>
        <row r="6192">
          <cell r="E6192" t="str">
            <v>KHURPANIA, KHASHMAHAL, PHUSHRO</v>
          </cell>
          <cell r="G6192">
            <v>8084594544</v>
          </cell>
          <cell r="K6192" t="str">
            <v>BTHD162350</v>
          </cell>
        </row>
        <row r="6193">
          <cell r="E6193" t="str">
            <v>TRIDENT PNEUMATICS PVT LTD   5/232,KNG PUDUR ROADSOMAYAMPALAYAM POSTCOIMBATORE IND</v>
          </cell>
          <cell r="G6193">
            <v>9386007608</v>
          </cell>
          <cell r="K6193" t="str">
            <v>BRCC373040</v>
          </cell>
        </row>
        <row r="6194">
          <cell r="E6194" t="str">
            <v>JAMSHEDPUR</v>
          </cell>
          <cell r="G6194">
            <v>7004894769</v>
          </cell>
          <cell r="K6194" t="str">
            <v>BVKS037528</v>
          </cell>
        </row>
        <row r="6195">
          <cell r="E6195" t="str">
            <v>JHUMRI TELAIYA, KODARMA
825409</v>
          </cell>
          <cell r="G6195">
            <v>7753025487</v>
          </cell>
          <cell r="K6195" t="str">
            <v>BSBC375530</v>
          </cell>
        </row>
        <row r="6196">
          <cell r="E6196" t="str">
            <v>MURI RANCHI</v>
          </cell>
          <cell r="G6196">
            <v>9122499673</v>
          </cell>
          <cell r="K6196" t="str">
            <v>BSLD230358</v>
          </cell>
        </row>
        <row r="6197">
          <cell r="E6197" t="str">
            <v>SHEETLA PRASAD SINGH,, MISHRA PADA, NEAR DURGA MANDIR,, JHARIA, DHANBAD - 828 111, JHARKHAND.</v>
          </cell>
          <cell r="G6197">
            <v>7644045555</v>
          </cell>
          <cell r="K6197" t="str">
            <v>BTCD162149</v>
          </cell>
        </row>
        <row r="6198">
          <cell r="E6198" t="str">
            <v>SHEETLA PRASAD SINGH,, MISHRA PADA, NEAR DURGA MANDIR,, JHARIA, DHANBAD - 828 111, JHARKHAND.</v>
          </cell>
          <cell r="G6198">
            <v>7644045555</v>
          </cell>
          <cell r="K6198" t="str">
            <v>BTKD162112</v>
          </cell>
        </row>
        <row r="6199">
          <cell r="E6199" t="str">
            <v>MUNGMA</v>
          </cell>
          <cell r="G6199">
            <v>8334924797</v>
          </cell>
          <cell r="K6199" t="str">
            <v>GNGS030424</v>
          </cell>
        </row>
        <row r="6200">
          <cell r="E6200" t="str">
            <v>MUNGMA</v>
          </cell>
          <cell r="G6200">
            <v>8334924797</v>
          </cell>
          <cell r="K6200" t="str">
            <v>BNEC370487</v>
          </cell>
        </row>
        <row r="6201">
          <cell r="E6201" t="str">
            <v>MUNGMA</v>
          </cell>
          <cell r="G6201">
            <v>8334924797</v>
          </cell>
          <cell r="K6201" t="str">
            <v>BNLS030573</v>
          </cell>
        </row>
        <row r="6202">
          <cell r="E6202" t="str">
            <v>MUNGMA</v>
          </cell>
          <cell r="G6202">
            <v>8334924797</v>
          </cell>
          <cell r="K6202" t="str">
            <v>BNCS030884</v>
          </cell>
        </row>
        <row r="6203">
          <cell r="E6203" t="str">
            <v>URMILA TOWER, ROOM NO. 805, DHANBAD</v>
          </cell>
          <cell r="G6203">
            <v>6202842173</v>
          </cell>
          <cell r="K6203" t="str">
            <v>BTKD162074</v>
          </cell>
        </row>
        <row r="6204">
          <cell r="E6204" t="str">
            <v>MW APJL PROJECT SITE
VILLAGE &amp;P.O. MOTIA, TEHSIL: GODDA DIST. GODDA, JHARKHAND- 874733
874733</v>
          </cell>
          <cell r="G6204">
            <v>8102655334</v>
          </cell>
          <cell r="K6204" t="str">
            <v>BTJS043846</v>
          </cell>
        </row>
        <row r="6205">
          <cell r="E6205" t="str">
            <v>TETULWARI</v>
          </cell>
          <cell r="G6205">
            <v>9835747740</v>
          </cell>
          <cell r="K6205" t="str">
            <v>BTGD162296</v>
          </cell>
        </row>
        <row r="6206">
          <cell r="E6206" t="str">
            <v>BAGODER</v>
          </cell>
          <cell r="G6206">
            <v>9608255210</v>
          </cell>
          <cell r="K6206" t="str">
            <v>BRBD160856</v>
          </cell>
        </row>
        <row r="6207">
          <cell r="E6207" t="str">
            <v>NAYA MORE, RAMGRAH</v>
          </cell>
          <cell r="G6207">
            <v>8109928827</v>
          </cell>
          <cell r="K6207" t="str">
            <v>BUKS045387</v>
          </cell>
        </row>
        <row r="6208">
          <cell r="E6208" t="str">
            <v>NAYA MORE, RAMGRAH</v>
          </cell>
          <cell r="G6208">
            <v>8109928827</v>
          </cell>
          <cell r="K6208" t="str">
            <v>BUKS045388</v>
          </cell>
        </row>
        <row r="6209">
          <cell r="E6209" t="str">
            <v>PLOT NO 716,VILL-RUKKA,
835219</v>
          </cell>
          <cell r="G6209">
            <v>9791019799</v>
          </cell>
          <cell r="K6209" t="str">
            <v>BSKS036365</v>
          </cell>
        </row>
        <row r="6210">
          <cell r="E6210" t="str">
            <v>CHAPAPUR, NIRSA</v>
          </cell>
          <cell r="G6210">
            <v>7491861317</v>
          </cell>
          <cell r="K6210" t="str">
            <v>BQED160215</v>
          </cell>
        </row>
        <row r="6211">
          <cell r="E6211" t="str">
            <v>NICHITPUR</v>
          </cell>
          <cell r="G6211">
            <v>7903412157</v>
          </cell>
          <cell r="K6211" t="str">
            <v>BUCD162696</v>
          </cell>
        </row>
        <row r="6212">
          <cell r="E6212" t="str">
            <v>Govindpur, Dhanbad</v>
          </cell>
          <cell r="G6212">
            <v>6380540177</v>
          </cell>
          <cell r="K6212" t="str">
            <v>BQGD230029</v>
          </cell>
        </row>
        <row r="6213">
          <cell r="E6213" t="str">
            <v>RAMGARH
829103
NAYA MORE</v>
          </cell>
          <cell r="G6213">
            <v>8271433755</v>
          </cell>
          <cell r="K6213" t="str">
            <v>BPCS030196</v>
          </cell>
        </row>
        <row r="6214">
          <cell r="E6214" t="str">
            <v>PLOT NO. 148, TUPUDANA, INDUSTRIAL AREA, HATIA, RANCHI
834002</v>
          </cell>
          <cell r="G6214">
            <v>9534249500</v>
          </cell>
          <cell r="K6214" t="str">
            <v>BSLS036682</v>
          </cell>
        </row>
        <row r="6215">
          <cell r="E6215" t="str">
            <v>AT. BONGABAR, SANDI, RAMGARH, AMC  FROM 1-8-2019 TO 30-7-2020
829122
SANDI ,</v>
          </cell>
          <cell r="G6215">
            <v>7360077726</v>
          </cell>
          <cell r="K6215" t="str">
            <v>BLGS040605</v>
          </cell>
        </row>
        <row r="6216">
          <cell r="E6216" t="str">
            <v>MARRAR RAMGRAH</v>
          </cell>
          <cell r="G6216">
            <v>9638545205</v>
          </cell>
          <cell r="K6216" t="str">
            <v>GNFS040092</v>
          </cell>
        </row>
        <row r="6217">
          <cell r="E6217" t="str">
            <v>AL-MED EQUIPMENTS
BARIATU ROAD, RANCHI
834009</v>
          </cell>
          <cell r="G6217">
            <v>8850854131</v>
          </cell>
          <cell r="K6217" t="str">
            <v>BUBS045901</v>
          </cell>
        </row>
        <row r="6218">
          <cell r="E6218" t="str">
            <v>RANCHI
834002</v>
          </cell>
          <cell r="G6218">
            <v>7982606444</v>
          </cell>
          <cell r="K6218" t="str">
            <v>BTIS032020</v>
          </cell>
        </row>
        <row r="6219">
          <cell r="E6219" t="str">
            <v>TATULMURI, DHANBAD</v>
          </cell>
          <cell r="G6219">
            <v>8252145394</v>
          </cell>
          <cell r="K6219" t="str">
            <v>BUGD162852</v>
          </cell>
        </row>
        <row r="6220">
          <cell r="E6220" t="str">
            <v>CHUTIA, RANCHI</v>
          </cell>
          <cell r="G6220">
            <v>9939622140</v>
          </cell>
          <cell r="K6220" t="str">
            <v>BUFD162814</v>
          </cell>
        </row>
        <row r="6221">
          <cell r="E6221" t="str">
            <v>BERA, DHANBAD</v>
          </cell>
          <cell r="G6221">
            <v>9550053031</v>
          </cell>
          <cell r="K6221" t="str">
            <v>BUAD162634</v>
          </cell>
        </row>
        <row r="6222">
          <cell r="E6222" t="str">
            <v>SHOP NO. 201, MODI HEIGHTS, PHASE 2
OPPO. RADIO STATION
834001</v>
          </cell>
          <cell r="G6222">
            <v>9031027461</v>
          </cell>
          <cell r="K6222" t="str">
            <v>BTHC379417</v>
          </cell>
        </row>
        <row r="6223">
          <cell r="E6223" t="str">
            <v>CHANDAREKHA, GALUDIH</v>
          </cell>
          <cell r="G6223">
            <v>8969121059</v>
          </cell>
          <cell r="K6223" t="str">
            <v>BUKD121059</v>
          </cell>
        </row>
        <row r="6224">
          <cell r="E6224" t="str">
            <v>BERA, DHANBAD</v>
          </cell>
          <cell r="G6224">
            <v>7061815716</v>
          </cell>
          <cell r="K6224" t="str">
            <v>BUAD162634</v>
          </cell>
        </row>
        <row r="6225">
          <cell r="E6225" t="str">
            <v>BASTAWLA DHANBAD</v>
          </cell>
          <cell r="G6225">
            <v>6266983257</v>
          </cell>
          <cell r="K6225" t="str">
            <v>BTJD162046</v>
          </cell>
        </row>
        <row r="6226">
          <cell r="E6226" t="str">
            <v>SHEIKHPURA, BIHAR</v>
          </cell>
          <cell r="G6226">
            <v>6202016835</v>
          </cell>
          <cell r="K6226" t="str">
            <v>BULL160559</v>
          </cell>
        </row>
        <row r="6227">
          <cell r="E6227" t="str">
            <v>RANCHI</v>
          </cell>
          <cell r="G6227">
            <v>8877136770</v>
          </cell>
          <cell r="K6227" t="str">
            <v>BLIS031950</v>
          </cell>
        </row>
        <row r="6228">
          <cell r="E6228" t="str">
            <v>PALAMU,GARWA, JHARKHAND
822124
GARHWA ROAD, NEAR BCCL PALAMU,</v>
          </cell>
          <cell r="G6228">
            <v>8877137307</v>
          </cell>
          <cell r="K6228" t="str">
            <v>GOCS030806</v>
          </cell>
        </row>
        <row r="6229">
          <cell r="E6229" t="str">
            <v>REHLA,GARWA,JHARKHAND
822124
RANCHI</v>
          </cell>
          <cell r="G6229">
            <v>7004623399</v>
          </cell>
          <cell r="K6229" t="str">
            <v>BMFS031346</v>
          </cell>
        </row>
        <row r="6230">
          <cell r="E6230" t="str">
            <v>SHEIKHPURA, BIHAR</v>
          </cell>
          <cell r="G6230">
            <v>6202016835</v>
          </cell>
          <cell r="K6230" t="str">
            <v>BUAL160593</v>
          </cell>
        </row>
        <row r="6231">
          <cell r="E6231" t="str">
            <v>GIDDI A</v>
          </cell>
          <cell r="G6231">
            <v>9142402876</v>
          </cell>
          <cell r="K6231" t="str">
            <v>BRID161336</v>
          </cell>
        </row>
        <row r="6232">
          <cell r="E6232" t="str">
            <v>SADAR HOSPITAL, BOKARO, C/O L &amp; T LTD. BOKARO, JHARKHAND
C/O L &amp; T LTD. BOKARO, JHARKHAND
000000</v>
          </cell>
          <cell r="G6232">
            <v>7654511684</v>
          </cell>
          <cell r="K6232" t="str">
            <v>BUBS045933</v>
          </cell>
        </row>
        <row r="6233">
          <cell r="E6233" t="str">
            <v>SADAR HOSPITAL, BOKARO, C/O L &amp; T LTD. BOKARO, JHARKHAND
C/O L &amp; T LTD. BOKARO, JHARKHAND
000000</v>
          </cell>
          <cell r="G6233">
            <v>7654511684</v>
          </cell>
          <cell r="K6233" t="str">
            <v>BUBS045931</v>
          </cell>
        </row>
        <row r="6234">
          <cell r="E6234" t="str">
            <v>Chandan Kayari</v>
          </cell>
          <cell r="G6234">
            <v>6200687371</v>
          </cell>
          <cell r="K6234" t="str">
            <v>BVKS037427</v>
          </cell>
        </row>
        <row r="6235">
          <cell r="E6235" t="str">
            <v>BARHI, HAZARIBAGH</v>
          </cell>
          <cell r="G6235">
            <v>8488957184</v>
          </cell>
          <cell r="K6235" t="str">
            <v>BUCS034287</v>
          </cell>
        </row>
        <row r="6236">
          <cell r="E6236" t="str">
            <v>ADDRESS-PLOT-57B,BARAHI INDUSTRIAL AREA,ON DELHI HOWRAH NATIONAL HIGHWAY,BARHI,JAHARKHAND.</v>
          </cell>
          <cell r="G6236">
            <v>8488957184</v>
          </cell>
          <cell r="K6236" t="str">
            <v>BUBS033778</v>
          </cell>
        </row>
        <row r="6237">
          <cell r="E6237" t="str">
            <v>BIHAR, BEGUSARAI</v>
          </cell>
          <cell r="G6237">
            <v>8877841639</v>
          </cell>
          <cell r="K6237" t="str">
            <v>BUJD121019</v>
          </cell>
        </row>
        <row r="6238">
          <cell r="E6238" t="str">
            <v>BIHAR, BEGUSARAI</v>
          </cell>
          <cell r="G6238">
            <v>8877841639</v>
          </cell>
          <cell r="K6238" t="str">
            <v>BTJL152348</v>
          </cell>
        </row>
        <row r="6239">
          <cell r="E6239" t="str">
            <v>BIHAR, BEGUSARAI</v>
          </cell>
          <cell r="G6239">
            <v>8877841639</v>
          </cell>
          <cell r="K6239" t="str">
            <v>BSEL152198</v>
          </cell>
        </row>
        <row r="6240">
          <cell r="E6240" t="str">
            <v>DHANBAD</v>
          </cell>
          <cell r="G6240">
            <v>6207308280</v>
          </cell>
          <cell r="K6240" t="str">
            <v>BSGD161904</v>
          </cell>
        </row>
        <row r="6241">
          <cell r="E6241" t="str">
            <v>FLAT NO. 300, BLOCK - A, MP SRIRAM, CHHOTA GAMHARIA, P.S. - GAMHARIA, DIST.- SARAIKELA KHARSAWAN</v>
          </cell>
          <cell r="G6241">
            <v>6201067001</v>
          </cell>
          <cell r="K6241" t="str">
            <v>BRGL151464</v>
          </cell>
        </row>
        <row r="6242">
          <cell r="E6242" t="str">
            <v>RANCHI
834002</v>
          </cell>
          <cell r="G6242">
            <v>7982606444</v>
          </cell>
          <cell r="K6242" t="str">
            <v>BTIS032025</v>
          </cell>
        </row>
        <row r="6243">
          <cell r="E6243" t="str">
            <v>BARAUNI REFINING GATE NO. 1</v>
          </cell>
          <cell r="G6243">
            <v>8877841639</v>
          </cell>
          <cell r="K6243" t="str">
            <v>BSGL152296</v>
          </cell>
        </row>
        <row r="6244">
          <cell r="E6244" t="str">
            <v>BARAUNI REFINING GATE NO. 1</v>
          </cell>
          <cell r="G6244">
            <v>8877841639</v>
          </cell>
          <cell r="K6244" t="str">
            <v>BSGL152297</v>
          </cell>
        </row>
        <row r="6245">
          <cell r="E6245" t="str">
            <v>NAGRI,RANCHI
835202
RANCHI</v>
          </cell>
          <cell r="G6245">
            <v>8877024924</v>
          </cell>
          <cell r="K6245" t="str">
            <v>BMJS040004</v>
          </cell>
        </row>
        <row r="6246">
          <cell r="E6246" t="str">
            <v>RANCHI PATNA ROAD, NH-33, SINDUR, HAZARIBAGH</v>
          </cell>
          <cell r="G6246">
            <v>7004095574</v>
          </cell>
          <cell r="K6246" t="str">
            <v>BTKD200646</v>
          </cell>
        </row>
        <row r="6247">
          <cell r="E6247" t="str">
            <v>BHORA</v>
          </cell>
          <cell r="G6247">
            <v>7488119074</v>
          </cell>
          <cell r="K6247" t="str">
            <v>BULD162568</v>
          </cell>
        </row>
        <row r="6248">
          <cell r="E6248" t="str">
            <v>SHADEV NAGAR
834002
SHADEV NAGAR</v>
          </cell>
          <cell r="G6248">
            <v>8102898877</v>
          </cell>
          <cell r="K6248" t="str">
            <v>GOHC370857</v>
          </cell>
        </row>
        <row r="6249">
          <cell r="E6249" t="str">
            <v>RING ROAD, RAMPUR, RANCHI
834010</v>
          </cell>
          <cell r="G6249">
            <v>8698019221</v>
          </cell>
          <cell r="K6249" t="str">
            <v>BRCS033809</v>
          </cell>
        </row>
        <row r="6250">
          <cell r="E6250" t="str">
            <v>RING ROAD, RAMPUR, RANCHI
834010</v>
          </cell>
          <cell r="G6250">
            <v>8698019221</v>
          </cell>
          <cell r="K6250" t="str">
            <v>BRCS033813</v>
          </cell>
        </row>
        <row r="6251">
          <cell r="E6251" t="str">
            <v>RAMPUR, RANCHI</v>
          </cell>
          <cell r="G6251">
            <v>8698019221</v>
          </cell>
          <cell r="K6251" t="str">
            <v>BRCS033785</v>
          </cell>
        </row>
        <row r="6252">
          <cell r="E6252" t="str">
            <v>PLOT NO. 148, TUPUDANA, INDUSTRIAL AREA, HATIA, RANCHI
834002</v>
          </cell>
          <cell r="G6252">
            <v>9534249500</v>
          </cell>
          <cell r="K6252" t="str">
            <v>BSLS036682</v>
          </cell>
        </row>
        <row r="6253">
          <cell r="E6253" t="str">
            <v>PLOT NO. 148, TUPUDANA, INDUSTRIAL AREA, HATIA, RANCHI
834002</v>
          </cell>
          <cell r="G6253">
            <v>7979877049</v>
          </cell>
          <cell r="K6253" t="str">
            <v>BRIS035838</v>
          </cell>
        </row>
        <row r="6254">
          <cell r="E6254" t="str">
            <v>TUPUDANA INDUSTRIAL AREA, RANCHI
PLOT NO. 114, TUPUDANA INDUSTRIAL AREA, TUPUDANA,HATIA, RANCHI
834002
RANCHI</v>
          </cell>
          <cell r="G6254">
            <v>8210182306</v>
          </cell>
          <cell r="K6254" t="str">
            <v>BNAS040245</v>
          </cell>
        </row>
        <row r="6255">
          <cell r="E6255" t="str">
            <v>TUPUDANA INDUSTRIAL AREA, RANCHI
PLOT NO. 114, TUPUDANA INDUSTRIAL AREA, TUPUDANA,HATIA, RANCHI
834002
RANCHI</v>
          </cell>
          <cell r="G6255">
            <v>8210182306</v>
          </cell>
          <cell r="K6255" t="str">
            <v>GOKS040088</v>
          </cell>
        </row>
        <row r="6256">
          <cell r="E6256" t="str">
            <v>TUPUDANA INDUSTRIAL AREA, RANCHI
PLOT NO. 114, TUPUDANA INDUSTRIAL AREA, TUPUDANA,HATIA, RANCHI
834002
RANCHI</v>
          </cell>
          <cell r="G6256">
            <v>8709670947</v>
          </cell>
          <cell r="K6256">
            <v>123434</v>
          </cell>
        </row>
        <row r="6257">
          <cell r="E6257" t="str">
            <v>KATHITAR,RANCHI
KATHITAR,RANCHI
834004
KATHITAR,</v>
          </cell>
          <cell r="G6257">
            <v>6203721760</v>
          </cell>
          <cell r="K6257" t="str">
            <v>BSFC376340</v>
          </cell>
        </row>
        <row r="6258">
          <cell r="E6258" t="str">
            <v>TILTA RING ROAD.
834006</v>
          </cell>
          <cell r="G6258">
            <v>6200855859</v>
          </cell>
          <cell r="K6258" t="str">
            <v>BSHC376807</v>
          </cell>
        </row>
        <row r="6259">
          <cell r="E6259" t="str">
            <v>RAVULA SHYAM SUNDER REDDY, HOUSE NO. 3-5-196/1, ROAD NO. 5M, KRISHNANAGAR COLONY, MOULALI, HYDRABAD</v>
          </cell>
          <cell r="G6259">
            <v>8101968418</v>
          </cell>
          <cell r="K6259" t="str">
            <v>BTCD162162</v>
          </cell>
        </row>
        <row r="6260">
          <cell r="E6260" t="str">
            <v>RANCHI PATNA ROAD
DEMOTAND
825301
HAZARIBAGH</v>
          </cell>
          <cell r="G6260">
            <v>7905424302</v>
          </cell>
          <cell r="K6260" t="str">
            <v>BMBL160078</v>
          </cell>
        </row>
        <row r="6261">
          <cell r="E6261" t="str">
            <v>HAZARIBAGH</v>
          </cell>
          <cell r="G6261">
            <v>7634075471</v>
          </cell>
          <cell r="K6261" t="str">
            <v>BUKC370622</v>
          </cell>
        </row>
        <row r="6262">
          <cell r="E6262" t="str">
            <v>HAZARIBAGH</v>
          </cell>
          <cell r="G6262">
            <v>7365055123</v>
          </cell>
          <cell r="K6262" t="str">
            <v>BUIS036401</v>
          </cell>
        </row>
        <row r="6263">
          <cell r="E6263" t="str">
            <v>RAMGARH,JHARKHAND
829122</v>
          </cell>
          <cell r="G6263">
            <v>7659107064</v>
          </cell>
          <cell r="K6263" t="str">
            <v>BKIS032164</v>
          </cell>
        </row>
        <row r="6264">
          <cell r="E6264" t="str">
            <v>DALADALI, RANCHUI</v>
          </cell>
          <cell r="G6264">
            <v>7992413342</v>
          </cell>
          <cell r="K6264" t="str">
            <v>BMJD200014</v>
          </cell>
        </row>
        <row r="6265">
          <cell r="E6265" t="str">
            <v>GROUND FLOOR, 8H AND 81, NATION PRINTERS, NAMKUM INDUSTRIAL AREA,, LOWADIH, RANCHI
GROUND FLOOR, 8H AND 81, NATION PRINTERS, NAMKUM INDUSTRIAL AREA,, LOWADIH, RANCHI
834010</v>
          </cell>
          <cell r="G6265">
            <v>9709225271</v>
          </cell>
          <cell r="K6265" t="str">
            <v>BRCC372871</v>
          </cell>
        </row>
        <row r="6266">
          <cell r="E6266" t="str">
            <v>BASTAWLA DHANBAD</v>
          </cell>
          <cell r="G6266">
            <v>9550053031</v>
          </cell>
          <cell r="K6266" t="str">
            <v>BTJD162046</v>
          </cell>
        </row>
        <row r="6267">
          <cell r="E6267" t="str">
            <v>ORMANJHI</v>
          </cell>
          <cell r="G6267">
            <v>9102839411</v>
          </cell>
          <cell r="K6267" t="str">
            <v>BJBS030606</v>
          </cell>
        </row>
        <row r="6268">
          <cell r="E6268" t="str">
            <v>VINAIKA’S COMPLEX RANCHI TATA ROAD, R.S. PLOT NO.:-615,VILLAGE-PANCHA,THANA-BUNDU RANCHI, JHARKHAND.
834002</v>
          </cell>
          <cell r="G6268">
            <v>9818905980</v>
          </cell>
          <cell r="K6268" t="str">
            <v>BUDS046275</v>
          </cell>
        </row>
        <row r="6269">
          <cell r="E6269" t="str">
            <v>UPPER BAZAR,RANCHI
834001
OPP. MAHAVIR MANDIR , RADHA NAGAR ROAD</v>
          </cell>
          <cell r="G6269">
            <v>790969824</v>
          </cell>
          <cell r="K6269" t="str">
            <v>GOHC370805</v>
          </cell>
        </row>
        <row r="6270">
          <cell r="E6270" t="str">
            <v>SHADEV NAGAR
834002
SHADEV NAGAR</v>
          </cell>
          <cell r="G6270">
            <v>8102898877</v>
          </cell>
          <cell r="K6270" t="str">
            <v>GOHC370857</v>
          </cell>
        </row>
        <row r="6271">
          <cell r="E6271" t="str">
            <v>FLAT NO. 300, BLOCK - A, MP SRIRAM, CHHOTA GAMHARIA, P.S. - GAMHARIA, DIST.- SARAIKELA KHARSAWAN</v>
          </cell>
          <cell r="G6271">
            <v>7900700814</v>
          </cell>
          <cell r="K6271" t="str">
            <v>BRGL151468</v>
          </cell>
        </row>
        <row r="6272">
          <cell r="E6272" t="str">
            <v>FLAT NO. 300, BLOCK - A, MP SRIRAM, CHHOTA GAMHARIA, P.S. - GAMHARIA, DIST.- SARAIKELA KHARSAWAN</v>
          </cell>
          <cell r="G6272">
            <v>7900700814</v>
          </cell>
          <cell r="K6272" t="str">
            <v>BRBL150944</v>
          </cell>
        </row>
        <row r="6273">
          <cell r="E6273" t="str">
            <v>BHORA</v>
          </cell>
          <cell r="G6273">
            <v>9550053031</v>
          </cell>
          <cell r="K6273" t="str">
            <v>BULD162568</v>
          </cell>
        </row>
        <row r="6274">
          <cell r="E6274" t="str">
            <v>NAGARI, RANCHI
834006</v>
          </cell>
          <cell r="G6274">
            <v>7255848442</v>
          </cell>
          <cell r="K6274" t="str">
            <v>BRAC372524</v>
          </cell>
        </row>
        <row r="6275">
          <cell r="E6275" t="str">
            <v>SHEKHPURA, BIHAR</v>
          </cell>
          <cell r="G6275">
            <v>9304172201</v>
          </cell>
          <cell r="K6275" t="str">
            <v>BULL160564</v>
          </cell>
        </row>
        <row r="6276">
          <cell r="E6276" t="str">
            <v>RANCHI ROAD,RAMGARH 
DIGWAR,RAMGARH
829122
DIGWAR , RANCHI ROAD ,</v>
          </cell>
          <cell r="G6276">
            <v>7004848564</v>
          </cell>
          <cell r="K6276" t="str">
            <v>BSFC376459</v>
          </cell>
        </row>
        <row r="6277">
          <cell r="E6277" t="str">
            <v>CHUTIA, RANCHI</v>
          </cell>
          <cell r="G6277">
            <v>9939622140</v>
          </cell>
          <cell r="K6277" t="str">
            <v>BUFD162814</v>
          </cell>
        </row>
        <row r="6278">
          <cell r="E6278" t="str">
            <v>NAGRI,RANCHI
835202
RANCHI</v>
          </cell>
          <cell r="G6278">
            <v>8877024924</v>
          </cell>
          <cell r="K6278" t="str">
            <v>BMJS040004</v>
          </cell>
        </row>
        <row r="6279">
          <cell r="E6279" t="str">
            <v>KODERMA</v>
          </cell>
          <cell r="G6279">
            <v>7004744698</v>
          </cell>
          <cell r="K6279" t="str">
            <v>BUES035290</v>
          </cell>
        </row>
        <row r="6280">
          <cell r="E6280" t="str">
            <v>REHLA,GARWA,JHARKHAND
822124
RANCHI</v>
          </cell>
          <cell r="G6280">
            <v>7004623399</v>
          </cell>
          <cell r="K6280" t="str">
            <v>BMFS031346</v>
          </cell>
        </row>
        <row r="6281">
          <cell r="E6281" t="str">
            <v>KODERMA</v>
          </cell>
          <cell r="G6281">
            <v>8409682507</v>
          </cell>
          <cell r="K6281" t="str">
            <v>BVKS037293</v>
          </cell>
        </row>
        <row r="6282">
          <cell r="E6282" t="str">
            <v>KODERMA</v>
          </cell>
          <cell r="G6282">
            <v>8409682507</v>
          </cell>
          <cell r="K6282" t="str">
            <v>BVKS037293</v>
          </cell>
        </row>
        <row r="6283">
          <cell r="E6283" t="str">
            <v>AT - HEHAL, POST - BARKAKANA
BARKAKANA
829103</v>
          </cell>
          <cell r="G6283">
            <v>9386515681</v>
          </cell>
          <cell r="K6283" t="str">
            <v>BUAS033580</v>
          </cell>
        </row>
        <row r="6284">
          <cell r="E6284" t="str">
            <v>NAGARI,</v>
          </cell>
          <cell r="G6284">
            <v>9297706123</v>
          </cell>
          <cell r="K6284" t="str">
            <v>BLGS040582</v>
          </cell>
        </row>
        <row r="6285">
          <cell r="E6285" t="str">
            <v>RANCHI PATNA ROAD
DEMOTAND
825301
HAZARIBAGH</v>
          </cell>
          <cell r="G6285">
            <v>7905424302</v>
          </cell>
          <cell r="K6285" t="str">
            <v>BSCS037531</v>
          </cell>
        </row>
        <row r="6286">
          <cell r="E6286" t="str">
            <v>AT. BONGABAR, SANDI, RAMGARH, AMC  FROM 1-8-2019 TO 30-7-2020
829122
SANDI ,</v>
          </cell>
          <cell r="G6286">
            <v>7360077726</v>
          </cell>
          <cell r="K6286" t="str">
            <v>BLGS040605</v>
          </cell>
        </row>
        <row r="6287">
          <cell r="E6287" t="str">
            <v>RAMGARH</v>
          </cell>
          <cell r="G6287">
            <v>7004377365</v>
          </cell>
          <cell r="K6287" t="str">
            <v>BLES031356</v>
          </cell>
        </row>
        <row r="6288">
          <cell r="E6288" t="str">
            <v>RAMGARH</v>
          </cell>
          <cell r="G6288">
            <v>7009377365</v>
          </cell>
          <cell r="K6288" t="str">
            <v>BKAS030601</v>
          </cell>
        </row>
        <row r="6289">
          <cell r="E6289" t="str">
            <v>RANCHI PATNA ROAD
DEMOTAND
825301
HAZARIBAGH</v>
          </cell>
          <cell r="G6289">
            <v>7905424302</v>
          </cell>
          <cell r="K6289" t="str">
            <v>BIFS040367</v>
          </cell>
        </row>
        <row r="6290">
          <cell r="E6290" t="str">
            <v>RANCHI PATNA ROAD
DEMOTAND
825301
HAZARIBAGH</v>
          </cell>
          <cell r="G6290">
            <v>7905424302</v>
          </cell>
          <cell r="K6290" t="str">
            <v>BMBL160078</v>
          </cell>
        </row>
        <row r="6291">
          <cell r="E6291" t="str">
            <v>PALAMU DAIRY PROJECT, VILL- GANKI</v>
          </cell>
          <cell r="G6291">
            <v>9410009258</v>
          </cell>
          <cell r="K6291" t="str">
            <v>BULC370790</v>
          </cell>
        </row>
        <row r="6292">
          <cell r="E6292" t="str">
            <v>SHOP NO. 201, MODI HEIGHTS, PHASE 2
OPPO. RADIO STATION
834001</v>
          </cell>
          <cell r="G6292">
            <v>9031027461</v>
          </cell>
          <cell r="K6292" t="str">
            <v>BTHC379417</v>
          </cell>
        </row>
        <row r="6293">
          <cell r="E6293" t="str">
            <v>Chiturdih, Dhanbad.</v>
          </cell>
          <cell r="G6293">
            <v>9981519401</v>
          </cell>
          <cell r="K6293" t="str">
            <v>BTDD162192</v>
          </cell>
        </row>
        <row r="6294">
          <cell r="E6294" t="str">
            <v>CHATRA</v>
          </cell>
          <cell r="G6294">
            <v>9939116955</v>
          </cell>
          <cell r="K6294" t="str">
            <v>BUES035163</v>
          </cell>
        </row>
        <row r="6295">
          <cell r="E6295" t="str">
            <v>DHANBAD, CONT PERSON :MR. IKTEKHAR AHMAD, PH.NO :9431316718</v>
          </cell>
          <cell r="G6295">
            <v>7402773991</v>
          </cell>
          <cell r="K6295" t="str">
            <v>BSKD161462</v>
          </cell>
        </row>
        <row r="6296">
          <cell r="E6296" t="str">
            <v>SARWARI, ASANSOL, WB</v>
          </cell>
          <cell r="G6296">
            <v>9599040419</v>
          </cell>
          <cell r="K6296" t="str">
            <v>BSCS037494</v>
          </cell>
        </row>
        <row r="6297">
          <cell r="E6297" t="str">
            <v>BARIDIH</v>
          </cell>
          <cell r="G6297">
            <v>9304170499</v>
          </cell>
          <cell r="K6297" t="str">
            <v>BQIC371495</v>
          </cell>
        </row>
        <row r="6298">
          <cell r="E6298" t="str">
            <v>CHATRA</v>
          </cell>
          <cell r="G6298">
            <v>9939116955</v>
          </cell>
          <cell r="K6298" t="str">
            <v>BUIS036515</v>
          </cell>
        </row>
        <row r="6299">
          <cell r="E6299" t="str">
            <v>MANDU, RAMGARH
JAISWAL COLONY, THANA CHOW,, RAMGARH CANTT. DIST. RAMGARH, JHARKHAND
825316
MANDU</v>
          </cell>
          <cell r="G6299">
            <v>8617372928</v>
          </cell>
          <cell r="K6299" t="str">
            <v>BSGS043528</v>
          </cell>
        </row>
        <row r="6300">
          <cell r="E6300" t="str">
            <v>BASKATOLA</v>
          </cell>
          <cell r="G6300">
            <v>9550053031</v>
          </cell>
          <cell r="K6300" t="str">
            <v>BULD162577</v>
          </cell>
        </row>
        <row r="6301">
          <cell r="E6301" t="str">
            <v>SHEETLA PRASAD SINGH,, MISHRA PADA, NEAR DURGA MANDIR,, JHARIA, DHANBAD - 828 111, JHARKHAND.</v>
          </cell>
          <cell r="G6301">
            <v>7644045555</v>
          </cell>
          <cell r="K6301" t="str">
            <v>BTDD162169</v>
          </cell>
        </row>
        <row r="6302">
          <cell r="E6302" t="str">
            <v>REHLA,GARWA,JHARKHAND
822124
RANCHI</v>
          </cell>
          <cell r="G6302">
            <v>7004623399</v>
          </cell>
          <cell r="K6302" t="str">
            <v>BMFS031346</v>
          </cell>
        </row>
        <row r="6303">
          <cell r="E6303" t="str">
            <v>BGR Dhanbad</v>
          </cell>
          <cell r="G6303">
            <v>9550053031</v>
          </cell>
          <cell r="K6303" t="str">
            <v>BUAD162634</v>
          </cell>
        </row>
        <row r="6304">
          <cell r="E6304" t="str">
            <v>BASTAWLA DHANBAD</v>
          </cell>
          <cell r="G6304">
            <v>9550053031</v>
          </cell>
          <cell r="K6304" t="str">
            <v>BUAD162630</v>
          </cell>
        </row>
        <row r="6305">
          <cell r="E6305" t="str">
            <v>BASTAKOLA, DHANBAD</v>
          </cell>
          <cell r="G6305">
            <v>7667296002</v>
          </cell>
          <cell r="K6305" t="str">
            <v>BUKD162535</v>
          </cell>
        </row>
        <row r="6306">
          <cell r="E6306" t="str">
            <v>DHANBAD</v>
          </cell>
          <cell r="G6306">
            <v>9550053031</v>
          </cell>
          <cell r="K6306" t="str">
            <v>BTDD162186</v>
          </cell>
        </row>
        <row r="6307">
          <cell r="E6307" t="str">
            <v>KANKE, RANCHI
834002</v>
          </cell>
          <cell r="G6307">
            <v>7979732853</v>
          </cell>
          <cell r="K6307" t="str">
            <v>BSFC376396</v>
          </cell>
        </row>
        <row r="6308">
          <cell r="E6308" t="str">
            <v>TRIDENT PNEUMATICS PVT LTD   5/232,KNG PUDUR ROADSOMAYAMPALAYAM POSTCOIMBATORE IND</v>
          </cell>
          <cell r="G6308">
            <v>9386007608</v>
          </cell>
          <cell r="K6308" t="str">
            <v>BRCC373040</v>
          </cell>
        </row>
        <row r="6309">
          <cell r="E6309" t="str">
            <v>SHEIKHPURA, BIHAR</v>
          </cell>
          <cell r="G6309">
            <v>6202016835</v>
          </cell>
          <cell r="K6309" t="str">
            <v>BULL160559</v>
          </cell>
        </row>
        <row r="6310">
          <cell r="E6310" t="str">
            <v>SHEIKHPURA, BIHAR</v>
          </cell>
          <cell r="G6310">
            <v>6202016835</v>
          </cell>
          <cell r="K6310" t="str">
            <v>BUAL160593</v>
          </cell>
        </row>
        <row r="6311">
          <cell r="E6311" t="str">
            <v>TUPUDANA INDUSTRIAL AREA, RANCHI
PLOT NO. - 45 &amp; 46, TUPUDAN AINDUSTRIAL AREA, TUPUDANA, HATIA, RANCHI
834003
TIPUDANA INDUSTRIAL AREA</v>
          </cell>
          <cell r="G6311">
            <v>9234603380</v>
          </cell>
          <cell r="K6311" t="str">
            <v>BQBS033819</v>
          </cell>
        </row>
        <row r="6312">
          <cell r="E6312" t="str">
            <v>SHEETLA PRASAD SINGH,, MISHRA PADA, NEAR DURGA MANDIR,, JHARIA, DHANBAD - 828 111, JHARKHAND.</v>
          </cell>
          <cell r="G6312">
            <v>7644045555</v>
          </cell>
          <cell r="K6312" t="str">
            <v>BTCD162149</v>
          </cell>
        </row>
        <row r="6313">
          <cell r="E6313" t="str">
            <v>BASTAKOLA, DHANBAD</v>
          </cell>
          <cell r="G6313">
            <v>7667296002</v>
          </cell>
          <cell r="K6313" t="str">
            <v>BQKD160099</v>
          </cell>
        </row>
        <row r="6314">
          <cell r="E6314" t="str">
            <v>JAMSHEDPUR</v>
          </cell>
          <cell r="G6314">
            <v>9304170499</v>
          </cell>
          <cell r="K6314" t="str">
            <v>BMFC370445</v>
          </cell>
        </row>
        <row r="6315">
          <cell r="E6315" t="str">
            <v>JAMSHEDPUR</v>
          </cell>
          <cell r="G6315">
            <v>9304170499</v>
          </cell>
          <cell r="K6315" t="str">
            <v>BMFC370445</v>
          </cell>
        </row>
        <row r="6316">
          <cell r="E6316" t="str">
            <v>CHUTIA, RANCHI</v>
          </cell>
          <cell r="G6316">
            <v>9939622140</v>
          </cell>
          <cell r="K6316" t="str">
            <v>BUFD162814</v>
          </cell>
        </row>
        <row r="6317">
          <cell r="E6317" t="str">
            <v>RAVULA SHYAM SUNDER REDDY, HOUSE NO. 3-5-196/1, ROAD NO. 5M, KRISHNANAGAR COLONY, MOULALI, HYDRABAD</v>
          </cell>
          <cell r="G6317">
            <v>9798360305</v>
          </cell>
          <cell r="K6317" t="str">
            <v>BSCD161691</v>
          </cell>
        </row>
        <row r="6318">
          <cell r="E6318" t="str">
            <v>KATRAS, DHANBAD</v>
          </cell>
          <cell r="G6318">
            <v>9798360305</v>
          </cell>
          <cell r="K6318" t="str">
            <v>BSKD161477</v>
          </cell>
        </row>
        <row r="6319">
          <cell r="E6319" t="str">
            <v>PAWAN KUMAR MISHRA,, KAHALGAON, BHAGALPUR, BIHAR - 813 203</v>
          </cell>
          <cell r="G6319">
            <v>6206698729</v>
          </cell>
          <cell r="K6319" t="str">
            <v>BSCL152143</v>
          </cell>
        </row>
        <row r="6320">
          <cell r="E6320" t="str">
            <v>BAGODAR
GIRIDIH</v>
          </cell>
          <cell r="G6320">
            <v>9431358185</v>
          </cell>
          <cell r="K6320" t="str">
            <v>BVJS036816</v>
          </cell>
        </row>
        <row r="6321">
          <cell r="E6321" t="str">
            <v>SADAR HOSPITAL, LATEHAR, C/O L &amp; T LTD. LATEHAR, JHARKHAND
C/O L &amp; T LTD. BOKARO, JHARKHAND
000000</v>
          </cell>
          <cell r="G6321">
            <v>7991105505</v>
          </cell>
          <cell r="K6321" t="str">
            <v>BUCS046173</v>
          </cell>
        </row>
        <row r="6322">
          <cell r="E6322" t="str">
            <v>RATANPUR,DHANBAD
828109</v>
          </cell>
          <cell r="G6322">
            <v>9031029501</v>
          </cell>
          <cell r="K6322" t="str">
            <v>BTLC377584</v>
          </cell>
        </row>
        <row r="6323">
          <cell r="E6323" t="str">
            <v>KANKE, RANCHI
834002</v>
          </cell>
          <cell r="G6323">
            <v>7979732853</v>
          </cell>
          <cell r="K6323" t="str">
            <v>BSFC376396</v>
          </cell>
        </row>
        <row r="6324">
          <cell r="E6324" t="str">
            <v>NEWRI VIKASH RANCHI JHARKHAND
NEWRI VIKASH RANCHI JHARKHAND
834006
RANCHI</v>
          </cell>
          <cell r="G6324">
            <v>201479268</v>
          </cell>
          <cell r="K6324" t="str">
            <v>BQAC373734</v>
          </cell>
        </row>
        <row r="6325">
          <cell r="E6325" t="str">
            <v>URMILA TOWER, ROOM NO. 805, DHANBAD</v>
          </cell>
          <cell r="G6325">
            <v>6202842175</v>
          </cell>
          <cell r="K6325" t="str">
            <v>BTKD162074</v>
          </cell>
        </row>
        <row r="6326">
          <cell r="E6326" t="str">
            <v>DALTONGANJ</v>
          </cell>
          <cell r="G6326">
            <v>7870056828</v>
          </cell>
          <cell r="K6326" t="str">
            <v>BUBS045955</v>
          </cell>
        </row>
        <row r="6327">
          <cell r="E6327" t="str">
            <v>DALTONGANJ</v>
          </cell>
          <cell r="G6327">
            <v>7870056828</v>
          </cell>
          <cell r="K6327" t="str">
            <v>BUBS045965</v>
          </cell>
        </row>
        <row r="6328">
          <cell r="E6328" t="str">
            <v>LALGUTUA RANCHI</v>
          </cell>
          <cell r="G6328">
            <v>8306527515</v>
          </cell>
          <cell r="K6328" t="str">
            <v>BVJC374154</v>
          </cell>
        </row>
        <row r="6329">
          <cell r="E6329" t="str">
            <v>CHANDAREKHA, GALUDIH</v>
          </cell>
          <cell r="G6329">
            <v>8969121059</v>
          </cell>
          <cell r="K6329" t="str">
            <v>BUKD121059</v>
          </cell>
        </row>
        <row r="6330">
          <cell r="E6330" t="str">
            <v>PLOT NO. 148, TUPUDANA, INDUSTRIAL AREA, HATIA, RANCHI
834002</v>
          </cell>
          <cell r="G6330">
            <v>7979877049</v>
          </cell>
          <cell r="K6330" t="str">
            <v>BRIS035838</v>
          </cell>
        </row>
        <row r="6331">
          <cell r="E6331" t="str">
            <v>SUNDAR NAGAR, JAMSHEDPUR</v>
          </cell>
          <cell r="G6331">
            <v>9556546094</v>
          </cell>
          <cell r="K6331" t="str">
            <v>BUAD162625</v>
          </cell>
        </row>
        <row r="6332">
          <cell r="E6332" t="str">
            <v>TRIDENT PNEUMATICS PVT LTD   5/232,KNG PUDUR ROADSOMAYAMPALAYAM POSTCOIMBATORE IND</v>
          </cell>
          <cell r="G6332">
            <v>9386007608</v>
          </cell>
          <cell r="K6332" t="str">
            <v>BRCC373040</v>
          </cell>
        </row>
        <row r="6333">
          <cell r="E6333" t="str">
            <v>RANCHI
834002</v>
          </cell>
          <cell r="G6333">
            <v>7982606444</v>
          </cell>
          <cell r="K6333" t="str">
            <v>BULS033141</v>
          </cell>
        </row>
        <row r="6334">
          <cell r="E6334" t="str">
            <v>RANCHI
834002</v>
          </cell>
          <cell r="G6334">
            <v>7982606444</v>
          </cell>
          <cell r="K6334" t="str">
            <v>BULS033141</v>
          </cell>
        </row>
        <row r="6335">
          <cell r="E6335" t="str">
            <v>MANDU, RAMGARH
JAISWAL COLONY, THANA CHOW,, RAMGARH CANTT. DIST. RAMGARH, JHARKHAND
825316
MANDU</v>
          </cell>
          <cell r="G6335">
            <v>8617372928</v>
          </cell>
          <cell r="K6335" t="str">
            <v>BSGS043528</v>
          </cell>
        </row>
        <row r="6336">
          <cell r="E6336" t="str">
            <v>RANCHI
834002</v>
          </cell>
          <cell r="G6336">
            <v>7982606444</v>
          </cell>
          <cell r="K6336" t="str">
            <v>BTIS032020</v>
          </cell>
        </row>
        <row r="6337">
          <cell r="E6337" t="str">
            <v>RANCHI
834002</v>
          </cell>
          <cell r="G6337">
            <v>7982606444</v>
          </cell>
          <cell r="K6337" t="str">
            <v>BTIS032025</v>
          </cell>
        </row>
        <row r="6338">
          <cell r="E6338" t="str">
            <v>CHANDAN KYARI, DHANBAD</v>
          </cell>
          <cell r="G6338">
            <v>6200687371</v>
          </cell>
          <cell r="K6338" t="str">
            <v>BUCS034180</v>
          </cell>
        </row>
        <row r="6339">
          <cell r="E6339" t="str">
            <v>NAGARI
 835303</v>
          </cell>
          <cell r="G6339">
            <v>9264443243</v>
          </cell>
          <cell r="K6339" t="str">
            <v>BREC373538</v>
          </cell>
        </row>
        <row r="6340">
          <cell r="E6340" t="str">
            <v>TAPIN PROJECT, TAPIN</v>
          </cell>
          <cell r="G6340">
            <v>9142209928</v>
          </cell>
          <cell r="K6340" t="str">
            <v>BUID162953</v>
          </cell>
        </row>
        <row r="6341">
          <cell r="E6341" t="str">
            <v>BHOWRA</v>
          </cell>
          <cell r="G6341">
            <v>6207280765</v>
          </cell>
          <cell r="K6341" t="str">
            <v>BUDD162713</v>
          </cell>
        </row>
        <row r="6342">
          <cell r="E6342" t="str">
            <v>BANDHTOLI, NAGRI</v>
          </cell>
          <cell r="G6342">
            <v>6201457979</v>
          </cell>
          <cell r="K6342" t="str">
            <v>BUFS046813</v>
          </cell>
        </row>
        <row r="6343">
          <cell r="E6343" t="str">
            <v>NAGARI
 835303</v>
          </cell>
          <cell r="G6343">
            <v>9264443243</v>
          </cell>
          <cell r="K6343" t="str">
            <v>BREC373538</v>
          </cell>
        </row>
        <row r="6344">
          <cell r="E6344" t="str">
            <v>NAGRI,RANCHI
835202
RANCHI</v>
          </cell>
          <cell r="G6344">
            <v>8877024924</v>
          </cell>
          <cell r="K6344" t="str">
            <v>BMJS040004</v>
          </cell>
        </row>
        <row r="6345">
          <cell r="E6345" t="str">
            <v>RAMGARH,JHARKHAND
829122</v>
          </cell>
          <cell r="G6345">
            <v>7659107064</v>
          </cell>
          <cell r="K6345" t="str">
            <v>BKIS032164</v>
          </cell>
        </row>
        <row r="6346">
          <cell r="E6346" t="str">
            <v>ADMINISTRATIVE BLOCK, MECHINICAL DEPARTMENT, DHANBAD</v>
          </cell>
          <cell r="G6346">
            <v>9471192437</v>
          </cell>
          <cell r="K6346" t="str">
            <v>BUIS036656</v>
          </cell>
        </row>
        <row r="6347">
          <cell r="E6347" t="str">
            <v>REHLA,GARWA,JHARKHAND
822124
RANCHI</v>
          </cell>
          <cell r="G6347">
            <v>7004623399</v>
          </cell>
          <cell r="K6347" t="str">
            <v>GOIS031795</v>
          </cell>
        </row>
        <row r="6348">
          <cell r="E6348" t="str">
            <v>SHEKHPURA, BIHAR</v>
          </cell>
          <cell r="G6348">
            <v>9304172201</v>
          </cell>
          <cell r="K6348" t="str">
            <v>BULL160564</v>
          </cell>
        </row>
        <row r="6349">
          <cell r="E6349" t="str">
            <v>SHEKHPURA, BIHAR</v>
          </cell>
          <cell r="G6349">
            <v>9304172201</v>
          </cell>
          <cell r="K6349" t="str">
            <v>BTGL160455</v>
          </cell>
        </row>
        <row r="6350">
          <cell r="E6350" t="str">
            <v>C/O - PREM PRAKASH AGARWAL, OPP - HILLVIEW FUEL STATION, GODHUR, P.O - KUSUNDA, DHANBAD</v>
          </cell>
          <cell r="G6350">
            <v>7295943617</v>
          </cell>
          <cell r="K6350" t="str">
            <v>BTED162217</v>
          </cell>
        </row>
        <row r="6351">
          <cell r="E6351" t="str">
            <v>BASTAKOLA, DHANBAD</v>
          </cell>
          <cell r="G6351">
            <v>7667296002</v>
          </cell>
          <cell r="K6351" t="str">
            <v>BUKD162535</v>
          </cell>
        </row>
        <row r="6352">
          <cell r="E6352" t="str">
            <v>GIRIDIH</v>
          </cell>
          <cell r="G6352">
            <v>8051062502</v>
          </cell>
          <cell r="K6352" t="str">
            <v>BVKS048107</v>
          </cell>
        </row>
        <row r="6353">
          <cell r="E6353" t="str">
            <v>SATBARWA, DHANBAD</v>
          </cell>
          <cell r="G6353">
            <v>8809697867</v>
          </cell>
          <cell r="K6353" t="str">
            <v>BVJD162957</v>
          </cell>
        </row>
        <row r="6354">
          <cell r="E6354" t="str">
            <v>HESLA,RAMGARH
829101</v>
          </cell>
          <cell r="G6354">
            <v>7526823341</v>
          </cell>
          <cell r="K6354" t="str">
            <v>BSJS035917</v>
          </cell>
        </row>
        <row r="6355">
          <cell r="E6355" t="str">
            <v>RAKAMAINS, JAMSHEDPUR</v>
          </cell>
          <cell r="G6355">
            <v>9798441909</v>
          </cell>
          <cell r="K6355" t="str">
            <v>BUDD162719</v>
          </cell>
        </row>
        <row r="6356">
          <cell r="E6356" t="str">
            <v>RAKAMAINS, JAMSHEDPUR</v>
          </cell>
          <cell r="G6356">
            <v>9798441909</v>
          </cell>
          <cell r="K6356" t="str">
            <v>BUDD162719</v>
          </cell>
        </row>
        <row r="6357">
          <cell r="E6357" t="str">
            <v>ASHOKA PROJECT PIPARWAR</v>
          </cell>
          <cell r="G6357">
            <v>9102994454</v>
          </cell>
          <cell r="K6357" t="str">
            <v>BUID162912</v>
          </cell>
        </row>
        <row r="6358">
          <cell r="E6358" t="str">
            <v>KHERA</v>
          </cell>
          <cell r="G6358">
            <v>9263634493</v>
          </cell>
          <cell r="K6358" t="str">
            <v>BTCD162159</v>
          </cell>
        </row>
        <row r="6359">
          <cell r="E6359" t="str">
            <v>RANCHI</v>
          </cell>
          <cell r="G6359">
            <v>6203788687</v>
          </cell>
          <cell r="K6359" t="str">
            <v>BRCD160978</v>
          </cell>
        </row>
        <row r="6360">
          <cell r="E6360" t="str">
            <v>SARWARI, ASANSOL, WB</v>
          </cell>
          <cell r="G6360">
            <v>9599040419</v>
          </cell>
          <cell r="K6360" t="str">
            <v>BSCS037494</v>
          </cell>
        </row>
        <row r="6361">
          <cell r="E6361" t="str">
            <v>PLOT NO. 148, TUPUDANA, INDUSTRIAL AREA, HATIA, RANCHI
834002</v>
          </cell>
          <cell r="G6361">
            <v>9534249500</v>
          </cell>
          <cell r="K6361" t="str">
            <v>BSLS036682</v>
          </cell>
        </row>
        <row r="6362">
          <cell r="E6362" t="str">
            <v>ADMINISTRATIVE BLOCK, MECHINICAL DEPARTMENT, DHANBAD</v>
          </cell>
          <cell r="G6362">
            <v>7761943999</v>
          </cell>
          <cell r="K6362" t="str">
            <v>BUIS036656</v>
          </cell>
        </row>
        <row r="6363">
          <cell r="E6363" t="str">
            <v>GOPI MORE GAYA</v>
          </cell>
          <cell r="G6363">
            <v>8169716899</v>
          </cell>
          <cell r="K6363" t="str">
            <v>BRHD161314</v>
          </cell>
        </row>
        <row r="6364">
          <cell r="E6364" t="str">
            <v>TAPIN PROJECT, TAPIN</v>
          </cell>
          <cell r="G6364">
            <v>7644045555</v>
          </cell>
          <cell r="K6364" t="str">
            <v>BUID162953</v>
          </cell>
        </row>
        <row r="6365">
          <cell r="E6365" t="str">
            <v>KATHITAND, RANCHI</v>
          </cell>
          <cell r="G6365">
            <v>7904455688</v>
          </cell>
          <cell r="K6365" t="str">
            <v>BSLD230361</v>
          </cell>
        </row>
        <row r="6366">
          <cell r="E6366" t="str">
            <v>MG SETU PROJECT, PLOT-239, CHAUKIA THANA, GANGA BRIDGE, HAJIPUR</v>
          </cell>
          <cell r="G6366">
            <v>6203211735</v>
          </cell>
          <cell r="K6366" t="str">
            <v>BSBD120609</v>
          </cell>
        </row>
        <row r="6367">
          <cell r="E6367" t="str">
            <v>REG. OFFICE: UNIT 106, MAHABIR TOWER, JOKHIRAM LANE, MAIN ROAD, RANCHI - 834 001
REG. OFFICE: UNIT 106, MAHABIR TOWER, JOKHIRAM LANE, MAIN ROAD, RANCHI - 834 001
835214</v>
          </cell>
          <cell r="G6367">
            <v>8207010500</v>
          </cell>
          <cell r="K6367" t="str">
            <v>BSDS043254</v>
          </cell>
        </row>
        <row r="6368">
          <cell r="E6368" t="str">
            <v>AT: SENEGARHA, P.O-RABODH, P.S-GIDDI,(RAMGARH),, DISTT. HAZARIBAGH,JHARKHAND-825330
829108
AT: SENEGARHA, P.O-RABODH, P.S-GIDDI,(RAMGARH),</v>
          </cell>
          <cell r="G6368">
            <v>9006877583</v>
          </cell>
          <cell r="K6368" t="str">
            <v>BSCS037349</v>
          </cell>
        </row>
        <row r="6369">
          <cell r="E6369" t="str">
            <v>TETULWARI</v>
          </cell>
          <cell r="G6369">
            <v>9835747740</v>
          </cell>
          <cell r="K6369" t="str">
            <v>BTGD162296</v>
          </cell>
        </row>
        <row r="6370">
          <cell r="E6370" t="str">
            <v>RAMGARH,JHARKHAND
829122</v>
          </cell>
          <cell r="G6370">
            <v>7659107064</v>
          </cell>
          <cell r="K6370" t="str">
            <v>BKIS032164</v>
          </cell>
        </row>
        <row r="6371">
          <cell r="E6371" t="str">
            <v>BALIDIH INDUSTRIAL AREA
827014</v>
          </cell>
          <cell r="G6371">
            <v>8619424665</v>
          </cell>
          <cell r="K6371" t="str">
            <v>BTDS044313</v>
          </cell>
        </row>
        <row r="6372">
          <cell r="E6372" t="str">
            <v>BALIDIH INDUSTRIAL AREA
827014</v>
          </cell>
          <cell r="G6372">
            <v>8619424665</v>
          </cell>
          <cell r="K6372" t="str">
            <v>BTDS044304</v>
          </cell>
        </row>
        <row r="6373">
          <cell r="E6373" t="str">
            <v>ORMANJHI,RANCHI
835219</v>
          </cell>
          <cell r="G6373">
            <v>8210259768</v>
          </cell>
          <cell r="K6373" t="str">
            <v>BSGC376577</v>
          </cell>
        </row>
        <row r="6374">
          <cell r="E6374" t="str">
            <v>AT: SENEGARHA, P.O-RABODH, P.S-GIDDI,(RAMGARH),, DISTT. HAZARIBAGH,JHARKHAND-825330
829108
AT: SENEGARHA, P.O-RABODH, P.S-GIDDI,(RAMGARH),</v>
          </cell>
          <cell r="G6374">
            <v>9006877583</v>
          </cell>
          <cell r="K6374" t="str">
            <v>BQES030978</v>
          </cell>
        </row>
        <row r="6375">
          <cell r="E6375" t="str">
            <v>ORMANJHI,RANCHI
835219</v>
          </cell>
          <cell r="G6375">
            <v>9155006000</v>
          </cell>
          <cell r="K6375" t="str">
            <v>BSGC376577</v>
          </cell>
        </row>
        <row r="6376">
          <cell r="E6376" t="str">
            <v>HATIA RAILWAY STATION DEPOIT</v>
          </cell>
          <cell r="G6376">
            <v>9002080493</v>
          </cell>
          <cell r="K6376" t="str">
            <v>EVJS037006</v>
          </cell>
        </row>
        <row r="6377">
          <cell r="E6377" t="str">
            <v>NAMKUN INDUSTRIAL AREA,RANCHI
834010</v>
          </cell>
          <cell r="G6377">
            <v>8340452790</v>
          </cell>
          <cell r="K6377" t="str">
            <v>BUDS034771</v>
          </cell>
        </row>
        <row r="6378">
          <cell r="E6378" t="str">
            <v>NICHITPUR</v>
          </cell>
          <cell r="G6378">
            <v>7903412157</v>
          </cell>
          <cell r="K6378" t="str">
            <v>BUCD162696</v>
          </cell>
        </row>
        <row r="6379">
          <cell r="E6379">
            <v>0</v>
          </cell>
          <cell r="G6379">
            <v>7004387228</v>
          </cell>
          <cell r="K6379" t="str">
            <v>BQID160467</v>
          </cell>
        </row>
        <row r="6380">
          <cell r="E6380" t="str">
            <v>BHULI DHANBAD</v>
          </cell>
          <cell r="G6380">
            <v>7004387228</v>
          </cell>
          <cell r="K6380" t="str">
            <v>BQED160244</v>
          </cell>
        </row>
        <row r="6381">
          <cell r="E6381" t="str">
            <v>NICHITPUR</v>
          </cell>
          <cell r="G6381">
            <v>7595943617</v>
          </cell>
          <cell r="K6381" t="str">
            <v>BUCD162696</v>
          </cell>
        </row>
        <row r="6382">
          <cell r="E6382" t="str">
            <v>DHANBAD</v>
          </cell>
          <cell r="G6382">
            <v>8102325605</v>
          </cell>
          <cell r="K6382" t="str">
            <v>BTED162231</v>
          </cell>
        </row>
        <row r="6383">
          <cell r="E6383" t="str">
            <v>FLAT NO. 300, BLOCK - A, MP SRIRAM, CHHOTA GAMHARIA, P.S. - GAMHARIA, DIST.- SARAIKELA KHARSAWAN</v>
          </cell>
          <cell r="G6383">
            <v>7900700814</v>
          </cell>
          <cell r="K6383" t="str">
            <v>BRBL150944</v>
          </cell>
        </row>
        <row r="6384">
          <cell r="E6384" t="str">
            <v>FLAT NO. 300, BLOCK - A, MP SRIRAM, CHHOTA GAMHARIA, P.S. - GAMHARIA, DIST.- SARAIKELA KHARSAWAN</v>
          </cell>
          <cell r="G6384">
            <v>7900700814</v>
          </cell>
          <cell r="K6384" t="str">
            <v>BRGL151468</v>
          </cell>
        </row>
        <row r="6385">
          <cell r="E6385" t="str">
            <v>KRISHNA NAGAR, BOOTY MORE, RANCHI</v>
          </cell>
          <cell r="G6385">
            <v>8877100129</v>
          </cell>
          <cell r="K6385" t="str">
            <v>BUES034926</v>
          </cell>
        </row>
        <row r="6386">
          <cell r="E6386" t="str">
            <v>REHLA,GARWA,JHARKHAND
822124
RANCHI</v>
          </cell>
          <cell r="G6386">
            <v>7004623399</v>
          </cell>
          <cell r="K6386" t="str">
            <v>BMFS031346</v>
          </cell>
        </row>
        <row r="6387">
          <cell r="E6387" t="str">
            <v>TATISILWAI, JHARKHAND
835103</v>
          </cell>
          <cell r="G6387">
            <v>6200160428</v>
          </cell>
          <cell r="K6387" t="str">
            <v>BQGS031413</v>
          </cell>
        </row>
        <row r="6388">
          <cell r="E6388" t="str">
            <v>SADAR HOSPITAL, BOKARO, C/O L &amp; T LTD. BOKARO, JHARKHAND
C/O L &amp; T LTD. BOKARO, JHARKHAND
000000</v>
          </cell>
          <cell r="G6388">
            <v>9934108164</v>
          </cell>
          <cell r="K6388" t="str">
            <v>BUBS045933</v>
          </cell>
        </row>
        <row r="6389">
          <cell r="E6389" t="str">
            <v>SADAR HOSPITAL, BOKARO, C/O L &amp; T LTD. BOKARO, JHARKHAND
C/O L &amp; T LTD. BOKARO, JHARKHAND
000000</v>
          </cell>
          <cell r="G6389">
            <v>9934108164</v>
          </cell>
          <cell r="K6389" t="str">
            <v>BUBS045931</v>
          </cell>
        </row>
        <row r="6390">
          <cell r="E6390" t="str">
            <v>FLAT NO. 300, BLOCK - A, MP SRIRAM, CHHOTA GAMHARIA, P.S. - GAMHARIA, DIST.- SARAIKELA KHARSAWAN</v>
          </cell>
          <cell r="G6390">
            <v>7900700814</v>
          </cell>
          <cell r="K6390" t="str">
            <v>BRGL151464</v>
          </cell>
        </row>
        <row r="6391">
          <cell r="E6391" t="str">
            <v>KODERMA, JHARKHAND</v>
          </cell>
          <cell r="G6391">
            <v>6205630431</v>
          </cell>
          <cell r="K6391" t="str">
            <v>BKCS031162</v>
          </cell>
        </row>
        <row r="6392">
          <cell r="E6392" t="str">
            <v>RANCHI PATNA ROAD, NH-33, SINDUR, HAZARIBAGH</v>
          </cell>
          <cell r="G6392">
            <v>9576150811</v>
          </cell>
          <cell r="K6392" t="str">
            <v>BTKD200646</v>
          </cell>
        </row>
        <row r="6393">
          <cell r="E6393" t="str">
            <v>URMILA TOWER, ROOM NO. 805, DHANBAD</v>
          </cell>
          <cell r="G6393">
            <v>9546540125</v>
          </cell>
          <cell r="K6393" t="str">
            <v>BTKD162074</v>
          </cell>
        </row>
        <row r="6394">
          <cell r="E6394" t="str">
            <v>RAMGARH,JHARKHAND
829122</v>
          </cell>
          <cell r="G6394">
            <v>8016063949</v>
          </cell>
          <cell r="K6394" t="str">
            <v>BSIC376940</v>
          </cell>
        </row>
        <row r="6395">
          <cell r="E6395" t="str">
            <v>NAGRI,RANCHI
835202
RANCHI</v>
          </cell>
          <cell r="G6395">
            <v>6200132241</v>
          </cell>
          <cell r="K6395" t="str">
            <v>BRIS035698</v>
          </cell>
        </row>
        <row r="6396">
          <cell r="E6396" t="str">
            <v>NAYA MORE,RAMGARH
ARA SARU BERA ROAD, NAYA, RAMGARH,JHARKHAND
829110
NAYA MORE</v>
          </cell>
          <cell r="G6396">
            <v>8271433755</v>
          </cell>
          <cell r="K6396" t="str">
            <v>BQBS033796</v>
          </cell>
        </row>
        <row r="6397">
          <cell r="E6397" t="str">
            <v>BARIATU,RANCHI
834009
BARIATU</v>
          </cell>
          <cell r="G6397">
            <v>9504901125</v>
          </cell>
          <cell r="K6397" t="str">
            <v>BQLC370193</v>
          </cell>
        </row>
        <row r="6398">
          <cell r="E6398" t="str">
            <v>KATRAS, DHANBAD</v>
          </cell>
          <cell r="G6398">
            <v>9113788032</v>
          </cell>
          <cell r="K6398" t="str">
            <v>BSKD161477</v>
          </cell>
        </row>
        <row r="6399">
          <cell r="E6399" t="str">
            <v>DHANBAD</v>
          </cell>
          <cell r="G6399">
            <v>9570178502</v>
          </cell>
          <cell r="K6399" t="str">
            <v>BTFD162244</v>
          </cell>
        </row>
        <row r="6400">
          <cell r="E6400" t="str">
            <v>KUSUNDA DHANBAD</v>
          </cell>
          <cell r="G6400">
            <v>9570178502</v>
          </cell>
          <cell r="K6400" t="str">
            <v>BRDD161036</v>
          </cell>
        </row>
        <row r="6401">
          <cell r="E6401" t="str">
            <v>RANCHI PATNA ROAD
DEMOTAND
825301
HAZARIBAGH</v>
          </cell>
          <cell r="G6401">
            <v>7905424302</v>
          </cell>
          <cell r="K6401" t="str">
            <v>BSCS037531</v>
          </cell>
        </row>
        <row r="6402">
          <cell r="E6402" t="str">
            <v>BARIATU,RANCHI
834009
BARIATU</v>
          </cell>
          <cell r="G6402">
            <v>9504901125</v>
          </cell>
          <cell r="K6402" t="str">
            <v>BQLC370193</v>
          </cell>
        </row>
        <row r="6403">
          <cell r="E6403" t="str">
            <v>TIPUDANA</v>
          </cell>
          <cell r="G6403">
            <v>9534249500</v>
          </cell>
          <cell r="K6403">
            <v>13254305</v>
          </cell>
        </row>
        <row r="6404">
          <cell r="E6404" t="str">
            <v>AL-MED EQUIPMENTS
BARIATU ROAD, RANCHI
834009</v>
          </cell>
          <cell r="G6404">
            <v>8850854131</v>
          </cell>
          <cell r="K6404" t="str">
            <v>BUBS045901</v>
          </cell>
        </row>
        <row r="6405">
          <cell r="E6405" t="str">
            <v>RANCHI PATNA ROAD
DEMOTAND
825301
HAZARIBAGH</v>
          </cell>
          <cell r="G6405">
            <v>7905424302</v>
          </cell>
          <cell r="K6405" t="str">
            <v>BIFS040367</v>
          </cell>
        </row>
        <row r="6406">
          <cell r="E6406" t="str">
            <v>RANCHI PATNA ROAD
DEMOTAND
825301
HAZARIBAGH</v>
          </cell>
          <cell r="G6406">
            <v>7905424302</v>
          </cell>
          <cell r="K6406" t="str">
            <v>BMBL160078</v>
          </cell>
        </row>
        <row r="6407">
          <cell r="E6407" t="str">
            <v>CHUTIA, RANCHI</v>
          </cell>
          <cell r="G6407">
            <v>9939622140</v>
          </cell>
          <cell r="K6407" t="str">
            <v>BUFD162814</v>
          </cell>
        </row>
        <row r="6408">
          <cell r="E6408" t="str">
            <v>RANCHI,JHARKHAND
825301
JHUMRA</v>
          </cell>
          <cell r="G6408">
            <v>8541022146</v>
          </cell>
          <cell r="K6408" t="str">
            <v>BTIS031829</v>
          </cell>
        </row>
        <row r="6409">
          <cell r="E6409" t="str">
            <v>ARGADA ROAD, BINJHAR, P.O. - MARAR, RAMGARH
829117</v>
          </cell>
          <cell r="G6409">
            <v>8294504879</v>
          </cell>
          <cell r="K6409" t="str">
            <v>BSCS037449</v>
          </cell>
        </row>
        <row r="6410">
          <cell r="E6410" t="str">
            <v>SAHEBGANJ, JHARKHAND</v>
          </cell>
          <cell r="G6410">
            <v>7766904785</v>
          </cell>
          <cell r="K6410" t="str">
            <v>BTJD162047</v>
          </cell>
        </row>
        <row r="6411">
          <cell r="E6411" t="str">
            <v>MANDU, RAMGARH
JAISWAL COLONY, THANA CHOW,, RAMGARH CANTT. DIST. RAMGARH, JHARKHAND
825316
MANDU</v>
          </cell>
          <cell r="G6411">
            <v>8617372928</v>
          </cell>
          <cell r="K6411" t="str">
            <v>BSGS043528</v>
          </cell>
        </row>
        <row r="6412">
          <cell r="E6412" t="str">
            <v>MANDU, RAMGARH
JAISWAL COLONY, THANA CHOW,, RAMGARH CANTT. DIST. RAMGARH, JHARKHAND
825316
MANDU</v>
          </cell>
          <cell r="G6412">
            <v>8617372968</v>
          </cell>
          <cell r="K6412">
            <v>123399</v>
          </cell>
        </row>
        <row r="6413">
          <cell r="E6413" t="str">
            <v>TATISILWI, RANCHI</v>
          </cell>
          <cell r="G6413">
            <v>7992479722</v>
          </cell>
          <cell r="K6413" t="str">
            <v>BSDD120664</v>
          </cell>
        </row>
        <row r="6414">
          <cell r="E6414" t="str">
            <v>SHEETLA PRASAD SINGH,, MISHRA PADA, NEAR DURGA MANDIR,, JHARIA, DHANBAD - 828 111, JHARKHAND.</v>
          </cell>
          <cell r="G6414">
            <v>7644045555</v>
          </cell>
          <cell r="K6414" t="str">
            <v>BTKD162112</v>
          </cell>
        </row>
        <row r="6415">
          <cell r="E6415" t="str">
            <v>PLOT NO.-806, HARDAGKHUTI ROAD,RANCHI
KHUNTI ROAD HARDAG
835221</v>
          </cell>
          <cell r="G6415">
            <v>6201750703</v>
          </cell>
          <cell r="K6415" t="str">
            <v>BLGS031576</v>
          </cell>
        </row>
        <row r="6416">
          <cell r="E6416" t="str">
            <v>KHASHMAHAL PROJECT CCL, BERMO, PHUSHRO, JHARKHAND</v>
          </cell>
          <cell r="G6416">
            <v>9843829993</v>
          </cell>
          <cell r="K6416" t="str">
            <v>BULD162561</v>
          </cell>
        </row>
        <row r="6417">
          <cell r="E6417" t="str">
            <v>ANKIT KUMAR SONTHALIA, R.N. BOSE ROAD, SATSANG GATE, NEAR HANUMAN MANDIR,, PURANDAHA, DEOGHAR, DIST. DUMKA,, JHARKHAND</v>
          </cell>
          <cell r="G6417">
            <v>7542025382</v>
          </cell>
          <cell r="K6417" t="str">
            <v>BTJD162040</v>
          </cell>
        </row>
        <row r="6418">
          <cell r="E6418" t="str">
            <v>BASKATOLA</v>
          </cell>
          <cell r="G6418">
            <v>9608346542</v>
          </cell>
          <cell r="K6418" t="str">
            <v>BULD162568</v>
          </cell>
        </row>
        <row r="6419">
          <cell r="E6419" t="str">
            <v>PLOT NO. 79, KAPASARA,, SUNDERNAGAR, CHIRKUNDA,, DHANBAD - 828 202
PLOT NO. 79, KAPASARA,, SUNDERNAGAR, CHIRKUNDA,, DHANBAD - 828 202
828202</v>
          </cell>
          <cell r="G6419">
            <v>8101005542</v>
          </cell>
          <cell r="K6419" t="str">
            <v>BTFS031006</v>
          </cell>
        </row>
        <row r="6420">
          <cell r="E6420" t="str">
            <v>TETULIA MORE, DHANBAD</v>
          </cell>
          <cell r="G6420">
            <v>9585152949</v>
          </cell>
          <cell r="K6420" t="str">
            <v>BUDS046497</v>
          </cell>
        </row>
        <row r="6421">
          <cell r="E6421" t="str">
            <v>TETULIA MORE, DHANBAD</v>
          </cell>
          <cell r="G6421">
            <v>9585152949</v>
          </cell>
          <cell r="K6421" t="str">
            <v>BUDS034880</v>
          </cell>
        </row>
        <row r="6422">
          <cell r="E6422" t="str">
            <v>TETULIA MORE, DHANBAD</v>
          </cell>
          <cell r="G6422">
            <v>9585152949</v>
          </cell>
          <cell r="K6422" t="str">
            <v>BUDS046443</v>
          </cell>
        </row>
        <row r="6423">
          <cell r="E6423" t="str">
            <v>TETULIA MORE, DHANBAD</v>
          </cell>
          <cell r="G6423">
            <v>9585152949</v>
          </cell>
          <cell r="K6423" t="str">
            <v>BUDS034770</v>
          </cell>
        </row>
        <row r="6424">
          <cell r="E6424" t="str">
            <v>FOREST COLONY, SENETRY ROAD,, NEAR RAHUL MARVAL, HAZARIBAGH
825302</v>
          </cell>
          <cell r="G6424">
            <v>9934366789</v>
          </cell>
          <cell r="K6424" t="str">
            <v>BULC370702</v>
          </cell>
        </row>
        <row r="6425">
          <cell r="E6425" t="str">
            <v>HAZARIBAGH,  HAZARIBAGH, JHARKHAND 825301</v>
          </cell>
          <cell r="G6425">
            <v>8210609305</v>
          </cell>
          <cell r="K6425" t="str">
            <v>BUCS034128</v>
          </cell>
        </row>
        <row r="6426">
          <cell r="E6426" t="str">
            <v>RANCHI,JHARKHAND
825301
JHUMRA</v>
          </cell>
          <cell r="G6426">
            <v>8541022146</v>
          </cell>
          <cell r="K6426" t="str">
            <v>BMIS031670</v>
          </cell>
        </row>
        <row r="6427">
          <cell r="E6427" t="str">
            <v>HATIA RAILWAY STATION DEPOIT</v>
          </cell>
          <cell r="G6427">
            <v>9002080493</v>
          </cell>
          <cell r="K6427" t="str">
            <v>EVJS037006</v>
          </cell>
        </row>
        <row r="6428">
          <cell r="E6428" t="str">
            <v>VILL - BARIDARI, BOKARO</v>
          </cell>
          <cell r="G6428">
            <v>6204816691</v>
          </cell>
          <cell r="K6428" t="str">
            <v>BRHD161299</v>
          </cell>
        </row>
        <row r="6429">
          <cell r="E6429" t="str">
            <v>REG. OFFICE: UNIT 106, MAHABIR TOWER, JOKHIRAM LANE, MAIN ROAD, RANCHI - 834 001
REG. OFFICE: UNIT 106, MAHABIR TOWER, JOKHIRAM LANE, MAIN ROAD, RANCHI - 834 001
835214</v>
          </cell>
          <cell r="G6429">
            <v>8207010500</v>
          </cell>
          <cell r="K6429" t="str">
            <v>BSDS043254</v>
          </cell>
        </row>
        <row r="6430">
          <cell r="E6430" t="str">
            <v>ASHOKA PROJECT PIPARWAR</v>
          </cell>
          <cell r="G6430">
            <v>9934734139</v>
          </cell>
          <cell r="K6430" t="str">
            <v>BUID162912</v>
          </cell>
        </row>
        <row r="6431">
          <cell r="E6431" t="str">
            <v>SHEETLA PRASAD SINGH,, MISHRA PADA, NEAR DURGA MANDIR,, JHARIA, DHANBAD - 828 111, JHARKHAND.</v>
          </cell>
          <cell r="G6431">
            <v>7644045555</v>
          </cell>
          <cell r="K6431" t="str">
            <v>BTDD162169</v>
          </cell>
        </row>
        <row r="6432">
          <cell r="E6432" t="str">
            <v>NEAR P.N BANK MAIN ROAD,, RAMGARH CANTT-829122, DIST. RAMGARH
829122
BUDHAKHOP, AMBRELA, KARMA,</v>
          </cell>
          <cell r="G6432">
            <v>8789350097</v>
          </cell>
          <cell r="K6432" t="str">
            <v>BSHS038806</v>
          </cell>
        </row>
        <row r="6433">
          <cell r="E6433" t="str">
            <v>NEAR P.N BANK MAIN ROAD,, RAMGARH CANTT-829122, DIST. RAMGARH
829122
BUDHAKHOP, AMBRELA, KARMA,</v>
          </cell>
          <cell r="G6433">
            <v>8789350097</v>
          </cell>
          <cell r="K6433" t="str">
            <v>BQBS030091</v>
          </cell>
        </row>
        <row r="6434">
          <cell r="E6434" t="str">
            <v>VILL - BARIDARI, BOKARO</v>
          </cell>
          <cell r="G6434">
            <v>9934169104</v>
          </cell>
          <cell r="K6434" t="str">
            <v>BSCD161704</v>
          </cell>
        </row>
        <row r="6435">
          <cell r="E6435" t="str">
            <v>KATRAS, DHANBAD</v>
          </cell>
          <cell r="G6435">
            <v>8106167121</v>
          </cell>
          <cell r="K6435" t="str">
            <v>BRBD160901</v>
          </cell>
        </row>
        <row r="6436">
          <cell r="E6436" t="str">
            <v>KATRAS, DHANBAD</v>
          </cell>
          <cell r="G6436">
            <v>8106167121</v>
          </cell>
          <cell r="K6436" t="str">
            <v>BRBD160892</v>
          </cell>
        </row>
        <row r="6437">
          <cell r="E6437" t="str">
            <v>GOBINDPUR INDUSTRIAL AREA, DHANBAD</v>
          </cell>
          <cell r="G6437">
            <v>9110937268</v>
          </cell>
          <cell r="K6437" t="str">
            <v>BVJS047894</v>
          </cell>
        </row>
        <row r="6438">
          <cell r="E6438" t="str">
            <v>RANCHI</v>
          </cell>
          <cell r="G6438">
            <v>8372081415</v>
          </cell>
          <cell r="K6438" t="str">
            <v>BRCD160978</v>
          </cell>
        </row>
        <row r="6439">
          <cell r="E6439" t="str">
            <v>BHOWRA</v>
          </cell>
          <cell r="G6439">
            <v>9488821418</v>
          </cell>
          <cell r="K6439" t="str">
            <v>BUDD162713</v>
          </cell>
        </row>
        <row r="6440">
          <cell r="E6440" t="str">
            <v>BASKATOLA</v>
          </cell>
          <cell r="G6440">
            <v>9550053031</v>
          </cell>
          <cell r="K6440" t="str">
            <v>BULD162577</v>
          </cell>
        </row>
        <row r="6441">
          <cell r="E6441" t="str">
            <v>REG. OFFICE: UNIT 106, MAHABIR TOWER, JOKHIRAM LANE, MAIN ROAD, RANCHI - 834 001
REG. OFFICE: UNIT 106, MAHABIR TOWER, JOKHIRAM LANE, MAIN ROAD, RANCHI - 834 001
835214</v>
          </cell>
          <cell r="G6441">
            <v>8051139257</v>
          </cell>
          <cell r="K6441" t="str">
            <v>BSDS043254</v>
          </cell>
        </row>
        <row r="6442">
          <cell r="E6442" t="str">
            <v>KHAKHSA PAHAR, PAKURIYA, PAKUR</v>
          </cell>
          <cell r="G6442">
            <v>9661732073</v>
          </cell>
          <cell r="K6442" t="str">
            <v>BUGD162826</v>
          </cell>
        </row>
        <row r="6443">
          <cell r="E6443" t="str">
            <v>C/O - NAVEEN KUMAR SINGH, PLOT NO.-538,718, DUNDURIA, GUMLA</v>
          </cell>
          <cell r="G6443">
            <v>9471560701</v>
          </cell>
          <cell r="K6443" t="str">
            <v>BTJD162038</v>
          </cell>
        </row>
        <row r="6444">
          <cell r="E6444" t="str">
            <v>SONARDHI</v>
          </cell>
          <cell r="G6444">
            <v>7873039065</v>
          </cell>
          <cell r="K6444" t="str">
            <v>BRHD161312</v>
          </cell>
        </row>
        <row r="6445">
          <cell r="E6445" t="str">
            <v>SONARDHI</v>
          </cell>
          <cell r="G6445">
            <v>7873039065</v>
          </cell>
          <cell r="K6445" t="str">
            <v>BRCD160940</v>
          </cell>
        </row>
        <row r="6446">
          <cell r="E6446" t="str">
            <v>TAPIN PROJECT, TAPIN</v>
          </cell>
          <cell r="G6446">
            <v>9172209918</v>
          </cell>
          <cell r="K6446" t="str">
            <v>BUID162953</v>
          </cell>
        </row>
        <row r="6447">
          <cell r="E6447" t="str">
            <v>DIBDIH, RANCHI
834002</v>
          </cell>
          <cell r="G6447">
            <v>8102915589</v>
          </cell>
          <cell r="K6447" t="str">
            <v>BTEC378588</v>
          </cell>
        </row>
        <row r="6448">
          <cell r="E6448" t="str">
            <v>RAMGARH SPONGE IRON PVT LTD VILLAGE:HOSHIR GIDDI-POHAZARIBAGH(DT)JHARKHAND IND
829110</v>
          </cell>
          <cell r="G6448">
            <v>8789325754</v>
          </cell>
          <cell r="K6448" t="str">
            <v>BKCS040470</v>
          </cell>
        </row>
        <row r="6449">
          <cell r="E6449" t="str">
            <v>BASTAKOLA, DHANBAD</v>
          </cell>
          <cell r="G6449">
            <v>9550053031</v>
          </cell>
          <cell r="K6449" t="str">
            <v>BUKD162535</v>
          </cell>
        </row>
        <row r="6450">
          <cell r="E6450" t="str">
            <v>NTA LODNA, DHANBAD</v>
          </cell>
          <cell r="G6450">
            <v>7644045555</v>
          </cell>
          <cell r="K6450" t="str">
            <v>BULD162559</v>
          </cell>
        </row>
        <row r="6451">
          <cell r="E6451" t="str">
            <v>URMILA TOWER, ROOM NO. 805, DHANBAD</v>
          </cell>
          <cell r="G6451">
            <v>9006617909</v>
          </cell>
          <cell r="K6451" t="str">
            <v>BTKD162074</v>
          </cell>
        </row>
        <row r="6452">
          <cell r="E6452" t="str">
            <v>DHANBAD</v>
          </cell>
          <cell r="G6452">
            <v>6207308280</v>
          </cell>
          <cell r="K6452" t="str">
            <v>BSGD161904</v>
          </cell>
        </row>
        <row r="6453">
          <cell r="E6453" t="str">
            <v>NEAR P.N BANK MAIN ROAD,, RAMGARH CANTT-829122, DIST. RAMGARH
829122
BUDHAKHOP, AMBRELA, KARMA,</v>
          </cell>
          <cell r="G6453">
            <v>9437090314</v>
          </cell>
          <cell r="K6453" t="str">
            <v>BSHS038806</v>
          </cell>
        </row>
        <row r="6454">
          <cell r="E6454" t="str">
            <v>PLOT NO. 79, KAPASARA,, SUNDERNAGAR, CHIRKUNDA,, DHANBAD - 828 202
PLOT NO. 79, KAPASARA,, SUNDERNAGAR, CHIRKUNDA,, DHANBAD - 828 202
828202</v>
          </cell>
          <cell r="G6454">
            <v>8101005542</v>
          </cell>
          <cell r="K6454" t="str">
            <v>BTFS031006</v>
          </cell>
        </row>
        <row r="6455">
          <cell r="E6455" t="str">
            <v>DHANBAD</v>
          </cell>
          <cell r="G6455">
            <v>6207308280</v>
          </cell>
          <cell r="K6455" t="str">
            <v>BTED162231</v>
          </cell>
        </row>
        <row r="6456">
          <cell r="E6456" t="str">
            <v>ANGAR PATRA,DHANBAD</v>
          </cell>
          <cell r="G6456">
            <v>7873039065</v>
          </cell>
          <cell r="K6456" t="str">
            <v>BSDD161729</v>
          </cell>
        </row>
        <row r="6457">
          <cell r="E6457" t="str">
            <v>JHARIA, DHANBAD</v>
          </cell>
          <cell r="G6457">
            <v>7873039065</v>
          </cell>
          <cell r="K6457" t="str">
            <v>BRHD161304</v>
          </cell>
        </row>
        <row r="6458">
          <cell r="E6458" t="str">
            <v>KOKAR INDUSTRIAL AREA,RANCHI
834001</v>
          </cell>
          <cell r="G6458"/>
          <cell r="K6458" t="str">
            <v>BPIC370386</v>
          </cell>
        </row>
        <row r="6459">
          <cell r="E6459" t="str">
            <v>RAKAMAINS, JAMSHEDPUR</v>
          </cell>
          <cell r="G6459">
            <v>9798441909</v>
          </cell>
          <cell r="K6459" t="str">
            <v>BUDD162719</v>
          </cell>
        </row>
        <row r="6460">
          <cell r="E6460" t="str">
            <v>TATISIWAI INDUSTRIAL AREA, RANCHI
835103
TATISILWAY RANCHI</v>
          </cell>
          <cell r="G6460">
            <v>9507118229</v>
          </cell>
          <cell r="K6460" t="str">
            <v>BNJC370072</v>
          </cell>
        </row>
        <row r="6461">
          <cell r="E6461" t="str">
            <v>SINDRI,DHANBAD
828122</v>
          </cell>
          <cell r="G6461">
            <v>7004371723</v>
          </cell>
          <cell r="K6461" t="str">
            <v>GOEC370640</v>
          </cell>
        </row>
        <row r="6462">
          <cell r="E6462" t="str">
            <v>PAWAN KUMAR MISHRA,, KAHALGAON, BHAGALPUR, BIHAR - 813 203</v>
          </cell>
          <cell r="G6462">
            <v>6206698729</v>
          </cell>
          <cell r="K6462" t="str">
            <v>BSCL152143</v>
          </cell>
        </row>
        <row r="6463">
          <cell r="E6463" t="str">
            <v>PLOT NO. 79, KAPASARA,, SUNDERNAGAR, CHIRKUNDA,, DHANBAD - 828 202
PLOT NO. 79, KAPASARA,, SUNDERNAGAR, CHIRKUNDA,, DHANBAD - 828 202
828202</v>
          </cell>
          <cell r="G6463">
            <v>8101005542</v>
          </cell>
          <cell r="K6463" t="str">
            <v>BTFS031006</v>
          </cell>
        </row>
        <row r="6464">
          <cell r="E6464" t="str">
            <v>SINDRI,DHANBAD
828122</v>
          </cell>
          <cell r="G6464">
            <v>7004661850</v>
          </cell>
          <cell r="K6464" t="str">
            <v>GOEC370640</v>
          </cell>
        </row>
        <row r="6465">
          <cell r="E6465" t="str">
            <v>DHANBAD</v>
          </cell>
          <cell r="G6465">
            <v>9550053031</v>
          </cell>
          <cell r="K6465" t="str">
            <v>BTDD162186</v>
          </cell>
        </row>
        <row r="6466">
          <cell r="E6466" t="str">
            <v>1, KOCP, DHANSAR, Dhanbad, Jharkhand, 828106</v>
          </cell>
          <cell r="G6466">
            <v>6360902039</v>
          </cell>
          <cell r="K6466" t="str">
            <v>BUIC373701</v>
          </cell>
        </row>
        <row r="6467">
          <cell r="E6467" t="str">
            <v>KOKAR INDUSTRIAL AREA,RANCHI
834001</v>
          </cell>
          <cell r="G6467">
            <v>8987760772</v>
          </cell>
          <cell r="K6467" t="str">
            <v>BPIC370386</v>
          </cell>
        </row>
        <row r="6468">
          <cell r="E6468" t="str">
            <v>DALTONGANJ</v>
          </cell>
          <cell r="G6468">
            <v>9430780521</v>
          </cell>
          <cell r="K6468" t="str">
            <v>BUBS045955</v>
          </cell>
        </row>
        <row r="6469">
          <cell r="E6469" t="str">
            <v>DALTONGANJ</v>
          </cell>
          <cell r="G6469">
            <v>8851928836</v>
          </cell>
          <cell r="K6469" t="str">
            <v>BUBS045965</v>
          </cell>
        </row>
        <row r="6470">
          <cell r="E6470" t="str">
            <v>KOKAR INDUSTRIAL AREA, RANCHI
834002</v>
          </cell>
          <cell r="G6470">
            <v>7633885415</v>
          </cell>
          <cell r="K6470" t="str">
            <v>BRJS040951</v>
          </cell>
        </row>
        <row r="6471">
          <cell r="E6471" t="str">
            <v>RAVULA SHYAM SUNDER REDDY, HOUSE NO. 3-5-196/1, ROAD NO. 5M, KRISHNANAGAR COLONY, MOULALI, HYDRABAD</v>
          </cell>
          <cell r="G6471">
            <v>8101968418</v>
          </cell>
          <cell r="K6471" t="str">
            <v>BTCD162162</v>
          </cell>
        </row>
        <row r="6472">
          <cell r="E6472" t="str">
            <v>NEAR P.N BANK MAIN ROAD,, RAMGARH CANTT-829122, DIST. RAMGARH
829122
BUDHAKHOP, AMBRELA, KARMA,</v>
          </cell>
          <cell r="G6472">
            <v>9437090314</v>
          </cell>
          <cell r="K6472" t="str">
            <v>BSHS038806</v>
          </cell>
        </row>
        <row r="6473">
          <cell r="E6473" t="str">
            <v>BARKAKANA, RAMGRAH</v>
          </cell>
          <cell r="G6473">
            <v>9102724023</v>
          </cell>
          <cell r="K6473" t="str">
            <v>EUES035194</v>
          </cell>
        </row>
        <row r="6474">
          <cell r="E6474" t="str">
            <v>REHLA,GARWA,JHARKHAND
822124
RANCHI</v>
          </cell>
          <cell r="G6474">
            <v>7004623399</v>
          </cell>
          <cell r="K6474" t="str">
            <v>BMFS031346</v>
          </cell>
        </row>
        <row r="6475">
          <cell r="E6475" t="str">
            <v>SADAR HOSPITAL, BOKARO, C/O L &amp; T LTD. BOKARO, JHARKHAND
C/O L &amp; T LTD. BOKARO, JHARKHAND
000000</v>
          </cell>
          <cell r="G6475">
            <v>9934108164</v>
          </cell>
          <cell r="K6475" t="str">
            <v>BUBS045933</v>
          </cell>
        </row>
        <row r="6476">
          <cell r="E6476" t="str">
            <v>SADAR HOSPITAL, BOKARO, C/O L &amp; T LTD. BOKARO, JHARKHAND
C/O L &amp; T LTD. BOKARO, JHARKHAND
000000</v>
          </cell>
          <cell r="G6476">
            <v>9934108164</v>
          </cell>
          <cell r="K6476" t="str">
            <v>BUBS045931</v>
          </cell>
        </row>
        <row r="6477">
          <cell r="E6477" t="str">
            <v>SHEETLA PRASAD SINGH,, MISHRA PADA, NEAR DURGA MANDIR,, JHARIA, DHANBAD - 828 111, JHARKHAND.</v>
          </cell>
          <cell r="G6477">
            <v>7644045555</v>
          </cell>
          <cell r="K6477" t="str">
            <v>BTCD162149</v>
          </cell>
        </row>
        <row r="6478">
          <cell r="E6478" t="str">
            <v>ANKIT KUMAR SONTHALIA, R.N. BOSE ROAD, SATSANG GATE, NEAR HANUMAN MANDIR,, PURANDAHA, DEOGHAR, DIST. DUMKA,, JHARKHAND</v>
          </cell>
          <cell r="G6478">
            <v>8101028484</v>
          </cell>
          <cell r="K6478" t="str">
            <v>BSFD161795</v>
          </cell>
        </row>
        <row r="6479">
          <cell r="E6479" t="str">
            <v>GROUND FLOOR, 8H AND 81, NATION PRINTERS, NAMKUM INDUSTRIAL AREA,, LOWADIH, RANCHI
GROUND FLOOR, 8H AND 81, NATION PRINTERS, NAMKUM INDUSTRIAL AREA,, LOWADIH, RANCHI
834010</v>
          </cell>
          <cell r="G6479">
            <v>9386895542</v>
          </cell>
          <cell r="K6479" t="str">
            <v>BRFC373676</v>
          </cell>
        </row>
        <row r="6480">
          <cell r="E6480" t="str">
            <v>REHLA, GARHWA ROAD, PALAMU D.T, JHARKHAND
PALAMU JHARKHAND 822124
INDIA</v>
          </cell>
          <cell r="G6480">
            <v>7004971081</v>
          </cell>
          <cell r="K6480" t="str">
            <v>BLFS031469</v>
          </cell>
        </row>
        <row r="6481">
          <cell r="E6481" t="str">
            <v>PALAMU,GARWA, JHARKHAND
822124
GARHWA ROAD, NEAR BCCL PALAMU,</v>
          </cell>
          <cell r="G6481">
            <v>8877137307</v>
          </cell>
          <cell r="K6481" t="str">
            <v>GOCS030806</v>
          </cell>
        </row>
        <row r="6482">
          <cell r="E6482" t="str">
            <v>RAMGARH</v>
          </cell>
          <cell r="G6482">
            <v>7004401831</v>
          </cell>
          <cell r="K6482" t="str">
            <v>BQJD200011</v>
          </cell>
        </row>
        <row r="6483">
          <cell r="E6483" t="str">
            <v>NAGRI, RANCHI</v>
          </cell>
          <cell r="G6483">
            <v>9667508097</v>
          </cell>
          <cell r="K6483" t="str">
            <v>BVKS037240</v>
          </cell>
        </row>
        <row r="6484">
          <cell r="E6484" t="str">
            <v>HARMU, RANCHI
834001</v>
          </cell>
          <cell r="G6484">
            <v>9835339783</v>
          </cell>
          <cell r="K6484" t="str">
            <v>BSJC374595</v>
          </cell>
        </row>
        <row r="6485">
          <cell r="E6485" t="str">
            <v>BAGODAR
GIRIDIH</v>
          </cell>
          <cell r="G6485">
            <v>7761032448</v>
          </cell>
          <cell r="K6485" t="str">
            <v>BUDS034763</v>
          </cell>
        </row>
        <row r="6486">
          <cell r="E6486" t="str">
            <v>BAGODAR
GIRIDIH</v>
          </cell>
          <cell r="G6486">
            <v>7761032448</v>
          </cell>
          <cell r="K6486" t="str">
            <v>BVJS036816</v>
          </cell>
        </row>
        <row r="6487">
          <cell r="E6487" t="str">
            <v>BALIDIH INDUSTRIAL AREA,BOKARO
PLOT NO. - A/2 (P) INDUSTRIAL AREA, BALIDIH BOKARO STEEL CITY - 14, BOKARO
827014
BOKARO INDUSTRIAL ESTATE</v>
          </cell>
          <cell r="G6487">
            <v>9978928888</v>
          </cell>
          <cell r="K6487" t="str">
            <v>BSJS035946</v>
          </cell>
        </row>
        <row r="6488">
          <cell r="E6488" t="str">
            <v>RANCHI</v>
          </cell>
          <cell r="G6488">
            <v>9973686006</v>
          </cell>
          <cell r="K6488" t="str">
            <v>BLIS031950</v>
          </cell>
        </row>
        <row r="6489">
          <cell r="E6489" t="str">
            <v>KHURPANIA, KHASHMAHAL, PHUSHRO</v>
          </cell>
          <cell r="G6489">
            <v>8757876999</v>
          </cell>
          <cell r="K6489" t="str">
            <v>BTHD162350</v>
          </cell>
        </row>
        <row r="6490">
          <cell r="E6490" t="str">
            <v>BOKARO</v>
          </cell>
          <cell r="G6490">
            <v>9002080392</v>
          </cell>
          <cell r="K6490" t="str">
            <v>NA</v>
          </cell>
        </row>
        <row r="6491">
          <cell r="E6491" t="str">
            <v>TUPUDANA INDUSTRIAL AREA, RANCHI
PLOT NO. 114, TUPUDANA INDUSTRIAL AREA, TUPUDANA,HATIA, RANCHI
834002
RANCHI</v>
          </cell>
          <cell r="G6491">
            <v>8709670947</v>
          </cell>
          <cell r="K6491">
            <v>123434</v>
          </cell>
        </row>
        <row r="6492">
          <cell r="E6492" t="str">
            <v>TUPUDANA INDUSTRIAL AREA, RANCHI
PLOT NO. 114, TUPUDANA INDUSTRIAL AREA, TUPUDANA,HATIA, RANCHI
834002
RANCHI</v>
          </cell>
          <cell r="G6492">
            <v>8210182306</v>
          </cell>
          <cell r="K6492" t="str">
            <v>GOKS040088</v>
          </cell>
        </row>
        <row r="6493">
          <cell r="E6493" t="str">
            <v>TUPUDANA INDUSTRIAL AREA, RANCHI
PLOT NO. - 45 &amp; 46, TUPUDAN AINDUSTRIAL AREA, TUPUDANA, HATIA, RANCHI
834003
TIPUDANA INDUSTRIAL AREA</v>
          </cell>
          <cell r="G6493">
            <v>7717734248</v>
          </cell>
          <cell r="K6493" t="str">
            <v>BQBS033819</v>
          </cell>
        </row>
        <row r="6494">
          <cell r="E6494" t="str">
            <v>TUPUDANA INDUSTRIAL AREA</v>
          </cell>
          <cell r="G6494">
            <v>9534249500</v>
          </cell>
          <cell r="K6494" t="str">
            <v>BMBS030816</v>
          </cell>
        </row>
        <row r="6495">
          <cell r="E6495" t="str">
            <v>JHUMARIA, WEST BENGAL</v>
          </cell>
          <cell r="G6495">
            <v>9031546309</v>
          </cell>
          <cell r="K6495" t="str">
            <v>GPLL150106</v>
          </cell>
        </row>
        <row r="6496">
          <cell r="E6496" t="str">
            <v>C/O - SUJIT KUMAR, SAHAJANAND NAGAR, H. NO. -121, RANI ROAD, BHUDA, BARMASIA,, DHANBAD</v>
          </cell>
          <cell r="G6496">
            <v>9334537849</v>
          </cell>
          <cell r="K6496" t="str">
            <v>BTED200706</v>
          </cell>
        </row>
        <row r="6497">
          <cell r="E6497" t="str">
            <v>NAGARI,</v>
          </cell>
          <cell r="G6497">
            <v>9497706123</v>
          </cell>
          <cell r="K6497" t="str">
            <v>BMJS030051</v>
          </cell>
        </row>
        <row r="6498">
          <cell r="E6498" t="str">
            <v>RAMNAGAR , HAZARIBAGH,JHARKHAND
825302</v>
          </cell>
          <cell r="G6498">
            <v>9113183803</v>
          </cell>
          <cell r="K6498" t="str">
            <v>BQAC373617</v>
          </cell>
        </row>
        <row r="6499">
          <cell r="E6499" t="str">
            <v>TAPIN HAZARIBAGH</v>
          </cell>
          <cell r="G6499">
            <v>9661734823</v>
          </cell>
          <cell r="K6499" t="str">
            <v>BTGD162289</v>
          </cell>
        </row>
        <row r="6500">
          <cell r="E6500" t="str">
            <v>NAGARI,</v>
          </cell>
          <cell r="G6500">
            <v>9497706123</v>
          </cell>
          <cell r="K6500" t="str">
            <v>BILS030211</v>
          </cell>
        </row>
        <row r="6501">
          <cell r="E6501" t="str">
            <v>TATULMURI, DHANBAD</v>
          </cell>
          <cell r="G6501">
            <v>8252145394</v>
          </cell>
          <cell r="K6501" t="str">
            <v>BUGD162852</v>
          </cell>
        </row>
        <row r="6502">
          <cell r="E6502" t="str">
            <v>ADDRESS-PLOT-57B,BARAHI INDUSTRIAL AREA,ON DELHI HOWRAH NATIONAL HIGHWAY,BARHI,JAHARKHAND.</v>
          </cell>
          <cell r="G6502">
            <v>8488957184</v>
          </cell>
          <cell r="K6502" t="str">
            <v>BUBS033778</v>
          </cell>
        </row>
        <row r="6503">
          <cell r="E6503" t="str">
            <v>BARHI, HAZARIBAGH</v>
          </cell>
          <cell r="G6503">
            <v>8488957184</v>
          </cell>
          <cell r="K6503" t="str">
            <v>BUCS034287</v>
          </cell>
        </row>
        <row r="6504">
          <cell r="E6504" t="str">
            <v>BASTAWLA DHANBAD</v>
          </cell>
          <cell r="G6504">
            <v>9550053031</v>
          </cell>
          <cell r="K6504" t="str">
            <v>BUAD162630</v>
          </cell>
        </row>
        <row r="6505">
          <cell r="E6505" t="str">
            <v>BASTAWLA DHANBAD</v>
          </cell>
          <cell r="G6505">
            <v>9550053031</v>
          </cell>
          <cell r="K6505" t="str">
            <v>BTJD162046</v>
          </cell>
        </row>
        <row r="6506">
          <cell r="E6506" t="str">
            <v>BERA</v>
          </cell>
          <cell r="G6506">
            <v>9550053031</v>
          </cell>
          <cell r="K6506" t="str">
            <v>BUAD162634</v>
          </cell>
        </row>
        <row r="6507">
          <cell r="E6507" t="str">
            <v>SHEIKHPURA, BIHAR</v>
          </cell>
          <cell r="G6507">
            <v>6202016835</v>
          </cell>
          <cell r="K6507" t="str">
            <v>BUAL160593</v>
          </cell>
        </row>
        <row r="6508">
          <cell r="E6508" t="str">
            <v>KOKAR INDUSTRIAL AREA,,RANCHI
834002
KOKAR INDUSTRIAL AREA RANCHI</v>
          </cell>
          <cell r="G6508">
            <v>9263186366</v>
          </cell>
          <cell r="K6508" t="str">
            <v>GNDC370057</v>
          </cell>
        </row>
        <row r="6509">
          <cell r="E6509" t="str">
            <v>JHUMRI TILAIYA</v>
          </cell>
          <cell r="G6509">
            <v>7061052272</v>
          </cell>
          <cell r="K6509" t="str">
            <v>GPLS030458</v>
          </cell>
        </row>
        <row r="6510">
          <cell r="E6510" t="str">
            <v xml:space="preserve">M/S.AGASTYA AERO WORKS PVT LTD, BIRU,
 SIMDEGA JHARKHAND-835228
</v>
          </cell>
          <cell r="G6510">
            <v>7011785486</v>
          </cell>
          <cell r="K6510" t="str">
            <v>BUBS033764</v>
          </cell>
        </row>
        <row r="6511">
          <cell r="E6511" t="str">
            <v>KOKAR INDUSTRIAL AREA,,RANCHI
834002
KOKAR INDUSTRIAL AREA RANCHI</v>
          </cell>
          <cell r="G6511">
            <v>9599040419</v>
          </cell>
          <cell r="K6511" t="str">
            <v>BPLF150007</v>
          </cell>
        </row>
        <row r="6512">
          <cell r="E6512" t="str">
            <v>AT: SENEGARHA, P.O-RABODH, P.S-GIDDI,(RAMGARH),, DISTT. HAZARIBAGH,JHARKHAND-825330
829108
AT: SENEGARHA, P.O-RABODH, P.S-GIDDI,(RAMGARH),</v>
          </cell>
          <cell r="G6512">
            <v>9006877583</v>
          </cell>
          <cell r="K6512" t="str">
            <v>BQES030978</v>
          </cell>
        </row>
        <row r="6513">
          <cell r="E6513" t="str">
            <v>AT: SENEGARHA, P.O-RABODH, P.S-GIDDI,(RAMGARH),, DISTT. HAZARIBAGH,JHARKHAND-825330
829108
AT: SENEGARHA, P.O-RABODH, P.S-GIDDI,(RAMGARH),</v>
          </cell>
          <cell r="G6513">
            <v>9006877583</v>
          </cell>
          <cell r="K6513" t="str">
            <v>BRAS033261</v>
          </cell>
        </row>
        <row r="6514">
          <cell r="E6514" t="str">
            <v>AT: SENEGARHA, P.O-RABODH, P.S-GIDDI,(RAMGARH),, DISTT. HAZARIBAGH,JHARKHAND-825330
829108
AT: SENEGARHA, P.O-RABODH, P.S-GIDDI,(RAMGARH),</v>
          </cell>
          <cell r="G6514">
            <v>9006877583</v>
          </cell>
          <cell r="K6514" t="str">
            <v>BSCS037349</v>
          </cell>
        </row>
        <row r="6515">
          <cell r="E6515" t="str">
            <v>KATHITAR,RANCHI
KATHITAR,RANCHI
834004
KATHITAR,</v>
          </cell>
          <cell r="G6515">
            <v>6203721760</v>
          </cell>
          <cell r="K6515" t="str">
            <v>BSFC376340</v>
          </cell>
        </row>
        <row r="6516">
          <cell r="E6516" t="str">
            <v>NAGARI,</v>
          </cell>
          <cell r="G6516">
            <v>9497706123</v>
          </cell>
          <cell r="K6516" t="str">
            <v>BILS030211</v>
          </cell>
        </row>
        <row r="6517">
          <cell r="E6517" t="str">
            <v>NAGARI,</v>
          </cell>
          <cell r="G6517">
            <v>9297706123</v>
          </cell>
          <cell r="K6517" t="str">
            <v>BLGS040582</v>
          </cell>
        </row>
        <row r="6518">
          <cell r="E6518" t="str">
            <v>NAWADA, BIHAR</v>
          </cell>
          <cell r="G6518">
            <v>7255010416</v>
          </cell>
          <cell r="K6518" t="str">
            <v>BUAL160585</v>
          </cell>
        </row>
        <row r="6519">
          <cell r="E6519" t="str">
            <v>SARWARI, ASANSOL, WB</v>
          </cell>
          <cell r="G6519">
            <v>9599040419</v>
          </cell>
          <cell r="K6519" t="str">
            <v>BSCS037494</v>
          </cell>
        </row>
        <row r="6520">
          <cell r="E6520" t="str">
            <v>KOKAR INDUSTRIAL AREA,,RANCHI
834002
KOKAR INDUSTRIAL AREA RANCHI</v>
          </cell>
          <cell r="G6520">
            <v>9599040419</v>
          </cell>
          <cell r="K6520" t="str">
            <v>BPLF150007</v>
          </cell>
        </row>
        <row r="6521">
          <cell r="E6521" t="str">
            <v>NAGRI, RANCHI</v>
          </cell>
          <cell r="G6521">
            <v>9667508097</v>
          </cell>
          <cell r="K6521" t="str">
            <v>BVKS037240</v>
          </cell>
        </row>
        <row r="6522">
          <cell r="E6522" t="str">
            <v>1ST FLOOR, RAJ GLASS AND HARDWARE, PISKA MORE, PO - HEHEL, RATU ROAD, RANCHI
1ST FLOOR, RAJ GLASS AND HARDWARE, PISKA MORE, PO - HEHEL, RATU ROAD, RANCHI
835214</v>
          </cell>
          <cell r="G6522">
            <v>7999889085</v>
          </cell>
          <cell r="K6522" t="str">
            <v>BTES044431</v>
          </cell>
        </row>
        <row r="6523">
          <cell r="E6523" t="str">
            <v>NAWADA, BIHAR</v>
          </cell>
          <cell r="G6523">
            <v>7255010416</v>
          </cell>
          <cell r="K6523" t="str">
            <v>BTEL160427</v>
          </cell>
        </row>
        <row r="6524">
          <cell r="E6524" t="str">
            <v>BASTAWLA DHANBAD</v>
          </cell>
          <cell r="G6524">
            <v>9550053031</v>
          </cell>
          <cell r="K6524" t="str">
            <v>BUAD162630</v>
          </cell>
        </row>
        <row r="6525">
          <cell r="E6525" t="str">
            <v>MANJULA ENTERPRISES, KOKAR INDUSTRIAL AREA KOKAR</v>
          </cell>
          <cell r="G6525">
            <v>9431583027</v>
          </cell>
          <cell r="K6525" t="str">
            <v>BUFC372952</v>
          </cell>
        </row>
        <row r="6526">
          <cell r="E6526" t="str">
            <v>KOKAR,INDUSTRIAL AREA,RANCHI
834002
RANCHI</v>
          </cell>
          <cell r="G6526">
            <v>7781017919</v>
          </cell>
          <cell r="K6526" t="str">
            <v>BMKC370048</v>
          </cell>
        </row>
        <row r="6527">
          <cell r="E6527" t="str">
            <v>REG. OFFICE: UNIT 106, MAHABIR TOWER, JOKHIRAM LANE, MAIN ROAD, RANCHI - 834 001
REG. OFFICE: UNIT 106, MAHABIR TOWER, JOKHIRAM LANE, MAIN ROAD, RANCHI - 834 001
835214</v>
          </cell>
          <cell r="G6527">
            <v>8051139257</v>
          </cell>
          <cell r="K6527" t="str">
            <v>BSDS043254</v>
          </cell>
        </row>
        <row r="6528">
          <cell r="E6528" t="str">
            <v>NAGRI,RANCHI
835202
RANCHI</v>
          </cell>
          <cell r="G6528">
            <v>8877024924</v>
          </cell>
          <cell r="K6528" t="str">
            <v>BMJS040004</v>
          </cell>
        </row>
        <row r="6529">
          <cell r="E6529" t="str">
            <v>KOKAR INDUSTRIAL AREA,,RANCHI
834002
KOKAR INDUSTRIAL AREA RANCHI</v>
          </cell>
          <cell r="G6529">
            <v>9599040419</v>
          </cell>
          <cell r="K6529" t="str">
            <v>BPLF150007</v>
          </cell>
        </row>
        <row r="6530">
          <cell r="E6530" t="str">
            <v>Chiturdih, Dhanbad.</v>
          </cell>
          <cell r="G6530">
            <v>8827265025</v>
          </cell>
          <cell r="K6530" t="str">
            <v>BTDD162192</v>
          </cell>
        </row>
        <row r="6531">
          <cell r="E6531" t="str">
            <v>BHOWRA, DHANBAD</v>
          </cell>
          <cell r="G6531">
            <v>8102325605</v>
          </cell>
          <cell r="K6531" t="str">
            <v>BSAD161597</v>
          </cell>
        </row>
        <row r="6532">
          <cell r="E6532" t="str">
            <v>THUMBAGARI, SATBARWA, PALAMU</v>
          </cell>
          <cell r="G6532">
            <v>7039553329</v>
          </cell>
          <cell r="K6532" t="str">
            <v>BUDC372146</v>
          </cell>
        </row>
        <row r="6533">
          <cell r="E6533" t="str">
            <v>MARAR, RAMGARH, JHARKHAND
MARRAR RAMGARH, 9155729786
829117
MARAR</v>
          </cell>
          <cell r="G6533">
            <v>9155729786</v>
          </cell>
          <cell r="K6533" t="str">
            <v>BMIS031759</v>
          </cell>
        </row>
        <row r="6534">
          <cell r="E6534" t="str">
            <v>BALIDIH, BOKARO</v>
          </cell>
          <cell r="G6534">
            <v>9064833872</v>
          </cell>
          <cell r="K6534" t="str">
            <v>BVJS047797</v>
          </cell>
        </row>
        <row r="6535">
          <cell r="E6535" t="str">
            <v>AL-MED EQUIPMENTS
BARIATU ROAD, RANCHI
834009</v>
          </cell>
          <cell r="G6535">
            <v>7715855380</v>
          </cell>
          <cell r="K6535" t="str">
            <v>BUBS045901</v>
          </cell>
        </row>
        <row r="6536">
          <cell r="E6536" t="str">
            <v>RANCHI
834002</v>
          </cell>
          <cell r="G6536">
            <v>6204720546</v>
          </cell>
          <cell r="K6536" t="str">
            <v>BTIS032025</v>
          </cell>
        </row>
        <row r="6537">
          <cell r="E6537" t="str">
            <v>RANCHI
834002</v>
          </cell>
          <cell r="G6537">
            <v>7982606444</v>
          </cell>
          <cell r="K6537" t="str">
            <v>BULS033141</v>
          </cell>
        </row>
        <row r="6538">
          <cell r="E6538" t="str">
            <v>NAMKUM INDUSTRIAL AREA,RANCHI
RANCHI
834010
INDIA</v>
          </cell>
          <cell r="G6538">
            <v>7070993638</v>
          </cell>
          <cell r="K6538" t="str">
            <v>GOCC370465</v>
          </cell>
        </row>
        <row r="6539">
          <cell r="E6539" t="str">
            <v>RANCHI
834002</v>
          </cell>
          <cell r="G6539">
            <v>8877100129</v>
          </cell>
          <cell r="K6539" t="str">
            <v>BTIS032020</v>
          </cell>
        </row>
        <row r="6540">
          <cell r="E6540" t="str">
            <v>PHASE - IV, PLOT NO. - IV-C/3 P AND IV-C/2 P, BOKARO INDUSTRIAL AREA, BALIDIH, BOKARO
PHASE - IV, PLOT NO. - IV-C/3 P AND IV-C/2 P, BOKARO INDUSTRIAL AREA, BALIDIH, BOKARO
827014</v>
          </cell>
          <cell r="G6540">
            <v>9814340048</v>
          </cell>
          <cell r="K6540" t="str">
            <v>BSDS037649</v>
          </cell>
        </row>
        <row r="6541">
          <cell r="E6541" t="str">
            <v>NAMKUM INDUSTRIAL AREA,RANCHI
834010</v>
          </cell>
          <cell r="G6541">
            <v>9386408111</v>
          </cell>
          <cell r="K6541" t="str">
            <v>BRHS035337</v>
          </cell>
        </row>
        <row r="6542">
          <cell r="E6542" t="str">
            <v>NAMKUM INDUSTRIAL AREA,RANCHI
834010</v>
          </cell>
          <cell r="G6542">
            <v>9386408111</v>
          </cell>
          <cell r="K6542" t="str">
            <v>GOCC370403</v>
          </cell>
        </row>
        <row r="6543">
          <cell r="E6543" t="str">
            <v>PALAMU,JHARKHAND
822126
PALAMU</v>
          </cell>
          <cell r="G6543">
            <v>8002487593</v>
          </cell>
          <cell r="K6543" t="str">
            <v>GPGC370758</v>
          </cell>
        </row>
        <row r="6544">
          <cell r="E6544" t="str">
            <v>BALIDIH INDUSTRIAL AREA,BOKARO
PLOT NO. - A/2 (P) INDUSTRIAL AREA, BALIDIH BOKARO STEEL CITY - 14, BOKARO
827014
BOKARO INDUSTRIAL ESTATE</v>
          </cell>
          <cell r="G6544">
            <v>9978928888</v>
          </cell>
          <cell r="K6544" t="str">
            <v>BSJS035946</v>
          </cell>
        </row>
        <row r="6545">
          <cell r="E6545" t="str">
            <v>NAGRI, RANCHI
TIKRATOLI, P.O:- NAGRI, RANCHI
834006</v>
          </cell>
          <cell r="G6545">
            <v>8002727910</v>
          </cell>
          <cell r="K6545" t="str">
            <v>BKKS030393</v>
          </cell>
        </row>
        <row r="6546">
          <cell r="E6546" t="str">
            <v>CHANDAREKHA, GALUDIH</v>
          </cell>
          <cell r="G6546">
            <v>7595807148</v>
          </cell>
          <cell r="K6546" t="str">
            <v>BUKD121059</v>
          </cell>
        </row>
        <row r="6547">
          <cell r="E6547" t="str">
            <v>KAARO SUBHASH NAGAR, DHANBAD</v>
          </cell>
          <cell r="G6547">
            <v>9843829993</v>
          </cell>
          <cell r="K6547" t="str">
            <v>BTFD162243</v>
          </cell>
        </row>
        <row r="6548">
          <cell r="E6548" t="str">
            <v>KOKAR INDUSTRIAL AREA, RANCHI
834002</v>
          </cell>
          <cell r="G6548">
            <v>7633885415</v>
          </cell>
          <cell r="K6548" t="str">
            <v>BRJS040951</v>
          </cell>
        </row>
        <row r="6549">
          <cell r="E6549" t="str">
            <v>THUMBAGARI, SATBARWA, PALAMU</v>
          </cell>
          <cell r="G6549">
            <v>7039553329</v>
          </cell>
          <cell r="K6549" t="str">
            <v>BUDC372146</v>
          </cell>
        </row>
        <row r="6550">
          <cell r="E6550" t="str">
            <v>TUPUDANA INDUSTRIAL AREA, RANCHI
PLOT NO. 114, TUPUDANA INDUSTRIAL AREA, TUPUDANA,HATIA, RANCHI
834002
RANCHI</v>
          </cell>
          <cell r="G6550">
            <v>8210182306</v>
          </cell>
          <cell r="K6550" t="str">
            <v>GOKS040088</v>
          </cell>
        </row>
        <row r="6551">
          <cell r="E6551" t="str">
            <v>62, KOKAR INDUSTRIAL AREA, KOKAR,RANCHI.
834001</v>
          </cell>
          <cell r="G6551">
            <v>8429020942</v>
          </cell>
          <cell r="K6551" t="str">
            <v>BQJF150001</v>
          </cell>
        </row>
        <row r="6552">
          <cell r="E6552" t="str">
            <v>BALIDIH INDUSTRIAL AREA
827014</v>
          </cell>
          <cell r="G6552">
            <v>8619424665</v>
          </cell>
          <cell r="K6552" t="str">
            <v>BTDS044304</v>
          </cell>
        </row>
        <row r="6553">
          <cell r="E6553" t="str">
            <v>BALIDIH INDUSTRIAL AREA
827014</v>
          </cell>
          <cell r="G6553">
            <v>8619424665</v>
          </cell>
          <cell r="K6553" t="str">
            <v>BTDS044313</v>
          </cell>
        </row>
        <row r="6554">
          <cell r="E6554" t="str">
            <v>BASKATOLA</v>
          </cell>
          <cell r="G6554">
            <v>9550053031</v>
          </cell>
          <cell r="K6554" t="str">
            <v>BULD162577</v>
          </cell>
        </row>
        <row r="6555">
          <cell r="E6555" t="str">
            <v>BASTAKOLA, DHANBAD</v>
          </cell>
          <cell r="G6555">
            <v>9550053031</v>
          </cell>
          <cell r="K6555" t="str">
            <v>BUKD162535</v>
          </cell>
        </row>
        <row r="6556">
          <cell r="E6556" t="str">
            <v>LODNA</v>
          </cell>
          <cell r="G6556">
            <v>9550053031</v>
          </cell>
          <cell r="K6556" t="str">
            <v>BQKD160099</v>
          </cell>
        </row>
        <row r="6557">
          <cell r="E6557" t="str">
            <v>DHANBAD</v>
          </cell>
          <cell r="G6557">
            <v>9550053031</v>
          </cell>
          <cell r="K6557" t="str">
            <v>BTDD162186</v>
          </cell>
        </row>
        <row r="6558">
          <cell r="E6558" t="str">
            <v>TUPUDANA INDUSTRIAL AREA, RANCHI
PLOT NO. 114, TUPUDANA INDUSTRIAL AREA, TUPUDANA,HATIA, RANCHI
834002
RANCHI</v>
          </cell>
          <cell r="G6558">
            <v>8210182306</v>
          </cell>
          <cell r="K6558" t="str">
            <v>GOKS040088</v>
          </cell>
        </row>
        <row r="6559">
          <cell r="E6559" t="str">
            <v>REHLA,GARWA,JHARKHAND
822124
RANCHI</v>
          </cell>
          <cell r="G6559">
            <v>7004623399</v>
          </cell>
          <cell r="K6559" t="str">
            <v>BMFS031346</v>
          </cell>
        </row>
        <row r="6560">
          <cell r="E6560" t="str">
            <v>SHEIKHPURA, BIHAR</v>
          </cell>
          <cell r="G6560">
            <v>6202016835</v>
          </cell>
          <cell r="K6560" t="str">
            <v>BULL160559</v>
          </cell>
        </row>
        <row r="6561">
          <cell r="E6561" t="str">
            <v>TUPUDANA INDUSTRIAL AREA, RANCHI
PLOT NO. 114, TUPUDANA INDUSTRIAL AREA, TUPUDANA,HATIA, RANCHI
834002
RANCHI</v>
          </cell>
          <cell r="G6561">
            <v>8210182306</v>
          </cell>
          <cell r="K6561" t="str">
            <v>BNAS040245</v>
          </cell>
        </row>
        <row r="6562">
          <cell r="E6562" t="str">
            <v>HATIA, RAILWAY DEPOT</v>
          </cell>
          <cell r="G6562">
            <v>9002080493</v>
          </cell>
          <cell r="K6562"/>
        </row>
        <row r="6563">
          <cell r="E6563" t="str">
            <v>KAMRE, RANCHI</v>
          </cell>
          <cell r="G6563">
            <v>7004854542</v>
          </cell>
          <cell r="K6563" t="str">
            <v>BUFC372967</v>
          </cell>
        </row>
        <row r="6564">
          <cell r="E6564" t="str">
            <v>MANDU, RAMGARH
JAISWAL COLONY, THANA CHOW,, RAMGARH CANTT. DIST. RAMGARH, JHARKHAND
825316
MANDU</v>
          </cell>
          <cell r="G6564">
            <v>7004242956</v>
          </cell>
          <cell r="K6564" t="str">
            <v>BTLS039719</v>
          </cell>
        </row>
        <row r="6565">
          <cell r="E6565" t="str">
            <v>DEMO TANND HAZAIBAGH JHARKHAND,
825301
DEMO TANND HAZAIBAGH JHARKHAND</v>
          </cell>
          <cell r="G6565">
            <v>7365655123</v>
          </cell>
          <cell r="K6565" t="str">
            <v>BMDS040417</v>
          </cell>
        </row>
        <row r="6566">
          <cell r="E6566" t="str">
            <v>MANDU, RAMGARH
JAISWAL COLONY, THANA CHOW,, RAMGARH CANTT. DIST. RAMGARH, JHARKHAND
825316
MANDU</v>
          </cell>
          <cell r="G6566">
            <v>7004242956</v>
          </cell>
          <cell r="K6566" t="str">
            <v>BTLS039748</v>
          </cell>
        </row>
        <row r="6567">
          <cell r="E6567" t="str">
            <v>MANDU, RAMGARH
JAISWAL COLONY, THANA CHOW,, RAMGARH CANTT. DIST. RAMGARH, JHARKHAND
825316
MANDU</v>
          </cell>
          <cell r="G6567">
            <v>7004242956</v>
          </cell>
          <cell r="K6567" t="str">
            <v>BTLS039787</v>
          </cell>
        </row>
        <row r="6568">
          <cell r="E6568" t="str">
            <v>MANDU, RAMGARH
JAISWAL COLONY, THANA CHOW,, RAMGARH CANTT. DIST. RAMGARH, JHARKHAND
825316
MANDU</v>
          </cell>
          <cell r="G6568">
            <v>7004242956</v>
          </cell>
          <cell r="K6568" t="str">
            <v>BTLS039793</v>
          </cell>
        </row>
        <row r="6569">
          <cell r="E6569" t="str">
            <v>CHUTIA, RANCHI</v>
          </cell>
          <cell r="G6569">
            <v>9939622140</v>
          </cell>
          <cell r="K6569" t="str">
            <v>BUFD162814</v>
          </cell>
        </row>
        <row r="6570">
          <cell r="E6570" t="str">
            <v>SHEETLA PRASAD SINGH,, MISHRA PADA, NEAR DURGA MANDIR,, JHARIA, DHANBAD - 828 111, JHARKHAND.</v>
          </cell>
          <cell r="G6570">
            <v>7644045555</v>
          </cell>
          <cell r="K6570" t="str">
            <v>BTDD162169</v>
          </cell>
        </row>
        <row r="6571">
          <cell r="E6571" t="str">
            <v>VINAIKA’S COMPLEX RANCHI TATA ROAD, R.S. PLOT NO.:-615,VILLAGE-PANCHA,THANA-BUNDU RANCHI, JHARKHAND.
834002</v>
          </cell>
          <cell r="G6571">
            <v>9818905980</v>
          </cell>
          <cell r="K6571" t="str">
            <v>BUDS046275</v>
          </cell>
        </row>
        <row r="6572">
          <cell r="E6572" t="str">
            <v>RAMPUR, RANCHI</v>
          </cell>
          <cell r="G6572">
            <v>8698019221</v>
          </cell>
          <cell r="K6572" t="str">
            <v>BRCS033785</v>
          </cell>
        </row>
        <row r="6573">
          <cell r="E6573" t="str">
            <v>RING ROAD, RAMPUR, RANCHI
834010</v>
          </cell>
          <cell r="G6573">
            <v>8698019221</v>
          </cell>
          <cell r="K6573" t="str">
            <v>BRCS033809</v>
          </cell>
        </row>
        <row r="6574">
          <cell r="E6574" t="str">
            <v>RING ROAD, RAMPUR, RANCHI
834010</v>
          </cell>
          <cell r="G6574">
            <v>8698019221</v>
          </cell>
          <cell r="K6574" t="str">
            <v>BRCS033813</v>
          </cell>
        </row>
        <row r="6575">
          <cell r="E6575" t="str">
            <v>RING ROAD, RAMPUR, RANCHI
834010</v>
          </cell>
          <cell r="G6575">
            <v>8698019221</v>
          </cell>
          <cell r="K6575" t="str">
            <v>BRBS033681</v>
          </cell>
        </row>
        <row r="6576">
          <cell r="E6576" t="str">
            <v>ANKIT KUMAR SONTHALIA, R.N. BOSE ROAD, SATSANG GATE, NEAR HANUMAN MANDIR,, PURANDAHA, DEOGHAR, DIST. DUMKA,, JHARKHAND</v>
          </cell>
          <cell r="G6576">
            <v>7542025382</v>
          </cell>
          <cell r="K6576" t="str">
            <v>BSFD161795</v>
          </cell>
        </row>
        <row r="6577">
          <cell r="E6577" t="str">
            <v>REHLA,GARWA,JHARKHAND
822124
RANCHI</v>
          </cell>
          <cell r="G6577">
            <v>7004623399</v>
          </cell>
          <cell r="K6577" t="str">
            <v>BMFS031346</v>
          </cell>
        </row>
        <row r="6578">
          <cell r="E6578" t="str">
            <v>JHARKHAND</v>
          </cell>
          <cell r="G6578">
            <v>9555053031</v>
          </cell>
          <cell r="K6578" t="str">
            <v>BQJD160040</v>
          </cell>
        </row>
        <row r="6579">
          <cell r="E6579" t="str">
            <v>DIBDIH, RANCHI
834002</v>
          </cell>
          <cell r="G6579">
            <v>8102915589</v>
          </cell>
          <cell r="K6579" t="str">
            <v>BTEC378588</v>
          </cell>
        </row>
        <row r="6580">
          <cell r="E6580" t="str">
            <v>NEAR P.N BANK MAIN ROAD,, RAMGARH CANTT-829122, DIST. RAMGARH
829122
BUDHAKHOP, AMBRELA, KARMA,</v>
          </cell>
          <cell r="G6580">
            <v>9437090314</v>
          </cell>
          <cell r="K6580" t="str">
            <v>BSHS038806</v>
          </cell>
        </row>
        <row r="6581">
          <cell r="E6581" t="str">
            <v>NEAR P.N BANK MAIN ROAD,, RAMGARH CANTT-829122, DIST. RAMGARH
829122
BUDHAKHOP, AMBRELA, KARMA,</v>
          </cell>
          <cell r="G6581">
            <v>9437090314</v>
          </cell>
          <cell r="K6581" t="str">
            <v>BQBS030091</v>
          </cell>
        </row>
        <row r="6582">
          <cell r="E6582" t="str">
            <v>RING ROAD, RAMPUR, RANCHI
834010</v>
          </cell>
          <cell r="G6582">
            <v>8698019221</v>
          </cell>
          <cell r="K6582" t="str">
            <v>BRBS033681</v>
          </cell>
        </row>
        <row r="6583">
          <cell r="E6583" t="str">
            <v>NEAR P.N BANK MAIN ROAD,, RAMGARH CANTT-829122, DIST. RAMGARH
829122
BUDHAKHOP, AMBRELA, KARMA,</v>
          </cell>
          <cell r="G6583">
            <v>9437090314</v>
          </cell>
          <cell r="K6583" t="str">
            <v>BQBS030091</v>
          </cell>
        </row>
        <row r="6584">
          <cell r="E6584" t="str">
            <v>KAMRE, RANCHI</v>
          </cell>
          <cell r="G6584">
            <v>7004854542</v>
          </cell>
          <cell r="K6584" t="str">
            <v>BUFC372967</v>
          </cell>
        </row>
        <row r="6585">
          <cell r="E6585" t="str">
            <v>GROUND FLOOR, 8H AND 81, NATION PRINTERS, NAMKUM INDUSTRIAL AREA,, LOWADIH, RANCHI
GROUND FLOOR, 8H AND 81, NATION PRINTERS, NAMKUM INDUSTRIAL AREA,, LOWADIH, RANCHI
834010</v>
          </cell>
          <cell r="G6585">
            <v>9709225271</v>
          </cell>
          <cell r="K6585" t="str">
            <v>BRFC373676</v>
          </cell>
        </row>
        <row r="6586">
          <cell r="E6586" t="str">
            <v>CHUTIA, RANCHI</v>
          </cell>
          <cell r="G6586">
            <v>9939622140</v>
          </cell>
          <cell r="K6586" t="str">
            <v>BUFD162814</v>
          </cell>
        </row>
        <row r="6587">
          <cell r="E6587" t="str">
            <v>BERA</v>
          </cell>
          <cell r="G6587">
            <v>9550053031</v>
          </cell>
          <cell r="K6587" t="str">
            <v>BUAD162634</v>
          </cell>
        </row>
        <row r="6588">
          <cell r="E6588" t="str">
            <v>BASKATOLA</v>
          </cell>
          <cell r="G6588">
            <v>9550053031</v>
          </cell>
          <cell r="K6588" t="str">
            <v>BULD162577</v>
          </cell>
        </row>
        <row r="6589">
          <cell r="E6589" t="str">
            <v>HORHAP ROAD, MAHILONG, RANCHI
835103</v>
          </cell>
          <cell r="G6589">
            <v>9708039203</v>
          </cell>
          <cell r="K6589" t="str">
            <v>BRIC374329</v>
          </cell>
        </row>
        <row r="6590">
          <cell r="E6590" t="str">
            <v>LALGUTUA RANCHI</v>
          </cell>
          <cell r="G6590">
            <v>8306527515</v>
          </cell>
          <cell r="K6590" t="str">
            <v>BVJC374154</v>
          </cell>
        </row>
        <row r="6591">
          <cell r="E6591" t="str">
            <v>CHATTARPUR, DALTAINGANJ</v>
          </cell>
          <cell r="G6591">
            <v>9863855103</v>
          </cell>
          <cell r="K6591" t="str">
            <v>BUED220691</v>
          </cell>
        </row>
        <row r="6592">
          <cell r="E6592" t="str">
            <v>SHEIKHPURA, BIHAR</v>
          </cell>
          <cell r="G6592">
            <v>6202016835</v>
          </cell>
          <cell r="K6592" t="str">
            <v>BULL160559</v>
          </cell>
        </row>
        <row r="6593">
          <cell r="E6593" t="str">
            <v>SHEIKHPURA, BIHAR</v>
          </cell>
          <cell r="G6593">
            <v>6202016835</v>
          </cell>
          <cell r="K6593" t="str">
            <v>BUAL160593</v>
          </cell>
        </row>
        <row r="6594">
          <cell r="E6594" t="str">
            <v>GAROH BEEGHA NAWADA</v>
          </cell>
          <cell r="G6594">
            <v>6209205409</v>
          </cell>
          <cell r="K6594" t="str">
            <v>BLHD120227</v>
          </cell>
        </row>
        <row r="6595">
          <cell r="E6595" t="str">
            <v>DHANBAD</v>
          </cell>
          <cell r="G6595">
            <v>9550053031</v>
          </cell>
          <cell r="K6595" t="str">
            <v>BTDD162186</v>
          </cell>
        </row>
        <row r="6596">
          <cell r="E6596" t="str">
            <v>UNIT OF HERITAGE LANDMARKS AUTOWORLD PVT. LTD., NEAR KAMRE AASHRAM, P.O. KAMRE, RATU ROAD, RANCHI
835214</v>
          </cell>
          <cell r="G6596">
            <v>8102800076</v>
          </cell>
          <cell r="K6596" t="str">
            <v>BTJC377158</v>
          </cell>
        </row>
        <row r="6597">
          <cell r="E6597" t="str">
            <v>ADITYAPUR, KANDRA ROAD
831013</v>
          </cell>
          <cell r="G6597">
            <v>9234771111</v>
          </cell>
          <cell r="K6597" t="str">
            <v>BMEC370377</v>
          </cell>
        </row>
        <row r="6598">
          <cell r="E6598" t="str">
            <v>PLOT NO. 148, TUPUDANA, INDUSTRIAL AREA, HATIA, RANCHI
834002</v>
          </cell>
          <cell r="G6598">
            <v>7979877049</v>
          </cell>
          <cell r="K6598" t="str">
            <v>BRIS035838</v>
          </cell>
        </row>
        <row r="6599">
          <cell r="E6599" t="str">
            <v>PLOT NO. 148, TUPUDANA, INDUSTRIAL AREA, HATIA, RANCHI
834002</v>
          </cell>
          <cell r="G6599">
            <v>7979877049</v>
          </cell>
          <cell r="K6599" t="str">
            <v>BSLS036682</v>
          </cell>
        </row>
        <row r="6600">
          <cell r="E6600" t="str">
            <v>SHEETLA PRASAD SINGH,, MISHRA PADA, NEAR DURGA MANDIR,, JHARIA, DHANBAD - 828 111, JHARKHAND.</v>
          </cell>
          <cell r="G6600">
            <v>7644045555</v>
          </cell>
          <cell r="K6600" t="str">
            <v>BTKD162112</v>
          </cell>
        </row>
        <row r="6601">
          <cell r="E6601" t="str">
            <v>PLOT NO 716,VILL-RUKKA,
835219</v>
          </cell>
          <cell r="G6601">
            <v>9791019799</v>
          </cell>
          <cell r="K6601" t="str">
            <v>BSKS036366</v>
          </cell>
        </row>
        <row r="6602">
          <cell r="E6602" t="str">
            <v>PLOT NO 716,VILL-RUKKA,
835219</v>
          </cell>
          <cell r="G6602">
            <v>9791019799</v>
          </cell>
          <cell r="K6602" t="str">
            <v>BSKS036365</v>
          </cell>
        </row>
        <row r="6603">
          <cell r="E6603" t="str">
            <v>VILL - BARIDARI, BOKARO</v>
          </cell>
          <cell r="G6603">
            <v>6204816691</v>
          </cell>
          <cell r="K6603" t="str">
            <v>BRHD161299</v>
          </cell>
        </row>
        <row r="6604">
          <cell r="E6604" t="str">
            <v>RANCHI,JHARKHAND
834001
RANCHI</v>
          </cell>
          <cell r="G6604">
            <v>9350262396</v>
          </cell>
          <cell r="K6604" t="str">
            <v>BJHS031586</v>
          </cell>
        </row>
        <row r="6605">
          <cell r="E6605" t="str">
            <v>KOKAR INDUSTRIAL AREA,RANCHI
834001</v>
          </cell>
          <cell r="G6605">
            <v>8404802062</v>
          </cell>
          <cell r="K6605" t="str">
            <v>BSBC375535</v>
          </cell>
        </row>
        <row r="6606">
          <cell r="E6606" t="str">
            <v>DHANBAD</v>
          </cell>
          <cell r="G6606">
            <v>8825336285</v>
          </cell>
          <cell r="K6606" t="str">
            <v>BTCD162159</v>
          </cell>
        </row>
        <row r="6607">
          <cell r="E6607" t="str">
            <v>C/O CREATIVE TEXTILES
KUNJLAL,UPPER BAZAR, RANCHI
834001</v>
          </cell>
          <cell r="G6607">
            <v>7549149341</v>
          </cell>
          <cell r="K6607" t="str">
            <v>BULC371071</v>
          </cell>
        </row>
        <row r="6608">
          <cell r="E6608" t="str">
            <v>HESLA,RAMGARH
829101</v>
          </cell>
          <cell r="G6608">
            <v>8862948833</v>
          </cell>
          <cell r="K6608" t="str">
            <v>BSDS037710</v>
          </cell>
        </row>
        <row r="6609">
          <cell r="E6609" t="str">
            <v>C/O - AMAN AGRAWAL, PLOT NO. 735, KAITHA, RAMGARH CANTT., RAMGARH
825101</v>
          </cell>
          <cell r="G6609">
            <v>8709937739</v>
          </cell>
          <cell r="K6609" t="str">
            <v>BSDC375954</v>
          </cell>
        </row>
        <row r="6610">
          <cell r="E6610" t="str">
            <v>BAGODAR
GIRIDIH</v>
          </cell>
          <cell r="G6610">
            <v>7761032448</v>
          </cell>
          <cell r="K6610" t="str">
            <v>BUDS034763</v>
          </cell>
        </row>
        <row r="6611">
          <cell r="E6611" t="str">
            <v>SHEETLA PRASAD SINGH,, MISHRA PADA, NEAR DURGA MANDIR,, JHARIA, DHANBAD - 828 111, JHARKHAND.</v>
          </cell>
          <cell r="G6611">
            <v>7644045555</v>
          </cell>
          <cell r="K6611" t="str">
            <v>BTDD162169</v>
          </cell>
        </row>
        <row r="6612">
          <cell r="E6612" t="str">
            <v>BASKATOLA</v>
          </cell>
          <cell r="G6612">
            <v>9550053031</v>
          </cell>
          <cell r="K6612" t="str">
            <v>BULD162577</v>
          </cell>
        </row>
        <row r="6613">
          <cell r="E6613" t="str">
            <v>CHUTIA, RANCHI</v>
          </cell>
          <cell r="G6613">
            <v>9939622140</v>
          </cell>
          <cell r="K6613" t="str">
            <v>BUFD162814</v>
          </cell>
        </row>
        <row r="6614">
          <cell r="E6614" t="str">
            <v>CHOKA</v>
          </cell>
          <cell r="G6614">
            <v>8210267884</v>
          </cell>
          <cell r="K6614" t="str">
            <v>BMCD200200</v>
          </cell>
        </row>
        <row r="6615">
          <cell r="E6615" t="str">
            <v>KHURPANIA, KHASHMAHAL, PHUSHRO</v>
          </cell>
          <cell r="G6615">
            <v>7079920159</v>
          </cell>
          <cell r="K6615" t="str">
            <v>BTHD162350</v>
          </cell>
        </row>
        <row r="6616">
          <cell r="E6616" t="str">
            <v>11 PINJRAPOLE, HARMU ROAD, RANCHI
11 PINJRAPOLE, HARMU ROAD, RANCHI
834001
MAHILONG, TATISILWAY</v>
          </cell>
          <cell r="G6616">
            <v>9709000070</v>
          </cell>
          <cell r="K6616" t="str">
            <v>BNCC370425</v>
          </cell>
        </row>
        <row r="6617">
          <cell r="E6617" t="str">
            <v>DHANBAD</v>
          </cell>
          <cell r="G6617">
            <v>8102325605</v>
          </cell>
          <cell r="K6617" t="str">
            <v>BSGD161904</v>
          </cell>
        </row>
        <row r="6618">
          <cell r="E6618" t="str">
            <v>C/O - PREM PRAKASH AGARWAL, OPP - HILLVIEW FUEL STATION, GODHUR, P.O - KUSUNDA, DHANBAD</v>
          </cell>
          <cell r="G6618">
            <v>7903412157</v>
          </cell>
          <cell r="K6618" t="str">
            <v>BTED162217</v>
          </cell>
        </row>
        <row r="6619">
          <cell r="E6619" t="str">
            <v>NAMKUN INDUSTRIAL AREA,RANCHI
834010</v>
          </cell>
          <cell r="G6619">
            <v>9431109899</v>
          </cell>
          <cell r="K6619" t="str">
            <v>BUDS034771</v>
          </cell>
        </row>
        <row r="6620">
          <cell r="E6620" t="str">
            <v>BASKATOLA</v>
          </cell>
          <cell r="G6620">
            <v>9550053031</v>
          </cell>
          <cell r="K6620" t="str">
            <v>BULD162568</v>
          </cell>
        </row>
        <row r="6621">
          <cell r="E6621" t="str">
            <v>RAMGARH CANTT, RAMGARH
RAMGARH
829122
RAMGARH</v>
          </cell>
          <cell r="G6621">
            <v>9576833882</v>
          </cell>
          <cell r="K6621" t="str">
            <v>BNKS030423</v>
          </cell>
        </row>
        <row r="6622">
          <cell r="E6622" t="str">
            <v>BOKARO</v>
          </cell>
          <cell r="G6622">
            <v>9279541127</v>
          </cell>
          <cell r="K6622" t="str">
            <v>BRAF110427</v>
          </cell>
        </row>
        <row r="6623">
          <cell r="E6623" t="str">
            <v>AT. BONGABAR, SANDI, RAMGARH, AMC  FROM 1-8-2019 TO 30-7-2020
829122
SANDI ,</v>
          </cell>
          <cell r="G6623">
            <v>7004344365</v>
          </cell>
          <cell r="K6623" t="str">
            <v>BLGS040605</v>
          </cell>
        </row>
        <row r="6624">
          <cell r="E6624" t="str">
            <v>RAMGARH</v>
          </cell>
          <cell r="G6624">
            <v>9973223350</v>
          </cell>
          <cell r="K6624" t="str">
            <v>BLES031356</v>
          </cell>
        </row>
        <row r="6625">
          <cell r="E6625" t="str">
            <v>SHEKHPURA, BIHAR</v>
          </cell>
          <cell r="G6625">
            <v>9304172201</v>
          </cell>
          <cell r="K6625" t="str">
            <v>BTGL160455</v>
          </cell>
        </row>
        <row r="6626">
          <cell r="E6626" t="str">
            <v>HAZARIBAGH
RANCHI JHARKHAND 834002
INDIA</v>
          </cell>
          <cell r="G6626">
            <v>7361044448</v>
          </cell>
          <cell r="K6626" t="str">
            <v>BKAS030685</v>
          </cell>
        </row>
        <row r="6627">
          <cell r="E6627" t="str">
            <v>TETULIMURI DHANBAD</v>
          </cell>
          <cell r="G6627">
            <v>8252145394</v>
          </cell>
          <cell r="K6627" t="str">
            <v>BUGD162858</v>
          </cell>
        </row>
        <row r="6628">
          <cell r="E6628" t="str">
            <v>RAVULA SHYAM SUNDER REDDY, HOUSE NO. 3-5-196/1, ROAD NO. 5M, KRISHNANAGAR COLONY, MOULALI, HYDRABAD</v>
          </cell>
          <cell r="G6628">
            <v>9661544624</v>
          </cell>
          <cell r="K6628" t="str">
            <v>BSCD161691</v>
          </cell>
        </row>
        <row r="6629">
          <cell r="E6629" t="str">
            <v>KATRAS, DHANBAD</v>
          </cell>
          <cell r="G6629">
            <v>9113788032</v>
          </cell>
          <cell r="K6629" t="str">
            <v>BSKD161477</v>
          </cell>
        </row>
        <row r="6630">
          <cell r="E6630" t="str">
            <v>KUSUNDA DHANBAD</v>
          </cell>
          <cell r="G6630">
            <v>8210106692</v>
          </cell>
          <cell r="K6630" t="str">
            <v>BQCD160129</v>
          </cell>
        </row>
        <row r="6631">
          <cell r="E6631" t="str">
            <v>DHANBAD</v>
          </cell>
          <cell r="G6631">
            <v>6207308280</v>
          </cell>
          <cell r="K6631" t="str">
            <v>BSGD161904</v>
          </cell>
        </row>
        <row r="6632">
          <cell r="E6632" t="str">
            <v>DHANBAD</v>
          </cell>
          <cell r="G6632">
            <v>6207308280</v>
          </cell>
          <cell r="K6632" t="str">
            <v>BTED162231</v>
          </cell>
        </row>
        <row r="6633">
          <cell r="E6633" t="str">
            <v>PIPARWAR,JHARKHAND
BAHERA, BENTI, PIPARWAR, CHATRA
825321</v>
          </cell>
          <cell r="G6633">
            <v>6200570927</v>
          </cell>
          <cell r="K6633" t="str">
            <v>BUIC374043</v>
          </cell>
        </row>
        <row r="6634">
          <cell r="E6634" t="str">
            <v>VILL - BARIDARI, BOKARO</v>
          </cell>
          <cell r="G6634">
            <v>6204816691</v>
          </cell>
          <cell r="K6634" t="str">
            <v>BRHD161299</v>
          </cell>
        </row>
        <row r="6635">
          <cell r="E6635" t="str">
            <v>GROUND FLOOR, 8H AND 81, NATION PRINTERS, NAMKUM INDUSTRIAL AREA,, LOWADIH, RANCHI
GROUND FLOOR, 8H AND 81, NATION PRINTERS, NAMKUM INDUSTRIAL AREA,, LOWADIH, RANCHI
834010</v>
          </cell>
          <cell r="G6635">
            <v>9386895542</v>
          </cell>
          <cell r="K6635" t="str">
            <v>BRCC372871</v>
          </cell>
        </row>
        <row r="6636">
          <cell r="E6636" t="str">
            <v>TRIDENT PNEUMATICS PVT LTD   5/232,KNG PUDUR ROADSOMAYAMPALAYAM POSTCOIMBATORE IND</v>
          </cell>
          <cell r="G6636">
            <v>9386007608</v>
          </cell>
          <cell r="K6636" t="str">
            <v>BRCC373040</v>
          </cell>
        </row>
        <row r="6637">
          <cell r="E6637" t="str">
            <v>MAHAGAMA, GODDA</v>
          </cell>
          <cell r="G6637">
            <v>7541812437</v>
          </cell>
          <cell r="K6637" t="str">
            <v>BQFS030194</v>
          </cell>
        </row>
        <row r="6638">
          <cell r="E6638" t="str">
            <v>CHUTIA, RANCHI</v>
          </cell>
          <cell r="G6638">
            <v>9199364073</v>
          </cell>
          <cell r="K6638" t="str">
            <v>BUFD162814</v>
          </cell>
        </row>
        <row r="6639">
          <cell r="E6639" t="str">
            <v>DHANBAD</v>
          </cell>
          <cell r="G6639">
            <v>9263634417</v>
          </cell>
          <cell r="K6639" t="str">
            <v>BTCD162159</v>
          </cell>
        </row>
        <row r="6640">
          <cell r="E6640" t="str">
            <v>DHANBAD</v>
          </cell>
          <cell r="G6640">
            <v>9263634417</v>
          </cell>
          <cell r="K6640" t="str">
            <v>BTCD162159</v>
          </cell>
        </row>
        <row r="6641">
          <cell r="E6641" t="str">
            <v>HAZARIBAGH</v>
          </cell>
          <cell r="G6641">
            <v>8967866362</v>
          </cell>
          <cell r="K6641" t="str">
            <v>BUIS036401</v>
          </cell>
        </row>
        <row r="6642">
          <cell r="E6642" t="str">
            <v>PLOT NO 716,VILL-RUKKA,
835219</v>
          </cell>
          <cell r="G6642">
            <v>9791019799</v>
          </cell>
          <cell r="K6642" t="str">
            <v>BSKS036366</v>
          </cell>
        </row>
        <row r="6643">
          <cell r="E6643" t="str">
            <v>SHEETLA PRASAD SINGH,, MISHRA PADA, NEAR DURGA MANDIR,, JHARIA, DHANBAD - 828 111, JHARKHAND.</v>
          </cell>
          <cell r="G6643">
            <v>7644045555</v>
          </cell>
          <cell r="K6643" t="str">
            <v>BTDD162169</v>
          </cell>
        </row>
        <row r="6644">
          <cell r="E6644" t="str">
            <v>TAPIN HAZARIBAGH</v>
          </cell>
          <cell r="G6644">
            <v>8002177613</v>
          </cell>
          <cell r="K6644" t="str">
            <v>BTGD162289</v>
          </cell>
        </row>
        <row r="6645">
          <cell r="E6645" t="str">
            <v>GHATSHILA,JAMSHEDPUR</v>
          </cell>
          <cell r="G6645">
            <v>7992362488</v>
          </cell>
          <cell r="K6645" t="str">
            <v>BPED200187</v>
          </cell>
        </row>
        <row r="6646">
          <cell r="E6646" t="str">
            <v>RAMGRAH</v>
          </cell>
          <cell r="G6646">
            <v>8708249759</v>
          </cell>
          <cell r="K6646" t="str">
            <v>BUIS036662</v>
          </cell>
        </row>
        <row r="6647">
          <cell r="E6647" t="str">
            <v>RAMGARH CANTT, RAMGARH
RAMGARH
829122
RAMGARH</v>
          </cell>
          <cell r="G6647">
            <v>9576833882</v>
          </cell>
          <cell r="K6647" t="str">
            <v>BNKS030423</v>
          </cell>
        </row>
        <row r="6648">
          <cell r="E6648" t="str">
            <v>RAMGARH SPONGE IRON PVT LTD VILLAGE:HOSHIR GIDDI-POHAZARIBAGH(DT)JHARKHAND IND
829110</v>
          </cell>
          <cell r="G6648">
            <v>8789325754</v>
          </cell>
          <cell r="K6648" t="str">
            <v>BKCS040470</v>
          </cell>
        </row>
        <row r="6649">
          <cell r="E6649" t="str">
            <v>ADMINISTRATIVE BLOCK, MECHINICAL DEPARTMENT, DHANBAD</v>
          </cell>
          <cell r="G6649">
            <v>8051200072</v>
          </cell>
          <cell r="K6649" t="str">
            <v>BUIS036656</v>
          </cell>
        </row>
        <row r="6650">
          <cell r="E6650" t="str">
            <v>NAYA MORE,RAMGARH
ARA SARU BERA ROAD, NAYA, RAMGARH,JHARKHAND
829110
NAYA MORE</v>
          </cell>
          <cell r="G6650">
            <v>8271433755</v>
          </cell>
          <cell r="K6650" t="str">
            <v>BQBS033796</v>
          </cell>
        </row>
        <row r="6651">
          <cell r="E6651" t="str">
            <v>URMILA TOWER, ROOM NO. 805, DHANBAD</v>
          </cell>
          <cell r="G6651">
            <v>9006617909</v>
          </cell>
          <cell r="K6651" t="str">
            <v>BTKD162074</v>
          </cell>
        </row>
        <row r="6652">
          <cell r="E6652" t="str">
            <v>C/O CREATIVE TEXTILES
KUNJLAL,UPPER BAZAR, RANCHI
834001</v>
          </cell>
          <cell r="G6652">
            <v>7549149341</v>
          </cell>
          <cell r="K6652" t="str">
            <v>BULC371071</v>
          </cell>
        </row>
        <row r="6653">
          <cell r="E6653" t="str">
            <v>RAMGARH
829103
NAYA MORE</v>
          </cell>
          <cell r="G6653">
            <v>8651078519</v>
          </cell>
          <cell r="K6653" t="str">
            <v>BRGS035169</v>
          </cell>
        </row>
        <row r="6654">
          <cell r="E6654" t="str">
            <v>KOKAR INDUSTRIAL AREA,RANCHI
834002
KOKAR INDUSTRIAL AREA</v>
          </cell>
          <cell r="G6654">
            <v>9771441275</v>
          </cell>
          <cell r="K6654" t="str">
            <v>BRKC371988</v>
          </cell>
        </row>
        <row r="6655">
          <cell r="E6655" t="str">
            <v>BAGODAR
GIRIDIH</v>
          </cell>
          <cell r="G6655">
            <v>9431503425</v>
          </cell>
          <cell r="K6655" t="str">
            <v>BUDS034763</v>
          </cell>
        </row>
        <row r="6656">
          <cell r="E6656" t="str">
            <v>GOPI KANDHAR, DUMKA</v>
          </cell>
          <cell r="G6656">
            <v>9661732073</v>
          </cell>
          <cell r="K6656" t="str">
            <v>BUID162940</v>
          </cell>
        </row>
        <row r="6657">
          <cell r="E6657" t="str">
            <v>CHUTIA, RANCHI</v>
          </cell>
          <cell r="G6657">
            <v>9939622140</v>
          </cell>
          <cell r="K6657" t="str">
            <v>BUFD162814</v>
          </cell>
        </row>
        <row r="6658">
          <cell r="E6658" t="str">
            <v>TUPUDANA INDUSTRIAL AREA, RANCHI
PLOT NO. 114, TUPUDANA INDUSTRIAL AREA, TUPUDANA,HATIA, RANCHI
834002
RANCHI</v>
          </cell>
          <cell r="G6658">
            <v>8709670947</v>
          </cell>
          <cell r="K6658" t="str">
            <v>BNAS040245</v>
          </cell>
        </row>
        <row r="6659">
          <cell r="E6659" t="str">
            <v>ADMINISTRATIVE BLOCK, MECHINICAL DEPARTMENT, DHANBAD</v>
          </cell>
          <cell r="G6659">
            <v>8051200072</v>
          </cell>
          <cell r="K6659" t="str">
            <v>BUIS036656</v>
          </cell>
        </row>
        <row r="6660">
          <cell r="E6660" t="str">
            <v>NAGARI
 835303</v>
          </cell>
          <cell r="G6660">
            <v>9570000319</v>
          </cell>
          <cell r="K6660" t="str">
            <v>BREC373538</v>
          </cell>
        </row>
        <row r="6661">
          <cell r="E6661" t="str">
            <v>DALADALI, RANCHUI</v>
          </cell>
          <cell r="G6661">
            <v>7992413342</v>
          </cell>
          <cell r="K6661" t="str">
            <v>BMJD200014</v>
          </cell>
        </row>
        <row r="6662">
          <cell r="E6662" t="str">
            <v>SHEKHPURA, BIHAR</v>
          </cell>
          <cell r="G6662">
            <v>9304172201</v>
          </cell>
          <cell r="K6662" t="str">
            <v>BTGL160455</v>
          </cell>
        </row>
        <row r="6663">
          <cell r="E6663" t="str">
            <v>SHEKHPURA, BIHAR</v>
          </cell>
          <cell r="G6663">
            <v>9304172201</v>
          </cell>
          <cell r="K6663" t="str">
            <v>BULL160564</v>
          </cell>
        </row>
        <row r="6664">
          <cell r="E6664" t="str">
            <v>SHEKHPURA, BIHAR</v>
          </cell>
          <cell r="G6664">
            <v>9631196100</v>
          </cell>
          <cell r="K6664" t="str">
            <v>BULL160564</v>
          </cell>
        </row>
        <row r="6665">
          <cell r="E6665" t="str">
            <v>SHEKHPURA, BIHAR</v>
          </cell>
          <cell r="G6665">
            <v>9631196100</v>
          </cell>
          <cell r="K6665" t="str">
            <v>BULL160564</v>
          </cell>
        </row>
        <row r="6666">
          <cell r="E6666" t="str">
            <v>TUPUDANA INDUSTRIAL AREA, RANCHI
PLOT NO. 114, TUPUDANA INDUSTRIAL AREA, TUPUDANA,HATIA, RANCHI
834002
RANCHI</v>
          </cell>
          <cell r="G6666">
            <v>7037835621</v>
          </cell>
          <cell r="K6666" t="str">
            <v>BNAS040245</v>
          </cell>
        </row>
        <row r="6667">
          <cell r="E6667" t="str">
            <v>SARNATOLI,ANGADA,RANCHI
835222</v>
          </cell>
          <cell r="G6667">
            <v>9798563448</v>
          </cell>
          <cell r="K6667" t="str">
            <v>BSAF110719</v>
          </cell>
        </row>
        <row r="6668">
          <cell r="E6668" t="str">
            <v>TATISILWAI, JHARKHAND
835103</v>
          </cell>
          <cell r="G6668">
            <v>6200160428</v>
          </cell>
          <cell r="K6668" t="str">
            <v>BQHS040705</v>
          </cell>
        </row>
        <row r="6669">
          <cell r="E6669" t="str">
            <v>BOKARO</v>
          </cell>
          <cell r="G6669">
            <v>7033291304</v>
          </cell>
          <cell r="K6669" t="str">
            <v>BRAF110427</v>
          </cell>
        </row>
        <row r="6670">
          <cell r="E6670" t="str">
            <v>RANCHI PATNA ROAD
DEMOTAND
825301
HAZARIBAGH</v>
          </cell>
          <cell r="G6670">
            <v>6203465926</v>
          </cell>
          <cell r="K6670" t="str">
            <v>BMBL160078</v>
          </cell>
        </row>
        <row r="6671">
          <cell r="E6671" t="str">
            <v>9.P .INDUSTRIAL AREA  KOKAR, RANCHI, TIN-20880200515
9.P .INDUSTRIAL AREA  KOKAR, RANCHI, TIN-20880200515
834001</v>
          </cell>
          <cell r="G6671">
            <v>9955178750</v>
          </cell>
          <cell r="K6671" t="str">
            <v>BTGS031205</v>
          </cell>
        </row>
        <row r="6672">
          <cell r="E6672" t="str">
            <v>TATISILWAI, JHARKHAND
835103</v>
          </cell>
          <cell r="G6672">
            <v>6200160428</v>
          </cell>
          <cell r="K6672" t="str">
            <v>BQGS031413</v>
          </cell>
        </row>
        <row r="6673">
          <cell r="E6673" t="str">
            <v>NAMKUM INDUSTRIAL AREA,RANCHI
834010</v>
          </cell>
          <cell r="G6673">
            <v>9386408111</v>
          </cell>
          <cell r="K6673" t="str">
            <v>BRHS035337</v>
          </cell>
        </row>
        <row r="6674">
          <cell r="E6674" t="str">
            <v>BASTAWLA DHANBAD</v>
          </cell>
          <cell r="G6674">
            <v>9550053031</v>
          </cell>
          <cell r="K6674" t="str">
            <v>BUAD162630</v>
          </cell>
        </row>
        <row r="6675">
          <cell r="E6675" t="str">
            <v>PAKURA, DUMKA</v>
          </cell>
          <cell r="G6675">
            <v>8235542790</v>
          </cell>
          <cell r="K6675" t="str">
            <v>BUDD220683</v>
          </cell>
        </row>
        <row r="6676">
          <cell r="E6676" t="str">
            <v>GAYA</v>
          </cell>
          <cell r="G6676">
            <v>8210812409</v>
          </cell>
          <cell r="K6676" t="str">
            <v>BUKD162510</v>
          </cell>
        </row>
        <row r="6677">
          <cell r="E6677" t="str">
            <v>MOKAMA, BIHAR</v>
          </cell>
          <cell r="G6677">
            <v>9279265464</v>
          </cell>
          <cell r="K6677" t="str">
            <v>AUKD230777</v>
          </cell>
        </row>
        <row r="6678">
          <cell r="E6678" t="str">
            <v>DALADALI, RANCHUI</v>
          </cell>
          <cell r="G6678">
            <v>7992413342</v>
          </cell>
          <cell r="K6678" t="str">
            <v>BMJD200014</v>
          </cell>
        </row>
        <row r="6679">
          <cell r="E6679" t="str">
            <v>ORMANJHI</v>
          </cell>
          <cell r="G6679">
            <v>9431101433</v>
          </cell>
          <cell r="K6679" t="str">
            <v>BJBS030606</v>
          </cell>
        </row>
        <row r="6680">
          <cell r="E6680" t="str">
            <v>SHEIKHPURA, BIHAR</v>
          </cell>
          <cell r="G6680">
            <v>9973958691</v>
          </cell>
          <cell r="K6680" t="str">
            <v>BULL160559</v>
          </cell>
        </row>
        <row r="6681">
          <cell r="E6681" t="str">
            <v>ARGORA, RANCHI
834002</v>
          </cell>
          <cell r="G6681">
            <v>9162255912</v>
          </cell>
          <cell r="K6681" t="str">
            <v>BSKC374901</v>
          </cell>
        </row>
        <row r="6682">
          <cell r="E6682" t="str">
            <v>SHEIKHPURA, BIHAR</v>
          </cell>
          <cell r="G6682">
            <v>9973958691</v>
          </cell>
          <cell r="K6682" t="str">
            <v>BUAL160593</v>
          </cell>
        </row>
        <row r="6683">
          <cell r="E6683" t="str">
            <v>PLOT NO. 148, TUPUDANA, INDUSTRIAL AREA, HATIA, RANCHI
834002</v>
          </cell>
          <cell r="G6683">
            <v>7979877049</v>
          </cell>
          <cell r="K6683" t="str">
            <v>BSLS036682</v>
          </cell>
        </row>
        <row r="6684">
          <cell r="E6684" t="str">
            <v>TUPUDANA, RANCHI</v>
          </cell>
          <cell r="G6684">
            <v>8102915586</v>
          </cell>
          <cell r="K6684" t="str">
            <v>BUDC372327</v>
          </cell>
        </row>
        <row r="6685">
          <cell r="E6685" t="str">
            <v>DIBDIH, RANCHI
834002</v>
          </cell>
          <cell r="G6685">
            <v>8102915589</v>
          </cell>
          <cell r="K6685" t="str">
            <v>BTEC378588</v>
          </cell>
        </row>
        <row r="6686">
          <cell r="E6686" t="str">
            <v>TUPUDANA INDUSTRIAL AREA, RANCHI
PLOT NO. 114, TUPUDANA INDUSTRIAL AREA, TUPUDANA,HATIA, RANCHI
834002
RANCHI</v>
          </cell>
          <cell r="G6686">
            <v>8709670947</v>
          </cell>
          <cell r="K6686" t="str">
            <v>GOKS040088</v>
          </cell>
        </row>
        <row r="6687">
          <cell r="E6687" t="str">
            <v>TUPUDANA INDUSTRIAL AREA, RANCHI
PLOT NO. 114, TUPUDANA INDUSTRIAL AREA, TUPUDANA,HATIA, RANCHI
834002
RANCHI</v>
          </cell>
          <cell r="G6687">
            <v>8709670947</v>
          </cell>
          <cell r="K6687" t="str">
            <v>BNAS040245</v>
          </cell>
        </row>
        <row r="6688">
          <cell r="E6688" t="str">
            <v>GHATSILA</v>
          </cell>
          <cell r="G6688">
            <v>9771489009</v>
          </cell>
          <cell r="K6688" t="str">
            <v>BUDD162719</v>
          </cell>
        </row>
        <row r="6689">
          <cell r="E6689" t="str">
            <v>NAMKUN INDUSTRIAL AREA,RANCHI
834010</v>
          </cell>
          <cell r="G6689">
            <v>9431109899</v>
          </cell>
          <cell r="K6689" t="str">
            <v>BUDS034771</v>
          </cell>
        </row>
        <row r="6690">
          <cell r="E6690" t="str">
            <v>THUMBAGARI, SATBARWA, PALAMU</v>
          </cell>
          <cell r="G6690">
            <v>7039553329</v>
          </cell>
          <cell r="K6690" t="str">
            <v>BUDC372146</v>
          </cell>
        </row>
        <row r="6691">
          <cell r="E6691" t="str">
            <v>THUMBAGARI, SATBARWA, PALAMU</v>
          </cell>
          <cell r="G6691">
            <v>7039553329</v>
          </cell>
          <cell r="K6691" t="str">
            <v>BUDC372146</v>
          </cell>
        </row>
        <row r="6692">
          <cell r="E6692" t="str">
            <v>LAKHISARAI, BIHAR</v>
          </cell>
          <cell r="G6692">
            <v>9874278005</v>
          </cell>
          <cell r="K6692" t="str">
            <v>BNJS040045</v>
          </cell>
        </row>
        <row r="6693">
          <cell r="E6693" t="str">
            <v>LAKHISARAI, BIHAR</v>
          </cell>
          <cell r="G6693">
            <v>9874278005</v>
          </cell>
          <cell r="K6693" t="str">
            <v>BNJS040075</v>
          </cell>
        </row>
        <row r="6694">
          <cell r="E6694" t="str">
            <v>SARNATOLI,ANGADA,RANCHI
835222</v>
          </cell>
          <cell r="G6694" t="str">
            <v>HEMANT KUMAR JHA</v>
          </cell>
          <cell r="K6694" t="str">
            <v>BOGC370193</v>
          </cell>
        </row>
        <row r="6695">
          <cell r="E6695" t="str">
            <v>BASKATOLA</v>
          </cell>
          <cell r="G6695">
            <v>9550053031</v>
          </cell>
          <cell r="K6695" t="str">
            <v>BULD162568</v>
          </cell>
        </row>
        <row r="6696">
          <cell r="E6696" t="str">
            <v>NEAR P.N BANK MAIN ROAD,, RAMGARH CANTT-829122, DIST. RAMGARH
829122
BUDHAKHOP, AMBRELA, KARMA,</v>
          </cell>
          <cell r="G6696">
            <v>9693796748</v>
          </cell>
          <cell r="K6696" t="str">
            <v>BQBS030091</v>
          </cell>
        </row>
        <row r="6697">
          <cell r="E6697" t="str">
            <v>TATULMURI, DHANBAD</v>
          </cell>
          <cell r="G6697">
            <v>8862893590</v>
          </cell>
          <cell r="K6697" t="str">
            <v>BUGD162852</v>
          </cell>
        </row>
        <row r="6698">
          <cell r="E6698" t="str">
            <v>PAKUR, DHANBAD</v>
          </cell>
          <cell r="G6698">
            <v>6205940124</v>
          </cell>
          <cell r="K6698" t="str">
            <v>BUDS046329</v>
          </cell>
        </row>
        <row r="6699">
          <cell r="E6699" t="str">
            <v>HAZARINAGH</v>
          </cell>
          <cell r="G6699">
            <v>8603273205</v>
          </cell>
          <cell r="K6699" t="str">
            <v>BUHC373622</v>
          </cell>
        </row>
        <row r="6700">
          <cell r="E6700" t="str">
            <v>RAMGRAH</v>
          </cell>
          <cell r="G6700">
            <v>9507860584</v>
          </cell>
          <cell r="K6700" t="str">
            <v>BUFS046910</v>
          </cell>
        </row>
        <row r="6701">
          <cell r="E6701" t="str">
            <v>HAZARIBAGH</v>
          </cell>
          <cell r="G6701">
            <v>7905424302</v>
          </cell>
          <cell r="K6701" t="str">
            <v>BUIS036401</v>
          </cell>
        </row>
        <row r="6702">
          <cell r="E6702" t="str">
            <v>GROUND AND 1 ST FLOOR, BESIDE DAINIK BHASKAR, GOVINDPUR ROAD, DIST :- DHANBAD
GROUND AND 1 ST FLOOR, BESIDE DAINIK BHASKAR, GOVINDPUR ROAD, DIST :- DHANBAD
828109</v>
          </cell>
          <cell r="G6702">
            <v>8210484005</v>
          </cell>
          <cell r="K6702" t="str">
            <v>BRJC371698</v>
          </cell>
        </row>
        <row r="6703">
          <cell r="E6703" t="str">
            <v>RAMGARH
829103
NAYA MORE</v>
          </cell>
          <cell r="G6703">
            <v>8271433755</v>
          </cell>
          <cell r="K6703" t="str">
            <v>BRGS035169</v>
          </cell>
        </row>
        <row r="6704">
          <cell r="E6704" t="str">
            <v>NAYA MORE,RAMGARH
ARA SARU BERA ROAD, NAYA, RAMGARH,JHARKHAND
829110
NAYA MORE</v>
          </cell>
          <cell r="G6704">
            <v>8271433755</v>
          </cell>
          <cell r="K6704" t="str">
            <v>BQBS033796</v>
          </cell>
        </row>
        <row r="6705">
          <cell r="E6705" t="str">
            <v>RAHELA, DALTAINGANJ</v>
          </cell>
          <cell r="G6705">
            <v>7004971081</v>
          </cell>
          <cell r="K6705" t="str">
            <v>BUGS035879</v>
          </cell>
        </row>
        <row r="6706">
          <cell r="E6706" t="str">
            <v>ANA COLLERY, DHANBAD</v>
          </cell>
          <cell r="G6706">
            <v>9337658559</v>
          </cell>
          <cell r="K6706" t="str">
            <v>BPKD200025</v>
          </cell>
        </row>
        <row r="6707">
          <cell r="E6707" t="str">
            <v>NAGRI,RANCHI
835202
RANCHI</v>
          </cell>
          <cell r="G6707">
            <v>7004248429</v>
          </cell>
          <cell r="K6707" t="str">
            <v>BRIS035698</v>
          </cell>
        </row>
        <row r="6708">
          <cell r="E6708" t="str">
            <v>KRISHNA NAGAR, BOOTY MORE, RANCHI</v>
          </cell>
          <cell r="G6708">
            <v>8877100129</v>
          </cell>
          <cell r="K6708" t="str">
            <v>BUES034926</v>
          </cell>
        </row>
        <row r="6709">
          <cell r="E6709" t="str">
            <v>BASTAKOLA, DHANBAD</v>
          </cell>
          <cell r="G6709">
            <v>9550053031</v>
          </cell>
          <cell r="K6709" t="str">
            <v>BUKD162535</v>
          </cell>
        </row>
        <row r="6710">
          <cell r="E6710" t="str">
            <v>SHEETLA PRASAD SINGH,, MISHRA PADA, NEAR DURGA MANDIR,, JHARIA, DHANBAD - 828 111, JHARKHAND.</v>
          </cell>
          <cell r="G6710">
            <v>7644045555</v>
          </cell>
          <cell r="K6710" t="str">
            <v>BTDD162169</v>
          </cell>
        </row>
        <row r="6711">
          <cell r="E6711" t="str">
            <v>NTA LODNA, DHANBAD</v>
          </cell>
          <cell r="G6711">
            <v>7644045555</v>
          </cell>
          <cell r="K6711" t="str">
            <v>BULD162559</v>
          </cell>
        </row>
        <row r="6712">
          <cell r="E6712" t="str">
            <v>SHEETLA PRASAD SINGH,, MISHRA PADA, NEAR DURGA MANDIR,, JHARIA, DHANBAD - 828 111, JHARKHAND.</v>
          </cell>
          <cell r="G6712">
            <v>7644045555</v>
          </cell>
          <cell r="K6712" t="str">
            <v>BTDD162169</v>
          </cell>
        </row>
        <row r="6713">
          <cell r="E6713" t="str">
            <v>NTA LODNA, DHANBAD</v>
          </cell>
          <cell r="G6713">
            <v>0</v>
          </cell>
          <cell r="K6713" t="str">
            <v>BULD162559</v>
          </cell>
        </row>
        <row r="6714">
          <cell r="E6714" t="str">
            <v>GOMO, DHANBAD</v>
          </cell>
          <cell r="G6714">
            <v>9771445132</v>
          </cell>
          <cell r="K6714" t="str">
            <v>EUCS034229</v>
          </cell>
        </row>
        <row r="6715">
          <cell r="E6715" t="str">
            <v>PAKUR, DHANBAD</v>
          </cell>
          <cell r="G6715">
            <v>6205940124</v>
          </cell>
          <cell r="K6715" t="str">
            <v>BUDS046329</v>
          </cell>
        </row>
        <row r="6716">
          <cell r="E6716" t="str">
            <v>JUMRI TELAIYA</v>
          </cell>
          <cell r="G6716">
            <v>6202799479</v>
          </cell>
          <cell r="K6716" t="str">
            <v>GOBC370298</v>
          </cell>
        </row>
        <row r="6717">
          <cell r="E6717" t="str">
            <v>KODERMA</v>
          </cell>
          <cell r="G6717">
            <v>7004744698</v>
          </cell>
          <cell r="K6717" t="str">
            <v>BUES035290</v>
          </cell>
        </row>
        <row r="6718">
          <cell r="E6718" t="str">
            <v>RAMGRAH</v>
          </cell>
          <cell r="G6718">
            <v>9155597038</v>
          </cell>
          <cell r="K6718" t="str">
            <v>BUIS036662</v>
          </cell>
        </row>
        <row r="6719">
          <cell r="E6719" t="str">
            <v>C/O - PREM PRAKASH AGARWAL, OPP - HILLVIEW FUEL STATION, GODHUR, P.O - KUSUNDA, DHANBAD</v>
          </cell>
          <cell r="G6719">
            <v>7295943617</v>
          </cell>
          <cell r="K6719" t="str">
            <v>BTED162217</v>
          </cell>
        </row>
        <row r="6720">
          <cell r="E6720" t="str">
            <v>BHUIYADIH, JAMSHEDPUR</v>
          </cell>
          <cell r="G6720">
            <v>9234610623</v>
          </cell>
          <cell r="K6720" t="str">
            <v>BOKD120025</v>
          </cell>
        </row>
        <row r="6721">
          <cell r="E6721" t="str">
            <v>GIRIDIH</v>
          </cell>
          <cell r="G6721">
            <v>6201438329</v>
          </cell>
          <cell r="K6721" t="str">
            <v>BUES035378</v>
          </cell>
        </row>
        <row r="6722">
          <cell r="E6722" t="str">
            <v>GIRIDIH</v>
          </cell>
          <cell r="G6722">
            <v>6201438329</v>
          </cell>
          <cell r="K6722" t="str">
            <v>BRGS034927</v>
          </cell>
        </row>
        <row r="6723">
          <cell r="E6723" t="str">
            <v>DHANBAD</v>
          </cell>
          <cell r="G6723">
            <v>9550053031</v>
          </cell>
          <cell r="K6723" t="str">
            <v>BTDD162186</v>
          </cell>
        </row>
        <row r="6724">
          <cell r="E6724" t="str">
            <v xml:space="preserve">TOPIN SOUTH  </v>
          </cell>
          <cell r="G6724">
            <v>9102994453</v>
          </cell>
          <cell r="K6724" t="str">
            <v>BSGD161864</v>
          </cell>
        </row>
        <row r="6725">
          <cell r="E6725" t="str">
            <v>KOKAR INDUSTRIAL AREA,RANCHI
834001</v>
          </cell>
          <cell r="G6725">
            <v>8987760772</v>
          </cell>
          <cell r="K6725" t="str">
            <v>BPIC370386</v>
          </cell>
        </row>
        <row r="6726">
          <cell r="E6726" t="str">
            <v>SHEETLA PRASAD SINGH,, MISHRA PADA, NEAR DURGA MANDIR,, JHARIA, DHANBAD - 828 111, JHARKHAND.</v>
          </cell>
          <cell r="G6726">
            <v>7644045555</v>
          </cell>
          <cell r="K6726" t="str">
            <v>BTDD162169</v>
          </cell>
        </row>
        <row r="6727">
          <cell r="E6727" t="str">
            <v>SHEETLA PRASAD SINGH,, MISHRA PADA, NEAR DURGA MANDIR,, JHARIA, DHANBAD - 828 111, JHARKHAND.</v>
          </cell>
          <cell r="G6727">
            <v>7644045555</v>
          </cell>
          <cell r="K6727" t="str">
            <v>BTKD162112</v>
          </cell>
        </row>
        <row r="6728">
          <cell r="E6728" t="str">
            <v>NTA LODNA, DHANBAD</v>
          </cell>
          <cell r="G6728">
            <v>7644045555</v>
          </cell>
          <cell r="K6728" t="str">
            <v>BULD162559</v>
          </cell>
        </row>
        <row r="6729">
          <cell r="E6729" t="str">
            <v>BHOWRA, DHANBAD</v>
          </cell>
          <cell r="G6729">
            <v>7870857485</v>
          </cell>
          <cell r="K6729" t="str">
            <v>BSAD161597</v>
          </cell>
        </row>
        <row r="6730">
          <cell r="E6730" t="str">
            <v>RAMGARH</v>
          </cell>
          <cell r="G6730">
            <v>6266139043</v>
          </cell>
          <cell r="K6730" t="str">
            <v>BTJD162016</v>
          </cell>
        </row>
        <row r="6731">
          <cell r="E6731" t="str">
            <v>BHUIYADIH, JAMSHEDPUR</v>
          </cell>
          <cell r="G6731">
            <v>9234610623</v>
          </cell>
          <cell r="K6731" t="str">
            <v>BOKD120025</v>
          </cell>
        </row>
        <row r="6732">
          <cell r="E6732" t="str">
            <v xml:space="preserve">M/S.AGASTYA AERO WORKS PVT LTD, BIRU,
 SIMDEGA JHARKHAND-835228
</v>
          </cell>
          <cell r="G6732">
            <v>7004531318</v>
          </cell>
          <cell r="K6732" t="str">
            <v>BUBS033764</v>
          </cell>
        </row>
        <row r="6733">
          <cell r="E6733" t="str">
            <v>CHATTARPUR, DALTAINGANJ</v>
          </cell>
          <cell r="G6733">
            <v>9835111213</v>
          </cell>
          <cell r="K6733" t="str">
            <v>BTID162392</v>
          </cell>
        </row>
        <row r="6734">
          <cell r="E6734" t="str">
            <v>KOKAR INDUSTRIAL AREA,,RANCHI
834002
KOKAR INDUSTRIAL AREA RANCHI</v>
          </cell>
          <cell r="G6734">
            <v>9263186366</v>
          </cell>
          <cell r="K6734" t="str">
            <v>GNDC370057</v>
          </cell>
        </row>
        <row r="6735">
          <cell r="E6735" t="str">
            <v>9.P .INDUSTRIAL AREA  KOKAR, RANCHI, TIN-20880200515
9.P .INDUSTRIAL AREA  KOKAR, RANCHI, TIN-20880200515
834001</v>
          </cell>
          <cell r="G6735">
            <v>9955178750</v>
          </cell>
          <cell r="K6735" t="str">
            <v>BTGS031205</v>
          </cell>
        </row>
        <row r="6736">
          <cell r="E6736" t="str">
            <v>NAGRI,RANCHI
835202
RANCHI</v>
          </cell>
          <cell r="G6736">
            <v>9608884168</v>
          </cell>
          <cell r="K6736" t="str">
            <v>BIGS030904</v>
          </cell>
        </row>
        <row r="6737">
          <cell r="E6737" t="str">
            <v>NAGRI,RANCHI
835202
RANCHI</v>
          </cell>
          <cell r="G6737">
            <v>9608884168</v>
          </cell>
          <cell r="K6737" t="str">
            <v>BIGS030904</v>
          </cell>
        </row>
        <row r="6738">
          <cell r="E6738" t="str">
            <v>NAGRI,RANCHI
835202
RANCHI</v>
          </cell>
          <cell r="G6738">
            <v>8877024924</v>
          </cell>
          <cell r="K6738" t="str">
            <v>BMJS040004</v>
          </cell>
        </row>
        <row r="6739">
          <cell r="E6739" t="str">
            <v>NAGRI, RANCHI
TIKRATOLI, P.O:- NAGRI, RANCHI
834006</v>
          </cell>
          <cell r="G6739">
            <v>8002727910</v>
          </cell>
          <cell r="K6739" t="str">
            <v>BKKS030393</v>
          </cell>
        </row>
        <row r="6740">
          <cell r="E6740" t="str">
            <v>TUPUDANA INDUSTRIAL AREA, RANCHI
PLOT NO. - 45 &amp; 46, TUPUDAN AINDUSTRIAL AREA, TUPUDANA, HATIA, RANCHI
834003
TIPUDANA INDUSTRIAL AREA</v>
          </cell>
          <cell r="G6740">
            <v>7717734248</v>
          </cell>
          <cell r="K6740" t="str">
            <v>BQBS033819</v>
          </cell>
        </row>
        <row r="6741">
          <cell r="E6741" t="str">
            <v>TATISILWAI, JHARKHAND
835103</v>
          </cell>
          <cell r="G6741">
            <v>6200160428</v>
          </cell>
          <cell r="K6741" t="str">
            <v>BQHS040705</v>
          </cell>
        </row>
        <row r="6742">
          <cell r="E6742" t="str">
            <v>CHOUSA, BUXER, BIHAR</v>
          </cell>
          <cell r="G6742">
            <v>9472275611</v>
          </cell>
          <cell r="K6742" t="str">
            <v>BUHL152930</v>
          </cell>
        </row>
        <row r="6743">
          <cell r="E6743" t="str">
            <v>GOHALABEDA, BAHARAGODA, JAMSHEDPUR, JHARKHAND</v>
          </cell>
          <cell r="G6743">
            <v>9339942424</v>
          </cell>
          <cell r="K6743" t="str">
            <v>BUFL152860</v>
          </cell>
        </row>
        <row r="6744">
          <cell r="E6744" t="str">
            <v>LALGUTUWA, RANCHI</v>
          </cell>
          <cell r="G6744">
            <v>7488373795</v>
          </cell>
          <cell r="K6744" t="str">
            <v>BSES037922</v>
          </cell>
        </row>
        <row r="6745">
          <cell r="E6745" t="str">
            <v>RATANPUR,DHANBAD
828109</v>
          </cell>
          <cell r="G6745">
            <v>9031029501</v>
          </cell>
          <cell r="K6745" t="str">
            <v>BTLC377584</v>
          </cell>
        </row>
        <row r="6746">
          <cell r="E6746" t="str">
            <v>NAGARI
 835303</v>
          </cell>
          <cell r="G6746">
            <v>9264443243</v>
          </cell>
          <cell r="K6746" t="str">
            <v>BREC373538</v>
          </cell>
        </row>
        <row r="6747">
          <cell r="E6747" t="str">
            <v>NEAR P.N BANK MAIN ROAD,, RAMGARH CANTT-829122, DIST. RAMGARH
829122
BUDHAKHOP, AMBRELA, KARMA,</v>
          </cell>
          <cell r="G6747" t="str">
            <v xml:space="preserve">  </v>
          </cell>
          <cell r="K6747" t="str">
            <v>BQBS030091</v>
          </cell>
        </row>
        <row r="6748">
          <cell r="E6748" t="str">
            <v>SHEIKHPURA, BIHAR</v>
          </cell>
          <cell r="G6748">
            <v>9973958691</v>
          </cell>
          <cell r="K6748" t="str">
            <v>BULL160559</v>
          </cell>
        </row>
        <row r="6749">
          <cell r="E6749" t="str">
            <v>AT - HEHAL, POST - BARKAKANA
BARKAKANA
829103</v>
          </cell>
          <cell r="G6749">
            <v>7001371573</v>
          </cell>
          <cell r="K6749" t="str">
            <v>BUAS033580</v>
          </cell>
        </row>
        <row r="6750">
          <cell r="E6750" t="str">
            <v>SADAR HOSPITAL, LATEHAR, C/O L &amp; T LTD. LATEHAR, JHARKHAND
C/O L &amp; T LTD. BOKARO, JHARKHAND
000000</v>
          </cell>
          <cell r="G6750">
            <v>6206408130</v>
          </cell>
          <cell r="K6750" t="str">
            <v>BUCS046101</v>
          </cell>
        </row>
        <row r="6751">
          <cell r="E6751" t="str">
            <v>SADAR HOSPITAL, LATEHAR, C/O L &amp; T LTD. LATEHAR, JHARKHAND
C/O L &amp; T LTD. BOKARO, JHARKHAND
000000</v>
          </cell>
          <cell r="G6751">
            <v>6206408130</v>
          </cell>
          <cell r="K6751" t="str">
            <v>BUCS046173</v>
          </cell>
        </row>
        <row r="6752">
          <cell r="E6752" t="str">
            <v>SADAR HOSPITAL, LATEHAR, C/O L &amp; T LTD. LATEHAR, JHARKHAND
C/O L &amp; T LTD. BOKARO, JHARKHAND
000000</v>
          </cell>
          <cell r="G6752">
            <v>7991105505</v>
          </cell>
          <cell r="K6752" t="str">
            <v>BUCS046101</v>
          </cell>
        </row>
        <row r="6753">
          <cell r="E6753" t="str">
            <v>BASTAWLA DHANBAD</v>
          </cell>
          <cell r="G6753">
            <v>9550053031</v>
          </cell>
          <cell r="K6753" t="str">
            <v>BTJD162046</v>
          </cell>
        </row>
        <row r="6754">
          <cell r="E6754" t="str">
            <v>SADAR HOSPITAL, BOKARO, C/O L &amp; T LTD. BOKARO, JHARKHAND
C/O L &amp; T LTD. BOKARO, JHARKHAND
000000</v>
          </cell>
          <cell r="G6754">
            <v>9934108164</v>
          </cell>
          <cell r="K6754" t="str">
            <v>BUBS045931</v>
          </cell>
        </row>
        <row r="6755">
          <cell r="E6755" t="str">
            <v>TIPUDANA, RANCHI</v>
          </cell>
          <cell r="G6755">
            <v>7070990205</v>
          </cell>
          <cell r="K6755" t="str">
            <v>BUGC373215</v>
          </cell>
        </row>
        <row r="6756">
          <cell r="E6756" t="str">
            <v>BARHI INDUSTRIAL ARE BARHI</v>
          </cell>
          <cell r="G6756">
            <v>9113766511</v>
          </cell>
          <cell r="K6756" t="str">
            <v>BUAF111226</v>
          </cell>
        </row>
        <row r="6757">
          <cell r="E6757" t="str">
            <v>BARHI INDUSTRIAL ARE BARHI</v>
          </cell>
          <cell r="G6757">
            <v>9113766511</v>
          </cell>
          <cell r="K6757" t="str">
            <v>BUBF111245</v>
          </cell>
        </row>
        <row r="6758">
          <cell r="E6758" t="str">
            <v>BARHI INDUSTRIAL ARE BARHI</v>
          </cell>
          <cell r="G6758">
            <v>9113766511</v>
          </cell>
          <cell r="K6758" t="str">
            <v>BUES034992</v>
          </cell>
        </row>
        <row r="6759">
          <cell r="E6759" t="str">
            <v>BARHI INDUSTRIAL ARE BARHI</v>
          </cell>
          <cell r="G6759">
            <v>9113766511</v>
          </cell>
          <cell r="K6759" t="str">
            <v>BUES035120</v>
          </cell>
        </row>
        <row r="6760">
          <cell r="E6760" t="str">
            <v>GOHALABEDA, BAHARAGODA, JAMSHEDPUR, JHARKHAND</v>
          </cell>
          <cell r="G6760">
            <v>9339942424</v>
          </cell>
          <cell r="K6760" t="str">
            <v>BUFL152860</v>
          </cell>
        </row>
        <row r="6761">
          <cell r="E6761" t="str">
            <v>MOKAMA, BIHAR</v>
          </cell>
          <cell r="G6761">
            <v>9279265464</v>
          </cell>
          <cell r="K6761" t="str">
            <v>AUKD230777</v>
          </cell>
        </row>
        <row r="6762">
          <cell r="E6762" t="str">
            <v>MOKAMA, BIHAR</v>
          </cell>
          <cell r="G6762">
            <v>9279265464</v>
          </cell>
          <cell r="K6762" t="str">
            <v>AUKD230777</v>
          </cell>
        </row>
        <row r="6763">
          <cell r="E6763" t="str">
            <v>BEHIND PIPARWAR, CHATRA</v>
          </cell>
          <cell r="G6763">
            <v>8521110513</v>
          </cell>
          <cell r="K6763" t="str">
            <v>BQHC371278</v>
          </cell>
        </row>
        <row r="6764">
          <cell r="E6764" t="str">
            <v>BARHI INDUSTRIAL ARE BARHI</v>
          </cell>
          <cell r="G6764">
            <v>9413959942</v>
          </cell>
          <cell r="K6764" t="str">
            <v>BUAF111226</v>
          </cell>
        </row>
        <row r="6765">
          <cell r="E6765" t="str">
            <v>BARHI INDUSTRIAL ARE BARHI</v>
          </cell>
          <cell r="G6765">
            <v>9413959942</v>
          </cell>
          <cell r="K6765" t="str">
            <v>BUBF111245</v>
          </cell>
        </row>
        <row r="6766">
          <cell r="E6766" t="str">
            <v>BARHI INDUSTRIAL ARE BARHI</v>
          </cell>
          <cell r="G6766">
            <v>9413959942</v>
          </cell>
          <cell r="K6766" t="str">
            <v>BUES034992</v>
          </cell>
        </row>
        <row r="6767">
          <cell r="E6767" t="str">
            <v>BARHI INDUSTRIAL ARE BARHI</v>
          </cell>
          <cell r="G6767">
            <v>9413959942</v>
          </cell>
          <cell r="K6767" t="str">
            <v>BUES035120</v>
          </cell>
        </row>
        <row r="6768">
          <cell r="E6768" t="str">
            <v>BASKATOLA</v>
          </cell>
          <cell r="G6768">
            <v>9550053031</v>
          </cell>
          <cell r="K6768" t="str">
            <v>BULD162568</v>
          </cell>
        </row>
        <row r="6769">
          <cell r="E6769" t="str">
            <v>BASKATOLA</v>
          </cell>
          <cell r="G6769">
            <v>9550053031</v>
          </cell>
          <cell r="K6769" t="str">
            <v>BULD162568</v>
          </cell>
        </row>
        <row r="6770">
          <cell r="E6770" t="str">
            <v xml:space="preserve">Post Office Bihpur, District Bhagalpur, Job No 1332-Kosi Bridge Project, Bihar-853201
</v>
          </cell>
          <cell r="G6770">
            <v>9617831594</v>
          </cell>
          <cell r="K6770" t="str">
            <v>BUHD121280</v>
          </cell>
        </row>
        <row r="6771">
          <cell r="E6771" t="str">
            <v xml:space="preserve">Post Office Bihpur, District Bhagalpur, Job No 1332-Kosi Bridge Project, Bihar-853201
</v>
          </cell>
          <cell r="G6771">
            <v>9617831594</v>
          </cell>
          <cell r="K6771" t="str">
            <v>BUID121299</v>
          </cell>
        </row>
        <row r="6772">
          <cell r="E6772" t="str">
            <v>DUBRAIPUR, BIRBHUM, W.B.</v>
          </cell>
          <cell r="G6772">
            <v>9614776202</v>
          </cell>
          <cell r="K6772" t="str">
            <v>BSAD161564</v>
          </cell>
        </row>
        <row r="6773">
          <cell r="E6773" t="str">
            <v>JHARIA, DHANBAD</v>
          </cell>
          <cell r="G6773">
            <v>7873039065</v>
          </cell>
          <cell r="K6773" t="str">
            <v>BRHD161304</v>
          </cell>
        </row>
        <row r="6774">
          <cell r="E6774" t="str">
            <v>DHANBAD</v>
          </cell>
          <cell r="G6774">
            <v>6207308280</v>
          </cell>
          <cell r="K6774" t="str">
            <v>BSGD161904</v>
          </cell>
        </row>
        <row r="6775">
          <cell r="E6775" t="str">
            <v>TUPUDANA INDUSTRIAL AREA, RANCHI
PLOT NO. 114, TUPUDANA INDUSTRIAL AREA, TUPUDANA,HATIA, RANCHI
834002
RANCHI</v>
          </cell>
          <cell r="G6775">
            <v>8709670947</v>
          </cell>
          <cell r="K6775" t="str">
            <v>BNAS040245</v>
          </cell>
        </row>
        <row r="6776">
          <cell r="E6776" t="str">
            <v>JHUMRI TELAIYA, KODARMA
825409</v>
          </cell>
          <cell r="G6776">
            <v>7753025487</v>
          </cell>
          <cell r="K6776" t="str">
            <v>BSBC375530</v>
          </cell>
        </row>
        <row r="6777">
          <cell r="E6777" t="str">
            <v>RAJRAPPA</v>
          </cell>
          <cell r="G6777">
            <v>8404865014</v>
          </cell>
          <cell r="K6777" t="str">
            <v>BUKC370655</v>
          </cell>
        </row>
        <row r="6778">
          <cell r="E6778" t="str">
            <v>NAYA MORE,RAMGARH
ARA SARU BERA ROAD, NAYA, RAMGARH,JHARKHAND
829110
NAYA MORE</v>
          </cell>
          <cell r="G6778">
            <v>9608358481</v>
          </cell>
          <cell r="K6778" t="str">
            <v>BQBS033796</v>
          </cell>
        </row>
        <row r="6779">
          <cell r="E6779" t="str">
            <v>NICHITPUR</v>
          </cell>
          <cell r="G6779">
            <v>7903412157</v>
          </cell>
          <cell r="K6779" t="str">
            <v>BUCD162696</v>
          </cell>
        </row>
        <row r="6780">
          <cell r="E6780" t="str">
            <v>C/O - PREM PRAKASH AGARWAL, OPP - HILLVIEW FUEL STATION, GODHUR, P.O - KUSUNDA, DHANBAD</v>
          </cell>
          <cell r="G6780">
            <v>7295943617</v>
          </cell>
          <cell r="K6780" t="str">
            <v>BTED162217</v>
          </cell>
        </row>
        <row r="6781">
          <cell r="E6781" t="str">
            <v>SIMRAHI, SUPOL, BIHAR</v>
          </cell>
          <cell r="G6781">
            <v>8825332077</v>
          </cell>
          <cell r="K6781" t="str">
            <v>BUCD121174</v>
          </cell>
        </row>
        <row r="6782">
          <cell r="E6782" t="str">
            <v>FLAT NO. 300, BLOCK - A, MP SRIRAM, CHHOTA GAMHARIA, P.S. - GAMHARIA, DIST.- SARAIKELA KHARSAWAN</v>
          </cell>
          <cell r="G6782">
            <v>7900700814</v>
          </cell>
          <cell r="K6782" t="str">
            <v>BRGL151464</v>
          </cell>
        </row>
        <row r="6783">
          <cell r="E6783" t="str">
            <v>FLAT NO. 300, BLOCK - A, MP SRIRAM, CHHOTA GAMHARIA, P.S. - GAMHARIA, DIST.- SARAIKELA KHARSAWAN</v>
          </cell>
          <cell r="G6783">
            <v>7900700814</v>
          </cell>
          <cell r="K6783" t="str">
            <v>BRGL151468</v>
          </cell>
        </row>
        <row r="6784">
          <cell r="E6784" t="str">
            <v>FLAT NO. 300, BLOCK - A, MP SRIRAM, CHHOTA GAMHARIA, P.S. - GAMHARIA, DIST.- SARAIKELA KHARSAWAN</v>
          </cell>
          <cell r="G6784">
            <v>7900700814</v>
          </cell>
          <cell r="K6784" t="str">
            <v>BRBL150944</v>
          </cell>
        </row>
        <row r="6785">
          <cell r="E6785" t="str">
            <v>TIPUDANA, RANCHI</v>
          </cell>
          <cell r="G6785">
            <v>7070990205</v>
          </cell>
          <cell r="K6785" t="str">
            <v>BUGC373215</v>
          </cell>
        </row>
        <row r="6786">
          <cell r="E6786" t="str">
            <v>KHASHMAHAL PROJECT CCL, BERMO, PHUSHRO, JHARKHAND</v>
          </cell>
          <cell r="G6786">
            <v>9843829993</v>
          </cell>
          <cell r="K6786" t="str">
            <v>BULD162561</v>
          </cell>
        </row>
        <row r="6787">
          <cell r="E6787" t="str">
            <v>URMILA TOWER, ROOM NO. 805, DHANBAD</v>
          </cell>
          <cell r="G6787">
            <v>9006617909</v>
          </cell>
          <cell r="K6787" t="str">
            <v>BTKD162074</v>
          </cell>
        </row>
        <row r="6788">
          <cell r="E6788" t="str">
            <v>NAGRI, RANCHI
TIKRATOLI, P.O:- NAGRI, RANCHI
834006</v>
          </cell>
          <cell r="G6788">
            <v>9608884168</v>
          </cell>
          <cell r="K6788" t="str">
            <v>BKKS030393</v>
          </cell>
        </row>
        <row r="6789">
          <cell r="E6789" t="str">
            <v>RAHELA, DALTAINGANJ</v>
          </cell>
          <cell r="G6789">
            <v>7004971081</v>
          </cell>
          <cell r="K6789" t="str">
            <v>BUGS035879</v>
          </cell>
        </row>
        <row r="6790">
          <cell r="E6790" t="str">
            <v>PALAMU,GARWA, JHARKHAND
822124
GARHWA ROAD, NEAR BCCL PALAMU,</v>
          </cell>
          <cell r="G6790">
            <v>8877137307</v>
          </cell>
          <cell r="K6790" t="str">
            <v>GOCS030806</v>
          </cell>
        </row>
        <row r="6791">
          <cell r="E6791" t="str">
            <v>CHATTARPUR, DALTAINGANJ</v>
          </cell>
          <cell r="G6791">
            <v>9835111213</v>
          </cell>
          <cell r="K6791" t="str">
            <v>BTID162392</v>
          </cell>
        </row>
        <row r="6792">
          <cell r="E6792" t="str">
            <v>GROUND AND 1 ST FLOOR, BESIDE DAINIK BHASKAR, GOVINDPUR ROAD, DIST :- DHANBAD
GROUND AND 1 ST FLOOR, BESIDE DAINIK BHASKAR, GOVINDPUR ROAD, DIST :- DHANBAD
828109</v>
          </cell>
          <cell r="G6792">
            <v>8210484005</v>
          </cell>
          <cell r="K6792" t="str">
            <v>BRJC371698</v>
          </cell>
        </row>
        <row r="6793">
          <cell r="E6793" t="str">
            <v>SHEKHPURA, BIHAR</v>
          </cell>
          <cell r="G6793">
            <v>9304172201</v>
          </cell>
          <cell r="K6793" t="str">
            <v>BTGL160455</v>
          </cell>
        </row>
        <row r="6794">
          <cell r="E6794" t="str">
            <v>SHEKHPURA, BIHAR</v>
          </cell>
          <cell r="G6794">
            <v>9304172201</v>
          </cell>
          <cell r="K6794" t="str">
            <v>BULL160564</v>
          </cell>
        </row>
        <row r="6795">
          <cell r="E6795" t="str">
            <v>RATANPUR,DHANBAD
828109</v>
          </cell>
          <cell r="G6795">
            <v>9031029501</v>
          </cell>
          <cell r="K6795" t="str">
            <v>BTLC377584</v>
          </cell>
        </row>
        <row r="6796">
          <cell r="E6796" t="str">
            <v>SHEIKHPURA, BIHAR</v>
          </cell>
          <cell r="G6796">
            <v>9973958691</v>
          </cell>
          <cell r="K6796" t="str">
            <v>BULL160559</v>
          </cell>
        </row>
        <row r="6797">
          <cell r="E6797" t="str">
            <v>SHEIKHPURA, BIHAR</v>
          </cell>
          <cell r="G6797">
            <v>9973958691</v>
          </cell>
          <cell r="K6797" t="str">
            <v>BUAL160593</v>
          </cell>
        </row>
        <row r="6798">
          <cell r="E6798" t="str">
            <v>KANKANI</v>
          </cell>
          <cell r="G6798">
            <v>8688007966</v>
          </cell>
          <cell r="K6798" t="str">
            <v>BRBD160892</v>
          </cell>
        </row>
        <row r="6799">
          <cell r="E6799" t="str">
            <v>KATRAS DHANBAD</v>
          </cell>
          <cell r="G6799">
            <v>8210106692</v>
          </cell>
          <cell r="K6799" t="str">
            <v>BRBD160901</v>
          </cell>
        </row>
        <row r="6800">
          <cell r="E6800" t="str">
            <v>KOKAR INDUSTRIAL AREA,RANCHI
834002
KOKAR INDUSTRIAL AREA</v>
          </cell>
          <cell r="G6800">
            <v>9771441275</v>
          </cell>
          <cell r="K6800" t="str">
            <v>BRKC371988</v>
          </cell>
        </row>
        <row r="6801">
          <cell r="E6801" t="str">
            <v>TOPA MINES, RAMGARH</v>
          </cell>
          <cell r="G6801">
            <v>9471109170</v>
          </cell>
          <cell r="K6801" t="str">
            <v>BSKD161467</v>
          </cell>
        </row>
        <row r="6802">
          <cell r="E6802" t="str">
            <v>SONARDHI</v>
          </cell>
          <cell r="G6802">
            <v>7873039065</v>
          </cell>
          <cell r="K6802" t="str">
            <v>BRCD160940</v>
          </cell>
        </row>
        <row r="6803">
          <cell r="E6803" t="str">
            <v>JHARIA, DHANBAD</v>
          </cell>
          <cell r="G6803">
            <v>7873039065</v>
          </cell>
          <cell r="K6803" t="str">
            <v>BRHD161304</v>
          </cell>
        </row>
        <row r="6804">
          <cell r="E6804" t="str">
            <v>ANA COLLERY, DHANBAD</v>
          </cell>
          <cell r="G6804">
            <v>9789102930</v>
          </cell>
          <cell r="K6804" t="str">
            <v>BPKD200025</v>
          </cell>
        </row>
        <row r="6805">
          <cell r="E6805" t="str">
            <v>SONARDHI</v>
          </cell>
          <cell r="G6805">
            <v>7873039065</v>
          </cell>
          <cell r="K6805" t="str">
            <v>BRCD160940</v>
          </cell>
        </row>
        <row r="6806">
          <cell r="E6806" t="str">
            <v>TRAFFIC DEPARTMENT BOKARO</v>
          </cell>
          <cell r="G6806">
            <v>8986875228</v>
          </cell>
          <cell r="K6806" t="str">
            <v>BUAD121111</v>
          </cell>
        </row>
        <row r="6807">
          <cell r="E6807" t="str">
            <v>ORMANJHI</v>
          </cell>
          <cell r="G6807">
            <v>7992479722</v>
          </cell>
          <cell r="K6807" t="str">
            <v>BSDD120664</v>
          </cell>
        </row>
        <row r="6808">
          <cell r="E6808" t="str">
            <v>KODERMA</v>
          </cell>
          <cell r="G6808">
            <v>8709947026</v>
          </cell>
          <cell r="K6808" t="str">
            <v>BUES035290</v>
          </cell>
        </row>
        <row r="6809">
          <cell r="E6809" t="str">
            <v>DEMO TANND HAZAIBAGH JHARKHAND,
825301
DEMO TANND HAZAIBAGH JHARKHAND</v>
          </cell>
          <cell r="G6809">
            <v>7905424302</v>
          </cell>
          <cell r="K6809" t="str">
            <v>BMDS040417</v>
          </cell>
        </row>
        <row r="6810">
          <cell r="E6810" t="str">
            <v>C/O - ANUP JOSHI, DOCTOR GALI FRONT OF JAIN MANDIR, P.O. - JHUMRITILAIYA, KODERMA</v>
          </cell>
          <cell r="G6810">
            <v>9340943062</v>
          </cell>
          <cell r="K6810" t="str">
            <v>BSBD161629</v>
          </cell>
        </row>
        <row r="6811">
          <cell r="E6811" t="str">
            <v>BASKATOLA</v>
          </cell>
          <cell r="G6811">
            <v>9550053031</v>
          </cell>
          <cell r="K6811" t="str">
            <v>BULD162577</v>
          </cell>
        </row>
        <row r="6812">
          <cell r="E6812" t="str">
            <v>BASTAWLA DHANBAD</v>
          </cell>
          <cell r="G6812">
            <v>9550053031</v>
          </cell>
          <cell r="K6812" t="str">
            <v>BTJD162046</v>
          </cell>
        </row>
        <row r="6813">
          <cell r="E6813" t="str">
            <v>BASTAWLA DHANBAD</v>
          </cell>
          <cell r="G6813">
            <v>9550053031</v>
          </cell>
          <cell r="K6813" t="str">
            <v>BUAD162630</v>
          </cell>
        </row>
        <row r="6814">
          <cell r="E6814" t="str">
            <v>LODNA</v>
          </cell>
          <cell r="G6814">
            <v>9550053031</v>
          </cell>
          <cell r="K6814" t="str">
            <v>BQKD160099</v>
          </cell>
        </row>
        <row r="6815">
          <cell r="E6815" t="str">
            <v>RING ROAD, RANCHI</v>
          </cell>
          <cell r="G6815">
            <v>9408704706</v>
          </cell>
          <cell r="K6815" t="str">
            <v>BULC371019</v>
          </cell>
        </row>
        <row r="6816">
          <cell r="E6816" t="str">
            <v>CHUTIA, RANCHI</v>
          </cell>
          <cell r="G6816">
            <v>9939622140</v>
          </cell>
          <cell r="K6816" t="str">
            <v>BUFD162814</v>
          </cell>
        </row>
        <row r="6817">
          <cell r="E6817" t="str">
            <v>RAJRAPPA</v>
          </cell>
          <cell r="G6817">
            <v>8404865014</v>
          </cell>
          <cell r="K6817" t="str">
            <v>BUKC370655</v>
          </cell>
        </row>
        <row r="6818">
          <cell r="E6818" t="str">
            <v>NAGARI,</v>
          </cell>
          <cell r="G6818">
            <v>9204493506</v>
          </cell>
          <cell r="K6818" t="str">
            <v>BLGS040582</v>
          </cell>
        </row>
        <row r="6819">
          <cell r="E6819" t="str">
            <v>NAGARI,</v>
          </cell>
          <cell r="G6819">
            <v>9204493506</v>
          </cell>
          <cell r="K6819" t="str">
            <v>BILS030211</v>
          </cell>
        </row>
        <row r="6820">
          <cell r="E6820" t="str">
            <v>HAZAM BASTI</v>
          </cell>
          <cell r="G6820">
            <v>7004992734</v>
          </cell>
          <cell r="K6820" t="str">
            <v>GOHS031629</v>
          </cell>
        </row>
        <row r="6821">
          <cell r="E6821" t="str">
            <v>BURKHUNDA RAMGARH
829135</v>
          </cell>
          <cell r="G6821">
            <v>8210720001</v>
          </cell>
          <cell r="K6821" t="str">
            <v>BTFC378939</v>
          </cell>
        </row>
        <row r="6822">
          <cell r="E6822" t="str">
            <v>BASKATOLA</v>
          </cell>
          <cell r="G6822">
            <v>9550053031</v>
          </cell>
          <cell r="K6822" t="str">
            <v>BULD162577</v>
          </cell>
        </row>
        <row r="6823">
          <cell r="E6823" t="str">
            <v>LODNA</v>
          </cell>
          <cell r="G6823">
            <v>9550053031</v>
          </cell>
          <cell r="K6823" t="str">
            <v>BQKD160099</v>
          </cell>
        </row>
        <row r="6824">
          <cell r="E6824" t="str">
            <v>C/O URANIUM CORPORATION OF INDIA LIMITED, MOHULDIH MINES, SARAIKELA, KHARSAWAN</v>
          </cell>
          <cell r="G6824">
            <v>7903246361</v>
          </cell>
          <cell r="K6824" t="str">
            <v>BUAL160594</v>
          </cell>
        </row>
        <row r="6825">
          <cell r="E6825" t="str">
            <v>11 PINJRAPOLE, HARMU ROAD, RANCHI
11 PINJRAPOLE, HARMU ROAD, RANCHI
834001
MAHILONG, TATISILWAY</v>
          </cell>
          <cell r="G6825">
            <v>9709000070</v>
          </cell>
          <cell r="K6825" t="str">
            <v>BNCC370425</v>
          </cell>
        </row>
        <row r="6826">
          <cell r="E6826" t="str">
            <v>TATISILWAI, JHARKHAND
835103</v>
          </cell>
          <cell r="G6826">
            <v>6200160428</v>
          </cell>
          <cell r="K6826" t="str">
            <v>BQHS040705</v>
          </cell>
        </row>
        <row r="6827">
          <cell r="E6827" t="str">
            <v>TATISILWAI, JHARKHAND
835103</v>
          </cell>
          <cell r="G6827">
            <v>6200160428</v>
          </cell>
          <cell r="K6827" t="str">
            <v>BQGS031413</v>
          </cell>
        </row>
        <row r="6828">
          <cell r="E6828" t="str">
            <v>TATISILWAI, JHARKHAND
835103</v>
          </cell>
          <cell r="G6828">
            <v>6200160428</v>
          </cell>
          <cell r="K6828" t="str">
            <v>BQGS031413</v>
          </cell>
        </row>
        <row r="6829">
          <cell r="E6829" t="str">
            <v>RAMGRAH BAZAR SAMITI, RAMGRAH</v>
          </cell>
          <cell r="G6829">
            <v>8092762251</v>
          </cell>
          <cell r="K6829" t="str">
            <v>BULC370861</v>
          </cell>
        </row>
        <row r="6830">
          <cell r="E6830" t="str">
            <v>KHAKHSA PAHAR, PAKURIYA, PAKUR</v>
          </cell>
          <cell r="G6830">
            <v>7061725755</v>
          </cell>
          <cell r="K6830" t="str">
            <v>BUGD162826</v>
          </cell>
        </row>
        <row r="6831">
          <cell r="E6831" t="str">
            <v>KOKAR INDUSTRIAL AREA,RANCHI
834001</v>
          </cell>
          <cell r="G6831">
            <v>8987760772</v>
          </cell>
          <cell r="K6831" t="str">
            <v>BPIC370386</v>
          </cell>
        </row>
        <row r="6832">
          <cell r="E6832" t="str">
            <v>CHANDRAPURA BRIDGE, BOKARO</v>
          </cell>
          <cell r="G6832">
            <v>8838396911</v>
          </cell>
          <cell r="K6832" t="str">
            <v>BRFD230245</v>
          </cell>
        </row>
        <row r="6833">
          <cell r="E6833" t="str">
            <v>UNIT OF HERITAGE LANDMARKS AUTOWORLD PVT. LTD., NEAR KAMRE AASHRAM, P.O. KAMRE, RATU ROAD, RANCHI
835214</v>
          </cell>
          <cell r="G6833">
            <v>7759034224</v>
          </cell>
          <cell r="K6833" t="str">
            <v>BTJC377158</v>
          </cell>
        </row>
        <row r="6834">
          <cell r="E6834" t="str">
            <v>DHANBAD</v>
          </cell>
          <cell r="G6834">
            <v>7004745986</v>
          </cell>
          <cell r="K6834" t="str">
            <v>BUBS046035</v>
          </cell>
        </row>
        <row r="6835">
          <cell r="E6835" t="str">
            <v>DHANBAD</v>
          </cell>
          <cell r="G6835">
            <v>7004745986</v>
          </cell>
          <cell r="K6835" t="str">
            <v>BUBS046036</v>
          </cell>
        </row>
        <row r="6836">
          <cell r="E6836" t="str">
            <v>GETALATU, RANCHI</v>
          </cell>
          <cell r="G6836">
            <v>8797879728</v>
          </cell>
          <cell r="K6836" t="str">
            <v>BUFC372853</v>
          </cell>
        </row>
        <row r="6837">
          <cell r="E6837" t="str">
            <v>KATHITAND, RANCHI</v>
          </cell>
          <cell r="G6837">
            <v>7904455688</v>
          </cell>
          <cell r="K6837" t="str">
            <v>BSLD230361</v>
          </cell>
        </row>
        <row r="6838">
          <cell r="E6838" t="str">
            <v>URMILA TOWER, ROOM NO. 805, DHANBAD</v>
          </cell>
          <cell r="G6838">
            <v>9661734823</v>
          </cell>
          <cell r="K6838" t="str">
            <v>BTGD162296</v>
          </cell>
        </row>
        <row r="6839">
          <cell r="E6839" t="str">
            <v>DHANBAD</v>
          </cell>
          <cell r="G6839">
            <v>7870788557</v>
          </cell>
          <cell r="K6839" t="str">
            <v>BUBS046035</v>
          </cell>
        </row>
        <row r="6840">
          <cell r="E6840" t="str">
            <v>ASHOK NAGAR, RANCHI</v>
          </cell>
          <cell r="G6840">
            <v>7643943375</v>
          </cell>
          <cell r="K6840" t="str">
            <v>BQKD200047</v>
          </cell>
        </row>
        <row r="6841">
          <cell r="E6841" t="str">
            <v>DHANBAD</v>
          </cell>
          <cell r="G6841">
            <v>7004745986</v>
          </cell>
          <cell r="K6841" t="str">
            <v>BUBS046035</v>
          </cell>
        </row>
        <row r="6842">
          <cell r="E6842" t="str">
            <v>HAZARINAGH</v>
          </cell>
          <cell r="G6842">
            <v>9304558019</v>
          </cell>
          <cell r="K6842" t="str">
            <v>BUFC372953</v>
          </cell>
        </row>
        <row r="6843">
          <cell r="E6843" t="str">
            <v>LOHARDAGAH</v>
          </cell>
          <cell r="G6843">
            <v>7979950751</v>
          </cell>
          <cell r="K6843" t="str">
            <v>BUFS046839</v>
          </cell>
        </row>
        <row r="6844">
          <cell r="E6844" t="str">
            <v>C/O - ANUP JOSHI, DOCTOR GALI FRONT OF JAIN MANDIR, P.O. - JHUMRITILAIYA, KODERMA</v>
          </cell>
          <cell r="G6844">
            <v>9340943062</v>
          </cell>
          <cell r="K6844" t="str">
            <v>BSBD161629</v>
          </cell>
        </row>
        <row r="6845">
          <cell r="E6845" t="str">
            <v>HOSHIR GIDDI,RAMGARH
NEAR P.N. BANK MAIN ROAD, RAMGARH CANTT. 829122
829110</v>
          </cell>
          <cell r="G6845">
            <v>6201225253</v>
          </cell>
          <cell r="K6845" t="str">
            <v>GPJS030042</v>
          </cell>
        </row>
        <row r="6846">
          <cell r="E6846" t="str">
            <v>RAMGRAH BAZAR SAMITI, RAMGRAH</v>
          </cell>
          <cell r="G6846">
            <v>8092762251</v>
          </cell>
          <cell r="K6846" t="str">
            <v>BULC370861</v>
          </cell>
        </row>
        <row r="6847">
          <cell r="E6847" t="str">
            <v>BAZAR SAMITI,RAMGARH
829122</v>
          </cell>
          <cell r="G6847">
            <v>9835764965</v>
          </cell>
          <cell r="K6847" t="str">
            <v>BSBC375576</v>
          </cell>
        </row>
        <row r="6848">
          <cell r="E6848" t="str">
            <v>NAMKUM INDUSTRIAL AREA,RANCHI
834010</v>
          </cell>
          <cell r="G6848">
            <v>9386408111</v>
          </cell>
          <cell r="K6848" t="str">
            <v>GOCC370403</v>
          </cell>
        </row>
        <row r="6849">
          <cell r="E6849" t="str">
            <v>CHUTIA, RANCHI</v>
          </cell>
          <cell r="G6849">
            <v>9939622140</v>
          </cell>
          <cell r="K6849" t="str">
            <v>BUFD162814</v>
          </cell>
        </row>
        <row r="6850">
          <cell r="E6850" t="str">
            <v>ORMANJHI,RANCHI
835219</v>
          </cell>
          <cell r="G6850">
            <v>8210259768</v>
          </cell>
          <cell r="K6850" t="str">
            <v>BSGC376577</v>
          </cell>
        </row>
        <row r="6851">
          <cell r="E6851" t="str">
            <v>NAMKUM INDUSTRIAL AREA,RANCHI
834010</v>
          </cell>
          <cell r="G6851">
            <v>9386408111</v>
          </cell>
          <cell r="K6851" t="str">
            <v>BRHS035337</v>
          </cell>
        </row>
        <row r="6852">
          <cell r="E6852" t="str">
            <v>REG. OFFICE: UNIT 106, MAHABIR TOWER, JOKHIRAM LANE, MAIN ROAD, RANCHI - 834 001
REG. OFFICE: UNIT 106, MAHABIR TOWER, JOKHIRAM LANE, MAIN ROAD, RANCHI - 834 001
835214</v>
          </cell>
          <cell r="G6852">
            <v>8340323546</v>
          </cell>
          <cell r="K6852" t="str">
            <v>BSDS043254</v>
          </cell>
        </row>
        <row r="6853">
          <cell r="E6853" t="str">
            <v>BALIDIH INDUSTRIAL AREA
827014</v>
          </cell>
          <cell r="G6853">
            <v>8619424665</v>
          </cell>
          <cell r="K6853" t="str">
            <v>BTDS044304</v>
          </cell>
        </row>
        <row r="6854">
          <cell r="E6854" t="str">
            <v>PHASE - IV, PLOT NO. - IV-C/3 P AND IV-C/2 P, BOKARO INDUSTRIAL AREA, BALIDIH, BOKARO
PHASE - IV, PLOT NO. - IV-C/3 P AND IV-C/2 P, BOKARO INDUSTRIAL AREA, BALIDIH, BOKARO
827014</v>
          </cell>
          <cell r="G6854">
            <v>9814340048</v>
          </cell>
          <cell r="K6854" t="str">
            <v>BSDS037649</v>
          </cell>
        </row>
        <row r="6855">
          <cell r="E6855" t="str">
            <v>URMILA TOWER, ROOM NO. 805, DHANBAD</v>
          </cell>
          <cell r="G6855">
            <v>9006617909</v>
          </cell>
          <cell r="K6855" t="str">
            <v>BTKD162074</v>
          </cell>
        </row>
        <row r="6856">
          <cell r="E6856" t="str">
            <v>CHUTIA, RANCHI</v>
          </cell>
          <cell r="G6856">
            <v>9199364073</v>
          </cell>
          <cell r="K6856" t="str">
            <v>BUFD162814</v>
          </cell>
        </row>
        <row r="6857">
          <cell r="E6857" t="str">
            <v>HAZARINAGH</v>
          </cell>
          <cell r="G6857">
            <v>9304558019</v>
          </cell>
          <cell r="K6857" t="str">
            <v>BUFC372953</v>
          </cell>
        </row>
        <row r="6858">
          <cell r="E6858" t="str">
            <v>BASTAWLA DHANBAD</v>
          </cell>
          <cell r="G6858">
            <v>7061781990</v>
          </cell>
          <cell r="K6858" t="str">
            <v>BUAD162630</v>
          </cell>
        </row>
        <row r="6859">
          <cell r="E6859" t="str">
            <v>PIPARWAR, JHARKHAND</v>
          </cell>
          <cell r="G6859">
            <v>7907086066</v>
          </cell>
          <cell r="K6859" t="str">
            <v>BTKD162077</v>
          </cell>
        </row>
        <row r="6860">
          <cell r="E6860" t="str">
            <v>Chiturdih, Dhanbad.</v>
          </cell>
          <cell r="G6860">
            <v>8827265025</v>
          </cell>
          <cell r="K6860" t="str">
            <v>BTDD162192</v>
          </cell>
        </row>
        <row r="6861">
          <cell r="E6861" t="str">
            <v>CHAKAY, LAKHISARAI</v>
          </cell>
          <cell r="G6861">
            <v>7600560410</v>
          </cell>
          <cell r="K6861" t="str">
            <v>BUKD230773</v>
          </cell>
        </row>
        <row r="6862">
          <cell r="E6862" t="str">
            <v>CHANDAREKHA, GALUDIH</v>
          </cell>
          <cell r="G6862">
            <v>9007593866</v>
          </cell>
          <cell r="K6862" t="str">
            <v>BUKD121059</v>
          </cell>
        </row>
        <row r="6863">
          <cell r="E6863" t="str">
            <v>JHUMRI TILAIYA</v>
          </cell>
          <cell r="G6863">
            <v>7004725287</v>
          </cell>
          <cell r="K6863" t="str">
            <v>GPLS030458</v>
          </cell>
        </row>
        <row r="6864">
          <cell r="E6864" t="str">
            <v>JUMRI TELAIYA</v>
          </cell>
          <cell r="G6864">
            <v>9709270937</v>
          </cell>
          <cell r="K6864" t="str">
            <v>BUKC370499</v>
          </cell>
        </row>
        <row r="6865">
          <cell r="E6865" t="str">
            <v>HAZARIBAGH</v>
          </cell>
          <cell r="G6865">
            <v>9431141152</v>
          </cell>
          <cell r="K6865" t="str">
            <v>BUKC370622</v>
          </cell>
        </row>
        <row r="6866">
          <cell r="E6866" t="str">
            <v>HOSHIR GIDDI,RAMGARH
NEAR P.N. BANK MAIN ROAD, RAMGARH CANTT. 829122
829110</v>
          </cell>
          <cell r="G6866">
            <v>6201225253</v>
          </cell>
          <cell r="K6866" t="str">
            <v>GPJS030042</v>
          </cell>
        </row>
        <row r="6867">
          <cell r="E6867" t="str">
            <v>AT: SENEGARHA, P.O-RABODH, P.S-GIDDI,(RAMGARH),, DISTT. HAZARIBAGH,JHARKHAND-825330
829108
AT: SENEGARHA, P.O-RABODH, P.S-GIDDI,(RAMGARH),</v>
          </cell>
          <cell r="G6867">
            <v>9006877583</v>
          </cell>
          <cell r="K6867" t="str">
            <v>BRAS033261</v>
          </cell>
        </row>
        <row r="6868">
          <cell r="E6868" t="str">
            <v>RANCHI PATNA ROAD
DEMOTAND
825301
HAZARIBAGH</v>
          </cell>
          <cell r="G6868">
            <v>6203465926</v>
          </cell>
          <cell r="K6868" t="str">
            <v>BSCS037531</v>
          </cell>
        </row>
        <row r="6869">
          <cell r="E6869" t="str">
            <v>DEMO TANND HAZAIBAGH JHARKHAND,
825301
DEMO TANND HAZAIBAGH JHARKHAND</v>
          </cell>
          <cell r="G6869">
            <v>7905424302</v>
          </cell>
          <cell r="K6869" t="str">
            <v>BMDS040417</v>
          </cell>
        </row>
        <row r="6870">
          <cell r="E6870" t="str">
            <v>AT: SENEGARHA, P.O-RABODH, P.S-GIDDI,(RAMGARH),, DISTT. HAZARIBAGH,JHARKHAND-825330
829108
AT: SENEGARHA, P.O-RABODH, P.S-GIDDI,(RAMGARH),</v>
          </cell>
          <cell r="G6870">
            <v>9006877583</v>
          </cell>
          <cell r="K6870" t="str">
            <v>BSCS037349</v>
          </cell>
        </row>
        <row r="6871">
          <cell r="E6871" t="str">
            <v>AT: SENEGARHA, P.O-RABODH, P.S-GIDDI,(RAMGARH),, DISTT. HAZARIBAGH,JHARKHAND-825330
829108
AT: SENEGARHA, P.O-RABODH, P.S-GIDDI,(RAMGARH),</v>
          </cell>
          <cell r="G6871">
            <v>9065945403</v>
          </cell>
          <cell r="K6871" t="str">
            <v>BQES030978</v>
          </cell>
        </row>
        <row r="6872">
          <cell r="E6872" t="str">
            <v>C/O - SUJIT KUMAR, SAHAJANAND NAGAR, H. NO. -121, RANI ROAD, BHUDA, BARMASIA,, DHANBAD</v>
          </cell>
          <cell r="G6872">
            <v>8797636128</v>
          </cell>
          <cell r="K6872" t="str">
            <v>BTED200706</v>
          </cell>
        </row>
        <row r="6873">
          <cell r="E6873" t="str">
            <v>FLAT NO. 300, BLOCK - A, MP SRIRAM, CHHOTA GAMHARIA, P.S. - GAMHARIA, DIST.- SARAIKELA KHARSAWAN</v>
          </cell>
          <cell r="G6873">
            <v>7900700814</v>
          </cell>
          <cell r="K6873" t="str">
            <v>BRGL151464</v>
          </cell>
        </row>
        <row r="6874">
          <cell r="E6874" t="str">
            <v>FLAT NO. 300, BLOCK - A, MP SRIRAM, CHHOTA GAMHARIA, P.S. - GAMHARIA, DIST.- SARAIKELA KHARSAWAN</v>
          </cell>
          <cell r="G6874">
            <v>7900700814</v>
          </cell>
          <cell r="K6874" t="str">
            <v>BRGL151468</v>
          </cell>
        </row>
        <row r="6875">
          <cell r="E6875" t="str">
            <v>FLAT NO. 300, BLOCK - A, MP SRIRAM, CHHOTA GAMHARIA, P.S. - GAMHARIA, DIST.- SARAIKELA KHARSAWAN</v>
          </cell>
          <cell r="G6875">
            <v>7900700814</v>
          </cell>
          <cell r="K6875" t="str">
            <v>BRBL150944</v>
          </cell>
        </row>
        <row r="6876">
          <cell r="E6876" t="str">
            <v>GETALATU, RANCHI</v>
          </cell>
          <cell r="G6876">
            <v>8797879728</v>
          </cell>
          <cell r="K6876" t="str">
            <v>BUFC372853</v>
          </cell>
        </row>
        <row r="6877">
          <cell r="E6877" t="str">
            <v>LALGUTUWA, RANCHI</v>
          </cell>
          <cell r="G6877">
            <v>7488373795</v>
          </cell>
          <cell r="K6877" t="str">
            <v>BSES037922</v>
          </cell>
        </row>
        <row r="6878">
          <cell r="E6878" t="str">
            <v>HOSHIR GIDDI,RAMGARH
NEAR P.N. BANK MAIN ROAD, RAMGARH CANTT. 829122
829110</v>
          </cell>
          <cell r="G6878">
            <v>6201225253</v>
          </cell>
          <cell r="K6878" t="str">
            <v>GPJS030042</v>
          </cell>
        </row>
        <row r="6879">
          <cell r="E6879" t="str">
            <v>RAVULA SHYAM SUNDER REDDY, HOUSE NO. 3-5-196/1, ROAD NO. 5M, KRISHNANAGAR COLONY, MOULALI, HYDRABAD</v>
          </cell>
          <cell r="G6879">
            <v>6206406068</v>
          </cell>
          <cell r="K6879" t="str">
            <v>BSCD161691</v>
          </cell>
        </row>
        <row r="6880">
          <cell r="E6880" t="str">
            <v>A-3, 2ND PHASE, ADITYAPUR INDUSTRIAL AREA, ADITYAPUR, JAMSHEDPUR, JHARKHAND
A-3, 2ND PHASE, ADITYAPUR INDUSTRIAL AREA, ADITYAPUR, JAMSHEDPUR, JHARKHAND
831013
JAMHEDPUR</v>
          </cell>
          <cell r="G6880">
            <v>6299025408</v>
          </cell>
          <cell r="K6880" t="str">
            <v>GPBC370442</v>
          </cell>
        </row>
        <row r="6881">
          <cell r="E6881" t="str">
            <v>RANCHI PATNA ROAD
DEMOTAND
825301
HAZARIBAGH</v>
          </cell>
          <cell r="G6881">
            <v>7905424302</v>
          </cell>
          <cell r="K6881" t="str">
            <v>BMBL160078</v>
          </cell>
        </row>
        <row r="6882">
          <cell r="E6882" t="str">
            <v>LALGUTUWA, RANCHI</v>
          </cell>
          <cell r="G6882">
            <v>7992312817</v>
          </cell>
          <cell r="K6882" t="str">
            <v>BSES037922</v>
          </cell>
        </row>
        <row r="6883">
          <cell r="E6883" t="str">
            <v>BIHAR</v>
          </cell>
          <cell r="G6883">
            <v>8935923285</v>
          </cell>
          <cell r="K6883" t="str">
            <v>BSID161968</v>
          </cell>
        </row>
        <row r="6884">
          <cell r="E6884" t="str">
            <v>BARWADA, DHANBAD</v>
          </cell>
          <cell r="G6884">
            <v>9384385095</v>
          </cell>
          <cell r="K6884" t="str">
            <v>BRKD230139</v>
          </cell>
        </row>
        <row r="6885">
          <cell r="E6885" t="str">
            <v>SHEETLA PRASAD SINGH,, MISHRA PADA, NEAR DURGA MANDIR,, JHARIA, DHANBAD - 828 111, JHARKHAND.</v>
          </cell>
          <cell r="G6885">
            <v>7644045555</v>
          </cell>
          <cell r="K6885" t="str">
            <v>BTDD162169</v>
          </cell>
        </row>
        <row r="6886">
          <cell r="E6886" t="str">
            <v>NAYA MORE, RAMGRAH</v>
          </cell>
          <cell r="G6886">
            <v>9334469245</v>
          </cell>
          <cell r="K6886" t="str">
            <v>BUKS045387</v>
          </cell>
        </row>
        <row r="6887">
          <cell r="E6887" t="str">
            <v>NAYA MORE, RAMGRAH</v>
          </cell>
          <cell r="G6887">
            <v>9334469245</v>
          </cell>
          <cell r="K6887" t="str">
            <v>BUKS045388</v>
          </cell>
        </row>
        <row r="6888">
          <cell r="E6888" t="str">
            <v>ORMANJHI, RANCHI</v>
          </cell>
          <cell r="G6888">
            <v>9102839411</v>
          </cell>
          <cell r="K6888" t="str">
            <v>BSBS030506</v>
          </cell>
        </row>
        <row r="6889">
          <cell r="E6889" t="str">
            <v>SADAR HOSPITAL, BOKARO, C/O L &amp; T LTD. BOKARO, JHARKHAND
C/O L &amp; T LTD. BOKARO, JHARKHAND
000000</v>
          </cell>
          <cell r="G6889">
            <v>9934108164</v>
          </cell>
          <cell r="K6889" t="str">
            <v>BUBS045933</v>
          </cell>
        </row>
        <row r="6890">
          <cell r="E6890" t="str">
            <v>PEPARWAR, KHILADI</v>
          </cell>
          <cell r="G6890">
            <v>9006617909</v>
          </cell>
          <cell r="K6890" t="str">
            <v>BRKD220111</v>
          </cell>
        </row>
        <row r="6891">
          <cell r="E6891" t="str">
            <v>URMILA TOWER, ROOM NO. 805, DHANBAD</v>
          </cell>
          <cell r="G6891">
            <v>9835747740</v>
          </cell>
          <cell r="K6891" t="str">
            <v>BTGD162296</v>
          </cell>
        </row>
        <row r="6892">
          <cell r="E6892" t="str">
            <v>MANJULA ENTERPRISES, KOKAR INDUSTRIAL AREA KOKAR</v>
          </cell>
          <cell r="G6892">
            <v>9431583027</v>
          </cell>
          <cell r="K6892" t="str">
            <v>BUFC372952</v>
          </cell>
        </row>
        <row r="6893">
          <cell r="E6893" t="str">
            <v>NAGARI, RANCHI
834006</v>
          </cell>
          <cell r="G6893">
            <v>7255848442</v>
          </cell>
          <cell r="K6893" t="str">
            <v>BRAC372524</v>
          </cell>
        </row>
        <row r="6894">
          <cell r="E6894" t="str">
            <v>SHEETLA PRASAD SINGH,, MISHRA PADA, NEAR DURGA MANDIR,, JHARIA, DHANBAD - 828 111, JHARKHAND.</v>
          </cell>
          <cell r="G6894">
            <v>7644045555</v>
          </cell>
          <cell r="K6894" t="str">
            <v>BTKD162112</v>
          </cell>
        </row>
        <row r="6895">
          <cell r="E6895" t="str">
            <v>DHANBAD</v>
          </cell>
          <cell r="G6895">
            <v>9263634493</v>
          </cell>
          <cell r="K6895" t="str">
            <v>BTCD162159</v>
          </cell>
        </row>
        <row r="6896">
          <cell r="E6896" t="str">
            <v>BAGSUMA,GOVINDPUR, DHANBAD
GT ROAD, BAGSUMA
828109</v>
          </cell>
          <cell r="G6896">
            <v>9835191288</v>
          </cell>
          <cell r="K6896" t="str">
            <v>BTJC377259</v>
          </cell>
        </row>
        <row r="6897">
          <cell r="E6897" t="str">
            <v>DHANBAD</v>
          </cell>
          <cell r="G6897">
            <v>9263634493</v>
          </cell>
          <cell r="K6897" t="str">
            <v>BTCD162159</v>
          </cell>
        </row>
        <row r="6898">
          <cell r="E6898" t="str">
            <v>NTA LODNA, DHANBAD</v>
          </cell>
          <cell r="G6898">
            <v>7644045555</v>
          </cell>
          <cell r="K6898" t="str">
            <v>BULD162559</v>
          </cell>
        </row>
        <row r="6899">
          <cell r="E6899" t="str">
            <v>GAYA, BIHAR</v>
          </cell>
          <cell r="G6899">
            <v>9546199380</v>
          </cell>
          <cell r="K6899" t="str">
            <v>BRDD161021</v>
          </cell>
        </row>
        <row r="6900">
          <cell r="E6900" t="str">
            <v>KHURPANIA, KHASHMAHAL, PHUSHRO</v>
          </cell>
          <cell r="G6900">
            <v>8757876999</v>
          </cell>
          <cell r="K6900" t="str">
            <v>BTHD162350</v>
          </cell>
        </row>
        <row r="6901">
          <cell r="E6901" t="str">
            <v>KATHITAND, RANCHI</v>
          </cell>
          <cell r="G6901">
            <v>7904455688</v>
          </cell>
          <cell r="K6901" t="str">
            <v>BSLD230361</v>
          </cell>
        </row>
        <row r="6902">
          <cell r="E6902" t="str">
            <v>BARWADA, DHANBAD</v>
          </cell>
          <cell r="G6902">
            <v>9384385095</v>
          </cell>
          <cell r="K6902" t="str">
            <v>BRKD230139</v>
          </cell>
        </row>
        <row r="6903">
          <cell r="E6903" t="str">
            <v>11 PINJRAPOLE, HARMU ROAD, RANCHI
11 PINJRAPOLE, HARMU ROAD, RANCHI
834001
MAHILONG, TATISILWAY</v>
          </cell>
          <cell r="G6903">
            <v>9709000070</v>
          </cell>
          <cell r="K6903" t="str">
            <v>BNCC370425</v>
          </cell>
        </row>
        <row r="6904">
          <cell r="E6904" t="str">
            <v>NAGRI,RANCHI
835202
RANCHI</v>
          </cell>
          <cell r="G6904">
            <v>8877024924</v>
          </cell>
          <cell r="K6904" t="str">
            <v>BMJS040004</v>
          </cell>
        </row>
        <row r="6905">
          <cell r="E6905" t="str">
            <v>KAARO SUBHASH NAGAR, DHANBAD</v>
          </cell>
          <cell r="G6905">
            <v>9843829993</v>
          </cell>
          <cell r="K6905" t="str">
            <v>BTFD162243</v>
          </cell>
        </row>
        <row r="6906">
          <cell r="E6906" t="str">
            <v>P.O.+P.S. - GURPA, DIST- GAYA, BIHAR</v>
          </cell>
          <cell r="G6906">
            <v>9934799633</v>
          </cell>
          <cell r="K6906" t="str">
            <v>BRED161131</v>
          </cell>
        </row>
        <row r="6907">
          <cell r="E6907" t="str">
            <v>MANDU, RAMGARH
JAISWAL COLONY, THANA CHOW,, RAMGARH CANTT. DIST. RAMGARH, JHARKHAND
825316
MANDU</v>
          </cell>
          <cell r="G6907">
            <v>7979930284</v>
          </cell>
          <cell r="K6907" t="str">
            <v>BTLS039719</v>
          </cell>
        </row>
        <row r="6908">
          <cell r="E6908" t="str">
            <v>TUPUDANA INDUSTRIAL AREA, RANCHI
PLOT NO. - 45 &amp; 46, TUPUDAN AINDUSTRIAL AREA, TUPUDANA, HATIA, RANCHI
834003
TIPUDANA INDUSTRIAL AREA</v>
          </cell>
          <cell r="G6908">
            <v>7717734248</v>
          </cell>
          <cell r="K6908" t="str">
            <v>BQBS033819</v>
          </cell>
        </row>
        <row r="6909">
          <cell r="E6909" t="str">
            <v>KOKAR INDUSTRIAL AREA,RANCHI
834002
KOKAR INDUSTRIAL AREA</v>
          </cell>
          <cell r="G6909">
            <v>9771441275</v>
          </cell>
          <cell r="K6909" t="str">
            <v>BRKC371988</v>
          </cell>
        </row>
        <row r="6910">
          <cell r="E6910" t="str">
            <v>PALAMU DAIRY PROJECT, VILL- GANKI</v>
          </cell>
          <cell r="G6910">
            <v>9410009258</v>
          </cell>
          <cell r="K6910" t="str">
            <v>BULC370926</v>
          </cell>
        </row>
        <row r="6911">
          <cell r="E6911" t="str">
            <v>PALAMU DAIRY PROJECT, VILL- GANKI</v>
          </cell>
          <cell r="G6911">
            <v>9410009258</v>
          </cell>
          <cell r="K6911" t="str">
            <v>BULC370790</v>
          </cell>
        </row>
        <row r="6912">
          <cell r="E6912" t="str">
            <v>MANJULA ENTERPRISES, KOKAR INDUSTRIAL AREA KOKAR</v>
          </cell>
          <cell r="G6912">
            <v>9431583027</v>
          </cell>
          <cell r="K6912" t="str">
            <v>BUFC372952</v>
          </cell>
        </row>
        <row r="6913">
          <cell r="E6913" t="str">
            <v>BEHIND PIPARWAR, CHATRA</v>
          </cell>
          <cell r="G6913">
            <v>9523176607</v>
          </cell>
          <cell r="K6913" t="str">
            <v>BQHC371278</v>
          </cell>
        </row>
        <row r="6914">
          <cell r="E6914" t="str">
            <v>NAMKUM INDUSTRIAL AREA,RANCHI
834010</v>
          </cell>
          <cell r="G6914">
            <v>9386408111</v>
          </cell>
          <cell r="K6914" t="str">
            <v>BRHS035337</v>
          </cell>
        </row>
        <row r="6915">
          <cell r="E6915" t="str">
            <v>NAMKUM INDUSTRIAL AREA,RANCHI
834010</v>
          </cell>
          <cell r="G6915">
            <v>9386408111</v>
          </cell>
          <cell r="K6915" t="str">
            <v>GOCC370403</v>
          </cell>
        </row>
        <row r="6916">
          <cell r="E6916" t="str">
            <v>NAMKUN INDUSTRIAL AREA,RANCHI
834010</v>
          </cell>
          <cell r="G6916">
            <v>9431109899</v>
          </cell>
          <cell r="K6916" t="str">
            <v>BUDS034771</v>
          </cell>
        </row>
        <row r="6917">
          <cell r="E6917" t="str">
            <v>ARGADA ROAD, BINJHAR, P.O. - MARAR, RAMGARH
829117</v>
          </cell>
          <cell r="G6917">
            <v>8294504879</v>
          </cell>
          <cell r="K6917" t="str">
            <v>BSCS037449</v>
          </cell>
        </row>
        <row r="6918">
          <cell r="E6918" t="str">
            <v>BASTAKOLA, DHANBAD</v>
          </cell>
          <cell r="G6918">
            <v>6203369720</v>
          </cell>
          <cell r="K6918" t="str">
            <v>BUKD162535</v>
          </cell>
        </row>
        <row r="6919">
          <cell r="E6919" t="str">
            <v>C/O - SUJIT KUMAR, SAHAJANAND NAGAR, H. NO. -121, RANI ROAD, BHUDA, BARMASIA,, DHANBAD</v>
          </cell>
          <cell r="G6919">
            <v>8797636128</v>
          </cell>
          <cell r="K6919" t="str">
            <v>BTED200706</v>
          </cell>
        </row>
        <row r="6920">
          <cell r="E6920" t="str">
            <v>BALIDIH INDUSTRIAL AREA,BOKARO
PLOT NO. - A/2 (P) INDUSTRIAL AREA, BALIDIH BOKARO STEEL CITY - 14, BOKARO
827014
BOKARO INDUSTRIAL ESTATE</v>
          </cell>
          <cell r="G6920">
            <v>7992338710</v>
          </cell>
          <cell r="K6920" t="str">
            <v>BSJS035946</v>
          </cell>
        </row>
        <row r="6921">
          <cell r="E6921" t="str">
            <v>BAZAR SAMITI,RAMGARH
829122</v>
          </cell>
          <cell r="G6921">
            <v>9103498679</v>
          </cell>
          <cell r="K6921" t="str">
            <v>BSBC375576</v>
          </cell>
        </row>
        <row r="6922">
          <cell r="E6922" t="str">
            <v>BAZAR SAMITI,RAMGARH
829122</v>
          </cell>
          <cell r="G6922">
            <v>9103498679</v>
          </cell>
          <cell r="K6922" t="str">
            <v>BTGC379081</v>
          </cell>
        </row>
        <row r="6923">
          <cell r="E6923" t="str">
            <v>TUPUDANA INDUSTRIAL AREA, RANCHI
PLOT NO. 114, TUPUDANA INDUSTRIAL AREA, TUPUDANA,HATIA, RANCHI
834002
RANCHI</v>
          </cell>
          <cell r="G6923">
            <v>8709670947</v>
          </cell>
          <cell r="K6923">
            <v>123434</v>
          </cell>
        </row>
        <row r="6924">
          <cell r="E6924" t="str">
            <v>TUPUDANA INDUSTRIAL AREA, RANCHI
PLOT NO. 114, TUPUDANA INDUSTRIAL AREA, TUPUDANA,HATIA, RANCHI
834002
RANCHI</v>
          </cell>
          <cell r="G6924">
            <v>8709670947</v>
          </cell>
          <cell r="K6924" t="str">
            <v>BNAS040245</v>
          </cell>
        </row>
        <row r="6925">
          <cell r="E6925" t="str">
            <v>CHANDWAY CHOWK,RANCHI
834006</v>
          </cell>
          <cell r="G6925">
            <v>9631673800</v>
          </cell>
          <cell r="K6925" t="str">
            <v>BRAC372352</v>
          </cell>
        </row>
        <row r="6926">
          <cell r="E6926" t="str">
            <v>TUPUDANA INDUSTRIAL AREA, RANCHI
PLOT NO. 114, TUPUDANA INDUSTRIAL AREA, TUPUDANA,HATIA, RANCHI
834002
RANCHI</v>
          </cell>
          <cell r="G6926">
            <v>8709670947</v>
          </cell>
          <cell r="K6926" t="str">
            <v>GOKS040088</v>
          </cell>
        </row>
        <row r="6927">
          <cell r="E6927" t="str">
            <v>KATHITAR,RANCHI
KATHITAR,RANCHI
834004
KATHITAR,</v>
          </cell>
          <cell r="G6927">
            <v>7004709540</v>
          </cell>
          <cell r="K6927" t="str">
            <v>GPGC370774</v>
          </cell>
        </row>
        <row r="6928">
          <cell r="E6928" t="str">
            <v>DHANBAD</v>
          </cell>
          <cell r="G6928">
            <v>6207308280</v>
          </cell>
          <cell r="K6928" t="str">
            <v>BTED162231</v>
          </cell>
        </row>
        <row r="6929">
          <cell r="E6929" t="str">
            <v>BARWADA, DHANBAD</v>
          </cell>
          <cell r="G6929">
            <v>9384385095</v>
          </cell>
          <cell r="K6929" t="str">
            <v>BRKD230139</v>
          </cell>
        </row>
        <row r="6930">
          <cell r="E6930" t="str">
            <v>HOSHIR GIDDI,RAMGARH
NEAR P.N. BANK MAIN ROAD, RAMGARH CANTT. 829122
829110</v>
          </cell>
          <cell r="G6930">
            <v>8789325754</v>
          </cell>
          <cell r="K6930" t="str">
            <v>BRHS035368</v>
          </cell>
        </row>
        <row r="6931">
          <cell r="E6931" t="str">
            <v>HOSHIR GIDDI,RAMGARH
NEAR P.N. BANK MAIN ROAD, RAMGARH CANTT. 829122
829110</v>
          </cell>
          <cell r="G6931">
            <v>8789315754</v>
          </cell>
          <cell r="K6931" t="str">
            <v>GPJS030042</v>
          </cell>
        </row>
        <row r="6932">
          <cell r="E6932" t="str">
            <v>RAMGARH SPONGE IRON PVT LTD VILLAGE:HOSHIR GIDDI-POHAZARIBAGH(DT)JHARKHAND IND
829110</v>
          </cell>
          <cell r="G6932">
            <v>8789325754</v>
          </cell>
          <cell r="K6932" t="str">
            <v>BKCS040470</v>
          </cell>
        </row>
        <row r="6933">
          <cell r="E6933" t="str">
            <v>AT: SENEGARHA, P.O-RABODH, P.S-GIDDI,(RAMGARH),, DISTT. HAZARIBAGH,JHARKHAND-825330
829108
AT: SENEGARHA, P.O-RABODH, P.S-GIDDI,(RAMGARH),</v>
          </cell>
          <cell r="G6933">
            <v>9065945403</v>
          </cell>
          <cell r="K6933" t="str">
            <v>BQES030978</v>
          </cell>
        </row>
        <row r="6934">
          <cell r="E6934" t="str">
            <v>AT: SENEGARHA, P.O-RABODH, P.S-GIDDI,(RAMGARH),, DISTT. HAZARIBAGH,JHARKHAND-825330
829108
AT: SENEGARHA, P.O-RABODH, P.S-GIDDI,(RAMGARH),</v>
          </cell>
          <cell r="G6934">
            <v>9006877583</v>
          </cell>
          <cell r="K6934" t="str">
            <v>BRAS033261</v>
          </cell>
        </row>
        <row r="6935">
          <cell r="E6935" t="str">
            <v>AT: SENEGARHA, P.O-RABODH, P.S-GIDDI,(RAMGARH),, DISTT. HAZARIBAGH,JHARKHAND-825330
829108
AT: SENEGARHA, P.O-RABODH, P.S-GIDDI,(RAMGARH),</v>
          </cell>
          <cell r="G6935">
            <v>9006877583</v>
          </cell>
          <cell r="K6935" t="str">
            <v>BSCS037349</v>
          </cell>
        </row>
        <row r="6936">
          <cell r="E6936" t="str">
            <v>KATHITAR,RANCHI
KATHITAR,RANCHI
834004
KATHITAR,</v>
          </cell>
          <cell r="G6936">
            <v>7004709540</v>
          </cell>
          <cell r="K6936" t="str">
            <v>GPGC370774</v>
          </cell>
        </row>
        <row r="6937">
          <cell r="E6937" t="str">
            <v>BASTAWLA DHANBAD</v>
          </cell>
          <cell r="G6937">
            <v>9550053031</v>
          </cell>
          <cell r="K6937" t="str">
            <v>BTJD162046</v>
          </cell>
        </row>
        <row r="6938">
          <cell r="E6938" t="str">
            <v>KATHITAR,RANCHI
KATHITAR,RANCHI
834004
KATHITAR,</v>
          </cell>
          <cell r="G6938">
            <v>6203721760</v>
          </cell>
          <cell r="K6938" t="str">
            <v>BSFC376340</v>
          </cell>
        </row>
        <row r="6939">
          <cell r="E6939" t="str">
            <v>ASHOK NAGAR, RANCHI</v>
          </cell>
          <cell r="G6939">
            <v>9471356821</v>
          </cell>
          <cell r="K6939" t="str">
            <v>BPLD200068</v>
          </cell>
        </row>
        <row r="6940">
          <cell r="E6940" t="str">
            <v>LOHARDAGAH</v>
          </cell>
          <cell r="G6940">
            <v>6203529137</v>
          </cell>
          <cell r="K6940" t="str">
            <v>BUFS046839</v>
          </cell>
        </row>
        <row r="6941">
          <cell r="E6941" t="str">
            <v>SANDI, ORMANJHI</v>
          </cell>
          <cell r="G6941">
            <v>9102839411</v>
          </cell>
          <cell r="K6941" t="str">
            <v>BJBS033506</v>
          </cell>
        </row>
        <row r="6942">
          <cell r="E6942" t="str">
            <v>NTA LODNA, DHANBAD</v>
          </cell>
          <cell r="G6942">
            <v>7644045555</v>
          </cell>
          <cell r="K6942" t="str">
            <v>BULD162559</v>
          </cell>
        </row>
        <row r="6943">
          <cell r="E6943">
            <v>0</v>
          </cell>
          <cell r="G6943">
            <v>9931133220</v>
          </cell>
          <cell r="K6943" t="str">
            <v>BRKD120213</v>
          </cell>
        </row>
        <row r="6944">
          <cell r="E6944" t="str">
            <v>BALIDIH INDUSTRIAL AREA, BOKARO
BYE PASS ROAD, CHAS, BOKARO, JHARKHAND.
827014</v>
          </cell>
          <cell r="G6944">
            <v>9546488001</v>
          </cell>
          <cell r="K6944" t="str">
            <v>BRCC373034</v>
          </cell>
        </row>
        <row r="6945">
          <cell r="E6945" t="str">
            <v>BARA BAZAR, WEST BENGAL</v>
          </cell>
          <cell r="G6945">
            <v>8429320688</v>
          </cell>
          <cell r="K6945" t="str">
            <v>BRJD120198</v>
          </cell>
        </row>
        <row r="6946">
          <cell r="E6946" t="str">
            <v>BASTAKOLA, DHANBAD</v>
          </cell>
          <cell r="G6946">
            <v>9550053031</v>
          </cell>
          <cell r="K6946" t="str">
            <v>BUKD162535</v>
          </cell>
        </row>
        <row r="6947">
          <cell r="E6947" t="str">
            <v>JUMRI TELAIYA</v>
          </cell>
          <cell r="G6947">
            <v>9709270937</v>
          </cell>
          <cell r="K6947" t="str">
            <v>BUKC370499</v>
          </cell>
        </row>
        <row r="6948">
          <cell r="E6948" t="str">
            <v>KOKAR, RANCHI</v>
          </cell>
          <cell r="G6948">
            <v>8051191796</v>
          </cell>
          <cell r="K6948" t="str">
            <v>BRGD161233</v>
          </cell>
        </row>
        <row r="6949">
          <cell r="E6949" t="str">
            <v>BIHAR,</v>
          </cell>
          <cell r="G6949">
            <v>9718681124</v>
          </cell>
          <cell r="K6949" t="str">
            <v>BRLD160756</v>
          </cell>
        </row>
        <row r="6950">
          <cell r="E6950" t="str">
            <v>DHANBAD</v>
          </cell>
          <cell r="G6950">
            <v>8102325605</v>
          </cell>
          <cell r="K6950" t="str">
            <v>BSGD161904</v>
          </cell>
        </row>
        <row r="6951">
          <cell r="E6951" t="str">
            <v>RAVULA SHYAM SUNDER REDDY, HOUSE NO. 3-5-196/1, ROAD NO. 5M, KRISHNANAGAR COLONY, MOULALI, HYDRABAD</v>
          </cell>
          <cell r="G6951">
            <v>7751812111</v>
          </cell>
          <cell r="K6951" t="str">
            <v>BTCD162162</v>
          </cell>
        </row>
        <row r="6952">
          <cell r="E6952" t="str">
            <v>KATRAS DHANBAD</v>
          </cell>
          <cell r="G6952">
            <v>8210106692</v>
          </cell>
          <cell r="K6952" t="str">
            <v>BRBD160901</v>
          </cell>
        </row>
        <row r="6953">
          <cell r="E6953" t="str">
            <v>DHANBAD</v>
          </cell>
          <cell r="G6953">
            <v>8102325605</v>
          </cell>
          <cell r="K6953" t="str">
            <v>BSGD161904</v>
          </cell>
        </row>
        <row r="6954">
          <cell r="E6954" t="str">
            <v>MANDU, RAMGARH
JAISWAL COLONY, THANA CHOW,, RAMGARH CANTT. DIST. RAMGARH, JHARKHAND
825316
MANDU</v>
          </cell>
          <cell r="G6954">
            <v>7004242956</v>
          </cell>
          <cell r="K6954" t="str">
            <v>BTLS039719</v>
          </cell>
        </row>
        <row r="6955">
          <cell r="E6955" t="str">
            <v>REHLA,GARWA,JHARKHAND
822124
RANCHI</v>
          </cell>
          <cell r="G6955">
            <v>7004623399</v>
          </cell>
          <cell r="K6955" t="str">
            <v>BMFS031346</v>
          </cell>
        </row>
        <row r="6956">
          <cell r="E6956" t="str">
            <v>MANDU, RAMGARH
JAISWAL COLONY, THANA CHOW,, RAMGARH CANTT. DIST. RAMGARH, JHARKHAND
825316
MANDU</v>
          </cell>
          <cell r="G6956">
            <v>7004242956</v>
          </cell>
          <cell r="K6956" t="str">
            <v>BTLS039787</v>
          </cell>
        </row>
        <row r="6957">
          <cell r="E6957" t="str">
            <v>GROUND FLOOR, 8H AND 81, NATION PRINTERS, NAMKUM INDUSTRIAL AREA,, LOWADIH, RANCHI
GROUND FLOOR, 8H AND 81, NATION PRINTERS, NAMKUM INDUSTRIAL AREA,, LOWADIH, RANCHI
834010</v>
          </cell>
          <cell r="G6957">
            <v>9709225271</v>
          </cell>
          <cell r="K6957" t="str">
            <v>BRFC373676</v>
          </cell>
        </row>
        <row r="6958">
          <cell r="E6958" t="str">
            <v>DHANBAD</v>
          </cell>
          <cell r="G6958">
            <v>9550053031</v>
          </cell>
          <cell r="K6958" t="str">
            <v>BTDD162186</v>
          </cell>
        </row>
        <row r="6959">
          <cell r="E6959" t="str">
            <v>DHANBAD</v>
          </cell>
          <cell r="G6959">
            <v>9263634493</v>
          </cell>
          <cell r="K6959" t="str">
            <v>BTCD162159</v>
          </cell>
        </row>
        <row r="6960">
          <cell r="E6960" t="str">
            <v>EANA COLLIEARY, JHARIYA</v>
          </cell>
          <cell r="G6960">
            <v>6200279030</v>
          </cell>
          <cell r="K6960" t="str">
            <v>BRID161336</v>
          </cell>
        </row>
        <row r="6961">
          <cell r="E6961" t="str">
            <v>Chiturdih, Dhanbad.</v>
          </cell>
          <cell r="G6961">
            <v>7024084588</v>
          </cell>
          <cell r="K6961" t="str">
            <v>BTDD162192</v>
          </cell>
        </row>
        <row r="6962">
          <cell r="E6962" t="str">
            <v>TOPA MINES, RAMGARH</v>
          </cell>
          <cell r="G6962">
            <v>9471109170</v>
          </cell>
          <cell r="K6962" t="str">
            <v>BSKD161467</v>
          </cell>
        </row>
        <row r="6963">
          <cell r="E6963" t="str">
            <v>BHOWRA</v>
          </cell>
          <cell r="G6963">
            <v>9488821418</v>
          </cell>
          <cell r="K6963" t="str">
            <v>BUDD162713</v>
          </cell>
        </row>
        <row r="6964">
          <cell r="E6964" t="str">
            <v>BHOWRA, DHANBAD</v>
          </cell>
          <cell r="G6964">
            <v>8102325605</v>
          </cell>
          <cell r="K6964" t="str">
            <v>BSAD161597</v>
          </cell>
        </row>
        <row r="6965">
          <cell r="E6965" t="str">
            <v>DHANBAD JHARKHAND</v>
          </cell>
          <cell r="G6965">
            <v>6203533052</v>
          </cell>
          <cell r="K6965" t="str">
            <v>BQKD160115</v>
          </cell>
        </row>
        <row r="6966">
          <cell r="E6966" t="str">
            <v>LODNA</v>
          </cell>
          <cell r="G6966">
            <v>9550053031</v>
          </cell>
          <cell r="K6966" t="str">
            <v>BQKD160099</v>
          </cell>
        </row>
        <row r="6967">
          <cell r="E6967" t="str">
            <v>BASKATOLA</v>
          </cell>
          <cell r="G6967">
            <v>9550053031</v>
          </cell>
          <cell r="K6967" t="str">
            <v>BULD162568</v>
          </cell>
        </row>
        <row r="6968">
          <cell r="E6968" t="str">
            <v>BAZAR SAMITI,RAMGARH
829122</v>
          </cell>
          <cell r="G6968">
            <v>9835764965</v>
          </cell>
          <cell r="K6968" t="str">
            <v>BTGC379081</v>
          </cell>
        </row>
        <row r="6969">
          <cell r="E6969" t="str">
            <v>TUPUDANA INDUSTRIAL AREA, RANCHI
PLOT NO. - 45 &amp; 46, TUPUDAN AINDUSTRIAL AREA, TUPUDANA, HATIA, RANCHI
834003
TIPUDANA INDUSTRIAL AREA</v>
          </cell>
          <cell r="G6969">
            <v>8969744780</v>
          </cell>
          <cell r="K6969" t="str">
            <v>BQBS033819</v>
          </cell>
        </row>
        <row r="6970">
          <cell r="E6970" t="str">
            <v>B7-PHASE-3, BALIDIH INDUSTRIAL AREA BALIDIH, BOKARO STEEL CITY BOKARO, JHARKHAND
SUNDARAM STEELS PVT. LTD, B-7 PHASE-III,BOKARO INDUSTRIAL AREA,BALIDIH, BOKARO
827014</v>
          </cell>
          <cell r="G6970">
            <v>8240009288</v>
          </cell>
          <cell r="K6970" t="str">
            <v>BTHS031467</v>
          </cell>
        </row>
        <row r="6971">
          <cell r="E6971" t="str">
            <v>BALIDIH INDUSTRIAL AREA,BOKARO
PLOT NO. - A/2 (P) INDUSTRIAL AREA, BALIDIH BOKARO STEEL CITY - 14, BOKARO
827014
BOKARO INDUSTRIAL ESTATE</v>
          </cell>
          <cell r="G6971">
            <v>7992338710</v>
          </cell>
          <cell r="K6971" t="str">
            <v>BSJS035946</v>
          </cell>
        </row>
        <row r="6972">
          <cell r="E6972" t="str">
            <v>ANA COLLERY, DHANBAD</v>
          </cell>
          <cell r="G6972">
            <v>9443954373</v>
          </cell>
          <cell r="K6972" t="str">
            <v>BPKD200025</v>
          </cell>
        </row>
        <row r="6973">
          <cell r="E6973" t="str">
            <v>SUNDAR NAGAR, JAMSHEDPUR</v>
          </cell>
          <cell r="G6973">
            <v>9556546094</v>
          </cell>
          <cell r="K6973" t="str">
            <v>BUAD162625</v>
          </cell>
        </row>
        <row r="6974">
          <cell r="E6974" t="str">
            <v>PATAN, PALAMU</v>
          </cell>
          <cell r="G6974">
            <v>9772702471</v>
          </cell>
          <cell r="K6974" t="str">
            <v>BQHO160408</v>
          </cell>
        </row>
        <row r="6975">
          <cell r="E6975" t="str">
            <v>NTA LODNA, DHANBAD</v>
          </cell>
          <cell r="G6975">
            <v>7644045555</v>
          </cell>
          <cell r="K6975" t="str">
            <v>BULD162559</v>
          </cell>
        </row>
        <row r="6976">
          <cell r="E6976" t="str">
            <v>SHEETLA PRASAD SINGH,, MISHRA PADA, NEAR DURGA MANDIR,, JHARIA, DHANBAD - 828 111, JHARKHAND.</v>
          </cell>
          <cell r="G6976">
            <v>7644045555</v>
          </cell>
          <cell r="K6976" t="str">
            <v>BTDD162169</v>
          </cell>
        </row>
        <row r="6977">
          <cell r="E6977" t="str">
            <v>SHEETLA PRASAD SINGH,, MISHRA PADA, NEAR DURGA MANDIR,, JHARIA, DHANBAD - 828 111, JHARKHAND.</v>
          </cell>
          <cell r="G6977">
            <v>7644045555</v>
          </cell>
          <cell r="K6977" t="str">
            <v>BTKD162112</v>
          </cell>
        </row>
        <row r="6978">
          <cell r="E6978" t="str">
            <v>BASTAWLA DHANBAD</v>
          </cell>
          <cell r="G6978">
            <v>9550053031</v>
          </cell>
          <cell r="K6978" t="str">
            <v>BTJD162046</v>
          </cell>
        </row>
        <row r="6979">
          <cell r="E6979" t="str">
            <v>GROUND FLOOR, 8H AND 81, NATION PRINTERS, NAMKUM INDUSTRIAL AREA,, LOWADIH, RANCHI
GROUND FLOOR, 8H AND 81, NATION PRINTERS, NAMKUM INDUSTRIAL AREA,, LOWADIH, RANCHI
834010</v>
          </cell>
          <cell r="G6979">
            <v>9709225271</v>
          </cell>
          <cell r="K6979" t="str">
            <v>BRFC373676</v>
          </cell>
        </row>
        <row r="6980">
          <cell r="E6980" t="str">
            <v>BIT MESRA, RANCHI
835215
BIT MISRA, RANCHI</v>
          </cell>
          <cell r="G6980">
            <v>9693768894</v>
          </cell>
          <cell r="K6980" t="str">
            <v>BPHS030467</v>
          </cell>
        </row>
        <row r="6981">
          <cell r="E6981" t="str">
            <v>DIBDIH, RANCHI
834002</v>
          </cell>
          <cell r="G6981">
            <v>7369007900</v>
          </cell>
          <cell r="K6981" t="str">
            <v>BTEC378588</v>
          </cell>
        </row>
        <row r="6982">
          <cell r="E6982" t="str">
            <v>GHATOTAND, RAMGRAH</v>
          </cell>
          <cell r="G6982">
            <v>9204233196</v>
          </cell>
          <cell r="K6982" t="str">
            <v>GOES040388</v>
          </cell>
        </row>
        <row r="6983">
          <cell r="E6983" t="str">
            <v>GHATOTAND, RAMGRAH</v>
          </cell>
          <cell r="G6983">
            <v>9204233196</v>
          </cell>
          <cell r="K6983" t="str">
            <v>GOES040388</v>
          </cell>
        </row>
        <row r="6984">
          <cell r="E6984" t="str">
            <v>SIMDEGA</v>
          </cell>
          <cell r="G6984">
            <v>6203833614</v>
          </cell>
          <cell r="K6984" t="str">
            <v>BRCD160998</v>
          </cell>
        </row>
        <row r="6985">
          <cell r="E6985" t="str">
            <v>SUNRISE COMPLEX, KATRAS ROAD,, MATKURIA, DHANBAD, JHARKHAND-826001, WORKS: BHELATAND, GOVINDPUR,, DHANBAD, JHARKHAND - 828109.
828109</v>
          </cell>
          <cell r="G6985">
            <v>7004746001</v>
          </cell>
          <cell r="K6985" t="str">
            <v>BTLS044130</v>
          </cell>
        </row>
        <row r="6986">
          <cell r="E6986" t="str">
            <v>MARRAR RAMGRAH</v>
          </cell>
          <cell r="G6986">
            <v>7654107064</v>
          </cell>
          <cell r="K6986" t="str">
            <v>BHES030392</v>
          </cell>
        </row>
        <row r="6987">
          <cell r="E6987" t="str">
            <v>MARRAR RAMGRAH</v>
          </cell>
          <cell r="G6987">
            <v>7654107064</v>
          </cell>
          <cell r="K6987" t="str">
            <v>BQIS031848</v>
          </cell>
        </row>
        <row r="6988">
          <cell r="E6988" t="str">
            <v>SHEKHPURA, BIHAR</v>
          </cell>
          <cell r="G6988">
            <v>9304172201</v>
          </cell>
          <cell r="K6988" t="str">
            <v>BTGL160455</v>
          </cell>
        </row>
        <row r="6989">
          <cell r="E6989" t="str">
            <v>PALAMU,GARWA, JHARKHAND
822124
GARHWA ROAD, NEAR BCCL PALAMU,</v>
          </cell>
          <cell r="G6989">
            <v>8877136770</v>
          </cell>
          <cell r="K6989" t="str">
            <v>GOCS030806</v>
          </cell>
        </row>
        <row r="6990">
          <cell r="E6990" t="str">
            <v>SHEKHPURA, BIHAR</v>
          </cell>
          <cell r="G6990">
            <v>9304172201</v>
          </cell>
          <cell r="K6990" t="str">
            <v>BULL160564</v>
          </cell>
        </row>
        <row r="6991">
          <cell r="E6991" t="str">
            <v>REHLA, GARHWA ROAD, PALAMU D.T, JHARKHAND
PALAMU JHARKHAND 822124
INDIA</v>
          </cell>
          <cell r="G6991">
            <v>7004971081</v>
          </cell>
          <cell r="K6991" t="str">
            <v>BLFS031469</v>
          </cell>
        </row>
        <row r="6992">
          <cell r="E6992" t="str">
            <v>REHLA,GARWA,JHARKHAND
822124
RANCHI</v>
          </cell>
          <cell r="G6992">
            <v>7004623399</v>
          </cell>
          <cell r="K6992" t="str">
            <v>GOIS031795</v>
          </cell>
        </row>
        <row r="6993">
          <cell r="E6993" t="str">
            <v>REHLA,GARWA,JHARKHAND
822124
RANCHI</v>
          </cell>
          <cell r="G6993">
            <v>7004623399</v>
          </cell>
          <cell r="K6993" t="str">
            <v>BMFS031346</v>
          </cell>
        </row>
        <row r="6994">
          <cell r="E6994" t="str">
            <v>SYAMDIH, KATRAS, DHANBAD</v>
          </cell>
          <cell r="G6994">
            <v>9835988493</v>
          </cell>
          <cell r="K6994" t="str">
            <v>BQCD160096</v>
          </cell>
        </row>
        <row r="6995">
          <cell r="E6995" t="str">
            <v>BASTAKOLA, DHANBAD</v>
          </cell>
          <cell r="G6995">
            <v>7667296002</v>
          </cell>
          <cell r="K6995" t="str">
            <v>BUKD162535</v>
          </cell>
        </row>
        <row r="6996">
          <cell r="E6996" t="str">
            <v>DHANBAD</v>
          </cell>
          <cell r="G6996">
            <v>9550053031</v>
          </cell>
          <cell r="K6996" t="str">
            <v>BTDD162186</v>
          </cell>
        </row>
        <row r="6997">
          <cell r="E6997" t="str">
            <v>DHANBAD</v>
          </cell>
          <cell r="G6997">
            <v>6203273412</v>
          </cell>
          <cell r="K6997" t="str">
            <v>BTFD162244</v>
          </cell>
        </row>
        <row r="6998">
          <cell r="E6998" t="str">
            <v>KANKANI</v>
          </cell>
          <cell r="G6998">
            <v>8210106692</v>
          </cell>
          <cell r="K6998" t="str">
            <v>BRBD160892</v>
          </cell>
        </row>
        <row r="6999">
          <cell r="E6999" t="str">
            <v>DHANBAD</v>
          </cell>
          <cell r="G6999">
            <v>6207308280</v>
          </cell>
          <cell r="K6999" t="str">
            <v>BTED162231</v>
          </cell>
        </row>
        <row r="7000">
          <cell r="E7000" t="str">
            <v>KATRAS, DHANBAD</v>
          </cell>
          <cell r="G7000">
            <v>9113788032</v>
          </cell>
          <cell r="K7000" t="str">
            <v>BSKD161477</v>
          </cell>
        </row>
        <row r="7001">
          <cell r="E7001" t="str">
            <v>RAVULA SHYAM SUNDER REDDY, HOUSE NO. 3-5-196/1, ROAD NO. 5M, KRISHNANAGAR COLONY, MOULALI, HYDRABAD</v>
          </cell>
          <cell r="G7001">
            <v>6203273412</v>
          </cell>
          <cell r="K7001" t="str">
            <v>BSCD161691</v>
          </cell>
        </row>
        <row r="7002">
          <cell r="E7002" t="str">
            <v>KUSUNDA DHANBAD</v>
          </cell>
          <cell r="G7002">
            <v>8688007966</v>
          </cell>
          <cell r="K7002" t="str">
            <v>BRDD161036</v>
          </cell>
        </row>
        <row r="7003">
          <cell r="E7003" t="str">
            <v>BASKATOLA</v>
          </cell>
          <cell r="G7003">
            <v>9550053031</v>
          </cell>
          <cell r="K7003" t="str">
            <v>BULD162577</v>
          </cell>
        </row>
        <row r="7004">
          <cell r="E7004" t="str">
            <v>RANCHI PATNA ROAD
DEMOTAND
825301
HAZARIBAGH</v>
          </cell>
          <cell r="G7004">
            <v>7905424302</v>
          </cell>
          <cell r="K7004" t="str">
            <v>BSCS037531</v>
          </cell>
        </row>
        <row r="7005">
          <cell r="E7005" t="str">
            <v>HAZARIBAGH</v>
          </cell>
          <cell r="G7005">
            <v>9431141152</v>
          </cell>
          <cell r="K7005" t="str">
            <v>BUKC370622</v>
          </cell>
        </row>
        <row r="7006">
          <cell r="E7006" t="str">
            <v>RANCHI PATNA ROAD
DEMOTAND
825301
HAZARIBAGH</v>
          </cell>
          <cell r="G7006">
            <v>6203465926</v>
          </cell>
          <cell r="K7006" t="str">
            <v>BIFS040367</v>
          </cell>
        </row>
        <row r="7007">
          <cell r="E7007" t="str">
            <v>RANCHI</v>
          </cell>
          <cell r="G7007">
            <v>9973686006</v>
          </cell>
          <cell r="K7007" t="str">
            <v>BLIS031950</v>
          </cell>
        </row>
        <row r="7008">
          <cell r="E7008" t="str">
            <v>KUSUNDA DHANBAD</v>
          </cell>
          <cell r="G7008">
            <v>8210106692</v>
          </cell>
          <cell r="K7008" t="str">
            <v>BQCD160129</v>
          </cell>
        </row>
        <row r="7009">
          <cell r="E7009" t="str">
            <v>TUPUDANA INDUSTRIAL AREA, RANCHI
PLOT NO. - 45 &amp; 46, TUPUDAN AINDUSTRIAL AREA, TUPUDANA, HATIA, RANCHI
834003
TIPUDANA INDUSTRIAL AREA</v>
          </cell>
          <cell r="G7009">
            <v>8092355914</v>
          </cell>
          <cell r="K7009" t="str">
            <v>BJHET10090</v>
          </cell>
        </row>
        <row r="7010">
          <cell r="E7010" t="str">
            <v>TUPUDANA INDUSTRIAL AREA, RANCHI
PLOT NO. - 45 &amp; 46, TUPUDAN AINDUSTRIAL AREA, TUPUDANA, HATIA, RANCHI
834003
TIPUDANA INDUSTRIAL AREA</v>
          </cell>
          <cell r="G7010">
            <v>8969744780</v>
          </cell>
          <cell r="K7010" t="str">
            <v>BQBS033819</v>
          </cell>
        </row>
        <row r="7011">
          <cell r="E7011" t="str">
            <v>NAWADA, BIHAR</v>
          </cell>
          <cell r="G7011">
            <v>7272956960</v>
          </cell>
          <cell r="K7011" t="str">
            <v>BSFD161799</v>
          </cell>
        </row>
        <row r="7012">
          <cell r="E7012" t="str">
            <v>TUPUDANA INDUSTRIAL AREA, RANCHI
PLOT NO. 114, TUPUDANA INDUSTRIAL AREA, TUPUDANA,HATIA, RANCHI
834002
RANCHI</v>
          </cell>
          <cell r="G7012">
            <v>8709670947</v>
          </cell>
          <cell r="K7012" t="str">
            <v>GOKS040088</v>
          </cell>
        </row>
        <row r="7013">
          <cell r="E7013" t="str">
            <v>TUPUDANA INDUSTRIAL AREA, RANCHI
PLOT NO. 114, TUPUDANA INDUSTRIAL AREA, TUPUDANA,HATIA, RANCHI
834002
RANCHI</v>
          </cell>
          <cell r="G7013">
            <v>8709670947</v>
          </cell>
          <cell r="K7013" t="str">
            <v>BNAS040245</v>
          </cell>
        </row>
        <row r="7014">
          <cell r="E7014" t="str">
            <v>TUPUDANA INDUSTRIAL AREA, RANCHI
PLOT NO. 114, TUPUDANA INDUSTRIAL AREA, TUPUDANA,HATIA, RANCHI
834002
RANCHI</v>
          </cell>
          <cell r="G7014">
            <v>8709670947</v>
          </cell>
          <cell r="K7014">
            <v>123434</v>
          </cell>
        </row>
        <row r="7015">
          <cell r="E7015" t="str">
            <v>TATISIWAI INDUSTRIAL AREA, RANCHI
835103
TATISILWAY RANCHI</v>
          </cell>
          <cell r="G7015">
            <v>9934854302</v>
          </cell>
          <cell r="K7015" t="str">
            <v>BSAS036958</v>
          </cell>
        </row>
        <row r="7016">
          <cell r="E7016" t="str">
            <v>GROUND FLOOR,, OFFICE NO.448A, ROAD NO.4, ASHOK NAGAR
GROUND FLOOR,, OFFICE NO.448A, ROAD NO.4, ASHOK NAGAR
829118
PLOT NO:- 47P, PATRATU INDUSTRIAL AREA</v>
          </cell>
          <cell r="G7016">
            <v>7541959323</v>
          </cell>
          <cell r="K7016" t="str">
            <v>GOGC370754</v>
          </cell>
        </row>
        <row r="7017">
          <cell r="E7017" t="str">
            <v>DALADALI, RANCHUI</v>
          </cell>
          <cell r="G7017">
            <v>7992413342</v>
          </cell>
          <cell r="K7017" t="str">
            <v>BMJD200014</v>
          </cell>
        </row>
        <row r="7018">
          <cell r="E7018" t="str">
            <v>KAARO SUBHASH NAGAR, DHANBAD</v>
          </cell>
          <cell r="G7018">
            <v>9843829993</v>
          </cell>
          <cell r="K7018" t="str">
            <v>BTFD162243</v>
          </cell>
        </row>
        <row r="7019">
          <cell r="E7019" t="str">
            <v>DALTONGANJ</v>
          </cell>
          <cell r="G7019">
            <v>8851928836</v>
          </cell>
          <cell r="K7019" t="str">
            <v>BUBS045965</v>
          </cell>
        </row>
        <row r="7020">
          <cell r="E7020" t="str">
            <v>ASHOK NAGAR, RANCHI</v>
          </cell>
          <cell r="G7020">
            <v>9334701321</v>
          </cell>
          <cell r="K7020" t="str">
            <v>BQKD200047</v>
          </cell>
        </row>
        <row r="7021">
          <cell r="E7021" t="str">
            <v>TAPIN HAZARIBAGH</v>
          </cell>
          <cell r="G7021">
            <v>8002177643</v>
          </cell>
          <cell r="K7021" t="str">
            <v>BTGD162289</v>
          </cell>
        </row>
        <row r="7022">
          <cell r="E7022" t="str">
            <v>BASKATOLA</v>
          </cell>
          <cell r="G7022">
            <v>9550053031</v>
          </cell>
          <cell r="K7022" t="str">
            <v>BULD162577</v>
          </cell>
        </row>
        <row r="7023">
          <cell r="E7023" t="str">
            <v>KOKAR INDUSTRIAL AREA, KOKAR</v>
          </cell>
          <cell r="G7023">
            <v>8271199013</v>
          </cell>
          <cell r="K7023" t="str">
            <v>BLLL160056</v>
          </cell>
        </row>
        <row r="7024">
          <cell r="E7024" t="str">
            <v>BASTAKOLA, DHANBAD</v>
          </cell>
          <cell r="G7024">
            <v>7667296002</v>
          </cell>
          <cell r="K7024" t="str">
            <v>BUKD162535</v>
          </cell>
        </row>
        <row r="7025">
          <cell r="E7025" t="str">
            <v>NAGRI,RANCHI
835202
RANCHI</v>
          </cell>
          <cell r="G7025">
            <v>9798766622</v>
          </cell>
          <cell r="K7025" t="str">
            <v>BRIS035698</v>
          </cell>
        </row>
        <row r="7026">
          <cell r="E7026" t="str">
            <v>NTA LODNA, DHANBAD</v>
          </cell>
          <cell r="G7026">
            <v>7644045555</v>
          </cell>
          <cell r="K7026" t="str">
            <v>BULD162559</v>
          </cell>
        </row>
        <row r="7027">
          <cell r="E7027" t="str">
            <v>NAGARI RANCHI
NAGARI RANCHI
835303</v>
          </cell>
          <cell r="G7027">
            <v>6201457979</v>
          </cell>
          <cell r="K7027" t="str">
            <v>BKJS030050</v>
          </cell>
        </row>
        <row r="7028">
          <cell r="E7028" t="str">
            <v>HAZARIBAGH
RANCHI JHARKHAND 834002
INDIA</v>
          </cell>
          <cell r="G7028">
            <v>7361044447</v>
          </cell>
          <cell r="K7028" t="str">
            <v>BKAS030685</v>
          </cell>
        </row>
        <row r="7029">
          <cell r="E7029" t="str">
            <v>DHANBAD, CONT PERSON :MR. IKTEKHAR AHMAD, PH.NO :9431316718</v>
          </cell>
          <cell r="G7029">
            <v>8675594243</v>
          </cell>
          <cell r="K7029" t="str">
            <v>BSKD161462</v>
          </cell>
        </row>
        <row r="7030">
          <cell r="E7030" t="str">
            <v>ORMANJHI,RANCHI
835219</v>
          </cell>
          <cell r="G7030">
            <v>9905273242</v>
          </cell>
          <cell r="K7030" t="str">
            <v>BSGC376577</v>
          </cell>
        </row>
        <row r="7031">
          <cell r="E7031" t="str">
            <v>CHANDWAY CHOWK,RANCHI
834006</v>
          </cell>
          <cell r="G7031">
            <v>9631673800</v>
          </cell>
          <cell r="K7031" t="str">
            <v>BRAC372352</v>
          </cell>
        </row>
        <row r="7032">
          <cell r="E7032" t="str">
            <v>TAPIN HAZARIBAGH</v>
          </cell>
          <cell r="G7032">
            <v>8002177643</v>
          </cell>
          <cell r="K7032" t="str">
            <v>BTGD162289</v>
          </cell>
        </row>
        <row r="7033">
          <cell r="E7033" t="str">
            <v>SARWARI, ASANSOL, WB</v>
          </cell>
          <cell r="G7033">
            <v>6202046477</v>
          </cell>
          <cell r="K7033" t="str">
            <v>BPLF150007</v>
          </cell>
        </row>
        <row r="7034">
          <cell r="E7034" t="str">
            <v>GOPI MORE GAYA</v>
          </cell>
          <cell r="G7034">
            <v>9973483380</v>
          </cell>
          <cell r="K7034" t="str">
            <v>BRHD161314</v>
          </cell>
        </row>
        <row r="7035">
          <cell r="E7035" t="str">
            <v>NAYATOLI, SIMALIYA, RANCHI</v>
          </cell>
          <cell r="G7035">
            <v>7061022709</v>
          </cell>
          <cell r="K7035" t="str">
            <v>BUFC372833</v>
          </cell>
        </row>
        <row r="7036">
          <cell r="E7036" t="str">
            <v>NAGARI RANCHI
NAGARI RANCHI
835303</v>
          </cell>
          <cell r="G7036">
            <v>6201457979</v>
          </cell>
          <cell r="K7036" t="str">
            <v>BKJS030050</v>
          </cell>
        </row>
        <row r="7037">
          <cell r="E7037" t="str">
            <v>RAMGARH</v>
          </cell>
          <cell r="G7037">
            <v>7004377365</v>
          </cell>
          <cell r="K7037" t="str">
            <v>BLES031356</v>
          </cell>
        </row>
        <row r="7038">
          <cell r="E7038" t="str">
            <v>CHITARPUR, GOLA, RAMGRAH</v>
          </cell>
          <cell r="G7038">
            <v>7281962540</v>
          </cell>
          <cell r="K7038" t="str">
            <v>BUFS046910</v>
          </cell>
        </row>
        <row r="7039">
          <cell r="E7039" t="str">
            <v>KHASHMAHAL PROJECT CCL, BERMO, PHUSHRO, JHARKHAND</v>
          </cell>
          <cell r="G7039">
            <v>9348331797</v>
          </cell>
          <cell r="K7039" t="str">
            <v>BULD162561</v>
          </cell>
        </row>
        <row r="7040">
          <cell r="E7040" t="str">
            <v>GOVINDPUR, DHANBAD</v>
          </cell>
          <cell r="G7040">
            <v>9364474690</v>
          </cell>
          <cell r="K7040" t="str">
            <v>BJFS031286</v>
          </cell>
        </row>
        <row r="7041">
          <cell r="E7041" t="str">
            <v>SUNRISE COMPLEX, KATRAS ROAD,, MATKURIA, DHANBAD, JHARKHAND-826001, WORKS: BHELATAND, GOVINDPUR,, DHANBAD, JHARKHAND - 828109.
828109</v>
          </cell>
          <cell r="G7041">
            <v>7004746001</v>
          </cell>
          <cell r="K7041" t="str">
            <v>BTLS044130</v>
          </cell>
        </row>
        <row r="7042">
          <cell r="E7042" t="str">
            <v>MANDU, RAMGARH
JAISWAL COLONY, THANA CHOW,, RAMGARH CANTT. DIST. RAMGARH, JHARKHAND
825316
MANDU</v>
          </cell>
          <cell r="G7042">
            <v>7004242956</v>
          </cell>
          <cell r="K7042" t="str">
            <v>BTLS039851</v>
          </cell>
        </row>
        <row r="7043">
          <cell r="E7043" t="str">
            <v>MANDU, RAMGARH
JAISWAL COLONY, THANA CHOW,, RAMGARH CANTT. DIST. RAMGARH, JHARKHAND
825316
MANDU</v>
          </cell>
          <cell r="G7043">
            <v>7004242956</v>
          </cell>
          <cell r="K7043" t="str">
            <v>BTLS039793</v>
          </cell>
        </row>
        <row r="7044">
          <cell r="E7044" t="str">
            <v>RAMNAGAR , HAZARIBAGH,JHARKHAND
825302</v>
          </cell>
          <cell r="G7044">
            <v>9113183803</v>
          </cell>
          <cell r="K7044" t="str">
            <v>BQAC373617</v>
          </cell>
        </row>
        <row r="7045">
          <cell r="E7045" t="str">
            <v>MANDU, RAMGARH
JAISWAL COLONY, THANA CHOW,, RAMGARH CANTT. DIST. RAMGARH, JHARKHAND
825316
MANDU</v>
          </cell>
          <cell r="G7045">
            <v>7004242956</v>
          </cell>
          <cell r="K7045" t="str">
            <v>BTLS039851</v>
          </cell>
        </row>
        <row r="7046">
          <cell r="E7046" t="str">
            <v>DHANBAD</v>
          </cell>
          <cell r="G7046">
            <v>9263634493</v>
          </cell>
          <cell r="K7046" t="str">
            <v>BTCD162159</v>
          </cell>
        </row>
        <row r="7047">
          <cell r="E7047" t="str">
            <v>MANDU, RAMGARH
JAISWAL COLONY, THANA CHOW,, RAMGARH CANTT. DIST. RAMGARH, JHARKHAND
825316
MANDU</v>
          </cell>
          <cell r="G7047">
            <v>7004242956</v>
          </cell>
          <cell r="K7047" t="str">
            <v>BTLS039787</v>
          </cell>
        </row>
        <row r="7048">
          <cell r="E7048" t="str">
            <v>MARAR, RAMGARH, JHARKHAND
MARRAR RAMGARH, 9155729786
829117
MARAR</v>
          </cell>
          <cell r="G7048">
            <v>9155729786</v>
          </cell>
          <cell r="K7048" t="str">
            <v>BMIS031759</v>
          </cell>
        </row>
        <row r="7049">
          <cell r="E7049" t="str">
            <v>SHEETLA PRASAD SINGH,, MISHRA PADA, NEAR DURGA MANDIR,, JHARIA, DHANBAD - 828 111, JHARKHAND.</v>
          </cell>
          <cell r="G7049">
            <v>7644045555</v>
          </cell>
          <cell r="K7049" t="str">
            <v>BTKD162112</v>
          </cell>
        </row>
        <row r="7050">
          <cell r="E7050" t="str">
            <v>MARAR, RAMGARH, JHARKHAND
MARRAR RAMGARH, 9155729786
829117
MARAR</v>
          </cell>
          <cell r="G7050">
            <v>9204780801</v>
          </cell>
          <cell r="K7050" t="str">
            <v>BMIS031759</v>
          </cell>
        </row>
        <row r="7051">
          <cell r="E7051" t="str">
            <v>JASIDIH, DEOGHAR
814142</v>
          </cell>
          <cell r="G7051">
            <v>9431794974</v>
          </cell>
          <cell r="K7051" t="str">
            <v>BSBC375571</v>
          </cell>
        </row>
        <row r="7052">
          <cell r="E7052" t="str">
            <v>JASIDIH, DEOGHAR
814142</v>
          </cell>
          <cell r="G7052">
            <v>9431794976</v>
          </cell>
          <cell r="K7052" t="str">
            <v>BSEC376083</v>
          </cell>
        </row>
        <row r="7053">
          <cell r="E7053" t="str">
            <v>VILLAGE - PANDRA
P.O. - KANKE
835222</v>
          </cell>
          <cell r="G7053">
            <v>8051502055</v>
          </cell>
          <cell r="K7053" t="str">
            <v>BUJS032230</v>
          </cell>
        </row>
        <row r="7054">
          <cell r="E7054" t="str">
            <v>NAGARI, RANCHI
834006</v>
          </cell>
          <cell r="G7054">
            <v>7255848442</v>
          </cell>
          <cell r="K7054" t="str">
            <v>BRAC372524</v>
          </cell>
        </row>
        <row r="7055">
          <cell r="E7055" t="str">
            <v>KANKANI</v>
          </cell>
          <cell r="G7055">
            <v>8688007966</v>
          </cell>
          <cell r="K7055" t="str">
            <v>BRBD160892</v>
          </cell>
        </row>
        <row r="7056">
          <cell r="E7056" t="str">
            <v>KATRAS DHANBAD</v>
          </cell>
          <cell r="G7056">
            <v>8210106692</v>
          </cell>
          <cell r="K7056" t="str">
            <v>BRBD160901</v>
          </cell>
        </row>
        <row r="7057">
          <cell r="E7057" t="str">
            <v>RAMGARH,JHARKHAND
829122</v>
          </cell>
          <cell r="G7057">
            <v>9934012694</v>
          </cell>
          <cell r="K7057" t="str">
            <v>BOKC370020</v>
          </cell>
        </row>
        <row r="7058">
          <cell r="E7058" t="str">
            <v>ORMANJHI</v>
          </cell>
          <cell r="G7058">
            <v>7992479722</v>
          </cell>
          <cell r="K7058" t="str">
            <v>BSDD120664</v>
          </cell>
        </row>
        <row r="7059">
          <cell r="E7059" t="str">
            <v>KOKAR INDUSTRIAL AREA,,RANCHI
834002
KOKAR INDUSTRIAL AREA RANCHI</v>
          </cell>
          <cell r="G7059">
            <v>9431101890</v>
          </cell>
          <cell r="K7059" t="str">
            <v>BKHET70130</v>
          </cell>
        </row>
        <row r="7060">
          <cell r="E7060" t="str">
            <v>SHEETLA PRASAD SINGH,, MISHRA PADA, NEAR DURGA MANDIR,, JHARIA, DHANBAD - 828 111, JHARKHAND.</v>
          </cell>
          <cell r="G7060">
            <v>7644045555</v>
          </cell>
          <cell r="K7060" t="str">
            <v>BTDD162169</v>
          </cell>
        </row>
        <row r="7061">
          <cell r="E7061" t="str">
            <v>NTA LODNA, DHANBAD</v>
          </cell>
          <cell r="G7061">
            <v>7644045555</v>
          </cell>
          <cell r="K7061" t="str">
            <v>BULD162559</v>
          </cell>
        </row>
        <row r="7062">
          <cell r="E7062" t="str">
            <v>BAGODAR
GIRIDIH</v>
          </cell>
          <cell r="G7062">
            <v>7761032448</v>
          </cell>
          <cell r="K7062" t="str">
            <v>BUDS034763</v>
          </cell>
        </row>
        <row r="7063">
          <cell r="E7063" t="str">
            <v>BALIDIH INDUSTRIAL AREA
827014</v>
          </cell>
          <cell r="G7063">
            <v>8619424665</v>
          </cell>
          <cell r="K7063" t="str">
            <v>BTDS044313</v>
          </cell>
        </row>
        <row r="7064">
          <cell r="E7064" t="str">
            <v>KOKAR INDUSTRIAL AREA,,RANCHI
834002
KOKAR INDUSTRIAL AREA RANCHI</v>
          </cell>
          <cell r="G7064">
            <v>9431101890</v>
          </cell>
          <cell r="K7064" t="str">
            <v>BKHET70130</v>
          </cell>
        </row>
        <row r="7065">
          <cell r="E7065" t="str">
            <v>HATIA PATHAR ZILA SCHOOL ROAD DUMKA JHARKHAND
834002</v>
          </cell>
          <cell r="G7065">
            <v>9304236649</v>
          </cell>
          <cell r="K7065" t="str">
            <v>BTEC378536</v>
          </cell>
        </row>
        <row r="7066">
          <cell r="E7066" t="str">
            <v>DALADALI, RANCHUI</v>
          </cell>
          <cell r="G7066">
            <v>7992413342</v>
          </cell>
          <cell r="K7066" t="str">
            <v>BMJD200014</v>
          </cell>
        </row>
        <row r="7067">
          <cell r="E7067" t="str">
            <v>GOLA RAMGARH,
829001
GOLA RAMGARH</v>
          </cell>
          <cell r="G7067">
            <v>9978928888</v>
          </cell>
          <cell r="K7067" t="str">
            <v>BHDS040187</v>
          </cell>
        </row>
        <row r="7068">
          <cell r="E7068" t="str">
            <v>KOKAR
834001</v>
          </cell>
          <cell r="G7068">
            <v>9771457002</v>
          </cell>
          <cell r="K7068" t="str">
            <v>BSDC375892</v>
          </cell>
        </row>
        <row r="7069">
          <cell r="E7069" t="str">
            <v>9.P .INDUSTRIAL AREA  KOKAR, RANCHI, TIN-20880200515
9.P .INDUSTRIAL AREA  KOKAR, RANCHI, TIN-20880200515
834001</v>
          </cell>
          <cell r="G7069">
            <v>9955178750</v>
          </cell>
          <cell r="K7069" t="str">
            <v>BTGS031205</v>
          </cell>
        </row>
        <row r="7070">
          <cell r="E7070" t="str">
            <v>AT. BONGABAR, SANDI, RAMGARH, AMC  FROM 1-8-2019 TO 30-7-2020
829122
SANDI ,</v>
          </cell>
          <cell r="G7070">
            <v>7004344365</v>
          </cell>
          <cell r="K7070" t="str">
            <v>BLGS040605</v>
          </cell>
        </row>
        <row r="7071">
          <cell r="E7071" t="str">
            <v>TUPUDANA INDUSTRIAL AREA</v>
          </cell>
          <cell r="G7071">
            <v>9534249500</v>
          </cell>
          <cell r="K7071" t="str">
            <v>BMBS030816</v>
          </cell>
        </row>
        <row r="7072">
          <cell r="E7072" t="str">
            <v>RAMGARH</v>
          </cell>
          <cell r="G7072">
            <v>7009377365</v>
          </cell>
          <cell r="K7072" t="str">
            <v>BKAS030601</v>
          </cell>
        </row>
        <row r="7073">
          <cell r="E7073" t="str">
            <v>MARAR, RAMGARH, JHARKHAND
MARRAR RAMGARH, 9155729786
829117
MARAR</v>
          </cell>
          <cell r="G7073">
            <v>9204780801</v>
          </cell>
          <cell r="K7073" t="str">
            <v>BMIS031759</v>
          </cell>
        </row>
        <row r="7074">
          <cell r="E7074" t="str">
            <v>PALAMU DAIRY PROJECT, VILL- GANKI</v>
          </cell>
          <cell r="G7074">
            <v>9410009258</v>
          </cell>
          <cell r="K7074" t="str">
            <v>BULC370926</v>
          </cell>
        </row>
        <row r="7075">
          <cell r="E7075" t="str">
            <v>PALAMU DAIRY PROJECT, VILL- GANKI</v>
          </cell>
          <cell r="G7075">
            <v>9410009258</v>
          </cell>
          <cell r="K7075" t="str">
            <v>BULC370790</v>
          </cell>
        </row>
        <row r="7076">
          <cell r="E7076" t="str">
            <v>SIDRAUL, NAMKUM, RANCHI
834010
SIDRAUL, NAMKUM, RANCHI</v>
          </cell>
          <cell r="G7076">
            <v>8051011919</v>
          </cell>
          <cell r="K7076" t="str">
            <v>UOHS030121</v>
          </cell>
        </row>
        <row r="7077">
          <cell r="E7077" t="str">
            <v>SIDRAUL, NAMKUM, RANCHI
834010
SIDRAUL, NAMKUM, RANCHI</v>
          </cell>
          <cell r="G7077">
            <v>8877172788</v>
          </cell>
          <cell r="K7077" t="str">
            <v>UOIS030128</v>
          </cell>
        </row>
        <row r="7078">
          <cell r="E7078" t="str">
            <v>RAMGARH</v>
          </cell>
          <cell r="G7078">
            <v>7009377365</v>
          </cell>
          <cell r="K7078" t="str">
            <v>BKAS030601</v>
          </cell>
        </row>
        <row r="7079">
          <cell r="E7079" t="str">
            <v>RERWA SISAI,GUMLA
RERWA SISAI, GUMLA,, JHRKHAND
835207</v>
          </cell>
          <cell r="G7079">
            <v>9122677000</v>
          </cell>
          <cell r="K7079" t="str">
            <v>BTCS030119</v>
          </cell>
        </row>
        <row r="7080">
          <cell r="E7080" t="str">
            <v>SAHIBGANJ</v>
          </cell>
          <cell r="G7080">
            <v>9936811168</v>
          </cell>
          <cell r="K7080" t="str">
            <v>BSID161973</v>
          </cell>
        </row>
        <row r="7081">
          <cell r="E7081" t="str">
            <v>BARKAKANA, RAMGRAH</v>
          </cell>
          <cell r="G7081">
            <v>9771445146</v>
          </cell>
          <cell r="K7081" t="str">
            <v>EUES035194</v>
          </cell>
        </row>
        <row r="7082">
          <cell r="E7082" t="str">
            <v>PLOT NO 716,VILL-RUKKA,
835219</v>
          </cell>
          <cell r="G7082">
            <v>9791019799</v>
          </cell>
          <cell r="K7082" t="str">
            <v>BSKS036366</v>
          </cell>
        </row>
        <row r="7083">
          <cell r="E7083" t="str">
            <v>SHOP NO. 201, MODI HEIGHTS, PHASE 2
OPPO. RADIO STATION
834001</v>
          </cell>
          <cell r="G7083">
            <v>9264474899</v>
          </cell>
          <cell r="K7083" t="str">
            <v>BTHC379417</v>
          </cell>
        </row>
        <row r="7084">
          <cell r="E7084" t="str">
            <v>UPPER BAZAR,RANCHI
834001
OPP. MAHAVIR MANDIR , RADHA NAGAR ROAD</v>
          </cell>
          <cell r="G7084">
            <v>790969824</v>
          </cell>
          <cell r="K7084" t="str">
            <v>GOHC370805</v>
          </cell>
        </row>
        <row r="7085">
          <cell r="E7085" t="str">
            <v>KOKAR INDUSTRIAL AREA,RANCHI
834002
KOKAR INDUSTRIAL AREA</v>
          </cell>
          <cell r="G7085">
            <v>9771441275</v>
          </cell>
          <cell r="K7085" t="str">
            <v>BRKC371988</v>
          </cell>
        </row>
        <row r="7086">
          <cell r="E7086" t="str">
            <v>ANGAR PATRA,DHANBAD</v>
          </cell>
          <cell r="G7086">
            <v>8210106692</v>
          </cell>
          <cell r="K7086" t="str">
            <v>BSDD161729</v>
          </cell>
        </row>
        <row r="7087">
          <cell r="E7087" t="str">
            <v>KHASHMAHAL PROJECT CCL, BERMO, PHUSHRO, JHARKHAND</v>
          </cell>
          <cell r="G7087">
            <v>9348331797</v>
          </cell>
          <cell r="K7087" t="str">
            <v>BULD162561</v>
          </cell>
        </row>
        <row r="7088">
          <cell r="E7088" t="str">
            <v>KUSUNDA DHANBAD</v>
          </cell>
          <cell r="G7088">
            <v>8210106692</v>
          </cell>
          <cell r="K7088" t="str">
            <v>BQCD160129</v>
          </cell>
        </row>
        <row r="7089">
          <cell r="E7089" t="str">
            <v>KATHITAR,RANCHI
KATHITAR,RANCHI
834004
KATHITAR,</v>
          </cell>
          <cell r="G7089">
            <v>7004709540</v>
          </cell>
          <cell r="K7089" t="str">
            <v>GPGC370774</v>
          </cell>
        </row>
        <row r="7090">
          <cell r="E7090" t="str">
            <v>KATHITAR,RANCHI
KATHITAR,RANCHI
834004
KATHITAR,</v>
          </cell>
          <cell r="G7090">
            <v>7004709540</v>
          </cell>
          <cell r="K7090" t="str">
            <v>BSFC376340</v>
          </cell>
        </row>
        <row r="7091">
          <cell r="E7091" t="str">
            <v>PLOT NO 716,VILL-RUKKA,
835219</v>
          </cell>
          <cell r="G7091">
            <v>9791019799</v>
          </cell>
          <cell r="K7091" t="str">
            <v>BSKS036366</v>
          </cell>
        </row>
        <row r="7092">
          <cell r="E7092" t="str">
            <v>PLOT NO 716,VILL-RUKKA,
835219</v>
          </cell>
          <cell r="G7092">
            <v>9791019799</v>
          </cell>
          <cell r="K7092" t="str">
            <v>BSKS036365</v>
          </cell>
        </row>
        <row r="7093">
          <cell r="E7093" t="str">
            <v>C/O - SUJIT KUMAR, SAHAJANAND NAGAR, H. NO. -121, RANI ROAD, BHUDA, BARMASIA,, DHANBAD</v>
          </cell>
          <cell r="G7093">
            <v>9334537849</v>
          </cell>
          <cell r="K7093" t="str">
            <v>BTED200706</v>
          </cell>
        </row>
        <row r="7094">
          <cell r="E7094" t="str">
            <v>KODERMA</v>
          </cell>
          <cell r="G7094">
            <v>7250369017</v>
          </cell>
          <cell r="K7094" t="str">
            <v>BIJS030062</v>
          </cell>
        </row>
        <row r="7095">
          <cell r="E7095" t="str">
            <v>KODERMA, JHARKHAND</v>
          </cell>
          <cell r="G7095">
            <v>6205630431</v>
          </cell>
          <cell r="K7095" t="str">
            <v>BKCS031162</v>
          </cell>
        </row>
        <row r="7096">
          <cell r="E7096" t="str">
            <v>HESLA,RAMGARH
829101</v>
          </cell>
          <cell r="G7096">
            <v>7526823341</v>
          </cell>
          <cell r="K7096" t="str">
            <v>BSJS035917</v>
          </cell>
        </row>
        <row r="7097">
          <cell r="E7097" t="str">
            <v>GROUND FLOOR, 8H AND 81, NATION PRINTERS, NAMKUM INDUSTRIAL AREA,, LOWADIH, RANCHI
GROUND FLOOR, 8H AND 81, NATION PRINTERS, NAMKUM INDUSTRIAL AREA,, LOWADIH, RANCHI
834010</v>
          </cell>
          <cell r="G7097">
            <v>9386895542</v>
          </cell>
          <cell r="K7097" t="str">
            <v>BRCC372871</v>
          </cell>
        </row>
        <row r="7098">
          <cell r="E7098" t="str">
            <v>HESLA,RAMGARH
829101</v>
          </cell>
          <cell r="G7098">
            <v>8862948833</v>
          </cell>
          <cell r="K7098" t="str">
            <v>BSDS037710</v>
          </cell>
        </row>
        <row r="7099">
          <cell r="E7099" t="str">
            <v>KODERMA
825410</v>
          </cell>
          <cell r="G7099">
            <v>7070098712</v>
          </cell>
          <cell r="K7099" t="str">
            <v>BLIS040713</v>
          </cell>
        </row>
        <row r="7100">
          <cell r="E7100" t="str">
            <v>C/O URANIUM CORPORATION OF INDIA LIMITED, MOHULDIH MINES, SARAIKELA, KHARSAWAN</v>
          </cell>
          <cell r="G7100">
            <v>7000299687</v>
          </cell>
          <cell r="K7100" t="str">
            <v>BUAL160594</v>
          </cell>
        </row>
        <row r="7101">
          <cell r="E7101" t="str">
            <v>NTA LODNA, DHANBAD</v>
          </cell>
          <cell r="G7101">
            <v>7644045555</v>
          </cell>
          <cell r="K7101" t="str">
            <v>BULD162559</v>
          </cell>
        </row>
        <row r="7102">
          <cell r="E7102" t="str">
            <v>DUDUCA
SUNDERNAGAR
770001</v>
          </cell>
          <cell r="G7102">
            <v>9835435318</v>
          </cell>
          <cell r="K7102" t="str">
            <v>BTEC378413</v>
          </cell>
        </row>
        <row r="7103">
          <cell r="E7103" t="str">
            <v>NAYATOLI, SIMALIYA, RANCHI</v>
          </cell>
          <cell r="G7103">
            <v>9031000550</v>
          </cell>
          <cell r="K7103" t="str">
            <v>BUFC372833</v>
          </cell>
        </row>
        <row r="7104">
          <cell r="E7104" t="str">
            <v>MANDU, RAMGARH
JAISWAL COLONY, THANA CHOW,, RAMGARH CANTT. DIST. RAMGARH, JHARKHAND
825316
MANDU</v>
          </cell>
          <cell r="G7104">
            <v>6205951815</v>
          </cell>
          <cell r="K7104" t="str">
            <v>BSGS043528</v>
          </cell>
        </row>
        <row r="7105">
          <cell r="E7105" t="str">
            <v>CHANDRAPURA BRIDGE, BOKARO</v>
          </cell>
          <cell r="G7105">
            <v>8838396911</v>
          </cell>
          <cell r="K7105" t="str">
            <v>BRFD230245</v>
          </cell>
        </row>
        <row r="7106">
          <cell r="E7106" t="str">
            <v>DEMO TANND HAZAIBAGH JHARKHAND,
825301
DEMO TANND HAZAIBAGH JHARKHAND</v>
          </cell>
          <cell r="G7106">
            <v>7905424302</v>
          </cell>
          <cell r="K7106" t="str">
            <v>BMDS040417</v>
          </cell>
        </row>
        <row r="7107">
          <cell r="E7107" t="str">
            <v>SHYAMDIH, KATRAS</v>
          </cell>
          <cell r="G7107">
            <v>9835988493</v>
          </cell>
          <cell r="K7107" t="str">
            <v>BQCD160098</v>
          </cell>
        </row>
        <row r="7108">
          <cell r="E7108" t="str">
            <v>LOHARDAGAH</v>
          </cell>
          <cell r="G7108">
            <v>6203529137</v>
          </cell>
          <cell r="K7108" t="str">
            <v>BUFS046839</v>
          </cell>
        </row>
        <row r="7109">
          <cell r="E7109" t="str">
            <v>KOKAR INDUSTRIAL AREA,RANCHI
834001</v>
          </cell>
          <cell r="G7109">
            <v>9264445707</v>
          </cell>
          <cell r="K7109" t="str">
            <v>BPIC370386</v>
          </cell>
        </row>
        <row r="7110">
          <cell r="E7110" t="str">
            <v>HORHAP ROAD, MAHILONG, RANCHI
835103</v>
          </cell>
          <cell r="G7110">
            <v>9708039203</v>
          </cell>
          <cell r="K7110" t="str">
            <v>BRIC374329</v>
          </cell>
        </row>
        <row r="7111">
          <cell r="E7111" t="str">
            <v>DALTONGANJ, JHARKHAND
822101
DALTONGANJ</v>
          </cell>
          <cell r="G7111">
            <v>9123462802</v>
          </cell>
          <cell r="K7111" t="str">
            <v>BRJC371742</v>
          </cell>
        </row>
        <row r="7112">
          <cell r="E7112" t="str">
            <v>KODERMA</v>
          </cell>
          <cell r="G7112">
            <v>7004744698</v>
          </cell>
          <cell r="K7112" t="str">
            <v>BUES035290</v>
          </cell>
        </row>
        <row r="7113">
          <cell r="E7113" t="str">
            <v>REHLA,GARWA,JHARKHAND
822124
RANCHI</v>
          </cell>
          <cell r="G7113">
            <v>7004623399</v>
          </cell>
          <cell r="K7113" t="str">
            <v>GOIS031795</v>
          </cell>
        </row>
        <row r="7114">
          <cell r="E7114" t="str">
            <v>DHANBAD</v>
          </cell>
          <cell r="G7114">
            <v>6207308280</v>
          </cell>
          <cell r="K7114" t="str">
            <v>BTED162231</v>
          </cell>
        </row>
        <row r="7115">
          <cell r="E7115" t="str">
            <v>DHANBAD JHARKHAND</v>
          </cell>
          <cell r="G7115">
            <v>6203533052</v>
          </cell>
          <cell r="K7115" t="str">
            <v>BQKD160115</v>
          </cell>
        </row>
        <row r="7116">
          <cell r="E7116" t="str">
            <v>MANDU, RAMGARH
JAISWAL COLONY, THANA CHOW,, RAMGARH CANTT. DIST. RAMGARH, JHARKHAND
825316
MANDU</v>
          </cell>
          <cell r="G7116">
            <v>6205951815</v>
          </cell>
          <cell r="K7116" t="str">
            <v>BSGS043528</v>
          </cell>
        </row>
        <row r="7117">
          <cell r="E7117" t="str">
            <v>URMILA TOWER, ROOM NO. 805, DHANBAD</v>
          </cell>
          <cell r="G7117">
            <v>7979820721</v>
          </cell>
          <cell r="K7117" t="str">
            <v>BTGD162296</v>
          </cell>
        </row>
        <row r="7118">
          <cell r="E7118" t="str">
            <v>SONARDHI</v>
          </cell>
          <cell r="G7118">
            <v>7873039065</v>
          </cell>
          <cell r="K7118" t="str">
            <v>BRCD160940</v>
          </cell>
        </row>
        <row r="7119">
          <cell r="E7119" t="str">
            <v>C/O CREATIVE TEXTILES
KUNJLAL,UPPER BAZAR, RANCHI
834001</v>
          </cell>
          <cell r="G7119">
            <v>9534117916</v>
          </cell>
          <cell r="K7119" t="str">
            <v>BULC371071</v>
          </cell>
        </row>
        <row r="7120">
          <cell r="E7120" t="str">
            <v>ORMANJHI</v>
          </cell>
          <cell r="G7120">
            <v>7992479722</v>
          </cell>
          <cell r="K7120" t="str">
            <v>BSDD120664</v>
          </cell>
        </row>
        <row r="7121">
          <cell r="E7121" t="str">
            <v>AAMZAR, BALIAPUR ROAD, DHANBAD
AAMZAR, BALIAPUR ROAD, DHANBAD
000000</v>
          </cell>
          <cell r="G7121">
            <v>8789061377</v>
          </cell>
          <cell r="K7121" t="str">
            <v>BUES035210</v>
          </cell>
        </row>
        <row r="7122">
          <cell r="E7122" t="str">
            <v>GROUND AND 1 ST FLOOR, BESIDE DAINIK BHASKAR, GOVINDPUR ROAD, DIST :- DHANBAD
GROUND AND 1 ST FLOOR, BESIDE DAINIK BHASKAR, GOVINDPUR ROAD, DIST :- DHANBAD
828109</v>
          </cell>
          <cell r="G7122">
            <v>9955178750</v>
          </cell>
          <cell r="K7122" t="str">
            <v>BRES034488</v>
          </cell>
        </row>
        <row r="7123">
          <cell r="E7123" t="str">
            <v>BHOWRA</v>
          </cell>
          <cell r="G7123">
            <v>9488821418</v>
          </cell>
          <cell r="K7123" t="str">
            <v>BUDD162713</v>
          </cell>
        </row>
        <row r="7124">
          <cell r="E7124" t="str">
            <v>BAGODAR
GIRIDIH</v>
          </cell>
          <cell r="G7124">
            <v>9431503425</v>
          </cell>
          <cell r="K7124" t="str">
            <v>BUDS034763</v>
          </cell>
        </row>
        <row r="7125">
          <cell r="E7125" t="str">
            <v>CHHOTA, TANGARANI, SARAIKELA</v>
          </cell>
          <cell r="G7125">
            <v>9424125068</v>
          </cell>
          <cell r="K7125" t="str">
            <v>GPGD160208</v>
          </cell>
        </row>
        <row r="7126">
          <cell r="E7126" t="str">
            <v>RANCHI
834002</v>
          </cell>
          <cell r="G7126">
            <v>8877100129</v>
          </cell>
          <cell r="K7126" t="str">
            <v>BTIS032020</v>
          </cell>
        </row>
        <row r="7127">
          <cell r="E7127" t="str">
            <v>RANCHI
834002</v>
          </cell>
          <cell r="G7127">
            <v>6204720546</v>
          </cell>
          <cell r="K7127" t="str">
            <v>BULS033141</v>
          </cell>
        </row>
        <row r="7128">
          <cell r="E7128" t="str">
            <v>BASTAWLA DHANBAD</v>
          </cell>
          <cell r="G7128">
            <v>9550053031</v>
          </cell>
          <cell r="K7128" t="str">
            <v>BTJD162046</v>
          </cell>
        </row>
        <row r="7129">
          <cell r="E7129" t="str">
            <v>JHARIA, DHANBAD</v>
          </cell>
          <cell r="G7129">
            <v>7873039065</v>
          </cell>
          <cell r="K7129" t="str">
            <v>BRHD161304</v>
          </cell>
        </row>
        <row r="7130">
          <cell r="E7130" t="str">
            <v>RAMGARH
829103
NAYA MORE</v>
          </cell>
          <cell r="G7130">
            <v>8271433755</v>
          </cell>
          <cell r="K7130" t="str">
            <v>BPCS030196</v>
          </cell>
        </row>
        <row r="7131">
          <cell r="E7131" t="str">
            <v>NAYA MORE,RAMGARH
ARA SARU BERA ROAD, NAYA, RAMGARH,JHARKHAND
829110
NAYA MORE</v>
          </cell>
          <cell r="G7131">
            <v>8271433755</v>
          </cell>
          <cell r="K7131" t="str">
            <v>BQBS033796</v>
          </cell>
        </row>
        <row r="7132">
          <cell r="E7132" t="str">
            <v>UPPER BAZAR,RANCHI
834001
UPPER BAZAR,</v>
          </cell>
          <cell r="G7132">
            <v>8381069617</v>
          </cell>
          <cell r="K7132" t="str">
            <v>BRJC371828</v>
          </cell>
        </row>
        <row r="7133">
          <cell r="E7133" t="str">
            <v>HORHAP ROAD, MAHILONG, RANCHI
835103</v>
          </cell>
          <cell r="G7133">
            <v>9708039203</v>
          </cell>
          <cell r="K7133" t="str">
            <v>BRIC374329</v>
          </cell>
        </row>
        <row r="7134">
          <cell r="E7134" t="str">
            <v>DHANBAD</v>
          </cell>
          <cell r="G7134">
            <v>9550053031</v>
          </cell>
          <cell r="K7134" t="str">
            <v>BTDD162186</v>
          </cell>
        </row>
        <row r="7135">
          <cell r="E7135" t="str">
            <v>BASTAKOLA, DHANBAD</v>
          </cell>
          <cell r="G7135">
            <v>9550053031</v>
          </cell>
          <cell r="K7135" t="str">
            <v>BUKD162535</v>
          </cell>
        </row>
        <row r="7136">
          <cell r="E7136" t="str">
            <v>BASKATOLA</v>
          </cell>
          <cell r="G7136">
            <v>9550053031</v>
          </cell>
          <cell r="K7136" t="str">
            <v>BULD162577</v>
          </cell>
        </row>
        <row r="7137">
          <cell r="E7137" t="str">
            <v>JUMRI TELAIYA</v>
          </cell>
          <cell r="G7137">
            <v>9709270937</v>
          </cell>
          <cell r="K7137" t="str">
            <v>BUKC370499</v>
          </cell>
        </row>
        <row r="7138">
          <cell r="E7138" t="str">
            <v>KODERMA
825410</v>
          </cell>
          <cell r="G7138">
            <v>7070098712</v>
          </cell>
          <cell r="K7138" t="str">
            <v>BLIS040713</v>
          </cell>
        </row>
        <row r="7139">
          <cell r="E7139" t="str">
            <v>CHANDAREKHA, GALUDIH</v>
          </cell>
          <cell r="G7139">
            <v>7595807148</v>
          </cell>
          <cell r="K7139" t="str">
            <v>BRBD120810</v>
          </cell>
        </row>
        <row r="7140">
          <cell r="E7140" t="str">
            <v>ADITYAPUR, KANDRA ROAD
831013</v>
          </cell>
          <cell r="G7140">
            <v>9234771111</v>
          </cell>
          <cell r="K7140" t="str">
            <v>BMEC370377</v>
          </cell>
        </row>
        <row r="7141">
          <cell r="E7141" t="str">
            <v xml:space="preserve">TOPIN SOUTH  </v>
          </cell>
          <cell r="G7141">
            <v>9102994453</v>
          </cell>
          <cell r="K7141" t="str">
            <v>BSGD161864</v>
          </cell>
        </row>
        <row r="7142">
          <cell r="E7142" t="str">
            <v>SIMARIA, BEGUSARAI</v>
          </cell>
          <cell r="G7142">
            <v>6209571746</v>
          </cell>
          <cell r="K7142" t="str">
            <v>BSCD120656</v>
          </cell>
        </row>
        <row r="7143">
          <cell r="E7143" t="str">
            <v>LODNA</v>
          </cell>
          <cell r="G7143">
            <v>9550053031</v>
          </cell>
          <cell r="K7143" t="str">
            <v>BQKD160099</v>
          </cell>
        </row>
        <row r="7144">
          <cell r="E7144" t="str">
            <v>BASKATOLA</v>
          </cell>
          <cell r="G7144">
            <v>9550053031</v>
          </cell>
          <cell r="K7144" t="str">
            <v>BULD162568</v>
          </cell>
        </row>
        <row r="7145">
          <cell r="E7145" t="str">
            <v>BANDHTOLI, NAGRI</v>
          </cell>
          <cell r="G7145">
            <v>6201457979</v>
          </cell>
          <cell r="K7145" t="str">
            <v>BUFS046813</v>
          </cell>
        </row>
        <row r="7146">
          <cell r="E7146" t="str">
            <v>KOKAR INDUSTRIAL AREA, RANCHI
834002</v>
          </cell>
          <cell r="G7146">
            <v>7633885415</v>
          </cell>
          <cell r="K7146" t="str">
            <v>BRJS040951</v>
          </cell>
        </row>
        <row r="7147">
          <cell r="E7147" t="str">
            <v>BASTAKOLA, DHANBAD</v>
          </cell>
          <cell r="G7147">
            <v>9550053031</v>
          </cell>
          <cell r="K7147" t="str">
            <v>BUKD162535</v>
          </cell>
        </row>
        <row r="7148">
          <cell r="E7148" t="str">
            <v>HESLA,RAMGARH
829101</v>
          </cell>
          <cell r="G7148">
            <v>8862948833</v>
          </cell>
          <cell r="K7148" t="str">
            <v>BSDS037710</v>
          </cell>
        </row>
        <row r="7149">
          <cell r="E7149" t="str">
            <v>HESLA,RAMGARH
829101</v>
          </cell>
          <cell r="G7149">
            <v>8862948833</v>
          </cell>
          <cell r="K7149" t="str">
            <v>BSJS035917</v>
          </cell>
        </row>
        <row r="7150">
          <cell r="E7150" t="str">
            <v>MARAR, RAMGARH, JHARKHAND
MARRAR RAMGARH, 9155729786
829117
MARAR</v>
          </cell>
          <cell r="G7150">
            <v>9204780801</v>
          </cell>
          <cell r="K7150" t="str">
            <v>BMIS031759</v>
          </cell>
        </row>
        <row r="7151">
          <cell r="E7151" t="str">
            <v>TATISILWAI, JHARKHAND
835103</v>
          </cell>
          <cell r="G7151">
            <v>6200160428</v>
          </cell>
          <cell r="K7151" t="str">
            <v>BQGS031413</v>
          </cell>
        </row>
        <row r="7152">
          <cell r="E7152" t="str">
            <v>TATISILWAI, JHARKHAND
835103</v>
          </cell>
          <cell r="G7152">
            <v>6200160428</v>
          </cell>
          <cell r="K7152" t="str">
            <v>BQHS040705</v>
          </cell>
        </row>
        <row r="7153">
          <cell r="E7153" t="str">
            <v>SHYAMDIH, KATRAS</v>
          </cell>
          <cell r="G7153">
            <v>9835988493</v>
          </cell>
          <cell r="K7153" t="str">
            <v>BQCD160098</v>
          </cell>
        </row>
        <row r="7154">
          <cell r="E7154" t="str">
            <v>DEMO TANND HAZAIBAGH JHARKHAND,
825301
DEMO TANND HAZAIBAGH JHARKHAND</v>
          </cell>
          <cell r="G7154">
            <v>7905424302</v>
          </cell>
          <cell r="K7154" t="str">
            <v>BMDS040417</v>
          </cell>
        </row>
        <row r="7155">
          <cell r="E7155" t="str">
            <v>HORHAP ROAD, MAHILONG, RANCHI
835103
MAHILONG, TATISILWAI</v>
          </cell>
          <cell r="G7155">
            <v>9608787404</v>
          </cell>
          <cell r="K7155" t="str">
            <v>GPFC370737</v>
          </cell>
        </row>
        <row r="7156">
          <cell r="E7156" t="str">
            <v>DALTONGANJ, JHARKHAND
834002</v>
          </cell>
          <cell r="G7156">
            <v>7004363785</v>
          </cell>
          <cell r="K7156" t="str">
            <v>AUDC372226</v>
          </cell>
        </row>
        <row r="7157">
          <cell r="E7157" t="str">
            <v>HAZAM BASTI</v>
          </cell>
          <cell r="G7157">
            <v>7004992734</v>
          </cell>
          <cell r="K7157" t="str">
            <v>GOHS031629</v>
          </cell>
        </row>
        <row r="7158">
          <cell r="E7158" t="str">
            <v>GROUND AND 1 ST FLOOR, BESIDE DAINIK BHASKAR, GOVINDPUR ROAD, DIST :- DHANBAD
GROUND AND 1 ST FLOOR, BESIDE DAINIK BHASKAR, GOVINDPUR ROAD, DIST :- DHANBAD
828109</v>
          </cell>
          <cell r="G7158">
            <v>8210484005</v>
          </cell>
          <cell r="K7158" t="str">
            <v>BRJC371698</v>
          </cell>
        </row>
        <row r="7159">
          <cell r="E7159" t="str">
            <v>PLOT NO 716,VILL-RUKKA,
835219</v>
          </cell>
          <cell r="G7159">
            <v>9791019799</v>
          </cell>
          <cell r="K7159" t="str">
            <v>BSKS036365</v>
          </cell>
        </row>
        <row r="7160">
          <cell r="E7160" t="str">
            <v>PLOT NO 716,VILL-RUKKA,
835219</v>
          </cell>
          <cell r="G7160">
            <v>9791019799</v>
          </cell>
          <cell r="K7160" t="str">
            <v>BSKS036366</v>
          </cell>
        </row>
        <row r="7161">
          <cell r="E7161" t="str">
            <v>TATISIWAI INDUSTRIAL AREA, RANCHI
835103
TATISILWAY RANCHI</v>
          </cell>
          <cell r="G7161">
            <v>9934854302</v>
          </cell>
          <cell r="K7161" t="str">
            <v>BSAS036958</v>
          </cell>
        </row>
        <row r="7162">
          <cell r="E7162" t="str">
            <v>C/O - PREM PRAKASH AGARWAL, OPP - HILLVIEW FUEL STATION, GODHUR, P.O - KUSUNDA, DHANBAD</v>
          </cell>
          <cell r="G7162">
            <v>7903412157</v>
          </cell>
          <cell r="K7162" t="str">
            <v>BTED162217</v>
          </cell>
        </row>
        <row r="7163">
          <cell r="E7163" t="str">
            <v>REG. OFFICE: UNIT 106, MAHABIR TOWER, JOKHIRAM LANE, MAIN ROAD, RANCHI - 834 001
REG. OFFICE: UNIT 106, MAHABIR TOWER, JOKHIRAM LANE, MAIN ROAD, RANCHI - 834 001
835214</v>
          </cell>
          <cell r="G7163">
            <v>8340323546</v>
          </cell>
          <cell r="K7163" t="str">
            <v>BSDS043254</v>
          </cell>
        </row>
        <row r="7164">
          <cell r="E7164" t="str">
            <v>TUPUDANA INDUSTRIAL AREA, RANCHI
PLOT NO. - 45 &amp; 46, TUPUDAN AINDUSTRIAL AREA, TUPUDANA, HATIA, RANCHI
834003
TIPUDANA INDUSTRIAL AREA</v>
          </cell>
          <cell r="G7164">
            <v>8969744780</v>
          </cell>
          <cell r="K7164" t="str">
            <v>BQBS033819</v>
          </cell>
        </row>
        <row r="7165">
          <cell r="E7165" t="str">
            <v>DHANBAD</v>
          </cell>
          <cell r="G7165">
            <v>9263634493</v>
          </cell>
          <cell r="K7165" t="str">
            <v>BTCD162159</v>
          </cell>
        </row>
        <row r="7166">
          <cell r="E7166" t="str">
            <v>JAISWAL COLONY, THANA CHOW,, RAMGARH CANTT. DIST. RAMGARH, JHARKHAND</v>
          </cell>
          <cell r="G7166">
            <v>7004242956</v>
          </cell>
          <cell r="K7166" t="str">
            <v>All Units</v>
          </cell>
        </row>
        <row r="7167">
          <cell r="E7167" t="str">
            <v>MANDU, RAMGARH
JAISWAL COLONY, THANA CHOW,, RAMGARH CANTT. DIST. RAMGARH, JHARKHAND
825316
MANDU</v>
          </cell>
          <cell r="G7167">
            <v>7004242956</v>
          </cell>
          <cell r="K7167" t="str">
            <v>BTLS039748</v>
          </cell>
        </row>
        <row r="7168">
          <cell r="E7168" t="str">
            <v>CHANDAREKHA, GALUDIH</v>
          </cell>
          <cell r="G7168">
            <v>7595807148</v>
          </cell>
          <cell r="K7168" t="str">
            <v>BUKD121059</v>
          </cell>
        </row>
        <row r="7169">
          <cell r="E7169" t="str">
            <v>DHANBAD</v>
          </cell>
          <cell r="G7169">
            <v>6203273412</v>
          </cell>
          <cell r="K7169" t="str">
            <v>BTFD162244</v>
          </cell>
        </row>
        <row r="7170">
          <cell r="E7170" t="str">
            <v>RAVULA SHYAM SUNDER REDDY, HOUSE NO. 3-5-196/1, ROAD NO. 5M, KRISHNANAGAR COLONY, MOULALI, HYDRABAD</v>
          </cell>
          <cell r="G7170">
            <v>6203273412</v>
          </cell>
          <cell r="K7170" t="str">
            <v>BSCD161691</v>
          </cell>
        </row>
        <row r="7171">
          <cell r="E7171" t="str">
            <v>KUSUNDA DHANBAD</v>
          </cell>
          <cell r="G7171">
            <v>8210106692</v>
          </cell>
          <cell r="K7171" t="str">
            <v>BRDD161036</v>
          </cell>
        </row>
        <row r="7172">
          <cell r="E7172" t="str">
            <v>SUNDAR NAGAR, JAMSHEDPUR</v>
          </cell>
          <cell r="G7172">
            <v>9556546094</v>
          </cell>
          <cell r="K7172" t="str">
            <v>BUAD162625</v>
          </cell>
        </row>
        <row r="7173">
          <cell r="E7173" t="str">
            <v>HORHAP ROAD, MAHILONG, RANCHI
835103</v>
          </cell>
          <cell r="G7173">
            <v>9708039203</v>
          </cell>
          <cell r="K7173" t="str">
            <v>BRIC374329</v>
          </cell>
        </row>
        <row r="7174">
          <cell r="E7174" t="str">
            <v>BHOWRA</v>
          </cell>
          <cell r="G7174">
            <v>9488821418</v>
          </cell>
          <cell r="K7174" t="str">
            <v>BUDD162713</v>
          </cell>
        </row>
        <row r="7175">
          <cell r="E7175" t="str">
            <v>PIPARWAR,JHARKHAND
BAHERA, BENTI, PIPARWAR, CHATRA
825321</v>
          </cell>
          <cell r="G7175">
            <v>8709324527</v>
          </cell>
          <cell r="K7175" t="str">
            <v>BRGC373918</v>
          </cell>
        </row>
        <row r="7176">
          <cell r="E7176" t="str">
            <v>DALADALI, RANCHUI</v>
          </cell>
          <cell r="G7176">
            <v>7992413342</v>
          </cell>
          <cell r="K7176" t="str">
            <v>BMJD200014</v>
          </cell>
        </row>
        <row r="7177">
          <cell r="E7177" t="str">
            <v>SUNDAR NAGAR, JAMSHEDPUR</v>
          </cell>
          <cell r="G7177">
            <v>9556546094</v>
          </cell>
          <cell r="K7177" t="str">
            <v>BUAD162625</v>
          </cell>
        </row>
        <row r="7178">
          <cell r="E7178" t="str">
            <v>ORMANJHI,RANCHI
835219</v>
          </cell>
          <cell r="G7178">
            <v>7488802600</v>
          </cell>
          <cell r="K7178" t="str">
            <v>BSGC376577</v>
          </cell>
        </row>
        <row r="7179">
          <cell r="E7179" t="str">
            <v>MANDU, RAMGARH
JAISWAL COLONY, THANA CHOW,, RAMGARH CANTT. DIST. RAMGARH, JHARKHAND
825316
MANDU</v>
          </cell>
          <cell r="G7179">
            <v>7004242956</v>
          </cell>
          <cell r="K7179" t="str">
            <v>BTLS039748</v>
          </cell>
        </row>
        <row r="7180">
          <cell r="E7180" t="str">
            <v>MANDU, RAMGARH
JAISWAL COLONY, THANA CHOW,, RAMGARH CANTT. DIST. RAMGARH, JHARKHAND
825316
MANDU</v>
          </cell>
          <cell r="G7180">
            <v>7004242956</v>
          </cell>
          <cell r="K7180" t="str">
            <v>BTLS039719</v>
          </cell>
        </row>
        <row r="7181">
          <cell r="E7181" t="str">
            <v>Chiturdih, Dhanbad.</v>
          </cell>
          <cell r="G7181">
            <v>7024084588</v>
          </cell>
          <cell r="K7181" t="str">
            <v>BTDD162192</v>
          </cell>
        </row>
        <row r="7182">
          <cell r="E7182" t="str">
            <v>KATRAS, DHANBAD</v>
          </cell>
          <cell r="G7182">
            <v>6203273412</v>
          </cell>
          <cell r="K7182" t="str">
            <v>BSKD161477</v>
          </cell>
        </row>
        <row r="7183">
          <cell r="E7183" t="str">
            <v>DHANBAD</v>
          </cell>
          <cell r="G7183">
            <v>6207308280</v>
          </cell>
          <cell r="K7183" t="str">
            <v>BTED162231</v>
          </cell>
        </row>
        <row r="7184">
          <cell r="E7184" t="str">
            <v>DHANBAD</v>
          </cell>
          <cell r="G7184">
            <v>8102325605</v>
          </cell>
          <cell r="K7184" t="str">
            <v>BSGD161904</v>
          </cell>
        </row>
        <row r="7185">
          <cell r="E7185" t="str">
            <v>HAWAI NAGAR,NEAR BIRSA CHOWK KHUTI ROAD RANCHI JHARKHAND
834002</v>
          </cell>
          <cell r="G7185">
            <v>7992424370</v>
          </cell>
          <cell r="K7185" t="str">
            <v>BUEC372458</v>
          </cell>
        </row>
        <row r="7186">
          <cell r="E7186" t="str">
            <v>PIPARWAR,JHARKHAND
BAHERA, BENTI, PIPARWAR, CHATRA
825321</v>
          </cell>
          <cell r="G7186">
            <v>790337707</v>
          </cell>
          <cell r="K7186" t="str">
            <v>BRGC373918</v>
          </cell>
        </row>
        <row r="7187">
          <cell r="E7187" t="str">
            <v>UPPER BAZAR,RANCHI
834001
OPP. MAHAVIR MANDIR , RADHA NAGAR ROAD</v>
          </cell>
          <cell r="G7187">
            <v>790969824</v>
          </cell>
          <cell r="K7187" t="str">
            <v>GOHC370805</v>
          </cell>
        </row>
        <row r="7188">
          <cell r="E7188" t="str">
            <v>CHANDAREKHA, GALUDIH</v>
          </cell>
          <cell r="G7188">
            <v>7595807148</v>
          </cell>
          <cell r="K7188" t="str">
            <v>BUKD121059</v>
          </cell>
        </row>
        <row r="7189">
          <cell r="E7189" t="str">
            <v>DALADALI, RANCHUI</v>
          </cell>
          <cell r="G7189">
            <v>7992413342</v>
          </cell>
          <cell r="K7189" t="str">
            <v>BMJD200014</v>
          </cell>
        </row>
        <row r="7190">
          <cell r="E7190" t="str">
            <v>HORHAP ROAD, MAHILONG, RANCHI
835103
MAHILONG, TATISILWAI</v>
          </cell>
          <cell r="G7190">
            <v>9608787404</v>
          </cell>
          <cell r="K7190" t="str">
            <v>GPFC370737</v>
          </cell>
        </row>
        <row r="7191">
          <cell r="E7191" t="str">
            <v>GOVINDPUR, DHANBAD</v>
          </cell>
          <cell r="G7191">
            <v>9364474690</v>
          </cell>
          <cell r="K7191" t="str">
            <v>BJFS031286</v>
          </cell>
        </row>
        <row r="7192">
          <cell r="E7192" t="str">
            <v>AL-MED EQUIPMENTS
BARIATU ROAD, RANCHI
834009</v>
          </cell>
          <cell r="G7192">
            <v>7715855380</v>
          </cell>
          <cell r="K7192" t="str">
            <v>BUBS045901</v>
          </cell>
        </row>
        <row r="7193">
          <cell r="E7193" t="str">
            <v>SARNATOLI,ANGADA,RANCHI
835222</v>
          </cell>
          <cell r="G7193">
            <v>9661709592</v>
          </cell>
          <cell r="K7193" t="str">
            <v>BOIC370255</v>
          </cell>
        </row>
        <row r="7194">
          <cell r="E7194" t="str">
            <v>SARNATOLI,ANGADA,RANCHI
835222</v>
          </cell>
          <cell r="G7194">
            <v>9798563448</v>
          </cell>
          <cell r="K7194" t="str">
            <v>BSAF110719</v>
          </cell>
        </row>
        <row r="7195">
          <cell r="E7195" t="str">
            <v>DALADALI, RANCHI</v>
          </cell>
          <cell r="G7195">
            <v>9487713345</v>
          </cell>
          <cell r="K7195" t="str">
            <v>BSHD200586</v>
          </cell>
        </row>
        <row r="7196">
          <cell r="E7196" t="str">
            <v>DHANBAD</v>
          </cell>
          <cell r="G7196">
            <v>9550053031</v>
          </cell>
          <cell r="K7196" t="str">
            <v>BTDD162186</v>
          </cell>
        </row>
        <row r="7197">
          <cell r="E7197" t="str">
            <v>PATAN, PALAMU</v>
          </cell>
          <cell r="G7197">
            <v>9574817452</v>
          </cell>
          <cell r="K7197" t="str">
            <v>BQHO160408</v>
          </cell>
        </row>
        <row r="7198">
          <cell r="E7198" t="str">
            <v>RAMNAGAR , HAZARIBAGH,JHARKHAND
825302</v>
          </cell>
          <cell r="G7198">
            <v>6204085531</v>
          </cell>
          <cell r="K7198" t="str">
            <v>BQAC373617</v>
          </cell>
        </row>
        <row r="7199">
          <cell r="E7199" t="str">
            <v>HAZARIBAGH
RANCHI JHARKHAND 834002
INDIA</v>
          </cell>
          <cell r="G7199">
            <v>7361044448</v>
          </cell>
          <cell r="K7199" t="str">
            <v>BKAS030685</v>
          </cell>
        </row>
        <row r="7200">
          <cell r="E7200" t="str">
            <v>HAWAI NAGAR,NEAR BIRSA CHOWK KHUTI ROAD RANCHI JHARKHAND
834002</v>
          </cell>
          <cell r="G7200">
            <v>9060386093</v>
          </cell>
          <cell r="K7200" t="str">
            <v>BUEC372458</v>
          </cell>
        </row>
        <row r="7201">
          <cell r="E7201" t="str">
            <v>B7-PHASE-3, BALIDIH INDUSTRIAL AREA BALIDIH, BOKARO STEEL CITY BOKARO, JHARKHAND
SUNDARAM STEELS PVT. LTD, B-7 PHASE-III,BOKARO INDUSTRIAL AREA,BALIDIH, BOKARO
827014</v>
          </cell>
          <cell r="G7201">
            <v>8001371916</v>
          </cell>
          <cell r="K7201" t="str">
            <v>BTHS031467</v>
          </cell>
        </row>
        <row r="7202">
          <cell r="E7202" t="str">
            <v>DHANBAD</v>
          </cell>
          <cell r="G7202">
            <v>9550053031</v>
          </cell>
          <cell r="K7202" t="str">
            <v>BTDD162186</v>
          </cell>
        </row>
        <row r="7203">
          <cell r="E7203" t="str">
            <v>MANDU, RAMGARH
JAISWAL COLONY, THANA CHOW,, RAMGARH CANTT. DIST. RAMGARH, JHARKHAND
825316
MANDU</v>
          </cell>
          <cell r="G7203">
            <v>8708249759</v>
          </cell>
          <cell r="K7203" t="str">
            <v>BTLS039851</v>
          </cell>
        </row>
        <row r="7204">
          <cell r="E7204" t="str">
            <v>MANDU, RAMGARH
JAISWAL COLONY, THANA CHOW,, RAMGARH CANTT. DIST. RAMGARH, JHARKHAND
825316
MANDU</v>
          </cell>
          <cell r="G7204">
            <v>8340671937</v>
          </cell>
          <cell r="K7204" t="str">
            <v>BTLS039748</v>
          </cell>
        </row>
        <row r="7205">
          <cell r="E7205" t="str">
            <v>MANDU, RAMGARH
JAISWAL COLONY, THANA CHOW,, RAMGARH CANTT. DIST. RAMGARH, JHARKHAND
825316
MANDU</v>
          </cell>
          <cell r="G7205">
            <v>7004242951</v>
          </cell>
          <cell r="K7205" t="str">
            <v>BTLS039793</v>
          </cell>
        </row>
        <row r="7206">
          <cell r="E7206" t="str">
            <v>MANDU, RAMGARH
JAISWAL COLONY, THANA CHOW,, RAMGARH CANTT. DIST. RAMGARH, JHARKHAND
825316
MANDU</v>
          </cell>
          <cell r="G7206">
            <v>8340671937</v>
          </cell>
          <cell r="K7206" t="str">
            <v>BTLS039719</v>
          </cell>
        </row>
        <row r="7207">
          <cell r="E7207" t="str">
            <v>MANDU, RAMGARH
JAISWAL COLONY, THANA CHOW,, RAMGARH CANTT. DIST. RAMGARH, JHARKHAND
825316
MANDU</v>
          </cell>
          <cell r="G7207">
            <v>8708249759</v>
          </cell>
          <cell r="K7207" t="str">
            <v>BTLS039787</v>
          </cell>
        </row>
        <row r="7208">
          <cell r="E7208" t="str">
            <v>REG. OFFICE: UNIT 106, MAHABIR TOWER, JOKHIRAM LANE, MAIN ROAD, RANCHI - 834 001
REG. OFFICE: UNIT 106, MAHABIR TOWER, JOKHIRAM LANE, MAIN ROAD, RANCHI - 834 001
835214</v>
          </cell>
          <cell r="G7208">
            <v>8340323546</v>
          </cell>
          <cell r="K7208" t="str">
            <v>BSDS043254</v>
          </cell>
        </row>
        <row r="7209">
          <cell r="E7209" t="str">
            <v>JASIDIH, DEOGHAR
814142</v>
          </cell>
          <cell r="G7209">
            <v>9204662456</v>
          </cell>
          <cell r="K7209" t="str">
            <v>BSEC376083</v>
          </cell>
        </row>
        <row r="7210">
          <cell r="E7210" t="str">
            <v>TILAIYA,KODARMA
825409
TILAIYA</v>
          </cell>
          <cell r="G7210">
            <v>7739220875</v>
          </cell>
          <cell r="K7210" t="str">
            <v>BQJC370018</v>
          </cell>
        </row>
        <row r="7211">
          <cell r="E7211" t="str">
            <v>LAKHISARAI, BIHAR</v>
          </cell>
          <cell r="G7211">
            <v>9874278005</v>
          </cell>
          <cell r="K7211" t="str">
            <v>BNJS040045</v>
          </cell>
        </row>
        <row r="7212">
          <cell r="E7212" t="str">
            <v>VINAIKA’S COMPLEX RANCHI TATA ROAD, R.S. PLOT NO.:-615,VILLAGE-PANCHA,THANA-BUNDU RANCHI, JHARKHAND.
834002</v>
          </cell>
          <cell r="G7212">
            <v>9667936357</v>
          </cell>
          <cell r="K7212" t="str">
            <v>BUDS046275</v>
          </cell>
        </row>
        <row r="7213">
          <cell r="E7213" t="str">
            <v>SADAR HOSPITAL, BOKARO, C/O L &amp; T LTD. BOKARO, JHARKHAND
C/O L &amp; T LTD. BOKARO, JHARKHAND
000000</v>
          </cell>
          <cell r="G7213">
            <v>9430780521</v>
          </cell>
          <cell r="K7213" t="str">
            <v>BUCS046101</v>
          </cell>
        </row>
        <row r="7214">
          <cell r="E7214" t="str">
            <v>SADAR HOSPITAL, BOKARO, C/O L &amp; T LTD. BOKARO, JHARKHAND
C/O L &amp; T LTD. BOKARO, JHARKHAND
000000</v>
          </cell>
          <cell r="G7214">
            <v>9430780521</v>
          </cell>
          <cell r="K7214" t="str">
            <v>BUCS046173</v>
          </cell>
        </row>
        <row r="7215">
          <cell r="E7215" t="str">
            <v>SADAR HOSPITAL, BOKARO, C/O L &amp; T LTD. BOKARO, JHARKHAND
C/O L &amp; T LTD. BOKARO, JHARKHAND
000000</v>
          </cell>
          <cell r="G7215">
            <v>9430780521</v>
          </cell>
          <cell r="K7215" t="str">
            <v>BUBS045933</v>
          </cell>
        </row>
        <row r="7216">
          <cell r="E7216" t="str">
            <v>KODERMA</v>
          </cell>
          <cell r="G7216">
            <v>9163544700</v>
          </cell>
          <cell r="K7216" t="str">
            <v>GPLS038458</v>
          </cell>
        </row>
        <row r="7217">
          <cell r="E7217" t="str">
            <v>LAKHISARAI BIHAR</v>
          </cell>
          <cell r="G7217">
            <v>7909027488</v>
          </cell>
          <cell r="K7217" t="str">
            <v>BNJS040074</v>
          </cell>
        </row>
        <row r="7218">
          <cell r="E7218" t="str">
            <v>BAZAR SAMITI,RAMGARH
829122</v>
          </cell>
          <cell r="G7218">
            <v>9835764965</v>
          </cell>
          <cell r="K7218" t="str">
            <v>BTGC379081</v>
          </cell>
        </row>
        <row r="7219">
          <cell r="E7219" t="str">
            <v>RANCHI,JHARKHAND
834001
RANCHI</v>
          </cell>
          <cell r="G7219">
            <v>9431571200</v>
          </cell>
          <cell r="K7219" t="str">
            <v>BJHS031586</v>
          </cell>
        </row>
        <row r="7220">
          <cell r="E7220" t="str">
            <v>JASIDIH, DEOGHAR
814142</v>
          </cell>
          <cell r="G7220">
            <v>9204662456</v>
          </cell>
          <cell r="K7220" t="str">
            <v>BSEC376083</v>
          </cell>
        </row>
        <row r="7221">
          <cell r="E7221" t="str">
            <v>S/O BADRI NAYAK, ATKA, BAGODAR, GIRIDIH,
S/O - BADRI NAYAK, ATKA, BAGODAR,GIRIDIH,
825322</v>
          </cell>
          <cell r="G7221">
            <v>8873384366</v>
          </cell>
          <cell r="K7221" t="str">
            <v>BUKC370656</v>
          </cell>
        </row>
        <row r="7222">
          <cell r="E7222" t="str">
            <v>DHANBAD</v>
          </cell>
          <cell r="G7222">
            <v>9263634493</v>
          </cell>
          <cell r="K7222" t="str">
            <v>BTCD162159</v>
          </cell>
        </row>
        <row r="7223">
          <cell r="E7223" t="str">
            <v>SADAR HOSPITAL, BOKARO, C/O L &amp; T LTD. BOKARO, JHARKHAND
C/O L &amp; T LTD. BOKARO, JHARKHAND
000000</v>
          </cell>
          <cell r="G7223">
            <v>9430780521</v>
          </cell>
          <cell r="K7223" t="str">
            <v>BUBS045931</v>
          </cell>
        </row>
        <row r="7224">
          <cell r="E7224" t="str">
            <v>RAMGARH,JHARKHAND
829122</v>
          </cell>
          <cell r="G7224">
            <v>9934012694</v>
          </cell>
          <cell r="K7224" t="str">
            <v>BPAS030126</v>
          </cell>
        </row>
        <row r="7225">
          <cell r="E7225" t="str">
            <v>HORHAP ROAD, MAHILONG, RANCHI
835103
MAHILONG, TATISILWAI</v>
          </cell>
          <cell r="G7225">
            <v>9608787404</v>
          </cell>
          <cell r="K7225" t="str">
            <v>GPFC370737</v>
          </cell>
        </row>
        <row r="7226">
          <cell r="E7226" t="str">
            <v>BASKATOLA</v>
          </cell>
          <cell r="G7226">
            <v>9550053031</v>
          </cell>
          <cell r="K7226" t="str">
            <v>BULD162577</v>
          </cell>
        </row>
        <row r="7227">
          <cell r="E7227" t="str">
            <v>BASJORA</v>
          </cell>
          <cell r="G7227">
            <v>9578883777</v>
          </cell>
          <cell r="K7227" t="str">
            <v>BRED161077</v>
          </cell>
        </row>
        <row r="7228">
          <cell r="E7228" t="str">
            <v>BARHI, HAZARIBAGH</v>
          </cell>
          <cell r="G7228">
            <v>8488957184</v>
          </cell>
          <cell r="K7228" t="str">
            <v>BUCS034287</v>
          </cell>
        </row>
        <row r="7229">
          <cell r="E7229" t="str">
            <v>RAMGARH CANTT, RAMGARH
RAMGARH
829122
RAMGARH</v>
          </cell>
          <cell r="G7229">
            <v>9576833882</v>
          </cell>
          <cell r="K7229" t="str">
            <v>BNKS030423</v>
          </cell>
        </row>
        <row r="7230">
          <cell r="E7230" t="str">
            <v>BAZAR SAMITI,RAMGARH
829122</v>
          </cell>
          <cell r="G7230">
            <v>9835764965</v>
          </cell>
          <cell r="K7230" t="str">
            <v>BTGC379081</v>
          </cell>
        </row>
        <row r="7231">
          <cell r="E7231" t="str">
            <v>11 PINJRAPOLE, HARMU ROAD, RANCHI
11 PINJRAPOLE, HARMU ROAD, RANCHI
834001
MAHILONG, TATISILWAY</v>
          </cell>
          <cell r="G7231">
            <v>9709000070</v>
          </cell>
          <cell r="K7231" t="str">
            <v>BNCC370425</v>
          </cell>
        </row>
        <row r="7232">
          <cell r="E7232" t="str">
            <v>38 MILLS AND GODOWNS AREA BURMAMINES, JAMSHEDPUR - 831007
831012</v>
          </cell>
          <cell r="G7232">
            <v>9204784818</v>
          </cell>
          <cell r="K7232" t="str">
            <v>BREC373493</v>
          </cell>
        </row>
        <row r="7233">
          <cell r="E7233" t="str">
            <v>NTA LODNA, DHANBAD</v>
          </cell>
          <cell r="G7233">
            <v>7644045555</v>
          </cell>
          <cell r="K7233" t="str">
            <v>BULD162559</v>
          </cell>
        </row>
        <row r="7234">
          <cell r="E7234" t="str">
            <v>RAVULA SHYAM SUNDER REDDY, HOUSE NO. 3-5-196/1, ROAD NO. 5M, KRISHNANAGAR COLONY, MOULALI, HYDRABAD</v>
          </cell>
          <cell r="G7234">
            <v>7751812111</v>
          </cell>
          <cell r="K7234" t="str">
            <v>BTCD162162</v>
          </cell>
        </row>
        <row r="7235">
          <cell r="E7235" t="str">
            <v>RAVULA SHYAM SUNDER REDDY, HOUSE NO. 3-5-196/1, ROAD NO. 5M, KRISHNANAGAR COLONY, MOULALI, HYDRABAD</v>
          </cell>
          <cell r="G7235">
            <v>7751812111</v>
          </cell>
          <cell r="K7235" t="str">
            <v>BTCD162162</v>
          </cell>
        </row>
        <row r="7236">
          <cell r="E7236" t="str">
            <v>NEAR P.N BANK MAIN ROAD,, RAMGARH CANTT-829122, DIST. RAMGARH
829122
BUDHAKHOP, AMBRELA, KARMA,</v>
          </cell>
          <cell r="G7236" t="str">
            <v xml:space="preserve">  </v>
          </cell>
          <cell r="K7236" t="str">
            <v>BQBS030091</v>
          </cell>
        </row>
        <row r="7237">
          <cell r="E7237" t="str">
            <v>NEAR P.N BANK MAIN ROAD,, RAMGARH CANTT-829122, DIST. RAMGARH
829122
BUDHAKHOP, AMBRELA, KARMA,</v>
          </cell>
          <cell r="G7237">
            <v>7008631882</v>
          </cell>
          <cell r="K7237" t="str">
            <v>BSHS038806</v>
          </cell>
        </row>
        <row r="7238">
          <cell r="E7238" t="str">
            <v>PAKURA, DUMKA</v>
          </cell>
          <cell r="G7238">
            <v>8235542778</v>
          </cell>
          <cell r="K7238" t="str">
            <v>BUDD220683</v>
          </cell>
        </row>
        <row r="7239">
          <cell r="E7239" t="str">
            <v>LOHARDAGA,JHARKHAND
LOHARDAGA, MOB. NO.9661111900
835302
LOHARDAGA</v>
          </cell>
          <cell r="G7239">
            <v>8709406268</v>
          </cell>
          <cell r="K7239" t="str">
            <v>BQFS031084</v>
          </cell>
        </row>
        <row r="7240">
          <cell r="E7240" t="str">
            <v>11 PINJRAPOLE, HARMU ROAD, RANCHI
11 PINJRAPOLE, HARMU ROAD, RANCHI
834001
MAHILONG, TATISILWAY</v>
          </cell>
          <cell r="G7240">
            <v>9709000070</v>
          </cell>
          <cell r="K7240" t="str">
            <v>BNCC370425</v>
          </cell>
        </row>
        <row r="7241">
          <cell r="E7241" t="str">
            <v>KENDUA MINING</v>
          </cell>
          <cell r="G7241">
            <v>7751812111</v>
          </cell>
          <cell r="K7241" t="str">
            <v>BSJD161433</v>
          </cell>
        </row>
        <row r="7242">
          <cell r="E7242" t="str">
            <v>TOPA MINES, RAMGARH</v>
          </cell>
          <cell r="G7242">
            <v>9471109170</v>
          </cell>
          <cell r="K7242" t="str">
            <v>BSKD161467</v>
          </cell>
        </row>
        <row r="7243">
          <cell r="E7243" t="str">
            <v>VINAIKA’S COMPLEX RANCHI TATA ROAD, R.S. PLOT NO.:-615,VILLAGE-PANCHA,THANA-BUNDU RANCHI, JHARKHAND.
834002</v>
          </cell>
          <cell r="G7243">
            <v>9667936357</v>
          </cell>
          <cell r="K7243" t="str">
            <v>BUDS046275</v>
          </cell>
        </row>
        <row r="7244">
          <cell r="E7244" t="str">
            <v>GHATO
825314</v>
          </cell>
          <cell r="G7244">
            <v>9262290295</v>
          </cell>
          <cell r="K7244">
            <v>124371</v>
          </cell>
        </row>
        <row r="7245">
          <cell r="E7245" t="str">
            <v>TUPUDANA INDUSTRIAL AREA, RANCHI
PLOT NO. 114, TUPUDANA INDUSTRIAL AREA, TUPUDANA,HATIA, RANCHI
834002
RANCHI</v>
          </cell>
          <cell r="G7245">
            <v>8709670947</v>
          </cell>
          <cell r="K7245" t="str">
            <v>BNAS040245</v>
          </cell>
        </row>
        <row r="7246">
          <cell r="E7246" t="str">
            <v>TUPUDANA INDUSTRIAL AREA, RANCHI
PLOT NO. 114, TUPUDANA INDUSTRIAL AREA, TUPUDANA,HATIA, RANCHI
834002
RANCHI</v>
          </cell>
          <cell r="G7246">
            <v>8709670947</v>
          </cell>
          <cell r="K7246" t="str">
            <v>GOKS040088</v>
          </cell>
        </row>
        <row r="7247">
          <cell r="E7247" t="str">
            <v>TATISILWAI, JHARKHAND
835103</v>
          </cell>
          <cell r="G7247">
            <v>6200160428</v>
          </cell>
          <cell r="K7247" t="str">
            <v>BQGS031413</v>
          </cell>
        </row>
        <row r="7248">
          <cell r="E7248" t="str">
            <v>TATISILWAI, JHARKHAND
835103</v>
          </cell>
          <cell r="G7248">
            <v>6200160428</v>
          </cell>
          <cell r="K7248" t="str">
            <v>BQHS040705</v>
          </cell>
        </row>
        <row r="7249">
          <cell r="E7249" t="str">
            <v>TUPUDANA, RANCHI</v>
          </cell>
          <cell r="G7249">
            <v>8102915586</v>
          </cell>
          <cell r="K7249" t="str">
            <v>BUDC372327</v>
          </cell>
        </row>
        <row r="7250">
          <cell r="E7250" t="str">
            <v>HOSHIR GIDDI,RAMGARH
NEAR P.N. BANK MAIN ROAD, RAMGARH CANTT. 829122
829110</v>
          </cell>
          <cell r="G7250">
            <v>6201225253</v>
          </cell>
          <cell r="K7250" t="str">
            <v>BSKS036261</v>
          </cell>
        </row>
        <row r="7251">
          <cell r="E7251" t="str">
            <v>MANDU, RAMGARH
JAISWAL COLONY, THANA CHOW,, RAMGARH CANTT. DIST. RAMGARH, JHARKHAND
825316
MANDU</v>
          </cell>
          <cell r="G7251">
            <v>8340671937</v>
          </cell>
          <cell r="K7251" t="str">
            <v>BTLS039719</v>
          </cell>
        </row>
        <row r="7252">
          <cell r="E7252" t="str">
            <v>MANDU, RAMGARH
JAISWAL COLONY, THANA CHOW,, RAMGARH CANTT. DIST. RAMGARH, JHARKHAND
825316
MANDU</v>
          </cell>
          <cell r="G7252">
            <v>8340671937</v>
          </cell>
          <cell r="K7252" t="str">
            <v>BTLS039851</v>
          </cell>
        </row>
        <row r="7253">
          <cell r="E7253" t="str">
            <v>MANDU, RAMGARH
JAISWAL COLONY, THANA CHOW,, RAMGARH CANTT. DIST. RAMGARH, JHARKHAND
825316
MANDU</v>
          </cell>
          <cell r="G7253">
            <v>8340671937</v>
          </cell>
          <cell r="K7253" t="str">
            <v>BTLS039748</v>
          </cell>
        </row>
        <row r="7254">
          <cell r="E7254" t="str">
            <v>RANCHI PATNA ROAD
DEMOTAND
825301
HAZARIBAGH</v>
          </cell>
          <cell r="G7254">
            <v>6203465926</v>
          </cell>
          <cell r="K7254" t="str">
            <v>BIFS040367</v>
          </cell>
        </row>
        <row r="7255">
          <cell r="E7255" t="str">
            <v>DEMO TANND HAZAIBAGH JHARKHAND,
825301
DEMO TANND HAZAIBAGH JHARKHAND</v>
          </cell>
          <cell r="G7255">
            <v>7905424302</v>
          </cell>
          <cell r="K7255" t="str">
            <v>BMDS040417</v>
          </cell>
        </row>
        <row r="7256">
          <cell r="E7256" t="str">
            <v>SHEETLA PRASAD SINGH,, MISHRA PADA, NEAR DURGA MANDIR,, JHARIA, DHANBAD - 828 111, JHARKHAND.</v>
          </cell>
          <cell r="G7256">
            <v>7644045555</v>
          </cell>
          <cell r="K7256" t="str">
            <v>BTDD162169</v>
          </cell>
        </row>
        <row r="7257">
          <cell r="E7257" t="str">
            <v>DALTONGANJ</v>
          </cell>
          <cell r="G7257">
            <v>9430780521</v>
          </cell>
          <cell r="K7257" t="str">
            <v>BUBS045965</v>
          </cell>
        </row>
        <row r="7258">
          <cell r="E7258" t="str">
            <v>DALTONGANJ</v>
          </cell>
          <cell r="G7258">
            <v>9430780521</v>
          </cell>
          <cell r="K7258" t="str">
            <v>BUBS045955</v>
          </cell>
        </row>
        <row r="7259">
          <cell r="E7259" t="str">
            <v>URMILA TOWER, ROOM NO. 805, DHANBAD</v>
          </cell>
          <cell r="G7259">
            <v>7979820721</v>
          </cell>
          <cell r="K7259" t="str">
            <v>BTGD162296</v>
          </cell>
        </row>
        <row r="7260">
          <cell r="E7260" t="str">
            <v>REHLA,GARWA,JHARKHAND
822124
RANCHI</v>
          </cell>
          <cell r="G7260">
            <v>7004623399</v>
          </cell>
          <cell r="K7260" t="str">
            <v>GOIS031795</v>
          </cell>
        </row>
        <row r="7261">
          <cell r="E7261" t="str">
            <v>DHANBAD</v>
          </cell>
          <cell r="G7261">
            <v>9263634493</v>
          </cell>
          <cell r="K7261" t="str">
            <v>BTCD162159</v>
          </cell>
        </row>
        <row r="7262">
          <cell r="E7262" t="str">
            <v>BARHI, HAZARIBAGH</v>
          </cell>
          <cell r="G7262">
            <v>8488957184</v>
          </cell>
          <cell r="K7262" t="str">
            <v>BUCS034287</v>
          </cell>
        </row>
        <row r="7263">
          <cell r="E7263" t="str">
            <v>WARD NO. 15, GUMO  BARWADIH
JHUMRITILAIYA KODERMA
000000</v>
          </cell>
          <cell r="G7263">
            <v>9931138677</v>
          </cell>
          <cell r="K7263" t="str">
            <v>BUDC372326</v>
          </cell>
        </row>
        <row r="7264">
          <cell r="E7264" t="str">
            <v>NAGRI,RANCHI
835202
RANCHI</v>
          </cell>
          <cell r="G7264">
            <v>7004248429</v>
          </cell>
          <cell r="K7264" t="str">
            <v>BRIS035698</v>
          </cell>
        </row>
        <row r="7265">
          <cell r="E7265" t="str">
            <v>B7-PHASE-3, BALIDIH INDUSTRIAL AREA BALIDIH, BOKARO STEEL CITY BOKARO, JHARKHAND
SUNDARAM STEELS PVT. LTD, B-7 PHASE-III,BOKARO INDUSTRIAL AREA,BALIDIH, BOKARO
827014</v>
          </cell>
          <cell r="G7265">
            <v>8001371916</v>
          </cell>
          <cell r="K7265" t="str">
            <v>BTHS031467</v>
          </cell>
        </row>
        <row r="7266">
          <cell r="E7266" t="str">
            <v>RANCHI PATNA ROAD
DEMOTAND
825301
HAZARIBAGH</v>
          </cell>
          <cell r="G7266">
            <v>6203465926</v>
          </cell>
          <cell r="K7266" t="str">
            <v>BMBL160078</v>
          </cell>
        </row>
        <row r="7267">
          <cell r="E7267" t="str">
            <v>C/O - REKHA KUMARI, AT TENDER, PANDRA, KAMRE, RATU, RANCHI
C/O - REKHA KUMARI, AT TENDER, PANDRA, KAMRE, RATU, RANCHI
835103</v>
          </cell>
          <cell r="G7267">
            <v>6201227612</v>
          </cell>
          <cell r="K7267" t="str">
            <v>BREC373485</v>
          </cell>
        </row>
        <row r="7268">
          <cell r="E7268" t="str">
            <v>MURHU
C/O ASHISH SABOO, MURHU, DIST- KHUNTI
835216</v>
          </cell>
          <cell r="G7268">
            <v>8862826990</v>
          </cell>
          <cell r="K7268" t="str">
            <v>BTLC377591</v>
          </cell>
        </row>
        <row r="7269">
          <cell r="E7269" t="str">
            <v>RAVULA SHYAM SUNDER REDDY, HOUSE NO. 3-5-196/1, ROAD NO. 5M, KRISHNANAGAR COLONY, MOULALI, HYDRABAD</v>
          </cell>
          <cell r="G7269">
            <v>7751812111</v>
          </cell>
          <cell r="K7269" t="str">
            <v>BTCD162162</v>
          </cell>
        </row>
        <row r="7270">
          <cell r="E7270" t="str">
            <v>REHLA, GARHWA ROAD, PALAMU D.T, JHARKHAND
PALAMU JHARKHAND 822124
INDIA</v>
          </cell>
          <cell r="G7270">
            <v>7004971081</v>
          </cell>
          <cell r="K7270" t="str">
            <v>BLFS031469</v>
          </cell>
        </row>
        <row r="7271">
          <cell r="E7271" t="str">
            <v>HAZARIBAGH,  HAZARIBAGH, JHARKHAND 825301</v>
          </cell>
          <cell r="G7271">
            <v>830228021</v>
          </cell>
          <cell r="K7271" t="str">
            <v>BUCS034128</v>
          </cell>
        </row>
        <row r="7272">
          <cell r="E7272" t="str">
            <v>NAYA MORE,RAMGARH
ARA SARU BERA ROAD, NAYA, RAMGARH,JHARKHAND
829110
NAYA MORE</v>
          </cell>
          <cell r="G7272">
            <v>9608358481</v>
          </cell>
          <cell r="K7272" t="str">
            <v>BQBS033796</v>
          </cell>
        </row>
        <row r="7273">
          <cell r="E7273" t="str">
            <v>RAMGARH
829103
NAYA MORE</v>
          </cell>
          <cell r="G7273">
            <v>9608358481</v>
          </cell>
          <cell r="K7273" t="str">
            <v>BRGS035169</v>
          </cell>
        </row>
        <row r="7274">
          <cell r="E7274" t="str">
            <v>NTA LODNA, DHANBAD</v>
          </cell>
          <cell r="G7274">
            <v>7644045555</v>
          </cell>
          <cell r="K7274" t="str">
            <v>BULD162559</v>
          </cell>
        </row>
        <row r="7275">
          <cell r="E7275" t="str">
            <v>NICHITPUR</v>
          </cell>
          <cell r="G7275">
            <v>7903412157</v>
          </cell>
          <cell r="K7275" t="str">
            <v>BUCD162696</v>
          </cell>
        </row>
        <row r="7276">
          <cell r="E7276" t="str">
            <v>REHLA,GARWA,JHARKHAND
822124
RANCHI</v>
          </cell>
          <cell r="G7276">
            <v>7004623399</v>
          </cell>
          <cell r="K7276" t="str">
            <v>BMFS031346</v>
          </cell>
        </row>
        <row r="7277">
          <cell r="E7277" t="str">
            <v>DALADALI, RANCHI</v>
          </cell>
          <cell r="G7277">
            <v>6203721760</v>
          </cell>
          <cell r="K7277" t="str">
            <v>GPGC370748</v>
          </cell>
        </row>
        <row r="7278">
          <cell r="E7278" t="str">
            <v>BANDHIYA RAOD, NAGRI RANCHI, MOB.8709325266
834006
BANDHIYA ROAD, NAGARI RANCHI</v>
          </cell>
          <cell r="G7278">
            <v>9110022503</v>
          </cell>
          <cell r="K7278" t="str">
            <v>BLFS040558</v>
          </cell>
        </row>
        <row r="7279">
          <cell r="E7279" t="str">
            <v>AL-MED EQUIPMENTS
BARIATU ROAD, RANCHI
834009</v>
          </cell>
          <cell r="G7279">
            <v>7715855380</v>
          </cell>
          <cell r="K7279" t="str">
            <v>BUBS045901</v>
          </cell>
        </row>
        <row r="7280">
          <cell r="E7280" t="str">
            <v>SIDRAUL, NAMKUM, RANCHI
834010
SIDRAUL, NAMKUM, RANCHI</v>
          </cell>
          <cell r="G7280">
            <v>8877172788</v>
          </cell>
          <cell r="K7280" t="str">
            <v>UOHS030121</v>
          </cell>
        </row>
        <row r="7281">
          <cell r="E7281" t="str">
            <v>SIDRAUL, NAMKUM, RANCHI
834010
SIDRAUL, NAMKUM, RANCHI</v>
          </cell>
          <cell r="G7281">
            <v>8877172788</v>
          </cell>
          <cell r="K7281" t="str">
            <v>UOIS030128</v>
          </cell>
        </row>
        <row r="7282">
          <cell r="E7282" t="str">
            <v>MIRZA CHOUKI, SAHEBGANJ</v>
          </cell>
          <cell r="G7282">
            <v>8972916506</v>
          </cell>
          <cell r="K7282" t="str">
            <v>BUBD162649</v>
          </cell>
        </row>
        <row r="7283">
          <cell r="E7283" t="str">
            <v>HOSHIR GIDDI,RAMGARH
NEAR P.N. BANK MAIN ROAD, RAMGARH CANTT. 829122
829110</v>
          </cell>
          <cell r="G7283">
            <v>6201225253</v>
          </cell>
          <cell r="K7283" t="str">
            <v>GPJS030042</v>
          </cell>
        </row>
        <row r="7284">
          <cell r="E7284" t="str">
            <v>ADDRESS-PLOT-57B,BARAHI INDUSTRIAL AREA,ON DELHI HOWRAH NATIONAL HIGHWAY,BARHI,JAHARKHAND.</v>
          </cell>
          <cell r="G7284">
            <v>8488957184</v>
          </cell>
          <cell r="K7284" t="str">
            <v>BUBS033778</v>
          </cell>
        </row>
        <row r="7285">
          <cell r="E7285" t="str">
            <v>REHLA,GARWA,JHARKHAND
822124
RANCHI</v>
          </cell>
          <cell r="G7285">
            <v>7004623399</v>
          </cell>
          <cell r="K7285" t="str">
            <v>BMFS031346</v>
          </cell>
        </row>
        <row r="7286">
          <cell r="E7286" t="str">
            <v>AT - HEHAL, POST - BARKAKANA
BARKAKANA
829103</v>
          </cell>
          <cell r="G7286">
            <v>9386515681</v>
          </cell>
          <cell r="K7286" t="str">
            <v>BUAS033580</v>
          </cell>
        </row>
        <row r="7287">
          <cell r="E7287" t="str">
            <v>TRIDENT PNEUMATICS PVT LTD   5/232,KNG PUDUR ROADSOMAYAMPALAYAM POSTCOIMBATORE IND</v>
          </cell>
          <cell r="G7287">
            <v>9386007608</v>
          </cell>
          <cell r="K7287" t="str">
            <v>BRCC373040</v>
          </cell>
        </row>
        <row r="7288">
          <cell r="E7288" t="str">
            <v>BASTAWLA DHANBAD</v>
          </cell>
          <cell r="G7288">
            <v>9550053031</v>
          </cell>
          <cell r="K7288" t="str">
            <v>BUAD162630</v>
          </cell>
        </row>
        <row r="7289">
          <cell r="E7289" t="str">
            <v>ORMANJHI</v>
          </cell>
          <cell r="G7289">
            <v>7992479722</v>
          </cell>
          <cell r="K7289" t="str">
            <v>BSDD120664</v>
          </cell>
        </row>
        <row r="7290">
          <cell r="E7290" t="str">
            <v>ANA COLLERY, DHANBAD</v>
          </cell>
          <cell r="G7290">
            <v>9443954373</v>
          </cell>
          <cell r="K7290" t="str">
            <v>BPKD200025</v>
          </cell>
        </row>
        <row r="7291">
          <cell r="E7291" t="str">
            <v>NAGARI,</v>
          </cell>
          <cell r="G7291">
            <v>9204493506</v>
          </cell>
          <cell r="K7291" t="str">
            <v>BILS030211</v>
          </cell>
        </row>
        <row r="7292">
          <cell r="E7292" t="str">
            <v>HAZARIBAGH
RANCHI JHARKHAND 834002
INDIA</v>
          </cell>
          <cell r="G7292">
            <v>7361044448</v>
          </cell>
          <cell r="K7292" t="str">
            <v>BKAS030685</v>
          </cell>
        </row>
        <row r="7293">
          <cell r="E7293" t="str">
            <v>BASTAWLA DHANBAD</v>
          </cell>
          <cell r="G7293">
            <v>9550053031</v>
          </cell>
          <cell r="K7293" t="str">
            <v>BTJD162046</v>
          </cell>
        </row>
        <row r="7294">
          <cell r="E7294" t="str">
            <v>RAMGARH</v>
          </cell>
          <cell r="G7294">
            <v>7009377365</v>
          </cell>
          <cell r="K7294" t="str">
            <v>BKAS030601</v>
          </cell>
        </row>
        <row r="7295">
          <cell r="E7295" t="str">
            <v>MANDAR,  RANCHI - 835214. JHARKHAND.</v>
          </cell>
          <cell r="G7295">
            <v>7896567652</v>
          </cell>
          <cell r="K7295" t="str">
            <v>BUDS046356</v>
          </cell>
        </row>
        <row r="7296">
          <cell r="E7296" t="str">
            <v>ORMANJHI</v>
          </cell>
          <cell r="G7296">
            <v>7992479722</v>
          </cell>
          <cell r="K7296" t="str">
            <v>BSDD120664</v>
          </cell>
        </row>
        <row r="7297">
          <cell r="E7297" t="str">
            <v>TRIDENT PNEUMATICS PVT LTD   5/232,KNG PUDUR ROADSOMAYAMPALAYAM POSTCOIMBATORE IND</v>
          </cell>
          <cell r="G7297">
            <v>9386007608</v>
          </cell>
          <cell r="K7297" t="str">
            <v>BRCC373040</v>
          </cell>
        </row>
        <row r="7298">
          <cell r="E7298" t="str">
            <v>PLOT NO. 148, TUPUDANA, INDUSTRIAL AREA, HATIA, RANCHI
834002</v>
          </cell>
          <cell r="G7298">
            <v>9434249500</v>
          </cell>
          <cell r="K7298" t="str">
            <v>BRIS035838</v>
          </cell>
        </row>
        <row r="7299">
          <cell r="E7299" t="str">
            <v>TUPUDANA INDUSTRIAL AREA</v>
          </cell>
          <cell r="G7299">
            <v>9534249500</v>
          </cell>
          <cell r="K7299" t="str">
            <v>BMBS030816</v>
          </cell>
        </row>
        <row r="7300">
          <cell r="E7300" t="str">
            <v>PATRATU, RAMGRAH</v>
          </cell>
          <cell r="G7300">
            <v>9760569055</v>
          </cell>
          <cell r="K7300" t="str">
            <v>BKGS040712</v>
          </cell>
        </row>
        <row r="7301">
          <cell r="E7301" t="str">
            <v>HAWAI NAGAR, RANCHI</v>
          </cell>
          <cell r="G7301">
            <v>8521584874</v>
          </cell>
          <cell r="K7301" t="str">
            <v>BUEC372458</v>
          </cell>
        </row>
        <row r="7302">
          <cell r="E7302" t="str">
            <v>ORMANJHI</v>
          </cell>
          <cell r="G7302">
            <v>7992479722</v>
          </cell>
          <cell r="K7302" t="str">
            <v>BSDD120664</v>
          </cell>
        </row>
        <row r="7303">
          <cell r="E7303" t="str">
            <v>KHATA NO. 348, C/O RAMESHWAR MAHTO, S/O. BASANT MAHTO
NEAR RATNESHWAR SHIV MANDIR, GORIYARI BAG, MORRAMKALA, RAMGRAH CANTT
000000</v>
          </cell>
          <cell r="G7303">
            <v>9534144445</v>
          </cell>
          <cell r="K7303" t="str">
            <v>BULC370960</v>
          </cell>
        </row>
        <row r="7304">
          <cell r="E7304" t="str">
            <v>BALIDIH INDUSTRIAL AREA
827014</v>
          </cell>
          <cell r="G7304">
            <v>8619424665</v>
          </cell>
          <cell r="K7304" t="str">
            <v>BTDS044304</v>
          </cell>
        </row>
        <row r="7305">
          <cell r="E7305" t="str">
            <v>REHLA,GARWA,JHARKHAND
822124
RANCHI</v>
          </cell>
          <cell r="G7305">
            <v>7004623399</v>
          </cell>
          <cell r="K7305" t="str">
            <v>BMFS031346</v>
          </cell>
        </row>
        <row r="7306">
          <cell r="E7306" t="str">
            <v>MANDU, RAMGARH
JAISWAL COLONY, THANA CHOW,, RAMGARH CANTT. DIST. RAMGARH, JHARKHAND
825316
MANDU</v>
          </cell>
          <cell r="G7306">
            <v>6205951815</v>
          </cell>
          <cell r="K7306">
            <v>123399</v>
          </cell>
        </row>
        <row r="7307">
          <cell r="E7307" t="str">
            <v>MANDU, RAMGARH
JAISWAL COLONY, THANA CHOW,, RAMGARH CANTT. DIST. RAMGARH, JHARKHAND
825316
MANDU</v>
          </cell>
          <cell r="G7307">
            <v>6205951815</v>
          </cell>
          <cell r="K7307" t="str">
            <v>BSGS043528</v>
          </cell>
        </row>
        <row r="7308">
          <cell r="E7308" t="str">
            <v>GROUND FLOOR,, OFFICE NO.448A, ROAD NO.4, ASHOK NAGAR
GROUND FLOOR,, OFFICE NO.448A, ROAD NO.4, ASHOK NAGAR
829118
PLOT NO:- 47P, PATRATU INDUSTRIAL AREA</v>
          </cell>
          <cell r="G7308">
            <v>7541959323</v>
          </cell>
          <cell r="K7308" t="str">
            <v>ONIC370102</v>
          </cell>
        </row>
        <row r="7309">
          <cell r="E7309" t="str">
            <v>GROUND FLOOR FOREST COLONY, HAZARIBAGH
GROUND FLOOR FOREST COLONY
000000</v>
          </cell>
          <cell r="G7309">
            <v>7992247849</v>
          </cell>
          <cell r="K7309" t="str">
            <v>BUJC370052</v>
          </cell>
        </row>
        <row r="7310">
          <cell r="E7310" t="str">
            <v>ARGADA ROAD, BINJHAR, P.O. - MARAR, RAMGARH
829117</v>
          </cell>
          <cell r="G7310">
            <v>8294504879</v>
          </cell>
          <cell r="K7310" t="str">
            <v>BSCS037449</v>
          </cell>
        </row>
        <row r="7311">
          <cell r="E7311" t="str">
            <v>C/O CREATIVE TEXTILES
KUNJLAL,UPPER BAZAR, RANCHI
834001</v>
          </cell>
          <cell r="G7311">
            <v>9534117916</v>
          </cell>
          <cell r="K7311" t="str">
            <v>BULC371071</v>
          </cell>
        </row>
        <row r="7312">
          <cell r="E7312" t="str">
            <v>BASTAWLA DHANBAD</v>
          </cell>
          <cell r="G7312">
            <v>9550053031</v>
          </cell>
          <cell r="K7312" t="str">
            <v>BTJD162046</v>
          </cell>
        </row>
        <row r="7313">
          <cell r="E7313" t="str">
            <v>KHATA NO. 348, C/O RAMESHWAR MAHTO, S/O. BASANT MAHTO
NEAR RATNESHWAR SHIV MANDIR, GORIYARI BAG, MORRAMKALA, RAMGRAH CANTT
000000</v>
          </cell>
          <cell r="G7313">
            <v>9534144445</v>
          </cell>
          <cell r="K7313" t="str">
            <v>BULC370960</v>
          </cell>
        </row>
        <row r="7314">
          <cell r="E7314" t="str">
            <v>TAPIN HAZARIBAGH</v>
          </cell>
          <cell r="G7314">
            <v>8002177643</v>
          </cell>
          <cell r="K7314" t="str">
            <v>BTGD162289</v>
          </cell>
        </row>
        <row r="7315">
          <cell r="E7315" t="str">
            <v>DIESEL LOCO SHED, PATRATU ECR</v>
          </cell>
          <cell r="G7315">
            <v>9065516806</v>
          </cell>
          <cell r="K7315" t="str">
            <v>BSJL100041</v>
          </cell>
        </row>
        <row r="7316">
          <cell r="E7316" t="str">
            <v>RANCHI,JHARKHAND
825301
JHUMRA</v>
          </cell>
          <cell r="G7316">
            <v>9593546866</v>
          </cell>
          <cell r="K7316" t="str">
            <v>BMIS031670</v>
          </cell>
        </row>
        <row r="7317">
          <cell r="E7317" t="str">
            <v>ARGADA ROAD, BINJHAR, P.O. - MARAR, RAMGARH
829117</v>
          </cell>
          <cell r="G7317">
            <v>8294504879</v>
          </cell>
          <cell r="K7317" t="str">
            <v>BSCS037449</v>
          </cell>
        </row>
        <row r="7318">
          <cell r="E7318" t="str">
            <v>RANCHI,JHARKHAND
825301
JHUMRA</v>
          </cell>
          <cell r="G7318">
            <v>8541022146</v>
          </cell>
          <cell r="K7318" t="str">
            <v>BTIS031829</v>
          </cell>
        </row>
        <row r="7319">
          <cell r="E7319" t="str">
            <v>TIPUDANA INDUSTRIAL AREA, HATIA,</v>
          </cell>
          <cell r="G7319">
            <v>7978649310</v>
          </cell>
          <cell r="K7319" t="str">
            <v>BJGS031396</v>
          </cell>
        </row>
        <row r="7320">
          <cell r="E7320" t="str">
            <v>RAMGARH,JHARKHAND
829122</v>
          </cell>
          <cell r="G7320">
            <v>9934012694</v>
          </cell>
          <cell r="K7320" t="str">
            <v>BPAS030126</v>
          </cell>
        </row>
        <row r="7321">
          <cell r="E7321" t="str">
            <v>TUPUDANA INDUSTRIAL AREA, RANCHI
PLOT NO. 114, TUPUDANA INDUSTRIAL AREA, TUPUDANA,HATIA, RANCHI
834002
RANCHI</v>
          </cell>
          <cell r="G7321">
            <v>8709670947</v>
          </cell>
          <cell r="K7321" t="str">
            <v>GOKS040088</v>
          </cell>
        </row>
        <row r="7322">
          <cell r="E7322" t="str">
            <v>HAZARIBAGH,  HAZARIBAGH, JHARKHAND 825301</v>
          </cell>
          <cell r="G7322">
            <v>830228021</v>
          </cell>
          <cell r="K7322" t="str">
            <v>BUCS034128</v>
          </cell>
        </row>
        <row r="7323">
          <cell r="E7323" t="str">
            <v>NTA LODNA, DHANBAD</v>
          </cell>
          <cell r="G7323">
            <v>7644045555</v>
          </cell>
          <cell r="K7323" t="str">
            <v>BULD162559</v>
          </cell>
        </row>
        <row r="7324">
          <cell r="E7324" t="str">
            <v>SHEETLA PRASAD SINGH,, MISHRA PADA, NEAR DURGA MANDIR,, JHARIA, DHANBAD - 828 111, JHARKHAND.</v>
          </cell>
          <cell r="G7324">
            <v>7644045555</v>
          </cell>
          <cell r="K7324" t="str">
            <v>BTKD162112</v>
          </cell>
        </row>
        <row r="7325">
          <cell r="E7325" t="str">
            <v>SHEETLA PRASAD SINGH,, MISHRA PADA, NEAR DURGA MANDIR,, JHARIA, DHANBAD - 828 111, JHARKHAND.</v>
          </cell>
          <cell r="G7325">
            <v>7644045555</v>
          </cell>
          <cell r="K7325" t="str">
            <v>BTDD162169</v>
          </cell>
        </row>
        <row r="7326">
          <cell r="E7326" t="str">
            <v>SHEETLA PRASAD SINGH,, MISHRA PADA, NEAR DURGA MANDIR,, JHARIA, DHANBAD - 828 111, JHARKHAND.</v>
          </cell>
          <cell r="G7326">
            <v>7644045555</v>
          </cell>
          <cell r="K7326" t="str">
            <v>BTCD162149</v>
          </cell>
        </row>
        <row r="7327">
          <cell r="E7327" t="str">
            <v>DHANBAD</v>
          </cell>
          <cell r="G7327">
            <v>6207308280</v>
          </cell>
          <cell r="K7327" t="str">
            <v>BSGD161904</v>
          </cell>
        </row>
        <row r="7328">
          <cell r="E7328" t="str">
            <v>DHANBAD</v>
          </cell>
          <cell r="G7328">
            <v>6207308280</v>
          </cell>
          <cell r="K7328" t="str">
            <v>BTED162231</v>
          </cell>
        </row>
        <row r="7329">
          <cell r="E7329" t="str">
            <v>TUPUDANA INDUSTRIAL AREA</v>
          </cell>
          <cell r="G7329">
            <v>9534249500</v>
          </cell>
          <cell r="K7329" t="str">
            <v>BMBS030816</v>
          </cell>
        </row>
        <row r="7330">
          <cell r="E7330" t="str">
            <v>PLOT NO. 148, TUPUDANA, INDUSTRIAL AREA, HATIA, RANCHI
834002</v>
          </cell>
          <cell r="G7330">
            <v>0</v>
          </cell>
          <cell r="K7330" t="str">
            <v>BSLS036682</v>
          </cell>
        </row>
        <row r="7331">
          <cell r="E7331" t="str">
            <v>TUPUDANA INDUSTRIAL AREA, RANCHI
PLOT NO. 114, TUPUDANA INDUSTRIAL AREA, TUPUDANA,HATIA, RANCHI
834002
RANCHI</v>
          </cell>
          <cell r="G7331">
            <v>8709670947</v>
          </cell>
          <cell r="K7331">
            <v>123434</v>
          </cell>
        </row>
        <row r="7332">
          <cell r="E7332" t="str">
            <v>TUPUDANA INDUSTRIAL AREA, RANCHI
PLOT NO. 114, TUPUDANA INDUSTRIAL AREA, TUPUDANA,HATIA, RANCHI
834002
RANCHI</v>
          </cell>
          <cell r="G7332">
            <v>7248899000</v>
          </cell>
          <cell r="K7332" t="str">
            <v>BNAS040245</v>
          </cell>
        </row>
        <row r="7333">
          <cell r="E7333" t="str">
            <v>TUPUDANA INDUSTRIAL AREA, RANCHI
PLOT NO. 114, TUPUDANA INDUSTRIAL AREA, TUPUDANA,HATIA, RANCHI
834002
RANCHI</v>
          </cell>
          <cell r="G7333">
            <v>7248899000</v>
          </cell>
          <cell r="K7333" t="str">
            <v>GOKS040088</v>
          </cell>
        </row>
        <row r="7334">
          <cell r="E7334" t="str">
            <v>PLOT NO. 148, TUPUDANA, INDUSTRIAL AREA, HATIA, RANCHI
834002</v>
          </cell>
          <cell r="G7334">
            <v>9434249500</v>
          </cell>
          <cell r="K7334" t="str">
            <v>BRIS035838</v>
          </cell>
        </row>
        <row r="7335">
          <cell r="E7335" t="str">
            <v>MOHAMAD ARIF ZAFAR
KHATA NO. 27, PLOT NO. 37, RIT ROAD, CHHATARBAR, JHUMRITILAIYA
825409</v>
          </cell>
          <cell r="G7335">
            <v>7488562476</v>
          </cell>
          <cell r="K7335" t="str">
            <v>BUAC371371</v>
          </cell>
        </row>
        <row r="7336">
          <cell r="E7336" t="str">
            <v>NAGRI,RANCHI
835202
RANCHI</v>
          </cell>
          <cell r="G7336">
            <v>8877024924</v>
          </cell>
          <cell r="K7336" t="str">
            <v>BMJS040004</v>
          </cell>
        </row>
        <row r="7337">
          <cell r="E7337" t="str">
            <v>DHANBAD</v>
          </cell>
          <cell r="G7337">
            <v>9263634493</v>
          </cell>
          <cell r="K7337" t="str">
            <v>BTCD162159</v>
          </cell>
        </row>
        <row r="7338">
          <cell r="E7338" t="str">
            <v>TATISILWAI, JHARKHAND
835103</v>
          </cell>
          <cell r="G7338">
            <v>6200160428</v>
          </cell>
          <cell r="K7338" t="str">
            <v>BQHS040705</v>
          </cell>
        </row>
        <row r="7339">
          <cell r="E7339" t="str">
            <v>ORMANJHI,RANCHI
835219</v>
          </cell>
          <cell r="G7339">
            <v>7488802600</v>
          </cell>
          <cell r="K7339" t="str">
            <v>BSGC376577</v>
          </cell>
        </row>
        <row r="7340">
          <cell r="E7340" t="str">
            <v>SUNDAR NAGAR, JAMSHEDPUR</v>
          </cell>
          <cell r="G7340">
            <v>6206278565</v>
          </cell>
          <cell r="K7340" t="str">
            <v>BUAD162625</v>
          </cell>
        </row>
        <row r="7341">
          <cell r="E7341" t="str">
            <v>RAMGARH
829103
NAYA MORE</v>
          </cell>
          <cell r="G7341">
            <v>7739460263</v>
          </cell>
          <cell r="K7341" t="str">
            <v>BPCS030196</v>
          </cell>
        </row>
        <row r="7342">
          <cell r="E7342" t="str">
            <v>501, H.NO.3-4-136/B., ROYAL ASHOK, RESIDENCY , BARKATPURA, HYDERABAD, TELANGANA - 500027</v>
          </cell>
          <cell r="G7342">
            <v>7873039065</v>
          </cell>
          <cell r="K7342" t="str">
            <v>BRHD161304</v>
          </cell>
        </row>
        <row r="7343">
          <cell r="E7343" t="str">
            <v>SONARDHI</v>
          </cell>
          <cell r="G7343">
            <v>7873039065</v>
          </cell>
          <cell r="K7343" t="str">
            <v>BRCD160940</v>
          </cell>
        </row>
        <row r="7344">
          <cell r="E7344" t="str">
            <v>BAZAR SAMITI,RAMGARH
829122</v>
          </cell>
          <cell r="G7344">
            <v>9835764965</v>
          </cell>
          <cell r="K7344" t="str">
            <v>BSBC375576</v>
          </cell>
        </row>
        <row r="7345">
          <cell r="E7345" t="str">
            <v>VINAIKA’S COMPLEX RANCHI TATA ROAD, R.S. PLOT NO.:-615,VILLAGE-PANCHA,THANA-BUNDU RANCHI, JHARKHAND.
834002</v>
          </cell>
          <cell r="G7345">
            <v>9667936357</v>
          </cell>
          <cell r="K7345" t="str">
            <v>BUDS046275</v>
          </cell>
        </row>
        <row r="7346">
          <cell r="E7346" t="str">
            <v>BASKATOLA</v>
          </cell>
          <cell r="G7346">
            <v>9550053031</v>
          </cell>
          <cell r="K7346" t="str">
            <v>BULD162568</v>
          </cell>
        </row>
        <row r="7347">
          <cell r="E7347" t="str">
            <v>AT: SENEGARHA, P.O-RABODH, P.S-GIDDI,(RAMGARH),, DISTT. HAZARIBAGH,JHARKHAND-825330
829108
AT: SENEGARHA, P.O-RABODH, P.S-GIDDI,(RAMGARH),</v>
          </cell>
          <cell r="G7347">
            <v>8789061377</v>
          </cell>
          <cell r="K7347" t="str">
            <v>BKCS040431</v>
          </cell>
        </row>
        <row r="7348">
          <cell r="E7348" t="str">
            <v>1ST FLOOR, RAJ GLASS AND HARDWARE, PISKA MORE, PO - HEHEL, RATU ROAD, RANCHI
1ST FLOOR, RAJ GLASS AND HARDWARE, PISKA MORE, PO - HEHEL, RATU ROAD, RANCHI
835214</v>
          </cell>
          <cell r="G7348">
            <v>6203876287</v>
          </cell>
          <cell r="K7348" t="str">
            <v>BTES044431</v>
          </cell>
        </row>
        <row r="7349">
          <cell r="E7349" t="str">
            <v>KHASHMAHAL PROJECT CCL, BERMO, PHUSHRO, JHARKHAND</v>
          </cell>
          <cell r="G7349">
            <v>9843829993</v>
          </cell>
          <cell r="K7349" t="str">
            <v>BULD162561</v>
          </cell>
        </row>
        <row r="7350">
          <cell r="E7350" t="str">
            <v>RAMGARH</v>
          </cell>
          <cell r="G7350">
            <v>7009377365</v>
          </cell>
          <cell r="K7350" t="str">
            <v>BKAS030601</v>
          </cell>
        </row>
        <row r="7351">
          <cell r="E7351" t="str">
            <v>C/O PALANIAPPAN CHANDRAN, KATTUKOTTAL, PAITHUR, P.O- ATTUR TK,SALEM, TAMILNADU</v>
          </cell>
          <cell r="G7351">
            <v>6380540177</v>
          </cell>
          <cell r="K7351" t="str">
            <v>BQGD230029</v>
          </cell>
        </row>
        <row r="7352">
          <cell r="E7352" t="str">
            <v>TUPUDANA INDUSTRIAL AREA, RANCHI
PLOT NO. 114, TUPUDANA INDUSTRIAL AREA, TUPUDANA,HATIA, RANCHI
834002
RANCHI</v>
          </cell>
          <cell r="G7352">
            <v>8709670997</v>
          </cell>
          <cell r="K7352" t="str">
            <v>BNAS040245</v>
          </cell>
        </row>
        <row r="7353">
          <cell r="E7353">
            <v>0</v>
          </cell>
          <cell r="G7353">
            <v>7004387228</v>
          </cell>
          <cell r="K7353" t="str">
            <v>BQID160467</v>
          </cell>
        </row>
        <row r="7354">
          <cell r="E7354" t="str">
            <v>BHULI DHANBAD</v>
          </cell>
          <cell r="G7354">
            <v>7004387228</v>
          </cell>
          <cell r="K7354" t="str">
            <v>BQED160244</v>
          </cell>
        </row>
        <row r="7355">
          <cell r="E7355" t="str">
            <v>BHULI DHANBAD</v>
          </cell>
          <cell r="G7355" t="str">
            <v>PARBINDER KUMAR</v>
          </cell>
          <cell r="K7355" t="str">
            <v>BQED160244</v>
          </cell>
        </row>
        <row r="7356">
          <cell r="E7356" t="str">
            <v>NAGRI,RANCHI
835202
RANCHI</v>
          </cell>
          <cell r="G7356">
            <v>7004248429</v>
          </cell>
          <cell r="K7356">
            <v>108441</v>
          </cell>
        </row>
        <row r="7357">
          <cell r="E7357" t="str">
            <v>GOLA</v>
          </cell>
          <cell r="G7357">
            <v>7281962540</v>
          </cell>
          <cell r="K7357" t="str">
            <v>BUFS046910</v>
          </cell>
        </row>
        <row r="7358">
          <cell r="E7358" t="str">
            <v>RANCHI,JHARKHAND
834001
RANCHI</v>
          </cell>
          <cell r="G7358">
            <v>7281962540</v>
          </cell>
          <cell r="K7358" t="str">
            <v>BJHS031586</v>
          </cell>
        </row>
        <row r="7359">
          <cell r="E7359" t="str">
            <v>C/O PALANIAPPAN CHANDRAN, KATTUKOTTAL, PAITHUR, P.O- ATTUR TK,SALEM, TAMILNADU</v>
          </cell>
          <cell r="G7359">
            <v>6380540177</v>
          </cell>
          <cell r="K7359" t="str">
            <v>BSAD230391</v>
          </cell>
        </row>
        <row r="7360">
          <cell r="E7360" t="str">
            <v>KOKAR INDUSTRIAL AREA,RANCHI
834002
KOKAR INDUSTRIAL AREA</v>
          </cell>
          <cell r="G7360">
            <v>9771441275</v>
          </cell>
          <cell r="K7360" t="str">
            <v>BRKC371988</v>
          </cell>
        </row>
        <row r="7361">
          <cell r="E7361" t="str">
            <v>RANCHI PATNA ROAD
DEMOTAND
825301
HAZARIBAGH</v>
          </cell>
          <cell r="G7361">
            <v>7905424302</v>
          </cell>
          <cell r="K7361" t="str">
            <v>BSCS037531</v>
          </cell>
        </row>
        <row r="7362">
          <cell r="E7362" t="str">
            <v>CHAKARDHARPUR, JHARKHAND</v>
          </cell>
          <cell r="G7362">
            <v>8639995694</v>
          </cell>
          <cell r="K7362" t="str">
            <v>BSJD161422</v>
          </cell>
        </row>
        <row r="7363">
          <cell r="E7363" t="str">
            <v>CHAKARDHARPUR, JHARKHAND</v>
          </cell>
          <cell r="G7363">
            <v>8639995694</v>
          </cell>
          <cell r="K7363" t="str">
            <v>BSJD161422</v>
          </cell>
        </row>
        <row r="7364">
          <cell r="E7364" t="str">
            <v>KATRAS, DHANBAD</v>
          </cell>
          <cell r="G7364">
            <v>9113788032</v>
          </cell>
          <cell r="K7364" t="str">
            <v>BSKD161477</v>
          </cell>
        </row>
        <row r="7365">
          <cell r="E7365" t="str">
            <v>DHANBAD</v>
          </cell>
          <cell r="G7365">
            <v>6203273412</v>
          </cell>
          <cell r="K7365" t="str">
            <v>BTFD162244</v>
          </cell>
        </row>
        <row r="7366">
          <cell r="E7366" t="str">
            <v>MIRZA CHOUKI, SAHEBGANJ</v>
          </cell>
          <cell r="G7366">
            <v>8972916506</v>
          </cell>
          <cell r="K7366" t="str">
            <v>BUBD162649</v>
          </cell>
        </row>
        <row r="7367">
          <cell r="E7367" t="str">
            <v>NAGRI,RANCHI
835202
RANCHI</v>
          </cell>
          <cell r="G7367">
            <v>8051139257</v>
          </cell>
          <cell r="K7367" t="str">
            <v>BMJS040004</v>
          </cell>
        </row>
        <row r="7368">
          <cell r="E7368" t="str">
            <v>RANCHI
834002</v>
          </cell>
          <cell r="G7368">
            <v>8877100129</v>
          </cell>
          <cell r="K7368" t="str">
            <v>BULS033141</v>
          </cell>
        </row>
        <row r="7369">
          <cell r="E7369" t="str">
            <v>RANCHI
834002</v>
          </cell>
          <cell r="G7369">
            <v>8877100129</v>
          </cell>
          <cell r="K7369" t="str">
            <v>BTIS032025</v>
          </cell>
        </row>
        <row r="7370">
          <cell r="E7370" t="str">
            <v>RANCHI
834002</v>
          </cell>
          <cell r="G7370">
            <v>8877100129</v>
          </cell>
          <cell r="K7370" t="str">
            <v>BTIS032020</v>
          </cell>
        </row>
        <row r="7371">
          <cell r="E7371" t="str">
            <v>RANCHI
834002</v>
          </cell>
          <cell r="G7371">
            <v>6204720546</v>
          </cell>
          <cell r="K7371" t="str">
            <v>BTIS032025</v>
          </cell>
        </row>
        <row r="7372">
          <cell r="E7372" t="str">
            <v>SHEETLA PRASAD SINGH,, MISHRA PADA, NEAR DURGA MANDIR,, JHARIA, DHANBAD - 828 111, JHARKHAND.</v>
          </cell>
          <cell r="G7372">
            <v>7644045555</v>
          </cell>
          <cell r="K7372" t="str">
            <v>BTCD162149</v>
          </cell>
        </row>
        <row r="7373">
          <cell r="E7373" t="str">
            <v>DHANBAD</v>
          </cell>
          <cell r="G7373">
            <v>9263634493</v>
          </cell>
          <cell r="K7373" t="str">
            <v>BTCD162159</v>
          </cell>
        </row>
        <row r="7374">
          <cell r="E7374" t="str">
            <v>JHUMRI TELAIYA, KODARMA
825409</v>
          </cell>
          <cell r="G7374">
            <v>9431142040</v>
          </cell>
          <cell r="K7374" t="str">
            <v>BSBC375530</v>
          </cell>
        </row>
        <row r="7375">
          <cell r="E7375" t="str">
            <v>BANDHIYA RAOD, NAGRI RANCHI, MOB.8709325266
834006
BANDHIYA ROAD, NAGARI RANCHI</v>
          </cell>
          <cell r="G7375">
            <v>9110022503</v>
          </cell>
          <cell r="K7375" t="str">
            <v>BLFS040558</v>
          </cell>
        </row>
        <row r="7376">
          <cell r="E7376" t="str">
            <v>BASTAKOLA, DHANBAD</v>
          </cell>
          <cell r="G7376">
            <v>9550053031</v>
          </cell>
          <cell r="K7376" t="str">
            <v>BUKD162535</v>
          </cell>
        </row>
        <row r="7377">
          <cell r="E7377" t="str">
            <v>BANDHIYA RAOD, NAGRI RANCHI, MOB.8709325266
834006
BANDHIYA ROAD, NAGARI RANCHI</v>
          </cell>
          <cell r="G7377">
            <v>9110022503</v>
          </cell>
          <cell r="K7377" t="str">
            <v>BLFS040558</v>
          </cell>
        </row>
        <row r="7378">
          <cell r="E7378" t="str">
            <v>AT: SENEGARHA, P.O-RABODH, P.S-GIDDI,(RAMGARH),, DISTT. HAZARIBAGH,JHARKHAND-825330
829108
AT: SENEGARHA, P.O-RABODH, P.S-GIDDI,(RAMGARH),</v>
          </cell>
          <cell r="G7378">
            <v>9006877583</v>
          </cell>
          <cell r="K7378" t="str">
            <v>BSCS037349</v>
          </cell>
        </row>
        <row r="7379">
          <cell r="E7379" t="str">
            <v>NAGARI RANCHI
NAGARI RANCHI
835303</v>
          </cell>
          <cell r="G7379">
            <v>6201457979</v>
          </cell>
          <cell r="K7379" t="str">
            <v>BKJS030050</v>
          </cell>
        </row>
        <row r="7380">
          <cell r="E7380" t="str">
            <v>SHEETLA PRASAD SINGH,, MISHRA PADA, NEAR DURGA MANDIR,, JHARIA, DHANBAD - 828 111, JHARKHAND.</v>
          </cell>
          <cell r="G7380">
            <v>7644045555</v>
          </cell>
          <cell r="K7380" t="str">
            <v>BTCD162149</v>
          </cell>
        </row>
        <row r="7381">
          <cell r="E7381" t="str">
            <v>LOHARDAGA,JHARKHAND
LOHARDAGA, MOB. NO.9661111900
835302
LOHARDAGA</v>
          </cell>
          <cell r="G7381">
            <v>7903761522</v>
          </cell>
          <cell r="K7381" t="str">
            <v>BQFS031084</v>
          </cell>
        </row>
        <row r="7382">
          <cell r="E7382" t="str">
            <v>RAMGARH</v>
          </cell>
          <cell r="G7382">
            <v>7009377365</v>
          </cell>
          <cell r="K7382" t="str">
            <v>BKAS030601</v>
          </cell>
        </row>
        <row r="7383">
          <cell r="E7383" t="str">
            <v>GROUND FLOOR,, OFFICE NO.448A, ROAD NO.4, ASHOK NAGAR
GROUND FLOOR,, OFFICE NO.448A, ROAD NO.4, ASHOK NAGAR
829118
PLOT NO:- 47P, PATRATU INDUSTRIAL AREA</v>
          </cell>
          <cell r="G7383">
            <v>7992410819</v>
          </cell>
          <cell r="K7383" t="str">
            <v>ONIC370102</v>
          </cell>
        </row>
        <row r="7384">
          <cell r="E7384" t="str">
            <v>GROUND AND 1 ST FLOOR, BESIDE DAINIK BHASKAR, GOVINDPUR ROAD, DIST :- DHANBAD
GROUND AND 1 ST FLOOR, BESIDE DAINIK BHASKAR, GOVINDPUR ROAD, DIST :- DHANBAD
828109</v>
          </cell>
          <cell r="G7384">
            <v>8210484005</v>
          </cell>
          <cell r="K7384" t="str">
            <v>BRJC371698</v>
          </cell>
        </row>
        <row r="7385">
          <cell r="E7385" t="str">
            <v>RANCHI</v>
          </cell>
          <cell r="G7385">
            <v>7903761522</v>
          </cell>
          <cell r="K7385" t="str">
            <v>BKDS031405</v>
          </cell>
        </row>
        <row r="7386">
          <cell r="E7386" t="str">
            <v>REHLA, GARHWA ROAD, PALAMU D.T, JHARKHAND
PALAMU JHARKHAND 822124
INDIA</v>
          </cell>
          <cell r="G7386">
            <v>7004971081</v>
          </cell>
          <cell r="K7386" t="str">
            <v>BLFS031469</v>
          </cell>
        </row>
        <row r="7387">
          <cell r="E7387" t="str">
            <v>ORMANJHI,RANCHI
835219</v>
          </cell>
          <cell r="G7387">
            <v>9155006000</v>
          </cell>
          <cell r="K7387" t="str">
            <v>BSGC376577</v>
          </cell>
        </row>
        <row r="7388">
          <cell r="E7388" t="str">
            <v>REHLA,GARWA,JHARKHAND
822124
RANCHI</v>
          </cell>
          <cell r="G7388">
            <v>7004623399</v>
          </cell>
          <cell r="K7388" t="str">
            <v>BMFS031346</v>
          </cell>
        </row>
        <row r="7389">
          <cell r="E7389" t="str">
            <v>ORMANJHI
835219</v>
          </cell>
          <cell r="G7389">
            <v>7091690999</v>
          </cell>
          <cell r="K7389" t="str">
            <v>BTFC378771</v>
          </cell>
        </row>
        <row r="7390">
          <cell r="E7390" t="str">
            <v>NAGARI
 835303</v>
          </cell>
          <cell r="G7390">
            <v>9264443241</v>
          </cell>
          <cell r="K7390" t="str">
            <v>BREC373538</v>
          </cell>
        </row>
        <row r="7391">
          <cell r="E7391" t="str">
            <v>C/O - AMAN AGRAWAL, PLOT NO. 735, KAITHA, RAMGARH CANTT., RAMGARH
825101</v>
          </cell>
          <cell r="G7391">
            <v>8709937739</v>
          </cell>
          <cell r="K7391" t="str">
            <v>BSDC375954</v>
          </cell>
        </row>
        <row r="7392">
          <cell r="E7392" t="str">
            <v>DHANBAD</v>
          </cell>
          <cell r="G7392">
            <v>9263634417</v>
          </cell>
          <cell r="K7392" t="str">
            <v>BTCD162159</v>
          </cell>
        </row>
        <row r="7393">
          <cell r="E7393" t="str">
            <v>RANCHI PATNA ROAD
DEMOTAND
825301
HAZARIBAGH</v>
          </cell>
          <cell r="G7393">
            <v>7905424302</v>
          </cell>
          <cell r="K7393" t="str">
            <v>BSCS037531</v>
          </cell>
        </row>
        <row r="7394">
          <cell r="E7394" t="str">
            <v>BAZAR SAMITI,RAMGARH
829122</v>
          </cell>
          <cell r="G7394">
            <v>9835764965</v>
          </cell>
          <cell r="K7394" t="str">
            <v>BSBC375576</v>
          </cell>
        </row>
        <row r="7395">
          <cell r="E7395" t="str">
            <v>ANA COLLERY, DHANBAD</v>
          </cell>
          <cell r="G7395">
            <v>9443954373</v>
          </cell>
          <cell r="K7395" t="str">
            <v>BPKD200025</v>
          </cell>
        </row>
        <row r="7396">
          <cell r="E7396" t="str">
            <v>TUPUDANA INDUSTRIAL AREA, RANCHI
PLOT NO. 114, TUPUDANA INDUSTRIAL AREA, TUPUDANA,HATIA, RANCHI
834002
RANCHI</v>
          </cell>
          <cell r="G7396">
            <v>8709670947</v>
          </cell>
          <cell r="K7396">
            <v>123434</v>
          </cell>
        </row>
        <row r="7397">
          <cell r="E7397" t="str">
            <v>C/O - AMAN AGRAWAL, PLOT NO. 735, KAITHA, RAMGARH CANTT., RAMGARH
825101</v>
          </cell>
          <cell r="G7397">
            <v>8709937739</v>
          </cell>
          <cell r="K7397" t="str">
            <v>BSDC375954</v>
          </cell>
        </row>
        <row r="7398">
          <cell r="E7398" t="str">
            <v>SHEETLA PRASAD SINGH,, MISHRA PADA, NEAR DURGA MANDIR,, JHARIA, DHANBAD - 828 111, JHARKHAND.</v>
          </cell>
          <cell r="G7398">
            <v>7644045555</v>
          </cell>
          <cell r="K7398" t="str">
            <v>BTDD162169</v>
          </cell>
        </row>
        <row r="7399">
          <cell r="E7399" t="str">
            <v>GROUND FLOOR, 8H AND 81, NATION PRINTERS, NAMKUM INDUSTRIAL AREA,, LOWADIH, RANCHI
GROUND FLOOR, 8H AND 81, NATION PRINTERS, NAMKUM INDUSTRIAL AREA,, LOWADIH, RANCHI
834010</v>
          </cell>
          <cell r="G7399">
            <v>9308825924</v>
          </cell>
          <cell r="K7399" t="str">
            <v>BRFC373676</v>
          </cell>
        </row>
        <row r="7400">
          <cell r="E7400" t="str">
            <v>KOKAR INDUSTRIAL AREA,RANCHI
834001</v>
          </cell>
          <cell r="G7400">
            <v>9264445707</v>
          </cell>
          <cell r="K7400" t="str">
            <v>BPIC370386</v>
          </cell>
        </row>
        <row r="7401">
          <cell r="E7401" t="str">
            <v>Chiturdih, Dhanbad.</v>
          </cell>
          <cell r="G7401">
            <v>9931519401</v>
          </cell>
          <cell r="K7401" t="str">
            <v>BTDD162192</v>
          </cell>
        </row>
        <row r="7402">
          <cell r="E7402" t="str">
            <v>LODNA</v>
          </cell>
          <cell r="G7402">
            <v>9550053031</v>
          </cell>
          <cell r="K7402" t="str">
            <v>BQKD160099</v>
          </cell>
        </row>
        <row r="7403">
          <cell r="E7403" t="str">
            <v>NAMKUM INDUSTRIAL AREA
NAMKUM
834001</v>
          </cell>
          <cell r="G7403">
            <v>9431109899</v>
          </cell>
          <cell r="K7403" t="str">
            <v>BUKC370657</v>
          </cell>
        </row>
        <row r="7404">
          <cell r="E7404" t="str">
            <v>URMILA TOWER, ROOM NO. 805, DHANBAD</v>
          </cell>
          <cell r="G7404">
            <v>9661734823</v>
          </cell>
          <cell r="K7404" t="str">
            <v>BTGD162296</v>
          </cell>
        </row>
        <row r="7405">
          <cell r="E7405" t="str">
            <v>RAVULA SHYAM SUNDER REDDY, HOUSE NO. 3-5-196/1, ROAD NO. 5M, KRISHNANAGAR COLONY, MOULALI, HYDRABAD</v>
          </cell>
          <cell r="G7405">
            <v>7751812111</v>
          </cell>
          <cell r="K7405" t="str">
            <v>BTCD162162</v>
          </cell>
        </row>
        <row r="7406">
          <cell r="E7406" t="str">
            <v>NTA LODNA, DHANBAD</v>
          </cell>
          <cell r="G7406">
            <v>7644045555</v>
          </cell>
          <cell r="K7406" t="str">
            <v>BULD162559</v>
          </cell>
        </row>
        <row r="7407">
          <cell r="E7407" t="str">
            <v>NTA LODNA, DHANBAD</v>
          </cell>
          <cell r="G7407">
            <v>7644045555</v>
          </cell>
          <cell r="K7407" t="str">
            <v>BULD162559</v>
          </cell>
        </row>
        <row r="7408">
          <cell r="E7408" t="str">
            <v>TRIDENT PNEUMATICS PVT LTD   5/232,KNG PUDUR ROADSOMAYAMPALAYAM POSTCOIMBATORE IND</v>
          </cell>
          <cell r="G7408">
            <v>9386007608</v>
          </cell>
          <cell r="K7408" t="str">
            <v>BRCC373040</v>
          </cell>
        </row>
        <row r="7409">
          <cell r="E7409" t="str">
            <v>VINAIKA’S COMPLEX RANCHI TATA ROAD, R.S. PLOT NO.:-615,VILLAGE-PANCHA,THANA-BUNDU RANCHI, JHARKHAND.
834002</v>
          </cell>
          <cell r="G7409">
            <v>9667936357</v>
          </cell>
          <cell r="K7409" t="str">
            <v>BUDS046275</v>
          </cell>
        </row>
        <row r="7410">
          <cell r="E7410" t="str">
            <v>KOKAR INDUSTRIAL AREA,RANCHI
834001</v>
          </cell>
          <cell r="G7410">
            <v>9386066615</v>
          </cell>
          <cell r="K7410" t="str">
            <v>BSBC375532</v>
          </cell>
        </row>
        <row r="7411">
          <cell r="E7411" t="str">
            <v>RANCHI PATNA ROAD
DEMOTAND
825301
HAZARIBAGH</v>
          </cell>
          <cell r="G7411">
            <v>6203465926</v>
          </cell>
          <cell r="K7411" t="str">
            <v>BSCS037531</v>
          </cell>
        </row>
        <row r="7412">
          <cell r="E7412" t="str">
            <v>GROUND FLOOR FOREST COLONY, HAZARIBAGH
GROUND FLOOR FOREST COLONY
000000</v>
          </cell>
          <cell r="G7412">
            <v>7992247849</v>
          </cell>
          <cell r="K7412" t="str">
            <v>BUJC370052</v>
          </cell>
        </row>
        <row r="7413">
          <cell r="E7413" t="str">
            <v>BARHI, HAZARIBAGH</v>
          </cell>
          <cell r="G7413">
            <v>8488957184</v>
          </cell>
          <cell r="K7413" t="str">
            <v>BUCS034287</v>
          </cell>
        </row>
        <row r="7414">
          <cell r="E7414" t="str">
            <v>ADDRESS-PLOT-57B,BARAHI INDUSTRIAL AREA,ON DELHI HOWRAH NATIONAL HIGHWAY,BARHI,JAHARKHAND.</v>
          </cell>
          <cell r="G7414">
            <v>8488957184</v>
          </cell>
          <cell r="K7414" t="str">
            <v>BUBS033778</v>
          </cell>
        </row>
        <row r="7415">
          <cell r="E7415" t="str">
            <v>TUPUDANA INDUSTRIAL AREA, RANCHI
PLOT NO. 114, TUPUDANA INDUSTRIAL AREA, TUPUDANA,HATIA, RANCHI
834002
RANCHI</v>
          </cell>
          <cell r="G7415">
            <v>7248899000</v>
          </cell>
          <cell r="K7415">
            <v>123434</v>
          </cell>
        </row>
        <row r="7416">
          <cell r="E7416" t="str">
            <v>TUPUDANA INDUSTRIAL AREA, RANCHI
PLOT NO. 114, TUPUDANA INDUSTRIAL AREA, TUPUDANA,HATIA, RANCHI
834002
RANCHI</v>
          </cell>
          <cell r="G7416">
            <v>7248899000</v>
          </cell>
          <cell r="K7416" t="str">
            <v>GOKS040088</v>
          </cell>
        </row>
        <row r="7417">
          <cell r="E7417" t="str">
            <v>C/O - SUJIT KUMAR, SAHAJANAND NAGAR, H. NO. -121, RANI ROAD, BHUDA, BARMASIA,, DHANBAD</v>
          </cell>
          <cell r="G7417">
            <v>9334537849</v>
          </cell>
          <cell r="K7417" t="str">
            <v>BTED200706</v>
          </cell>
        </row>
        <row r="7418">
          <cell r="E7418" t="str">
            <v>RANCHI PATNA ROAD
DEMOTAND
825301
HAZARIBAGH</v>
          </cell>
          <cell r="G7418">
            <v>6203465926</v>
          </cell>
          <cell r="K7418" t="str">
            <v>BMBL160078</v>
          </cell>
        </row>
        <row r="7419">
          <cell r="E7419" t="str">
            <v>RANCHI
834002</v>
          </cell>
          <cell r="G7419">
            <v>8877100129</v>
          </cell>
          <cell r="K7419" t="str">
            <v>BTIS032025</v>
          </cell>
        </row>
        <row r="7420">
          <cell r="E7420" t="str">
            <v>HORHAP ROAD, MAHILONG, RANCHI
835103</v>
          </cell>
          <cell r="G7420">
            <v>9708039203</v>
          </cell>
          <cell r="K7420" t="str">
            <v>BRIC374329</v>
          </cell>
        </row>
        <row r="7421">
          <cell r="E7421" t="str">
            <v>HAZARIBAGH
RANCHI JHARKHAND 834002
INDIA</v>
          </cell>
          <cell r="G7421">
            <v>7361044448</v>
          </cell>
          <cell r="K7421" t="str">
            <v>BKAS030685</v>
          </cell>
        </row>
        <row r="7422">
          <cell r="E7422" t="str">
            <v>LAKHISARAI BIHAR</v>
          </cell>
          <cell r="G7422">
            <v>7909027488</v>
          </cell>
          <cell r="K7422" t="str">
            <v>BNJS040074</v>
          </cell>
        </row>
        <row r="7423">
          <cell r="E7423" t="str">
            <v>LAKHISARAI, BIHAR</v>
          </cell>
          <cell r="G7423">
            <v>7909027488</v>
          </cell>
          <cell r="K7423" t="str">
            <v>BNJS040045</v>
          </cell>
        </row>
        <row r="7424">
          <cell r="E7424" t="str">
            <v>RANCHI PATNA ROAD
DEMOTAND
825301
HAZARIBAGH</v>
          </cell>
          <cell r="G7424">
            <v>7209274781</v>
          </cell>
          <cell r="K7424" t="str">
            <v>BMBL160078</v>
          </cell>
        </row>
        <row r="7425">
          <cell r="E7425" t="str">
            <v>RANCHI PATNA ROAD
DEMOTAND
825301
HAZARIBAGH</v>
          </cell>
          <cell r="G7425">
            <v>6203465926</v>
          </cell>
          <cell r="K7425" t="str">
            <v>BSCS037531</v>
          </cell>
        </row>
        <row r="7426">
          <cell r="E7426" t="str">
            <v>SHIVA JEE LANE, HARMU
834002</v>
          </cell>
          <cell r="G7426">
            <v>9431574189</v>
          </cell>
          <cell r="K7426" t="str">
            <v>BRGC374007</v>
          </cell>
        </row>
        <row r="7427">
          <cell r="E7427" t="str">
            <v>BHAGALPUR ROAD</v>
          </cell>
          <cell r="G7427">
            <v>6202029082</v>
          </cell>
          <cell r="K7427" t="str">
            <v>GPJD160018</v>
          </cell>
        </row>
        <row r="7428">
          <cell r="E7428" t="str">
            <v>BASTAWLA DHANBAD</v>
          </cell>
          <cell r="G7428">
            <v>9550053031</v>
          </cell>
          <cell r="K7428" t="str">
            <v>BTJD162046</v>
          </cell>
        </row>
        <row r="7429">
          <cell r="E7429" t="str">
            <v>OPERATIONS OFFICER, BOKARO BP, KIND ATTEN.ABHISHEK TRIPATHI, MOB. NO.8789972995, VENDOR CODE-11970380
OPERATIONS OFFICER, BOKARO BP, KIND ATTEN.ABHISHEK TRIPATHI, MOB. NO.8789972995, VENDOR CODE-11970380
827014
LPG BOTTALING PLANT, BALIDIH,</v>
          </cell>
          <cell r="G7429">
            <v>8092095823</v>
          </cell>
          <cell r="K7429" t="str">
            <v>BOCS040147</v>
          </cell>
        </row>
        <row r="7430">
          <cell r="E7430" t="str">
            <v>RANCHI PATNA ROAD
DEMOTAND
825301
HAZARIBAGH</v>
          </cell>
          <cell r="G7430">
            <v>6203465926</v>
          </cell>
          <cell r="K7430" t="str">
            <v>BSCS037531</v>
          </cell>
        </row>
        <row r="7431">
          <cell r="E7431" t="str">
            <v>RANCHI PATNA ROAD
DEMOTAND
825301
HAZARIBAGH</v>
          </cell>
          <cell r="G7431">
            <v>6203465926</v>
          </cell>
          <cell r="K7431" t="str">
            <v>BSCS037531</v>
          </cell>
        </row>
        <row r="7432">
          <cell r="E7432" t="str">
            <v>RAMGARH CANTT, RAMGARH
RAMGARH
829122
RAMGARH</v>
          </cell>
          <cell r="G7432">
            <v>9576833882</v>
          </cell>
          <cell r="K7432" t="str">
            <v>BNKS030423</v>
          </cell>
        </row>
        <row r="7433">
          <cell r="E7433" t="str">
            <v>AT. BONGABAR, SANDI, RAMGARH, AMC  FROM 1-8-2019 TO 30-7-2020
829122
SANDI ,</v>
          </cell>
          <cell r="G7433">
            <v>7004344365</v>
          </cell>
          <cell r="K7433" t="str">
            <v>BLGS040605</v>
          </cell>
        </row>
        <row r="7434">
          <cell r="E7434" t="str">
            <v>RAMGARH</v>
          </cell>
          <cell r="G7434">
            <v>7009377365</v>
          </cell>
          <cell r="K7434" t="str">
            <v>BKAS030601</v>
          </cell>
        </row>
        <row r="7435">
          <cell r="E7435" t="str">
            <v>BARIATU,RANCHI
834009
BARIATU</v>
          </cell>
          <cell r="G7435">
            <v>7903133836</v>
          </cell>
          <cell r="K7435" t="str">
            <v>BQLC370193</v>
          </cell>
        </row>
        <row r="7436">
          <cell r="E7436" t="str">
            <v>PLOT NO. 79, KAPASARA,, SUNDERNAGAR, CHIRKUNDA,, DHANBAD - 828 202
PLOT NO. 79, KAPASARA,, SUNDERNAGAR, CHIRKUNDA,, DHANBAD - 828 202
828202</v>
          </cell>
          <cell r="G7436">
            <v>8101005542</v>
          </cell>
          <cell r="K7436" t="str">
            <v>BTFS031006</v>
          </cell>
        </row>
        <row r="7437">
          <cell r="E7437" t="str">
            <v>C/O CREATIVE TEXTILES
KUNJLAL,UPPER BAZAR, RANCHI
834001</v>
          </cell>
          <cell r="G7437">
            <v>9534117916</v>
          </cell>
          <cell r="K7437" t="str">
            <v>BULC371071</v>
          </cell>
        </row>
        <row r="7438">
          <cell r="E7438" t="str">
            <v>NAMKUN INDUSTRIAL AREA,RANCHI
834010</v>
          </cell>
          <cell r="G7438">
            <v>9431109899</v>
          </cell>
          <cell r="K7438" t="str">
            <v>BUDS034771</v>
          </cell>
        </row>
        <row r="7439">
          <cell r="E7439" t="str">
            <v>REHLA, GARHWA ROAD, PALAMU D.T, JHARKHAND
PALAMU JHARKHAND 822124
INDIA</v>
          </cell>
          <cell r="G7439">
            <v>7004971081</v>
          </cell>
          <cell r="K7439" t="str">
            <v>BLFS031469</v>
          </cell>
        </row>
        <row r="7440">
          <cell r="E7440" t="str">
            <v>DHANBAD</v>
          </cell>
          <cell r="G7440">
            <v>9441693704</v>
          </cell>
          <cell r="K7440" t="str">
            <v>BTDD162186</v>
          </cell>
        </row>
        <row r="7441">
          <cell r="E7441" t="str">
            <v>BASKATOLA</v>
          </cell>
          <cell r="G7441">
            <v>9550053031</v>
          </cell>
          <cell r="K7441" t="str">
            <v>BULD162577</v>
          </cell>
        </row>
        <row r="7442">
          <cell r="E7442" t="str">
            <v>BASTAKOLA, DHANBAD</v>
          </cell>
          <cell r="G7442">
            <v>7489823544</v>
          </cell>
          <cell r="K7442" t="str">
            <v>BUKD162535</v>
          </cell>
        </row>
        <row r="7443">
          <cell r="E7443" t="str">
            <v>DHANBAD</v>
          </cell>
          <cell r="G7443">
            <v>9441693704</v>
          </cell>
          <cell r="K7443" t="str">
            <v>BTDD162183</v>
          </cell>
        </row>
        <row r="7444">
          <cell r="E7444" t="str">
            <v>TILTA RING ROAD.
834006</v>
          </cell>
          <cell r="G7444">
            <v>6200855859</v>
          </cell>
          <cell r="K7444" t="str">
            <v>BSHC376807</v>
          </cell>
        </row>
        <row r="7445">
          <cell r="E7445" t="str">
            <v>BASKATOLA</v>
          </cell>
          <cell r="G7445">
            <v>9550053031</v>
          </cell>
          <cell r="K7445" t="str">
            <v>BULD162577</v>
          </cell>
        </row>
        <row r="7446">
          <cell r="E7446" t="str">
            <v>BASKATOLA</v>
          </cell>
          <cell r="G7446">
            <v>9550053031</v>
          </cell>
          <cell r="K7446" t="str">
            <v>BULD162568</v>
          </cell>
        </row>
        <row r="7447">
          <cell r="E7447" t="str">
            <v>PALAMU,GARWA, JHARKHAND
822124
GARHWA ROAD, NEAR BCCL PALAMU,</v>
          </cell>
          <cell r="G7447">
            <v>8877136770</v>
          </cell>
          <cell r="K7447" t="str">
            <v>GOCS030806</v>
          </cell>
        </row>
        <row r="7448">
          <cell r="E7448" t="str">
            <v>NTA LODNA, DHANBAD</v>
          </cell>
          <cell r="G7448">
            <v>0</v>
          </cell>
          <cell r="K7448" t="str">
            <v>BULD162559</v>
          </cell>
        </row>
        <row r="7449">
          <cell r="E7449" t="str">
            <v>1ST FLOOR, RAJ GLASS AND HARDWARE, PISKA MORE, PO - HEHEL, RATU ROAD, RANCHI
1ST FLOOR, RAJ GLASS AND HARDWARE, PISKA MORE, PO - HEHEL, RATU ROAD, RANCHI
835214</v>
          </cell>
          <cell r="G7449">
            <v>7903468201</v>
          </cell>
          <cell r="K7449" t="str">
            <v>BTES044431</v>
          </cell>
        </row>
        <row r="7450">
          <cell r="E7450" t="str">
            <v>GAMHARIA,JAMSHEDPUR</v>
          </cell>
          <cell r="G7450">
            <v>7900700814</v>
          </cell>
          <cell r="K7450" t="str">
            <v>BSKL151780</v>
          </cell>
        </row>
        <row r="7451">
          <cell r="E7451" t="str">
            <v>FLAT NO. 300, BLOCK - A, MP SRIRAM, CHHOTA GAMHARIA, P.S. - GAMHARIA, DIST.- SARAIKELA KHARSAWAN</v>
          </cell>
          <cell r="G7451">
            <v>7900700814</v>
          </cell>
          <cell r="K7451" t="str">
            <v>BRGL151468</v>
          </cell>
        </row>
        <row r="7452">
          <cell r="E7452" t="str">
            <v>FLAT NO. 300, BLOCK - A, MP SRIRAM, CHHOTA GAMHARIA, P.S. - GAMHARIA, DIST.- SARAIKELA KHARSAWAN</v>
          </cell>
          <cell r="G7452">
            <v>7900700814</v>
          </cell>
          <cell r="K7452" t="str">
            <v>BRGL151464</v>
          </cell>
        </row>
        <row r="7453">
          <cell r="E7453" t="str">
            <v>FLAT NO. 300, BLOCK - A, MP SRIRAM, CHHOTA GAMHARIA, P.S. - GAMHARIA, DIST.- SARAIKELA KHARSAWAN</v>
          </cell>
          <cell r="G7453">
            <v>7900700814</v>
          </cell>
          <cell r="K7453" t="str">
            <v>BRBL150944</v>
          </cell>
        </row>
        <row r="7454">
          <cell r="E7454" t="str">
            <v>RANCHI</v>
          </cell>
          <cell r="G7454">
            <v>8877136770</v>
          </cell>
          <cell r="K7454" t="str">
            <v>BLIS031950</v>
          </cell>
        </row>
        <row r="7455">
          <cell r="E7455" t="str">
            <v>SHEETLA PRASAD SINGH,, MISHRA PADA, NEAR DURGA MANDIR,, JHARIA, DHANBAD - 828 111, JHARKHAND.</v>
          </cell>
          <cell r="G7455">
            <v>7644045555</v>
          </cell>
          <cell r="K7455" t="str">
            <v>BTCD162149</v>
          </cell>
        </row>
        <row r="7456">
          <cell r="E7456" t="str">
            <v>DALADALI, RANCHI</v>
          </cell>
          <cell r="G7456">
            <v>9934169368</v>
          </cell>
          <cell r="K7456" t="str">
            <v>BQHD160416</v>
          </cell>
        </row>
        <row r="7457">
          <cell r="E7457" t="str">
            <v>KOKAR INDUSTRIAL AREA,,RANCHI
834002
KOKAR INDUSTRIAL AREA RANCHI</v>
          </cell>
          <cell r="G7457">
            <v>0</v>
          </cell>
          <cell r="K7457" t="str">
            <v>GNDC370057</v>
          </cell>
        </row>
        <row r="7458">
          <cell r="E7458" t="str">
            <v>LOHARDAGA,JHARKHAND
LOHARDAGA, MOB. NO.9661111900
835302
LOHARDAGA</v>
          </cell>
          <cell r="G7458">
            <v>8708406268</v>
          </cell>
          <cell r="K7458" t="str">
            <v>BQFS031084</v>
          </cell>
        </row>
        <row r="7459">
          <cell r="E7459" t="str">
            <v>NAMKUM INDUSTRIAL AREA,RANCHI
834010</v>
          </cell>
          <cell r="G7459">
            <v>9386408111</v>
          </cell>
          <cell r="K7459" t="str">
            <v>GOCC370403</v>
          </cell>
        </row>
        <row r="7460">
          <cell r="E7460" t="str">
            <v>RANCHI</v>
          </cell>
          <cell r="G7460">
            <v>8708406268</v>
          </cell>
          <cell r="K7460" t="str">
            <v>BKDS031405</v>
          </cell>
        </row>
        <row r="7461">
          <cell r="E7461" t="str">
            <v>KUSUNDA DHANBAD</v>
          </cell>
          <cell r="G7461">
            <v>8210106692</v>
          </cell>
          <cell r="K7461" t="str">
            <v>BQCD160129</v>
          </cell>
        </row>
        <row r="7462">
          <cell r="E7462" t="str">
            <v>C/O CREATIVE TEXTILES
KUNJLAL,UPPER BAZAR, RANCHI
834001</v>
          </cell>
          <cell r="G7462">
            <v>9334146141</v>
          </cell>
          <cell r="K7462" t="str">
            <v>BULC371071</v>
          </cell>
        </row>
        <row r="7463">
          <cell r="E7463" t="str">
            <v>MARAR, RAMGARH, JHARKHAND
MARRAR RAMGARH, 9155729786
829117
MARAR</v>
          </cell>
          <cell r="G7463">
            <v>9204780801</v>
          </cell>
          <cell r="K7463" t="str">
            <v>BMIS031759</v>
          </cell>
        </row>
        <row r="7464">
          <cell r="E7464" t="str">
            <v>KATRAS DHANBAD</v>
          </cell>
          <cell r="G7464">
            <v>8210106692</v>
          </cell>
          <cell r="K7464" t="str">
            <v>BRBD160901</v>
          </cell>
        </row>
        <row r="7465">
          <cell r="E7465" t="str">
            <v>KANKANI</v>
          </cell>
          <cell r="G7465">
            <v>8210106692</v>
          </cell>
          <cell r="K7465" t="str">
            <v>BRBD160892</v>
          </cell>
        </row>
        <row r="7466">
          <cell r="E7466" t="str">
            <v>TILTA RING ROAD.
834006</v>
          </cell>
          <cell r="G7466">
            <v>0</v>
          </cell>
          <cell r="K7466" t="str">
            <v>BSHC376807</v>
          </cell>
        </row>
        <row r="7467">
          <cell r="E7467" t="str">
            <v>CHAS BOKARO</v>
          </cell>
          <cell r="G7467">
            <v>9135780550</v>
          </cell>
          <cell r="K7467" t="str">
            <v>BPJD200007</v>
          </cell>
        </row>
        <row r="7468">
          <cell r="E7468" t="str">
            <v>DHANBAD</v>
          </cell>
          <cell r="G7468">
            <v>9083506628</v>
          </cell>
          <cell r="K7468" t="str">
            <v>BRGD161225</v>
          </cell>
        </row>
        <row r="7469">
          <cell r="E7469" t="str">
            <v>KAMRE
835222</v>
          </cell>
          <cell r="G7469">
            <v>9570185050</v>
          </cell>
          <cell r="K7469" t="str">
            <v>BTCC377923</v>
          </cell>
        </row>
        <row r="7470">
          <cell r="E7470" t="str">
            <v>KUSUNDA DHANBAD</v>
          </cell>
          <cell r="G7470">
            <v>8210106692</v>
          </cell>
          <cell r="K7470" t="str">
            <v>BRDD161036</v>
          </cell>
        </row>
        <row r="7471">
          <cell r="E7471" t="str">
            <v>NAGARI
 835303</v>
          </cell>
          <cell r="G7471">
            <v>9264443241</v>
          </cell>
          <cell r="K7471" t="str">
            <v>BREC373538</v>
          </cell>
        </row>
        <row r="7472">
          <cell r="E7472" t="str">
            <v>PEPARWAR, KHILADI</v>
          </cell>
          <cell r="G7472">
            <v>8789442427</v>
          </cell>
          <cell r="K7472" t="str">
            <v>BRKD220111</v>
          </cell>
        </row>
        <row r="7473">
          <cell r="E7473" t="str">
            <v>VILLAGE - PANDRA
P.O. - KANKE
835222</v>
          </cell>
          <cell r="G7473">
            <v>8051502055</v>
          </cell>
          <cell r="K7473" t="str">
            <v>BUJS032230</v>
          </cell>
        </row>
        <row r="7474">
          <cell r="E7474" t="str">
            <v>NAMKUM INDUSTRIAL AREA
NAMKUM
834001</v>
          </cell>
          <cell r="G7474">
            <v>9431109899</v>
          </cell>
          <cell r="K7474" t="str">
            <v>BUKC370657</v>
          </cell>
        </row>
        <row r="7475">
          <cell r="E7475" t="str">
            <v>TUPUDANA INDUSTRIAL AREA, RANCHI
PLOT NO. - 45 &amp; 46, TUPUDAN AINDUSTRIAL AREA, TUPUDANA, HATIA, RANCHI
834003
TIPUDANA INDUSTRIAL AREA</v>
          </cell>
          <cell r="G7475">
            <v>8969744780</v>
          </cell>
          <cell r="K7475" t="str">
            <v>BQBS033819</v>
          </cell>
        </row>
        <row r="7476">
          <cell r="E7476" t="str">
            <v>GANDUDIH SITE, DHANBAD</v>
          </cell>
          <cell r="G7476">
            <v>9798360305</v>
          </cell>
          <cell r="K7476" t="str">
            <v>BQCD168129</v>
          </cell>
        </row>
        <row r="7477">
          <cell r="E7477" t="str">
            <v>ARGADA ROAD, BINJHAR, P.O. - MARAR, RAMGARH
829117</v>
          </cell>
          <cell r="G7477">
            <v>8294504879</v>
          </cell>
          <cell r="K7477" t="str">
            <v>BSCS037449</v>
          </cell>
        </row>
        <row r="7478">
          <cell r="E7478" t="str">
            <v>RAMGARH CANTT, RAMGARH
RAMGARH
829122
RAMGARH</v>
          </cell>
          <cell r="G7478">
            <v>9576833882</v>
          </cell>
          <cell r="K7478" t="str">
            <v>BNKS030423</v>
          </cell>
        </row>
        <row r="7479">
          <cell r="E7479" t="str">
            <v>MARAR, RAMGARH, JHARKHAND
MARRAR RAMGARH, 9155729786
829117
MARAR</v>
          </cell>
          <cell r="G7479">
            <v>9155729786</v>
          </cell>
          <cell r="K7479" t="str">
            <v>BMIS031759</v>
          </cell>
        </row>
        <row r="7480">
          <cell r="E7480" t="str">
            <v>Chiturdih, Dhanbad.</v>
          </cell>
          <cell r="G7480">
            <v>9931519401</v>
          </cell>
          <cell r="K7480" t="str">
            <v>BTDD162192</v>
          </cell>
        </row>
        <row r="7481">
          <cell r="E7481" t="str">
            <v>Chiturdih, Dhanbad.</v>
          </cell>
          <cell r="G7481">
            <v>9931519401</v>
          </cell>
          <cell r="K7481" t="str">
            <v>BTDD162192</v>
          </cell>
        </row>
        <row r="7482">
          <cell r="E7482" t="str">
            <v>KOKAR, RANCHI</v>
          </cell>
          <cell r="G7482">
            <v>8051191796</v>
          </cell>
          <cell r="K7482" t="str">
            <v>BRGD161233</v>
          </cell>
        </row>
        <row r="7483">
          <cell r="E7483" t="str">
            <v>NAGRI,RANCHI
835202
RANCHI</v>
          </cell>
          <cell r="G7483">
            <v>9608884168</v>
          </cell>
          <cell r="K7483" t="str">
            <v>BIGS030904</v>
          </cell>
        </row>
        <row r="7484">
          <cell r="E7484" t="str">
            <v>9.P .INDUSTRIAL AREA  KOKAR, RANCHI, TIN-20880200515
9.P .INDUSTRIAL AREA  KOKAR, RANCHI, TIN-20880200515
834001</v>
          </cell>
          <cell r="G7484">
            <v>6207710615</v>
          </cell>
          <cell r="K7484" t="str">
            <v>BTGS031205</v>
          </cell>
        </row>
        <row r="7485">
          <cell r="E7485" t="str">
            <v>DHANBAD</v>
          </cell>
          <cell r="G7485">
            <v>8102325605</v>
          </cell>
          <cell r="K7485" t="str">
            <v>BSGD161904</v>
          </cell>
        </row>
        <row r="7486">
          <cell r="E7486" t="str">
            <v>DHANBAD</v>
          </cell>
          <cell r="G7486">
            <v>6203273412</v>
          </cell>
          <cell r="K7486" t="str">
            <v>BTFD162244</v>
          </cell>
        </row>
        <row r="7487">
          <cell r="E7487" t="str">
            <v>KODERMA</v>
          </cell>
          <cell r="G7487">
            <v>7250369017</v>
          </cell>
          <cell r="K7487" t="str">
            <v>BIJS030062</v>
          </cell>
        </row>
        <row r="7488">
          <cell r="E7488" t="str">
            <v>RAMGARH
829103
NAYA MORE</v>
          </cell>
          <cell r="G7488">
            <v>7739460263</v>
          </cell>
          <cell r="K7488" t="str">
            <v>BPCS030196</v>
          </cell>
        </row>
        <row r="7489">
          <cell r="E7489" t="str">
            <v>GHATO
825314</v>
          </cell>
          <cell r="G7489">
            <v>7632487403</v>
          </cell>
          <cell r="K7489">
            <v>124371</v>
          </cell>
        </row>
        <row r="7490">
          <cell r="E7490" t="str">
            <v>GHATO
825314</v>
          </cell>
          <cell r="G7490">
            <v>7632487403</v>
          </cell>
          <cell r="K7490">
            <v>124380</v>
          </cell>
        </row>
        <row r="7491">
          <cell r="E7491" t="str">
            <v>HAZARIBAGH
RANCHI JHARKHAND 834002
INDIA</v>
          </cell>
          <cell r="G7491" t="str">
            <v>7309672604 / 7361044447/9835535277</v>
          </cell>
          <cell r="K7491" t="str">
            <v>BKAS030685</v>
          </cell>
        </row>
        <row r="7492">
          <cell r="E7492" t="str">
            <v>KOKAR,INDUSTRIAL AREA,RANCHI
834002
RANCHI</v>
          </cell>
          <cell r="G7492">
            <v>9471394003</v>
          </cell>
          <cell r="K7492" t="str">
            <v>BMKC370048</v>
          </cell>
        </row>
        <row r="7493">
          <cell r="E7493" t="str">
            <v>JHUMRI TILAIYA</v>
          </cell>
          <cell r="G7493">
            <v>8340567199</v>
          </cell>
          <cell r="K7493" t="str">
            <v>GPLS030458</v>
          </cell>
        </row>
        <row r="7494">
          <cell r="E7494" t="str">
            <v>SHEETLA PRASAD SINGH,, MISHRA PADA, NEAR DURGA MANDIR,, JHARIA, DHANBAD - 828 111, JHARKHAND.</v>
          </cell>
          <cell r="G7494">
            <v>7644045555</v>
          </cell>
          <cell r="K7494" t="str">
            <v>BTDD162169</v>
          </cell>
        </row>
        <row r="7495">
          <cell r="E7495" t="str">
            <v>BAKHTIYARPUR, BIHAR</v>
          </cell>
          <cell r="G7495">
            <v>9262697885</v>
          </cell>
          <cell r="K7495" t="str">
            <v>BUCD230856</v>
          </cell>
        </row>
        <row r="7496">
          <cell r="E7496" t="str">
            <v>RAMGARH
829103
NAYA MORE</v>
          </cell>
          <cell r="G7496">
            <v>8651078549</v>
          </cell>
          <cell r="K7496" t="str">
            <v>BPCS030196</v>
          </cell>
        </row>
        <row r="7497">
          <cell r="E7497" t="str">
            <v>SHEETLA PRASAD SINGH,, MISHRA PADA, NEAR DURGA MANDIR,, JHARIA, DHANBAD - 828 111, JHARKHAND.</v>
          </cell>
          <cell r="G7497">
            <v>7644045555</v>
          </cell>
          <cell r="K7497" t="str">
            <v>BTDD162169</v>
          </cell>
        </row>
        <row r="7498">
          <cell r="E7498" t="str">
            <v>RAMGARH
829103
NAYA MORE</v>
          </cell>
          <cell r="G7498">
            <v>7739460263</v>
          </cell>
          <cell r="K7498" t="str">
            <v>BRGS035169</v>
          </cell>
        </row>
        <row r="7499">
          <cell r="E7499" t="str">
            <v>DHANBAD</v>
          </cell>
          <cell r="G7499">
            <v>8102325605</v>
          </cell>
          <cell r="K7499" t="str">
            <v>BSGD161904</v>
          </cell>
        </row>
        <row r="7500">
          <cell r="E7500" t="str">
            <v>TUPUDANA INDUSTRIAL AREA, RANCHI
PLOT NO. 114, TUPUDANA INDUSTRIAL AREA, TUPUDANA,HATIA, RANCHI
834002
RANCHI</v>
          </cell>
          <cell r="G7500">
            <v>7248899000</v>
          </cell>
          <cell r="K7500">
            <v>123434</v>
          </cell>
        </row>
        <row r="7501">
          <cell r="E7501" t="str">
            <v>TUPUDANA INDUSTRIAL AREA, RANCHI
PLOT NO. 114, TUPUDANA INDUSTRIAL AREA, TUPUDANA,HATIA, RANCHI
834002
RANCHI</v>
          </cell>
          <cell r="G7501">
            <v>8709670997</v>
          </cell>
          <cell r="K7501" t="str">
            <v>BNAS040245</v>
          </cell>
        </row>
        <row r="7502">
          <cell r="E7502" t="str">
            <v>REHLA,GARWA,JHARKHAND
822124
RANCHI</v>
          </cell>
          <cell r="G7502">
            <v>7004623399</v>
          </cell>
          <cell r="K7502" t="str">
            <v>GOIS031795</v>
          </cell>
        </row>
        <row r="7503">
          <cell r="E7503" t="str">
            <v>DHANBAD</v>
          </cell>
          <cell r="G7503">
            <v>9441693704</v>
          </cell>
          <cell r="K7503" t="str">
            <v>BTDD162183</v>
          </cell>
        </row>
        <row r="7504">
          <cell r="E7504" t="str">
            <v>BASJORA</v>
          </cell>
          <cell r="G7504">
            <v>8668006217</v>
          </cell>
          <cell r="K7504" t="str">
            <v>BRED161077</v>
          </cell>
        </row>
        <row r="7505">
          <cell r="E7505" t="str">
            <v>DEWRI,TATA ROAD,JHARKHAND
GOSAIGIH BUNDU NH-33, RANCHI
815314
TATA ROAD, BUNDU,</v>
          </cell>
          <cell r="G7505">
            <v>9334505770</v>
          </cell>
          <cell r="K7505" t="str">
            <v>BJDS030976</v>
          </cell>
        </row>
        <row r="7506">
          <cell r="E7506" t="str">
            <v>DEWRI,TATA ROAD,JHARKHAND
GOSAIGIH BUNDU NH-33, RANCHI
815314
TATA ROAD, BUNDU,</v>
          </cell>
          <cell r="G7506">
            <v>9334505770</v>
          </cell>
          <cell r="K7506" t="str">
            <v>BLLS030352</v>
          </cell>
        </row>
        <row r="7507">
          <cell r="E7507" t="str">
            <v>DEWRI,TATA ROAD,JHARKHAND
GOSAIGIH BUNDU NH-33, RANCHI
815314
TATA ROAD, BUNDU,</v>
          </cell>
          <cell r="G7507">
            <v>9308825621</v>
          </cell>
          <cell r="K7507" t="str">
            <v>BNAS040264</v>
          </cell>
        </row>
        <row r="7508">
          <cell r="E7508" t="str">
            <v>CHAKARDHARPUR, JHARKHAND</v>
          </cell>
          <cell r="G7508">
            <v>8709505676</v>
          </cell>
          <cell r="K7508" t="str">
            <v>BSJD161422</v>
          </cell>
        </row>
        <row r="7509">
          <cell r="E7509" t="str">
            <v>NAGARI RANCHI
NAGARI RANCHI
835303</v>
          </cell>
          <cell r="G7509">
            <v>6201457979</v>
          </cell>
          <cell r="K7509" t="str">
            <v>BKJS030050</v>
          </cell>
        </row>
        <row r="7510">
          <cell r="E7510" t="str">
            <v>DHANBAD</v>
          </cell>
          <cell r="G7510">
            <v>9441693704</v>
          </cell>
          <cell r="K7510" t="str">
            <v>BTDD162186</v>
          </cell>
        </row>
        <row r="7511">
          <cell r="E7511" t="str">
            <v>SARAIKELA</v>
          </cell>
          <cell r="G7511">
            <v>6204302081</v>
          </cell>
          <cell r="K7511" t="str">
            <v>BQJD200026</v>
          </cell>
        </row>
        <row r="7512">
          <cell r="E7512" t="str">
            <v>NAGARI, RANCHI
834006</v>
          </cell>
          <cell r="G7512">
            <v>7255848442</v>
          </cell>
          <cell r="K7512" t="str">
            <v>BRAC372524</v>
          </cell>
        </row>
        <row r="7513">
          <cell r="E7513" t="str">
            <v>SHEETLA PRASAD SINGH,, MISHRA PADA, NEAR DURGA MANDIR,, JHARIA, DHANBAD - 828 111, JHARKHAND.</v>
          </cell>
          <cell r="G7513">
            <v>7644045555</v>
          </cell>
          <cell r="K7513" t="str">
            <v>BTCD162149</v>
          </cell>
        </row>
        <row r="7514">
          <cell r="E7514" t="str">
            <v>SUNDAR NAGAR, JAMSHEDPUR</v>
          </cell>
          <cell r="G7514">
            <v>6206278565</v>
          </cell>
          <cell r="K7514" t="str">
            <v>BUAD162625</v>
          </cell>
        </row>
        <row r="7515">
          <cell r="E7515" t="str">
            <v>DHANBAD</v>
          </cell>
          <cell r="G7515">
            <v>9263634496</v>
          </cell>
          <cell r="K7515" t="str">
            <v>BTCD162159</v>
          </cell>
        </row>
        <row r="7516">
          <cell r="E7516" t="str">
            <v>GHATO
825314</v>
          </cell>
          <cell r="G7516">
            <v>7632487403</v>
          </cell>
          <cell r="K7516">
            <v>124380</v>
          </cell>
        </row>
        <row r="7517">
          <cell r="E7517" t="str">
            <v>GHATO
825314</v>
          </cell>
          <cell r="G7517">
            <v>7632487403</v>
          </cell>
          <cell r="K7517">
            <v>124371</v>
          </cell>
        </row>
        <row r="7518">
          <cell r="E7518" t="str">
            <v>TATISILWI, RANCHI</v>
          </cell>
          <cell r="G7518">
            <v>7992479722</v>
          </cell>
          <cell r="K7518" t="str">
            <v>BSDD120664</v>
          </cell>
        </row>
        <row r="7519">
          <cell r="E7519" t="str">
            <v>DHANBAD</v>
          </cell>
          <cell r="G7519">
            <v>9550053031</v>
          </cell>
          <cell r="K7519" t="str">
            <v>BTDD162186</v>
          </cell>
        </row>
        <row r="7520">
          <cell r="E7520" t="str">
            <v>BASTAWLA DHANBAD</v>
          </cell>
          <cell r="G7520">
            <v>9550053031</v>
          </cell>
          <cell r="K7520" t="str">
            <v>BTJD162046</v>
          </cell>
        </row>
        <row r="7521">
          <cell r="E7521" t="str">
            <v>Chiturdih, Dhanbad.</v>
          </cell>
          <cell r="G7521">
            <v>7024084588</v>
          </cell>
          <cell r="K7521" t="str">
            <v>BTDD162192</v>
          </cell>
        </row>
        <row r="7522">
          <cell r="E7522" t="str">
            <v>OPP. PUNJAB NATIONAL BANK,, BUKRU, RANCHI</v>
          </cell>
          <cell r="G7522">
            <v>9304198323</v>
          </cell>
          <cell r="K7522" t="str">
            <v>BTKD162083</v>
          </cell>
        </row>
        <row r="7523">
          <cell r="E7523" t="str">
            <v>TUPUDANA INDUSTRIAL AREA</v>
          </cell>
          <cell r="G7523">
            <v>9534249500</v>
          </cell>
          <cell r="K7523" t="str">
            <v>BMBS030816</v>
          </cell>
        </row>
        <row r="7524">
          <cell r="E7524" t="str">
            <v>TRIDENT PNEUMATICS PVT LTD   5/232,KNG PUDUR ROADSOMAYAMPALAYAM POSTCOIMBATORE IND</v>
          </cell>
          <cell r="G7524">
            <v>9386007608</v>
          </cell>
          <cell r="K7524" t="str">
            <v>BRCC373040</v>
          </cell>
        </row>
        <row r="7525">
          <cell r="E7525" t="str">
            <v>KOKAR INDUSTRIAL AREA,RANCHI
834001</v>
          </cell>
          <cell r="G7525">
            <v>8404802062</v>
          </cell>
          <cell r="K7525" t="str">
            <v>BSBC375535</v>
          </cell>
        </row>
        <row r="7526">
          <cell r="E7526" t="str">
            <v>GROUND AND 1 ST FLOOR, BESIDE DAINIK BHASKAR, GOVINDPUR ROAD, DIST :- DHANBAD
GROUND AND 1 ST FLOOR, BESIDE DAINIK BHASKAR, GOVINDPUR ROAD, DIST :- DHANBAD
828109</v>
          </cell>
          <cell r="G7526">
            <v>9955178750</v>
          </cell>
          <cell r="K7526" t="str">
            <v>BRES034488</v>
          </cell>
        </row>
        <row r="7527">
          <cell r="E7527" t="str">
            <v>NAGARI,</v>
          </cell>
          <cell r="G7527">
            <v>7903706711</v>
          </cell>
          <cell r="K7527" t="str">
            <v>BLGS040582</v>
          </cell>
        </row>
        <row r="7528">
          <cell r="E7528" t="str">
            <v>TUPUDANA INDUSTRIAL AREA, RANCHI
PLOT NO. - 45 &amp; 46, TUPUDAN AINDUSTRIAL AREA, TUPUDANA, HATIA, RANCHI
834003
TIPUDANA INDUSTRIAL AREA</v>
          </cell>
          <cell r="G7528">
            <v>8969744780</v>
          </cell>
          <cell r="K7528" t="str">
            <v>BQBS033819</v>
          </cell>
        </row>
        <row r="7529">
          <cell r="E7529" t="str">
            <v>HINDPIDI, RANCHI</v>
          </cell>
          <cell r="G7529">
            <v>9445553022</v>
          </cell>
          <cell r="K7529" t="str">
            <v>BPLD200036</v>
          </cell>
        </row>
        <row r="7530">
          <cell r="E7530" t="str">
            <v>PIPARWAR, JHARKHAND</v>
          </cell>
          <cell r="G7530">
            <v>9661734823</v>
          </cell>
          <cell r="K7530" t="str">
            <v>BTKD162077</v>
          </cell>
        </row>
        <row r="7531">
          <cell r="E7531" t="str">
            <v>L-276, SHAHARPURA, SINDRI, DHANBAD</v>
          </cell>
          <cell r="G7531">
            <v>6207733410</v>
          </cell>
          <cell r="K7531" t="str">
            <v>BSID120761</v>
          </cell>
        </row>
        <row r="7532">
          <cell r="E7532" t="str">
            <v>HOSHIR GIDDI,RAMGARH
NEAR P.N. BANK MAIN ROAD, RAMGARH CANTT. 829122
829110</v>
          </cell>
          <cell r="G7532">
            <v>7903640842</v>
          </cell>
          <cell r="K7532" t="str">
            <v>GPJS030042</v>
          </cell>
        </row>
        <row r="7533">
          <cell r="E7533" t="str">
            <v>OPP. PUNJAB NATIONAL BANK,, BUKRU, RANCHI</v>
          </cell>
          <cell r="G7533">
            <v>9304198323</v>
          </cell>
          <cell r="K7533" t="str">
            <v>BTKD162083</v>
          </cell>
        </row>
        <row r="7534">
          <cell r="E7534" t="str">
            <v>SIMARIYA ROAD, CHATRA
825401</v>
          </cell>
          <cell r="G7534">
            <v>7779922031</v>
          </cell>
          <cell r="K7534" t="str">
            <v>BSFC376341</v>
          </cell>
        </row>
        <row r="7535">
          <cell r="E7535" t="str">
            <v>PEPARWAR, KHILADI</v>
          </cell>
          <cell r="G7535">
            <v>9234615009</v>
          </cell>
          <cell r="K7535" t="str">
            <v>BRKD220111</v>
          </cell>
        </row>
        <row r="7536">
          <cell r="E7536" t="str">
            <v>DHANBAD</v>
          </cell>
          <cell r="G7536">
            <v>9006617909</v>
          </cell>
          <cell r="K7536" t="str">
            <v>BNID2000161</v>
          </cell>
        </row>
        <row r="7537">
          <cell r="E7537" t="str">
            <v>RANCHI PATNA ROAD, NH-33, SINDUR, HAZARIBAGH</v>
          </cell>
          <cell r="G7537">
            <v>7004095574</v>
          </cell>
          <cell r="K7537" t="str">
            <v>BTKD200646</v>
          </cell>
        </row>
        <row r="7538">
          <cell r="E7538" t="str">
            <v>KAMRE
835222</v>
          </cell>
          <cell r="G7538">
            <v>9570185050</v>
          </cell>
          <cell r="K7538" t="str">
            <v>BTCC377923</v>
          </cell>
        </row>
        <row r="7539">
          <cell r="E7539" t="str">
            <v>DHANBAD</v>
          </cell>
          <cell r="G7539">
            <v>9550053031</v>
          </cell>
          <cell r="K7539" t="str">
            <v>BTDD162186</v>
          </cell>
        </row>
        <row r="7540">
          <cell r="E7540" t="str">
            <v>DHANBAD</v>
          </cell>
          <cell r="G7540">
            <v>9585918025</v>
          </cell>
          <cell r="K7540" t="str">
            <v>BRCD160968</v>
          </cell>
        </row>
        <row r="7541">
          <cell r="E7541" t="str">
            <v>L-276, SHAHARPURA, SINDRI, DHANBAD</v>
          </cell>
          <cell r="G7541">
            <v>6207733410</v>
          </cell>
          <cell r="K7541" t="str">
            <v>BSID120761</v>
          </cell>
        </row>
        <row r="7542">
          <cell r="E7542" t="str">
            <v>LAKHISARAI BIHAR</v>
          </cell>
          <cell r="G7542">
            <v>9874278005</v>
          </cell>
          <cell r="K7542" t="str">
            <v>BNJS040074</v>
          </cell>
        </row>
        <row r="7543">
          <cell r="E7543" t="str">
            <v>MANDU, RAMGARH
JAISWAL COLONY, THANA CHOW,, RAMGARH CANTT. DIST. RAMGARH, JHARKHAND
825316
MANDU</v>
          </cell>
          <cell r="G7543">
            <v>6205951815</v>
          </cell>
          <cell r="K7543" t="str">
            <v>BSGS043528</v>
          </cell>
        </row>
        <row r="7544">
          <cell r="E7544" t="str">
            <v>RAMGARH,JHARKHAND
825101
RAMGARH</v>
          </cell>
          <cell r="G7544">
            <v>6201431636</v>
          </cell>
          <cell r="K7544" t="str">
            <v>BSGC376585</v>
          </cell>
        </row>
        <row r="7545">
          <cell r="E7545" t="str">
            <v>FOREST COLONY, SENETRY ROAD,, NEAR RAHUL MARVAL, HAZARIBAGH
825302</v>
          </cell>
          <cell r="G7545">
            <v>9934366789</v>
          </cell>
          <cell r="K7545" t="str">
            <v>BTHC379544</v>
          </cell>
        </row>
        <row r="7546">
          <cell r="E7546" t="str">
            <v>NTA LODNA, DHANBAD</v>
          </cell>
          <cell r="G7546">
            <v>0</v>
          </cell>
          <cell r="K7546" t="str">
            <v>BULD162559</v>
          </cell>
        </row>
        <row r="7547">
          <cell r="E7547" t="str">
            <v>LAKHISARAI, BIHAR</v>
          </cell>
          <cell r="G7547">
            <v>9874278005</v>
          </cell>
          <cell r="K7547" t="str">
            <v>BNJS040045</v>
          </cell>
        </row>
        <row r="7548">
          <cell r="E7548" t="str">
            <v>PLOT NO 716,VILL-RUKKA,
835219</v>
          </cell>
          <cell r="G7548">
            <v>9791019799</v>
          </cell>
          <cell r="K7548" t="str">
            <v>BSKS036365</v>
          </cell>
        </row>
        <row r="7549">
          <cell r="E7549" t="str">
            <v>PLOT NO 716,VILL-RUKKA,
835219</v>
          </cell>
          <cell r="G7549">
            <v>9791019799</v>
          </cell>
          <cell r="K7549" t="str">
            <v>BSKS036366</v>
          </cell>
        </row>
        <row r="7550">
          <cell r="E7550" t="str">
            <v>PALAMU,GARWA, JHARKHAND
822124
GARHWA ROAD, NEAR BCCL PALAMU,</v>
          </cell>
          <cell r="G7550">
            <v>8877136770</v>
          </cell>
          <cell r="K7550" t="str">
            <v>GOCS030806</v>
          </cell>
        </row>
        <row r="7551">
          <cell r="E7551" t="str">
            <v>NTA LODNA, DHANBAD</v>
          </cell>
          <cell r="G7551">
            <v>0</v>
          </cell>
          <cell r="K7551" t="str">
            <v>BULD162559</v>
          </cell>
        </row>
        <row r="7552">
          <cell r="E7552" t="str">
            <v>KAMRE
835222</v>
          </cell>
          <cell r="G7552">
            <v>9570185050</v>
          </cell>
          <cell r="K7552" t="str">
            <v>BTCC377923</v>
          </cell>
        </row>
        <row r="7553">
          <cell r="E7553" t="str">
            <v>SHOP NO. 201, MODI HEIGHTS, PHASE 2
OPPO. RADIO STATION
834001</v>
          </cell>
          <cell r="G7553">
            <v>8404865014</v>
          </cell>
          <cell r="K7553" t="str">
            <v>BUKC370655</v>
          </cell>
        </row>
        <row r="7554">
          <cell r="E7554" t="str">
            <v>DHANBAD</v>
          </cell>
          <cell r="G7554">
            <v>9263634496</v>
          </cell>
          <cell r="K7554" t="str">
            <v>BTCD162159</v>
          </cell>
        </row>
        <row r="7555">
          <cell r="E7555" t="str">
            <v>BAGHMARA, DHANBAD</v>
          </cell>
          <cell r="G7555">
            <v>8825336285</v>
          </cell>
          <cell r="K7555" t="str">
            <v>GPLD160130</v>
          </cell>
        </row>
        <row r="7556">
          <cell r="E7556" t="str">
            <v>DHANBAD</v>
          </cell>
          <cell r="G7556">
            <v>9263634496</v>
          </cell>
          <cell r="K7556" t="str">
            <v>BTCD162159</v>
          </cell>
        </row>
        <row r="7557">
          <cell r="E7557" t="str">
            <v>PAWAN KUMAR MISHRA,, KAHALGAON, BHAGALPUR, BIHAR - 813 203</v>
          </cell>
          <cell r="G7557">
            <v>9934225097</v>
          </cell>
          <cell r="K7557" t="str">
            <v>BSCL152143</v>
          </cell>
        </row>
        <row r="7558">
          <cell r="E7558" t="str">
            <v>DHANBAD</v>
          </cell>
          <cell r="G7558">
            <v>9546535031</v>
          </cell>
          <cell r="K7558" t="str">
            <v>BRAD160803</v>
          </cell>
        </row>
        <row r="7559">
          <cell r="E7559" t="str">
            <v>TUPUDANA INDUSTRIAL AREA,RANCHI
834003</v>
          </cell>
          <cell r="G7559">
            <v>9835167418</v>
          </cell>
          <cell r="K7559" t="str">
            <v>BRIS035695</v>
          </cell>
        </row>
        <row r="7560">
          <cell r="E7560" t="str">
            <v>SARAIKELA</v>
          </cell>
          <cell r="G7560">
            <v>6204302081</v>
          </cell>
          <cell r="K7560" t="str">
            <v>BQJD200026</v>
          </cell>
        </row>
        <row r="7561">
          <cell r="E7561" t="str">
            <v>GOPI MORE GAYA</v>
          </cell>
          <cell r="G7561">
            <v>9973483380</v>
          </cell>
          <cell r="K7561" t="str">
            <v>BRHD161314</v>
          </cell>
        </row>
        <row r="7562">
          <cell r="E7562" t="str">
            <v>DHANBAD</v>
          </cell>
          <cell r="G7562">
            <v>9546535031</v>
          </cell>
          <cell r="K7562" t="str">
            <v>BRAD160803</v>
          </cell>
        </row>
        <row r="7563">
          <cell r="E7563" t="str">
            <v>KOKAR INDUSTRIAL AREA,RANCHI
834001</v>
          </cell>
          <cell r="G7563">
            <v>8404822862</v>
          </cell>
          <cell r="K7563" t="str">
            <v>BSBC375535</v>
          </cell>
        </row>
        <row r="7564">
          <cell r="E7564" t="str">
            <v>SHEETLA PRASAD SINGH,, MISHRA PADA, NEAR DURGA MANDIR,, JHARIA, DHANBAD - 828 111, JHARKHAND.</v>
          </cell>
          <cell r="G7564">
            <v>7644045555</v>
          </cell>
          <cell r="K7564" t="str">
            <v>BTDD162169</v>
          </cell>
        </row>
        <row r="7565">
          <cell r="E7565" t="str">
            <v>C/O CREATIVE TEXTILES
KUNJLAL,UPPER BAZAR, RANCHI
834001</v>
          </cell>
          <cell r="G7565">
            <v>8102232809</v>
          </cell>
          <cell r="K7565" t="str">
            <v>BULC371071</v>
          </cell>
        </row>
        <row r="7566">
          <cell r="E7566" t="str">
            <v>SARAIKELA</v>
          </cell>
          <cell r="G7566">
            <v>6204302081</v>
          </cell>
          <cell r="K7566" t="str">
            <v>BQJD200026</v>
          </cell>
        </row>
        <row r="7567">
          <cell r="E7567" t="str">
            <v>NAGRI,RANCHI
835202
RANCHI</v>
          </cell>
          <cell r="G7567">
            <v>7004248429</v>
          </cell>
          <cell r="K7567" t="str">
            <v>BRIS035698</v>
          </cell>
        </row>
        <row r="7568">
          <cell r="E7568" t="str">
            <v>NAGARI,</v>
          </cell>
          <cell r="G7568">
            <v>9204493506</v>
          </cell>
          <cell r="K7568" t="str">
            <v>BLGS040582</v>
          </cell>
        </row>
        <row r="7569">
          <cell r="E7569" t="str">
            <v>BIHAR</v>
          </cell>
          <cell r="G7569">
            <v>8935923285</v>
          </cell>
          <cell r="K7569" t="str">
            <v>BSAD161567</v>
          </cell>
        </row>
        <row r="7570">
          <cell r="E7570" t="str">
            <v>FOREST COLONY, SENETRY ROAD,, NEAR RAHUL MARVAL, HAZARIBAGH
825302</v>
          </cell>
          <cell r="G7570">
            <v>993466789</v>
          </cell>
          <cell r="K7570" t="str">
            <v>BULC370702</v>
          </cell>
        </row>
        <row r="7571">
          <cell r="E7571" t="str">
            <v>PLOT NO 716,VILL-RUKKA,
835219</v>
          </cell>
          <cell r="G7571">
            <v>8759215726</v>
          </cell>
          <cell r="K7571" t="str">
            <v>BSKS036366</v>
          </cell>
        </row>
        <row r="7572">
          <cell r="E7572" t="str">
            <v>PLOT NO. 79, KAPASARA,, SUNDERNAGAR, CHIRKUNDA,, DHANBAD - 828 202
PLOT NO. 79, KAPASARA,, SUNDERNAGAR, CHIRKUNDA,, DHANBAD - 828 202
828202</v>
          </cell>
          <cell r="G7572">
            <v>8101005542</v>
          </cell>
          <cell r="K7572" t="str">
            <v>BTFS031006</v>
          </cell>
        </row>
        <row r="7573">
          <cell r="E7573" t="str">
            <v>PLOT NO 716,VILL-RUKKA,
835219</v>
          </cell>
          <cell r="G7573">
            <v>8759215726</v>
          </cell>
          <cell r="K7573" t="str">
            <v>BSKS036365</v>
          </cell>
        </row>
        <row r="7574">
          <cell r="E7574" t="str">
            <v>DHANBAD</v>
          </cell>
          <cell r="G7574">
            <v>9550053031</v>
          </cell>
          <cell r="K7574" t="str">
            <v>BTDD162183</v>
          </cell>
        </row>
        <row r="7575">
          <cell r="E7575" t="str">
            <v>DHANBAD</v>
          </cell>
          <cell r="G7575">
            <v>6207308280</v>
          </cell>
          <cell r="K7575" t="str">
            <v>BTED162231</v>
          </cell>
        </row>
        <row r="7576">
          <cell r="E7576" t="str">
            <v>TUPUDANA INDUSTRIAL AREA, RANCHI
PLOT NO. - 45 &amp; 46, TUPUDAN AINDUSTRIAL AREA, TUPUDANA, HATIA, RANCHI
834003
TIPUDANA INDUSTRIAL AREA</v>
          </cell>
          <cell r="G7576">
            <v>8092355914</v>
          </cell>
          <cell r="K7576" t="str">
            <v>BQBS033819</v>
          </cell>
        </row>
        <row r="7577">
          <cell r="E7577" t="str">
            <v>MANDU, RAMGARH
JAISWAL COLONY, THANA CHOW,, RAMGARH CANTT. DIST. RAMGARH, JHARKHAND
825316
MANDU</v>
          </cell>
          <cell r="G7577">
            <v>6205951815</v>
          </cell>
          <cell r="K7577" t="str">
            <v>BSGS043528</v>
          </cell>
        </row>
        <row r="7578">
          <cell r="E7578" t="str">
            <v>KATHITAND, RANCHI</v>
          </cell>
          <cell r="G7578">
            <v>7904455688</v>
          </cell>
          <cell r="K7578" t="str">
            <v>BSLD230361</v>
          </cell>
        </row>
        <row r="7579">
          <cell r="E7579" t="str">
            <v>DHANBAD</v>
          </cell>
          <cell r="G7579">
            <v>6203273412</v>
          </cell>
          <cell r="K7579" t="str">
            <v>BTFD162244</v>
          </cell>
        </row>
        <row r="7580">
          <cell r="E7580" t="str">
            <v>JHARKHAND</v>
          </cell>
          <cell r="G7580">
            <v>9555053031</v>
          </cell>
          <cell r="K7580" t="str">
            <v>BQJD160040</v>
          </cell>
        </row>
        <row r="7581">
          <cell r="E7581" t="str">
            <v>RERWA SISAI,GUMLA
RERWA SISAI, GUMLA,, JHRKHAND
835207</v>
          </cell>
          <cell r="G7581">
            <v>9122677000</v>
          </cell>
          <cell r="K7581" t="str">
            <v>BTCS030119</v>
          </cell>
        </row>
        <row r="7582">
          <cell r="E7582" t="str">
            <v>CHAS BOKARO</v>
          </cell>
          <cell r="G7582">
            <v>7004290575</v>
          </cell>
          <cell r="K7582" t="str">
            <v>BQKD160076</v>
          </cell>
        </row>
        <row r="7583">
          <cell r="E7583" t="str">
            <v>RANCHI
834002</v>
          </cell>
          <cell r="G7583">
            <v>8877100129</v>
          </cell>
          <cell r="K7583" t="str">
            <v>BTIS032020</v>
          </cell>
        </row>
        <row r="7584">
          <cell r="E7584" t="str">
            <v>RANCHI
834002</v>
          </cell>
          <cell r="G7584">
            <v>8877100129</v>
          </cell>
          <cell r="K7584" t="str">
            <v>BTIS032025</v>
          </cell>
        </row>
        <row r="7585">
          <cell r="E7585" t="str">
            <v>RANCHI
834002</v>
          </cell>
          <cell r="G7585">
            <v>8877100129</v>
          </cell>
          <cell r="K7585" t="str">
            <v>BTIS032025</v>
          </cell>
        </row>
        <row r="7586">
          <cell r="E7586" t="str">
            <v>JHUMRI TILAIYA</v>
          </cell>
          <cell r="G7586">
            <v>7004725287</v>
          </cell>
          <cell r="K7586" t="str">
            <v>GPLS030458</v>
          </cell>
        </row>
        <row r="7587">
          <cell r="E7587" t="str">
            <v>DHANBAD</v>
          </cell>
          <cell r="G7587">
            <v>7489823544</v>
          </cell>
          <cell r="K7587" t="str">
            <v>BTDD162183</v>
          </cell>
        </row>
        <row r="7588">
          <cell r="E7588" t="str">
            <v>DUBRAIPUR, BIRBHUM, W.B.</v>
          </cell>
          <cell r="G7588">
            <v>9614776202</v>
          </cell>
          <cell r="K7588" t="str">
            <v>BSAD161564</v>
          </cell>
        </row>
        <row r="7589">
          <cell r="E7589" t="str">
            <v>BASTAKOLA, DHANBAD</v>
          </cell>
          <cell r="G7589">
            <v>7489823544</v>
          </cell>
          <cell r="K7589" t="str">
            <v>BUKD162535</v>
          </cell>
        </row>
        <row r="7590">
          <cell r="E7590" t="str">
            <v>NAGRI,RANCHI
835202
RANCHI</v>
          </cell>
          <cell r="G7590">
            <v>7004248429</v>
          </cell>
          <cell r="K7590" t="str">
            <v>BRIS035698</v>
          </cell>
        </row>
        <row r="7591">
          <cell r="E7591" t="str">
            <v>NAGRI,RANCHI
835202
RANCHI</v>
          </cell>
          <cell r="G7591">
            <v>7004248429</v>
          </cell>
          <cell r="K7591">
            <v>108441</v>
          </cell>
        </row>
        <row r="7592">
          <cell r="E7592" t="str">
            <v>C/O - REKHA KUMARI, AT TENDER, PANDRA, KAMRE, RATU, RANCHI
C/O - REKHA KUMARI, AT TENDER, PANDRA, KAMRE, RATU, RANCHI
835103</v>
          </cell>
          <cell r="G7592">
            <v>6201227612</v>
          </cell>
          <cell r="K7592" t="str">
            <v>BREC373485</v>
          </cell>
        </row>
        <row r="7593">
          <cell r="E7593" t="str">
            <v>DHANBAD</v>
          </cell>
          <cell r="G7593">
            <v>9263634417</v>
          </cell>
          <cell r="K7593" t="str">
            <v>BTCD162159</v>
          </cell>
        </row>
        <row r="7594">
          <cell r="E7594" t="str">
            <v>NAGRI,RANCHI
835202
RANCHI</v>
          </cell>
          <cell r="G7594">
            <v>7004248429</v>
          </cell>
          <cell r="K7594" t="str">
            <v>BRIS035698</v>
          </cell>
        </row>
        <row r="7595">
          <cell r="E7595" t="str">
            <v>NAGRI,RANCHI
835202
RANCHI</v>
          </cell>
          <cell r="G7595">
            <v>7004248429</v>
          </cell>
          <cell r="K7595">
            <v>108441</v>
          </cell>
        </row>
        <row r="7596">
          <cell r="E7596" t="str">
            <v>NAGARI RANCHI
NAGARI RANCHI
835303</v>
          </cell>
          <cell r="G7596">
            <v>6201457979</v>
          </cell>
          <cell r="K7596" t="str">
            <v>BKJS030050</v>
          </cell>
        </row>
        <row r="7597">
          <cell r="E7597" t="str">
            <v>GROUND AND 1 ST FLOOR, BESIDE DAINIK BHASKAR, GOVINDPUR ROAD, DIST :- DHANBAD
GROUND AND 1 ST FLOOR, BESIDE DAINIK BHASKAR, GOVINDPUR ROAD, DIST :- DHANBAD
828109</v>
          </cell>
          <cell r="G7597">
            <v>9955178750</v>
          </cell>
          <cell r="K7597" t="str">
            <v>BRES034488</v>
          </cell>
        </row>
        <row r="7598">
          <cell r="E7598" t="str">
            <v>RAMGARH</v>
          </cell>
          <cell r="G7598">
            <v>7004377365</v>
          </cell>
          <cell r="K7598" t="str">
            <v>BLES031356</v>
          </cell>
        </row>
        <row r="7599">
          <cell r="E7599" t="str">
            <v>AT. BONGABAR, SANDI, RAMGARH, AMC  FROM 1-8-2019 TO 30-7-2020
829122
SANDI ,</v>
          </cell>
          <cell r="G7599">
            <v>7004377365</v>
          </cell>
          <cell r="K7599" t="str">
            <v>BLGS040605</v>
          </cell>
        </row>
        <row r="7600">
          <cell r="E7600" t="str">
            <v>RAMGARH</v>
          </cell>
          <cell r="G7600">
            <v>9973223350</v>
          </cell>
          <cell r="K7600" t="str">
            <v>BKAS030601</v>
          </cell>
        </row>
        <row r="7601">
          <cell r="E7601" t="str">
            <v>TAPIN HAZARIBAGH</v>
          </cell>
          <cell r="G7601">
            <v>8002177613</v>
          </cell>
          <cell r="K7601" t="str">
            <v>BTGD162289</v>
          </cell>
        </row>
        <row r="7602">
          <cell r="E7602" t="str">
            <v>PIPARWAR, JHARKHAND</v>
          </cell>
          <cell r="G7602">
            <v>9661734823</v>
          </cell>
          <cell r="K7602" t="str">
            <v>BTKD162077</v>
          </cell>
        </row>
        <row r="7603">
          <cell r="E7603" t="str">
            <v>NAGRI,RANCHI
835202
RANCHI</v>
          </cell>
          <cell r="G7603">
            <v>8051139257</v>
          </cell>
          <cell r="K7603" t="str">
            <v>BMJS040004</v>
          </cell>
        </row>
        <row r="7604">
          <cell r="E7604" t="str">
            <v>KAARO SUBHASH NAGAR, DHANBAD</v>
          </cell>
          <cell r="G7604">
            <v>9843829993</v>
          </cell>
          <cell r="K7604" t="str">
            <v>BTFD162243</v>
          </cell>
        </row>
        <row r="7605">
          <cell r="E7605" t="str">
            <v>KHASHMAHAL PROJECT CCL, BERMO, PHUSHRO, JHARKHAND</v>
          </cell>
          <cell r="G7605">
            <v>9843829993</v>
          </cell>
          <cell r="K7605" t="str">
            <v>BULD162561</v>
          </cell>
        </row>
        <row r="7606">
          <cell r="E7606" t="str">
            <v>C/O URANIUM CORPORATION OF INDIA LIMITED, MOHULDIH MINES, SARAIKELA, KHARSAWAN</v>
          </cell>
          <cell r="G7606">
            <v>9007955287</v>
          </cell>
          <cell r="K7606" t="str">
            <v>BUAL160594</v>
          </cell>
        </row>
        <row r="7607">
          <cell r="E7607" t="str">
            <v>SIMALIA, RANCHI</v>
          </cell>
          <cell r="G7607">
            <v>9431115841</v>
          </cell>
          <cell r="K7607" t="str">
            <v>BMKS030210</v>
          </cell>
        </row>
        <row r="7608">
          <cell r="E7608" t="str">
            <v>NTA LODNA, DHANBAD</v>
          </cell>
          <cell r="G7608">
            <v>0</v>
          </cell>
          <cell r="K7608" t="str">
            <v>BULD162559</v>
          </cell>
        </row>
        <row r="7609">
          <cell r="E7609" t="str">
            <v>RANCHI ROAD,RAMGARH 
DIGWAR,RAMGARH
829122
DIGWAR , RANCHI ROAD ,</v>
          </cell>
          <cell r="G7609">
            <v>7004848564</v>
          </cell>
          <cell r="K7609" t="str">
            <v>BSFC376459</v>
          </cell>
        </row>
        <row r="7610">
          <cell r="E7610" t="str">
            <v>NAGRI, RANCHI
TIKRATOLI, P.O:- NAGRI, RANCHI
834006</v>
          </cell>
          <cell r="G7610">
            <v>9608884168</v>
          </cell>
          <cell r="K7610" t="str">
            <v>BKKS030393</v>
          </cell>
        </row>
        <row r="7611">
          <cell r="E7611" t="str">
            <v>TAPIN HAZARIBAGH</v>
          </cell>
          <cell r="G7611">
            <v>8002177613</v>
          </cell>
          <cell r="K7611" t="str">
            <v>BTGD162289</v>
          </cell>
        </row>
        <row r="7612">
          <cell r="E7612" t="str">
            <v>BOKARO</v>
          </cell>
          <cell r="G7612">
            <v>8986870318</v>
          </cell>
          <cell r="K7612" t="str">
            <v>BKKL060014</v>
          </cell>
        </row>
        <row r="7613">
          <cell r="E7613" t="str">
            <v>NAGARI, RANCHI
834006</v>
          </cell>
          <cell r="G7613">
            <v>7255848442</v>
          </cell>
          <cell r="K7613" t="str">
            <v>BRAC372524</v>
          </cell>
        </row>
        <row r="7614">
          <cell r="E7614" t="str">
            <v>RAVULA SHYAM SUNDER REDDY, HOUSE NO. 3-5-196/1, ROAD NO. 5M, KRISHNANAGAR COLONY, MOULALI, HYDRABAD</v>
          </cell>
          <cell r="G7614">
            <v>7751812111</v>
          </cell>
          <cell r="K7614" t="str">
            <v>BSCD161691</v>
          </cell>
        </row>
        <row r="7615">
          <cell r="E7615" t="str">
            <v>RAVULA SHYAM SUNDER REDDY, HOUSE NO. 3-5-196/1, ROAD NO. 5M, KRISHNANAGAR COLONY, MOULALI, HYDRABAD</v>
          </cell>
          <cell r="G7615">
            <v>7751812111</v>
          </cell>
          <cell r="K7615" t="str">
            <v>BTCD162162</v>
          </cell>
        </row>
        <row r="7616">
          <cell r="E7616" t="str">
            <v>ASHOK NAGAR, RANCHI</v>
          </cell>
          <cell r="G7616">
            <v>9334701321</v>
          </cell>
          <cell r="K7616" t="str">
            <v>BQKD200047</v>
          </cell>
        </row>
        <row r="7617">
          <cell r="E7617" t="str">
            <v>WEST MARKET ROAD UPPER BAZAJ
UPPER BAZAR
834001</v>
          </cell>
          <cell r="G7617">
            <v>9471556904</v>
          </cell>
          <cell r="K7617" t="str">
            <v>BTDC378223</v>
          </cell>
        </row>
        <row r="7618">
          <cell r="E7618" t="str">
            <v>KISHOREGANJ, RANCHI
834001
KAMRE RAVI STEEL,</v>
          </cell>
          <cell r="G7618">
            <v>8709279344</v>
          </cell>
          <cell r="K7618" t="str">
            <v>GPKC370113</v>
          </cell>
        </row>
        <row r="7619">
          <cell r="E7619" t="str">
            <v>11 PINJRAPOLE, HARMU ROAD, RANCHI
11 PINJRAPOLE, HARMU ROAD, RANCHI
834001
MAHILONG, TATISILWAY</v>
          </cell>
          <cell r="G7619">
            <v>9709000070</v>
          </cell>
          <cell r="K7619" t="str">
            <v>BNCC370425</v>
          </cell>
        </row>
        <row r="7620">
          <cell r="E7620" t="str">
            <v>NAGARI RANCHI
NAGARI RANCHI
835303</v>
          </cell>
          <cell r="G7620">
            <v>9304852757</v>
          </cell>
          <cell r="K7620" t="str">
            <v>BKJS030050</v>
          </cell>
        </row>
        <row r="7621">
          <cell r="E7621" t="str">
            <v>DHANBAD</v>
          </cell>
          <cell r="G7621">
            <v>8210106692</v>
          </cell>
          <cell r="K7621" t="str">
            <v>BTFD162244</v>
          </cell>
        </row>
        <row r="7622">
          <cell r="E7622" t="str">
            <v>TATISILWAI, JHARKHAND
835103</v>
          </cell>
          <cell r="G7622">
            <v>6200160428</v>
          </cell>
          <cell r="K7622" t="str">
            <v>BQGS031413</v>
          </cell>
        </row>
        <row r="7623">
          <cell r="E7623" t="str">
            <v>JHARKHAND</v>
          </cell>
          <cell r="G7623">
            <v>9555053031</v>
          </cell>
          <cell r="K7623" t="str">
            <v>BQJD160040</v>
          </cell>
        </row>
        <row r="7624">
          <cell r="E7624" t="str">
            <v>VILL - BARIDARI, BOKARO</v>
          </cell>
          <cell r="G7624">
            <v>9934169104</v>
          </cell>
          <cell r="K7624" t="str">
            <v>BSCD161704</v>
          </cell>
        </row>
        <row r="7625">
          <cell r="E7625" t="str">
            <v>RAMGARH</v>
          </cell>
          <cell r="G7625">
            <v>7488795484</v>
          </cell>
          <cell r="K7625" t="str">
            <v>BTJD162016</v>
          </cell>
        </row>
        <row r="7626">
          <cell r="E7626" t="str">
            <v>AT CHHATARPUR, BAGAIYA</v>
          </cell>
          <cell r="G7626">
            <v>6203240174</v>
          </cell>
          <cell r="K7626" t="str">
            <v>BULD162579</v>
          </cell>
        </row>
        <row r="7627">
          <cell r="E7627" t="str">
            <v>URMILA TOWER, ROOM NO. 805, DHANBAD</v>
          </cell>
          <cell r="G7627">
            <v>9661734823</v>
          </cell>
          <cell r="K7627" t="str">
            <v>BTGD162296</v>
          </cell>
        </row>
        <row r="7628">
          <cell r="E7628" t="str">
            <v>TUPUDANA INDUSTRIAL AREA, RANCHI
PLOT NO. 114, TUPUDANA INDUSTRIAL AREA, TUPUDANA,HATIA, RANCHI
834002
RANCHI</v>
          </cell>
          <cell r="G7628">
            <v>7248899000</v>
          </cell>
          <cell r="K7628">
            <v>123434</v>
          </cell>
        </row>
        <row r="7629">
          <cell r="E7629" t="str">
            <v>TUPUDANA INDUSTRIAL AREA, RANCHI
PLOT NO. 114, TUPUDANA INDUSTRIAL AREA, TUPUDANA,HATIA, RANCHI
834002
RANCHI</v>
          </cell>
          <cell r="G7629">
            <v>7248899000</v>
          </cell>
          <cell r="K7629" t="str">
            <v>BNAS040245</v>
          </cell>
        </row>
        <row r="7630">
          <cell r="E7630" t="str">
            <v>TUPUDANA INDUSTRIAL AREA, RANCHI
PLOT NO. 114, TUPUDANA INDUSTRIAL AREA, TUPUDANA,HATIA, RANCHI
834002
RANCHI</v>
          </cell>
          <cell r="G7630">
            <v>7248899000</v>
          </cell>
          <cell r="K7630" t="str">
            <v>GOKS040088</v>
          </cell>
        </row>
        <row r="7631">
          <cell r="E7631" t="str">
            <v>NEAR P.N BANK MAIN ROAD,, RAMGARH CANTT-829122, DIST. RAMGARH
829122
BUDHAKHOP, AMBRELA, KARMA,</v>
          </cell>
          <cell r="G7631">
            <v>7008631882</v>
          </cell>
          <cell r="K7631" t="str">
            <v>BSHS038806</v>
          </cell>
        </row>
        <row r="7632">
          <cell r="E7632" t="str">
            <v>NEAR P.N BANK MAIN ROAD,, RAMGARH CANTT-829122, DIST. RAMGARH
829122
BUDHAKHOP, AMBRELA, KARMA,</v>
          </cell>
          <cell r="G7632" t="str">
            <v xml:space="preserve">  </v>
          </cell>
          <cell r="K7632" t="str">
            <v>BQBS030091</v>
          </cell>
        </row>
        <row r="7633">
          <cell r="E7633" t="str">
            <v>AT - HEHAL, POST - BARKAKANA
BARKAKANA
829103</v>
          </cell>
          <cell r="G7633">
            <v>9386515681</v>
          </cell>
          <cell r="K7633" t="str">
            <v>BUAS033580</v>
          </cell>
        </row>
        <row r="7634">
          <cell r="E7634" t="str">
            <v>KATHITAR,RANCHI
KATHITAR,RANCHI
834004
KATHITAR,</v>
          </cell>
          <cell r="G7634">
            <v>7004709540</v>
          </cell>
          <cell r="K7634" t="str">
            <v>BSFC376340</v>
          </cell>
        </row>
        <row r="7635">
          <cell r="E7635" t="str">
            <v>NAYA MORE,RAMGARH
ARA SARU BERA ROAD, NAYA, RAMGARH,JHARKHAND
829110
NAYA MORE</v>
          </cell>
          <cell r="G7635">
            <v>8651078549</v>
          </cell>
          <cell r="K7635" t="str">
            <v>BQBS033796</v>
          </cell>
        </row>
        <row r="7636">
          <cell r="E7636" t="str">
            <v>RAMGARH
829103
NAYA MORE</v>
          </cell>
          <cell r="G7636">
            <v>7739460263</v>
          </cell>
          <cell r="K7636" t="str">
            <v>BRGS035169</v>
          </cell>
        </row>
        <row r="7637">
          <cell r="E7637" t="str">
            <v>RAVULA SHYAM SUNDER REDDY, HOUSE NO. 3-5-196/1, ROAD NO. 5M, KRISHNANAGAR COLONY, MOULALI, HYDRABAD</v>
          </cell>
          <cell r="G7637">
            <v>7751812111</v>
          </cell>
          <cell r="K7637" t="str">
            <v>BTCD162162</v>
          </cell>
        </row>
        <row r="7638">
          <cell r="E7638" t="str">
            <v>GROUND FLOOR,, OFFICE NO.448A, ROAD NO.4, ASHOK NAGAR
GROUND FLOOR,, OFFICE NO.448A, ROAD NO.4, ASHOK NAGAR
829118
PLOT NO:- 47P, PATRATU INDUSTRIAL AREA</v>
          </cell>
          <cell r="G7638">
            <v>7541959323</v>
          </cell>
          <cell r="K7638" t="str">
            <v>ONIC370102</v>
          </cell>
        </row>
        <row r="7639">
          <cell r="E7639" t="str">
            <v>GROUND FLOOR,, OFFICE NO.448A, ROAD NO.4, ASHOK NAGAR
GROUND FLOOR,, OFFICE NO.448A, ROAD NO.4, ASHOK NAGAR
829118
PLOT NO:- 47P, PATRATU INDUSTRIAL AREA</v>
          </cell>
          <cell r="G7639">
            <v>7541959323</v>
          </cell>
          <cell r="K7639" t="str">
            <v>GOGC370754</v>
          </cell>
        </row>
        <row r="7640">
          <cell r="E7640" t="str">
            <v>DHANBAD</v>
          </cell>
          <cell r="G7640">
            <v>9550053031</v>
          </cell>
          <cell r="K7640" t="str">
            <v>BTDD162186</v>
          </cell>
        </row>
        <row r="7641">
          <cell r="E7641" t="str">
            <v>HORHAP ROAD, MAHILONG, RANCHI
835103
MAHILONG, TATISILWAI</v>
          </cell>
          <cell r="G7641">
            <v>9905122556</v>
          </cell>
          <cell r="K7641" t="str">
            <v>GPFC370737</v>
          </cell>
        </row>
        <row r="7642">
          <cell r="E7642" t="str">
            <v>PALAMU,GARWA, JHARKHAND
822124
GARHWA ROAD, NEAR BCCL PALAMU,</v>
          </cell>
          <cell r="G7642">
            <v>8877136770</v>
          </cell>
          <cell r="K7642" t="str">
            <v>GOCS030806</v>
          </cell>
        </row>
        <row r="7643">
          <cell r="E7643" t="str">
            <v>RANCHI</v>
          </cell>
          <cell r="G7643">
            <v>9973536006</v>
          </cell>
          <cell r="K7643" t="str">
            <v>BLIS031950</v>
          </cell>
        </row>
        <row r="7644">
          <cell r="E7644" t="str">
            <v>REHLA,GARWA,JHARKHAND
822124
RANCHI</v>
          </cell>
          <cell r="G7644">
            <v>9304009671</v>
          </cell>
          <cell r="K7644" t="str">
            <v>BMFS031346</v>
          </cell>
        </row>
        <row r="7645">
          <cell r="E7645" t="str">
            <v>PLOT N0 3127 , RATU THANA 79,RANCHI
RATU RANCHI JHARKHAND
835103
PLOT NO- 3127, THANA NO- 79, RATU ROAD</v>
          </cell>
          <cell r="G7645">
            <v>9798542802</v>
          </cell>
          <cell r="K7645" t="str">
            <v>BSES037922</v>
          </cell>
        </row>
        <row r="7646">
          <cell r="E7646" t="str">
            <v>REG. OFFICE: UNIT 106, MAHABIR TOWER, JOKHIRAM LANE, MAIN ROAD, RANCHI - 834 001
REG. OFFICE: UNIT 106, MAHABIR TOWER, JOKHIRAM LANE, MAIN ROAD, RANCHI - 834 001
835214</v>
          </cell>
          <cell r="G7646">
            <v>8051139257</v>
          </cell>
          <cell r="K7646" t="str">
            <v>BSDS043254</v>
          </cell>
        </row>
        <row r="7647">
          <cell r="E7647" t="str">
            <v>NAGARI RANCHI
NAGARI RANCHI
835303</v>
          </cell>
          <cell r="G7647">
            <v>9752567399</v>
          </cell>
          <cell r="K7647" t="str">
            <v>BKJS030050</v>
          </cell>
        </row>
        <row r="7648">
          <cell r="E7648" t="str">
            <v>ADITYAPUR KANDRA ROAD
831013</v>
          </cell>
          <cell r="G7648">
            <v>9608189810</v>
          </cell>
          <cell r="K7648" t="str">
            <v>BRDC373261</v>
          </cell>
        </row>
        <row r="7649">
          <cell r="E7649" t="str">
            <v>A-3, 2ND PHASE, ADITYAPUR INDUSTRIAL AREA, ADITYAPUR, JAMSHEDPUR, JHARKHAND
A-3, 2ND PHASE, ADITYAPUR INDUSTRIAL AREA, ADITYAPUR, JAMSHEDPUR, JHARKHAND
831013
JAMHEDPUR</v>
          </cell>
          <cell r="G7649">
            <v>6299025408</v>
          </cell>
          <cell r="K7649" t="str">
            <v>GPBC370442</v>
          </cell>
        </row>
        <row r="7650">
          <cell r="E7650" t="str">
            <v>CHHARTARPUR, PALAMU</v>
          </cell>
          <cell r="G7650">
            <v>6203240174</v>
          </cell>
          <cell r="K7650" t="str">
            <v>BULD162583</v>
          </cell>
        </row>
        <row r="7651">
          <cell r="E7651" t="str">
            <v>DHANBAD</v>
          </cell>
          <cell r="G7651">
            <v>9550053031</v>
          </cell>
          <cell r="K7651" t="str">
            <v>BTDD162186</v>
          </cell>
        </row>
        <row r="7652">
          <cell r="E7652" t="str">
            <v>HESLA,RAMGARH
829101</v>
          </cell>
          <cell r="G7652">
            <v>8862948833</v>
          </cell>
          <cell r="K7652" t="str">
            <v>BSJS035917</v>
          </cell>
        </row>
        <row r="7653">
          <cell r="E7653" t="str">
            <v>GROUND FLOOR,, OFFICE NO.448A, ROAD NO.4, ASHOK NAGAR
GROUND FLOOR,, OFFICE NO.448A, ROAD NO.4, ASHOK NAGAR
829118
PLOT NO:- 47P, PATRATU INDUSTRIAL AREA</v>
          </cell>
          <cell r="G7653">
            <v>7541959323</v>
          </cell>
          <cell r="K7653" t="str">
            <v>ONIC370102</v>
          </cell>
        </row>
        <row r="7654">
          <cell r="E7654" t="str">
            <v>GROUND FLOOR,, OFFICE NO.448A, ROAD NO.4, ASHOK NAGAR
GROUND FLOOR,, OFFICE NO.448A, ROAD NO.4, ASHOK NAGAR
829118
PLOT NO:- 47P, PATRATU INDUSTRIAL AREA</v>
          </cell>
          <cell r="G7654">
            <v>7541959323</v>
          </cell>
          <cell r="K7654" t="str">
            <v>GOGC370754</v>
          </cell>
        </row>
        <row r="7655">
          <cell r="E7655" t="str">
            <v>RANCHI</v>
          </cell>
          <cell r="G7655">
            <v>9973536006</v>
          </cell>
          <cell r="K7655" t="str">
            <v>BLIS031950</v>
          </cell>
        </row>
        <row r="7656">
          <cell r="E7656" t="str">
            <v>ASHOK NAGAR, RANCHI</v>
          </cell>
          <cell r="G7656">
            <v>9334701321</v>
          </cell>
          <cell r="K7656" t="str">
            <v>BQKD200047</v>
          </cell>
        </row>
        <row r="7657">
          <cell r="E7657" t="str">
            <v>BIURMU</v>
          </cell>
          <cell r="G7657">
            <v>9572543182</v>
          </cell>
          <cell r="K7657">
            <v>0</v>
          </cell>
        </row>
        <row r="7658">
          <cell r="E7658" t="str">
            <v>PALAMU,GARWA, JHARKHAND
822124
GARHWA ROAD, NEAR BCCL PALAMU,</v>
          </cell>
          <cell r="G7658">
            <v>8877136770</v>
          </cell>
          <cell r="K7658" t="str">
            <v>GOCS030806</v>
          </cell>
        </row>
        <row r="7659">
          <cell r="E7659" t="str">
            <v>C/O - PREM PRAKASH AGARWAL, OPP - HILLVIEW FUEL STATION, GODHUR, P.O - KUSUNDA, DHANBAD</v>
          </cell>
          <cell r="G7659">
            <v>7903412157</v>
          </cell>
          <cell r="K7659" t="str">
            <v>BTED162217</v>
          </cell>
        </row>
        <row r="7660">
          <cell r="E7660" t="str">
            <v>C/O - PREM PRAKASH AGARWAL, OPP - HILLVIEW FUEL STATION, GODHUR, P.O - KUSUNDA, DHANBAD</v>
          </cell>
          <cell r="G7660">
            <v>7903412157</v>
          </cell>
          <cell r="K7660" t="str">
            <v>BTED162217</v>
          </cell>
        </row>
        <row r="7661">
          <cell r="E7661" t="str">
            <v>ASHOK NAGAR, RANCHI</v>
          </cell>
          <cell r="G7661">
            <v>9334701321</v>
          </cell>
          <cell r="K7661" t="str">
            <v>BQKD200047</v>
          </cell>
        </row>
        <row r="7662">
          <cell r="E7662" t="str">
            <v>DHANBAD</v>
          </cell>
          <cell r="G7662">
            <v>9263634493</v>
          </cell>
          <cell r="K7662" t="str">
            <v>BTCD162159</v>
          </cell>
        </row>
        <row r="7663">
          <cell r="E7663" t="str">
            <v>SHEETLA PRASAD SINGH,, MISHRA PADA, NEAR DURGA MANDIR,, JHARIA, DHANBAD - 828 111, JHARKHAND.</v>
          </cell>
          <cell r="G7663">
            <v>8434845555</v>
          </cell>
          <cell r="K7663" t="str">
            <v>BTCD162149</v>
          </cell>
        </row>
        <row r="7664">
          <cell r="E7664" t="str">
            <v>RANCHI PATNA ROAD
DEMOTAND
825301
HAZARIBAGH</v>
          </cell>
          <cell r="G7664">
            <v>7209274781</v>
          </cell>
          <cell r="K7664" t="str">
            <v>BMBL160078</v>
          </cell>
        </row>
        <row r="7665">
          <cell r="E7665" t="str">
            <v>NAGARI,</v>
          </cell>
          <cell r="G7665">
            <v>9204493506</v>
          </cell>
          <cell r="K7665" t="str">
            <v>BLGS040582</v>
          </cell>
        </row>
        <row r="7666">
          <cell r="E7666" t="str">
            <v>BASTAWLA DHANBAD</v>
          </cell>
          <cell r="G7666">
            <v>7067679067</v>
          </cell>
          <cell r="K7666" t="str">
            <v>BTJD162046</v>
          </cell>
        </row>
        <row r="7667">
          <cell r="E7667" t="str">
            <v>LATEHAR</v>
          </cell>
          <cell r="G7667">
            <v>9934700413</v>
          </cell>
          <cell r="K7667" t="str">
            <v>BRID161341</v>
          </cell>
        </row>
        <row r="7668">
          <cell r="E7668" t="str">
            <v>HAZARIBAGH
RANCHI JHARKHAND 834002
INDIA</v>
          </cell>
          <cell r="G7668" t="str">
            <v>7309672604 / 7361044447/9835535277</v>
          </cell>
          <cell r="K7668" t="str">
            <v>BKAS030685</v>
          </cell>
        </row>
        <row r="7669">
          <cell r="E7669" t="str">
            <v>NAGARI,</v>
          </cell>
          <cell r="G7669">
            <v>9204493506</v>
          </cell>
          <cell r="K7669" t="str">
            <v>BILS030211</v>
          </cell>
        </row>
        <row r="7670">
          <cell r="E7670" t="str">
            <v>KATRAS, DHANBAD</v>
          </cell>
          <cell r="G7670">
            <v>8106167121</v>
          </cell>
          <cell r="K7670" t="str">
            <v>BUJD162460</v>
          </cell>
        </row>
        <row r="7671">
          <cell r="E7671" t="str">
            <v>SHEETLA PRASAD SINGH,, MISHRA PADA, NEAR DURGA MANDIR,, JHARIA, DHANBAD - 828 111, JHARKHAND.</v>
          </cell>
          <cell r="G7671">
            <v>7644045555</v>
          </cell>
          <cell r="K7671" t="str">
            <v>BTDD162169</v>
          </cell>
        </row>
        <row r="7672">
          <cell r="E7672" t="str">
            <v>SHEETLA PRASAD SINGH,, MISHRA PADA, NEAR DURGA MANDIR,, JHARIA, DHANBAD - 828 111, JHARKHAND.</v>
          </cell>
          <cell r="G7672">
            <v>7644045555</v>
          </cell>
          <cell r="K7672" t="str">
            <v>BTCD162149</v>
          </cell>
        </row>
        <row r="7673">
          <cell r="E7673" t="str">
            <v>ORMANJHI,RANCHI
835219</v>
          </cell>
          <cell r="G7673">
            <v>9155006000</v>
          </cell>
          <cell r="K7673" t="str">
            <v>BSGC376577</v>
          </cell>
        </row>
        <row r="7674">
          <cell r="E7674" t="str">
            <v>Chiturdih, Dhanbad.</v>
          </cell>
          <cell r="G7674">
            <v>7024084588</v>
          </cell>
          <cell r="K7674" t="str">
            <v>BTDD162192</v>
          </cell>
        </row>
        <row r="7675">
          <cell r="E7675" t="str">
            <v>RAVULA SHYAM SUNDER REDDY, HOUSE NO. 3-5-196/1, ROAD NO. 5M, KRISHNANAGAR COLONY, MOULALI, HYDRABAD</v>
          </cell>
          <cell r="G7675">
            <v>7751812111</v>
          </cell>
          <cell r="K7675" t="str">
            <v>BTCD162162</v>
          </cell>
        </row>
        <row r="7676">
          <cell r="E7676" t="str">
            <v>BASTAWLA DHANBAD</v>
          </cell>
          <cell r="G7676">
            <v>7067679067</v>
          </cell>
          <cell r="K7676" t="str">
            <v>BTJD162046</v>
          </cell>
        </row>
        <row r="7677">
          <cell r="E7677" t="str">
            <v>BIHAR</v>
          </cell>
          <cell r="G7677">
            <v>8935923285</v>
          </cell>
          <cell r="K7677" t="str">
            <v>BSAD161567</v>
          </cell>
        </row>
        <row r="7678">
          <cell r="E7678" t="str">
            <v>BASTAWLA DHANBAD</v>
          </cell>
          <cell r="G7678">
            <v>7067679067</v>
          </cell>
          <cell r="K7678" t="str">
            <v>BTJD162046</v>
          </cell>
        </row>
        <row r="7679">
          <cell r="E7679" t="str">
            <v>C/O - SUJIT KUMAR, SAHAJANAND NAGAR, H. NO. -121, RANI ROAD, BHUDA, BARMASIA,, DHANBAD</v>
          </cell>
          <cell r="G7679">
            <v>9263996999</v>
          </cell>
          <cell r="K7679" t="str">
            <v>BTED200706</v>
          </cell>
        </row>
        <row r="7680">
          <cell r="E7680" t="str">
            <v>RAVULA SHYAM SUNDER REDDY, HOUSE NO. 3-5-196/1, ROAD NO. 5M, KRISHNANAGAR COLONY, MOULALI, HYDRABAD</v>
          </cell>
          <cell r="G7680">
            <v>7751812111</v>
          </cell>
          <cell r="K7680" t="str">
            <v>BTCD162162</v>
          </cell>
        </row>
        <row r="7681">
          <cell r="E7681" t="str">
            <v>SONARDHI</v>
          </cell>
          <cell r="G7681">
            <v>8106167121</v>
          </cell>
          <cell r="K7681" t="str">
            <v>BRCD160940</v>
          </cell>
        </row>
        <row r="7682">
          <cell r="E7682" t="str">
            <v>KATRAS, DHANBAD</v>
          </cell>
          <cell r="G7682">
            <v>8106167121</v>
          </cell>
          <cell r="K7682" t="str">
            <v>BUJD162460</v>
          </cell>
        </row>
        <row r="7683">
          <cell r="E7683" t="str">
            <v>BHULI DHANBAD</v>
          </cell>
          <cell r="G7683">
            <v>7004387228</v>
          </cell>
          <cell r="K7683" t="str">
            <v>BQED160244</v>
          </cell>
        </row>
        <row r="7684">
          <cell r="E7684" t="str">
            <v>VILL: MORWAY,, P.O. : GURPA, P.S.: FATEHPUR, DIST. GAYA  - 824232 (BIHAR)</v>
          </cell>
          <cell r="G7684">
            <v>7903301635</v>
          </cell>
          <cell r="K7684" t="str">
            <v>BSED161766</v>
          </cell>
        </row>
        <row r="7685">
          <cell r="E7685" t="str">
            <v>NAGRI,RANCHI
835202
RANCHI</v>
          </cell>
          <cell r="G7685">
            <v>9608884168</v>
          </cell>
          <cell r="K7685" t="str">
            <v>BIGS030904</v>
          </cell>
        </row>
        <row r="7686">
          <cell r="E7686" t="str">
            <v>SHEETLA PRASAD SINGH,, MISHRA PADA, NEAR DURGA MANDIR,, JHARIA, DHANBAD - 828 111, JHARKHAND.</v>
          </cell>
          <cell r="G7686">
            <v>7644045555</v>
          </cell>
          <cell r="K7686" t="str">
            <v>BTDD162169</v>
          </cell>
        </row>
        <row r="7687">
          <cell r="E7687" t="str">
            <v>NAGARI, RANCHI
834006</v>
          </cell>
          <cell r="G7687">
            <v>7255848442</v>
          </cell>
          <cell r="K7687" t="str">
            <v>BRAC372524</v>
          </cell>
        </row>
        <row r="7688">
          <cell r="E7688" t="str">
            <v>BIHAR</v>
          </cell>
          <cell r="G7688">
            <v>8935923285</v>
          </cell>
          <cell r="K7688" t="str">
            <v>BSID161968</v>
          </cell>
        </row>
        <row r="7689">
          <cell r="E7689" t="str">
            <v>NAGARI,</v>
          </cell>
          <cell r="G7689">
            <v>9204493506</v>
          </cell>
          <cell r="K7689" t="str">
            <v>BLGS040582</v>
          </cell>
        </row>
        <row r="7690">
          <cell r="E7690" t="str">
            <v>RANCHI,JHARKHAND
825301
JHUMRA</v>
          </cell>
          <cell r="G7690">
            <v>9693919529</v>
          </cell>
          <cell r="K7690" t="str">
            <v>BTIS031829</v>
          </cell>
        </row>
        <row r="7691">
          <cell r="E7691" t="str">
            <v>SHEETLA PRASAD SINGH,, MISHRA PADA, NEAR DURGA MANDIR,, JHARIA, DHANBAD - 828 111, JHARKHAND.</v>
          </cell>
          <cell r="G7691">
            <v>7644045555</v>
          </cell>
          <cell r="K7691" t="str">
            <v>BTCD162149</v>
          </cell>
        </row>
        <row r="7692">
          <cell r="E7692" t="str">
            <v>JHARKHAND</v>
          </cell>
          <cell r="G7692">
            <v>9555053031</v>
          </cell>
          <cell r="K7692" t="str">
            <v>BQJD160040</v>
          </cell>
        </row>
        <row r="7693">
          <cell r="E7693" t="str">
            <v>GARHWA DALTONGANJ</v>
          </cell>
          <cell r="G7693">
            <v>7488289727</v>
          </cell>
          <cell r="K7693" t="str">
            <v>BSAD161582</v>
          </cell>
        </row>
        <row r="7694">
          <cell r="E7694" t="str">
            <v>SHEETLA PRASAD SINGH,, MISHRA PADA, NEAR DURGA MANDIR,, JHARIA, DHANBAD - 828 111, JHARKHAND.</v>
          </cell>
          <cell r="G7694">
            <v>7644045555</v>
          </cell>
          <cell r="K7694" t="str">
            <v>BTDD162169</v>
          </cell>
        </row>
        <row r="7695">
          <cell r="E7695" t="str">
            <v>GROUND FLOOR,, OFFICE NO.448A, ROAD NO.4, ASHOK NAGAR
GROUND FLOOR,, OFFICE NO.448A, ROAD NO.4, ASHOK NAGAR
829118
PLOT NO:- 47P, PATRATU INDUSTRIAL AREA</v>
          </cell>
          <cell r="G7695">
            <v>7541959323</v>
          </cell>
          <cell r="K7695" t="str">
            <v>ONIC370102</v>
          </cell>
        </row>
        <row r="7696">
          <cell r="E7696" t="str">
            <v>NTA LODNA, DHANBAD</v>
          </cell>
          <cell r="G7696">
            <v>0</v>
          </cell>
          <cell r="K7696" t="str">
            <v>BULD162559</v>
          </cell>
        </row>
        <row r="7697">
          <cell r="E7697" t="str">
            <v>GHATSHILA,JAMSHEDPUR</v>
          </cell>
          <cell r="G7697">
            <v>9931755764</v>
          </cell>
          <cell r="K7697" t="str">
            <v>BPED200187</v>
          </cell>
        </row>
        <row r="7698">
          <cell r="E7698" t="str">
            <v>DHANBAD</v>
          </cell>
          <cell r="G7698">
            <v>7489823544</v>
          </cell>
          <cell r="K7698" t="str">
            <v>BTDD162183</v>
          </cell>
        </row>
        <row r="7699">
          <cell r="E7699" t="str">
            <v>SHEETLA PRASAD SINGH,, MISHRA PADA, NEAR DURGA MANDIR,, JHARIA, DHANBAD - 828 111, JHARKHAND.</v>
          </cell>
          <cell r="G7699">
            <v>7644045555</v>
          </cell>
          <cell r="K7699" t="str">
            <v>BTKD162112</v>
          </cell>
        </row>
        <row r="7700">
          <cell r="E7700" t="str">
            <v>RERWA SISAI,GUMLA
RERWA SISAI, GUMLA,, JHRKHAND
835207</v>
          </cell>
          <cell r="G7700">
            <v>9122388000</v>
          </cell>
          <cell r="K7700" t="str">
            <v>BTCS030119</v>
          </cell>
        </row>
        <row r="7701">
          <cell r="E7701" t="str">
            <v>AT. BONGABAR, SANDI, RAMGARH, AMC  FROM 1-8-2019 TO 30-7-2020
829122
SANDI ,</v>
          </cell>
          <cell r="G7701">
            <v>7004377365</v>
          </cell>
          <cell r="K7701" t="str">
            <v>BLGS040605</v>
          </cell>
        </row>
        <row r="7702">
          <cell r="E7702" t="str">
            <v>DHANBAD</v>
          </cell>
          <cell r="G7702">
            <v>9550053031</v>
          </cell>
          <cell r="K7702" t="str">
            <v>BTDD162183</v>
          </cell>
        </row>
        <row r="7703">
          <cell r="E7703" t="str">
            <v>FOREST COLONY, SENETRY ROAD,, NEAR RAHUL MARVAL, HAZARIBAGH
825302</v>
          </cell>
          <cell r="G7703">
            <v>9430191116</v>
          </cell>
          <cell r="K7703" t="str">
            <v>BULC370702</v>
          </cell>
        </row>
        <row r="7704">
          <cell r="E7704" t="str">
            <v>DALADALI, RANCHI</v>
          </cell>
          <cell r="G7704">
            <v>0</v>
          </cell>
          <cell r="K7704" t="str">
            <v>BQGD230221</v>
          </cell>
        </row>
        <row r="7705">
          <cell r="E7705" t="str">
            <v>TUPUDANA INDUSTRIAL AREA, RANCHI
PLOT NO. 114, TUPUDANA INDUSTRIAL AREA, TUPUDANA,HATIA, RANCHI
834002
RANCHI</v>
          </cell>
          <cell r="G7705">
            <v>7248899000</v>
          </cell>
          <cell r="K7705">
            <v>123434</v>
          </cell>
        </row>
        <row r="7706">
          <cell r="E7706" t="str">
            <v>KAARO SUBHASH NAGAR, DHANBAD</v>
          </cell>
          <cell r="G7706">
            <v>7319436902</v>
          </cell>
          <cell r="K7706" t="str">
            <v>BTFD162243</v>
          </cell>
        </row>
        <row r="7707">
          <cell r="E7707" t="str">
            <v>BOOTY MORE
835217</v>
          </cell>
          <cell r="G7707">
            <v>7070892562</v>
          </cell>
          <cell r="K7707" t="str">
            <v>BTHC379543</v>
          </cell>
        </row>
        <row r="7708">
          <cell r="E7708" t="str">
            <v>ARGADA ROAD, BINJHAR, P.O. - MARAR, RAMGARH
829117</v>
          </cell>
          <cell r="G7708">
            <v>8294504879</v>
          </cell>
          <cell r="K7708" t="str">
            <v>BSCS037449</v>
          </cell>
        </row>
        <row r="7709">
          <cell r="E7709" t="str">
            <v>TORPA</v>
          </cell>
          <cell r="G7709">
            <v>9443035168</v>
          </cell>
          <cell r="K7709" t="str">
            <v>BSJD230294</v>
          </cell>
        </row>
        <row r="7710">
          <cell r="E7710" t="str">
            <v>TATISILWAI, JHARKHAND
835103</v>
          </cell>
          <cell r="G7710">
            <v>6200160428</v>
          </cell>
          <cell r="K7710" t="str">
            <v>BQHS040705</v>
          </cell>
        </row>
        <row r="7711">
          <cell r="E7711" t="str">
            <v>ASHOK NAGAR, RANCHI</v>
          </cell>
          <cell r="G7711">
            <v>9471356821</v>
          </cell>
          <cell r="K7711" t="str">
            <v>BPLD200068</v>
          </cell>
        </row>
        <row r="7712">
          <cell r="E7712" t="str">
            <v>BIHAR</v>
          </cell>
          <cell r="G7712">
            <v>8935923285</v>
          </cell>
          <cell r="K7712" t="str">
            <v>BSID161968</v>
          </cell>
        </row>
        <row r="7713">
          <cell r="E7713" t="str">
            <v>DHANBAD</v>
          </cell>
          <cell r="G7713">
            <v>9263634493</v>
          </cell>
          <cell r="K7713" t="str">
            <v>BTCD162159</v>
          </cell>
        </row>
        <row r="7714">
          <cell r="E7714" t="str">
            <v>C/O - AMAN AGRAWAL, PLOT NO. 735, KAITHA, RAMGARH CANTT., RAMGARH
825101</v>
          </cell>
          <cell r="G7714">
            <v>8709937739</v>
          </cell>
          <cell r="K7714" t="str">
            <v>BSDC375954</v>
          </cell>
        </row>
        <row r="7715">
          <cell r="E7715" t="str">
            <v>TAPIN HAZARIBAGH</v>
          </cell>
          <cell r="G7715">
            <v>7061611957</v>
          </cell>
          <cell r="K7715" t="str">
            <v>BTGD162289</v>
          </cell>
        </row>
        <row r="7716">
          <cell r="E7716" t="str">
            <v>501, H.NO.3-4-136/B., ROYAL ASHOK, RESIDENCY , BARKATPURA, HYDERABAD, TELANGANA - 500027</v>
          </cell>
          <cell r="G7716">
            <v>7873039065</v>
          </cell>
          <cell r="K7716" t="str">
            <v>BRHD161304</v>
          </cell>
        </row>
        <row r="7717">
          <cell r="E7717" t="str">
            <v>DEMO TANND HAZAIBAGH JHARKHAND,
825301
DEMO TANND HAZAIBAGH JHARKHAND</v>
          </cell>
          <cell r="G7717">
            <v>9431170158</v>
          </cell>
          <cell r="K7717" t="str">
            <v>BMDS040417</v>
          </cell>
        </row>
        <row r="7718">
          <cell r="E7718" t="str">
            <v>NAMKUM RANCHI, DINESH PRASAD MOB.9334435124</v>
          </cell>
          <cell r="G7718">
            <v>9334435124</v>
          </cell>
          <cell r="K7718" t="str">
            <v>BQBD200008</v>
          </cell>
        </row>
        <row r="7719">
          <cell r="E7719" t="str">
            <v>PLOT NO. 148, TUPUDANA, INDUSTRIAL AREA, HATIA, RANCHI
834002</v>
          </cell>
          <cell r="G7719">
            <v>9434249500</v>
          </cell>
          <cell r="K7719" t="str">
            <v>BRIS035838</v>
          </cell>
        </row>
        <row r="7720">
          <cell r="E7720" t="str">
            <v>DHANBAD</v>
          </cell>
          <cell r="G7720">
            <v>9263634493</v>
          </cell>
          <cell r="K7720" t="str">
            <v>BTCD162159</v>
          </cell>
        </row>
        <row r="7721">
          <cell r="E7721" t="str">
            <v>DHANBAD</v>
          </cell>
          <cell r="G7721">
            <v>9942799726</v>
          </cell>
          <cell r="K7721" t="str">
            <v>BRLD160741</v>
          </cell>
        </row>
        <row r="7722">
          <cell r="E7722" t="str">
            <v>SHEETLA PRASAD SINGH,, MISHRA PADA, NEAR DURGA MANDIR,, JHARIA, DHANBAD - 828 111, JHARKHAND.</v>
          </cell>
          <cell r="G7722">
            <v>8106167121</v>
          </cell>
          <cell r="K7722" t="str">
            <v>BTDD162169</v>
          </cell>
        </row>
        <row r="7723">
          <cell r="E7723" t="str">
            <v>TUPUDANA INDUSTRIAL AREA</v>
          </cell>
          <cell r="G7723">
            <v>7978649310</v>
          </cell>
          <cell r="K7723" t="str">
            <v>BMBS030816</v>
          </cell>
        </row>
        <row r="7724">
          <cell r="E7724" t="str">
            <v>KOKAR, RANCHI</v>
          </cell>
          <cell r="G7724">
            <v>8051191796</v>
          </cell>
          <cell r="K7724" t="str">
            <v>BRGD161233</v>
          </cell>
        </row>
        <row r="7725">
          <cell r="E7725" t="str">
            <v>TAPIN HAZARIBAGH</v>
          </cell>
          <cell r="G7725">
            <v>7061611957</v>
          </cell>
          <cell r="K7725" t="str">
            <v>BTGD162289</v>
          </cell>
        </row>
        <row r="7726">
          <cell r="E7726" t="str">
            <v>GOLA,RAMGARH
829110
TITLA GOLA,</v>
          </cell>
          <cell r="G7726">
            <v>7764975820</v>
          </cell>
          <cell r="K7726" t="str">
            <v>BJBS040305</v>
          </cell>
        </row>
        <row r="7727">
          <cell r="E7727" t="str">
            <v>AT. BONGABAR, SANDI, RAMGARH, AMC  FROM 1-8-2019 TO 30-7-2020
829122
SANDI ,</v>
          </cell>
          <cell r="G7727">
            <v>7004377365</v>
          </cell>
          <cell r="K7727" t="str">
            <v>BLGS040605</v>
          </cell>
        </row>
        <row r="7728">
          <cell r="E7728" t="str">
            <v>205, HARE RAM APARTMENT, KANKE ROAD OPP. HOLIDAY HOME, RANCHI</v>
          </cell>
          <cell r="G7728">
            <v>9234951903</v>
          </cell>
          <cell r="K7728" t="str">
            <v>BSID200615</v>
          </cell>
        </row>
        <row r="7729">
          <cell r="E7729" t="str">
            <v>UNIT OF HERITAGE LANDMARKS AUTOWORLD PVT. LTD., NEAR KAMRE AASHRAM, P.O. KAMRE, RATU ROAD, RANCHI
835214</v>
          </cell>
          <cell r="G7729">
            <v>7759034224</v>
          </cell>
          <cell r="K7729" t="str">
            <v>BTJC377158</v>
          </cell>
        </row>
        <row r="7730">
          <cell r="E7730" t="str">
            <v>SHEETLA PRASAD SINGH,, MISHRA PADA, NEAR DURGA MANDIR,, JHARIA, DHANBAD - 828 111, JHARKHAND.</v>
          </cell>
          <cell r="G7730">
            <v>7644045555</v>
          </cell>
          <cell r="K7730" t="str">
            <v>BTKD162112</v>
          </cell>
        </row>
        <row r="7731">
          <cell r="E7731" t="str">
            <v>JHUMRI TELAIYA, KODARMA
825409</v>
          </cell>
          <cell r="G7731">
            <v>7455926707</v>
          </cell>
          <cell r="K7731" t="str">
            <v>BSBC375530</v>
          </cell>
        </row>
        <row r="7732">
          <cell r="E7732" t="str">
            <v>REHLA,GARWA,JHARKHAND
822124
RANCHI</v>
          </cell>
          <cell r="G7732">
            <v>9304009671</v>
          </cell>
          <cell r="K7732" t="str">
            <v>BMFS031346</v>
          </cell>
        </row>
        <row r="7733">
          <cell r="E7733" t="str">
            <v>UNIT OF HERITAGE LANDMARKS AUTOWORLD PVT. LTD., NEAR KAMRE AASHRAM, P.O. KAMRE, RATU ROAD, RANCHI
835214</v>
          </cell>
          <cell r="G7733">
            <v>9905571061</v>
          </cell>
          <cell r="K7733" t="str">
            <v>BQFC370869</v>
          </cell>
        </row>
        <row r="7734">
          <cell r="E7734" t="str">
            <v>TUPUDANA INDUSTRIAL AREA, RANCHI
PLOT NO. 114, TUPUDANA INDUSTRIAL AREA, TUPUDANA,HATIA, RANCHI
834002
RANCHI</v>
          </cell>
          <cell r="G7734">
            <v>9939738679</v>
          </cell>
          <cell r="K7734" t="str">
            <v>GOKS040088</v>
          </cell>
        </row>
        <row r="7735">
          <cell r="E7735" t="str">
            <v>NAMKUM INDUSTRIAL AREA,RANCHI
RANCHI
834010
INDIA</v>
          </cell>
          <cell r="G7735">
            <v>7070996365</v>
          </cell>
          <cell r="K7735" t="str">
            <v>GOCC370465</v>
          </cell>
        </row>
        <row r="7736">
          <cell r="E7736" t="str">
            <v>DHANBAD</v>
          </cell>
          <cell r="G7736">
            <v>8210106692</v>
          </cell>
          <cell r="K7736" t="str">
            <v>BTFD162244</v>
          </cell>
        </row>
        <row r="7737">
          <cell r="E7737" t="str">
            <v>CITY CENTER SECTOR - 4, BOKARO STEEL CITY, BOKARO, JHARKHAND, MOB. NO. 7050539301
CITY CENTER SECTOR - 4, BOKARO STEEL CITY, BOKARO, JHARKHAND, MOB. NO. 7050539301
827003
BOKARO</v>
          </cell>
          <cell r="G7737">
            <v>9263631310</v>
          </cell>
          <cell r="K7737">
            <v>70369</v>
          </cell>
        </row>
        <row r="7738">
          <cell r="E7738" t="str">
            <v>CITY CENTER SECTOR - 4, BOKARO STEEL CITY, BOKARO, JHARKHAND, MOB. NO. 7050539301
CITY CENTER SECTOR - 4, BOKARO STEEL CITY, BOKARO, JHARKHAND, MOB. NO. 7050539301
827003
BOKARO</v>
          </cell>
          <cell r="G7738">
            <v>9263631310</v>
          </cell>
          <cell r="K7738">
            <v>70369</v>
          </cell>
        </row>
        <row r="7739">
          <cell r="E7739" t="str">
            <v>PAKUR</v>
          </cell>
          <cell r="G7739">
            <v>9234686331</v>
          </cell>
          <cell r="K7739" t="str">
            <v>BQJD200029</v>
          </cell>
        </row>
        <row r="7740">
          <cell r="E7740" t="str">
            <v>SIMARIYA ROAD, CHATRA
825401</v>
          </cell>
          <cell r="G7740">
            <v>7779922031</v>
          </cell>
          <cell r="K7740" t="str">
            <v>BSFC376341</v>
          </cell>
        </row>
        <row r="7741">
          <cell r="E7741" t="str">
            <v>DHANBAD</v>
          </cell>
          <cell r="G7741">
            <v>9942799726</v>
          </cell>
          <cell r="K7741" t="str">
            <v>BRLD160741</v>
          </cell>
        </row>
        <row r="7742">
          <cell r="E7742" t="str">
            <v>RAMGARH SPONGE IRON PVT LTD VILLAGE:HOSHIR GIDDI-POHAZARIBAGH(DT)JHARKHAND IND
829110</v>
          </cell>
          <cell r="G7742">
            <v>8789325754</v>
          </cell>
          <cell r="K7742" t="str">
            <v>BKCS040470</v>
          </cell>
        </row>
        <row r="7743">
          <cell r="E7743" t="str">
            <v>HOSHIR GIDDI,RAMGARH
NEAR P.N. BANK MAIN ROAD, RAMGARH CANTT. 829122
829110</v>
          </cell>
          <cell r="G7743">
            <v>8789325754</v>
          </cell>
          <cell r="K7743" t="str">
            <v>GPJS030042</v>
          </cell>
        </row>
        <row r="7744">
          <cell r="E7744" t="str">
            <v>HOSHIR GIDDI,RAMGARH
NEAR P.N. BANK MAIN ROAD, RAMGARH CANTT. 829122
829110</v>
          </cell>
          <cell r="G7744">
            <v>8789325754</v>
          </cell>
          <cell r="K7744" t="str">
            <v>BRHS035368</v>
          </cell>
        </row>
        <row r="7745">
          <cell r="E7745" t="str">
            <v>RAMGARH SPONGE IRON PVT LTD VILLAGE:HOSHIR GIDDI-POHAZARIBAGH(DT)JHARKHAND IND
829110</v>
          </cell>
          <cell r="G7745">
            <v>8789325754</v>
          </cell>
          <cell r="K7745" t="str">
            <v>BKCS040470</v>
          </cell>
        </row>
        <row r="7746">
          <cell r="E7746" t="str">
            <v>KOKAR, RANCHI</v>
          </cell>
          <cell r="G7746">
            <v>8051191796</v>
          </cell>
          <cell r="K7746" t="str">
            <v>BRGD161233</v>
          </cell>
        </row>
        <row r="7747">
          <cell r="E7747">
            <v>0</v>
          </cell>
          <cell r="G7747">
            <v>0</v>
          </cell>
          <cell r="K7747" t="str">
            <v>BQID160467</v>
          </cell>
        </row>
        <row r="7748">
          <cell r="E7748" t="str">
            <v>BHULI DHANBAD</v>
          </cell>
          <cell r="G7748">
            <v>6204361790</v>
          </cell>
          <cell r="K7748" t="str">
            <v>BQED160244</v>
          </cell>
        </row>
        <row r="7749">
          <cell r="E7749" t="str">
            <v>TUPUDANA INDUSTRIAL AREA, RANCHI
PLOT NO. - 45 &amp; 46, TUPUDAN AINDUSTRIAL AREA, TUPUDANA, HATIA, RANCHI
834003
TIPUDANA INDUSTRIAL AREA</v>
          </cell>
          <cell r="G7749">
            <v>8092355914</v>
          </cell>
          <cell r="K7749" t="str">
            <v>BQBS033819</v>
          </cell>
        </row>
        <row r="7750">
          <cell r="E7750" t="str">
            <v>TUPUDANA INDUSTRIAL AREA, RANCHI
PLOT NO. - 45 &amp; 46, TUPUDAN AINDUSTRIAL AREA, TUPUDANA, HATIA, RANCHI
834003
TIPUDANA INDUSTRIAL AREA</v>
          </cell>
          <cell r="G7750">
            <v>8092355914</v>
          </cell>
          <cell r="K7750" t="str">
            <v>BJHET10090</v>
          </cell>
        </row>
        <row r="7751">
          <cell r="E7751" t="str">
            <v>BHULI DHANBAD</v>
          </cell>
          <cell r="G7751">
            <v>6204361790</v>
          </cell>
          <cell r="K7751" t="str">
            <v>BQED160244</v>
          </cell>
        </row>
        <row r="7752">
          <cell r="E7752" t="str">
            <v>MANDU, RAMGARH
JAISWAL COLONY, THANA CHOW,, RAMGARH CANTT. DIST. RAMGARH, JHARKHAND
825316
MANDU</v>
          </cell>
          <cell r="G7752">
            <v>8340671937</v>
          </cell>
          <cell r="K7752" t="str">
            <v>BTLS039851</v>
          </cell>
        </row>
        <row r="7753">
          <cell r="E7753" t="str">
            <v>MANDU, RAMGARH
JAISWAL COLONY, THANA CHOW,, RAMGARH CANTT. DIST. RAMGARH, JHARKHAND
825316
MANDU</v>
          </cell>
          <cell r="G7753">
            <v>8340671937</v>
          </cell>
          <cell r="K7753" t="str">
            <v>BTLS039748</v>
          </cell>
        </row>
        <row r="7754">
          <cell r="E7754" t="str">
            <v>MANDU, RAMGARH
JAISWAL COLONY, THANA CHOW,, RAMGARH CANTT. DIST. RAMGARH, JHARKHAND
825316
MANDU</v>
          </cell>
          <cell r="G7754">
            <v>8340671937</v>
          </cell>
          <cell r="K7754" t="str">
            <v>BTLS039787</v>
          </cell>
        </row>
        <row r="7755">
          <cell r="E7755" t="str">
            <v>MANDU, RAMGARH
JAISWAL COLONY, THANA CHOW,, RAMGARH CANTT. DIST. RAMGARH, JHARKHAND
825316
MANDU</v>
          </cell>
          <cell r="G7755">
            <v>8340671937</v>
          </cell>
          <cell r="K7755" t="str">
            <v>BTLS039793</v>
          </cell>
        </row>
        <row r="7756">
          <cell r="E7756" t="str">
            <v>MANDU, RAMGARH
JAISWAL COLONY, THANA CHOW,, RAMGARH CANTT. DIST. RAMGARH, JHARKHAND
825316
MANDU</v>
          </cell>
          <cell r="G7756">
            <v>7004242951</v>
          </cell>
          <cell r="K7756" t="str">
            <v>BTLS039793</v>
          </cell>
        </row>
        <row r="7757">
          <cell r="E7757" t="str">
            <v>GHATO
825314</v>
          </cell>
          <cell r="G7757">
            <v>7763814514</v>
          </cell>
          <cell r="K7757" t="str">
            <v>BRGS035053</v>
          </cell>
        </row>
        <row r="7758">
          <cell r="E7758" t="str">
            <v>SHEETLA PRASAD SINGH,, MISHRA PADA, NEAR DURGA MANDIR,, JHARIA, DHANBAD - 828 111, JHARKHAND.</v>
          </cell>
          <cell r="G7758">
            <v>8106167121</v>
          </cell>
          <cell r="K7758" t="str">
            <v>BTDD162169</v>
          </cell>
        </row>
        <row r="7759">
          <cell r="E7759" t="str">
            <v>SHEETLA PRASAD SINGH,, MISHRA PADA, NEAR DURGA MANDIR,, JHARIA, DHANBAD - 828 111, JHARKHAND.</v>
          </cell>
          <cell r="G7759">
            <v>7644045555</v>
          </cell>
          <cell r="K7759" t="str">
            <v>BTKD162112</v>
          </cell>
        </row>
        <row r="7760">
          <cell r="E7760" t="str">
            <v>SHEETLA PRASAD SINGH,, MISHRA PADA, NEAR DURGA MANDIR,, JHARIA, DHANBAD - 828 111, JHARKHAND.</v>
          </cell>
          <cell r="G7760">
            <v>7644045555</v>
          </cell>
          <cell r="K7760" t="str">
            <v>BTCD162149</v>
          </cell>
        </row>
        <row r="7761">
          <cell r="E7761" t="str">
            <v>RAMGARH,JHARKHAND
829122</v>
          </cell>
          <cell r="G7761">
            <v>9934012694</v>
          </cell>
          <cell r="K7761" t="str">
            <v>BSIC376940</v>
          </cell>
        </row>
        <row r="7762">
          <cell r="E7762" t="str">
            <v>KHASHMAHAL PROJECT CCL, BERMO, PHUSHRO, JHARKHAND</v>
          </cell>
          <cell r="G7762">
            <v>8106167121</v>
          </cell>
          <cell r="K7762" t="str">
            <v>BULD162561</v>
          </cell>
        </row>
        <row r="7763">
          <cell r="E7763" t="str">
            <v>DALADALI, RANCHI</v>
          </cell>
          <cell r="G7763">
            <v>0</v>
          </cell>
          <cell r="K7763" t="str">
            <v>BQGD230221</v>
          </cell>
        </row>
        <row r="7764">
          <cell r="E7764" t="str">
            <v>DHANBAD</v>
          </cell>
          <cell r="G7764">
            <v>9550053031</v>
          </cell>
          <cell r="K7764" t="str">
            <v>BTDD162186</v>
          </cell>
        </row>
        <row r="7765">
          <cell r="E7765" t="str">
            <v>KODERMA
825410</v>
          </cell>
          <cell r="G7765">
            <v>7070098712</v>
          </cell>
          <cell r="K7765" t="str">
            <v>BLIS040713</v>
          </cell>
        </row>
        <row r="7766">
          <cell r="E7766" t="str">
            <v>TRIDENT PNEUMATICS PVT LTD   5/232,KNG PUDUR ROADSOMAYAMPALAYAM POSTCOIMBATORE IND</v>
          </cell>
          <cell r="G7766">
            <v>6204342637</v>
          </cell>
          <cell r="K7766" t="str">
            <v>BRCC373040</v>
          </cell>
        </row>
        <row r="7767">
          <cell r="E7767" t="str">
            <v>DHANBAD</v>
          </cell>
          <cell r="G7767">
            <v>9550053031</v>
          </cell>
          <cell r="K7767" t="str">
            <v>BTDD162186</v>
          </cell>
        </row>
        <row r="7768">
          <cell r="E7768" t="str">
            <v>TILAIYA,KODARMA
825409
TILAIYA</v>
          </cell>
          <cell r="G7768">
            <v>7739220875</v>
          </cell>
          <cell r="K7768" t="str">
            <v>BQJC370018</v>
          </cell>
        </row>
        <row r="7769">
          <cell r="E7769" t="str">
            <v>HORHAP ROAD, MAHILONG, RANCHI
835103</v>
          </cell>
          <cell r="G7769">
            <v>9708039203</v>
          </cell>
          <cell r="K7769" t="str">
            <v>BRIC374329</v>
          </cell>
        </row>
        <row r="7770">
          <cell r="E7770" t="str">
            <v>205, HARE RAM APARTMENT, KANKE ROAD OPP. HOLIDAY HOME, RANCHI</v>
          </cell>
          <cell r="G7770">
            <v>9234951903</v>
          </cell>
          <cell r="K7770" t="str">
            <v>BSID200615</v>
          </cell>
        </row>
        <row r="7771">
          <cell r="E7771" t="str">
            <v>RAMGARH,JHARKHAND
829122</v>
          </cell>
          <cell r="G7771">
            <v>9934012694</v>
          </cell>
          <cell r="K7771" t="str">
            <v>BSIC376940</v>
          </cell>
        </row>
        <row r="7772">
          <cell r="E7772" t="str">
            <v>KOKAR INDUSTRIAL AREA,RANCHI
834001</v>
          </cell>
          <cell r="G7772">
            <v>8709740232</v>
          </cell>
          <cell r="K7772" t="str">
            <v>BPIC370386</v>
          </cell>
        </row>
        <row r="7773">
          <cell r="E7773" t="str">
            <v>KATHITAND, RANCHI</v>
          </cell>
          <cell r="G7773">
            <v>7904455688</v>
          </cell>
          <cell r="K7773" t="str">
            <v>BSLD230361</v>
          </cell>
        </row>
        <row r="7774">
          <cell r="E7774" t="str">
            <v>KATRAS, DHANBAD</v>
          </cell>
          <cell r="G7774">
            <v>8688007966</v>
          </cell>
          <cell r="K7774" t="str">
            <v>BUJD162460</v>
          </cell>
        </row>
        <row r="7775">
          <cell r="E7775" t="str">
            <v>BALIDIH INDUSTRIAL AREA,BOKARO
PLOT NO. - A/2 (P) INDUSTRIAL AREA, BALIDIH BOKARO STEEL CITY - 14, BOKARO
827014
BOKARO INDUSTRIAL ESTATE</v>
          </cell>
          <cell r="G7775">
            <v>7992338710</v>
          </cell>
          <cell r="K7775" t="str">
            <v>BSJS035946</v>
          </cell>
        </row>
        <row r="7776">
          <cell r="E7776" t="str">
            <v>BAGODAR ROAD, HAZARIBAGH</v>
          </cell>
          <cell r="G7776">
            <v>9931105530</v>
          </cell>
          <cell r="K7776" t="str">
            <v>BREC373531</v>
          </cell>
        </row>
        <row r="7777">
          <cell r="E7777" t="str">
            <v>MW APJL PROJECT SITE
VILLAGE &amp;P.O. MOTIA, TEHSIL: GODDA DIST. GODDA, JHARKHAND- 874733
874733</v>
          </cell>
          <cell r="G7777">
            <v>9581574996</v>
          </cell>
          <cell r="K7777" t="str">
            <v>BTJS043846</v>
          </cell>
        </row>
        <row r="7778">
          <cell r="E7778" t="str">
            <v>RANCHI PATNA ROAD
DEMOTAND
825301
HAZARIBAGH</v>
          </cell>
          <cell r="G7778">
            <v>6203465926</v>
          </cell>
          <cell r="K7778" t="str">
            <v>BSCS037531</v>
          </cell>
        </row>
        <row r="7779">
          <cell r="E7779" t="str">
            <v>SHEETLA PRASAD SINGH,, MISHRA PADA, NEAR DURGA MANDIR,, JHARIA, DHANBAD - 828 111, JHARKHAND.</v>
          </cell>
          <cell r="G7779">
            <v>8106167121</v>
          </cell>
          <cell r="K7779" t="str">
            <v>BTDD162169</v>
          </cell>
        </row>
        <row r="7780">
          <cell r="E7780" t="str">
            <v>JAL MAIDAN, JAMSHEDPUR</v>
          </cell>
          <cell r="G7780">
            <v>9489176819</v>
          </cell>
          <cell r="K7780" t="str">
            <v>BRCD161002</v>
          </cell>
        </row>
        <row r="7781">
          <cell r="E7781" t="str">
            <v>TUPUDANA INDUSTRIAL AREA, RANCHI
PLOT NO. 114, TUPUDANA INDUSTRIAL AREA, TUPUDANA,HATIA, RANCHI
834002
RANCHI</v>
          </cell>
          <cell r="G7781">
            <v>9939738679</v>
          </cell>
          <cell r="K7781" t="str">
            <v>GOKS040088</v>
          </cell>
        </row>
        <row r="7782">
          <cell r="E7782" t="str">
            <v>ITKI ROAD,RANCHI
834008
ITKI ROAD</v>
          </cell>
          <cell r="G7782">
            <v>9905765559</v>
          </cell>
          <cell r="K7782" t="str">
            <v>GPKC370119</v>
          </cell>
        </row>
        <row r="7783">
          <cell r="E7783" t="str">
            <v>KOKAR INDUSTRIAL AREA,RANCHI
834001</v>
          </cell>
          <cell r="G7783">
            <v>0</v>
          </cell>
          <cell r="K7783" t="str">
            <v>BSBC375532</v>
          </cell>
        </row>
        <row r="7784">
          <cell r="E7784" t="str">
            <v>KATHITAND, RANCHI</v>
          </cell>
          <cell r="G7784">
            <v>7904455688</v>
          </cell>
          <cell r="K7784" t="str">
            <v>BSLD230361</v>
          </cell>
        </row>
        <row r="7785">
          <cell r="E7785" t="str">
            <v>BARIATU,RANCHI
834009
BARIATU</v>
          </cell>
          <cell r="G7785">
            <v>9546501069</v>
          </cell>
          <cell r="K7785" t="str">
            <v>BQLC370193</v>
          </cell>
        </row>
        <row r="7786">
          <cell r="E7786" t="str">
            <v>REHLA,GARWA,JHARKHAND
822124
RANCHI</v>
          </cell>
          <cell r="G7786">
            <v>9304009671</v>
          </cell>
          <cell r="K7786" t="str">
            <v>BMFS031346</v>
          </cell>
        </row>
        <row r="7787">
          <cell r="E7787" t="str">
            <v>C/O - PREM PRAKASH AGARWAL, OPP - HILLVIEW FUEL STATION, GODHUR, P.O - KUSUNDA, DHANBAD</v>
          </cell>
          <cell r="G7787">
            <v>7903412157</v>
          </cell>
          <cell r="K7787" t="str">
            <v>BTED162217</v>
          </cell>
        </row>
        <row r="7788">
          <cell r="E7788" t="str">
            <v>NAGRI,RANCHI
835202
RANCHI</v>
          </cell>
          <cell r="G7788">
            <v>7004248429</v>
          </cell>
          <cell r="K7788" t="str">
            <v>BRIS035698</v>
          </cell>
        </row>
        <row r="7789">
          <cell r="E7789" t="str">
            <v>TUPUDANA INDUSTRIAL AREA</v>
          </cell>
          <cell r="G7789">
            <v>7978649310</v>
          </cell>
          <cell r="K7789" t="str">
            <v>BMBS030816</v>
          </cell>
        </row>
        <row r="7790">
          <cell r="E7790" t="str">
            <v>SHADEV NAGAR
834002
SHADEV NAGAR</v>
          </cell>
          <cell r="G7790">
            <v>8102898877</v>
          </cell>
          <cell r="K7790" t="str">
            <v>GOHC370857</v>
          </cell>
        </row>
        <row r="7791">
          <cell r="E7791" t="str">
            <v>JAMSHEDPUR</v>
          </cell>
          <cell r="G7791">
            <v>9431525317</v>
          </cell>
          <cell r="K7791" t="str">
            <v>BRCD161002</v>
          </cell>
        </row>
        <row r="7792">
          <cell r="E7792" t="str">
            <v>REHLA, GARHWA ROAD, PALAMU D.T, JHARKHAND
PALAMU JHARKHAND 822124
INDIA</v>
          </cell>
          <cell r="G7792">
            <v>7902431955</v>
          </cell>
          <cell r="K7792" t="str">
            <v>BLFS031469</v>
          </cell>
        </row>
        <row r="7793">
          <cell r="E7793" t="str">
            <v>DHANBAD</v>
          </cell>
          <cell r="G7793">
            <v>9550053031</v>
          </cell>
          <cell r="K7793" t="str">
            <v>BTDD162186</v>
          </cell>
        </row>
        <row r="7794">
          <cell r="E7794" t="str">
            <v>KOKAR INDUSTRIAL AREA,RANCHI
834001</v>
          </cell>
          <cell r="G7794">
            <v>8709740232</v>
          </cell>
          <cell r="K7794" t="str">
            <v>BPIC370386</v>
          </cell>
        </row>
        <row r="7795">
          <cell r="E7795" t="str">
            <v>NAMKUM INDUSTRIAL AREA,RANCHI
834010</v>
          </cell>
          <cell r="G7795">
            <v>9386408111</v>
          </cell>
          <cell r="K7795" t="str">
            <v>GOCC370403</v>
          </cell>
        </row>
        <row r="7796">
          <cell r="E7796" t="str">
            <v>GAYA, BIHAR</v>
          </cell>
          <cell r="G7796">
            <v>8340735591</v>
          </cell>
          <cell r="K7796" t="str">
            <v>BQBD160060</v>
          </cell>
        </row>
        <row r="7797">
          <cell r="E7797" t="str">
            <v>REHLA, GARHWA ROAD, PALAMU D.T, JHARKHAND
PALAMU JHARKHAND 822124
INDIA</v>
          </cell>
          <cell r="G7797">
            <v>7902431955</v>
          </cell>
          <cell r="K7797" t="str">
            <v>BLFS031469</v>
          </cell>
        </row>
        <row r="7798">
          <cell r="E7798" t="str">
            <v>DHANBAD</v>
          </cell>
          <cell r="G7798">
            <v>9083506628</v>
          </cell>
          <cell r="K7798" t="str">
            <v>BRGD161225</v>
          </cell>
        </row>
        <row r="7799">
          <cell r="E7799" t="str">
            <v>RAFIGANJ, BIHAR</v>
          </cell>
          <cell r="G7799">
            <v>8003674750</v>
          </cell>
          <cell r="K7799" t="str">
            <v>BTED220439</v>
          </cell>
        </row>
        <row r="7800">
          <cell r="E7800" t="str">
            <v>BALIDIH INDUSTRIAL AREA
827014</v>
          </cell>
          <cell r="G7800">
            <v>8619424665</v>
          </cell>
          <cell r="K7800" t="str">
            <v>BTDS044304</v>
          </cell>
        </row>
        <row r="7801">
          <cell r="E7801" t="str">
            <v>TRIDENT PNEUMATICS PVT LTD   5/232,KNG PUDUR ROADSOMAYAMPALAYAM POSTCOIMBATORE IND</v>
          </cell>
          <cell r="G7801">
            <v>6204342637</v>
          </cell>
          <cell r="K7801" t="str">
            <v>BRCC373040</v>
          </cell>
        </row>
        <row r="7802">
          <cell r="E7802" t="str">
            <v>HAZARIBAGH</v>
          </cell>
          <cell r="G7802">
            <v>9431141152</v>
          </cell>
          <cell r="K7802" t="str">
            <v>BUKC370622</v>
          </cell>
        </row>
        <row r="7803">
          <cell r="E7803" t="str">
            <v>SONARDHI</v>
          </cell>
          <cell r="G7803">
            <v>9570178502</v>
          </cell>
          <cell r="K7803" t="str">
            <v>BRCD160940</v>
          </cell>
        </row>
        <row r="7804">
          <cell r="E7804" t="str">
            <v>GOPI MORE GAYA</v>
          </cell>
          <cell r="G7804">
            <v>7789508241</v>
          </cell>
          <cell r="K7804" t="str">
            <v>BQBD160060</v>
          </cell>
        </row>
        <row r="7805">
          <cell r="E7805" t="str">
            <v>CITY CENTER SECTOR - 4, BOKARO STEEL CITY, BOKARO, JHARKHAND, MOB. NO. 7050539301
CITY CENTER SECTOR - 4, BOKARO STEEL CITY, BOKARO, JHARKHAND, MOB. NO. 7050539301
827003
BOKARO</v>
          </cell>
          <cell r="G7805">
            <v>9263631310</v>
          </cell>
          <cell r="K7805">
            <v>70369</v>
          </cell>
        </row>
        <row r="7806">
          <cell r="E7806" t="str">
            <v>DHANBAD</v>
          </cell>
          <cell r="G7806">
            <v>9550053031</v>
          </cell>
          <cell r="K7806" t="str">
            <v>BTDD162186</v>
          </cell>
        </row>
        <row r="7807">
          <cell r="E7807" t="str">
            <v>UNIT OF HERITAGE LANDMARKS AUTOWORLD PVT. LTD., NEAR KAMRE AASHRAM, P.O. KAMRE, RATU ROAD, RANCHI
835214</v>
          </cell>
          <cell r="G7807">
            <v>7759034224</v>
          </cell>
          <cell r="K7807" t="str">
            <v>BTJC377158</v>
          </cell>
        </row>
        <row r="7808">
          <cell r="E7808" t="str">
            <v>ITI MORE, CHAS</v>
          </cell>
          <cell r="G7808">
            <v>9708999798</v>
          </cell>
          <cell r="K7808" t="str">
            <v>BQID200160</v>
          </cell>
        </row>
        <row r="7809">
          <cell r="E7809" t="str">
            <v>UNIT OF HERITAGE LANDMARKS AUTOWORLD PVT. LTD., NEAR KAMRE AASHRAM, P.O. KAMRE, RATU ROAD, RANCHI
835214</v>
          </cell>
          <cell r="G7809">
            <v>9065521314</v>
          </cell>
          <cell r="K7809" t="str">
            <v>BTJC377158</v>
          </cell>
        </row>
        <row r="7810">
          <cell r="E7810" t="str">
            <v>KATHITAND, RANCHI</v>
          </cell>
          <cell r="G7810">
            <v>7904455688</v>
          </cell>
          <cell r="K7810" t="str">
            <v>BSLD230361</v>
          </cell>
        </row>
        <row r="7811">
          <cell r="E7811" t="str">
            <v>RAMGARH</v>
          </cell>
          <cell r="G7811">
            <v>9973223350</v>
          </cell>
          <cell r="K7811" t="str">
            <v>BKAS030601</v>
          </cell>
        </row>
        <row r="7812">
          <cell r="E7812" t="str">
            <v>UPPER BAZAR,RANCHI
834001
UPPER BAZAR,</v>
          </cell>
          <cell r="G7812">
            <v>8381069617</v>
          </cell>
          <cell r="K7812" t="str">
            <v>BRJC371828</v>
          </cell>
        </row>
        <row r="7813">
          <cell r="E7813" t="str">
            <v>RAMGARH</v>
          </cell>
          <cell r="G7813">
            <v>7004377365</v>
          </cell>
          <cell r="K7813" t="str">
            <v>BLES031356</v>
          </cell>
        </row>
        <row r="7814">
          <cell r="E7814" t="str">
            <v>OPP. PUNJAB NATIONAL BANK,, BUKRU, RANCHI</v>
          </cell>
          <cell r="G7814">
            <v>7091772999</v>
          </cell>
          <cell r="K7814" t="str">
            <v>BSGD161854</v>
          </cell>
        </row>
        <row r="7815">
          <cell r="E7815" t="str">
            <v>RAMGARH
829103
NAYA MORE</v>
          </cell>
          <cell r="G7815">
            <v>7739460263</v>
          </cell>
          <cell r="K7815" t="str">
            <v>BPCS030196</v>
          </cell>
        </row>
        <row r="7816">
          <cell r="E7816" t="str">
            <v>RAMGARH
829103
NAYA MORE</v>
          </cell>
          <cell r="G7816">
            <v>7739460263</v>
          </cell>
          <cell r="K7816" t="str">
            <v>BRGS035169</v>
          </cell>
        </row>
        <row r="7817">
          <cell r="E7817" t="str">
            <v>NAMKUM INDUSTRIAL AREA,RANCHI
834010</v>
          </cell>
          <cell r="G7817">
            <v>9386408111</v>
          </cell>
          <cell r="K7817" t="str">
            <v>BRHS035337</v>
          </cell>
        </row>
        <row r="7818">
          <cell r="E7818" t="str">
            <v>CHAS BOKARO</v>
          </cell>
          <cell r="G7818">
            <v>9135780530</v>
          </cell>
          <cell r="K7818" t="str">
            <v>BQKD200034</v>
          </cell>
        </row>
        <row r="7819">
          <cell r="E7819" t="str">
            <v>MURHU
C/O ASHISH SABOO, MURHU, DIST- KHUNTI
835216</v>
          </cell>
          <cell r="G7819">
            <v>8862826990</v>
          </cell>
          <cell r="K7819" t="str">
            <v>BTLC377591</v>
          </cell>
        </row>
        <row r="7820">
          <cell r="E7820" t="str">
            <v>DHANBAD</v>
          </cell>
          <cell r="G7820">
            <v>9263634493</v>
          </cell>
          <cell r="K7820" t="str">
            <v>BTCD162159</v>
          </cell>
        </row>
        <row r="7821">
          <cell r="E7821" t="str">
            <v>SHEETLA PRASAD SINGH,, MISHRA PADA, NEAR DURGA MANDIR,, JHARIA, DHANBAD - 828 111, JHARKHAND.</v>
          </cell>
          <cell r="G7821">
            <v>7644045555</v>
          </cell>
          <cell r="K7821" t="str">
            <v>BTKD162112</v>
          </cell>
        </row>
        <row r="7822">
          <cell r="E7822" t="str">
            <v>BURKHUNDA RAMGARH
829135</v>
          </cell>
          <cell r="G7822">
            <v>8210720001</v>
          </cell>
          <cell r="K7822" t="str">
            <v>BTFC378939</v>
          </cell>
        </row>
        <row r="7823">
          <cell r="E7823" t="str">
            <v>CHANDIL BAZAR</v>
          </cell>
          <cell r="G7823">
            <v>8809969991</v>
          </cell>
          <cell r="K7823" t="str">
            <v>BMLD160107</v>
          </cell>
        </row>
        <row r="7824">
          <cell r="E7824" t="str">
            <v>CHAS BOKARO</v>
          </cell>
          <cell r="G7824">
            <v>9135780530</v>
          </cell>
          <cell r="K7824" t="str">
            <v>BQKD200034</v>
          </cell>
        </row>
        <row r="7825">
          <cell r="E7825" t="str">
            <v>TUPUDANA INDUSTRIAL AREA, RANCHI
PLOT NO. - 45 &amp; 46, TUPUDAN AINDUSTRIAL AREA, TUPUDANA, HATIA, RANCHI
834003
TIPUDANA INDUSTRIAL AREA</v>
          </cell>
          <cell r="G7825">
            <v>8092355914</v>
          </cell>
          <cell r="K7825" t="str">
            <v>BQBS033819</v>
          </cell>
        </row>
        <row r="7826">
          <cell r="E7826" t="str">
            <v>CHANDIL BAZAR</v>
          </cell>
          <cell r="G7826">
            <v>7654630661</v>
          </cell>
          <cell r="K7826" t="str">
            <v>BRKD160684</v>
          </cell>
        </row>
        <row r="7827">
          <cell r="E7827" t="str">
            <v>CHANDIL BAZAR</v>
          </cell>
          <cell r="G7827">
            <v>7654630661</v>
          </cell>
          <cell r="K7827" t="str">
            <v>BRKD160684</v>
          </cell>
        </row>
        <row r="7828">
          <cell r="E7828" t="str">
            <v>JUMRI TELAIYA</v>
          </cell>
          <cell r="G7828">
            <v>9709270937</v>
          </cell>
          <cell r="K7828" t="str">
            <v>BUKC370499</v>
          </cell>
        </row>
        <row r="7829">
          <cell r="E7829" t="str">
            <v>RANCHI</v>
          </cell>
          <cell r="G7829">
            <v>8903742378</v>
          </cell>
          <cell r="K7829" t="str">
            <v>BOGD230193</v>
          </cell>
        </row>
        <row r="7830">
          <cell r="E7830" t="str">
            <v>KANKE, RANCHI
834002</v>
          </cell>
          <cell r="G7830">
            <v>7979732853</v>
          </cell>
          <cell r="K7830" t="str">
            <v>BSFC376396</v>
          </cell>
        </row>
        <row r="7831">
          <cell r="E7831" t="str">
            <v>NAMKUM INDUSTRIAL AREA,RANCHI
RANCHI
834010
INDIA</v>
          </cell>
          <cell r="G7831">
            <v>7070996365</v>
          </cell>
          <cell r="K7831" t="str">
            <v>GOCC370465</v>
          </cell>
        </row>
        <row r="7832">
          <cell r="E7832" t="str">
            <v>DHANBAD</v>
          </cell>
          <cell r="G7832">
            <v>9263634493</v>
          </cell>
          <cell r="K7832" t="str">
            <v>BTCD162159</v>
          </cell>
        </row>
        <row r="7833">
          <cell r="E7833" t="str">
            <v>C/O - PREM PRAKASH AGARWAL, OPP - HILLVIEW FUEL STATION, GODHUR, P.O - KUSUNDA, DHANBAD</v>
          </cell>
          <cell r="G7833">
            <v>7903412157</v>
          </cell>
          <cell r="K7833" t="str">
            <v>BTED162217</v>
          </cell>
        </row>
        <row r="7834">
          <cell r="E7834" t="str">
            <v>KANKE, RANCHI
834002</v>
          </cell>
          <cell r="G7834">
            <v>7979732853</v>
          </cell>
          <cell r="K7834" t="str">
            <v>BSFC376396</v>
          </cell>
        </row>
        <row r="7835">
          <cell r="E7835" t="str">
            <v>REHLA,GARWA,JHARKHAND
822124
RANCHI</v>
          </cell>
          <cell r="G7835">
            <v>9304009671</v>
          </cell>
          <cell r="K7835" t="str">
            <v>BMFS031346</v>
          </cell>
        </row>
        <row r="7836">
          <cell r="E7836" t="str">
            <v>RANCHI,JHARKHAND
834001
RANCHI</v>
          </cell>
          <cell r="G7836">
            <v>9431571200</v>
          </cell>
          <cell r="K7836" t="str">
            <v>BJHS031586</v>
          </cell>
        </row>
        <row r="7837">
          <cell r="E7837" t="str">
            <v>DHANBAD</v>
          </cell>
          <cell r="G7837">
            <v>9550053031</v>
          </cell>
          <cell r="K7837" t="str">
            <v>BTDD162186</v>
          </cell>
        </row>
        <row r="7838">
          <cell r="E7838" t="str">
            <v>DHANBAD</v>
          </cell>
          <cell r="G7838">
            <v>9263634493</v>
          </cell>
          <cell r="K7838" t="str">
            <v>BTCD162159</v>
          </cell>
        </row>
        <row r="7839">
          <cell r="E7839" t="str">
            <v>501, H.NO.3-4-136/B., ROYAL ASHOK, RESIDENCY , BARKATPURA, HYDERABAD, TELANGANA - 500027</v>
          </cell>
          <cell r="G7839">
            <v>7873039065</v>
          </cell>
          <cell r="K7839" t="str">
            <v>BRHD161304</v>
          </cell>
        </row>
        <row r="7840">
          <cell r="E7840" t="str">
            <v>TUPUDANA INDUSTRIAL AREA,RANCHI
834001
TUPUDANA RANCHI</v>
          </cell>
          <cell r="G7840">
            <v>7672855821</v>
          </cell>
          <cell r="K7840" t="str">
            <v>GPGS031328</v>
          </cell>
        </row>
        <row r="7841">
          <cell r="E7841" t="str">
            <v>TATISILWAY</v>
          </cell>
          <cell r="G7841">
            <v>6201580224</v>
          </cell>
          <cell r="K7841" t="str">
            <v>BQBD200003</v>
          </cell>
        </row>
        <row r="7842">
          <cell r="E7842" t="str">
            <v>KOKAR,INDUSTRIAL AREA,RANCHI
834002
RANCHI</v>
          </cell>
          <cell r="G7842">
            <v>9471394003</v>
          </cell>
          <cell r="K7842" t="str">
            <v>BMKC370048</v>
          </cell>
        </row>
        <row r="7843">
          <cell r="E7843" t="str">
            <v>TATISILWAI, JHARKHAND
835103</v>
          </cell>
          <cell r="G7843">
            <v>6200160428</v>
          </cell>
          <cell r="K7843" t="str">
            <v>BQGS031413</v>
          </cell>
        </row>
        <row r="7844">
          <cell r="E7844" t="str">
            <v>NAWADA, BIHAR</v>
          </cell>
          <cell r="G7844">
            <v>7272956960</v>
          </cell>
          <cell r="K7844" t="str">
            <v>BSFD161799</v>
          </cell>
        </row>
        <row r="7845">
          <cell r="E7845" t="str">
            <v>RATANPUR,DHANBAD
828109</v>
          </cell>
          <cell r="G7845">
            <v>9031029501</v>
          </cell>
          <cell r="K7845" t="str">
            <v>BTLC377584</v>
          </cell>
        </row>
        <row r="7846">
          <cell r="E7846" t="str">
            <v>TOPA MINES, RAMGARH</v>
          </cell>
          <cell r="G7846">
            <v>9471109170</v>
          </cell>
          <cell r="K7846" t="str">
            <v>BSKD161467</v>
          </cell>
        </row>
        <row r="7847">
          <cell r="E7847" t="str">
            <v>DHANBAD</v>
          </cell>
          <cell r="G7847">
            <v>9550053031</v>
          </cell>
          <cell r="K7847" t="str">
            <v>BTDD162183</v>
          </cell>
        </row>
        <row r="7848">
          <cell r="E7848" t="str">
            <v>SHEETLA PRASAD SINGH,, MISHRA PADA, NEAR DURGA MANDIR,, JHARIA, DHANBAD - 828 111, JHARKHAND.</v>
          </cell>
          <cell r="G7848">
            <v>8106167121</v>
          </cell>
          <cell r="K7848" t="str">
            <v>BTDD162169</v>
          </cell>
        </row>
        <row r="7849">
          <cell r="E7849" t="str">
            <v>ANGAR PATRA,DHANBAD</v>
          </cell>
          <cell r="G7849">
            <v>8210106692</v>
          </cell>
          <cell r="K7849" t="str">
            <v>BSDD161729</v>
          </cell>
        </row>
        <row r="7850">
          <cell r="E7850" t="str">
            <v>ANGAR PATRA,DHANBAD</v>
          </cell>
          <cell r="G7850">
            <v>8210106692</v>
          </cell>
          <cell r="K7850" t="str">
            <v>BSDD161729</v>
          </cell>
        </row>
        <row r="7851">
          <cell r="E7851" t="str">
            <v>DALTONGANJ, JHARKHAND
822101
DALTONGANJ</v>
          </cell>
          <cell r="G7851">
            <v>9654005362</v>
          </cell>
          <cell r="K7851" t="str">
            <v>BRJC371742</v>
          </cell>
        </row>
        <row r="7852">
          <cell r="E7852" t="str">
            <v>DEWRI,TATA ROAD,JHARKHAND
GOSAIGIH BUNDU NH-33, RANCHI
815314
TATA ROAD, BUNDU,</v>
          </cell>
          <cell r="G7852">
            <v>9308825621</v>
          </cell>
          <cell r="K7852" t="str">
            <v>BNAS040264</v>
          </cell>
        </row>
        <row r="7853">
          <cell r="E7853" t="str">
            <v>TUPUDANA INDUSTRIAL AREA, RANCHI
PLOT NO. 114, TUPUDANA INDUSTRIAL AREA, TUPUDANA,HATIA, RANCHI
834002
RANCHI</v>
          </cell>
          <cell r="G7853">
            <v>9939738679</v>
          </cell>
          <cell r="K7853" t="str">
            <v>GOKS040088</v>
          </cell>
        </row>
        <row r="7854">
          <cell r="E7854" t="str">
            <v>DALTONGANJ, JHARKHAND
822101
DALTONGANJ</v>
          </cell>
          <cell r="G7854">
            <v>9654005362</v>
          </cell>
          <cell r="K7854" t="str">
            <v>BRJC371742</v>
          </cell>
        </row>
        <row r="7855">
          <cell r="E7855" t="str">
            <v>TUPUDANA INDUSTRIAL AREA, RANCHI
PLOT NO. 114, TUPUDANA INDUSTRIAL AREA, TUPUDANA,HATIA, RANCHI
834002
RANCHI</v>
          </cell>
          <cell r="G7855">
            <v>9939738679</v>
          </cell>
          <cell r="K7855" t="str">
            <v>BNAS040245</v>
          </cell>
        </row>
        <row r="7856">
          <cell r="E7856" t="str">
            <v>DHANBAD</v>
          </cell>
          <cell r="G7856">
            <v>6203411013</v>
          </cell>
          <cell r="K7856" t="str">
            <v>BTED162231</v>
          </cell>
        </row>
        <row r="7857">
          <cell r="E7857" t="str">
            <v>DHANBAD</v>
          </cell>
          <cell r="G7857">
            <v>6203411013</v>
          </cell>
          <cell r="K7857" t="str">
            <v>BSGD161904</v>
          </cell>
        </row>
        <row r="7858">
          <cell r="E7858" t="str">
            <v>BASTAWLA DHANBAD</v>
          </cell>
          <cell r="G7858">
            <v>9550053031</v>
          </cell>
          <cell r="K7858" t="str">
            <v>BTJD162046</v>
          </cell>
        </row>
        <row r="7859">
          <cell r="E7859" t="str">
            <v>TRIDENT PNEUMATICS PVT LTD   5/232,KNG PUDUR ROADSOMAYAMPALAYAM POSTCOIMBATORE IND</v>
          </cell>
          <cell r="G7859">
            <v>6204342637</v>
          </cell>
          <cell r="K7859" t="str">
            <v>BRCC373040</v>
          </cell>
        </row>
        <row r="7860">
          <cell r="E7860" t="str">
            <v>BALIDIH INDUSTRIAL AREA
827014</v>
          </cell>
          <cell r="G7860">
            <v>8619424665</v>
          </cell>
          <cell r="K7860" t="str">
            <v>BTDS044313</v>
          </cell>
        </row>
        <row r="7861">
          <cell r="E7861" t="str">
            <v>HATIA PATHAR ZILA SCHOOL ROAD DUMKA JHARKHAND
834002</v>
          </cell>
          <cell r="G7861">
            <v>9304236649</v>
          </cell>
          <cell r="K7861" t="str">
            <v>BTEC378536</v>
          </cell>
        </row>
        <row r="7862">
          <cell r="E7862" t="str">
            <v>TATISILWAY</v>
          </cell>
          <cell r="G7862">
            <v>6201580224</v>
          </cell>
          <cell r="K7862" t="str">
            <v>BOID200223</v>
          </cell>
        </row>
        <row r="7863">
          <cell r="E7863" t="str">
            <v>RAMGARH</v>
          </cell>
          <cell r="G7863">
            <v>9973223350</v>
          </cell>
          <cell r="K7863" t="str">
            <v>BKAS030601</v>
          </cell>
        </row>
        <row r="7864">
          <cell r="E7864" t="str">
            <v>RANCHI PATNA ROAD
DEMOTAND
825301
HAZARIBAGH</v>
          </cell>
          <cell r="G7864">
            <v>7209274781</v>
          </cell>
          <cell r="K7864" t="str">
            <v>BMBL160078</v>
          </cell>
        </row>
        <row r="7865">
          <cell r="E7865" t="str">
            <v>SAHEBGANJ, JHARKHAND</v>
          </cell>
          <cell r="G7865">
            <v>9608937507</v>
          </cell>
          <cell r="K7865" t="str">
            <v>BTJD162047</v>
          </cell>
        </row>
        <row r="7866">
          <cell r="E7866" t="str">
            <v>RANCHI</v>
          </cell>
          <cell r="G7866">
            <v>9973536006</v>
          </cell>
          <cell r="K7866" t="str">
            <v>BLIS031950</v>
          </cell>
        </row>
        <row r="7867">
          <cell r="E7867" t="str">
            <v>DHANBAD</v>
          </cell>
          <cell r="G7867">
            <v>9263634493</v>
          </cell>
          <cell r="K7867" t="str">
            <v>BTCD162159</v>
          </cell>
        </row>
        <row r="7868">
          <cell r="E7868" t="str">
            <v>KOKAR,INDUSTRIAL AREA,RANCHI
834002
RANCHI</v>
          </cell>
          <cell r="G7868">
            <v>9471394003</v>
          </cell>
          <cell r="K7868" t="str">
            <v>BMKC370048</v>
          </cell>
        </row>
        <row r="7869">
          <cell r="E7869" t="str">
            <v>KOKAR INDUSTRIAL AREA,,RANCHI
834002
KOKAR INDUSTRIAL AREA RANCHI</v>
          </cell>
          <cell r="G7869">
            <v>9955178750</v>
          </cell>
          <cell r="K7869" t="str">
            <v>BKHET70130</v>
          </cell>
        </row>
        <row r="7870">
          <cell r="E7870" t="str">
            <v>DHANBAD</v>
          </cell>
          <cell r="G7870">
            <v>9263634493</v>
          </cell>
          <cell r="K7870" t="str">
            <v>BTCD162159</v>
          </cell>
        </row>
        <row r="7871">
          <cell r="E7871" t="str">
            <v>205, HARE RAM APARTMENT, KANKE ROAD OPP. HOLIDAY HOME, RANCHI</v>
          </cell>
          <cell r="G7871">
            <v>9234951903</v>
          </cell>
          <cell r="K7871" t="str">
            <v>BSID200615</v>
          </cell>
        </row>
        <row r="7872">
          <cell r="E7872" t="str">
            <v>RANCHI PATNA ROAD, NH-33, SINDUR, HAZARIBAGH</v>
          </cell>
          <cell r="G7872">
            <v>9354710972</v>
          </cell>
          <cell r="K7872" t="str">
            <v>BTKD200646</v>
          </cell>
        </row>
        <row r="7873">
          <cell r="E7873" t="str">
            <v>KOKAR,INDUSTRIAL AREA,RANCHI
834002
RANCHI</v>
          </cell>
          <cell r="G7873">
            <v>9471394003</v>
          </cell>
          <cell r="K7873" t="str">
            <v>BMKC370048</v>
          </cell>
        </row>
        <row r="7874">
          <cell r="E7874" t="str">
            <v>TUPUDANA INDUSTRIAL AREA, RANCHI
PLOT NO. 114, TUPUDANA INDUSTRIAL AREA, TUPUDANA,HATIA, RANCHI
834002
RANCHI</v>
          </cell>
          <cell r="G7874">
            <v>9939738679</v>
          </cell>
          <cell r="K7874" t="str">
            <v>BNAS040245</v>
          </cell>
        </row>
        <row r="7875">
          <cell r="E7875" t="str">
            <v>AT: SENEGARHA, P.O-RABODH, P.S-GIDDI,(RAMGARH),, DISTT. HAZARIBAGH,JHARKHAND-825330
829108
AT: SENEGARHA, P.O-RABODH, P.S-GIDDI,(RAMGARH),</v>
          </cell>
          <cell r="G7875">
            <v>9006877583</v>
          </cell>
          <cell r="K7875" t="str">
            <v>BRAS033261</v>
          </cell>
        </row>
        <row r="7876">
          <cell r="E7876" t="str">
            <v>TUPUDANA INDUSTRIAL AREA, RANCHI
PLOT NO. 114, TUPUDANA INDUSTRIAL AREA, TUPUDANA,HATIA, RANCHI
834002
RANCHI</v>
          </cell>
          <cell r="G7876">
            <v>9939738679</v>
          </cell>
          <cell r="K7876" t="str">
            <v>GOKS040088</v>
          </cell>
        </row>
        <row r="7877">
          <cell r="E7877" t="str">
            <v>DALADALI, RANCHUI</v>
          </cell>
          <cell r="G7877">
            <v>7992413342</v>
          </cell>
          <cell r="K7877" t="str">
            <v>BMJD200014</v>
          </cell>
        </row>
        <row r="7878">
          <cell r="E7878" t="str">
            <v>KATRAS DHANBAD</v>
          </cell>
          <cell r="G7878">
            <v>9263634474</v>
          </cell>
          <cell r="K7878" t="str">
            <v>NA</v>
          </cell>
        </row>
        <row r="7879">
          <cell r="E7879" t="str">
            <v>SONARDHI</v>
          </cell>
          <cell r="G7879">
            <v>8106167121</v>
          </cell>
          <cell r="K7879" t="str">
            <v>BRHD161312</v>
          </cell>
        </row>
        <row r="7880">
          <cell r="E7880" t="str">
            <v>KANKANI</v>
          </cell>
          <cell r="G7880">
            <v>8106167121</v>
          </cell>
          <cell r="K7880" t="str">
            <v>BRBD160892</v>
          </cell>
        </row>
        <row r="7881">
          <cell r="E7881" t="str">
            <v>205, HARE RAM APARTMENT, KANKE ROAD OPP. HOLIDAY HOME, RANCHI</v>
          </cell>
          <cell r="G7881">
            <v>9234951903</v>
          </cell>
          <cell r="K7881" t="str">
            <v>BSID200615</v>
          </cell>
        </row>
        <row r="7882">
          <cell r="E7882" t="str">
            <v>MANDU, RAMGARH
JAISWAL COLONY, THANA CHOW,, RAMGARH CANTT. DIST. RAMGARH, JHARKHAND
825316
MANDU</v>
          </cell>
          <cell r="G7882">
            <v>6205951815</v>
          </cell>
          <cell r="K7882" t="str">
            <v>BSGS043527</v>
          </cell>
        </row>
        <row r="7883">
          <cell r="E7883" t="str">
            <v>SONARDHI</v>
          </cell>
          <cell r="G7883">
            <v>8106167121</v>
          </cell>
          <cell r="K7883" t="str">
            <v>BRHD161312</v>
          </cell>
        </row>
        <row r="7884">
          <cell r="E7884" t="str">
            <v>PALKOT ROAD, GUMLA</v>
          </cell>
          <cell r="G7884">
            <v>9771502626</v>
          </cell>
          <cell r="K7884" t="str">
            <v>CTIE211496</v>
          </cell>
        </row>
        <row r="7885">
          <cell r="E7885" t="str">
            <v>RAMPUR, RANCHI</v>
          </cell>
          <cell r="G7885">
            <v>8698019221</v>
          </cell>
          <cell r="K7885" t="str">
            <v>BRCS033785</v>
          </cell>
        </row>
        <row r="7886">
          <cell r="E7886" t="str">
            <v>TUPUDANA INDUSTRIAL AREA, RANCHI
PLOT NO. - 45 &amp; 46, TUPUDAN AINDUSTRIAL AREA, TUPUDANA, HATIA, RANCHI
834003
TIPUDANA INDUSTRIAL AREA</v>
          </cell>
          <cell r="G7886">
            <v>8092355914</v>
          </cell>
          <cell r="K7886" t="str">
            <v>BQBS033819</v>
          </cell>
        </row>
        <row r="7887">
          <cell r="E7887" t="str">
            <v>DHANBAD</v>
          </cell>
          <cell r="G7887">
            <v>9546535031</v>
          </cell>
          <cell r="K7887" t="str">
            <v>BRAD160803</v>
          </cell>
        </row>
        <row r="7888">
          <cell r="E7888" t="str">
            <v>TIRUDIH , POST GHATDULMI, KANDRA ROAD, CHOWKA
832401
TIRUDIH , POST GHATDULMI, CHOWKA, KANDRA ROAD, SAR</v>
          </cell>
          <cell r="G7888">
            <v>7016701990</v>
          </cell>
          <cell r="K7888" t="str">
            <v>BMFS040502</v>
          </cell>
        </row>
        <row r="7889">
          <cell r="E7889" t="str">
            <v>JAMSHEDPUR</v>
          </cell>
          <cell r="G7889">
            <v>9431525317</v>
          </cell>
          <cell r="K7889" t="str">
            <v>BRCD161002</v>
          </cell>
        </row>
        <row r="7890">
          <cell r="E7890" t="str">
            <v>BALIDIH INDUSTRIAL AREA,BOKARO
PLOT NO. - A/2 (P) INDUSTRIAL AREA, BALIDIH BOKARO STEEL CITY - 14, BOKARO
827014
BOKARO INDUSTRIAL ESTATE</v>
          </cell>
          <cell r="G7890">
            <v>7992338710</v>
          </cell>
          <cell r="K7890" t="str">
            <v>BSJS035946</v>
          </cell>
        </row>
        <row r="7891">
          <cell r="E7891" t="str">
            <v>NAMKUM INDUSTRIAL AREA,RANCHI
834010</v>
          </cell>
          <cell r="G7891">
            <v>9386408111</v>
          </cell>
          <cell r="K7891" t="str">
            <v>GOCC370403</v>
          </cell>
        </row>
        <row r="7892">
          <cell r="E7892" t="str">
            <v>LATEHAR JHARKHAND
834002</v>
          </cell>
          <cell r="G7892">
            <v>8709810708</v>
          </cell>
          <cell r="K7892" t="str">
            <v>BUJC370090</v>
          </cell>
        </row>
        <row r="7893">
          <cell r="E7893" t="str">
            <v>PALAMU,JHARKHAND
822126
PALAMU</v>
          </cell>
          <cell r="G7893">
            <v>0</v>
          </cell>
          <cell r="K7893" t="str">
            <v>GPGC370758</v>
          </cell>
        </row>
        <row r="7894">
          <cell r="E7894" t="str">
            <v>AT: SENEGARHA, P.O-RABODH, P.S-GIDDI,(RAMGARH),, DISTT. HAZARIBAGH,JHARKHAND-825330
829108
AT: SENEGARHA, P.O-RABODH, P.S-GIDDI,(RAMGARH),</v>
          </cell>
          <cell r="G7894">
            <v>9006877583</v>
          </cell>
          <cell r="K7894" t="str">
            <v>BRAS033261</v>
          </cell>
        </row>
        <row r="7895">
          <cell r="E7895" t="str">
            <v>HATIA PATHAR ZILA SCHOOL ROAD DUMKA JHARKHAND
834002</v>
          </cell>
          <cell r="G7895">
            <v>9304236649</v>
          </cell>
          <cell r="K7895" t="str">
            <v>BTEC378536</v>
          </cell>
        </row>
        <row r="7896">
          <cell r="E7896" t="str">
            <v>RAMNAGAR , HAZARIBAGH,JHARKHAND
825302</v>
          </cell>
          <cell r="G7896">
            <v>9113183803</v>
          </cell>
          <cell r="K7896" t="str">
            <v>BQAC373617</v>
          </cell>
        </row>
        <row r="7897">
          <cell r="E7897" t="str">
            <v>DHANBAD</v>
          </cell>
          <cell r="G7897">
            <v>9550053031</v>
          </cell>
          <cell r="K7897" t="str">
            <v>BTDD162183</v>
          </cell>
        </row>
        <row r="7898">
          <cell r="E7898" t="str">
            <v>DHANBAD</v>
          </cell>
          <cell r="G7898">
            <v>9550053031</v>
          </cell>
          <cell r="K7898" t="str">
            <v>BTDD162186</v>
          </cell>
        </row>
        <row r="7899">
          <cell r="E7899" t="str">
            <v>HAZARIBAGH,JHARKHAND
825301
HAZARIBAGH</v>
          </cell>
          <cell r="G7899">
            <v>9431141006</v>
          </cell>
          <cell r="K7899" t="str">
            <v>BMGC370521</v>
          </cell>
        </row>
        <row r="7900">
          <cell r="E7900" t="str">
            <v>VILL - BARIDARI, BOKARO</v>
          </cell>
          <cell r="G7900">
            <v>9234957903</v>
          </cell>
          <cell r="K7900" t="str">
            <v>BSCD161704</v>
          </cell>
        </row>
        <row r="7901">
          <cell r="E7901" t="str">
            <v>EANA COLLIEARY, JHARIYA</v>
          </cell>
          <cell r="G7901">
            <v>7672025601</v>
          </cell>
          <cell r="K7901" t="str">
            <v>BRID161336</v>
          </cell>
        </row>
        <row r="7902">
          <cell r="E7902" t="str">
            <v>SHEETLA PRASAD SINGH,, MISHRA PADA, NEAR DURGA MANDIR,, JHARIA, DHANBAD - 828 111, JHARKHAND.</v>
          </cell>
          <cell r="G7902">
            <v>7644045555</v>
          </cell>
          <cell r="K7902" t="str">
            <v>BTCD162149</v>
          </cell>
        </row>
        <row r="7903">
          <cell r="E7903" t="str">
            <v>FOREST COLONY, SENETRY ROAD,, NEAR RAHUL MARVAL, HAZARIBAGH
825302</v>
          </cell>
          <cell r="G7903">
            <v>9934366789</v>
          </cell>
          <cell r="K7903" t="str">
            <v>BTHC379544</v>
          </cell>
        </row>
        <row r="7904">
          <cell r="E7904" t="str">
            <v>BANDHIYA RAOD, NAGRI RANCHI, MOB.8709325266
834006
BANDHIYA ROAD, NAGARI RANCHI</v>
          </cell>
          <cell r="G7904">
            <v>9110033639</v>
          </cell>
          <cell r="K7904" t="str">
            <v>BLFS040558</v>
          </cell>
        </row>
        <row r="7905">
          <cell r="E7905" t="str">
            <v>GARHWA JHARKHAND</v>
          </cell>
          <cell r="G7905">
            <v>7909158650</v>
          </cell>
          <cell r="K7905" t="str">
            <v>BPHD200246</v>
          </cell>
        </row>
        <row r="7906">
          <cell r="E7906" t="str">
            <v>CHAS BOKARO</v>
          </cell>
          <cell r="G7906">
            <v>9430375575</v>
          </cell>
          <cell r="K7906" t="str">
            <v>BQKD160076</v>
          </cell>
        </row>
        <row r="7907">
          <cell r="E7907" t="str">
            <v>GROUND AND 1 ST FLOOR, BESIDE DAINIK BHASKAR, GOVINDPUR ROAD, DIST :- DHANBAD
GROUND AND 1 ST FLOOR, BESIDE DAINIK BHASKAR, GOVINDPUR ROAD, DIST :- DHANBAD
828109</v>
          </cell>
          <cell r="G7907">
            <v>9955178750</v>
          </cell>
          <cell r="K7907" t="str">
            <v>BRES034488</v>
          </cell>
        </row>
        <row r="7908">
          <cell r="E7908" t="str">
            <v>KOKAR INDUSTRIAL AREA,,RANCHI
834002
KOKAR INDUSTRIAL AREA RANCHI</v>
          </cell>
          <cell r="G7908">
            <v>9955178750</v>
          </cell>
          <cell r="K7908" t="str">
            <v>BKHET70130</v>
          </cell>
        </row>
        <row r="7909">
          <cell r="E7909" t="str">
            <v>BURKHUNDA RAMGARH
829135</v>
          </cell>
          <cell r="G7909">
            <v>7070090067</v>
          </cell>
          <cell r="K7909" t="str">
            <v>BTFC378939</v>
          </cell>
        </row>
        <row r="7910">
          <cell r="E7910" t="str">
            <v>SAHIBGANJ</v>
          </cell>
          <cell r="G7910">
            <v>9936811168</v>
          </cell>
          <cell r="K7910" t="str">
            <v>BSID161973</v>
          </cell>
        </row>
        <row r="7911">
          <cell r="E7911" t="str">
            <v>CHAS BOKARO</v>
          </cell>
          <cell r="G7911">
            <v>9135780550</v>
          </cell>
          <cell r="K7911" t="str">
            <v>BPJD200007</v>
          </cell>
        </row>
        <row r="7912">
          <cell r="E7912" t="str">
            <v>KOKAR INDUSTRIAL AREA, RANCHI
834002</v>
          </cell>
          <cell r="G7912">
            <v>7633885415</v>
          </cell>
          <cell r="K7912" t="str">
            <v>BRJS040951</v>
          </cell>
        </row>
        <row r="7913">
          <cell r="E7913" t="str">
            <v>LATEHAR JHARKHAND
834002</v>
          </cell>
          <cell r="G7913">
            <v>8709810708</v>
          </cell>
          <cell r="K7913" t="str">
            <v>BUJC370090</v>
          </cell>
        </row>
        <row r="7914">
          <cell r="E7914" t="str">
            <v>FOREST COLONY, SENETRY ROAD,, NEAR RAHUL MARVAL, HAZARIBAGH
825302</v>
          </cell>
          <cell r="G7914">
            <v>9934366789</v>
          </cell>
          <cell r="K7914" t="str">
            <v>BTHC379544</v>
          </cell>
        </row>
        <row r="7915">
          <cell r="E7915" t="str">
            <v>HAZARIBAGH
RANCHI JHARKHAND 834002
INDIA</v>
          </cell>
          <cell r="G7915" t="str">
            <v>7309672604 / 7361044447/9835535277</v>
          </cell>
          <cell r="K7915" t="str">
            <v>BKAS030685</v>
          </cell>
        </row>
        <row r="7916">
          <cell r="E7916" t="str">
            <v>SIMARIA, BEGUSARAI</v>
          </cell>
          <cell r="G7916">
            <v>6209571746</v>
          </cell>
          <cell r="K7916" t="str">
            <v>BSCD120656</v>
          </cell>
        </row>
        <row r="7917">
          <cell r="E7917" t="str">
            <v>URMILA TOWER, ROOM NO. 805, DHANBAD</v>
          </cell>
          <cell r="G7917">
            <v>9234669513</v>
          </cell>
          <cell r="K7917" t="str">
            <v>BTKD162074</v>
          </cell>
        </row>
        <row r="7918">
          <cell r="E7918" t="str">
            <v>KATRAS, DHANBAD</v>
          </cell>
          <cell r="G7918">
            <v>9798360305</v>
          </cell>
          <cell r="K7918" t="str">
            <v>BSKD161477</v>
          </cell>
        </row>
        <row r="7919">
          <cell r="E7919" t="str">
            <v>JAL MAIDAN, JAMSHEDPUR</v>
          </cell>
          <cell r="G7919">
            <v>8368922790</v>
          </cell>
          <cell r="K7919" t="str">
            <v>BRCD161002</v>
          </cell>
        </row>
        <row r="7920">
          <cell r="E7920" t="str">
            <v>KUSUNDA DHANBAD</v>
          </cell>
          <cell r="G7920">
            <v>8210106692</v>
          </cell>
          <cell r="K7920" t="str">
            <v>BRDD161036</v>
          </cell>
        </row>
        <row r="7921">
          <cell r="E7921" t="str">
            <v>KOKAR INDUSTRIAL AREA,,RANCHI
834002
KOKAR INDUSTRIAL AREA RANCHI</v>
          </cell>
          <cell r="G7921">
            <v>9263186366</v>
          </cell>
          <cell r="K7921" t="str">
            <v>GNDC370057</v>
          </cell>
        </row>
        <row r="7922">
          <cell r="E7922" t="str">
            <v>KOKAR INDUSTRIAL AREA,,RANCHI
834002
KOKAR INDUSTRIAL AREA RANCHI</v>
          </cell>
          <cell r="G7922">
            <v>9955178750</v>
          </cell>
          <cell r="K7922" t="str">
            <v>BKHET70130</v>
          </cell>
        </row>
        <row r="7923">
          <cell r="E7923" t="str">
            <v>C/O RAJ KUMAR BHALA, DIWAN KUNJLAL LOHIA CHARITABLE TRUST, EAST MARKET ROAD, UPPER BAZAR,, RANCHI
834001</v>
          </cell>
          <cell r="G7923">
            <v>8235005333</v>
          </cell>
          <cell r="K7923" t="str">
            <v>BMDS031033</v>
          </cell>
        </row>
        <row r="7924">
          <cell r="E7924" t="str">
            <v>C/O PALANIAPPAN CHANDRAN, KATTUKOTTAL, PAITHUR, P.O- ATTUR TK,SALEM, TAMILNADU</v>
          </cell>
          <cell r="G7924">
            <v>7903828920</v>
          </cell>
          <cell r="K7924" t="str">
            <v>BSAD230391</v>
          </cell>
        </row>
        <row r="7925">
          <cell r="E7925" t="str">
            <v>NEAR P.N BANK MAIN ROAD,, RAMGARH CANTT-829122, DIST. RAMGARH
829122
BUDHAKHOP, AMBRELA, KARMA,</v>
          </cell>
          <cell r="G7925">
            <v>9437090314</v>
          </cell>
          <cell r="K7925" t="str">
            <v>BSHS038806</v>
          </cell>
        </row>
        <row r="7926">
          <cell r="E7926" t="str">
            <v>SHEETLA PRASAD SINGH,, MISHRA PADA, NEAR DURGA MANDIR,, JHARIA, DHANBAD - 828 111, JHARKHAND.</v>
          </cell>
          <cell r="G7926">
            <v>7644045555</v>
          </cell>
          <cell r="K7926" t="str">
            <v>BTKD162112</v>
          </cell>
        </row>
        <row r="7927">
          <cell r="E7927" t="str">
            <v>BASTAWLA DHANBAD</v>
          </cell>
          <cell r="G7927">
            <v>9550053031</v>
          </cell>
          <cell r="K7927" t="str">
            <v>BTJD162046</v>
          </cell>
        </row>
        <row r="7928">
          <cell r="E7928" t="str">
            <v>C/O RAJ KUMAR BHALA, DIWAN KUNJLAL LOHIA CHARITABLE TRUST, EAST MARKET ROAD, UPPER BAZAR,, RANCHI
834001</v>
          </cell>
          <cell r="G7928">
            <v>8235005333</v>
          </cell>
          <cell r="K7928" t="str">
            <v>BMDS031033</v>
          </cell>
        </row>
        <row r="7929">
          <cell r="E7929" t="str">
            <v>DHANBAD, CONT PERSON :MR. IKTEKHAR AHMAD, PH.NO :9431316718</v>
          </cell>
          <cell r="G7929">
            <v>8210567144</v>
          </cell>
          <cell r="K7929" t="str">
            <v>BSKD161462</v>
          </cell>
        </row>
        <row r="7930">
          <cell r="E7930" t="str">
            <v>NEAR P.N BANK MAIN ROAD,, RAMGARH CANTT-829122, DIST. RAMGARH
829122
BUDHAKHOP, AMBRELA, KARMA,</v>
          </cell>
          <cell r="G7930">
            <v>9437090314</v>
          </cell>
          <cell r="K7930" t="str">
            <v>BSHS038806</v>
          </cell>
        </row>
        <row r="7931">
          <cell r="E7931" t="str">
            <v>DUMKA</v>
          </cell>
          <cell r="G7931">
            <v>9304762882</v>
          </cell>
          <cell r="K7931" t="str">
            <v>BRAD160777</v>
          </cell>
        </row>
        <row r="7932">
          <cell r="E7932" t="str">
            <v>NAGRI,RANCHI
835202
RANCHI</v>
          </cell>
          <cell r="G7932">
            <v>7004248429</v>
          </cell>
          <cell r="K7932" t="str">
            <v>BRIS035698</v>
          </cell>
        </row>
        <row r="7933">
          <cell r="E7933" t="str">
            <v>NAGARI
 835303</v>
          </cell>
          <cell r="G7933">
            <v>9264443241</v>
          </cell>
          <cell r="K7933" t="str">
            <v>BREC373538</v>
          </cell>
        </row>
        <row r="7934">
          <cell r="E7934" t="str">
            <v>NAGRI,RANCHI
835202
RANCHI</v>
          </cell>
          <cell r="G7934">
            <v>8051139257</v>
          </cell>
          <cell r="K7934" t="str">
            <v>BMJS040004</v>
          </cell>
        </row>
        <row r="7935">
          <cell r="E7935" t="str">
            <v>C/O RAJ KUMAR BHALA, DIWAN KUNJLAL LOHIA CHARITABLE TRUST, EAST MARKET ROAD, UPPER BAZAR,, RANCHI
834001</v>
          </cell>
          <cell r="G7935">
            <v>9234613522</v>
          </cell>
          <cell r="K7935" t="str">
            <v>BMDS031033</v>
          </cell>
        </row>
        <row r="7936">
          <cell r="E7936" t="str">
            <v>CHANDMARI, JORAPHATAK,, DHANBAD</v>
          </cell>
          <cell r="G7936">
            <v>9585918025</v>
          </cell>
          <cell r="K7936" t="str">
            <v>BRCD160967</v>
          </cell>
        </row>
        <row r="7937">
          <cell r="E7937" t="str">
            <v>TIRUDIH , POST GHATDULMI, KANDRA ROAD, CHOWKA
832401
TIRUDIH , POST GHATDULMI, CHOWKA, KANDRA ROAD, SAR</v>
          </cell>
          <cell r="G7937">
            <v>7016701990</v>
          </cell>
          <cell r="K7937" t="str">
            <v>BMFS040502</v>
          </cell>
        </row>
        <row r="7938">
          <cell r="E7938" t="str">
            <v>KOKAR INDUSTRIAL AREA, RANCHI
834002</v>
          </cell>
          <cell r="G7938">
            <v>7633885415</v>
          </cell>
          <cell r="K7938" t="str">
            <v>BRJS040951</v>
          </cell>
        </row>
        <row r="7939">
          <cell r="E7939" t="str">
            <v>AT: SENEGARHA, P.O-RABODH, P.S-GIDDI,(RAMGARH),, DISTT. HAZARIBAGH,JHARKHAND-825330
829108
AT: SENEGARHA, P.O-RABODH, P.S-GIDDI,(RAMGARH),</v>
          </cell>
          <cell r="G7939">
            <v>9065945403</v>
          </cell>
          <cell r="K7939" t="str">
            <v>BQES030978</v>
          </cell>
        </row>
        <row r="7940">
          <cell r="E7940" t="str">
            <v>RAVULA SHYAM SUNDER REDDY, HOUSE NO. 3-5-196/1, ROAD NO. 5M, KRISHNANAGAR COLONY, MOULALI, HYDRABAD</v>
          </cell>
          <cell r="G7940">
            <v>7751812111</v>
          </cell>
          <cell r="K7940" t="str">
            <v>BTCD162162</v>
          </cell>
        </row>
        <row r="7941">
          <cell r="E7941" t="str">
            <v>GAYA BIHAR</v>
          </cell>
          <cell r="G7941">
            <v>8789508241</v>
          </cell>
          <cell r="K7941" t="str">
            <v>BSAD161563</v>
          </cell>
        </row>
        <row r="7942">
          <cell r="E7942" t="str">
            <v>OPP. PUNJAB NATIONAL BANK,, BUKRU, RANCHI</v>
          </cell>
          <cell r="G7942">
            <v>7091772999</v>
          </cell>
          <cell r="K7942" t="str">
            <v>BSGD161854</v>
          </cell>
        </row>
        <row r="7943">
          <cell r="E7943" t="str">
            <v>MORANGI, HAZARIBAGH
825302</v>
          </cell>
          <cell r="G7943">
            <v>7488362426</v>
          </cell>
          <cell r="K7943" t="str">
            <v>BLJS030086</v>
          </cell>
        </row>
        <row r="7944">
          <cell r="E7944" t="str">
            <v>C/O PALANIAPPAN CHANDRAN, KATTUKOTTAL, PAITHUR, P.O- ATTUR TK,SALEM, TAMILNADU</v>
          </cell>
          <cell r="G7944">
            <v>7903828920</v>
          </cell>
          <cell r="K7944" t="str">
            <v>BSAD230391</v>
          </cell>
        </row>
        <row r="7945">
          <cell r="E7945" t="str">
            <v>NAGARI,</v>
          </cell>
          <cell r="G7945">
            <v>9204493506</v>
          </cell>
          <cell r="K7945" t="str">
            <v>BLGS040582</v>
          </cell>
        </row>
        <row r="7946">
          <cell r="E7946" t="str">
            <v>MANDU, RAMGARH
JAISWAL COLONY, THANA CHOW,, RAMGARH CANTT. DIST. RAMGARH, JHARKHAND
825316
MANDU</v>
          </cell>
          <cell r="G7946">
            <v>8797891051</v>
          </cell>
          <cell r="K7946" t="str">
            <v>BQKS040079</v>
          </cell>
        </row>
        <row r="7947">
          <cell r="E7947" t="str">
            <v>SIMARIYA ROAD, CHATRA
825401</v>
          </cell>
          <cell r="G7947">
            <v>7779922031</v>
          </cell>
          <cell r="K7947" t="str">
            <v>BSFC376341</v>
          </cell>
        </row>
        <row r="7948">
          <cell r="E7948" t="str">
            <v>TIKRATOLI,SAPAROM
NEAR LALGUTWA OVERBRIDGE, TIKRATOLI, SAPAROM,, NAGRI, RANCHI
835303</v>
          </cell>
          <cell r="G7948">
            <v>9608086621</v>
          </cell>
          <cell r="K7948" t="str">
            <v>BQCS040170</v>
          </cell>
        </row>
        <row r="7949">
          <cell r="E7949" t="str">
            <v>TIKRATOLI,SAPAROM
NEAR LALGUTWA OVERBRIDGE, TIKRATOLI, SAPAROM,, NAGRI, RANCHI
835303</v>
          </cell>
          <cell r="G7949">
            <v>7004423828</v>
          </cell>
          <cell r="K7949" t="str">
            <v>BKJS040077</v>
          </cell>
        </row>
        <row r="7950">
          <cell r="E7950" t="str">
            <v>ASHOK NAGAR, RANCHI</v>
          </cell>
          <cell r="G7950">
            <v>9334701321</v>
          </cell>
          <cell r="K7950" t="str">
            <v>BRGD230256</v>
          </cell>
        </row>
        <row r="7951">
          <cell r="E7951" t="str">
            <v>DHANBAD, CONT PERSON :MR. IKTEKHAR AHMAD, PH.NO :9431316718</v>
          </cell>
          <cell r="G7951">
            <v>8210567144</v>
          </cell>
          <cell r="K7951" t="str">
            <v>BSKD161462</v>
          </cell>
        </row>
        <row r="7952">
          <cell r="E7952" t="str">
            <v>SHEETLA PRASAD SINGH,, MISHRA PADA, NEAR DURGA MANDIR,, JHARIA, DHANBAD - 828 111, JHARKHAND.</v>
          </cell>
          <cell r="G7952">
            <v>8106167121</v>
          </cell>
          <cell r="K7952" t="str">
            <v>BTDD162169</v>
          </cell>
        </row>
        <row r="7953">
          <cell r="E7953" t="str">
            <v>GROUND FLOOR, 8H AND 81, NATION PRINTERS, NAMKUM INDUSTRIAL AREA,, LOWADIH, RANCHI
GROUND FLOOR, 8H AND 81, NATION PRINTERS, NAMKUM INDUSTRIAL AREA,, LOWADIH, RANCHI
834010</v>
          </cell>
          <cell r="G7953">
            <v>9386895542</v>
          </cell>
          <cell r="K7953" t="str">
            <v>BRCC372871</v>
          </cell>
        </row>
        <row r="7954">
          <cell r="E7954" t="str">
            <v>ASHOK NAGAR, RANCHI</v>
          </cell>
          <cell r="G7954">
            <v>9334701321</v>
          </cell>
          <cell r="K7954" t="str">
            <v>BQKD200047</v>
          </cell>
        </row>
        <row r="7955">
          <cell r="E7955" t="str">
            <v>ASHOK NAGAR, RANCHI</v>
          </cell>
          <cell r="G7955">
            <v>9334701321</v>
          </cell>
          <cell r="K7955" t="str">
            <v>BQKD200048</v>
          </cell>
        </row>
        <row r="7956">
          <cell r="E7956" t="str">
            <v>ASHOK NAGAR, RANCHI</v>
          </cell>
          <cell r="G7956">
            <v>9471356821</v>
          </cell>
          <cell r="K7956" t="str">
            <v>BPLD200068</v>
          </cell>
        </row>
        <row r="7957">
          <cell r="E7957" t="str">
            <v>BASTAWLA DHANBAD</v>
          </cell>
          <cell r="G7957">
            <v>9550053031</v>
          </cell>
          <cell r="K7957" t="str">
            <v>BTJD162046</v>
          </cell>
        </row>
        <row r="7958">
          <cell r="E7958" t="str">
            <v>REHLA,GARWA,JHARKHAND
822124
RANCHI</v>
          </cell>
          <cell r="G7958">
            <v>9304009671</v>
          </cell>
          <cell r="K7958" t="str">
            <v>BMFS031346</v>
          </cell>
        </row>
        <row r="7959">
          <cell r="E7959" t="str">
            <v>DIV-5, RANCHI</v>
          </cell>
          <cell r="G7959">
            <v>9955231971</v>
          </cell>
          <cell r="K7959" t="str">
            <v>BLBD100235</v>
          </cell>
        </row>
        <row r="7960">
          <cell r="E7960" t="str">
            <v>DEMOTAR, HAZARIBAGH</v>
          </cell>
          <cell r="G7960">
            <v>9431141152</v>
          </cell>
          <cell r="K7960" t="str">
            <v>GOKE660157</v>
          </cell>
        </row>
        <row r="7961">
          <cell r="E7961" t="str">
            <v>RANCHI</v>
          </cell>
          <cell r="G7961">
            <v>9973536006</v>
          </cell>
          <cell r="K7961" t="str">
            <v>BLIS031950</v>
          </cell>
        </row>
        <row r="7962">
          <cell r="E7962" t="str">
            <v>TATISIWAI INDUSTRIAL AREA, RANCHI
835103
TATISILWAY RANCHI</v>
          </cell>
          <cell r="G7962">
            <v>9122209999</v>
          </cell>
          <cell r="K7962" t="str">
            <v>BNJC370072</v>
          </cell>
        </row>
        <row r="7963">
          <cell r="E7963" t="str">
            <v>DALADALI, RANCHI</v>
          </cell>
          <cell r="G7963">
            <v>9973143214</v>
          </cell>
          <cell r="K7963" t="str">
            <v>BQHD160416</v>
          </cell>
        </row>
        <row r="7964">
          <cell r="E7964" t="str">
            <v>SHEETLA PRASAD SINGH,, MISHRA PADA, NEAR DURGA MANDIR,, JHARIA, DHANBAD - 828 111, JHARKHAND.</v>
          </cell>
          <cell r="G7964">
            <v>7644045555</v>
          </cell>
          <cell r="K7964" t="str">
            <v>BTDD162169</v>
          </cell>
        </row>
        <row r="7965">
          <cell r="E7965" t="str">
            <v>BAZAR SAMITI,RAMGARH
829122</v>
          </cell>
          <cell r="G7965">
            <v>9835764965</v>
          </cell>
          <cell r="K7965" t="str">
            <v>BSBC375576</v>
          </cell>
        </row>
        <row r="7966">
          <cell r="E7966" t="str">
            <v>RAMGARH
829103
NAYA MORE</v>
          </cell>
          <cell r="G7966">
            <v>7739460263</v>
          </cell>
          <cell r="K7966" t="str">
            <v>BPCS030196</v>
          </cell>
        </row>
        <row r="7967">
          <cell r="E7967" t="str">
            <v>B7-PHASE-3, BALIDIH INDUSTRIAL AREA BALIDIH, BOKARO STEEL CITY BOKARO, JHARKHAND
SUNDARAM STEELS PVT. LTD, B-7 PHASE-III,BOKARO INDUSTRIAL AREA,BALIDIH, BOKARO
827014</v>
          </cell>
          <cell r="G7967">
            <v>7562958193</v>
          </cell>
          <cell r="K7967" t="str">
            <v>BTHS031467</v>
          </cell>
        </row>
        <row r="7968">
          <cell r="E7968" t="str">
            <v>BOKARO,JHARKHAND
827004</v>
          </cell>
          <cell r="G7968">
            <v>7080055889</v>
          </cell>
          <cell r="K7968" t="str">
            <v>BRGC373881</v>
          </cell>
        </row>
        <row r="7969">
          <cell r="E7969" t="str">
            <v>SHEETLA PRASAD SINGH,, MISHRA PADA, NEAR DURGA MANDIR,, JHARIA, DHANBAD - 828 111, JHARKHAND.</v>
          </cell>
          <cell r="G7969">
            <v>7644045555</v>
          </cell>
          <cell r="K7969" t="str">
            <v>BTDD162169</v>
          </cell>
        </row>
        <row r="7970">
          <cell r="E7970" t="str">
            <v>TUPUDANA INDUSTRIAL AREA, RANCHI
PLOT NO. 114, TUPUDANA INDUSTRIAL AREA, TUPUDANA,HATIA, RANCHI
834002
RANCHI</v>
          </cell>
          <cell r="G7970">
            <v>9939738679</v>
          </cell>
          <cell r="K7970" t="str">
            <v>GOKS040088</v>
          </cell>
        </row>
        <row r="7971">
          <cell r="E7971" t="str">
            <v>KAARO SUBHASH NAGAR, DHANBAD</v>
          </cell>
          <cell r="G7971">
            <v>9843829993</v>
          </cell>
          <cell r="K7971" t="str">
            <v>BTFD162243</v>
          </cell>
        </row>
        <row r="7972">
          <cell r="E7972" t="str">
            <v>C/O - SUJIT KUMAR, SAHAJANAND NAGAR, H. NO. -121, RANI ROAD, BHUDA, BARMASIA,, DHANBAD</v>
          </cell>
          <cell r="G7972">
            <v>7047010517</v>
          </cell>
          <cell r="K7972" t="str">
            <v>BTED200706</v>
          </cell>
        </row>
        <row r="7973">
          <cell r="E7973" t="str">
            <v>DHANBAD</v>
          </cell>
          <cell r="G7973">
            <v>8210106692</v>
          </cell>
          <cell r="K7973" t="str">
            <v>BTFD162244</v>
          </cell>
        </row>
        <row r="7974">
          <cell r="E7974" t="str">
            <v>ANGAR PATRA,DHANBAD</v>
          </cell>
          <cell r="G7974">
            <v>8210106692</v>
          </cell>
          <cell r="K7974" t="str">
            <v>BSDD161729</v>
          </cell>
        </row>
        <row r="7975">
          <cell r="E7975" t="str">
            <v>H. NO. 22, RAHAT COLONY,, KADRU, RANCHI - 834 002, JHARKHAND</v>
          </cell>
          <cell r="G7975">
            <v>8051191796</v>
          </cell>
          <cell r="K7975" t="str">
            <v>BRGD161233</v>
          </cell>
        </row>
        <row r="7976">
          <cell r="E7976" t="str">
            <v>JAY PRAKASH NAGAR, NEAR RANI SATI MANDIR, RATU ROAD RANCHI
834005</v>
          </cell>
          <cell r="G7976">
            <v>9934104449</v>
          </cell>
          <cell r="K7976" t="str">
            <v>BTFC378808</v>
          </cell>
        </row>
        <row r="7977">
          <cell r="E7977" t="str">
            <v>RAGHUNATHPUR, JAMSHEDPUR</v>
          </cell>
          <cell r="G7977">
            <v>9199960199</v>
          </cell>
          <cell r="K7977" t="str">
            <v>MISSING</v>
          </cell>
        </row>
        <row r="7978">
          <cell r="E7978" t="str">
            <v>RAGHUNATHPUR, JAMSHEDPUR</v>
          </cell>
          <cell r="G7978">
            <v>9199960199</v>
          </cell>
          <cell r="K7978" t="str">
            <v>MISSING</v>
          </cell>
        </row>
        <row r="7979">
          <cell r="E7979" t="str">
            <v>NAWADA, BIHAR</v>
          </cell>
          <cell r="G7979">
            <v>7272956960</v>
          </cell>
          <cell r="K7979" t="str">
            <v>BSFD161799</v>
          </cell>
        </row>
        <row r="7980">
          <cell r="E7980" t="str">
            <v>VILL: MORWAY,, P.O. : GURPA, P.S.: FATEHPUR, DIST. GAYA  - 824232 (BIHAR)</v>
          </cell>
          <cell r="G7980">
            <v>9199648262</v>
          </cell>
          <cell r="K7980" t="str">
            <v>BSED161766</v>
          </cell>
        </row>
        <row r="7981">
          <cell r="E7981" t="str">
            <v>RAMGARH</v>
          </cell>
          <cell r="G7981">
            <v>9973223350</v>
          </cell>
          <cell r="K7981" t="str">
            <v>BKAS030601</v>
          </cell>
        </row>
        <row r="7982">
          <cell r="E7982" t="str">
            <v>RAMGARH CANTT, RAMGARH
RAMGARH
829122
RAMGARH</v>
          </cell>
          <cell r="G7982">
            <v>9576833882</v>
          </cell>
          <cell r="K7982" t="str">
            <v>BNKS030423</v>
          </cell>
        </row>
        <row r="7983">
          <cell r="E7983" t="str">
            <v>PHASE - IV, PLOT NO. - IV-C/3 P AND IV-C/2 P, BOKARO INDUSTRIAL AREA, BALIDIH, BOKARO
PHASE - IV, PLOT NO. - IV-C/3 P AND IV-C/2 P, BOKARO INDUSTRIAL AREA, BALIDIH, BOKARO
827014</v>
          </cell>
          <cell r="G7983" t="str">
            <v>9304641746/9814340048</v>
          </cell>
          <cell r="K7983" t="str">
            <v>BSDS037649</v>
          </cell>
        </row>
        <row r="7984">
          <cell r="E7984" t="str">
            <v>SARNATOLI,ANGADA,RANCHI
835222</v>
          </cell>
          <cell r="G7984">
            <v>9798563448</v>
          </cell>
          <cell r="K7984" t="str">
            <v>BSAF110719</v>
          </cell>
        </row>
        <row r="7985">
          <cell r="E7985" t="str">
            <v>L-276, SHAHARPURA, SINDRI, DHANBAD</v>
          </cell>
          <cell r="G7985">
            <v>8755986322</v>
          </cell>
          <cell r="K7985" t="str">
            <v>BTKD120805</v>
          </cell>
        </row>
        <row r="7986">
          <cell r="E7986" t="str">
            <v>L-276, SHAHARPURA, SINDRI, DHANBAD</v>
          </cell>
          <cell r="G7986">
            <v>8755986322</v>
          </cell>
          <cell r="K7986" t="str">
            <v>BSID120761</v>
          </cell>
        </row>
        <row r="7987">
          <cell r="E7987" t="str">
            <v>C/O - PREM PRAKASH AGARWAL, OPP - HILLVIEW FUEL STATION, GODHUR, P.O - KUSUNDA, DHANBAD</v>
          </cell>
          <cell r="G7987">
            <v>7903412157</v>
          </cell>
          <cell r="K7987" t="str">
            <v>BTED162217</v>
          </cell>
        </row>
        <row r="7988">
          <cell r="E7988" t="str">
            <v>OPP. PUNJAB NATIONAL BANK,, BUKRU, RANCHI</v>
          </cell>
          <cell r="G7988">
            <v>7091772999</v>
          </cell>
          <cell r="K7988" t="str">
            <v>BSGD161854</v>
          </cell>
        </row>
        <row r="7989">
          <cell r="E7989" t="str">
            <v>KAMRE
835222</v>
          </cell>
          <cell r="G7989">
            <v>9570185050</v>
          </cell>
          <cell r="K7989" t="str">
            <v>BTCC377923</v>
          </cell>
        </row>
        <row r="7990">
          <cell r="E7990" t="str">
            <v>ANGAR PATRA,DHANBAD</v>
          </cell>
          <cell r="G7990">
            <v>8210106692</v>
          </cell>
          <cell r="K7990" t="str">
            <v>BSDD161729</v>
          </cell>
        </row>
        <row r="7991">
          <cell r="E7991" t="str">
            <v>NAGRI,RANCHI
835202
RANCHI</v>
          </cell>
          <cell r="G7991">
            <v>8051139257</v>
          </cell>
          <cell r="K7991" t="str">
            <v>BMJS040004</v>
          </cell>
        </row>
        <row r="7992">
          <cell r="E7992" t="str">
            <v>NAWADA, BIHAR</v>
          </cell>
          <cell r="G7992">
            <v>7272956960</v>
          </cell>
          <cell r="K7992" t="str">
            <v>BSFD161799</v>
          </cell>
        </row>
        <row r="7993">
          <cell r="E7993" t="str">
            <v>NAWADA, BIHAR</v>
          </cell>
          <cell r="G7993">
            <v>7272956960</v>
          </cell>
          <cell r="K7993" t="str">
            <v>BSFD161799</v>
          </cell>
        </row>
        <row r="7994">
          <cell r="E7994" t="str">
            <v>VILL - BARIDARI, BOKARO</v>
          </cell>
          <cell r="G7994">
            <v>9234957903</v>
          </cell>
          <cell r="K7994" t="str">
            <v>BSCD161704</v>
          </cell>
        </row>
        <row r="7995">
          <cell r="E7995" t="str">
            <v>OPP. PUNJAB NATIONAL BANK,, BUKRU, RANCHI</v>
          </cell>
          <cell r="G7995">
            <v>7091772999</v>
          </cell>
          <cell r="K7995" t="str">
            <v>BSGD161854</v>
          </cell>
        </row>
        <row r="7996">
          <cell r="E7996" t="str">
            <v>P.O.+P.S. - GURPA, DIST- GAYA, BIHAR</v>
          </cell>
          <cell r="G7996">
            <v>9934799633</v>
          </cell>
          <cell r="K7996" t="str">
            <v>BRED161131</v>
          </cell>
        </row>
        <row r="7997">
          <cell r="E7997" t="str">
            <v>VILL - BARIDARI, BOKARO</v>
          </cell>
          <cell r="G7997">
            <v>9234957903</v>
          </cell>
          <cell r="K7997" t="str">
            <v>BSCD161704</v>
          </cell>
        </row>
        <row r="7998">
          <cell r="E7998" t="str">
            <v>RAMGARH</v>
          </cell>
          <cell r="G7998">
            <v>7488795484</v>
          </cell>
          <cell r="K7998" t="str">
            <v>BTID162377</v>
          </cell>
        </row>
        <row r="7999">
          <cell r="E7999" t="str">
            <v>LOHARDAGA,JHARKHAND
LOHARDAGA, MOB. NO.9661111900
835302
LOHARDAGA</v>
          </cell>
          <cell r="G7999">
            <v>0</v>
          </cell>
          <cell r="K7999" t="str">
            <v>BQFS031084</v>
          </cell>
        </row>
        <row r="8000">
          <cell r="E8000" t="str">
            <v>CHAS, BOKARO
827013</v>
          </cell>
          <cell r="G8000">
            <v>7992434966</v>
          </cell>
          <cell r="K8000" t="str">
            <v>BSEC376103</v>
          </cell>
        </row>
        <row r="8001">
          <cell r="E8001" t="str">
            <v>SAHEBGANJ, JHARKHAND</v>
          </cell>
          <cell r="G8001">
            <v>7766904785</v>
          </cell>
          <cell r="K8001" t="str">
            <v>BTJD162047</v>
          </cell>
        </row>
        <row r="8002">
          <cell r="E8002" t="str">
            <v>BANDHIYA RAOD, NAGRI RANCHI, MOB.8709325266
834006
BANDHIYA ROAD, NAGARI RANCHI</v>
          </cell>
          <cell r="G8002">
            <v>9110022503</v>
          </cell>
          <cell r="K8002" t="str">
            <v>BLFS040558</v>
          </cell>
        </row>
        <row r="8003">
          <cell r="E8003" t="str">
            <v>NAGARI, RANCHI
834006</v>
          </cell>
          <cell r="G8003">
            <v>7255848442</v>
          </cell>
          <cell r="K8003" t="str">
            <v>BRAC372524</v>
          </cell>
        </row>
        <row r="8004">
          <cell r="E8004" t="str">
            <v>NAGARI RANCHI
NAGARI RANCHI
835303</v>
          </cell>
          <cell r="G8004">
            <v>9752567399</v>
          </cell>
          <cell r="K8004" t="str">
            <v>BKJS030050</v>
          </cell>
        </row>
        <row r="8005">
          <cell r="E8005" t="str">
            <v>RAFIGANJ, BIHAR</v>
          </cell>
          <cell r="G8005">
            <v>8003674750</v>
          </cell>
          <cell r="K8005" t="str">
            <v>BTED220439</v>
          </cell>
        </row>
        <row r="8006">
          <cell r="E8006" t="str">
            <v>RAIDIHI, JAMSHEDPUR</v>
          </cell>
          <cell r="G8006">
            <v>7667090743</v>
          </cell>
          <cell r="K8006" t="str">
            <v>BQFD160302</v>
          </cell>
        </row>
        <row r="8007">
          <cell r="E8007" t="str">
            <v>RANCHI</v>
          </cell>
          <cell r="G8007">
            <v>0</v>
          </cell>
          <cell r="K8007" t="str">
            <v>BKDS031405</v>
          </cell>
        </row>
        <row r="8008">
          <cell r="E8008" t="str">
            <v>RAMGARH</v>
          </cell>
          <cell r="G8008">
            <v>9973223350</v>
          </cell>
          <cell r="K8008" t="str">
            <v>BKAS030601</v>
          </cell>
        </row>
        <row r="8009">
          <cell r="E8009" t="str">
            <v>NAGRI,RANCHI
835202
RANCHI</v>
          </cell>
          <cell r="G8009">
            <v>7004122894</v>
          </cell>
          <cell r="K8009" t="str">
            <v>BRIS035698</v>
          </cell>
        </row>
        <row r="8010">
          <cell r="E8010" t="str">
            <v>MANDU, RAMGARH
JAISWAL COLONY, THANA CHOW,, RAMGARH CANTT. DIST. RAMGARH, JHARKHAND
825316
MANDU</v>
          </cell>
          <cell r="G8010">
            <v>6205951815</v>
          </cell>
          <cell r="K8010" t="str">
            <v>BSGS043528</v>
          </cell>
        </row>
        <row r="8011">
          <cell r="E8011" t="str">
            <v>MURI RANCHI</v>
          </cell>
          <cell r="G8011">
            <v>9122499673</v>
          </cell>
          <cell r="K8011" t="str">
            <v>BSLD230358</v>
          </cell>
        </row>
        <row r="8012">
          <cell r="E8012" t="str">
            <v>CHAS BOKARO</v>
          </cell>
          <cell r="G8012">
            <v>9430375575</v>
          </cell>
          <cell r="K8012" t="str">
            <v>BQKD160076</v>
          </cell>
        </row>
        <row r="8013">
          <cell r="E8013" t="str">
            <v>ANGAR PATRA,DHANBAD</v>
          </cell>
          <cell r="G8013">
            <v>8210106692</v>
          </cell>
          <cell r="K8013" t="str">
            <v>BSDD161729</v>
          </cell>
        </row>
        <row r="8014">
          <cell r="E8014" t="str">
            <v>GROUND FLOOR,, OFFICE NO.448A, ROAD NO.4, ASHOK NAGAR
GROUND FLOOR,, OFFICE NO.448A, ROAD NO.4, ASHOK NAGAR
829118
PLOT NO:- 47P, PATRATU INDUSTRIAL AREA</v>
          </cell>
          <cell r="G8014">
            <v>7541959323</v>
          </cell>
          <cell r="K8014" t="str">
            <v>ONIC370102</v>
          </cell>
        </row>
        <row r="8015">
          <cell r="E8015" t="str">
            <v>TUPUDANA INDUSTRIAL AREA, RANCHI
PLOT NO. - 45 &amp; 46, TUPUDAN AINDUSTRIAL AREA, TUPUDANA, HATIA, RANCHI
834003
TIPUDANA INDUSTRIAL AREA</v>
          </cell>
          <cell r="G8015">
            <v>8092355914</v>
          </cell>
          <cell r="K8015" t="str">
            <v>BQBS033819</v>
          </cell>
        </row>
        <row r="8016">
          <cell r="E8016" t="str">
            <v>GROUND FLOOR,, OFFICE NO.448A, ROAD NO.4, ASHOK NAGAR
GROUND FLOOR,, OFFICE NO.448A, ROAD NO.4, ASHOK NAGAR
829118
PLOT NO:- 47P, PATRATU INDUSTRIAL AREA</v>
          </cell>
          <cell r="G8016">
            <v>7541959323</v>
          </cell>
          <cell r="K8016" t="str">
            <v>GOGC370754</v>
          </cell>
        </row>
        <row r="8017">
          <cell r="E8017" t="str">
            <v>SHEETLA PRASAD SINGH,, MISHRA PADA, NEAR DURGA MANDIR,, JHARIA, DHANBAD - 828 111, JHARKHAND.</v>
          </cell>
          <cell r="G8017">
            <v>7644045555</v>
          </cell>
          <cell r="K8017" t="str">
            <v>BTDD162169</v>
          </cell>
        </row>
        <row r="8018">
          <cell r="E8018" t="str">
            <v>DHANBAD</v>
          </cell>
          <cell r="G8018">
            <v>9546535031</v>
          </cell>
          <cell r="K8018" t="str">
            <v>BRAD160803</v>
          </cell>
        </row>
        <row r="8019">
          <cell r="E8019" t="str">
            <v>NAGRI, RANCHI
TIKRATOLI, P.O:- NAGRI, RANCHI
834006</v>
          </cell>
          <cell r="G8019">
            <v>9608884161</v>
          </cell>
          <cell r="K8019" t="str">
            <v>BKKS030393</v>
          </cell>
        </row>
        <row r="8020">
          <cell r="E8020" t="str">
            <v>DHANBAD, CONT PERSON :MR. IKTEKHAR AHMAD, PH.NO :9431316718</v>
          </cell>
          <cell r="G8020">
            <v>8210567144</v>
          </cell>
          <cell r="K8020" t="str">
            <v>BSKD161462</v>
          </cell>
        </row>
        <row r="8021">
          <cell r="E8021" t="str">
            <v>DIESEL LOCO SHED, PATRATU ECR</v>
          </cell>
          <cell r="G8021">
            <v>7739661527</v>
          </cell>
          <cell r="K8021" t="str">
            <v>BSJL100041</v>
          </cell>
        </row>
        <row r="8022">
          <cell r="E8022" t="str">
            <v>RANCHI PATNA ROAD, NH-33, SINDUR, HAZARIBAGH</v>
          </cell>
          <cell r="G8022">
            <v>9354710972</v>
          </cell>
          <cell r="K8022" t="str">
            <v>BTKD200646</v>
          </cell>
        </row>
        <row r="8023">
          <cell r="E8023" t="str">
            <v>RANCHI,JHARKHAND
834001
RANCHI</v>
          </cell>
          <cell r="G8023">
            <v>9431571200</v>
          </cell>
          <cell r="K8023" t="str">
            <v>BJHS031586</v>
          </cell>
        </row>
        <row r="8024">
          <cell r="E8024" t="str">
            <v>DHANBAD</v>
          </cell>
          <cell r="G8024">
            <v>9441693704</v>
          </cell>
          <cell r="K8024" t="str">
            <v>BTDD162186</v>
          </cell>
        </row>
        <row r="8025">
          <cell r="E8025" t="str">
            <v>SAHIBGANJ</v>
          </cell>
          <cell r="G8025">
            <v>6294354190</v>
          </cell>
          <cell r="K8025" t="str">
            <v>BSID161973</v>
          </cell>
        </row>
        <row r="8026">
          <cell r="E8026" t="str">
            <v>RANCHI PATNA ROAD
DEMOTAND
825301
HAZARIBAGH</v>
          </cell>
          <cell r="G8026">
            <v>7209274781</v>
          </cell>
          <cell r="K8026" t="str">
            <v>BMBL160078</v>
          </cell>
        </row>
        <row r="8027">
          <cell r="E8027" t="str">
            <v>PALAMU,GARWA, JHARKHAND
822124
GARHWA ROAD, NEAR BCCL PALAMU,</v>
          </cell>
          <cell r="G8027">
            <v>8877136770</v>
          </cell>
          <cell r="K8027" t="str">
            <v>GOCS030806</v>
          </cell>
        </row>
        <row r="8028">
          <cell r="E8028" t="str">
            <v>RANCHI PATNA ROAD
DEMOTAND
825301
HAZARIBAGH</v>
          </cell>
          <cell r="G8028">
            <v>6203465926</v>
          </cell>
          <cell r="K8028" t="str">
            <v>BIFS040367</v>
          </cell>
        </row>
        <row r="8029">
          <cell r="E8029" t="str">
            <v>SARNATOLI,ANGADA,RANCHI
835222</v>
          </cell>
          <cell r="G8029">
            <v>9798563448</v>
          </cell>
          <cell r="K8029" t="str">
            <v>BSAF110719</v>
          </cell>
        </row>
        <row r="8030">
          <cell r="E8030" t="str">
            <v>EANA COLLIEARY, JHARIYA</v>
          </cell>
          <cell r="G8030">
            <v>7672025601</v>
          </cell>
          <cell r="K8030" t="str">
            <v>BRID161336</v>
          </cell>
        </row>
        <row r="8031">
          <cell r="E8031" t="str">
            <v>DEMO, LATEHAR</v>
          </cell>
          <cell r="G8031">
            <v>7979084136</v>
          </cell>
          <cell r="K8031" t="str">
            <v>BSED161783</v>
          </cell>
        </row>
        <row r="8032">
          <cell r="E8032" t="str">
            <v>ORMANJHI,RANCHI
835219</v>
          </cell>
          <cell r="G8032">
            <v>9155006000</v>
          </cell>
          <cell r="K8032" t="str">
            <v>BSGC376577</v>
          </cell>
        </row>
        <row r="8033">
          <cell r="E8033" t="str">
            <v>NAGARI,</v>
          </cell>
          <cell r="G8033">
            <v>9204493506</v>
          </cell>
          <cell r="K8033" t="str">
            <v>BLGS040582</v>
          </cell>
        </row>
        <row r="8034">
          <cell r="E8034" t="str">
            <v>CHAS BOKARO</v>
          </cell>
          <cell r="G8034">
            <v>9135780550</v>
          </cell>
          <cell r="K8034" t="str">
            <v>BPJD200007</v>
          </cell>
        </row>
        <row r="8035">
          <cell r="E8035">
            <v>0</v>
          </cell>
          <cell r="G8035" t="str">
            <v xml:space="preserve"> </v>
          </cell>
          <cell r="K8035" t="str">
            <v>BQID160467</v>
          </cell>
        </row>
        <row r="8036">
          <cell r="E8036" t="str">
            <v>RAMGARH</v>
          </cell>
          <cell r="G8036">
            <v>7488795484</v>
          </cell>
          <cell r="K8036" t="str">
            <v>BTID162377</v>
          </cell>
        </row>
        <row r="8037">
          <cell r="E8037" t="str">
            <v>NAGARI,</v>
          </cell>
          <cell r="G8037">
            <v>9204493506</v>
          </cell>
          <cell r="K8037" t="str">
            <v>BILS030211</v>
          </cell>
        </row>
        <row r="8038">
          <cell r="E8038" t="str">
            <v>REHLA, GARHWA ROAD, PALAMU D.T, JHARKHAND
PALAMU JHARKHAND 822124
INDIA</v>
          </cell>
          <cell r="G8038">
            <v>7004971081</v>
          </cell>
          <cell r="K8038" t="str">
            <v>BLFS031469</v>
          </cell>
        </row>
        <row r="8039">
          <cell r="E8039" t="str">
            <v>REHLA,GARWA,JHARKHAND
822124
RANCHI</v>
          </cell>
          <cell r="G8039">
            <v>9304009671</v>
          </cell>
          <cell r="K8039" t="str">
            <v>BMFS031346</v>
          </cell>
        </row>
        <row r="8040">
          <cell r="E8040" t="str">
            <v>REHLA,GARWA,JHARKHAND
822124
RANCHI</v>
          </cell>
          <cell r="G8040">
            <v>7004623399</v>
          </cell>
          <cell r="K8040" t="str">
            <v>GOIS031795</v>
          </cell>
        </row>
        <row r="8041">
          <cell r="E8041" t="str">
            <v>PHASE 3
827014
PHASE 3 INDUSTRIAL AREA827013</v>
          </cell>
          <cell r="G8041">
            <v>9122209999</v>
          </cell>
          <cell r="K8041" t="str">
            <v>BQIS031915</v>
          </cell>
        </row>
        <row r="8042">
          <cell r="E8042" t="str">
            <v>MARAR, RAMGARH, JHARKHAND
MARRAR RAMGARH, 9155729786
829117
MARAR</v>
          </cell>
          <cell r="G8042">
            <v>9155729786</v>
          </cell>
          <cell r="K8042" t="str">
            <v>BMIS031759</v>
          </cell>
        </row>
        <row r="8043">
          <cell r="E8043" t="str">
            <v>9.P .INDUSTRIAL AREA  KOKAR, RANCHI, TIN-20880200515
9.P .INDUSTRIAL AREA  KOKAR, RANCHI, TIN-20880200515
834001</v>
          </cell>
          <cell r="G8043">
            <v>6207710615</v>
          </cell>
          <cell r="K8043" t="str">
            <v>BTGS031205</v>
          </cell>
        </row>
        <row r="8044">
          <cell r="E8044" t="str">
            <v>BAZAR SAMITI,RAMGARH
829122</v>
          </cell>
          <cell r="G8044">
            <v>9835764965</v>
          </cell>
          <cell r="K8044" t="str">
            <v>BSBC375576</v>
          </cell>
        </row>
        <row r="8045">
          <cell r="E8045" t="str">
            <v>TRIDENT PNEUMATICS PVT LTD   5/232,KNG PUDUR ROADSOMAYAMPALAYAM POSTCOIMBATORE IND</v>
          </cell>
          <cell r="G8045">
            <v>6204342637</v>
          </cell>
          <cell r="K8045" t="str">
            <v>BRCC373040</v>
          </cell>
        </row>
        <row r="8046">
          <cell r="E8046" t="str">
            <v>C/O PALANIAPPAN CHANDRAN, KATTUKOTTAL, PAITHUR, P.O- ATTUR TK,SALEM, TAMILNADU</v>
          </cell>
          <cell r="G8046">
            <v>7903828920</v>
          </cell>
          <cell r="K8046" t="str">
            <v>BSAD230391</v>
          </cell>
        </row>
        <row r="8047">
          <cell r="E8047" t="str">
            <v>CHANDMARI, JORAPHATAK,, DHANBAD</v>
          </cell>
          <cell r="G8047">
            <v>9585918025</v>
          </cell>
          <cell r="K8047" t="str">
            <v>BRCD160967</v>
          </cell>
        </row>
        <row r="8048">
          <cell r="E8048" t="str">
            <v>RANCHI PATNA ROAD
DEMOTAND
825301
HAZARIBAGH</v>
          </cell>
          <cell r="G8048">
            <v>6203465926</v>
          </cell>
          <cell r="K8048" t="str">
            <v>BSCS037531</v>
          </cell>
        </row>
        <row r="8049">
          <cell r="E8049" t="str">
            <v>NAGRI,RANCHI
835202
RANCHI</v>
          </cell>
          <cell r="G8049">
            <v>9608884168</v>
          </cell>
          <cell r="K8049" t="str">
            <v>BIGS030904</v>
          </cell>
        </row>
        <row r="8050">
          <cell r="E8050" t="str">
            <v>OPP. PUNJAB NATIONAL BANK,, BUKRU, RANCHI</v>
          </cell>
          <cell r="G8050">
            <v>7091772999</v>
          </cell>
          <cell r="K8050" t="str">
            <v>BSGD161854</v>
          </cell>
        </row>
        <row r="8051">
          <cell r="E8051" t="str">
            <v>H. NO. 22, RAHAT COLONY,, KADRU, RANCHI - 834 002, JHARKHAND</v>
          </cell>
          <cell r="G8051">
            <v>8051191796</v>
          </cell>
          <cell r="K8051" t="str">
            <v>BRGD161233</v>
          </cell>
        </row>
        <row r="8052">
          <cell r="E8052" t="str">
            <v>P.O.+P.S. - GURPA, DIST- GAYA, BIHAR</v>
          </cell>
          <cell r="G8052">
            <v>9934799633</v>
          </cell>
          <cell r="K8052" t="str">
            <v>BRED161131</v>
          </cell>
        </row>
        <row r="8053">
          <cell r="E8053" t="str">
            <v>RANCHI</v>
          </cell>
          <cell r="G8053">
            <v>0</v>
          </cell>
          <cell r="K8053" t="str">
            <v>BKDS031405</v>
          </cell>
        </row>
        <row r="8054">
          <cell r="E8054" t="str">
            <v>LOHARDAGA,JHARKHAND
LOHARDAGA, MOB. NO.9661111900
835302
LOHARDAGA</v>
          </cell>
          <cell r="G8054">
            <v>0</v>
          </cell>
          <cell r="K8054" t="str">
            <v>BQFS031084</v>
          </cell>
        </row>
        <row r="8055">
          <cell r="E8055" t="str">
            <v>BAGODER</v>
          </cell>
          <cell r="G8055">
            <v>9608255210</v>
          </cell>
          <cell r="K8055" t="str">
            <v>BRBD160856</v>
          </cell>
        </row>
        <row r="8056">
          <cell r="E8056" t="str">
            <v>DUMRI, JHARKHAND</v>
          </cell>
          <cell r="G8056">
            <v>9608325210</v>
          </cell>
          <cell r="K8056" t="str">
            <v>BSFD161830</v>
          </cell>
        </row>
        <row r="8057">
          <cell r="E8057" t="str">
            <v>BOKARO,JHARKHAND
827004</v>
          </cell>
          <cell r="G8057">
            <v>7080055889</v>
          </cell>
          <cell r="K8057" t="str">
            <v>BRGC373881</v>
          </cell>
        </row>
        <row r="8058">
          <cell r="E8058" t="str">
            <v>KATRAS, DHANBAD</v>
          </cell>
          <cell r="G8058">
            <v>9798360305</v>
          </cell>
          <cell r="K8058" t="str">
            <v>BSKD161477</v>
          </cell>
        </row>
        <row r="8059">
          <cell r="E8059" t="str">
            <v>NAMKUM INDUSTRIAL AREA,RANCHI
834010</v>
          </cell>
          <cell r="G8059">
            <v>7779995005</v>
          </cell>
          <cell r="K8059" t="str">
            <v>GOCC370403</v>
          </cell>
        </row>
        <row r="8060">
          <cell r="E8060" t="str">
            <v>WB</v>
          </cell>
          <cell r="G8060">
            <v>8010302178</v>
          </cell>
          <cell r="K8060" t="str">
            <v>BOFD200156</v>
          </cell>
        </row>
        <row r="8061">
          <cell r="E8061" t="str">
            <v>MARAR, RAMGARH, JHARKHAND
MARRAR RAMGARH, 9155729786
829117
MARAR</v>
          </cell>
          <cell r="G8061">
            <v>9204780801</v>
          </cell>
          <cell r="K8061" t="str">
            <v>BMIS031759</v>
          </cell>
        </row>
        <row r="8062">
          <cell r="E8062" t="str">
            <v>RAMGARH
829103
NAYA MORE</v>
          </cell>
          <cell r="G8062">
            <v>7739460263</v>
          </cell>
          <cell r="K8062" t="str">
            <v>BPCS030196</v>
          </cell>
        </row>
        <row r="8063">
          <cell r="E8063" t="str">
            <v>NAYA MORE,RAMGARH
ARA SARU BERA ROAD, NAYA, RAMGARH,JHARKHAND
829110
NAYA MORE</v>
          </cell>
          <cell r="G8063">
            <v>8651078549</v>
          </cell>
          <cell r="K8063" t="str">
            <v>BQBS033796</v>
          </cell>
        </row>
        <row r="8064">
          <cell r="E8064" t="str">
            <v>KISHOREGANJ, RANCHI
834001
KAMRE RAVI STEEL,</v>
          </cell>
          <cell r="G8064">
            <v>8709279344</v>
          </cell>
          <cell r="K8064" t="str">
            <v>GPKC370113</v>
          </cell>
        </row>
        <row r="8065">
          <cell r="E8065" t="str">
            <v>SHEETLA PRASAD SINGH,, MISHRA PADA, NEAR DURGA MANDIR,, JHARIA, DHANBAD - 828 111, JHARKHAND.</v>
          </cell>
          <cell r="G8065">
            <v>7644045555</v>
          </cell>
          <cell r="K8065" t="str">
            <v>BTCD162149</v>
          </cell>
        </row>
        <row r="8066">
          <cell r="E8066" t="str">
            <v>DUMRI, JHARKHAND</v>
          </cell>
          <cell r="G8066">
            <v>9608325210</v>
          </cell>
          <cell r="K8066" t="str">
            <v>BSFD161830</v>
          </cell>
        </row>
        <row r="8067">
          <cell r="E8067" t="str">
            <v>GROUND AND 1 ST FLOOR, BESIDE DAINIK BHASKAR, GOVINDPUR ROAD, DIST :- DHANBAD
GROUND AND 1 ST FLOOR, BESIDE DAINIK BHASKAR, GOVINDPUR ROAD, DIST :- DHANBAD
828109</v>
          </cell>
          <cell r="G8067">
            <v>6200477487</v>
          </cell>
          <cell r="K8067" t="str">
            <v>BRJC371698</v>
          </cell>
        </row>
        <row r="8068">
          <cell r="E8068" t="str">
            <v>GROUND FLOOR, 8H AND 81, NATION PRINTERS, NAMKUM INDUSTRIAL AREA,, LOWADIH, RANCHI
GROUND FLOOR, 8H AND 81, NATION PRINTERS, NAMKUM INDUSTRIAL AREA,, LOWADIH, RANCHI
834010</v>
          </cell>
          <cell r="G8068">
            <v>9386895542</v>
          </cell>
          <cell r="K8068" t="str">
            <v>BRCC372871</v>
          </cell>
        </row>
        <row r="8069">
          <cell r="E8069" t="str">
            <v>C/O - NAVEEN KUMAR SINGH, PLOT NO.-538,718, DUNDURIA, GUMLA</v>
          </cell>
          <cell r="G8069">
            <v>9308060257</v>
          </cell>
          <cell r="K8069" t="str">
            <v>BTJD162038</v>
          </cell>
        </row>
        <row r="8070">
          <cell r="E8070" t="str">
            <v>ARGORA, RANCHI
834002</v>
          </cell>
          <cell r="G8070">
            <v>9162255912</v>
          </cell>
          <cell r="K8070" t="str">
            <v>BSKC374901</v>
          </cell>
        </row>
        <row r="8071">
          <cell r="E8071" t="str">
            <v>GROUND FLOOR, 8H AND 81, NATION PRINTERS, NAMKUM INDUSTRIAL AREA,, LOWADIH, RANCHI
GROUND FLOOR, 8H AND 81, NATION PRINTERS, NAMKUM INDUSTRIAL AREA,, LOWADIH, RANCHI
834010</v>
          </cell>
          <cell r="G8071">
            <v>9386895542</v>
          </cell>
          <cell r="K8071" t="str">
            <v>BRCC372871</v>
          </cell>
        </row>
        <row r="8072">
          <cell r="E8072" t="str">
            <v>SHEETLA PRASAD SINGH,, MISHRA PADA, NEAR DURGA MANDIR,, JHARIA, DHANBAD - 828 111, JHARKHAND.</v>
          </cell>
          <cell r="G8072">
            <v>7644045555</v>
          </cell>
          <cell r="K8072" t="str">
            <v>BTKD162112</v>
          </cell>
        </row>
        <row r="8073">
          <cell r="E8073" t="str">
            <v>TUPUDANA INDUSTRIAL AREA, RANCHI
PLOT NO. 114, TUPUDANA INDUSTRIAL AREA, TUPUDANA,HATIA, RANCHI
834002
RANCHI</v>
          </cell>
          <cell r="G8073">
            <v>9939738679</v>
          </cell>
          <cell r="K8073" t="str">
            <v>BNAS040245</v>
          </cell>
        </row>
        <row r="8074">
          <cell r="E8074" t="str">
            <v>TUPUDANA INDUSTRIAL AREA, RANCHI
PLOT NO. 114, TUPUDANA INDUSTRIAL AREA, TUPUDANA,HATIA, RANCHI
834002
RANCHI</v>
          </cell>
          <cell r="G8074">
            <v>7248899000</v>
          </cell>
          <cell r="K8074">
            <v>123434</v>
          </cell>
        </row>
        <row r="8075">
          <cell r="E8075" t="str">
            <v>SONARDHI</v>
          </cell>
          <cell r="G8075">
            <v>9570178502</v>
          </cell>
          <cell r="K8075" t="str">
            <v>BRCD160940</v>
          </cell>
        </row>
        <row r="8076">
          <cell r="E8076" t="str">
            <v>PLOT NO. 148, TUPUDANA, INDUSTRIAL AREA, HATIA, RANCHI
834002</v>
          </cell>
          <cell r="G8076">
            <v>9434249500</v>
          </cell>
          <cell r="K8076" t="str">
            <v>BRIS035838</v>
          </cell>
        </row>
        <row r="8077">
          <cell r="E8077" t="str">
            <v>KOKAR INDUSTRIAL AREA,RANCHI
834001</v>
          </cell>
          <cell r="G8077">
            <v>8404822862</v>
          </cell>
          <cell r="K8077" t="str">
            <v>BSBC375535</v>
          </cell>
        </row>
        <row r="8078">
          <cell r="E8078" t="str">
            <v>PHASE - IV, PLOT NO. - IV-C/3 P AND IV-C/2 P, BOKARO INDUSTRIAL AREA, BALIDIH, BOKARO
PHASE - IV, PLOT NO. - IV-C/3 P AND IV-C/2 P, BOKARO INDUSTRIAL AREA, BALIDIH, BOKARO
827014</v>
          </cell>
          <cell r="G8078">
            <v>9814340048</v>
          </cell>
          <cell r="K8078" t="str">
            <v>BSDS037649</v>
          </cell>
        </row>
        <row r="8079">
          <cell r="E8079" t="str">
            <v>501, H.NO.3-4-136/B., ROYAL ASHOK, RESIDENCY , BARKATPURA, HYDERABAD, TELANGANA - 500027</v>
          </cell>
          <cell r="G8079">
            <v>7873039065</v>
          </cell>
          <cell r="K8079" t="str">
            <v>BRHD161304</v>
          </cell>
        </row>
        <row r="8080">
          <cell r="E8080" t="str">
            <v>GROUND AND 1 ST FLOOR, BESIDE DAINIK BHASKAR, GOVINDPUR ROAD, DIST :- DHANBAD
GROUND AND 1 ST FLOOR, BESIDE DAINIK BHASKAR, GOVINDPUR ROAD, DIST :- DHANBAD
828109</v>
          </cell>
          <cell r="G8080">
            <v>6200477487</v>
          </cell>
          <cell r="K8080" t="str">
            <v>BRJC371698</v>
          </cell>
        </row>
        <row r="8081">
          <cell r="E8081" t="str">
            <v>SHEETLA PRASAD SINGH,, MISHRA PADA, NEAR DURGA MANDIR,, JHARIA, DHANBAD - 828 111, JHARKHAND.</v>
          </cell>
          <cell r="G8081">
            <v>7644045555</v>
          </cell>
          <cell r="K8081" t="str">
            <v>BTCD162149</v>
          </cell>
        </row>
        <row r="8082">
          <cell r="E8082" t="str">
            <v>BARIATU,RANCHI
834009
BARIATU</v>
          </cell>
          <cell r="G8082">
            <v>9546501069</v>
          </cell>
          <cell r="K8082" t="str">
            <v>BQLC370193</v>
          </cell>
        </row>
        <row r="8083">
          <cell r="E8083" t="str">
            <v>BASTAWLA DHANBAD</v>
          </cell>
          <cell r="G8083">
            <v>9550053031</v>
          </cell>
          <cell r="K8083" t="str">
            <v>BTJD162046</v>
          </cell>
        </row>
        <row r="8084">
          <cell r="E8084" t="str">
            <v>C/O - NAVEEN KUMAR SINGH, PLOT NO.-538,718, DUNDURIA, GUMLA</v>
          </cell>
          <cell r="G8084">
            <v>9308060257</v>
          </cell>
          <cell r="K8084" t="str">
            <v>BTJD162038</v>
          </cell>
        </row>
        <row r="8085">
          <cell r="E8085" t="str">
            <v>WB</v>
          </cell>
          <cell r="G8085">
            <v>8010302178</v>
          </cell>
          <cell r="K8085" t="str">
            <v>BQFD200158</v>
          </cell>
        </row>
        <row r="8086">
          <cell r="E8086" t="str">
            <v>KISHOREGANJ, RANCHI
834001
KAMRE RAVI STEEL,</v>
          </cell>
          <cell r="G8086">
            <v>8709279344</v>
          </cell>
          <cell r="K8086" t="str">
            <v>GPKC370113</v>
          </cell>
        </row>
        <row r="8087">
          <cell r="E8087" t="str">
            <v>DIBDIH, RANCHI
834002</v>
          </cell>
          <cell r="G8087">
            <v>7369007900</v>
          </cell>
          <cell r="K8087" t="str">
            <v>BTEC378588</v>
          </cell>
        </row>
        <row r="8088">
          <cell r="E8088" t="str">
            <v>RAMGARH</v>
          </cell>
          <cell r="G8088">
            <v>9973223350</v>
          </cell>
          <cell r="K8088" t="str">
            <v>BKAS030601</v>
          </cell>
        </row>
        <row r="8089">
          <cell r="E8089" t="str">
            <v>RANCHI</v>
          </cell>
          <cell r="G8089">
            <v>9973536006</v>
          </cell>
          <cell r="K8089" t="str">
            <v>BLIS031950</v>
          </cell>
        </row>
        <row r="8090">
          <cell r="E8090" t="str">
            <v>REHLA,GARWA,JHARKHAND
822124
RANCHI</v>
          </cell>
          <cell r="G8090">
            <v>9304009671</v>
          </cell>
          <cell r="K8090" t="str">
            <v>BMFS031346</v>
          </cell>
        </row>
        <row r="8091">
          <cell r="E8091" t="str">
            <v>TUPUDANA INDUSTRIAL AREA</v>
          </cell>
          <cell r="G8091">
            <v>7978649310</v>
          </cell>
          <cell r="K8091" t="str">
            <v>BMBS030816</v>
          </cell>
        </row>
        <row r="8092">
          <cell r="E8092" t="str">
            <v>BALIDIH INDUSTRIAL AREA,BOKARO
PLOT NO. - A/2 (P) INDUSTRIAL AREA, BALIDIH BOKARO STEEL CITY - 14, BOKARO
827014
BOKARO INDUSTRIAL ESTATE</v>
          </cell>
          <cell r="G8092">
            <v>8340685984</v>
          </cell>
          <cell r="K8092" t="str">
            <v>BSJS035946</v>
          </cell>
        </row>
        <row r="8093">
          <cell r="E8093" t="str">
            <v>ANKIT KUMAR SONTHALIA, R.N. BOSE ROAD, SATSANG GATE, NEAR HANUMAN MANDIR,, PURANDAHA, DEOGHAR, DIST. DUMKA,, JHARKHAND</v>
          </cell>
          <cell r="G8093">
            <v>7542025382</v>
          </cell>
          <cell r="K8093" t="str">
            <v>BSFD161795</v>
          </cell>
        </row>
        <row r="8094">
          <cell r="E8094" t="str">
            <v>ANKIT KUMAR SONTHALIA, R.N. BOSE ROAD, SATSANG GATE, NEAR HANUMAN MANDIR,, PURANDAHA, DEOGHAR, DIST. DUMKA,, JHARKHAND</v>
          </cell>
          <cell r="G8094">
            <v>7542025382</v>
          </cell>
          <cell r="K8094" t="str">
            <v>BSFD161795</v>
          </cell>
        </row>
        <row r="8095">
          <cell r="E8095" t="str">
            <v>NAGARI RANCHI
NAGARI RANCHI
835303</v>
          </cell>
          <cell r="G8095">
            <v>9752567399</v>
          </cell>
          <cell r="K8095" t="str">
            <v>BKJS030050</v>
          </cell>
        </row>
        <row r="8096">
          <cell r="E8096" t="str">
            <v>ORMANJHI,RANCHI
835219</v>
          </cell>
          <cell r="G8096">
            <v>9155006000</v>
          </cell>
          <cell r="K8096" t="str">
            <v>BSGC376577</v>
          </cell>
        </row>
        <row r="8097">
          <cell r="E8097" t="str">
            <v>MURHU
C/O ASHISH SABOO, MURHU, DIST- KHUNTI
835216</v>
          </cell>
          <cell r="G8097">
            <v>8862826990</v>
          </cell>
          <cell r="K8097" t="str">
            <v>BTLC377591</v>
          </cell>
        </row>
        <row r="8098">
          <cell r="E8098" t="str">
            <v>KATRAS DHANBAD</v>
          </cell>
          <cell r="G8098">
            <v>8210106692</v>
          </cell>
          <cell r="K8098" t="str">
            <v>BRBD160901</v>
          </cell>
        </row>
        <row r="8099">
          <cell r="E8099" t="str">
            <v>MARAR, RAMGARH, JHARKHAND
MARRAR RAMGARH, 9155729786
829117
MARAR</v>
          </cell>
          <cell r="G8099">
            <v>9155729786</v>
          </cell>
          <cell r="K8099" t="str">
            <v>BMIS031759</v>
          </cell>
        </row>
        <row r="8100">
          <cell r="E8100" t="str">
            <v>NAGRI,RANCHI
835202
RANCHI</v>
          </cell>
          <cell r="G8100">
            <v>7004248429</v>
          </cell>
          <cell r="K8100" t="str">
            <v>BRIS035698</v>
          </cell>
        </row>
        <row r="8101">
          <cell r="E8101" t="str">
            <v>DALADALI, RANCHUI</v>
          </cell>
          <cell r="G8101">
            <v>7992413342</v>
          </cell>
          <cell r="K8101" t="str">
            <v>BMJD200014</v>
          </cell>
        </row>
        <row r="8102">
          <cell r="E8102" t="str">
            <v>NAMKUM INDUSTRIAL AREA,RANCHI
834010</v>
          </cell>
          <cell r="G8102">
            <v>0</v>
          </cell>
          <cell r="K8102" t="str">
            <v>GOCC370403</v>
          </cell>
        </row>
        <row r="8103">
          <cell r="E8103" t="str">
            <v>RAVULA SHYAM SUNDER REDDY, HOUSE NO. 3-5-196/1, ROAD NO. 5M, KRISHNANAGAR COLONY, MOULALI, HYDRABAD</v>
          </cell>
          <cell r="G8103">
            <v>6200658072</v>
          </cell>
          <cell r="K8103" t="str">
            <v>BSCD161691</v>
          </cell>
        </row>
        <row r="8104">
          <cell r="E8104" t="str">
            <v>NAGARI
 835303</v>
          </cell>
          <cell r="G8104">
            <v>9264443243</v>
          </cell>
          <cell r="K8104" t="str">
            <v>BREC373538</v>
          </cell>
        </row>
        <row r="8105">
          <cell r="E8105" t="str">
            <v>TOPA MINES, RAMGARH</v>
          </cell>
          <cell r="G8105">
            <v>9471109170</v>
          </cell>
          <cell r="K8105" t="str">
            <v>BSKD161467</v>
          </cell>
        </row>
        <row r="8106">
          <cell r="E8106" t="str">
            <v>ORMANJHI
835219</v>
          </cell>
          <cell r="G8106">
            <v>7992447853</v>
          </cell>
          <cell r="K8106" t="str">
            <v>BTFC378771</v>
          </cell>
        </row>
        <row r="8107">
          <cell r="E8107" t="str">
            <v>DALADALI, RANCHI</v>
          </cell>
          <cell r="G8107">
            <v>9973143214</v>
          </cell>
          <cell r="K8107" t="str">
            <v>BQHD160416</v>
          </cell>
        </row>
        <row r="8108">
          <cell r="E8108" t="str">
            <v>HORHAP ROAD, MAHILONG, RANCHI
835103</v>
          </cell>
          <cell r="G8108">
            <v>9708039203</v>
          </cell>
          <cell r="K8108" t="str">
            <v>BRIC374329</v>
          </cell>
        </row>
        <row r="8109">
          <cell r="E8109" t="str">
            <v xml:space="preserve">TOPIN SOUTH  </v>
          </cell>
          <cell r="G8109">
            <v>9102994453</v>
          </cell>
          <cell r="K8109" t="str">
            <v>BSGD161864</v>
          </cell>
        </row>
        <row r="8110">
          <cell r="E8110" t="str">
            <v>CHATTARPUR, DALTAINGANJ</v>
          </cell>
          <cell r="G8110">
            <v>8051014380</v>
          </cell>
          <cell r="K8110" t="str">
            <v>BTID162392</v>
          </cell>
        </row>
        <row r="8111">
          <cell r="E8111" t="str">
            <v>CHAKARDHARPUR, JHARKHAND</v>
          </cell>
          <cell r="G8111">
            <v>8709505676</v>
          </cell>
          <cell r="K8111" t="str">
            <v>BSJD161422</v>
          </cell>
        </row>
        <row r="8112">
          <cell r="E8112" t="str">
            <v>DHANBAD</v>
          </cell>
          <cell r="G8112">
            <v>9550053031</v>
          </cell>
          <cell r="K8112" t="str">
            <v>BTDD162183</v>
          </cell>
        </row>
        <row r="8113">
          <cell r="E8113" t="str">
            <v>DHANBAD</v>
          </cell>
          <cell r="G8113">
            <v>9550053031</v>
          </cell>
          <cell r="K8113" t="str">
            <v>BTDD162183</v>
          </cell>
        </row>
        <row r="8114">
          <cell r="E8114" t="str">
            <v>PLOT NO. 148, TUPUDANA, INDUSTRIAL AREA, HATIA, RANCHI
834002</v>
          </cell>
          <cell r="G8114">
            <v>0</v>
          </cell>
          <cell r="K8114" t="str">
            <v>BSLS036682</v>
          </cell>
        </row>
        <row r="8115">
          <cell r="E8115" t="str">
            <v>RAMGARH</v>
          </cell>
          <cell r="G8115">
            <v>7488795484</v>
          </cell>
          <cell r="K8115" t="str">
            <v>BTID162377</v>
          </cell>
        </row>
        <row r="8116">
          <cell r="E8116" t="str">
            <v>BARHI</v>
          </cell>
          <cell r="G8116">
            <v>8789683726</v>
          </cell>
          <cell r="K8116" t="str">
            <v>BTGD120943</v>
          </cell>
        </row>
        <row r="8117">
          <cell r="E8117" t="str">
            <v>PLOT NO. 148, TUPUDANA, INDUSTRIAL AREA, HATIA, RANCHI
834002</v>
          </cell>
          <cell r="G8117">
            <v>0</v>
          </cell>
          <cell r="K8117" t="str">
            <v>BRIS035838</v>
          </cell>
        </row>
        <row r="8118">
          <cell r="E8118" t="str">
            <v>TUPUDANA INDUSTRIAL AREA,RANCHI
834003</v>
          </cell>
          <cell r="G8118">
            <v>9835167418</v>
          </cell>
          <cell r="K8118" t="str">
            <v>BRIS035695</v>
          </cell>
        </row>
        <row r="8119">
          <cell r="E8119" t="str">
            <v>TAPIN HAZARIBAGH</v>
          </cell>
          <cell r="G8119">
            <v>7061611957</v>
          </cell>
          <cell r="K8119" t="str">
            <v>BTGD162289</v>
          </cell>
        </row>
        <row r="8120">
          <cell r="E8120" t="str">
            <v>KHUNTI ROAD RANCHI</v>
          </cell>
          <cell r="G8120">
            <v>7004992716</v>
          </cell>
          <cell r="K8120" t="str">
            <v>GOHS031629</v>
          </cell>
        </row>
        <row r="8121">
          <cell r="E8121" t="str">
            <v>TIPUDANA RANCHI</v>
          </cell>
          <cell r="G8121">
            <v>6205238532</v>
          </cell>
          <cell r="K8121" t="str">
            <v>BPBD200118</v>
          </cell>
        </row>
        <row r="8122">
          <cell r="E8122" t="str">
            <v>62, KOKAR INDUSTRIAL AREA, KOKAR,RANCHI.
834001</v>
          </cell>
          <cell r="G8122">
            <v>8429020942</v>
          </cell>
          <cell r="K8122" t="str">
            <v>BJDF150016</v>
          </cell>
        </row>
        <row r="8123">
          <cell r="E8123" t="str">
            <v>ASHOK NAGAR, RANCHI</v>
          </cell>
          <cell r="G8123">
            <v>9471356821</v>
          </cell>
          <cell r="K8123" t="str">
            <v>BRGD230256</v>
          </cell>
        </row>
        <row r="8124">
          <cell r="E8124" t="str">
            <v>BARKAGAON, HAZARIBAGH</v>
          </cell>
          <cell r="G8124">
            <v>6301756433</v>
          </cell>
          <cell r="K8124" t="str">
            <v>BRCD160990</v>
          </cell>
        </row>
        <row r="8125">
          <cell r="E8125" t="str">
            <v>DHANBAD</v>
          </cell>
          <cell r="G8125">
            <v>9441693704</v>
          </cell>
          <cell r="K8125" t="str">
            <v>BTDD162183</v>
          </cell>
        </row>
        <row r="8126">
          <cell r="E8126" t="str">
            <v>WB</v>
          </cell>
          <cell r="G8126">
            <v>8010302178</v>
          </cell>
          <cell r="K8126" t="str">
            <v>BQFD200158</v>
          </cell>
        </row>
        <row r="8127">
          <cell r="E8127" t="str">
            <v>DHANBAD</v>
          </cell>
          <cell r="G8127">
            <v>8210106692</v>
          </cell>
          <cell r="K8127" t="str">
            <v>BTFD162244</v>
          </cell>
        </row>
        <row r="8128">
          <cell r="E8128" t="str">
            <v>URMILA TOWER, ROOM NO. 805, DHANBAD</v>
          </cell>
          <cell r="G8128">
            <v>9234669513</v>
          </cell>
          <cell r="K8128" t="str">
            <v>BTKD162074</v>
          </cell>
        </row>
        <row r="8129">
          <cell r="E8129" t="str">
            <v>SIMARIYA ROAD, CHATRA
825401</v>
          </cell>
          <cell r="G8129">
            <v>7779922031</v>
          </cell>
          <cell r="K8129" t="str">
            <v>BSFC376341</v>
          </cell>
        </row>
        <row r="8130">
          <cell r="E8130" t="str">
            <v>H. NO. 22, RAHAT COLONY,, KADRU, RANCHI - 834 002, JHARKHAND</v>
          </cell>
          <cell r="G8130">
            <v>8051191796</v>
          </cell>
          <cell r="K8130" t="str">
            <v>BRGD161233</v>
          </cell>
        </row>
        <row r="8131">
          <cell r="E8131" t="str">
            <v>KATRAS, DHANBAD</v>
          </cell>
          <cell r="G8131">
            <v>7024084588</v>
          </cell>
          <cell r="K8131" t="str">
            <v>BSKD161477</v>
          </cell>
        </row>
        <row r="8132">
          <cell r="E8132" t="str">
            <v>TRIDENT PNEUMATICS PVT LTD   5/232,KNG PUDUR ROADSOMAYAMPALAYAM POSTCOIMBATORE IND</v>
          </cell>
          <cell r="G8132">
            <v>6204342637</v>
          </cell>
          <cell r="K8132" t="str">
            <v>BRCC373040</v>
          </cell>
        </row>
        <row r="8133">
          <cell r="E8133" t="str">
            <v>SHEETLA PRASAD SINGH,, MISHRA PADA, NEAR DURGA MANDIR,, JHARIA, DHANBAD - 828 111, JHARKHAND.</v>
          </cell>
          <cell r="G8133">
            <v>7644045555</v>
          </cell>
          <cell r="K8133" t="str">
            <v>BTDD162169</v>
          </cell>
        </row>
        <row r="8134">
          <cell r="E8134" t="str">
            <v>SHEETLA PRASAD SINGH,, MISHRA PADA, NEAR DURGA MANDIR,, JHARIA, DHANBAD - 828 111, JHARKHAND.</v>
          </cell>
          <cell r="G8134">
            <v>7644045555</v>
          </cell>
          <cell r="K8134" t="str">
            <v>BTKD162112</v>
          </cell>
        </row>
        <row r="8135">
          <cell r="E8135" t="str">
            <v>KOKAR INDUSTRIAL AREA,RANCHI
834001</v>
          </cell>
          <cell r="G8135">
            <v>8404822862</v>
          </cell>
          <cell r="K8135" t="str">
            <v>BSBC375535</v>
          </cell>
        </row>
        <row r="8136">
          <cell r="E8136" t="str">
            <v>C/O - SUJIT KUMAR, SAHAJANAND NAGAR, H. NO. -121, RANI ROAD, BHUDA, BARMASIA,, DHANBAD</v>
          </cell>
          <cell r="G8136">
            <v>7047010517</v>
          </cell>
          <cell r="K8136" t="str">
            <v>BTED200706</v>
          </cell>
        </row>
        <row r="8137">
          <cell r="E8137" t="str">
            <v>DHANBAD</v>
          </cell>
          <cell r="G8137">
            <v>9441693704</v>
          </cell>
          <cell r="K8137" t="str">
            <v>BTDD162183</v>
          </cell>
        </row>
        <row r="8138">
          <cell r="E8138" t="str">
            <v>AT: SENEGARHA, P.O-RABODH, P.S-GIDDI,(RAMGARH),, DISTT. HAZARIBAGH,JHARKHAND-825330
829108
AT: SENEGARHA, P.O-RABODH, P.S-GIDDI,(RAMGARH),</v>
          </cell>
          <cell r="G8138">
            <v>9006877583</v>
          </cell>
          <cell r="K8138" t="str">
            <v>BRAS033261</v>
          </cell>
        </row>
        <row r="8139">
          <cell r="E8139" t="str">
            <v>SIDRAUL, NAMKUM, RANCHI
834010
SIDRAUL, NAMKUM, RANCHI</v>
          </cell>
          <cell r="G8139">
            <v>8877172788</v>
          </cell>
          <cell r="K8139" t="str">
            <v>UOHS030121</v>
          </cell>
        </row>
        <row r="8140">
          <cell r="E8140" t="str">
            <v>TUPUDANA INDUSTRIAL AREA, RANCHI
PLOT NO. 114, TUPUDANA INDUSTRIAL AREA, TUPUDANA,HATIA, RANCHI
834002
RANCHI</v>
          </cell>
          <cell r="G8140">
            <v>9939738679</v>
          </cell>
          <cell r="K8140">
            <v>123434</v>
          </cell>
        </row>
        <row r="8141">
          <cell r="E8141" t="str">
            <v xml:space="preserve">TOPIN SOUTH  </v>
          </cell>
          <cell r="G8141">
            <v>9102994453</v>
          </cell>
          <cell r="K8141" t="str">
            <v>BSGD161864</v>
          </cell>
        </row>
        <row r="8142">
          <cell r="E8142" t="str">
            <v>NAGRI,RANCHI
835202
RANCHI</v>
          </cell>
          <cell r="G8142">
            <v>7004122894</v>
          </cell>
          <cell r="K8142" t="str">
            <v>BRIS035698</v>
          </cell>
        </row>
        <row r="8143">
          <cell r="E8143" t="str">
            <v>NAGRI,RANCHI
835202
RANCHI</v>
          </cell>
          <cell r="G8143">
            <v>9304482300</v>
          </cell>
          <cell r="K8143">
            <v>108441</v>
          </cell>
        </row>
        <row r="8144">
          <cell r="E8144" t="str">
            <v>DHANBAD</v>
          </cell>
          <cell r="G8144">
            <v>9441693704</v>
          </cell>
          <cell r="K8144" t="str">
            <v>BTDD162183</v>
          </cell>
        </row>
        <row r="8145">
          <cell r="E8145" t="str">
            <v>WEST MARKET ROAD UPPER BAZAJ
UPPER BAZAR
834001</v>
          </cell>
          <cell r="G8145">
            <v>0</v>
          </cell>
          <cell r="K8145" t="str">
            <v>BTDC378223</v>
          </cell>
        </row>
        <row r="8146">
          <cell r="E8146" t="str">
            <v>TUPUDANA INDUSTRIAL AREA</v>
          </cell>
          <cell r="G8146">
            <v>7978649310</v>
          </cell>
          <cell r="K8146" t="str">
            <v>BMBS030816</v>
          </cell>
        </row>
        <row r="8147">
          <cell r="E8147" t="str">
            <v>SHEETLA PRASAD SINGH,, MISHRA PADA, NEAR DURGA MANDIR,, JHARIA, DHANBAD - 828 111, JHARKHAND.</v>
          </cell>
          <cell r="G8147">
            <v>7644045555</v>
          </cell>
          <cell r="K8147" t="str">
            <v>BTCD162149</v>
          </cell>
        </row>
        <row r="8148">
          <cell r="E8148" t="str">
            <v>SHEETLA PRASAD SINGH,, MISHRA PADA, NEAR DURGA MANDIR,, JHARIA, DHANBAD - 828 111, JHARKHAND.</v>
          </cell>
          <cell r="G8148">
            <v>7644045555</v>
          </cell>
          <cell r="K8148" t="str">
            <v>BTCD162149</v>
          </cell>
        </row>
        <row r="8149">
          <cell r="E8149" t="str">
            <v>NAGARI, RANCHI
834006</v>
          </cell>
          <cell r="G8149">
            <v>7255848442</v>
          </cell>
          <cell r="K8149" t="str">
            <v>BRAC372524</v>
          </cell>
        </row>
        <row r="8150">
          <cell r="E8150" t="str">
            <v>KOKAR INDUSTRIAL AREA,,RANCHI
834002
KOKAR INDUSTRIAL AREA RANCHI</v>
          </cell>
          <cell r="G8150">
            <v>9263186366</v>
          </cell>
          <cell r="K8150" t="str">
            <v>GNDC370057</v>
          </cell>
        </row>
        <row r="8151">
          <cell r="E8151" t="str">
            <v>HAZARIBAGH
RANCHI JHARKHAND 834002
INDIA</v>
          </cell>
          <cell r="G8151" t="str">
            <v>7309672604 / 7361044447/9835535277</v>
          </cell>
          <cell r="K8151" t="str">
            <v>BKAS030685</v>
          </cell>
        </row>
        <row r="8152">
          <cell r="E8152" t="str">
            <v>DHANBAD</v>
          </cell>
          <cell r="G8152">
            <v>8210106692</v>
          </cell>
          <cell r="K8152" t="str">
            <v>BTFD162244</v>
          </cell>
        </row>
        <row r="8153">
          <cell r="E8153" t="str">
            <v>SHEETLA PRASAD SINGH,, MISHRA PADA, NEAR DURGA MANDIR,, JHARIA, DHANBAD - 828 111, JHARKHAND.</v>
          </cell>
          <cell r="G8153">
            <v>7644045555</v>
          </cell>
          <cell r="K8153" t="str">
            <v>BTKD162112</v>
          </cell>
        </row>
        <row r="8154">
          <cell r="E8154" t="str">
            <v>BAZAR SAMITI,RAMGARH
829122</v>
          </cell>
          <cell r="G8154">
            <v>9835764965</v>
          </cell>
          <cell r="K8154" t="str">
            <v>BTGC379081</v>
          </cell>
        </row>
        <row r="8155">
          <cell r="E8155" t="str">
            <v>B7-PHASE-3, BALIDIH INDUSTRIAL AREA BALIDIH, BOKARO STEEL CITY BOKARO, JHARKHAND
SUNDARAM STEELS PVT. LTD, B-7 PHASE-III,BOKARO INDUSTRIAL AREA,BALIDIH, BOKARO
827014</v>
          </cell>
          <cell r="G8155">
            <v>7008287442</v>
          </cell>
          <cell r="K8155" t="str">
            <v>GPJS040009</v>
          </cell>
        </row>
        <row r="8156">
          <cell r="E8156" t="str">
            <v>DHANBAD</v>
          </cell>
          <cell r="G8156">
            <v>6203411013</v>
          </cell>
          <cell r="K8156" t="str">
            <v>BTED162231</v>
          </cell>
        </row>
        <row r="8157">
          <cell r="E8157" t="str">
            <v>RANCHI ROAD,RAMGARH 
DIGWAR,RAMGARH
829122
DIGWAR , RANCHI ROAD ,</v>
          </cell>
          <cell r="G8157">
            <v>7004848564</v>
          </cell>
          <cell r="K8157" t="str">
            <v>GOAC370220</v>
          </cell>
        </row>
        <row r="8158">
          <cell r="E8158" t="str">
            <v>TUPUDANA INDUSTRIAL AREA, RANCHI
PLOT NO. 114, TUPUDANA INDUSTRIAL AREA, TUPUDANA,HATIA, RANCHI
834002
RANCHI</v>
          </cell>
          <cell r="G8158">
            <v>9939738679</v>
          </cell>
          <cell r="K8158" t="str">
            <v>BNAS040245</v>
          </cell>
        </row>
        <row r="8159">
          <cell r="E8159" t="str">
            <v>SILCHAR, ASSAM</v>
          </cell>
          <cell r="G8159" t="str">
            <v/>
          </cell>
          <cell r="K8159" t="str">
            <v>BSGD120723</v>
          </cell>
        </row>
        <row r="8160">
          <cell r="E8160" t="str">
            <v>TUPUDANA INDUSTRIAL AREA,RANCHI
834003</v>
          </cell>
          <cell r="G8160">
            <v>9835167418</v>
          </cell>
          <cell r="K8160" t="str">
            <v>BRIS035695</v>
          </cell>
        </row>
        <row r="8161">
          <cell r="E8161" t="str">
            <v>RAMGARH,JHARKHAND
829122</v>
          </cell>
          <cell r="G8161">
            <v>9934012694</v>
          </cell>
          <cell r="K8161" t="str">
            <v>BSIC376940</v>
          </cell>
        </row>
        <row r="8162">
          <cell r="E8162" t="str">
            <v>C/O - PREM PRAKASH AGARWAL, OPP - HILLVIEW FUEL STATION, GODHUR, P.O - KUSUNDA, DHANBAD</v>
          </cell>
          <cell r="G8162">
            <v>7903412157</v>
          </cell>
          <cell r="K8162" t="str">
            <v>BTED162217</v>
          </cell>
        </row>
        <row r="8163">
          <cell r="E8163" t="str">
            <v>BAZAR SAMITI,RAMGARH
829122</v>
          </cell>
          <cell r="G8163">
            <v>9835764965</v>
          </cell>
          <cell r="K8163" t="str">
            <v>BTGC379081</v>
          </cell>
        </row>
        <row r="8164">
          <cell r="E8164" t="str">
            <v>CITY CENTER SECTOR - 4, BOKARO STEEL CITY, BOKARO, JHARKHAND, MOB. NO. 7050539301
CITY CENTER SECTOR - 4, BOKARO STEEL CITY, BOKARO, JHARKHAND, MOB. NO. 7050539301
827003
BOKARO</v>
          </cell>
          <cell r="G8164">
            <v>9263631310</v>
          </cell>
          <cell r="K8164">
            <v>70369</v>
          </cell>
        </row>
        <row r="8165">
          <cell r="E8165" t="str">
            <v>JAISHIV BHAWAN, BANO MANZIL ROAD,, NEAR PAHARI MANDIR, RANCHI, JHARKHAND - 834 001</v>
          </cell>
          <cell r="G8165">
            <v>7653067290</v>
          </cell>
          <cell r="K8165">
            <v>205954</v>
          </cell>
        </row>
        <row r="8166">
          <cell r="E8166" t="str">
            <v>GAYA BIHAR</v>
          </cell>
          <cell r="G8166">
            <v>8851700020</v>
          </cell>
          <cell r="K8166" t="str">
            <v>BTHD120981</v>
          </cell>
        </row>
        <row r="8167">
          <cell r="E8167" t="str">
            <v>DHANBAD</v>
          </cell>
          <cell r="G8167">
            <v>9441693704</v>
          </cell>
          <cell r="K8167" t="str">
            <v>BTDD162186</v>
          </cell>
        </row>
        <row r="8168">
          <cell r="E8168" t="str">
            <v>RANCHI,JHARKHAND
825301
JHUMRA</v>
          </cell>
          <cell r="G8168">
            <v>9693919529</v>
          </cell>
          <cell r="K8168" t="str">
            <v>BTIS031829</v>
          </cell>
        </row>
        <row r="8169">
          <cell r="E8169" t="str">
            <v>SHEETLA PRASAD SINGH,, MISHRA PADA, NEAR DURGA MANDIR,, JHARIA, DHANBAD - 828 111, JHARKHAND.</v>
          </cell>
          <cell r="G8169">
            <v>7644045555</v>
          </cell>
          <cell r="K8169" t="str">
            <v>BTKD162112</v>
          </cell>
        </row>
        <row r="8170">
          <cell r="E8170" t="str">
            <v>CHAKARDHARPUR, JHARKHAND</v>
          </cell>
          <cell r="G8170">
            <v>8709505676</v>
          </cell>
          <cell r="K8170" t="str">
            <v>BSJD161422</v>
          </cell>
        </row>
        <row r="8171">
          <cell r="E8171" t="str">
            <v>REHLA,GARWA,JHARKHAND
822124
RANCHI</v>
          </cell>
          <cell r="G8171">
            <v>9304009671</v>
          </cell>
          <cell r="K8171" t="str">
            <v>BMFS031346</v>
          </cell>
        </row>
        <row r="8172">
          <cell r="E8172" t="str">
            <v>KATRAS, DHANBAD</v>
          </cell>
          <cell r="G8172">
            <v>9798360305</v>
          </cell>
          <cell r="K8172" t="str">
            <v>BSKD161477</v>
          </cell>
        </row>
        <row r="8173">
          <cell r="E8173" t="str">
            <v>BOKARO CITY SECTOR-4 BOKARO
827001
CITY CENTER, SECTOR-4</v>
          </cell>
          <cell r="G8173">
            <v>9263636107</v>
          </cell>
          <cell r="K8173" t="str">
            <v>GOEC370631</v>
          </cell>
        </row>
        <row r="8174">
          <cell r="E8174" t="str">
            <v>ORRISA</v>
          </cell>
          <cell r="G8174">
            <v>904014203</v>
          </cell>
          <cell r="K8174" t="str">
            <v>BPKD200021</v>
          </cell>
        </row>
        <row r="8175">
          <cell r="E8175" t="str">
            <v>PLOT N0 3127 , RATU THANA 79,RANCHI
RATU RANCHI JHARKHAND
835103
PLOT NO- 3127, THANA NO- 79, RATU ROAD</v>
          </cell>
          <cell r="G8175">
            <v>9798542802</v>
          </cell>
          <cell r="K8175" t="str">
            <v>BSES037922</v>
          </cell>
        </row>
        <row r="8176">
          <cell r="E8176" t="str">
            <v>NAMKUM INDUSTRIAL AREA,RANCHI
834010</v>
          </cell>
          <cell r="G8176">
            <v>9386408111</v>
          </cell>
          <cell r="K8176" t="str">
            <v>GOCC370403</v>
          </cell>
        </row>
        <row r="8177">
          <cell r="E8177" t="str">
            <v>SHEETLA PRASAD SINGH,, MISHRA PADA, NEAR DURGA MANDIR,, JHARIA, DHANBAD - 828 111, JHARKHAND.</v>
          </cell>
          <cell r="G8177">
            <v>7644045555</v>
          </cell>
          <cell r="K8177" t="str">
            <v>BTKD162112</v>
          </cell>
        </row>
        <row r="8178">
          <cell r="E8178" t="str">
            <v>ORMANJHI
835219</v>
          </cell>
          <cell r="G8178">
            <v>7992447853</v>
          </cell>
          <cell r="K8178" t="str">
            <v>BTFC378771</v>
          </cell>
        </row>
        <row r="8179">
          <cell r="E8179" t="str">
            <v>NAGRI,RANCHI
835202
RANCHI</v>
          </cell>
          <cell r="G8179">
            <v>8051139257</v>
          </cell>
          <cell r="K8179" t="str">
            <v>BMJS040004</v>
          </cell>
        </row>
        <row r="8180">
          <cell r="E8180" t="str">
            <v>CITY CENTER SECTOR - 4, BOKARO STEEL CITY, BOKARO, JHARKHAND, MOB. NO. 7050539301
CITY CENTER SECTOR - 4, BOKARO STEEL CITY, BOKARO, JHARKHAND, MOB. NO. 7050539301
827003
BOKARO</v>
          </cell>
          <cell r="G8180">
            <v>9263631310</v>
          </cell>
          <cell r="K8180">
            <v>70369</v>
          </cell>
        </row>
        <row r="8181">
          <cell r="E8181" t="str">
            <v>SHEETLA PRASAD SINGH,, MISHRA PADA, NEAR DURGA MANDIR,, JHARIA, DHANBAD - 828 111, JHARKHAND.</v>
          </cell>
          <cell r="G8181">
            <v>7644045555</v>
          </cell>
          <cell r="K8181" t="str">
            <v>BTDD162169</v>
          </cell>
        </row>
        <row r="8182">
          <cell r="E8182" t="str">
            <v>RANCHI,JHARKHAND
825301
JHUMRA</v>
          </cell>
          <cell r="G8182">
            <v>9693919529</v>
          </cell>
          <cell r="K8182" t="str">
            <v>BTIS031829</v>
          </cell>
        </row>
        <row r="8183">
          <cell r="E8183" t="str">
            <v>CHAKARDHARPUR, JHARKHAND</v>
          </cell>
          <cell r="G8183">
            <v>8709505676</v>
          </cell>
          <cell r="K8183" t="str">
            <v>BSJD161422</v>
          </cell>
        </row>
        <row r="8184">
          <cell r="E8184" t="str">
            <v>OPERATIONS OFFICER, BOKARO BP, KIND ATTEN.ABHISHEK TRIPATHI, MOB. NO.8789972995, VENDOR CODE-11970380
OPERATIONS OFFICER, BOKARO BP, KIND ATTEN.ABHISHEK TRIPATHI, MOB. NO.8789972995, VENDOR CODE-11970380
827014
LPG BOTTALING PLANT, BALIDIH,</v>
          </cell>
          <cell r="G8184">
            <v>8092095823</v>
          </cell>
          <cell r="K8184" t="str">
            <v>BOCS040147</v>
          </cell>
        </row>
        <row r="8185">
          <cell r="E8185" t="str">
            <v>GROUND AND 1 ST FLOOR, BESIDE DAINIK BHASKAR, GOVINDPUR ROAD, DIST :- DHANBAD
GROUND AND 1 ST FLOOR, BESIDE DAINIK BHASKAR, GOVINDPUR ROAD, DIST :- DHANBAD
828109</v>
          </cell>
          <cell r="G8185">
            <v>9955178750</v>
          </cell>
          <cell r="K8185" t="str">
            <v>BRES034488</v>
          </cell>
        </row>
        <row r="8186">
          <cell r="E8186" t="str">
            <v>BOOTY MORE
835217</v>
          </cell>
          <cell r="G8186">
            <v>7070892562</v>
          </cell>
          <cell r="K8186" t="str">
            <v>BTHC379543</v>
          </cell>
        </row>
        <row r="8187">
          <cell r="E8187" t="str">
            <v>SARAIKELA</v>
          </cell>
          <cell r="G8187">
            <v>9529868513</v>
          </cell>
          <cell r="K8187" t="str">
            <v>BSID220375</v>
          </cell>
        </row>
        <row r="8188">
          <cell r="E8188" t="str">
            <v>TUPUDANA INDUSTRIAL AREA, RANCHI
PLOT NO. 114, TUPUDANA INDUSTRIAL AREA, TUPUDANA,HATIA, RANCHI
834002
RANCHI</v>
          </cell>
          <cell r="G8188">
            <v>9939738679</v>
          </cell>
          <cell r="K8188" t="str">
            <v>GOKS040088</v>
          </cell>
        </row>
        <row r="8189">
          <cell r="E8189" t="str">
            <v>TUPUDANA INDUSTRIAL AREA, RANCHI
PLOT NO. 114, TUPUDANA INDUSTRIAL AREA, TUPUDANA,HATIA, RANCHI
834002
RANCHI</v>
          </cell>
          <cell r="G8189">
            <v>9939738679</v>
          </cell>
          <cell r="K8189" t="str">
            <v>GOKS040088</v>
          </cell>
        </row>
        <row r="8190">
          <cell r="E8190" t="str">
            <v>TUPUDANA INDUSTRIAL AREA, RANCHI
PLOT NO. 114, TUPUDANA INDUSTRIAL AREA, TUPUDANA,HATIA, RANCHI
834002
RANCHI</v>
          </cell>
          <cell r="G8190">
            <v>9939738679</v>
          </cell>
          <cell r="K8190">
            <v>123434</v>
          </cell>
        </row>
        <row r="8191">
          <cell r="E8191" t="str">
            <v>DHANBAD</v>
          </cell>
          <cell r="G8191">
            <v>9441693704</v>
          </cell>
          <cell r="K8191" t="str">
            <v>BTDD162183</v>
          </cell>
        </row>
        <row r="8192">
          <cell r="E8192" t="str">
            <v xml:space="preserve">TOPIN SOUTH  </v>
          </cell>
          <cell r="G8192">
            <v>9102994453</v>
          </cell>
          <cell r="K8192" t="str">
            <v>BSGD161864</v>
          </cell>
        </row>
        <row r="8193">
          <cell r="E8193" t="str">
            <v>GHATO, RAMGARH</v>
          </cell>
          <cell r="G8193">
            <v>7781843649</v>
          </cell>
          <cell r="K8193" t="str">
            <v>BRDD161024</v>
          </cell>
        </row>
        <row r="8194">
          <cell r="E8194" t="str">
            <v>NAGRI, RANCHI
TIKRATOLI, P.O:- NAGRI, RANCHI
834006</v>
          </cell>
          <cell r="G8194">
            <v>9608884161</v>
          </cell>
          <cell r="K8194" t="str">
            <v>BKKS030393</v>
          </cell>
        </row>
        <row r="8195">
          <cell r="E8195" t="str">
            <v>GHATO
825314</v>
          </cell>
          <cell r="G8195">
            <v>7763814514</v>
          </cell>
          <cell r="K8195" t="str">
            <v>BRGS035053</v>
          </cell>
        </row>
        <row r="8196">
          <cell r="E8196" t="str">
            <v>FLAT NO. 300, BLOCK - A, MP SRIRAM, CHHOTA GAMHARIA, P.S. - GAMHARIA, DIST.- SARAIKELA KHARSAWAN</v>
          </cell>
          <cell r="G8196">
            <v>8849448211</v>
          </cell>
          <cell r="K8196" t="str">
            <v>BRGL151468</v>
          </cell>
        </row>
        <row r="8197">
          <cell r="E8197" t="str">
            <v>PRICHY, TAMILNADU</v>
          </cell>
          <cell r="G8197">
            <v>8010302178</v>
          </cell>
          <cell r="K8197" t="str">
            <v>BQFD200158</v>
          </cell>
        </row>
        <row r="8198">
          <cell r="E8198" t="str">
            <v>REHLA,GARWA,JHARKHAND
822124
RANCHI</v>
          </cell>
          <cell r="G8198">
            <v>9304009671</v>
          </cell>
          <cell r="K8198" t="str">
            <v>BMFS031346</v>
          </cell>
        </row>
        <row r="8199">
          <cell r="E8199" t="str">
            <v>PALAMU,GARWA, JHARKHAND
822124
GARHWA ROAD, NEAR BCCL PALAMU,</v>
          </cell>
          <cell r="G8199">
            <v>9973536006</v>
          </cell>
          <cell r="K8199" t="str">
            <v>GOCS030806</v>
          </cell>
        </row>
        <row r="8200">
          <cell r="E8200" t="str">
            <v>GARHWA DALTONGANJ</v>
          </cell>
          <cell r="G8200">
            <v>7488289727</v>
          </cell>
          <cell r="K8200" t="str">
            <v>BSAD161582</v>
          </cell>
        </row>
        <row r="8201">
          <cell r="E8201" t="str">
            <v>FLAT NO. 300, BLOCK - A, MP SRIRAM, CHHOTA GAMHARIA, P.S. - GAMHARIA, DIST.- SARAIKELA KHARSAWAN</v>
          </cell>
          <cell r="G8201">
            <v>8849448211</v>
          </cell>
          <cell r="K8201" t="str">
            <v>BRGL151464</v>
          </cell>
        </row>
        <row r="8202">
          <cell r="E8202" t="str">
            <v>BOKARO CITY SECTOR-4 BOKARO
827001
CITY CENTER, SECTOR-4</v>
          </cell>
          <cell r="G8202">
            <v>9263636107</v>
          </cell>
          <cell r="K8202" t="str">
            <v>GOEC370631</v>
          </cell>
        </row>
        <row r="8203">
          <cell r="E8203" t="str">
            <v>TORPA</v>
          </cell>
          <cell r="G8203">
            <v>9443035168</v>
          </cell>
          <cell r="K8203" t="str">
            <v>BSJD230294</v>
          </cell>
        </row>
        <row r="8204">
          <cell r="E8204" t="str">
            <v>SHEETLA PRASAD SINGH,, MISHRA PADA, NEAR DURGA MANDIR,, JHARIA, DHANBAD - 828 111, JHARKHAND.</v>
          </cell>
          <cell r="G8204">
            <v>7644045555</v>
          </cell>
          <cell r="K8204" t="str">
            <v>BTDD162169</v>
          </cell>
        </row>
        <row r="8205">
          <cell r="E8205" t="str">
            <v>DHANBAD</v>
          </cell>
          <cell r="G8205">
            <v>9263634417</v>
          </cell>
          <cell r="K8205" t="str">
            <v>BTCD162159</v>
          </cell>
        </row>
        <row r="8206">
          <cell r="E8206" t="str">
            <v xml:space="preserve">TOPIN SOUTH  </v>
          </cell>
          <cell r="G8206">
            <v>9102994453</v>
          </cell>
          <cell r="K8206" t="str">
            <v>BSGD161864</v>
          </cell>
        </row>
        <row r="8207">
          <cell r="E8207" t="str">
            <v>NAGARI, RANCHI
834006</v>
          </cell>
          <cell r="G8207">
            <v>7255848442</v>
          </cell>
          <cell r="K8207" t="str">
            <v>BRAC372524</v>
          </cell>
        </row>
        <row r="8208">
          <cell r="E8208" t="str">
            <v>SHEETLA PRASAD SINGH,, MISHRA PADA, NEAR DURGA MANDIR,, JHARIA, DHANBAD - 828 111, JHARKHAND.</v>
          </cell>
          <cell r="G8208">
            <v>7644045555</v>
          </cell>
          <cell r="K8208" t="str">
            <v>BTKD162112</v>
          </cell>
        </row>
        <row r="8209">
          <cell r="E8209" t="str">
            <v>RERWA SISAI,GUMLA
RERWA SISAI, GUMLA,, JHRKHAND
835207</v>
          </cell>
          <cell r="G8209">
            <v>9122388000</v>
          </cell>
          <cell r="K8209" t="str">
            <v>BTCS030119</v>
          </cell>
        </row>
        <row r="8210">
          <cell r="E8210" t="str">
            <v>DHANBAD</v>
          </cell>
          <cell r="G8210">
            <v>9441693704</v>
          </cell>
          <cell r="K8210" t="str">
            <v>BTDD162186</v>
          </cell>
        </row>
        <row r="8211">
          <cell r="E8211" t="str">
            <v>TAPIN HAZARIBAGH</v>
          </cell>
          <cell r="G8211">
            <v>7070010949</v>
          </cell>
          <cell r="K8211" t="str">
            <v>BTGD162289</v>
          </cell>
        </row>
        <row r="8212">
          <cell r="E8212" t="str">
            <v>TATISILWAI, JHARKHAND
835103</v>
          </cell>
          <cell r="G8212">
            <v>6200160428</v>
          </cell>
          <cell r="K8212" t="str">
            <v>BQHS040705</v>
          </cell>
        </row>
        <row r="8213">
          <cell r="E8213" t="str">
            <v>TATISILWAI, JHARKHAND
835103</v>
          </cell>
          <cell r="G8213">
            <v>6200160428</v>
          </cell>
          <cell r="K8213" t="str">
            <v>BQGS031413</v>
          </cell>
        </row>
        <row r="8214">
          <cell r="E8214" t="str">
            <v>GROUND FLOOR, 8H AND 81, NATION PRINTERS, NAMKUM INDUSTRIAL AREA,, LOWADIH, RANCHI
GROUND FLOOR, 8H AND 81, NATION PRINTERS, NAMKUM INDUSTRIAL AREA,, LOWADIH, RANCHI
834010</v>
          </cell>
          <cell r="G8214">
            <v>9386895542</v>
          </cell>
          <cell r="K8214" t="str">
            <v>BRCC372871</v>
          </cell>
        </row>
        <row r="8215">
          <cell r="E8215" t="str">
            <v>GHATO
825314</v>
          </cell>
          <cell r="G8215">
            <v>7763814514</v>
          </cell>
          <cell r="K8215" t="str">
            <v>BRGS035053</v>
          </cell>
        </row>
        <row r="8216">
          <cell r="E8216" t="str">
            <v>GHATO
825314</v>
          </cell>
          <cell r="G8216">
            <v>7763814514</v>
          </cell>
          <cell r="K8216" t="str">
            <v>BRGS035077</v>
          </cell>
        </row>
        <row r="8217">
          <cell r="E8217" t="str">
            <v>DHANBAD</v>
          </cell>
          <cell r="G8217">
            <v>9441693704</v>
          </cell>
          <cell r="K8217" t="str">
            <v>BTDD162183</v>
          </cell>
        </row>
        <row r="8218">
          <cell r="E8218" t="str">
            <v>KATRAS, DHANBAD</v>
          </cell>
          <cell r="G8218">
            <v>6207308280</v>
          </cell>
          <cell r="K8218" t="str">
            <v>BSGD161904</v>
          </cell>
        </row>
        <row r="8219">
          <cell r="E8219" t="str">
            <v>B7-PHASE-3, BALIDIH INDUSTRIAL AREA BALIDIH, BOKARO STEEL CITY BOKARO, JHARKHAND
SUNDARAM STEELS PVT. LTD, B-7 PHASE-III,BOKARO INDUSTRIAL AREA,BALIDIH, BOKARO
827014</v>
          </cell>
          <cell r="G8219">
            <v>7008287442</v>
          </cell>
          <cell r="K8219" t="str">
            <v>GPJS040009</v>
          </cell>
        </row>
        <row r="8220">
          <cell r="E8220" t="str">
            <v>H. NO. 22, RAHAT COLONY,, KADRU, RANCHI - 834 002, JHARKHAND</v>
          </cell>
          <cell r="G8220">
            <v>8051191796</v>
          </cell>
          <cell r="K8220" t="str">
            <v>BRGD161233</v>
          </cell>
        </row>
        <row r="8221">
          <cell r="E8221" t="str">
            <v>B7-PHASE-3, BALIDIH INDUSTRIAL AREA BALIDIH, BOKARO STEEL CITY BOKARO, JHARKHAND
SUNDARAM STEELS PVT. LTD, B-7 PHASE-III,BOKARO INDUSTRIAL AREA,BALIDIH, BOKARO
827014</v>
          </cell>
          <cell r="G8221">
            <v>7562958193</v>
          </cell>
          <cell r="K8221" t="str">
            <v>BTHS031467</v>
          </cell>
        </row>
        <row r="8222">
          <cell r="E8222" t="str">
            <v>H. NO. 22, RAHAT COLONY,, KADRU, RANCHI - 834 002, JHARKHAND</v>
          </cell>
          <cell r="G8222">
            <v>8051191796</v>
          </cell>
          <cell r="K8222" t="str">
            <v>BRGD161233</v>
          </cell>
        </row>
        <row r="8223">
          <cell r="E8223" t="str">
            <v>C/O - SUJIT KUMAR, SAHAJANAND NAGAR, H. NO. -121, RANI ROAD, BHUDA, BARMASIA,, DHANBAD</v>
          </cell>
          <cell r="G8223">
            <v>7047010517</v>
          </cell>
          <cell r="K8223" t="str">
            <v>BTED200706</v>
          </cell>
        </row>
        <row r="8224">
          <cell r="E8224" t="str">
            <v>ORRISA</v>
          </cell>
          <cell r="G8224">
            <v>0</v>
          </cell>
          <cell r="K8224" t="str">
            <v>BPKD200021</v>
          </cell>
        </row>
        <row r="8225">
          <cell r="E8225" t="str">
            <v>SHEETLA PRASAD SINGH,, MISHRA PADA, NEAR DURGA MANDIR,, JHARIA, DHANBAD - 828 111, JHARKHAND.</v>
          </cell>
          <cell r="G8225">
            <v>7644045555</v>
          </cell>
          <cell r="K8225" t="str">
            <v>BTDD162169</v>
          </cell>
        </row>
        <row r="8226">
          <cell r="E8226" t="str">
            <v>RANCHI PATNA ROAD
DEMOTAND
825301
HAZARIBAGH</v>
          </cell>
          <cell r="G8226">
            <v>7209274781</v>
          </cell>
          <cell r="K8226" t="str">
            <v>BMBL160078</v>
          </cell>
        </row>
        <row r="8227">
          <cell r="E8227" t="str">
            <v>B7-PHASE-3, BALIDIH INDUSTRIAL AREA BALIDIH, BOKARO STEEL CITY BOKARO, JHARKHAND
SUNDARAM STEELS PVT. LTD, B-7 PHASE-III,BOKARO INDUSTRIAL AREA,BALIDIH, BOKARO
827014</v>
          </cell>
          <cell r="G8227">
            <v>8001371916</v>
          </cell>
          <cell r="K8227" t="str">
            <v>BTHS031467</v>
          </cell>
        </row>
        <row r="8228">
          <cell r="E8228" t="str">
            <v>GHATO
825314</v>
          </cell>
          <cell r="G8228">
            <v>7763814514</v>
          </cell>
          <cell r="K8228" t="str">
            <v>BRGS035053</v>
          </cell>
        </row>
        <row r="8229">
          <cell r="E8229" t="str">
            <v>SHEETLA PRASAD SINGH,, MISHRA PADA, NEAR DURGA MANDIR,, JHARIA, DHANBAD - 828 111, JHARKHAND.</v>
          </cell>
          <cell r="G8229">
            <v>7644045555</v>
          </cell>
          <cell r="K8229" t="str">
            <v>BTCD162149</v>
          </cell>
        </row>
        <row r="8230">
          <cell r="E8230" t="str">
            <v>GHATO
825314</v>
          </cell>
          <cell r="G8230">
            <v>7763814514</v>
          </cell>
          <cell r="K8230" t="str">
            <v>BRGS035077</v>
          </cell>
        </row>
        <row r="8231">
          <cell r="E8231" t="str">
            <v>RERWA SISAI,GUMLA
RERWA SISAI, GUMLA,, JHRKHAND
835207</v>
          </cell>
          <cell r="G8231">
            <v>9122388000</v>
          </cell>
          <cell r="K8231" t="str">
            <v>BTCS030119</v>
          </cell>
        </row>
        <row r="8232">
          <cell r="E8232" t="str">
            <v>DHANBAD, CONT PERSON :MR. IKTEKHAR AHMAD, PH.NO :9431316718</v>
          </cell>
          <cell r="G8232">
            <v>8210567144</v>
          </cell>
          <cell r="K8232" t="str">
            <v>BSKD161462</v>
          </cell>
        </row>
        <row r="8233">
          <cell r="E8233" t="str">
            <v>KATHITAR,RANCHI
KATHITAR,RANCHI
834004
KATHITAR,</v>
          </cell>
          <cell r="G8233">
            <v>7004709540</v>
          </cell>
          <cell r="K8233" t="str">
            <v>BSFC376340</v>
          </cell>
        </row>
        <row r="8234">
          <cell r="E8234" t="str">
            <v>DHANBAD, CONT PERSON :MR. IKTEKHAR AHMAD, PH.NO :9431316718</v>
          </cell>
          <cell r="G8234">
            <v>8210567144</v>
          </cell>
          <cell r="K8234" t="str">
            <v>BSKD161462</v>
          </cell>
        </row>
        <row r="8235">
          <cell r="E8235" t="str">
            <v>GROUND AND 1 ST FLOOR, BESIDE DAINIK BHASKAR, GOVINDPUR ROAD, DIST :- DHANBAD
GROUND AND 1 ST FLOOR, BESIDE DAINIK BHASKAR, GOVINDPUR ROAD, DIST :- DHANBAD
828109</v>
          </cell>
          <cell r="G8235">
            <v>9955178750</v>
          </cell>
          <cell r="K8235" t="str">
            <v>BRES034488</v>
          </cell>
        </row>
        <row r="8236">
          <cell r="E8236" t="str">
            <v>PLOT NO. 79, KAPASARA,, SUNDERNAGAR, CHIRKUNDA,, DHANBAD - 828 202
PLOT NO. 79, KAPASARA,, SUNDERNAGAR, CHIRKUNDA,, DHANBAD - 828 202
828202</v>
          </cell>
          <cell r="G8236">
            <v>8101005542</v>
          </cell>
          <cell r="K8236" t="str">
            <v>BTFS031006</v>
          </cell>
        </row>
        <row r="8237">
          <cell r="E8237" t="str">
            <v>VILL - BARIDARI, BOKARO</v>
          </cell>
          <cell r="G8237">
            <v>9234957903</v>
          </cell>
          <cell r="K8237" t="str">
            <v>BSCD161704</v>
          </cell>
        </row>
        <row r="8238">
          <cell r="E8238" t="str">
            <v>WB</v>
          </cell>
          <cell r="G8238">
            <v>8010302178</v>
          </cell>
          <cell r="K8238" t="str">
            <v>BQFD200158</v>
          </cell>
        </row>
        <row r="8239">
          <cell r="E8239" t="str">
            <v>VILL - BARIDARI, BOKARO</v>
          </cell>
          <cell r="G8239">
            <v>9234957903</v>
          </cell>
          <cell r="K8239" t="str">
            <v>BSCD161704</v>
          </cell>
        </row>
        <row r="8240">
          <cell r="E8240" t="str">
            <v>KOKAR INDUSTRIAL AREA,,RANCHI
834002
KOKAR INDUSTRIAL AREA RANCHI</v>
          </cell>
          <cell r="G8240">
            <v>9263186366</v>
          </cell>
          <cell r="K8240" t="str">
            <v>BPLF150007</v>
          </cell>
        </row>
        <row r="8241">
          <cell r="E8241" t="str">
            <v>GROUND FLOOR, 8H AND 81, NATION PRINTERS, NAMKUM INDUSTRIAL AREA,, LOWADIH, RANCHI
GROUND FLOOR, 8H AND 81, NATION PRINTERS, NAMKUM INDUSTRIAL AREA,, LOWADIH, RANCHI
834010</v>
          </cell>
          <cell r="G8241">
            <v>9386895542</v>
          </cell>
          <cell r="K8241" t="str">
            <v>BRCC372871</v>
          </cell>
        </row>
        <row r="8242">
          <cell r="E8242" t="str">
            <v>SUNRISE COMPLEX, KATRAS ROAD,, MATKURIA, DHANBAD, JHARKHAND-826001, WORKS: BHELATAND, GOVINDPUR,, DHANBAD, JHARKHAND - 828109.
828109</v>
          </cell>
          <cell r="G8242">
            <v>7280055806</v>
          </cell>
          <cell r="K8242" t="str">
            <v>BTLS044130</v>
          </cell>
        </row>
        <row r="8243">
          <cell r="E8243" t="str">
            <v>KATRAS, DHANBAD</v>
          </cell>
          <cell r="G8243">
            <v>6203411013</v>
          </cell>
          <cell r="K8243" t="str">
            <v>BSGD161904</v>
          </cell>
        </row>
        <row r="8244">
          <cell r="E8244" t="str">
            <v>GROUND AND 1 ST FLOOR, BESIDE DAINIK BHASKAR, GOVINDPUR ROAD, DIST :- DHANBAD
GROUND AND 1 ST FLOOR, BESIDE DAINIK BHASKAR, GOVINDPUR ROAD, DIST :- DHANBAD
828109</v>
          </cell>
          <cell r="G8244">
            <v>9955178750</v>
          </cell>
          <cell r="K8244" t="str">
            <v>BRES034488</v>
          </cell>
        </row>
        <row r="8245">
          <cell r="E8245" t="str">
            <v>GHATO
825314</v>
          </cell>
          <cell r="G8245">
            <v>7632487403</v>
          </cell>
          <cell r="K8245">
            <v>124371</v>
          </cell>
        </row>
        <row r="8246">
          <cell r="E8246" t="str">
            <v>BOOTY MORE
835217</v>
          </cell>
          <cell r="G8246">
            <v>7070892562</v>
          </cell>
          <cell r="K8246" t="str">
            <v>BTHC379543</v>
          </cell>
        </row>
        <row r="8247">
          <cell r="E8247" t="str">
            <v>GHATO
825314</v>
          </cell>
          <cell r="G8247">
            <v>7632487403</v>
          </cell>
          <cell r="K8247">
            <v>124380</v>
          </cell>
        </row>
        <row r="8248">
          <cell r="E8248" t="str">
            <v>TIPUDANA INDUSTRIAL AREA, HATIA,</v>
          </cell>
          <cell r="G8248">
            <v>7978649310</v>
          </cell>
          <cell r="K8248" t="str">
            <v>BJGS031396</v>
          </cell>
        </row>
        <row r="8249">
          <cell r="E8249" t="str">
            <v>DHANBAD</v>
          </cell>
          <cell r="G8249">
            <v>9441693704</v>
          </cell>
          <cell r="K8249" t="str">
            <v>BTDD162186</v>
          </cell>
        </row>
        <row r="8250">
          <cell r="E8250" t="str">
            <v>WB</v>
          </cell>
          <cell r="G8250">
            <v>8010302178</v>
          </cell>
          <cell r="K8250" t="str">
            <v>BQFD200158</v>
          </cell>
        </row>
        <row r="8251">
          <cell r="E8251" t="str">
            <v>PLOT NO 716,VILL-RUKKA,
835219</v>
          </cell>
          <cell r="G8251">
            <v>8759215726</v>
          </cell>
          <cell r="K8251" t="str">
            <v>BSKS036366</v>
          </cell>
        </row>
        <row r="8252">
          <cell r="E8252" t="str">
            <v>DHANBAD</v>
          </cell>
          <cell r="G8252">
            <v>8210106692</v>
          </cell>
          <cell r="K8252" t="str">
            <v>BTFD162244</v>
          </cell>
        </row>
        <row r="8253">
          <cell r="E8253" t="str">
            <v>MAANBAZAR, PURLIYA</v>
          </cell>
          <cell r="G8253">
            <v>8989396250</v>
          </cell>
          <cell r="K8253" t="str">
            <v>BQDD220167</v>
          </cell>
        </row>
        <row r="8254">
          <cell r="E8254" t="str">
            <v>KATRAS, DHANBAD</v>
          </cell>
          <cell r="G8254">
            <v>9798360305</v>
          </cell>
          <cell r="K8254" t="str">
            <v>BSKD161477</v>
          </cell>
        </row>
        <row r="8255">
          <cell r="E8255" t="str">
            <v>GHATO
825314</v>
          </cell>
          <cell r="G8255">
            <v>7632487403</v>
          </cell>
          <cell r="K8255">
            <v>124371</v>
          </cell>
        </row>
        <row r="8256">
          <cell r="E8256" t="str">
            <v>GHATO
825314</v>
          </cell>
          <cell r="G8256">
            <v>7632487403</v>
          </cell>
          <cell r="K8256">
            <v>124380</v>
          </cell>
        </row>
        <row r="8257">
          <cell r="E8257" t="str">
            <v>NAMKUM INDUSTRIAL AREA,RANCHI
834010</v>
          </cell>
          <cell r="G8257">
            <v>0</v>
          </cell>
          <cell r="K8257" t="str">
            <v>GOCC370403</v>
          </cell>
        </row>
        <row r="8258">
          <cell r="E8258" t="str">
            <v>GOPI MORE GAYA</v>
          </cell>
          <cell r="G8258">
            <v>9470750540</v>
          </cell>
          <cell r="K8258" t="str">
            <v>BRHD161314</v>
          </cell>
        </row>
        <row r="8259">
          <cell r="E8259" t="str">
            <v>NAGARI,</v>
          </cell>
          <cell r="G8259">
            <v>9297706123</v>
          </cell>
          <cell r="K8259" t="str">
            <v>BLGS040582</v>
          </cell>
        </row>
        <row r="8260">
          <cell r="E8260" t="str">
            <v>DHANBAD</v>
          </cell>
          <cell r="G8260">
            <v>9441693704</v>
          </cell>
          <cell r="K8260" t="str">
            <v>BTDD162183</v>
          </cell>
        </row>
        <row r="8261">
          <cell r="E8261" t="str">
            <v>URMILA TOWER, ROOM NO. 805, DHANBAD</v>
          </cell>
          <cell r="G8261">
            <v>9661734823</v>
          </cell>
          <cell r="K8261" t="str">
            <v>BTGD162296</v>
          </cell>
        </row>
        <row r="8262">
          <cell r="E8262" t="str">
            <v>NAGARI,</v>
          </cell>
          <cell r="G8262">
            <v>9297706123</v>
          </cell>
          <cell r="K8262" t="str">
            <v>BLGS040582</v>
          </cell>
        </row>
        <row r="8263">
          <cell r="E8263" t="str">
            <v>RANCHI ROAD,RAMGARH 
DIGWAR,RAMGARH
829122
DIGWAR , RANCHI ROAD ,</v>
          </cell>
          <cell r="G8263">
            <v>7004848564</v>
          </cell>
          <cell r="K8263" t="str">
            <v>GOAC370220</v>
          </cell>
        </row>
        <row r="8264">
          <cell r="E8264" t="str">
            <v>NAGARI
 835303</v>
          </cell>
          <cell r="G8264">
            <v>9264443243</v>
          </cell>
          <cell r="K8264" t="str">
            <v>BREC373538</v>
          </cell>
        </row>
        <row r="8265">
          <cell r="E8265" t="str">
            <v>NAWADA, BIHAR</v>
          </cell>
          <cell r="G8265">
            <v>7272956960</v>
          </cell>
          <cell r="K8265" t="str">
            <v>BSFD161799</v>
          </cell>
        </row>
        <row r="8266">
          <cell r="E8266" t="str">
            <v>BIHAR</v>
          </cell>
          <cell r="G8266">
            <v>9608568443</v>
          </cell>
          <cell r="K8266" t="str">
            <v>BSAD161567</v>
          </cell>
        </row>
        <row r="8267">
          <cell r="E8267" t="str">
            <v>C/O - AMAN AGRAWAL, PLOT NO. 735, KAITHA, RAMGARH CANTT., RAMGARH
825101</v>
          </cell>
          <cell r="G8267">
            <v>8709937739</v>
          </cell>
          <cell r="K8267" t="str">
            <v>BSDC375954</v>
          </cell>
        </row>
        <row r="8268">
          <cell r="E8268">
            <v>0</v>
          </cell>
          <cell r="G8268">
            <v>0</v>
          </cell>
          <cell r="K8268" t="str">
            <v>BQID160467</v>
          </cell>
        </row>
        <row r="8269">
          <cell r="E8269" t="str">
            <v>C/O - AMAN AGRAWAL, PLOT NO. 735, KAITHA, RAMGARH CANTT., RAMGARH
825101</v>
          </cell>
          <cell r="G8269">
            <v>8709937739</v>
          </cell>
          <cell r="K8269" t="str">
            <v>BSDC375954</v>
          </cell>
        </row>
        <row r="8270">
          <cell r="E8270" t="str">
            <v>H. NO. 22, RAHAT COLONY,, KADRU, RANCHI - 834 002, JHARKHAND</v>
          </cell>
          <cell r="G8270">
            <v>8051191796</v>
          </cell>
          <cell r="K8270" t="str">
            <v>BRGD161233</v>
          </cell>
        </row>
        <row r="8271">
          <cell r="E8271" t="str">
            <v>MANDU, RAMGARH
JAISWAL COLONY, THANA CHOW,, RAMGARH CANTT. DIST. RAMGARH, JHARKHAND
825316
MANDU</v>
          </cell>
          <cell r="G8271">
            <v>6205951815</v>
          </cell>
          <cell r="K8271" t="str">
            <v>BSGS043528</v>
          </cell>
        </row>
        <row r="8272">
          <cell r="E8272" t="str">
            <v>VILL - BARIDARI, BOKARO</v>
          </cell>
          <cell r="G8272">
            <v>9234957903</v>
          </cell>
          <cell r="K8272" t="str">
            <v>BSCD161704</v>
          </cell>
        </row>
        <row r="8273">
          <cell r="E8273" t="str">
            <v>DHANBAD</v>
          </cell>
          <cell r="G8273">
            <v>9263634417</v>
          </cell>
          <cell r="K8273" t="str">
            <v>BTCD162159</v>
          </cell>
        </row>
        <row r="8274">
          <cell r="E8274" t="str">
            <v>CHAS BOKARO</v>
          </cell>
          <cell r="G8274">
            <v>9135780550</v>
          </cell>
          <cell r="K8274" t="str">
            <v>BPJD200007</v>
          </cell>
        </row>
        <row r="8275">
          <cell r="E8275" t="str">
            <v>BAGSUMA,GOVINDPUR, DHANBAD
GT ROAD, BAGSUMA
828109</v>
          </cell>
          <cell r="G8275">
            <v>9835191288</v>
          </cell>
          <cell r="K8275" t="str">
            <v>BTJC377259</v>
          </cell>
        </row>
        <row r="8276">
          <cell r="E8276" t="str">
            <v>TOPA MINES, RAMGARH</v>
          </cell>
          <cell r="G8276">
            <v>9471109170</v>
          </cell>
          <cell r="K8276" t="str">
            <v>BSKD161467</v>
          </cell>
        </row>
        <row r="8277">
          <cell r="E8277" t="str">
            <v>B7-PHASE-3, BALIDIH INDUSTRIAL AREA BALIDIH, BOKARO STEEL CITY BOKARO, JHARKHAND
SUNDARAM STEELS PVT. LTD, B-7 PHASE-III,BOKARO INDUSTRIAL AREA,BALIDIH, BOKARO
827014</v>
          </cell>
          <cell r="G8277">
            <v>7008287442</v>
          </cell>
          <cell r="K8277" t="str">
            <v>BSFS043411</v>
          </cell>
        </row>
        <row r="8278">
          <cell r="E8278" t="str">
            <v>ARGADA ROAD, BINJHAR, P.O. - MARAR, RAMGARH
829117</v>
          </cell>
          <cell r="G8278">
            <v>8294504879</v>
          </cell>
          <cell r="K8278" t="str">
            <v>BSCS037449</v>
          </cell>
        </row>
        <row r="8279">
          <cell r="E8279" t="str">
            <v>KOKAR INDUSTRIAL AREA,RANCHI
834001</v>
          </cell>
          <cell r="G8279">
            <v>0</v>
          </cell>
          <cell r="K8279" t="str">
            <v>BSBC375532</v>
          </cell>
        </row>
        <row r="8280">
          <cell r="E8280" t="str">
            <v>PLOT NO 716,VILL-RUKKA,
835219</v>
          </cell>
          <cell r="G8280">
            <v>8759215726</v>
          </cell>
          <cell r="K8280" t="str">
            <v>BSKS036366</v>
          </cell>
        </row>
        <row r="8281">
          <cell r="E8281" t="str">
            <v>MURI RANCHI</v>
          </cell>
          <cell r="G8281">
            <v>9122499673</v>
          </cell>
          <cell r="K8281" t="str">
            <v>BSLD230358</v>
          </cell>
        </row>
        <row r="8282">
          <cell r="E8282" t="str">
            <v>KANKANI</v>
          </cell>
          <cell r="G8282">
            <v>7903501425</v>
          </cell>
          <cell r="K8282" t="str">
            <v>BRBD160892</v>
          </cell>
        </row>
        <row r="8283">
          <cell r="E8283" t="str">
            <v>RAMGARH</v>
          </cell>
          <cell r="G8283">
            <v>9973223350</v>
          </cell>
          <cell r="K8283" t="str">
            <v>BKAS030601</v>
          </cell>
        </row>
        <row r="8284">
          <cell r="E8284" t="str">
            <v>205, HARE RAM APARTMENT, KANKE ROAD OPP. HOLIDAY HOME, RANCHI</v>
          </cell>
          <cell r="G8284">
            <v>9234951903</v>
          </cell>
          <cell r="K8284" t="str">
            <v>BSID200615</v>
          </cell>
        </row>
        <row r="8285">
          <cell r="E8285" t="str">
            <v>DHANBAD</v>
          </cell>
          <cell r="G8285">
            <v>9441693704</v>
          </cell>
          <cell r="K8285" t="str">
            <v>BTDD162183</v>
          </cell>
        </row>
        <row r="8286">
          <cell r="E8286" t="str">
            <v>TOPA MINES, RAMGARH</v>
          </cell>
          <cell r="G8286">
            <v>9471109170</v>
          </cell>
          <cell r="K8286" t="str">
            <v>BSKD161467</v>
          </cell>
        </row>
        <row r="8287">
          <cell r="E8287" t="str">
            <v>C/O RAJ KUMAR BHALA, DIWAN KUNJLAL LOHIA CHARITABLE TRUST, EAST MARKET ROAD, UPPER BAZAR,, RANCHI
834001</v>
          </cell>
          <cell r="G8287">
            <v>9234613522</v>
          </cell>
          <cell r="K8287" t="str">
            <v>BMDS031033</v>
          </cell>
        </row>
        <row r="8288">
          <cell r="E8288" t="str">
            <v>PLOT NO 716,VILL-RUKKA,
835219</v>
          </cell>
          <cell r="G8288">
            <v>8759215726</v>
          </cell>
          <cell r="K8288" t="str">
            <v>BSKS036366</v>
          </cell>
        </row>
        <row r="8289">
          <cell r="E8289" t="str">
            <v>URMILA TOWER, ROOM NO. 805, DHANBAD</v>
          </cell>
          <cell r="G8289">
            <v>9234669513</v>
          </cell>
          <cell r="K8289" t="str">
            <v>BTKD162074</v>
          </cell>
        </row>
        <row r="8290">
          <cell r="E8290" t="str">
            <v>KATRAS DHANBAD</v>
          </cell>
          <cell r="G8290">
            <v>9263634474</v>
          </cell>
          <cell r="K8290" t="str">
            <v>NA</v>
          </cell>
        </row>
        <row r="8291">
          <cell r="E8291" t="str">
            <v>B7-PHASE-3, BALIDIH INDUSTRIAL AREA BALIDIH, BOKARO STEEL CITY BOKARO, JHARKHAND
SUNDARAM STEELS PVT. LTD, B-7 PHASE-III,BOKARO INDUSTRIAL AREA,BALIDIH, BOKARO
827014</v>
          </cell>
          <cell r="G8291">
            <v>7008287442</v>
          </cell>
          <cell r="K8291" t="str">
            <v>BSFS043411</v>
          </cell>
        </row>
        <row r="8292">
          <cell r="E8292" t="str">
            <v>OPP. PUNJAB NATIONAL BANK,, BUKRU, RANCHI</v>
          </cell>
          <cell r="G8292">
            <v>9304198323</v>
          </cell>
          <cell r="K8292" t="str">
            <v>BTKD162083</v>
          </cell>
        </row>
        <row r="8293">
          <cell r="E8293" t="str">
            <v>RAMGARH</v>
          </cell>
          <cell r="G8293">
            <v>9973223350</v>
          </cell>
          <cell r="K8293" t="str">
            <v>BKAS030601</v>
          </cell>
        </row>
        <row r="8294">
          <cell r="E8294" t="str">
            <v>RAMGARH
829103
NAYA MORE</v>
          </cell>
          <cell r="G8294">
            <v>7739460263</v>
          </cell>
          <cell r="K8294" t="str">
            <v>BRGS035169</v>
          </cell>
        </row>
        <row r="8295">
          <cell r="E8295" t="str">
            <v>CHAS BOKARO</v>
          </cell>
          <cell r="G8295">
            <v>7982754182</v>
          </cell>
          <cell r="K8295" t="str">
            <v>BQJD200029</v>
          </cell>
        </row>
        <row r="8296">
          <cell r="E8296" t="str">
            <v>ARGADA ROAD, BINJHAR, P.O. - MARAR, RAMGARH
829117</v>
          </cell>
          <cell r="G8296">
            <v>8294504879</v>
          </cell>
          <cell r="K8296" t="str">
            <v>BSCS037449</v>
          </cell>
        </row>
        <row r="8297">
          <cell r="E8297" t="str">
            <v>KATRAS DHANBAD</v>
          </cell>
          <cell r="G8297">
            <v>9263634474</v>
          </cell>
          <cell r="K8297" t="str">
            <v>NA</v>
          </cell>
        </row>
        <row r="8298">
          <cell r="E8298" t="str">
            <v>B7-PHASE-3, BALIDIH INDUSTRIAL AREA BALIDIH, BOKARO STEEL CITY BOKARO, JHARKHAND
SUNDARAM STEELS PVT. LTD, B-7 PHASE-III,BOKARO INDUSTRIAL AREA,BALIDIH, BOKARO
827014</v>
          </cell>
          <cell r="G8298">
            <v>7008287442</v>
          </cell>
          <cell r="K8298" t="str">
            <v>GPJS040009</v>
          </cell>
        </row>
        <row r="8299">
          <cell r="E8299" t="str">
            <v>KOKAR INDUSTRIAL AREA,RANCHI
834002
KOKAR INDUSTRIAL AREA</v>
          </cell>
          <cell r="G8299">
            <v>7781022555</v>
          </cell>
          <cell r="K8299" t="str">
            <v>BRKC371988</v>
          </cell>
        </row>
        <row r="8300">
          <cell r="E8300" t="str">
            <v>11 PINJRAPOLE, HARMU ROAD, RANCHI
11 PINJRAPOLE, HARMU ROAD, RANCHI
834001
MAHILONG, TATISILWAY</v>
          </cell>
          <cell r="G8300">
            <v>9709000070</v>
          </cell>
          <cell r="K8300" t="str">
            <v>BNCC370425</v>
          </cell>
        </row>
        <row r="8301">
          <cell r="E8301" t="str">
            <v>CHANDMARI, JORAPHATAK,, DHANBAD</v>
          </cell>
          <cell r="G8301">
            <v>8668122316</v>
          </cell>
          <cell r="K8301" t="str">
            <v>BRGD161212</v>
          </cell>
        </row>
        <row r="8302">
          <cell r="E8302" t="str">
            <v>RANCHI</v>
          </cell>
          <cell r="G8302">
            <v>9334203060</v>
          </cell>
          <cell r="K8302" t="str">
            <v>BKDS031405</v>
          </cell>
        </row>
        <row r="8303">
          <cell r="E8303" t="str">
            <v>TUPUDANA INDUSTRIAL AREA, RANCHI
PLOT NO. 114, TUPUDANA INDUSTRIAL AREA, TUPUDANA,HATIA, RANCHI
834002
RANCHI</v>
          </cell>
          <cell r="G8303">
            <v>9939738679</v>
          </cell>
          <cell r="K8303" t="str">
            <v>GOKS040088</v>
          </cell>
        </row>
        <row r="8304">
          <cell r="E8304" t="str">
            <v>LOHARDAGA,JHARKHAND
LOHARDAGA, MOB. NO.9661111900
835302
LOHARDAGA</v>
          </cell>
          <cell r="G8304">
            <v>9334203060</v>
          </cell>
          <cell r="K8304" t="str">
            <v>BQFS031084</v>
          </cell>
        </row>
        <row r="8305">
          <cell r="E8305" t="str">
            <v>SAHEBGANJ, JHARKHAND</v>
          </cell>
          <cell r="G8305">
            <v>7766904785</v>
          </cell>
          <cell r="K8305" t="str">
            <v>BTJD162047</v>
          </cell>
        </row>
        <row r="8306">
          <cell r="E8306" t="str">
            <v>11 PINJRAPOLE, HARMU ROAD, RANCHI
11 PINJRAPOLE, HARMU ROAD, RANCHI
834001
MAHILONG, TATISILWAY</v>
          </cell>
          <cell r="G8306">
            <v>9709000070</v>
          </cell>
          <cell r="K8306" t="str">
            <v>BNCC370425</v>
          </cell>
        </row>
        <row r="8307">
          <cell r="E8307" t="str">
            <v>KATITARH,RANCHI
835222</v>
          </cell>
          <cell r="G8307">
            <v>8825286094</v>
          </cell>
          <cell r="K8307" t="str">
            <v>BSAS036940</v>
          </cell>
        </row>
        <row r="8308">
          <cell r="E8308" t="str">
            <v>CHANDMARI, JORAPHATAK,, DHANBAD</v>
          </cell>
          <cell r="G8308">
            <v>8668122316</v>
          </cell>
          <cell r="K8308" t="str">
            <v>BRGD161212</v>
          </cell>
        </row>
        <row r="8309">
          <cell r="E8309" t="str">
            <v>PLOT NO. 79, KAPASARA,, SUNDERNAGAR, CHIRKUNDA,, DHANBAD - 828 202
PLOT NO. 79, KAPASARA,, SUNDERNAGAR, CHIRKUNDA,, DHANBAD - 828 202
828202</v>
          </cell>
          <cell r="G8309">
            <v>8101005542</v>
          </cell>
          <cell r="K8309" t="str">
            <v>BTFS031006</v>
          </cell>
        </row>
        <row r="8310">
          <cell r="E8310" t="str">
            <v>TILAIYA,KODARMA
825409
TILAIYA</v>
          </cell>
          <cell r="G8310">
            <v>7739220875</v>
          </cell>
          <cell r="K8310" t="str">
            <v>BQJC370018</v>
          </cell>
        </row>
        <row r="8311">
          <cell r="E8311" t="str">
            <v>TUPUDANA INDUSTRIAL AREA,RANCHI
834001
TUPUDANA RANCHI</v>
          </cell>
          <cell r="G8311">
            <v>7672855821</v>
          </cell>
          <cell r="K8311" t="str">
            <v>GPGS031328</v>
          </cell>
        </row>
        <row r="8312">
          <cell r="E8312" t="str">
            <v>SAHEBGANJ, JHARKHAND</v>
          </cell>
          <cell r="G8312">
            <v>7766904785</v>
          </cell>
          <cell r="K8312" t="str">
            <v>BTJD162047</v>
          </cell>
        </row>
        <row r="8313">
          <cell r="E8313" t="str">
            <v>C/O RAJ KUMAR BHALA, DIWAN KUNJLAL LOHIA CHARITABLE TRUST, EAST MARKET ROAD, UPPER BAZAR,, RANCHI
834001</v>
          </cell>
          <cell r="G8313">
            <v>9234613522</v>
          </cell>
          <cell r="K8313" t="str">
            <v>BMDS031033</v>
          </cell>
        </row>
        <row r="8314">
          <cell r="E8314" t="str">
            <v>BANDHIYA RAOD, NAGRI RANCHI, MOB.8709325266
834006
BANDHIYA ROAD, NAGARI RANCHI</v>
          </cell>
          <cell r="G8314">
            <v>9110022503</v>
          </cell>
          <cell r="K8314" t="str">
            <v>BLFS040558</v>
          </cell>
        </row>
        <row r="8315">
          <cell r="E8315" t="str">
            <v>SAHEBGANJ, JHARKHAND</v>
          </cell>
          <cell r="G8315">
            <v>623835409</v>
          </cell>
          <cell r="K8315" t="str">
            <v>BSID120765</v>
          </cell>
        </row>
        <row r="8316">
          <cell r="E8316" t="str">
            <v>HAZARIBAGH
RANCHI JHARKHAND 834002
INDIA</v>
          </cell>
          <cell r="G8316" t="str">
            <v>7309672604 / 7361044447/9835535277</v>
          </cell>
          <cell r="K8316" t="str">
            <v>BKAS030685</v>
          </cell>
        </row>
        <row r="8317">
          <cell r="E8317" t="str">
            <v>SHADEV NAGAR
834002
SHADEV NAGAR</v>
          </cell>
          <cell r="G8317">
            <v>9431395214</v>
          </cell>
          <cell r="K8317" t="str">
            <v>GOHC370857</v>
          </cell>
        </row>
        <row r="8318">
          <cell r="E8318" t="str">
            <v>KHUNTI ROAD RANCHI</v>
          </cell>
          <cell r="G8318">
            <v>7004992716</v>
          </cell>
          <cell r="K8318" t="str">
            <v>GOHS031629</v>
          </cell>
        </row>
        <row r="8319">
          <cell r="E8319" t="str">
            <v>BAGSUMA,GOVINDPUR, DHANBAD
GT ROAD, BAGSUMA
828109</v>
          </cell>
          <cell r="G8319">
            <v>9835191288</v>
          </cell>
          <cell r="K8319" t="str">
            <v>BTJC377259</v>
          </cell>
        </row>
        <row r="8320">
          <cell r="E8320" t="str">
            <v>BAGSUMA,GOVINDPUR, DHANBAD
GT ROAD, BAGSUMA
828109</v>
          </cell>
          <cell r="G8320">
            <v>9835191288</v>
          </cell>
          <cell r="K8320" t="str">
            <v>BTJC377259</v>
          </cell>
        </row>
        <row r="8321">
          <cell r="E8321" t="str">
            <v>DUMKA</v>
          </cell>
          <cell r="G8321">
            <v>9304762882</v>
          </cell>
          <cell r="K8321" t="str">
            <v>BRAD160777</v>
          </cell>
        </row>
        <row r="8322">
          <cell r="E8322" t="str">
            <v>SHEETLA PRASAD SINGH,, MISHRA PADA, NEAR DURGA MANDIR,, JHARIA, DHANBAD - 828 111, JHARKHAND.</v>
          </cell>
          <cell r="G8322">
            <v>7644045555</v>
          </cell>
          <cell r="K8322" t="str">
            <v>BTDD162169</v>
          </cell>
        </row>
        <row r="8323">
          <cell r="E8323" t="str">
            <v>FLAT NO. 300, BLOCK - A, MP SRIRAM, CHHOTA GAMHARIA, P.S. - GAMHARIA, DIST.- SARAIKELA KHARSAWAN</v>
          </cell>
          <cell r="G8323">
            <v>8849448211</v>
          </cell>
          <cell r="K8323" t="str">
            <v>BRGL151464</v>
          </cell>
        </row>
        <row r="8324">
          <cell r="E8324" t="str">
            <v>FLAT NO. 300, BLOCK - A, MP SRIRAM, CHHOTA GAMHARIA, P.S. - GAMHARIA, DIST.- SARAIKELA KHARSAWAN</v>
          </cell>
          <cell r="G8324">
            <v>8849448211</v>
          </cell>
          <cell r="K8324" t="str">
            <v>BRGL151468</v>
          </cell>
        </row>
        <row r="8325">
          <cell r="E8325" t="str">
            <v>KATITARH,RANCHI
835222</v>
          </cell>
          <cell r="G8325">
            <v>8825286094</v>
          </cell>
          <cell r="K8325" t="str">
            <v>BSAS036940</v>
          </cell>
        </row>
        <row r="8326">
          <cell r="E8326" t="str">
            <v>C/O - PREM PRAKASH AGARWAL, OPP - HILLVIEW FUEL STATION, GODHUR, P.O - KUSUNDA, DHANBAD</v>
          </cell>
          <cell r="G8326">
            <v>7903412157</v>
          </cell>
          <cell r="K8326" t="str">
            <v>BTED162217</v>
          </cell>
        </row>
        <row r="8327">
          <cell r="E8327" t="str">
            <v>BAGSUMA,GOVINDPUR, DHANBAD
GT ROAD, BAGSUMA
828109</v>
          </cell>
          <cell r="G8327">
            <v>9835191288</v>
          </cell>
          <cell r="K8327" t="str">
            <v>BTJC377259</v>
          </cell>
        </row>
        <row r="8328">
          <cell r="E8328" t="str">
            <v>DHANBAD</v>
          </cell>
          <cell r="G8328">
            <v>9441693704</v>
          </cell>
          <cell r="K8328" t="str">
            <v>BTDD162186</v>
          </cell>
        </row>
        <row r="8329">
          <cell r="E8329" t="str">
            <v>DIESEL LOCO SHED, PATRATU ECR</v>
          </cell>
          <cell r="G8329">
            <v>7739661527</v>
          </cell>
          <cell r="K8329" t="str">
            <v>BSJL100041</v>
          </cell>
        </row>
        <row r="8330">
          <cell r="E8330" t="str">
            <v>ARGORA, RANCHI
834002</v>
          </cell>
          <cell r="G8330">
            <v>9162255912</v>
          </cell>
          <cell r="K8330" t="str">
            <v>BSKC374901</v>
          </cell>
        </row>
        <row r="8331">
          <cell r="E8331" t="str">
            <v>CITY CENTER SECTOR - 4, BOKARO STEEL CITY, BOKARO, JHARKHAND, MOB. NO. 7050539301
CITY CENTER SECTOR - 4, BOKARO STEEL CITY, BOKARO, JHARKHAND, MOB. NO. 7050539301
827003
BOKARO</v>
          </cell>
          <cell r="G8331">
            <v>9263631310</v>
          </cell>
          <cell r="K8331">
            <v>70369</v>
          </cell>
        </row>
        <row r="8332">
          <cell r="E8332" t="str">
            <v>ANKIT KUMAR SONTHALIA, R.N. BOSE ROAD, SATSANG GATE, NEAR HANUMAN MANDIR,, PURANDAHA, DEOGHAR, DIST. DUMKA,, JHARKHAND</v>
          </cell>
          <cell r="G8332">
            <v>7542025382</v>
          </cell>
          <cell r="K8332" t="str">
            <v>BSFD161795</v>
          </cell>
        </row>
        <row r="8333">
          <cell r="E8333" t="str">
            <v>TUPUDANA INDUSTRIAL AREA, RANCHI
PLOT NO. 114, TUPUDANA INDUSTRIAL AREA, TUPUDANA,HATIA, RANCHI
834002
RANCHI</v>
          </cell>
          <cell r="G8333">
            <v>9939738679</v>
          </cell>
          <cell r="K8333">
            <v>123434</v>
          </cell>
        </row>
        <row r="8334">
          <cell r="E8334" t="str">
            <v>BALRAMPUR</v>
          </cell>
          <cell r="G8334">
            <v>8789408878</v>
          </cell>
          <cell r="K8334" t="str">
            <v>BPED160082</v>
          </cell>
        </row>
        <row r="8335">
          <cell r="E8335" t="str">
            <v>RANCHI PATNA ROAD, NH-33, SINDUR, HAZARIBAGH</v>
          </cell>
          <cell r="G8335">
            <v>9354710972</v>
          </cell>
          <cell r="K8335" t="str">
            <v>BTKD200646</v>
          </cell>
        </row>
        <row r="8336">
          <cell r="E8336" t="str">
            <v>SHEETLA PRASAD SINGH,, MISHRA PADA, NEAR DURGA MANDIR,, JHARIA, DHANBAD - 828 111, JHARKHAND.</v>
          </cell>
          <cell r="G8336">
            <v>7644045555</v>
          </cell>
          <cell r="K8336" t="str">
            <v>BTDD162169</v>
          </cell>
        </row>
        <row r="8337">
          <cell r="E8337" t="str">
            <v>URMILA TOWER, ROOM NO. 805, DHANBAD</v>
          </cell>
          <cell r="G8337">
            <v>9931921808</v>
          </cell>
          <cell r="K8337" t="str">
            <v>BQED160215</v>
          </cell>
        </row>
        <row r="8338">
          <cell r="E8338" t="str">
            <v>HYDERABAD, MO-09502110693</v>
          </cell>
          <cell r="G8338">
            <v>9110992783</v>
          </cell>
          <cell r="K8338" t="str">
            <v>NA</v>
          </cell>
        </row>
        <row r="8339">
          <cell r="E8339" t="str">
            <v>CHANDIL JSR</v>
          </cell>
          <cell r="G8339">
            <v>7541959323</v>
          </cell>
          <cell r="K8339" t="str">
            <v>BQJC370029</v>
          </cell>
        </row>
        <row r="8340">
          <cell r="E8340" t="str">
            <v>NAGARI
 835303</v>
          </cell>
          <cell r="G8340">
            <v>9264443243</v>
          </cell>
          <cell r="K8340" t="str">
            <v>BREC373538</v>
          </cell>
        </row>
        <row r="8341">
          <cell r="E8341" t="str">
            <v>TUPUDANA INDUSTRIAL AREA</v>
          </cell>
          <cell r="G8341">
            <v>7978649310</v>
          </cell>
          <cell r="K8341" t="str">
            <v>BMBS030816</v>
          </cell>
        </row>
        <row r="8342">
          <cell r="E8342" t="str">
            <v>C/O - SUJIT KUMAR, SAHAJANAND NAGAR, H. NO. -121, RANI ROAD, BHUDA, BARMASIA,, DHANBAD</v>
          </cell>
          <cell r="G8342">
            <v>7047010517</v>
          </cell>
          <cell r="K8342" t="str">
            <v>BTED200706</v>
          </cell>
        </row>
        <row r="8343">
          <cell r="E8343" t="str">
            <v>DHANBAD</v>
          </cell>
          <cell r="G8343">
            <v>9550053031</v>
          </cell>
          <cell r="K8343" t="str">
            <v>BTDD162183</v>
          </cell>
        </row>
        <row r="8344">
          <cell r="E8344" t="str">
            <v>PLOT NO 716,VILL-RUKKA,
835219</v>
          </cell>
          <cell r="G8344">
            <v>8759215726</v>
          </cell>
          <cell r="K8344" t="str">
            <v>BSKS036366</v>
          </cell>
        </row>
        <row r="8345">
          <cell r="E8345" t="str">
            <v>RAMGARH,JHARKHAND
825101
RAMGARH</v>
          </cell>
          <cell r="G8345">
            <v>6201431636</v>
          </cell>
          <cell r="K8345" t="str">
            <v>BSGC376585</v>
          </cell>
        </row>
        <row r="8346">
          <cell r="E8346" t="str">
            <v>BASTAWLA DHANBAD</v>
          </cell>
          <cell r="G8346">
            <v>9550053031</v>
          </cell>
          <cell r="K8346" t="str">
            <v>BTJD162046</v>
          </cell>
        </row>
        <row r="8347">
          <cell r="E8347" t="str">
            <v>RANCHI PATNA ROAD, NH-33, SINDUR, HAZARIBAGH</v>
          </cell>
          <cell r="G8347">
            <v>9354710972</v>
          </cell>
          <cell r="K8347" t="str">
            <v>BTKD200646</v>
          </cell>
        </row>
        <row r="8348">
          <cell r="E8348" t="str">
            <v>RAMGARH CANTT, RAMGARH
RAMGARH
829122
RAMGARH</v>
          </cell>
          <cell r="G8348">
            <v>9576833882</v>
          </cell>
          <cell r="K8348" t="str">
            <v>BNKS030423</v>
          </cell>
        </row>
        <row r="8349">
          <cell r="E8349" t="str">
            <v>URMILA TOWER, ROOM NO. 805, DHANBAD</v>
          </cell>
          <cell r="G8349">
            <v>9931921808</v>
          </cell>
          <cell r="K8349" t="str">
            <v>BTKD162074</v>
          </cell>
        </row>
        <row r="8350">
          <cell r="E8350" t="str">
            <v>OPP. PUNJAB NATIONAL BANK,, BUKRU, RANCHI</v>
          </cell>
          <cell r="G8350">
            <v>7091772999</v>
          </cell>
          <cell r="K8350" t="str">
            <v>BSGD161854</v>
          </cell>
        </row>
        <row r="8351">
          <cell r="E8351" t="str">
            <v>KODERMA
825410</v>
          </cell>
          <cell r="G8351">
            <v>7070098712</v>
          </cell>
          <cell r="K8351" t="str">
            <v>BLIS040713</v>
          </cell>
        </row>
        <row r="8352">
          <cell r="E8352" t="str">
            <v>JAY PRAKASH NAGAR, NEAR RANI SATI MANDIR, RATU ROAD RANCHI
834005</v>
          </cell>
          <cell r="G8352">
            <v>7781895349</v>
          </cell>
          <cell r="K8352" t="str">
            <v>BTFC378808</v>
          </cell>
        </row>
        <row r="8353">
          <cell r="E8353" t="str">
            <v>C/O. NIKHIL GAURAV,, ROOM NO.1, D-603, BASUDEO NAGAR,, KANTATOLI CHOWK, OPP. MANGAL TOWER,, OLD H. B. ROAD, RANCHI - 834 001, JHARKHAND</v>
          </cell>
          <cell r="G8353">
            <v>7717797801</v>
          </cell>
          <cell r="K8353" t="str">
            <v>BSHD161938</v>
          </cell>
        </row>
        <row r="8354">
          <cell r="E8354" t="str">
            <v>SHEETLA PRASAD SINGH,, MISHRA PADA, NEAR DURGA MANDIR,, JHARIA, DHANBAD - 828 111, JHARKHAND.</v>
          </cell>
          <cell r="G8354">
            <v>7644045555</v>
          </cell>
          <cell r="K8354" t="str">
            <v>BTCD162149</v>
          </cell>
        </row>
        <row r="8355">
          <cell r="E8355" t="str">
            <v>L-276, SHAHARPURA, SINDRI, DHANBAD</v>
          </cell>
          <cell r="G8355">
            <v>8755986322</v>
          </cell>
          <cell r="K8355" t="str">
            <v>BTKD120805</v>
          </cell>
        </row>
        <row r="8356">
          <cell r="E8356" t="str">
            <v>L-276, SHAHARPURA, SINDRI, DHANBAD</v>
          </cell>
          <cell r="G8356">
            <v>8755986322</v>
          </cell>
          <cell r="K8356" t="str">
            <v>BSID120761</v>
          </cell>
        </row>
        <row r="8357">
          <cell r="E8357" t="str">
            <v>GROUND FLOOR,, OFFICE NO.448A, ROAD NO.4, ASHOK NAGAR
GROUND FLOOR,, OFFICE NO.448A, ROAD NO.4, ASHOK NAGAR
829118
PLOT NO:- 47P, PATRATU INDUSTRIAL AREA</v>
          </cell>
          <cell r="G8357">
            <v>7541959323</v>
          </cell>
          <cell r="K8357" t="str">
            <v>ONIC370102</v>
          </cell>
        </row>
        <row r="8358">
          <cell r="E8358" t="str">
            <v>GROUND FLOOR,, OFFICE NO.448A, ROAD NO.4, ASHOK NAGAR
GROUND FLOOR,, OFFICE NO.448A, ROAD NO.4, ASHOK NAGAR
829118
PLOT NO:- 47P, PATRATU INDUSTRIAL AREA</v>
          </cell>
          <cell r="G8358">
            <v>7541959323</v>
          </cell>
          <cell r="K8358" t="str">
            <v>GOGC370754</v>
          </cell>
        </row>
        <row r="8359">
          <cell r="E8359" t="str">
            <v>OPP. PUNJAB NATIONAL BANK,, BUKRU, RANCHI</v>
          </cell>
          <cell r="G8359">
            <v>7091772999</v>
          </cell>
          <cell r="K8359" t="str">
            <v>BSGD161854</v>
          </cell>
        </row>
        <row r="8360">
          <cell r="E8360" t="str">
            <v>PIPARWAR,JHARKHAND
BAHERA, BENTI, PIPARWAR, CHATRA
825321</v>
          </cell>
          <cell r="G8360">
            <v>7488762314</v>
          </cell>
          <cell r="K8360" t="str">
            <v>BRGC373918</v>
          </cell>
        </row>
        <row r="8361">
          <cell r="E8361" t="str">
            <v>P.O.+P.S. - GURPA, DIST- GAYA, BIHAR</v>
          </cell>
          <cell r="G8361">
            <v>9934799633</v>
          </cell>
          <cell r="K8361" t="str">
            <v>BRED161131</v>
          </cell>
        </row>
        <row r="8362">
          <cell r="E8362" t="str">
            <v>GOPI MORE GAYA</v>
          </cell>
          <cell r="G8362">
            <v>9470750540</v>
          </cell>
          <cell r="K8362" t="str">
            <v>BRHD161314</v>
          </cell>
        </row>
        <row r="8363">
          <cell r="E8363" t="str">
            <v>PATHPUR GAYA, BIHAR</v>
          </cell>
          <cell r="G8363">
            <v>6201360432</v>
          </cell>
          <cell r="K8363" t="str">
            <v>BQHD160361</v>
          </cell>
        </row>
        <row r="8364">
          <cell r="E8364" t="str">
            <v>DHANBAD</v>
          </cell>
          <cell r="G8364">
            <v>9441693704</v>
          </cell>
          <cell r="K8364" t="str">
            <v>BTDD162183</v>
          </cell>
        </row>
        <row r="8365">
          <cell r="E8365" t="str">
            <v>KOKAR INDUSTRIAL AREA,RANCHI
834001</v>
          </cell>
          <cell r="G8365">
            <v>8404802065</v>
          </cell>
          <cell r="K8365" t="str">
            <v>BSBC375535</v>
          </cell>
        </row>
        <row r="8366">
          <cell r="E8366" t="str">
            <v>TUPUDANA INDUSTRIAL AREA, RANCHI
PLOT NO. 114, TUPUDANA INDUSTRIAL AREA, TUPUDANA,HATIA, RANCHI
834002
RANCHI</v>
          </cell>
          <cell r="G8366">
            <v>9939738679</v>
          </cell>
          <cell r="K8366" t="str">
            <v>BNAS040245</v>
          </cell>
        </row>
        <row r="8367">
          <cell r="E8367" t="str">
            <v>TUPUDANA INDUSTRIAL AREA, RANCHI
PLOT NO. 114, TUPUDANA INDUSTRIAL AREA, TUPUDANA,HATIA, RANCHI
834002
RANCHI</v>
          </cell>
          <cell r="G8367">
            <v>9939738679</v>
          </cell>
          <cell r="K8367" t="str">
            <v>GOKS040088</v>
          </cell>
        </row>
        <row r="8368">
          <cell r="E8368" t="str">
            <v>DHANBAD</v>
          </cell>
          <cell r="G8368">
            <v>9263634493</v>
          </cell>
          <cell r="K8368" t="str">
            <v>BTCD162159</v>
          </cell>
        </row>
        <row r="8369">
          <cell r="E8369" t="str">
            <v>BAGODER</v>
          </cell>
          <cell r="G8369">
            <v>9608255210</v>
          </cell>
          <cell r="K8369" t="str">
            <v>BRBD160856</v>
          </cell>
        </row>
        <row r="8370">
          <cell r="E8370" t="str">
            <v>NEAR P.N BANK MAIN ROAD,, RAMGARH CANTT-829122, DIST. RAMGARH
829122
BUDHAKHOP, AMBRELA, KARMA,</v>
          </cell>
          <cell r="G8370">
            <v>0</v>
          </cell>
          <cell r="K8370" t="str">
            <v>BSHS038806</v>
          </cell>
        </row>
        <row r="8371">
          <cell r="E8371" t="str">
            <v>BALIDIH INDUSTRIAL AREA
827014</v>
          </cell>
          <cell r="G8371">
            <v>8619424665</v>
          </cell>
          <cell r="K8371" t="str">
            <v>BTDS044313</v>
          </cell>
        </row>
        <row r="8372">
          <cell r="E8372" t="str">
            <v>TAPIN HAZARIBAGH</v>
          </cell>
          <cell r="G8372">
            <v>7070010949</v>
          </cell>
          <cell r="K8372" t="str">
            <v>BTGD162289</v>
          </cell>
        </row>
        <row r="8373">
          <cell r="E8373" t="str">
            <v>NAGRI,RANCHI
835202
RANCHI</v>
          </cell>
          <cell r="G8373">
            <v>7004248429</v>
          </cell>
          <cell r="K8373" t="str">
            <v>BRIS035698</v>
          </cell>
        </row>
        <row r="8374">
          <cell r="E8374" t="str">
            <v>NAGRI,RANCHI
835202
RANCHI</v>
          </cell>
          <cell r="G8374">
            <v>9304482300</v>
          </cell>
          <cell r="K8374">
            <v>108441</v>
          </cell>
        </row>
        <row r="8375">
          <cell r="E8375" t="str">
            <v>EANA COLLIEARY, JHARIYA</v>
          </cell>
          <cell r="G8375">
            <v>7672025601</v>
          </cell>
          <cell r="K8375" t="str">
            <v>BRID161336</v>
          </cell>
        </row>
        <row r="8376">
          <cell r="E8376" t="str">
            <v>RANCHI</v>
          </cell>
          <cell r="G8376">
            <v>9973536006</v>
          </cell>
          <cell r="K8376" t="str">
            <v>BLIS031950</v>
          </cell>
        </row>
        <row r="8377">
          <cell r="E8377" t="str">
            <v>NAGRI,RANCHI
835202
RANCHI</v>
          </cell>
          <cell r="G8377">
            <v>7004248429</v>
          </cell>
          <cell r="K8377" t="str">
            <v>BRIS035698</v>
          </cell>
        </row>
        <row r="8378">
          <cell r="E8378" t="str">
            <v>NAGRI,RANCHI
835202
RANCHI</v>
          </cell>
          <cell r="G8378">
            <v>9304482300</v>
          </cell>
          <cell r="K8378">
            <v>108441</v>
          </cell>
        </row>
        <row r="8379">
          <cell r="E8379" t="str">
            <v>DHANBAD</v>
          </cell>
          <cell r="G8379">
            <v>8210106692</v>
          </cell>
          <cell r="K8379" t="str">
            <v>BTFD162244</v>
          </cell>
        </row>
        <row r="8380">
          <cell r="E8380" t="str">
            <v>ASHOK NAGAR, RANCHI</v>
          </cell>
          <cell r="G8380">
            <v>9471356821</v>
          </cell>
          <cell r="K8380" t="str">
            <v>BPLD200068</v>
          </cell>
        </row>
        <row r="8381">
          <cell r="E8381" t="str">
            <v>KUSUNDA DHABAD</v>
          </cell>
          <cell r="G8381">
            <v>8210106692</v>
          </cell>
          <cell r="K8381" t="str">
            <v>BRCD160939</v>
          </cell>
        </row>
        <row r="8382">
          <cell r="E8382" t="str">
            <v>SHEETLA PRASAD SINGH,, MISHRA PADA, NEAR DURGA MANDIR,, JHARIA, DHANBAD - 828 111, JHARKHAND.</v>
          </cell>
          <cell r="G8382">
            <v>7644045555</v>
          </cell>
          <cell r="K8382" t="str">
            <v>BTDD162169</v>
          </cell>
        </row>
        <row r="8383">
          <cell r="E8383" t="str">
            <v>SHEETLA PRASAD SINGH,, MISHRA PADA, NEAR DURGA MANDIR,, JHARIA, DHANBAD - 828 111, JHARKHAND.</v>
          </cell>
          <cell r="G8383">
            <v>7644045555</v>
          </cell>
          <cell r="K8383" t="str">
            <v>BTDD162169</v>
          </cell>
        </row>
        <row r="8384">
          <cell r="E8384" t="str">
            <v>RANCHI</v>
          </cell>
          <cell r="G8384">
            <v>0</v>
          </cell>
          <cell r="K8384" t="str">
            <v>BKDS031405</v>
          </cell>
        </row>
        <row r="8385">
          <cell r="E8385" t="str">
            <v>LOHARDAGA,JHARKHAND
LOHARDAGA, MOB. NO.9661111900
835302
LOHARDAGA</v>
          </cell>
          <cell r="G8385">
            <v>0</v>
          </cell>
          <cell r="K8385" t="str">
            <v>BQFS031084</v>
          </cell>
        </row>
        <row r="8386">
          <cell r="E8386" t="str">
            <v>TUPUDANA INDUSTRIAL AREA,RANCHI
834001
TUPUDANA RANCHI</v>
          </cell>
          <cell r="G8386">
            <v>7672855821</v>
          </cell>
          <cell r="K8386" t="str">
            <v>GPGS031328</v>
          </cell>
        </row>
        <row r="8387">
          <cell r="E8387" t="str">
            <v>KATHITAR,RANCHI
KATHITAR,RANCHI
834004
KATHITAR,</v>
          </cell>
          <cell r="G8387">
            <v>7004709540</v>
          </cell>
          <cell r="K8387" t="str">
            <v>BSFC376340</v>
          </cell>
        </row>
        <row r="8388">
          <cell r="E8388" t="str">
            <v>KATHITAR,RANCHI
KATHITAR,RANCHI
834004
KATHITAR,</v>
          </cell>
          <cell r="G8388">
            <v>7004709540</v>
          </cell>
          <cell r="K8388" t="str">
            <v>GPGC370774</v>
          </cell>
        </row>
        <row r="8389">
          <cell r="E8389" t="str">
            <v>BARHI</v>
          </cell>
          <cell r="G8389">
            <v>9712050090</v>
          </cell>
          <cell r="K8389" t="str">
            <v>NA</v>
          </cell>
        </row>
        <row r="8390">
          <cell r="E8390" t="str">
            <v>RAMGARH</v>
          </cell>
          <cell r="G8390">
            <v>7004377365</v>
          </cell>
          <cell r="K8390" t="str">
            <v>BLES031356</v>
          </cell>
        </row>
        <row r="8391">
          <cell r="E8391" t="str">
            <v>AT: SENEGARHA, P.O-RABODH, P.S-GIDDI,(RAMGARH),, DISTT. HAZARIBAGH,JHARKHAND-825330
829108
AT: SENEGARHA, P.O-RABODH, P.S-GIDDI,(RAMGARH),</v>
          </cell>
          <cell r="G8391">
            <v>9006877583</v>
          </cell>
          <cell r="K8391" t="str">
            <v>BSCS037349</v>
          </cell>
        </row>
        <row r="8392">
          <cell r="E8392" t="str">
            <v>TIPUDANA RANCHI</v>
          </cell>
          <cell r="G8392">
            <v>6205238532</v>
          </cell>
          <cell r="K8392" t="str">
            <v>BPBD200118</v>
          </cell>
        </row>
        <row r="8393">
          <cell r="E8393" t="str">
            <v>URMILA TOWER, ROOM NO. 805, DHANBAD</v>
          </cell>
          <cell r="G8393">
            <v>9931921808</v>
          </cell>
          <cell r="K8393" t="str">
            <v>BQED160215</v>
          </cell>
        </row>
        <row r="8394">
          <cell r="E8394" t="str">
            <v>TUPUDANA INDUSTRIAL AREA</v>
          </cell>
          <cell r="G8394">
            <v>7979877049</v>
          </cell>
          <cell r="K8394" t="str">
            <v>BMBS030816</v>
          </cell>
        </row>
        <row r="8395">
          <cell r="E8395" t="str">
            <v>NAWADIH, CHATARPUR</v>
          </cell>
          <cell r="G8395">
            <v>6203240174</v>
          </cell>
          <cell r="K8395" t="str">
            <v>BRDD161019</v>
          </cell>
        </row>
        <row r="8396">
          <cell r="E8396" t="str">
            <v>RAJAULI BIHAR</v>
          </cell>
          <cell r="G8396">
            <v>6201386625</v>
          </cell>
          <cell r="K8396" t="str">
            <v>BKAD160193</v>
          </cell>
        </row>
        <row r="8397">
          <cell r="E8397" t="str">
            <v>LAKHISARAI BIHAR</v>
          </cell>
          <cell r="G8397">
            <v>9874278005</v>
          </cell>
          <cell r="K8397" t="str">
            <v>BNJS040074</v>
          </cell>
        </row>
        <row r="8398">
          <cell r="E8398" t="str">
            <v>BARHI</v>
          </cell>
          <cell r="G8398">
            <v>9712050090</v>
          </cell>
          <cell r="K8398" t="str">
            <v>NA</v>
          </cell>
        </row>
        <row r="8399">
          <cell r="E8399" t="str">
            <v>PHASE - IV, PLOT NO. - IV-C/3 P AND IV-C/2 P, BOKARO INDUSTRIAL AREA, BALIDIH, BOKARO
PHASE - IV, PLOT NO. - IV-C/3 P AND IV-C/2 P, BOKARO INDUSTRIAL AREA, BALIDIH, BOKARO
827014</v>
          </cell>
          <cell r="G8399">
            <v>6206190862</v>
          </cell>
          <cell r="K8399" t="str">
            <v>BSDS037649</v>
          </cell>
        </row>
        <row r="8400">
          <cell r="E8400" t="str">
            <v>RANCHI</v>
          </cell>
          <cell r="G8400">
            <v>8877136770</v>
          </cell>
          <cell r="K8400" t="str">
            <v>BLIS031950</v>
          </cell>
        </row>
        <row r="8401">
          <cell r="E8401" t="str">
            <v>SUKRI GALI
816109</v>
          </cell>
          <cell r="G8401">
            <v>7898989886</v>
          </cell>
          <cell r="K8401" t="str">
            <v>BSLS042707</v>
          </cell>
        </row>
        <row r="8402">
          <cell r="E8402" t="str">
            <v>SUKRI GALI
816109</v>
          </cell>
          <cell r="G8402">
            <v>7898989886</v>
          </cell>
          <cell r="K8402" t="str">
            <v>BSLS042711</v>
          </cell>
        </row>
        <row r="8403">
          <cell r="E8403" t="str">
            <v>DHANBAD</v>
          </cell>
          <cell r="G8403">
            <v>6203411013</v>
          </cell>
          <cell r="K8403" t="str">
            <v>BTED162231</v>
          </cell>
        </row>
        <row r="8404">
          <cell r="E8404" t="str">
            <v>HAZARIBAGH
RANCHI JHARKHAND 834002
INDIA</v>
          </cell>
          <cell r="G8404" t="str">
            <v>7309672604 / 7361044447/9835535277</v>
          </cell>
          <cell r="K8404" t="str">
            <v>BKAS030685</v>
          </cell>
        </row>
        <row r="8405">
          <cell r="E8405" t="str">
            <v>NAGRI,RANCHI
835202
RANCHI</v>
          </cell>
          <cell r="G8405">
            <v>8051139257</v>
          </cell>
          <cell r="K8405" t="str">
            <v>BMJS040004</v>
          </cell>
        </row>
        <row r="8406">
          <cell r="E8406" t="str">
            <v xml:space="preserve">TOPIN SOUTH  </v>
          </cell>
          <cell r="G8406">
            <v>9102994453</v>
          </cell>
          <cell r="K8406" t="str">
            <v>BSGD161864</v>
          </cell>
        </row>
        <row r="8407">
          <cell r="E8407" t="str">
            <v>1ST FLOOR, RAJ GLASS AND HARDWARE, PISKA MORE, PO - HEHEL, RATU ROAD, RANCHI
1ST FLOOR, RAJ GLASS AND HARDWARE, PISKA MORE, PO - HEHEL, RATU ROAD, RANCHI
835214</v>
          </cell>
          <cell r="G8407">
            <v>7903468201</v>
          </cell>
          <cell r="K8407" t="str">
            <v>BTES044431</v>
          </cell>
        </row>
        <row r="8408">
          <cell r="E8408" t="str">
            <v>KHARATUNDA-BARWADDA, NH - 2, DAYABANS, PAHAR VILLAGE, NEAR GANGA HOTEL, DHANBAD OPPOSIT MONT FORT ACADEMY</v>
          </cell>
          <cell r="G8408">
            <v>9205712281</v>
          </cell>
          <cell r="K8408" t="str">
            <v>BPID120091</v>
          </cell>
        </row>
        <row r="8409">
          <cell r="E8409" t="str">
            <v>A-3, 2ND PHASE, ADITYAPUR INDUSTRIAL AREA, ADITYAPUR, JAMSHEDPUR, JHARKHAND
A-3, 2ND PHASE, ADITYAPUR INDUSTRIAL AREA, ADITYAPUR, JAMSHEDPUR, JHARKHAND
831013
JAMHEDPUR</v>
          </cell>
          <cell r="G8409">
            <v>6299025408</v>
          </cell>
          <cell r="K8409" t="str">
            <v>GPBC370442</v>
          </cell>
        </row>
        <row r="8410">
          <cell r="E8410" t="str">
            <v>URMILA TOWER, ROOM NO. 805, DHANBAD</v>
          </cell>
          <cell r="G8410">
            <v>9234669513</v>
          </cell>
          <cell r="K8410" t="str">
            <v>BTKD162074</v>
          </cell>
        </row>
        <row r="8411">
          <cell r="E8411" t="str">
            <v>GROUND AND 1 ST FLOOR, BESIDE DAINIK BHASKAR, GOVINDPUR ROAD, DIST :- DHANBAD
GROUND AND 1 ST FLOOR, BESIDE DAINIK BHASKAR, GOVINDPUR ROAD, DIST :- DHANBAD
828109</v>
          </cell>
          <cell r="G8411">
            <v>9955178750</v>
          </cell>
          <cell r="K8411" t="str">
            <v>BRJC371698</v>
          </cell>
        </row>
        <row r="8412">
          <cell r="E8412" t="str">
            <v>PLOT NO. 79, KAPASARA,, SUNDERNAGAR, CHIRKUNDA,, DHANBAD - 828 202
PLOT NO. 79, KAPASARA,, SUNDERNAGAR, CHIRKUNDA,, DHANBAD - 828 202
828202</v>
          </cell>
          <cell r="G8412">
            <v>8101005542</v>
          </cell>
          <cell r="K8412" t="str">
            <v>BTFS031006</v>
          </cell>
        </row>
        <row r="8413">
          <cell r="E8413" t="str">
            <v>ADITYAPUR KANDRA ROAD
831013</v>
          </cell>
          <cell r="G8413">
            <v>9608189810</v>
          </cell>
          <cell r="K8413" t="str">
            <v>BRDC373261</v>
          </cell>
        </row>
        <row r="8414">
          <cell r="E8414" t="str">
            <v>A-3, 2ND PHASE, ADITYAPUR INDUSTRIAL AREA, ADITYAPUR, JAMSHEDPUR, JHARKHAND
A-3, 2ND PHASE, ADITYAPUR INDUSTRIAL AREA, ADITYAPUR, JAMSHEDPUR, JHARKHAND
831013
JAMHEDPUR</v>
          </cell>
          <cell r="G8414">
            <v>6299025408</v>
          </cell>
          <cell r="K8414" t="str">
            <v>GPBC370442</v>
          </cell>
        </row>
        <row r="8415">
          <cell r="E8415" t="str">
            <v>NAGRI,RANCHI
835202
RANCHI</v>
          </cell>
          <cell r="G8415">
            <v>7004122894</v>
          </cell>
          <cell r="K8415" t="str">
            <v>BRIS035698</v>
          </cell>
        </row>
        <row r="8416">
          <cell r="E8416" t="str">
            <v>NAGRI,RANCHI
835202
RANCHI</v>
          </cell>
          <cell r="G8416">
            <v>9304482300</v>
          </cell>
          <cell r="K8416">
            <v>108441</v>
          </cell>
        </row>
        <row r="8417">
          <cell r="E8417" t="str">
            <v>TUPUDANA INDUSTRIAL AREA</v>
          </cell>
          <cell r="G8417">
            <v>7978649310</v>
          </cell>
          <cell r="K8417" t="str">
            <v>BMBS030816</v>
          </cell>
        </row>
        <row r="8418">
          <cell r="E8418" t="str">
            <v>WEST MARKET ROAD UPPER BAZAJ
UPPER BAZAR
834001</v>
          </cell>
          <cell r="G8418">
            <v>0</v>
          </cell>
          <cell r="K8418" t="str">
            <v>BTDC378223</v>
          </cell>
        </row>
        <row r="8419">
          <cell r="E8419" t="str">
            <v>BARHI</v>
          </cell>
          <cell r="G8419">
            <v>9712050090</v>
          </cell>
          <cell r="K8419" t="str">
            <v>NA</v>
          </cell>
        </row>
        <row r="8420">
          <cell r="E8420" t="str">
            <v>RANCHI PATNA ROAD
DEMOTAND
825301
HAZARIBAGH</v>
          </cell>
          <cell r="G8420">
            <v>7209274781</v>
          </cell>
          <cell r="K8420" t="str">
            <v>BMBL160078</v>
          </cell>
        </row>
        <row r="8421">
          <cell r="E8421" t="str">
            <v>JAMSHEDPUR</v>
          </cell>
          <cell r="G8421">
            <v>9431525317</v>
          </cell>
          <cell r="K8421" t="str">
            <v>BRCD161002</v>
          </cell>
        </row>
        <row r="8422">
          <cell r="E8422" t="str">
            <v>BALIDIH INDUSTRIAL AREA
827014</v>
          </cell>
          <cell r="G8422">
            <v>8619424665</v>
          </cell>
          <cell r="K8422" t="str">
            <v>BTDS044313</v>
          </cell>
        </row>
        <row r="8423">
          <cell r="E8423" t="str">
            <v>BALIDIH INDUSTRIAL AREA
827014</v>
          </cell>
          <cell r="G8423">
            <v>9326744136</v>
          </cell>
          <cell r="K8423" t="str">
            <v>BTDS044313</v>
          </cell>
        </row>
        <row r="8424">
          <cell r="E8424" t="str">
            <v>ANGAR PATRA,DHANBAD</v>
          </cell>
          <cell r="G8424">
            <v>8210106692</v>
          </cell>
          <cell r="K8424" t="str">
            <v>BSDD161729</v>
          </cell>
        </row>
        <row r="8425">
          <cell r="E8425" t="str">
            <v>MARAR, RAMGARH, JHARKHAND
MARRAR RAMGARH, 9155729786
829117
MARAR</v>
          </cell>
          <cell r="G8425">
            <v>9155729786</v>
          </cell>
          <cell r="K8425" t="str">
            <v>BMIS031759</v>
          </cell>
        </row>
        <row r="8426">
          <cell r="E8426" t="str">
            <v>JAMSHEDPUR</v>
          </cell>
          <cell r="G8426">
            <v>9431525317</v>
          </cell>
          <cell r="K8426" t="str">
            <v>BRCD161002</v>
          </cell>
        </row>
        <row r="8427">
          <cell r="E8427" t="str">
            <v>DIBDIH, RANCHI
834002</v>
          </cell>
          <cell r="G8427">
            <v>7369007900</v>
          </cell>
          <cell r="K8427" t="str">
            <v>BTEC378588</v>
          </cell>
        </row>
        <row r="8428">
          <cell r="E8428" t="str">
            <v>AT: SENEGARHA, P.O-RABODH, P.S-GIDDI,(RAMGARH),, DISTT. HAZARIBAGH,JHARKHAND-825330
829108
AT: SENEGARHA, P.O-RABODH, P.S-GIDDI,(RAMGARH),</v>
          </cell>
          <cell r="G8428">
            <v>9006877583</v>
          </cell>
          <cell r="K8428" t="str">
            <v>BRAS033261</v>
          </cell>
        </row>
        <row r="8429">
          <cell r="E8429" t="str">
            <v>AT: SENEGARHA, P.O-RABODH, P.S-GIDDI,(RAMGARH),, DISTT. HAZARIBAGH,JHARKHAND-825330
829108
AT: SENEGARHA, P.O-RABODH, P.S-GIDDI,(RAMGARH),</v>
          </cell>
          <cell r="G8429">
            <v>700428918</v>
          </cell>
          <cell r="K8429" t="str">
            <v>BSCS037349</v>
          </cell>
        </row>
        <row r="8430">
          <cell r="E8430" t="str">
            <v>AT: SENEGARHA, P.O-RABODH, P.S-GIDDI,(RAMGARH),, DISTT. HAZARIBAGH,JHARKHAND-825330
829108
AT: SENEGARHA, P.O-RABODH, P.S-GIDDI,(RAMGARH),</v>
          </cell>
          <cell r="G8430">
            <v>9006877583</v>
          </cell>
          <cell r="K8430" t="str">
            <v>BQES030978</v>
          </cell>
        </row>
        <row r="8431">
          <cell r="E8431" t="str">
            <v>BALIDIH INDUSTRIAL AREA,BOKARO
PLOT NO. - A/2 (P) INDUSTRIAL AREA, BALIDIH BOKARO STEEL CITY - 14, BOKARO
827014
BOKARO INDUSTRIAL ESTATE</v>
          </cell>
          <cell r="G8431">
            <v>8340685984</v>
          </cell>
          <cell r="K8431" t="str">
            <v>BSJS035946</v>
          </cell>
        </row>
        <row r="8432">
          <cell r="E8432" t="str">
            <v>AP COLONY GAYA BIHAR</v>
          </cell>
          <cell r="G8432">
            <v>9431266779</v>
          </cell>
          <cell r="K8432" t="str">
            <v>BRJD160577</v>
          </cell>
        </row>
        <row r="8433">
          <cell r="E8433" t="str">
            <v>GAYA BIHAR</v>
          </cell>
          <cell r="G8433">
            <v>8210812409</v>
          </cell>
          <cell r="K8433" t="str">
            <v>BSKD161500</v>
          </cell>
        </row>
        <row r="8434">
          <cell r="E8434" t="str">
            <v>JASIDIH, DEOGHAR
814142</v>
          </cell>
          <cell r="G8434">
            <v>9431794976</v>
          </cell>
          <cell r="K8434" t="str">
            <v>BSBC375571</v>
          </cell>
        </row>
        <row r="8435">
          <cell r="E8435" t="str">
            <v>JASIDIH, DEOGHAR
814142</v>
          </cell>
          <cell r="G8435">
            <v>9431794976</v>
          </cell>
          <cell r="K8435" t="str">
            <v>BSEC376083</v>
          </cell>
        </row>
        <row r="8436">
          <cell r="E8436" t="str">
            <v>TOPA MINES, RAMGARH</v>
          </cell>
          <cell r="G8436">
            <v>9471109170</v>
          </cell>
          <cell r="K8436" t="str">
            <v>BSKD161467</v>
          </cell>
        </row>
        <row r="8437">
          <cell r="E8437" t="str">
            <v>BALIDIH INDUSTRIAL AREA
827014</v>
          </cell>
          <cell r="G8437">
            <v>8619424665</v>
          </cell>
          <cell r="K8437" t="str">
            <v>BTDS044304</v>
          </cell>
        </row>
        <row r="8438">
          <cell r="E8438" t="str">
            <v>SHEETLA PRASAD SINGH,, MISHRA PADA, NEAR DURGA MANDIR,, JHARIA, DHANBAD - 828 111, JHARKHAND.</v>
          </cell>
          <cell r="G8438">
            <v>7644045555</v>
          </cell>
          <cell r="K8438" t="str">
            <v>BTCD162149</v>
          </cell>
        </row>
        <row r="8439">
          <cell r="E8439" t="str">
            <v>SHEETLA PRASAD SINGH,, MISHRA PADA, NEAR DURGA MANDIR,, JHARIA, DHANBAD - 828 111, JHARKHAND.</v>
          </cell>
          <cell r="G8439">
            <v>7644045555</v>
          </cell>
          <cell r="K8439" t="str">
            <v>BTCD162149</v>
          </cell>
        </row>
        <row r="8440">
          <cell r="E8440" t="str">
            <v>RAMGARH
829103
NAYA MORE</v>
          </cell>
          <cell r="G8440">
            <v>7739460263</v>
          </cell>
          <cell r="K8440" t="str">
            <v>BRGS035169</v>
          </cell>
        </row>
        <row r="8441">
          <cell r="E8441" t="str">
            <v>KATHITAR,RANCHI
KATHITAR,RANCHI
834004
KATHITAR,</v>
          </cell>
          <cell r="G8441">
            <v>7004709540</v>
          </cell>
          <cell r="K8441" t="str">
            <v>BSFC376340</v>
          </cell>
        </row>
        <row r="8442">
          <cell r="E8442" t="str">
            <v>TIKRATOLI,SAPAROM
NEAR LALGUTWA OVERBRIDGE, TIKRATOLI, SAPAROM,, NAGRI, RANCHI
835303</v>
          </cell>
          <cell r="G8442">
            <v>7004423828</v>
          </cell>
          <cell r="K8442" t="str">
            <v>BQCS040170</v>
          </cell>
        </row>
        <row r="8443">
          <cell r="E8443" t="str">
            <v>NAYA MORE,RAMGARH
ARA SARU BERA ROAD, NAYA, RAMGARH,JHARKHAND
829110
NAYA MORE</v>
          </cell>
          <cell r="G8443">
            <v>8651078549</v>
          </cell>
          <cell r="K8443" t="str">
            <v>BQBS033796</v>
          </cell>
        </row>
        <row r="8444">
          <cell r="E8444" t="str">
            <v>MARAR, RAMGARH, JHARKHAND
MARRAR RAMGARH, 9155729786
829117
MARAR</v>
          </cell>
          <cell r="G8444">
            <v>9155729786</v>
          </cell>
          <cell r="K8444" t="str">
            <v>BMIS031759</v>
          </cell>
        </row>
        <row r="8445">
          <cell r="E8445" t="str">
            <v>GROUND AND 1 ST FLOOR, BESIDE DAINIK BHASKAR, GOVINDPUR ROAD, DIST :- DHANBAD
GROUND AND 1 ST FLOOR, BESIDE DAINIK BHASKAR, GOVINDPUR ROAD, DIST :- DHANBAD
828109</v>
          </cell>
          <cell r="G8445">
            <v>9955178750</v>
          </cell>
          <cell r="K8445" t="str">
            <v>BRES034488</v>
          </cell>
        </row>
        <row r="8446">
          <cell r="E8446" t="str">
            <v>RAMGARH
829103
NAYA MORE</v>
          </cell>
          <cell r="G8446">
            <v>7739460263</v>
          </cell>
          <cell r="K8446" t="str">
            <v>BPCS030196</v>
          </cell>
        </row>
        <row r="8447">
          <cell r="E8447" t="str">
            <v>KATRAS, DHANBAD</v>
          </cell>
          <cell r="G8447">
            <v>6203411013</v>
          </cell>
          <cell r="K8447" t="str">
            <v>BSGD161898</v>
          </cell>
        </row>
        <row r="8448">
          <cell r="E8448" t="str">
            <v>MOKAMA BEGUSARAI</v>
          </cell>
          <cell r="G8448">
            <v>9573641735</v>
          </cell>
          <cell r="K8448" t="str">
            <v>BSCD230433</v>
          </cell>
        </row>
        <row r="8449">
          <cell r="E8449" t="str">
            <v>SHEETLA PRASAD SINGH,, MISHRA PADA, NEAR DURGA MANDIR,, JHARIA, DHANBAD - 828 111, JHARKHAND.</v>
          </cell>
          <cell r="G8449">
            <v>7644045555</v>
          </cell>
          <cell r="K8449" t="str">
            <v>BTDD162169</v>
          </cell>
        </row>
        <row r="8450">
          <cell r="E8450" t="str">
            <v>KATRAS, DHANBAD</v>
          </cell>
          <cell r="G8450">
            <v>9798360305</v>
          </cell>
          <cell r="K8450" t="str">
            <v>BSKD161477</v>
          </cell>
        </row>
        <row r="8451">
          <cell r="E8451" t="str">
            <v>ADITYAPUR KANDRA ROAD
831013</v>
          </cell>
          <cell r="G8451">
            <v>9608189810</v>
          </cell>
          <cell r="K8451" t="str">
            <v>BRDC373261</v>
          </cell>
        </row>
        <row r="8452">
          <cell r="E8452" t="str">
            <v>RANCHI PATNA ROAD
DEMOTAND
825301
HAZARIBAGH</v>
          </cell>
          <cell r="G8452">
            <v>6203465926</v>
          </cell>
          <cell r="K8452" t="str">
            <v>BSCS037531</v>
          </cell>
        </row>
        <row r="8453">
          <cell r="E8453" t="str">
            <v>ANKIT KUMAR SONTHALIA, R.N. BOSE ROAD, SATSANG GATE, NEAR HANUMAN MANDIR,, PURANDAHA, DEOGHAR, DIST. DUMKA,, JHARKHAND</v>
          </cell>
          <cell r="G8453">
            <v>7542025382</v>
          </cell>
          <cell r="K8453" t="str">
            <v>BSFD161795</v>
          </cell>
        </row>
        <row r="8454">
          <cell r="E8454" t="str">
            <v>DHANBAD</v>
          </cell>
          <cell r="G8454">
            <v>9546535031</v>
          </cell>
          <cell r="K8454" t="str">
            <v>BRAD160803</v>
          </cell>
        </row>
        <row r="8455">
          <cell r="E8455" t="str">
            <v>DHANBAD</v>
          </cell>
          <cell r="G8455">
            <v>9263634417</v>
          </cell>
          <cell r="K8455" t="str">
            <v>BTCD162159</v>
          </cell>
        </row>
        <row r="8456">
          <cell r="E8456" t="str">
            <v>TOPA MINES, RAMGARH</v>
          </cell>
          <cell r="G8456">
            <v>9471109170</v>
          </cell>
          <cell r="K8456" t="str">
            <v>BSKD161467</v>
          </cell>
        </row>
        <row r="8457">
          <cell r="E8457" t="str">
            <v>GROUND AND 1 ST FLOOR, BESIDE DAINIK BHASKAR, GOVINDPUR ROAD, DIST :- DHANBAD
GROUND AND 1 ST FLOOR, BESIDE DAINIK BHASKAR, GOVINDPUR ROAD, DIST :- DHANBAD
828109</v>
          </cell>
          <cell r="G8457">
            <v>9955178750</v>
          </cell>
          <cell r="K8457" t="str">
            <v>BRES034488</v>
          </cell>
        </row>
        <row r="8458">
          <cell r="E8458" t="str">
            <v>DUDUCA
SUNDERNAGAR
770001</v>
          </cell>
          <cell r="G8458">
            <v>7908615163</v>
          </cell>
          <cell r="K8458" t="str">
            <v>BTEC378413</v>
          </cell>
        </row>
        <row r="8459">
          <cell r="E8459" t="str">
            <v>RAMPUR</v>
          </cell>
          <cell r="G8459">
            <v>9546884024</v>
          </cell>
          <cell r="K8459" t="str">
            <v>BSAD120582</v>
          </cell>
        </row>
        <row r="8460">
          <cell r="E8460" t="str">
            <v>MORANGI, HAZARIBAGH
825302</v>
          </cell>
          <cell r="G8460">
            <v>7488362426</v>
          </cell>
          <cell r="K8460" t="str">
            <v>BLJS030086</v>
          </cell>
        </row>
        <row r="8461">
          <cell r="E8461" t="str">
            <v>DHANBAD, CONT PERSON :MR. IKTEKHAR AHMAD, PH.NO :9431316718</v>
          </cell>
          <cell r="G8461">
            <v>8210567144</v>
          </cell>
          <cell r="K8461" t="str">
            <v>BSKD161462</v>
          </cell>
        </row>
        <row r="8462">
          <cell r="E8462" t="str">
            <v>EANA COLLIEARY, JHARIYA</v>
          </cell>
          <cell r="G8462">
            <v>7672025601</v>
          </cell>
          <cell r="K8462" t="str">
            <v>BRID161336</v>
          </cell>
        </row>
        <row r="8463">
          <cell r="E8463" t="str">
            <v>BASJORA</v>
          </cell>
          <cell r="G8463">
            <v>8668006217</v>
          </cell>
          <cell r="K8463" t="str">
            <v>BRED161077</v>
          </cell>
        </row>
        <row r="8464">
          <cell r="E8464" t="str">
            <v>NAGRI,RANCHI
835202
RANCHI</v>
          </cell>
          <cell r="G8464">
            <v>9608884168</v>
          </cell>
          <cell r="K8464" t="str">
            <v>BIGS030904</v>
          </cell>
        </row>
        <row r="8465">
          <cell r="E8465" t="str">
            <v>SIMALIYA, RANCHI
835103
SIMLIYA, RANCHI</v>
          </cell>
          <cell r="G8465">
            <v>9431115841</v>
          </cell>
          <cell r="K8465">
            <v>106989</v>
          </cell>
        </row>
        <row r="8466">
          <cell r="E8466" t="str">
            <v>SHADEV NAGAR
834002
SHADEV NAGAR</v>
          </cell>
          <cell r="G8466">
            <v>9431395214</v>
          </cell>
          <cell r="K8466" t="str">
            <v>GOHC370857</v>
          </cell>
        </row>
        <row r="8467">
          <cell r="E8467" t="str">
            <v>DHANBAD</v>
          </cell>
          <cell r="G8467">
            <v>8210106692</v>
          </cell>
          <cell r="K8467" t="str">
            <v>BQJD160019</v>
          </cell>
        </row>
        <row r="8468">
          <cell r="E8468" t="str">
            <v>NAGRI,RANCHI
835202
RANCHI</v>
          </cell>
          <cell r="G8468">
            <v>9608884168</v>
          </cell>
          <cell r="K8468" t="str">
            <v>BIGS030904</v>
          </cell>
        </row>
        <row r="8469">
          <cell r="E8469" t="str">
            <v>RAMGARH CANTT, RAMGARH
RAMGARH
829122
RAMGARH</v>
          </cell>
          <cell r="G8469">
            <v>9576833882</v>
          </cell>
          <cell r="K8469" t="str">
            <v>BNKS030423</v>
          </cell>
        </row>
        <row r="8470">
          <cell r="E8470" t="str">
            <v>ORMANJHI,RANCHI
835219</v>
          </cell>
          <cell r="G8470">
            <v>9155006000</v>
          </cell>
          <cell r="K8470" t="str">
            <v>BSGC376577</v>
          </cell>
        </row>
        <row r="8471">
          <cell r="E8471" t="str">
            <v>C/O - ANUP JOSHI, DOCTOR GALI FRONT OF JAIN MANDIR, P.O. - JHUMRITILAIYA, KODERMA</v>
          </cell>
          <cell r="G8471">
            <v>9572352128</v>
          </cell>
          <cell r="K8471" t="str">
            <v>BSBD161629</v>
          </cell>
        </row>
        <row r="8472">
          <cell r="E8472" t="str">
            <v>ARGADA ROAD, BINJHAR, P.O. - MARAR, RAMGARH
829117</v>
          </cell>
          <cell r="G8472">
            <v>8294504879</v>
          </cell>
          <cell r="K8472" t="str">
            <v>BSCS037449</v>
          </cell>
        </row>
        <row r="8473">
          <cell r="E8473" t="str">
            <v>DHANBAD</v>
          </cell>
          <cell r="G8473">
            <v>8210106692</v>
          </cell>
          <cell r="K8473" t="str">
            <v>BQJD160027</v>
          </cell>
        </row>
        <row r="8474">
          <cell r="E8474" t="str">
            <v>MANDU, RAMGARH
JAISWAL COLONY, THANA CHOW,, RAMGARH CANTT. DIST. RAMGARH, JHARKHAND
825316
MANDU</v>
          </cell>
          <cell r="G8474">
            <v>8708249789</v>
          </cell>
          <cell r="K8474" t="str">
            <v>BTLS039793</v>
          </cell>
        </row>
        <row r="8475">
          <cell r="E8475" t="str">
            <v>RAMGARH</v>
          </cell>
          <cell r="G8475">
            <v>9798404791</v>
          </cell>
          <cell r="K8475" t="str">
            <v>BTJD162016</v>
          </cell>
        </row>
        <row r="8476">
          <cell r="E8476" t="str">
            <v>CHANDMARI, JORAPHATAK,, DHANBAD</v>
          </cell>
          <cell r="G8476">
            <v>8668122316</v>
          </cell>
          <cell r="K8476" t="str">
            <v>BRGD161212</v>
          </cell>
        </row>
        <row r="8477">
          <cell r="E8477" t="str">
            <v>DHANBAD</v>
          </cell>
          <cell r="G8477">
            <v>9585918025</v>
          </cell>
          <cell r="K8477" t="str">
            <v>BRCD160968</v>
          </cell>
        </row>
        <row r="8478">
          <cell r="E8478" t="str">
            <v>CHANDMARI, JORAPHATAK,, DHANBAD</v>
          </cell>
          <cell r="G8478">
            <v>9585918025</v>
          </cell>
          <cell r="K8478" t="str">
            <v>BRCD160967</v>
          </cell>
        </row>
        <row r="8479">
          <cell r="E8479" t="str">
            <v>PHASE 3
827014
PHASE 3 INDUSTRIAL AREA827013</v>
          </cell>
          <cell r="G8479">
            <v>9122209999</v>
          </cell>
          <cell r="K8479" t="str">
            <v>BQIS031915</v>
          </cell>
        </row>
        <row r="8480">
          <cell r="E8480" t="str">
            <v>KATITARH,RANCHI
835222</v>
          </cell>
          <cell r="G8480">
            <v>8825286094</v>
          </cell>
          <cell r="K8480" t="str">
            <v>BSAS036940</v>
          </cell>
        </row>
        <row r="8481">
          <cell r="E8481" t="str">
            <v>SHEETLA PRASAD SINGH,, MISHRA PADA, NEAR DURGA MANDIR,, JHARIA, DHANBAD - 828 111, JHARKHAND.</v>
          </cell>
          <cell r="G8481">
            <v>9304595381</v>
          </cell>
          <cell r="K8481" t="str">
            <v>BTDD162169</v>
          </cell>
        </row>
        <row r="8482">
          <cell r="E8482" t="str">
            <v>DHANBAD</v>
          </cell>
          <cell r="G8482">
            <v>9083506628</v>
          </cell>
          <cell r="K8482" t="str">
            <v>BRGD161225</v>
          </cell>
        </row>
        <row r="8483">
          <cell r="E8483" t="str">
            <v>KATRAS, DHANBAD</v>
          </cell>
          <cell r="G8483">
            <v>9798360305</v>
          </cell>
          <cell r="K8483" t="str">
            <v>BSKD161477</v>
          </cell>
        </row>
        <row r="8484">
          <cell r="E8484" t="str">
            <v>BASJORA</v>
          </cell>
          <cell r="G8484">
            <v>8668006217</v>
          </cell>
          <cell r="K8484" t="str">
            <v>BRED161077</v>
          </cell>
        </row>
        <row r="8485">
          <cell r="E8485" t="str">
            <v>KATHAL MORE, RANCHI</v>
          </cell>
          <cell r="G8485">
            <v>8210269774</v>
          </cell>
          <cell r="K8485" t="str">
            <v>BRED161081</v>
          </cell>
        </row>
        <row r="8486">
          <cell r="E8486" t="str">
            <v>TUPUDANA INDUSTRIAL AREA, RANCHI
PLOT NO. 114, TUPUDANA INDUSTRIAL AREA, TUPUDANA,HATIA, RANCHI
834002
RANCHI</v>
          </cell>
          <cell r="G8486">
            <v>9939738679</v>
          </cell>
          <cell r="K8486" t="str">
            <v>BNAS040245</v>
          </cell>
        </row>
        <row r="8487">
          <cell r="E8487" t="str">
            <v>DHANBAD</v>
          </cell>
          <cell r="G8487">
            <v>8919645238</v>
          </cell>
          <cell r="K8487" t="str">
            <v>BQID160463</v>
          </cell>
        </row>
        <row r="8488">
          <cell r="E8488" t="str">
            <v>KATRAS, DHANBAD</v>
          </cell>
          <cell r="G8488">
            <v>9798360305</v>
          </cell>
          <cell r="K8488" t="str">
            <v>BSKD161477</v>
          </cell>
        </row>
        <row r="8489">
          <cell r="E8489" t="str">
            <v>MAHUWATAND, LATEHAR</v>
          </cell>
          <cell r="G8489">
            <v>6201516725</v>
          </cell>
          <cell r="K8489" t="str">
            <v>BOJD200009</v>
          </cell>
        </row>
        <row r="8490">
          <cell r="E8490" t="str">
            <v>SHEETLA PRASAD SINGH,, MISHRA PADA, NEAR DURGA MANDIR,, JHARIA, DHANBAD - 828 111, JHARKHAND.</v>
          </cell>
          <cell r="G8490">
            <v>7644045555</v>
          </cell>
          <cell r="K8490" t="str">
            <v>BTKD162112</v>
          </cell>
        </row>
        <row r="8491">
          <cell r="E8491" t="str">
            <v>MARAR, RAMGARH, JHARKHAND
MARRAR RAMGARH, 9155729786
829117
MARAR</v>
          </cell>
          <cell r="G8491">
            <v>9155729786</v>
          </cell>
          <cell r="K8491" t="str">
            <v>BMIS031759</v>
          </cell>
        </row>
        <row r="8492">
          <cell r="E8492" t="str">
            <v>MURHU
C/O ASHISH SABOO, MURHU, DIST- KHUNTI
835216</v>
          </cell>
          <cell r="G8492">
            <v>8862826990</v>
          </cell>
          <cell r="K8492" t="str">
            <v>BTLC377591</v>
          </cell>
        </row>
        <row r="8493">
          <cell r="E8493" t="str">
            <v>MANDU, RAMGARH
JAISWAL COLONY, THANA CHOW,, RAMGARH CANTT. DIST. RAMGARH, JHARKHAND
825316
MANDU</v>
          </cell>
          <cell r="G8493">
            <v>6205951815</v>
          </cell>
          <cell r="K8493" t="str">
            <v>BSGS043528</v>
          </cell>
        </row>
        <row r="8494">
          <cell r="E8494" t="str">
            <v>RANCHI,JHARKHAND
834001
RANCHI</v>
          </cell>
          <cell r="G8494">
            <v>9407860584</v>
          </cell>
          <cell r="K8494" t="str">
            <v>BJHS031586</v>
          </cell>
        </row>
        <row r="8495">
          <cell r="E8495" t="str">
            <v>KATHAL MORE, RANCHI</v>
          </cell>
          <cell r="G8495">
            <v>8210269774</v>
          </cell>
          <cell r="K8495" t="str">
            <v>BRED161081</v>
          </cell>
        </row>
        <row r="8496">
          <cell r="E8496" t="str">
            <v>SONARDHI</v>
          </cell>
          <cell r="G8496">
            <v>9570178502</v>
          </cell>
          <cell r="K8496" t="str">
            <v>BRHD161312</v>
          </cell>
        </row>
        <row r="8497">
          <cell r="E8497" t="str">
            <v>JAMCHUA RANCHI</v>
          </cell>
          <cell r="G8497">
            <v>7549197774</v>
          </cell>
          <cell r="K8497" t="str">
            <v>BRCD160978</v>
          </cell>
        </row>
        <row r="8498">
          <cell r="E8498" t="str">
            <v>KATRAS, DHANBAD</v>
          </cell>
          <cell r="G8498">
            <v>6203411013</v>
          </cell>
          <cell r="K8498" t="str">
            <v>BSGD161904</v>
          </cell>
        </row>
        <row r="8499">
          <cell r="E8499" t="str">
            <v>KISHOREGANJ, RANCHI
834001
KAMRE RAVI STEEL,</v>
          </cell>
          <cell r="G8499">
            <v>8709279344</v>
          </cell>
          <cell r="K8499" t="str">
            <v>GPKC370113</v>
          </cell>
        </row>
        <row r="8500">
          <cell r="E8500" t="str">
            <v>KISHOREGANJ, RANCHI
834001
KAMRE RAVI STEEL,</v>
          </cell>
          <cell r="G8500">
            <v>8709279344</v>
          </cell>
          <cell r="K8500" t="str">
            <v>GPKC370113</v>
          </cell>
        </row>
        <row r="8501">
          <cell r="E8501" t="str">
            <v>TILTA RING ROAD.
834006</v>
          </cell>
          <cell r="G8501">
            <v>0</v>
          </cell>
          <cell r="K8501" t="str">
            <v>BSHC376807</v>
          </cell>
        </row>
        <row r="8502">
          <cell r="E8502" t="str">
            <v>MANDU, RAMGARH
JAISWAL COLONY, THANA CHOW,, RAMGARH CANTT. DIST. RAMGARH, JHARKHAND
825316
MANDU</v>
          </cell>
          <cell r="G8502">
            <v>8708249789</v>
          </cell>
          <cell r="K8502" t="str">
            <v>BTLS039719</v>
          </cell>
        </row>
        <row r="8503">
          <cell r="E8503" t="str">
            <v>MANDU, RAMGARH
JAISWAL COLONY, THANA CHOW,, RAMGARH CANTT. DIST. RAMGARH, JHARKHAND
825316
MANDU</v>
          </cell>
          <cell r="G8503">
            <v>8708249789</v>
          </cell>
          <cell r="K8503" t="str">
            <v>BTLS039748</v>
          </cell>
        </row>
        <row r="8504">
          <cell r="E8504" t="str">
            <v>MANDU, RAMGARH
JAISWAL COLONY, THANA CHOW,, RAMGARH CANTT. DIST. RAMGARH, JHARKHAND
825316
MANDU</v>
          </cell>
          <cell r="G8504">
            <v>8708249789</v>
          </cell>
          <cell r="K8504" t="str">
            <v>BTLS039851</v>
          </cell>
        </row>
        <row r="8505">
          <cell r="E8505" t="str">
            <v>MANDU, RAMGARH
JAISWAL COLONY, THANA CHOW,, RAMGARH CANTT. DIST. RAMGARH, JHARKHAND
825316
MANDU</v>
          </cell>
          <cell r="G8505">
            <v>8708249789</v>
          </cell>
          <cell r="K8505" t="str">
            <v>BTLS039793</v>
          </cell>
        </row>
        <row r="8506">
          <cell r="E8506" t="str">
            <v>MANDU, RAMGARH
JAISWAL COLONY, THANA CHOW,, RAMGARH CANTT. DIST. RAMGARH, JHARKHAND
825316
MANDU</v>
          </cell>
          <cell r="G8506">
            <v>8708249789</v>
          </cell>
          <cell r="K8506" t="str">
            <v>BTLS039787</v>
          </cell>
        </row>
        <row r="8507">
          <cell r="E8507" t="str">
            <v>CHANDMARI, JORAPHATAK,, DHANBAD</v>
          </cell>
          <cell r="G8507">
            <v>8668122316</v>
          </cell>
          <cell r="K8507" t="str">
            <v>BRGD161212</v>
          </cell>
        </row>
        <row r="8508">
          <cell r="E8508" t="str">
            <v>URMILA TOWER, ROOM NO. 805, DHANBAD</v>
          </cell>
          <cell r="G8508">
            <v>9234669513</v>
          </cell>
          <cell r="K8508" t="str">
            <v>BTKD162074</v>
          </cell>
        </row>
        <row r="8509">
          <cell r="E8509" t="str">
            <v>RAVULA SHYAM SUNDER REDDY, HOUSE NO. 3-5-196/1, ROAD NO. 5M, KRISHNANAGAR COLONY, MOULALI, HYDRABAD</v>
          </cell>
          <cell r="G8509">
            <v>6200658072</v>
          </cell>
          <cell r="K8509" t="str">
            <v>BSCD161691</v>
          </cell>
        </row>
        <row r="8510">
          <cell r="E8510" t="str">
            <v>BALIDIH INDUSTRIAL AREA,BOKARO
PLOT NO. - A/2 (P) INDUSTRIAL AREA, BALIDIH BOKARO STEEL CITY - 14, BOKARO
827014
BOKARO INDUSTRIAL ESTATE</v>
          </cell>
          <cell r="G8510">
            <v>8340685984</v>
          </cell>
          <cell r="K8510" t="str">
            <v>BSJS035946</v>
          </cell>
        </row>
        <row r="8511">
          <cell r="E8511" t="str">
            <v>MORANGI HAZARIBAGH</v>
          </cell>
          <cell r="G8511">
            <v>6203465926</v>
          </cell>
          <cell r="K8511" t="str">
            <v>BKCS040931</v>
          </cell>
        </row>
        <row r="8512">
          <cell r="E8512" t="str">
            <v>BARWADA, DHANBAD</v>
          </cell>
          <cell r="G8512">
            <v>8639634872</v>
          </cell>
          <cell r="K8512" t="str">
            <v>BRKD230139</v>
          </cell>
        </row>
        <row r="8513">
          <cell r="E8513" t="str">
            <v>MAHUWATAND, LATEHAR</v>
          </cell>
          <cell r="G8513">
            <v>6201516725</v>
          </cell>
          <cell r="K8513" t="str">
            <v>BOJD200009</v>
          </cell>
        </row>
        <row r="8514">
          <cell r="E8514" t="str">
            <v>501, H.NO.3-4-136/B., ROYAL ASHOK, RESIDENCY , BARKATPURA, HYDERABAD, TELANGANA - 500027</v>
          </cell>
          <cell r="G8514">
            <v>7873039065</v>
          </cell>
          <cell r="K8514" t="str">
            <v>BRHD161304</v>
          </cell>
        </row>
        <row r="8515">
          <cell r="E8515" t="str">
            <v>BAZAR SAMITI,RAMGARH
829122</v>
          </cell>
          <cell r="G8515">
            <v>9835764965</v>
          </cell>
          <cell r="K8515" t="str">
            <v>BSBC375576</v>
          </cell>
        </row>
        <row r="8516">
          <cell r="E8516" t="str">
            <v>BARWADA, DHANBAD</v>
          </cell>
          <cell r="G8516">
            <v>8639634872</v>
          </cell>
          <cell r="K8516" t="str">
            <v>BRKD230139</v>
          </cell>
        </row>
        <row r="8517">
          <cell r="E8517" t="str">
            <v>SHEIKHPURA, BIHAR</v>
          </cell>
          <cell r="G8517">
            <v>7782976533</v>
          </cell>
          <cell r="K8517" t="str">
            <v>BTKD162080</v>
          </cell>
        </row>
        <row r="8518">
          <cell r="E8518" t="str">
            <v>SHEETLA PRASAD SINGH,, MISHRA PADA, NEAR DURGA MANDIR,, JHARIA, DHANBAD - 828 111, JHARKHAND.</v>
          </cell>
          <cell r="G8518">
            <v>7644045555</v>
          </cell>
          <cell r="K8518" t="str">
            <v>BTKD162112</v>
          </cell>
        </row>
        <row r="8519">
          <cell r="E8519" t="str">
            <v>RAMGARH,JHARKHAND
829122</v>
          </cell>
          <cell r="G8519">
            <v>8695983060</v>
          </cell>
          <cell r="K8519" t="str">
            <v>BSIC376940</v>
          </cell>
        </row>
        <row r="8520">
          <cell r="E8520" t="str">
            <v>BHULI DHANBAD</v>
          </cell>
          <cell r="G8520">
            <v>6204361790</v>
          </cell>
          <cell r="K8520" t="str">
            <v>BQED160244</v>
          </cell>
        </row>
        <row r="8521">
          <cell r="E8521" t="str">
            <v>TOPA MINES, RAMGARH</v>
          </cell>
          <cell r="G8521">
            <v>9471109170</v>
          </cell>
          <cell r="K8521" t="str">
            <v>BSKD161467</v>
          </cell>
        </row>
        <row r="8522">
          <cell r="E8522" t="str">
            <v>NAGARI RANCHI
NAGARI RANCHI
835303</v>
          </cell>
          <cell r="G8522">
            <v>9752567399</v>
          </cell>
          <cell r="K8522" t="str">
            <v>BKJS030050</v>
          </cell>
        </row>
        <row r="8523">
          <cell r="E8523" t="str">
            <v>SAHEBGANJ, JHARKHAND</v>
          </cell>
          <cell r="G8523">
            <v>623835409</v>
          </cell>
          <cell r="K8523" t="str">
            <v>BSID120765</v>
          </cell>
        </row>
        <row r="8524">
          <cell r="E8524" t="str">
            <v>SHEETLA PRASAD SINGH,, MISHRA PADA, NEAR DURGA MANDIR,, JHARIA, DHANBAD - 828 111, JHARKHAND.</v>
          </cell>
          <cell r="G8524">
            <v>7644045555</v>
          </cell>
          <cell r="K8524" t="str">
            <v>BTDD162169</v>
          </cell>
        </row>
        <row r="8525">
          <cell r="E8525" t="str">
            <v>1ST FLOOR, RAJ GLASS AND HARDWARE, PISKA MORE, PO - HEHEL, RATU ROAD, RANCHI
1ST FLOOR, RAJ GLASS AND HARDWARE, PISKA MORE, PO - HEHEL, RATU ROAD, RANCHI
835214</v>
          </cell>
          <cell r="G8525">
            <v>7903468201</v>
          </cell>
          <cell r="K8525" t="str">
            <v>BTES044431</v>
          </cell>
        </row>
        <row r="8526">
          <cell r="E8526" t="str">
            <v>KATRAS, DHANBAD</v>
          </cell>
          <cell r="G8526">
            <v>6203411013</v>
          </cell>
          <cell r="K8526" t="str">
            <v>BSGD161904</v>
          </cell>
        </row>
        <row r="8527">
          <cell r="E8527" t="str">
            <v>SHEETLA PRASAD SINGH,, MISHRA PADA, NEAR DURGA MANDIR,, JHARIA, DHANBAD - 828 111, JHARKHAND.</v>
          </cell>
          <cell r="G8527">
            <v>7644045555</v>
          </cell>
          <cell r="K8527" t="str">
            <v>BTKD162112</v>
          </cell>
        </row>
        <row r="8528">
          <cell r="E8528" t="str">
            <v>C/O - ANUP JOSHI, DOCTOR GALI FRONT OF JAIN MANDIR, P.O. - JHUMRITILAIYA, KODERMA</v>
          </cell>
          <cell r="G8528">
            <v>9572352128</v>
          </cell>
          <cell r="K8528" t="str">
            <v>BSBD161629</v>
          </cell>
        </row>
        <row r="8529">
          <cell r="E8529" t="str">
            <v>MURHU
C/O ASHISH SABOO, MURHU, DIST- KHUNTI
835216</v>
          </cell>
          <cell r="G8529">
            <v>8862826990</v>
          </cell>
          <cell r="K8529" t="str">
            <v>BTLC377591</v>
          </cell>
        </row>
        <row r="8530">
          <cell r="E8530" t="str">
            <v>NAGARI,</v>
          </cell>
          <cell r="G8530">
            <v>9297706123</v>
          </cell>
          <cell r="K8530" t="str">
            <v>BILS030211</v>
          </cell>
        </row>
        <row r="8531">
          <cell r="E8531" t="str">
            <v>NAGARI,</v>
          </cell>
          <cell r="G8531">
            <v>9297706123</v>
          </cell>
          <cell r="K8531" t="str">
            <v>BLGS040582</v>
          </cell>
        </row>
        <row r="8532">
          <cell r="E8532" t="str">
            <v>RANCHI,JHARKHAND
825301
JHUMRA</v>
          </cell>
          <cell r="G8532">
            <v>9593546866</v>
          </cell>
          <cell r="K8532" t="str">
            <v>BMIS031670</v>
          </cell>
        </row>
        <row r="8533">
          <cell r="E8533" t="str">
            <v>KATRAS, DHANBAD</v>
          </cell>
          <cell r="G8533">
            <v>7004387228</v>
          </cell>
          <cell r="K8533" t="str">
            <v>BQCD160103</v>
          </cell>
        </row>
        <row r="8534">
          <cell r="E8534" t="str">
            <v>KATRAS, DHANBAD</v>
          </cell>
          <cell r="G8534">
            <v>9346643594</v>
          </cell>
          <cell r="K8534" t="str">
            <v>BQLD160145</v>
          </cell>
        </row>
        <row r="8535">
          <cell r="E8535" t="str">
            <v>BALIDIH INDUSTRIAL AREA,BOKARO
PLOT NO. - A/2 (P) INDUSTRIAL AREA, BALIDIH BOKARO STEEL CITY - 14, BOKARO
827014
BOKARO INDUSTRIAL ESTATE</v>
          </cell>
          <cell r="G8535">
            <v>8340685984</v>
          </cell>
          <cell r="K8535" t="str">
            <v>BSJS035946</v>
          </cell>
        </row>
        <row r="8536">
          <cell r="E8536" t="str">
            <v>TOPA MINES, RAMGARH</v>
          </cell>
          <cell r="G8536">
            <v>9471109170</v>
          </cell>
          <cell r="K8536" t="str">
            <v>BSKD161467</v>
          </cell>
        </row>
        <row r="8537">
          <cell r="E8537" t="str">
            <v>RANCHI</v>
          </cell>
          <cell r="G8537">
            <v>9973536006</v>
          </cell>
          <cell r="K8537" t="str">
            <v>BLIS031950</v>
          </cell>
        </row>
        <row r="8538">
          <cell r="E8538" t="str">
            <v>DUMRI, JHARKHAND</v>
          </cell>
          <cell r="G8538">
            <v>9608325210</v>
          </cell>
          <cell r="K8538" t="str">
            <v>BSFD161830</v>
          </cell>
        </row>
        <row r="8539">
          <cell r="E8539" t="str">
            <v>DUMARI</v>
          </cell>
          <cell r="G8539">
            <v>9572932321</v>
          </cell>
          <cell r="K8539" t="str">
            <v>BRBD160856</v>
          </cell>
        </row>
        <row r="8540">
          <cell r="E8540" t="str">
            <v>FLAT NO. 300, BLOCK - A, MP SRIRAM, CHHOTA GAMHARIA, P.S. - GAMHARIA, DIST.- SARAIKELA KHARSAWAN</v>
          </cell>
          <cell r="G8540">
            <v>8849448211</v>
          </cell>
          <cell r="K8540" t="str">
            <v>BRGL151464</v>
          </cell>
        </row>
        <row r="8541">
          <cell r="E8541" t="str">
            <v>62, KOKAR INDUSTRIAL AREA, KOKAR,RANCHI.
834001</v>
          </cell>
          <cell r="G8541">
            <v>9534189364</v>
          </cell>
          <cell r="K8541" t="str">
            <v>BMFS031276</v>
          </cell>
        </row>
        <row r="8542">
          <cell r="E8542" t="str">
            <v>NAGARI,</v>
          </cell>
          <cell r="G8542">
            <v>9297706123</v>
          </cell>
          <cell r="K8542" t="str">
            <v>BILS030211</v>
          </cell>
        </row>
        <row r="8543">
          <cell r="E8543" t="str">
            <v>NAGARI,</v>
          </cell>
          <cell r="G8543">
            <v>9297706123</v>
          </cell>
          <cell r="K8543" t="str">
            <v>BLGS040582</v>
          </cell>
        </row>
        <row r="8544">
          <cell r="E8544" t="str">
            <v>DALADALI, RANCHUI</v>
          </cell>
          <cell r="G8544">
            <v>7992413342</v>
          </cell>
          <cell r="K8544" t="str">
            <v>BMJD200014</v>
          </cell>
        </row>
        <row r="8545">
          <cell r="E8545" t="str">
            <v>NEAR P.N BANK MAIN ROAD,, RAMGARH CANTT-829122, DIST. RAMGARH
829122
BUDHAKHOP, AMBRELA, KARMA,</v>
          </cell>
          <cell r="G8545" t="str">
            <v xml:space="preserve">  </v>
          </cell>
          <cell r="K8545" t="str">
            <v>BQBS030091</v>
          </cell>
        </row>
        <row r="8546">
          <cell r="E8546" t="str">
            <v>MORANGI, HAZARIBAGH
825302</v>
          </cell>
          <cell r="G8546">
            <v>7488362426</v>
          </cell>
          <cell r="K8546" t="str">
            <v>BLJS030086</v>
          </cell>
        </row>
        <row r="8547">
          <cell r="E8547" t="str">
            <v>RANCHI PATNA ROAD
DEMOTAND
825301
HAZARIBAGH</v>
          </cell>
          <cell r="G8547">
            <v>6203465926</v>
          </cell>
          <cell r="K8547" t="str">
            <v>BIFS040367</v>
          </cell>
        </row>
        <row r="8548">
          <cell r="E8548" t="str">
            <v>TUPUDANA INDUSTRIAL AREA, RANCHI
PLOT NO. - 45 &amp; 46, TUPUDAN AINDUSTRIAL AREA, TUPUDANA, HATIA, RANCHI
834003
TIPUDANA INDUSTRIAL AREA</v>
          </cell>
          <cell r="G8548">
            <v>8092355914</v>
          </cell>
          <cell r="K8548" t="str">
            <v>BQBS033819</v>
          </cell>
        </row>
        <row r="8549">
          <cell r="E8549" t="str">
            <v>NAMKUM INDUSTRIAL AREA,RANCHI
834010</v>
          </cell>
          <cell r="G8549">
            <v>9386408111</v>
          </cell>
          <cell r="K8549" t="str">
            <v>BRHS035337</v>
          </cell>
        </row>
        <row r="8550">
          <cell r="E8550" t="str">
            <v>BARKATHA, HAZARIBAGH</v>
          </cell>
          <cell r="G8550">
            <v>8002317381</v>
          </cell>
          <cell r="K8550" t="str">
            <v>BSLD161503</v>
          </cell>
        </row>
        <row r="8551">
          <cell r="E8551" t="str">
            <v>RERWA SISAI,GUMLA
RERWA SISAI, GUMLA,, JHRKHAND
835207</v>
          </cell>
          <cell r="G8551">
            <v>9122388000</v>
          </cell>
          <cell r="K8551" t="str">
            <v>BTCS030119</v>
          </cell>
        </row>
        <row r="8552">
          <cell r="E8552" t="str">
            <v>TIKRATOLI,SAPAROM
NEAR LALGUTWA OVERBRIDGE, TIKRATOLI, SAPAROM,, NAGRI, RANCHI
835303</v>
          </cell>
          <cell r="G8552">
            <v>9608086621</v>
          </cell>
          <cell r="K8552" t="str">
            <v>BQCS040170</v>
          </cell>
        </row>
        <row r="8553">
          <cell r="E8553" t="str">
            <v>TIKRATOLI,SAPAROM
NEAR LALGUTWA OVERBRIDGE, TIKRATOLI, SAPAROM,, NAGRI, RANCHI
835303</v>
          </cell>
          <cell r="G8553">
            <v>9608086621</v>
          </cell>
          <cell r="K8553" t="str">
            <v>BRGC373885</v>
          </cell>
        </row>
        <row r="8554">
          <cell r="E8554" t="str">
            <v>TIKRATOLI,SAPAROM
NEAR LALGUTWA OVERBRIDGE, TIKRATOLI, SAPAROM,, NAGRI, RANCHI
835303</v>
          </cell>
          <cell r="G8554">
            <v>7004423828</v>
          </cell>
          <cell r="K8554" t="str">
            <v>BKJS040077</v>
          </cell>
        </row>
        <row r="8555">
          <cell r="E8555" t="str">
            <v>LATEHAR</v>
          </cell>
          <cell r="G8555">
            <v>9934700413</v>
          </cell>
          <cell r="K8555" t="str">
            <v>BRID161341</v>
          </cell>
        </row>
        <row r="8556">
          <cell r="E8556" t="str">
            <v>NAGRI,RANCHI
835303</v>
          </cell>
          <cell r="G8556">
            <v>9771432711</v>
          </cell>
          <cell r="K8556" t="str">
            <v>BJDET70060</v>
          </cell>
        </row>
        <row r="8557">
          <cell r="E8557" t="str">
            <v>TATISILWAI, JHARKHAND
835103</v>
          </cell>
          <cell r="G8557">
            <v>6200160428</v>
          </cell>
          <cell r="K8557" t="str">
            <v>BQGS031413</v>
          </cell>
        </row>
        <row r="8558">
          <cell r="E8558" t="str">
            <v>RANCHI,JHARKHAND
825301
JHUMRA</v>
          </cell>
          <cell r="G8558">
            <v>9593546866</v>
          </cell>
          <cell r="K8558" t="str">
            <v>BMIS031670</v>
          </cell>
        </row>
        <row r="8559">
          <cell r="E8559" t="str">
            <v>TATISILWAI, JHARKHAND
835103</v>
          </cell>
          <cell r="G8559">
            <v>6200160428</v>
          </cell>
          <cell r="K8559" t="str">
            <v>BQGS031413</v>
          </cell>
        </row>
        <row r="8560">
          <cell r="E8560" t="str">
            <v>TATISILWAI, JHARKHAND
835103</v>
          </cell>
          <cell r="G8560">
            <v>6200160428</v>
          </cell>
          <cell r="K8560" t="str">
            <v>BQHS040705</v>
          </cell>
        </row>
        <row r="8561">
          <cell r="E8561" t="str">
            <v>NAGARI,</v>
          </cell>
          <cell r="G8561">
            <v>9297706123</v>
          </cell>
          <cell r="K8561" t="str">
            <v>BLGS040582</v>
          </cell>
        </row>
        <row r="8562">
          <cell r="E8562" t="str">
            <v>NAGARI,</v>
          </cell>
          <cell r="G8562">
            <v>9297706123</v>
          </cell>
          <cell r="K8562" t="str">
            <v>BILS030211</v>
          </cell>
        </row>
        <row r="8563">
          <cell r="E8563" t="str">
            <v>JHARKHAND</v>
          </cell>
          <cell r="G8563">
            <v>9441693704</v>
          </cell>
          <cell r="K8563" t="str">
            <v>BQJD160040</v>
          </cell>
        </row>
        <row r="8564">
          <cell r="E8564" t="str">
            <v>RAMGARH</v>
          </cell>
          <cell r="G8564">
            <v>9798404791</v>
          </cell>
          <cell r="K8564" t="str">
            <v>BTJD162016</v>
          </cell>
        </row>
        <row r="8565">
          <cell r="E8565" t="str">
            <v>VILL: MORWAY,, P.O. : GURPA, P.S.: FATEHPUR, DIST. GAYA  - 824232 (BIHAR)</v>
          </cell>
          <cell r="G8565">
            <v>9199648262</v>
          </cell>
          <cell r="K8565" t="str">
            <v>BSED161766</v>
          </cell>
        </row>
        <row r="8566">
          <cell r="E8566" t="str">
            <v>TUPUDANA INDUSTRIAL AREA</v>
          </cell>
          <cell r="G8566">
            <v>7978649310</v>
          </cell>
          <cell r="K8566" t="str">
            <v>BMBS030816</v>
          </cell>
        </row>
        <row r="8567">
          <cell r="E8567" t="str">
            <v>TUPUDANA INDUSTRIAL AREA, RANCHI
PLOT NO. 114, TUPUDANA INDUSTRIAL AREA, TUPUDANA,HATIA, RANCHI
834002
RANCHI</v>
          </cell>
          <cell r="G8567">
            <v>9939738679</v>
          </cell>
          <cell r="K8567" t="str">
            <v>BNAS040245</v>
          </cell>
        </row>
        <row r="8568">
          <cell r="E8568" t="str">
            <v>TIPUDANA INDUSTRIAL AREA, HATIA,</v>
          </cell>
          <cell r="G8568">
            <v>7978649310</v>
          </cell>
          <cell r="K8568" t="str">
            <v>BJGS031396</v>
          </cell>
        </row>
        <row r="8569">
          <cell r="E8569" t="str">
            <v>P.O.+P.S. - GURPA, DIST- GAYA, BIHAR</v>
          </cell>
          <cell r="G8569">
            <v>9934799633</v>
          </cell>
          <cell r="K8569" t="str">
            <v>BRED161131</v>
          </cell>
        </row>
        <row r="8570">
          <cell r="E8570" t="str">
            <v>NAWADA, BIHAR</v>
          </cell>
          <cell r="G8570">
            <v>7272956960</v>
          </cell>
          <cell r="K8570" t="str">
            <v>BSFD161799</v>
          </cell>
        </row>
        <row r="8571">
          <cell r="E8571" t="str">
            <v>GAYA BIHAR</v>
          </cell>
          <cell r="G8571">
            <v>8789508241</v>
          </cell>
          <cell r="K8571" t="str">
            <v>BSAD161563</v>
          </cell>
        </row>
        <row r="8572">
          <cell r="E8572" t="str">
            <v>BALIDIH INDUSTRIAL AREA,BOKARO
PLOT NO. - A/2 (P) INDUSTRIAL AREA, BALIDIH BOKARO STEEL CITY - 14, BOKARO
827014
BOKARO INDUSTRIAL ESTATE</v>
          </cell>
          <cell r="G8572">
            <v>8340685984</v>
          </cell>
          <cell r="K8572" t="str">
            <v>BSJS035946</v>
          </cell>
        </row>
        <row r="8573">
          <cell r="E8573" t="str">
            <v>NAGRI,RANCHI
835303</v>
          </cell>
          <cell r="G8573">
            <v>9771432711</v>
          </cell>
          <cell r="K8573" t="str">
            <v>BJDET70060</v>
          </cell>
        </row>
        <row r="8574">
          <cell r="E8574" t="str">
            <v>H. NO. 22, RAHAT COLONY,, KADRU, RANCHI - 834 002, JHARKHAND</v>
          </cell>
          <cell r="G8574">
            <v>8051191796</v>
          </cell>
          <cell r="K8574" t="str">
            <v>BRGD161233</v>
          </cell>
        </row>
        <row r="8575">
          <cell r="E8575" t="str">
            <v>JHARKHAND</v>
          </cell>
          <cell r="G8575">
            <v>9441693704</v>
          </cell>
          <cell r="K8575" t="str">
            <v>BQJD160040</v>
          </cell>
        </row>
        <row r="8576">
          <cell r="E8576" t="str">
            <v>TISRI, GIRIDIH</v>
          </cell>
          <cell r="G8576">
            <v>6206552047</v>
          </cell>
          <cell r="K8576" t="str">
            <v>BSBD161624</v>
          </cell>
        </row>
        <row r="8577">
          <cell r="E8577" t="str">
            <v>GIRIDIH</v>
          </cell>
          <cell r="G8577">
            <v>9204652163</v>
          </cell>
          <cell r="K8577" t="str">
            <v>BHGS040241</v>
          </cell>
        </row>
        <row r="8578">
          <cell r="E8578" t="str">
            <v>GIRIDIH</v>
          </cell>
          <cell r="G8578">
            <v>9204652163</v>
          </cell>
          <cell r="K8578" t="str">
            <v>BKCS040427</v>
          </cell>
        </row>
        <row r="8579">
          <cell r="E8579" t="str">
            <v>62, KOKAR INDUSTRIAL AREA, KOKAR,RANCHI.
834001</v>
          </cell>
          <cell r="G8579">
            <v>9534189364</v>
          </cell>
          <cell r="K8579" t="str">
            <v>BMFS031276</v>
          </cell>
        </row>
        <row r="8580">
          <cell r="E8580" t="str">
            <v>RAMGARH</v>
          </cell>
          <cell r="G8580">
            <v>7004377365</v>
          </cell>
          <cell r="K8580" t="str">
            <v>BLES031356</v>
          </cell>
        </row>
        <row r="8581">
          <cell r="E8581" t="str">
            <v>AT. BONGABAR, SANDI, RAMGARH, AMC  FROM 1-8-2019 TO 30-7-2020
829122
SANDI ,</v>
          </cell>
          <cell r="G8581">
            <v>7004377365</v>
          </cell>
          <cell r="K8581" t="str">
            <v>BLGS040605</v>
          </cell>
        </row>
        <row r="8582">
          <cell r="E8582" t="str">
            <v>B7-PHASE-3, BALIDIH INDUSTRIAL AREA BALIDIH, BOKARO STEEL CITY BOKARO, JHARKHAND
SUNDARAM STEELS PVT. LTD, B-7 PHASE-III,BOKARO INDUSTRIAL AREA,BALIDIH, BOKARO
827014</v>
          </cell>
          <cell r="G8582">
            <v>8001371916</v>
          </cell>
          <cell r="K8582" t="str">
            <v>BSFS043411</v>
          </cell>
        </row>
        <row r="8583">
          <cell r="E8583" t="str">
            <v>SHEETLA PRASAD SINGH,, MISHRA PADA, NEAR DURGA MANDIR,, JHARIA, DHANBAD - 828 111, JHARKHAND.</v>
          </cell>
          <cell r="G8583">
            <v>7644045555</v>
          </cell>
          <cell r="K8583" t="str">
            <v>BTKD162112</v>
          </cell>
        </row>
        <row r="8584">
          <cell r="E8584" t="str">
            <v>TISRI, GIRIDIH</v>
          </cell>
          <cell r="G8584">
            <v>6206552047</v>
          </cell>
          <cell r="K8584" t="str">
            <v>BSBD161624</v>
          </cell>
        </row>
        <row r="8585">
          <cell r="E8585" t="str">
            <v>URMILA TOWER, ROOM NO. 805, DHANBAD</v>
          </cell>
          <cell r="G8585">
            <v>9234669513</v>
          </cell>
          <cell r="K8585" t="str">
            <v>BTKD162074</v>
          </cell>
        </row>
        <row r="8586">
          <cell r="E8586" t="str">
            <v>KANCHI MOHALLA, WAR NO.26, BELWATIKA, DALTONGANJ</v>
          </cell>
          <cell r="G8586">
            <v>6205903205</v>
          </cell>
          <cell r="K8586" t="str">
            <v>BPAD160016</v>
          </cell>
        </row>
        <row r="8587">
          <cell r="E8587" t="str">
            <v>PIPARWAR,JHARKHAND
BAHERA, BENTI, PIPARWAR, CHATRA
825321</v>
          </cell>
          <cell r="G8587">
            <v>7488762314</v>
          </cell>
          <cell r="K8587" t="str">
            <v>BRGC373918</v>
          </cell>
        </row>
        <row r="8588">
          <cell r="E8588" t="str">
            <v>SHEETLA PRASAD SINGH,, MISHRA PADA, NEAR DURGA MANDIR,, JHARIA, DHANBAD - 828 111, JHARKHAND.</v>
          </cell>
          <cell r="G8588">
            <v>7644045555</v>
          </cell>
          <cell r="K8588" t="str">
            <v>BTDD162169</v>
          </cell>
        </row>
        <row r="8589">
          <cell r="E8589" t="str">
            <v>PALAMU,GARWA, JHARKHAND
822124
GARHWA ROAD, NEAR BCCL PALAMU,</v>
          </cell>
          <cell r="G8589">
            <v>9973536006</v>
          </cell>
          <cell r="K8589" t="str">
            <v>GOCS030806</v>
          </cell>
        </row>
        <row r="8590">
          <cell r="E8590" t="str">
            <v>TUPUDANA INDUSTRIAL AREA, RANCHI
PLOT NO. 114, TUPUDANA INDUSTRIAL AREA, TUPUDANA,HATIA, RANCHI
834002
RANCHI</v>
          </cell>
          <cell r="G8590">
            <v>9939738679</v>
          </cell>
          <cell r="K8590">
            <v>123434</v>
          </cell>
        </row>
        <row r="8591">
          <cell r="E8591" t="str">
            <v>RANCHI</v>
          </cell>
          <cell r="G8591">
            <v>9973536006</v>
          </cell>
          <cell r="K8591" t="str">
            <v>BLIS031950</v>
          </cell>
        </row>
        <row r="8592">
          <cell r="E8592" t="str">
            <v>CHAS, BOKARO
827013</v>
          </cell>
          <cell r="G8592">
            <v>7992434966</v>
          </cell>
          <cell r="K8592" t="str">
            <v>BSEC376103</v>
          </cell>
        </row>
        <row r="8593">
          <cell r="E8593" t="str">
            <v>TUPUDANA INDUSTRIAL AREA, RANCHI
PLOT NO. 114, TUPUDANA INDUSTRIAL AREA, TUPUDANA,HATIA, RANCHI
834002
RANCHI</v>
          </cell>
          <cell r="G8593">
            <v>9939738679</v>
          </cell>
          <cell r="K8593" t="str">
            <v>GOKS040088</v>
          </cell>
        </row>
        <row r="8594">
          <cell r="E8594" t="str">
            <v>URMILA TOWER, ROOM NO. 805, DHANBAD</v>
          </cell>
          <cell r="G8594">
            <v>9234669513</v>
          </cell>
          <cell r="K8594" t="str">
            <v>BTKD162074</v>
          </cell>
        </row>
        <row r="8595">
          <cell r="E8595" t="str">
            <v>ANKIT KUMAR SONTHALIA, R.N. BOSE ROAD, SATSANG GATE, NEAR HANUMAN MANDIR,, PURANDAHA, DEOGHAR, DIST. DUMKA,, JHARKHAND</v>
          </cell>
          <cell r="G8595">
            <v>7542025382</v>
          </cell>
          <cell r="K8595" t="str">
            <v>BTJD162040</v>
          </cell>
        </row>
        <row r="8596">
          <cell r="E8596" t="str">
            <v>HORHAP ROAD, MAHILONG, RANCHI
835103</v>
          </cell>
          <cell r="G8596">
            <v>9708039203</v>
          </cell>
          <cell r="K8596" t="str">
            <v>BRIC374329</v>
          </cell>
        </row>
        <row r="8597">
          <cell r="E8597" t="str">
            <v>DHANBAD</v>
          </cell>
          <cell r="G8597">
            <v>9083506628</v>
          </cell>
          <cell r="K8597" t="str">
            <v>BRGD161225</v>
          </cell>
        </row>
        <row r="8598">
          <cell r="E8598" t="str">
            <v>KATRAS DHANBAD</v>
          </cell>
          <cell r="G8598">
            <v>8210106692</v>
          </cell>
          <cell r="K8598" t="str">
            <v>BRBD160901</v>
          </cell>
        </row>
        <row r="8599">
          <cell r="E8599" t="str">
            <v>TUPUDANA INDUSTRIAL AREA,RANCHI
834003</v>
          </cell>
          <cell r="G8599">
            <v>9835167418</v>
          </cell>
          <cell r="K8599" t="str">
            <v>BRIS035695</v>
          </cell>
        </row>
        <row r="8600">
          <cell r="E8600" t="str">
            <v>RAMPUR</v>
          </cell>
          <cell r="G8600">
            <v>9546884024</v>
          </cell>
          <cell r="K8600" t="str">
            <v>BSAD120582</v>
          </cell>
        </row>
        <row r="8601">
          <cell r="E8601" t="str">
            <v>KOKAR
834001</v>
          </cell>
          <cell r="G8601">
            <v>9771457002</v>
          </cell>
          <cell r="K8601" t="str">
            <v>BSDC375892</v>
          </cell>
        </row>
        <row r="8602">
          <cell r="E8602" t="str">
            <v>BANDHIYA RAOD, NAGRI RANCHI, MOB.8709325266
834006
BANDHIYA ROAD, NAGARI RANCHI</v>
          </cell>
          <cell r="G8602">
            <v>9110022503</v>
          </cell>
          <cell r="K8602" t="str">
            <v>BLFS040558</v>
          </cell>
        </row>
        <row r="8603">
          <cell r="E8603" t="str">
            <v>GOLA,RAMGARH
829110
TITLA GOLA,</v>
          </cell>
          <cell r="G8603">
            <v>7764975820</v>
          </cell>
          <cell r="K8603" t="str">
            <v>BJBS040305</v>
          </cell>
        </row>
        <row r="8604">
          <cell r="E8604" t="str">
            <v>NAGRI,RANCHI
835202
RANCHI</v>
          </cell>
          <cell r="G8604">
            <v>9304482300</v>
          </cell>
          <cell r="K8604">
            <v>108441</v>
          </cell>
        </row>
        <row r="8605">
          <cell r="E8605" t="str">
            <v>REG. OFFICE: UNIT 106, MAHABIR TOWER, JOKHIRAM LANE, MAIN ROAD, RANCHI - 834 001
REG. OFFICE: UNIT 106, MAHABIR TOWER, JOKHIRAM LANE, MAIN ROAD, RANCHI - 834 001
835214</v>
          </cell>
          <cell r="G8605">
            <v>8340323546</v>
          </cell>
          <cell r="K8605" t="str">
            <v>BSDS043254</v>
          </cell>
        </row>
        <row r="8606">
          <cell r="E8606" t="str">
            <v>NAGRI, RANCHI
TIKRATOLI, P.O:- NAGRI, RANCHI
834006</v>
          </cell>
          <cell r="G8606">
            <v>9608884161</v>
          </cell>
          <cell r="K8606" t="str">
            <v>BKKS030393</v>
          </cell>
        </row>
        <row r="8607">
          <cell r="E8607" t="str">
            <v>KOKAR
834001</v>
          </cell>
          <cell r="G8607">
            <v>9771457002</v>
          </cell>
          <cell r="K8607" t="str">
            <v>BSDC375892</v>
          </cell>
        </row>
        <row r="8608">
          <cell r="E8608" t="str">
            <v>GHATO
825314</v>
          </cell>
          <cell r="G8608">
            <v>9262290295</v>
          </cell>
          <cell r="K8608">
            <v>124371</v>
          </cell>
        </row>
        <row r="8609">
          <cell r="E8609" t="str">
            <v>UNIT OF HERITAGE LANDMARKS AUTOWORLD PVT. LTD., NEAR KAMRE AASHRAM, P.O. KAMRE, RATU ROAD, RANCHI
835214</v>
          </cell>
          <cell r="G8609">
            <v>9905571061</v>
          </cell>
          <cell r="K8609" t="str">
            <v>BQFC370869</v>
          </cell>
        </row>
        <row r="8610">
          <cell r="E8610" t="str">
            <v>JHARKHAND</v>
          </cell>
          <cell r="G8610">
            <v>9441693704</v>
          </cell>
          <cell r="K8610" t="str">
            <v>BQJD160040</v>
          </cell>
        </row>
        <row r="8611">
          <cell r="E8611" t="str">
            <v>HOSHIR GIDDI,RAMGARH
NEAR P.N. BANK MAIN ROAD, RAMGARH CANTT. 829122
829110</v>
          </cell>
          <cell r="G8611">
            <v>8789325754</v>
          </cell>
          <cell r="K8611" t="str">
            <v>BRHS035368</v>
          </cell>
        </row>
        <row r="8612">
          <cell r="E8612" t="str">
            <v>GHATO
825314</v>
          </cell>
          <cell r="G8612">
            <v>7632987403</v>
          </cell>
          <cell r="K8612">
            <v>124380</v>
          </cell>
        </row>
        <row r="8613">
          <cell r="E8613" t="str">
            <v>LODNA</v>
          </cell>
          <cell r="G8613">
            <v>9550053031</v>
          </cell>
          <cell r="K8613" t="str">
            <v>BQKD160099</v>
          </cell>
        </row>
        <row r="8614">
          <cell r="E8614" t="str">
            <v>GHATO
825314</v>
          </cell>
          <cell r="G8614">
            <v>7632987403</v>
          </cell>
          <cell r="K8614">
            <v>124380</v>
          </cell>
        </row>
        <row r="8615">
          <cell r="E8615" t="str">
            <v>SIKIDRI,RANCHI
835219
RANCHI</v>
          </cell>
          <cell r="G8615">
            <v>7484908842</v>
          </cell>
          <cell r="K8615" t="str">
            <v>BJGS031440</v>
          </cell>
        </row>
        <row r="8616">
          <cell r="E8616" t="str">
            <v>DEMO TANND HAZAIBAGH JHARKHAND,
825301
DEMO TANND HAZAIBAGH JHARKHAND</v>
          </cell>
          <cell r="G8616">
            <v>9431170158</v>
          </cell>
          <cell r="K8616" t="str">
            <v>BMDS040417</v>
          </cell>
        </row>
        <row r="8617">
          <cell r="E8617" t="str">
            <v>GHATO
825314</v>
          </cell>
          <cell r="G8617">
            <v>7632987403</v>
          </cell>
          <cell r="K8617">
            <v>124371</v>
          </cell>
        </row>
        <row r="8618">
          <cell r="E8618" t="str">
            <v>KANKANI</v>
          </cell>
          <cell r="G8618">
            <v>7903501425</v>
          </cell>
          <cell r="K8618" t="str">
            <v>BRBD160892</v>
          </cell>
        </row>
        <row r="8619">
          <cell r="E8619" t="str">
            <v>SHADEV NAGAR
834002
SHADEV NAGAR</v>
          </cell>
          <cell r="G8619">
            <v>9431395214</v>
          </cell>
          <cell r="K8619" t="str">
            <v>GOHC370857</v>
          </cell>
        </row>
        <row r="8620">
          <cell r="E8620" t="str">
            <v>GROUND FLOOR,, OFFICE NO.448A, ROAD NO.4, ASHOK NAGAR
GROUND FLOOR,, OFFICE NO.448A, ROAD NO.4, ASHOK NAGAR
829118
PLOT NO:- 47P, PATRATU INDUSTRIAL AREA</v>
          </cell>
          <cell r="G8620">
            <v>7541959324</v>
          </cell>
          <cell r="K8620" t="str">
            <v>GOGC370754</v>
          </cell>
        </row>
        <row r="8621">
          <cell r="E8621" t="str">
            <v>TATISIWAI INDUSTRIAL AREA, RANCHI
835103
TATISILWAY RANCHI</v>
          </cell>
          <cell r="G8621">
            <v>9122209999</v>
          </cell>
          <cell r="K8621" t="str">
            <v>BNJC370072</v>
          </cell>
        </row>
        <row r="8622">
          <cell r="E8622" t="str">
            <v>GROUND FLOOR, 8H AND 81, NATION PRINTERS, NAMKUM INDUSTRIAL AREA,, LOWADIH, RANCHI
GROUND FLOOR, 8H AND 81, NATION PRINTERS, NAMKUM INDUSTRIAL AREA,, LOWADIH, RANCHI
834010</v>
          </cell>
          <cell r="G8622">
            <v>9386895542</v>
          </cell>
          <cell r="K8622" t="str">
            <v>BRCC372871</v>
          </cell>
        </row>
        <row r="8623">
          <cell r="E8623" t="str">
            <v>ANKIT KUMAR SONTHALIA, R.N. BOSE ROAD, SATSANG GATE, NEAR HANUMAN MANDIR,, PURANDAHA, DEOGHAR, DIST. DUMKA,, JHARKHAND</v>
          </cell>
          <cell r="G8623">
            <v>7542025382</v>
          </cell>
          <cell r="K8623" t="str">
            <v>BSFD161795</v>
          </cell>
        </row>
        <row r="8624">
          <cell r="E8624" t="str">
            <v>NAGRI, RANCHI
TIKRATOLI, P.O:- NAGRI, RANCHI
834006</v>
          </cell>
          <cell r="G8624">
            <v>9608884161</v>
          </cell>
          <cell r="K8624" t="str">
            <v>BKKS030393</v>
          </cell>
        </row>
        <row r="8625">
          <cell r="E8625" t="str">
            <v>TUPUDANA INDUSTRIAL AREA, RANCHI
PLOT NO. 114, TUPUDANA INDUSTRIAL AREA, TUPUDANA,HATIA, RANCHI
834002
RANCHI</v>
          </cell>
          <cell r="G8625">
            <v>9939738679</v>
          </cell>
          <cell r="K8625" t="str">
            <v>GOKS040088</v>
          </cell>
        </row>
        <row r="8626">
          <cell r="E8626" t="str">
            <v>TUPUDANA INDUSTRIAL AREA, RANCHI
PLOT NO. 114, TUPUDANA INDUSTRIAL AREA, TUPUDANA,HATIA, RANCHI
834002
RANCHI</v>
          </cell>
          <cell r="G8626">
            <v>9534249600</v>
          </cell>
          <cell r="K8626">
            <v>123434</v>
          </cell>
        </row>
        <row r="8627">
          <cell r="E8627" t="str">
            <v>ARGADA ROAD, BINJHAR, P.O. - MARAR, RAMGARH
829117</v>
          </cell>
          <cell r="G8627">
            <v>8294504879</v>
          </cell>
          <cell r="K8627" t="str">
            <v>BSCS037449</v>
          </cell>
        </row>
        <row r="8628">
          <cell r="E8628" t="str">
            <v>ANKIT KUMAR SONTHALIA, R.N. BOSE ROAD, SATSANG GATE, NEAR HANUMAN MANDIR,, PURANDAHA, DEOGHAR, DIST. DUMKA,, JHARKHAND</v>
          </cell>
          <cell r="G8628">
            <v>7542025382</v>
          </cell>
          <cell r="K8628" t="str">
            <v>BSFD161795</v>
          </cell>
        </row>
        <row r="8629">
          <cell r="E8629" t="str">
            <v>BASJORA</v>
          </cell>
          <cell r="G8629">
            <v>8668006217</v>
          </cell>
          <cell r="K8629" t="str">
            <v>BRKD200211</v>
          </cell>
        </row>
        <row r="8630">
          <cell r="E8630" t="str">
            <v>BASJORA</v>
          </cell>
          <cell r="G8630">
            <v>8668006217</v>
          </cell>
          <cell r="K8630" t="str">
            <v>BRED161077</v>
          </cell>
        </row>
        <row r="8631">
          <cell r="E8631" t="str">
            <v>NAGARI,</v>
          </cell>
          <cell r="G8631">
            <v>9297706123</v>
          </cell>
          <cell r="K8631" t="str">
            <v>BILS030211</v>
          </cell>
        </row>
        <row r="8632">
          <cell r="E8632" t="str">
            <v>TATISIWAI INDUSTRIAL AREA, RANCHI
835103
TATISILWAY RANCHI</v>
          </cell>
          <cell r="G8632">
            <v>9122209999</v>
          </cell>
          <cell r="K8632" t="str">
            <v>BNJC370072</v>
          </cell>
        </row>
        <row r="8633">
          <cell r="E8633" t="str">
            <v>RANCHI ROAD,RAMGARH 
DIGWAR,RAMGARH
829122
DIGWAR , RANCHI ROAD ,</v>
          </cell>
          <cell r="G8633">
            <v>7004848564</v>
          </cell>
          <cell r="K8633" t="str">
            <v>BSFC376459</v>
          </cell>
        </row>
        <row r="8634">
          <cell r="E8634" t="str">
            <v>RAVULA SHYAM SUNDER REDDY, HOUSE NO. 3-5-196/1, ROAD NO. 5M, KRISHNANAGAR COLONY, MOULALI, HYDRABAD</v>
          </cell>
          <cell r="G8634">
            <v>6200658072</v>
          </cell>
          <cell r="K8634" t="str">
            <v>BSCD161691</v>
          </cell>
        </row>
        <row r="8635">
          <cell r="E8635" t="str">
            <v>KUSUNDA DHANBAD</v>
          </cell>
          <cell r="G8635">
            <v>8210106692</v>
          </cell>
          <cell r="K8635" t="str">
            <v>BRDD161036</v>
          </cell>
        </row>
        <row r="8636">
          <cell r="E8636" t="str">
            <v>KUSUNDA DHANBAD</v>
          </cell>
          <cell r="G8636">
            <v>8210106692</v>
          </cell>
          <cell r="K8636" t="str">
            <v>BQCD160129</v>
          </cell>
        </row>
        <row r="8637">
          <cell r="E8637" t="str">
            <v>SONARDHI</v>
          </cell>
          <cell r="G8637">
            <v>9570178502</v>
          </cell>
          <cell r="K8637" t="str">
            <v>BRCD160940</v>
          </cell>
        </row>
        <row r="8638">
          <cell r="E8638" t="str">
            <v>SONARDHI</v>
          </cell>
          <cell r="G8638">
            <v>9570178502</v>
          </cell>
          <cell r="K8638" t="str">
            <v>BRHD161312</v>
          </cell>
        </row>
        <row r="8639">
          <cell r="E8639" t="str">
            <v>TATISILWAI, JHARKHAND
835103</v>
          </cell>
          <cell r="G8639">
            <v>6200160428</v>
          </cell>
          <cell r="K8639" t="str">
            <v>BQHS040705</v>
          </cell>
        </row>
        <row r="8640">
          <cell r="E8640" t="str">
            <v>NAGARI RANCHI
NAGARI RANCHI
835303</v>
          </cell>
          <cell r="G8640">
            <v>9752567399</v>
          </cell>
          <cell r="K8640" t="str">
            <v>BKJS030050</v>
          </cell>
        </row>
        <row r="8641">
          <cell r="E8641" t="str">
            <v>KATITARH,RANCHI
835222</v>
          </cell>
          <cell r="G8641">
            <v>8825286094</v>
          </cell>
          <cell r="K8641" t="str">
            <v>BSAS036940</v>
          </cell>
        </row>
        <row r="8642">
          <cell r="E8642" t="str">
            <v>TUPUDANA INDUSTRIAL AREA</v>
          </cell>
          <cell r="G8642">
            <v>9534249500</v>
          </cell>
          <cell r="K8642" t="str">
            <v>BMBS030816</v>
          </cell>
        </row>
        <row r="8643">
          <cell r="E8643" t="str">
            <v>NAGARI,</v>
          </cell>
          <cell r="G8643">
            <v>9297706123</v>
          </cell>
          <cell r="K8643" t="str">
            <v>BILS030211</v>
          </cell>
        </row>
        <row r="8644">
          <cell r="E8644" t="str">
            <v>BALIDIH INDUSTRIAL AREA
827014</v>
          </cell>
          <cell r="G8644">
            <v>8619424665</v>
          </cell>
          <cell r="K8644" t="str">
            <v>BTDS044304</v>
          </cell>
        </row>
        <row r="8645">
          <cell r="E8645" t="str">
            <v>SAHEBGANJ, JHARKHAND</v>
          </cell>
          <cell r="G8645">
            <v>8972916506</v>
          </cell>
          <cell r="K8645" t="str">
            <v>BSID161973</v>
          </cell>
        </row>
        <row r="8646">
          <cell r="E8646" t="str">
            <v>ITKI ROAD,RANCHI
834008
ITKI ROAD</v>
          </cell>
          <cell r="G8646">
            <v>9905765559</v>
          </cell>
          <cell r="K8646" t="str">
            <v>GPKC370119</v>
          </cell>
        </row>
        <row r="8647">
          <cell r="E8647" t="str">
            <v>TUPUDANA INDUSTRIAL AREA, RANCHI
PLOT NO. 114, TUPUDANA INDUSTRIAL AREA, TUPUDANA,HATIA, RANCHI
834002
RANCHI</v>
          </cell>
          <cell r="G8647">
            <v>9534249600</v>
          </cell>
          <cell r="K8647">
            <v>123434</v>
          </cell>
        </row>
        <row r="8648">
          <cell r="E8648" t="str">
            <v>TUPUDANA INDUSTRIAL AREA, RANCHI
PLOT NO. 114, TUPUDANA INDUSTRIAL AREA, TUPUDANA,HATIA, RANCHI
834002
RANCHI</v>
          </cell>
          <cell r="G8648">
            <v>9534249600</v>
          </cell>
          <cell r="K8648" t="str">
            <v>GOKS040088</v>
          </cell>
        </row>
        <row r="8649">
          <cell r="E8649" t="str">
            <v>NAGRI,RANCHI
835202
RANCHI</v>
          </cell>
          <cell r="G8649">
            <v>9608884168</v>
          </cell>
          <cell r="K8649" t="str">
            <v>BIGS030904</v>
          </cell>
        </row>
        <row r="8650">
          <cell r="E8650" t="str">
            <v>NAGRI, RANCHI
TIKRATOLI, P.O:- NAGRI, RANCHI
834006</v>
          </cell>
          <cell r="G8650">
            <v>9608884161</v>
          </cell>
          <cell r="K8650" t="str">
            <v>BKKS030393</v>
          </cell>
        </row>
        <row r="8651">
          <cell r="E8651" t="str">
            <v>NAGARI,</v>
          </cell>
          <cell r="G8651">
            <v>9297706123</v>
          </cell>
          <cell r="K8651" t="str">
            <v>BILS030211</v>
          </cell>
        </row>
        <row r="8652">
          <cell r="E8652" t="str">
            <v>NAGARI,</v>
          </cell>
          <cell r="G8652">
            <v>9297706123</v>
          </cell>
          <cell r="K8652" t="str">
            <v>BLGS040582</v>
          </cell>
        </row>
        <row r="8653">
          <cell r="E8653" t="str">
            <v>KAMRE
835222</v>
          </cell>
          <cell r="G8653">
            <v>7541898135</v>
          </cell>
          <cell r="K8653" t="str">
            <v>BTCC377923</v>
          </cell>
        </row>
        <row r="8654">
          <cell r="E8654" t="str">
            <v>BASTAWLA DHANBAD</v>
          </cell>
          <cell r="G8654">
            <v>9550053031</v>
          </cell>
          <cell r="K8654" t="str">
            <v>BTJD162046</v>
          </cell>
        </row>
        <row r="8655">
          <cell r="E8655" t="str">
            <v>CHUTIYA RANCHI</v>
          </cell>
          <cell r="G8655">
            <v>7091052057</v>
          </cell>
          <cell r="K8655" t="str">
            <v>BQDD20043</v>
          </cell>
        </row>
        <row r="8656">
          <cell r="E8656" t="str">
            <v>HOSHIR GIDDI,RAMGARH
NEAR P.N. BANK MAIN ROAD, RAMGARH CANTT. 829122
829110</v>
          </cell>
          <cell r="G8656">
            <v>8789325754</v>
          </cell>
          <cell r="K8656" t="str">
            <v>BRHS035368</v>
          </cell>
        </row>
        <row r="8657">
          <cell r="E8657" t="str">
            <v>RAMGARH,JHARKHAND
825101
RAMGARH</v>
          </cell>
          <cell r="G8657">
            <v>6201431636</v>
          </cell>
          <cell r="K8657" t="str">
            <v>BSGC376585</v>
          </cell>
        </row>
        <row r="8658">
          <cell r="E8658" t="str">
            <v>KOKAR INDUSTRIAL AREA,,RANCHI
834002
KOKAR INDUSTRIAL AREA RANCHI</v>
          </cell>
          <cell r="G8658">
            <v>9263186366</v>
          </cell>
          <cell r="K8658" t="str">
            <v>BPLF150007</v>
          </cell>
        </row>
        <row r="8659">
          <cell r="E8659" t="str">
            <v>SHEETLA PRASAD SINGH,, MISHRA PADA, NEAR DURGA MANDIR,, JHARIA, DHANBAD - 828 111, JHARKHAND.</v>
          </cell>
          <cell r="G8659">
            <v>7644045555</v>
          </cell>
          <cell r="K8659" t="str">
            <v>BTKD162112</v>
          </cell>
        </row>
        <row r="8660">
          <cell r="E8660" t="str">
            <v>SHEETLA PRASAD SINGH,, MISHRA PADA, NEAR DURGA MANDIR,, JHARIA, DHANBAD - 828 111, JHARKHAND.</v>
          </cell>
          <cell r="G8660">
            <v>7644045555</v>
          </cell>
          <cell r="K8660" t="str">
            <v>BTCD162149</v>
          </cell>
        </row>
        <row r="8661">
          <cell r="E8661" t="str">
            <v>(SUNIL KUMAR), NEAR GRASIM INDUTRIES LTD.,, DIST. GANJAM</v>
          </cell>
          <cell r="G8661">
            <v>9090909950</v>
          </cell>
          <cell r="K8661" t="str">
            <v>BTDS030460</v>
          </cell>
        </row>
        <row r="8662">
          <cell r="E8662" t="str">
            <v>RAMGARH
829103
NAYA MORE</v>
          </cell>
          <cell r="G8662">
            <v>7739460263</v>
          </cell>
          <cell r="K8662" t="str">
            <v>BPCS030196</v>
          </cell>
        </row>
        <row r="8663">
          <cell r="E8663" t="str">
            <v>RAMGARH
829103
NAYA MORE</v>
          </cell>
          <cell r="G8663">
            <v>7739460263</v>
          </cell>
          <cell r="K8663" t="str">
            <v>BRGS035169</v>
          </cell>
        </row>
        <row r="8664">
          <cell r="E8664" t="str">
            <v>HOSHIR GIDDI,RAMGARH
NEAR P.N. BANK MAIN ROAD, RAMGARH CANTT. 829122
829110</v>
          </cell>
          <cell r="G8664">
            <v>8789325754</v>
          </cell>
          <cell r="K8664" t="str">
            <v>BRHS035368</v>
          </cell>
        </row>
        <row r="8665">
          <cell r="E8665" t="str">
            <v>RAMGARH SPONGE IRON PVT LTD VILLAGE:HOSHIR GIDDI-POHAZARIBAGH(DT)JHARKHAND IND
829110</v>
          </cell>
          <cell r="G8665">
            <v>8789325754</v>
          </cell>
          <cell r="K8665" t="str">
            <v>BKCS040470</v>
          </cell>
        </row>
        <row r="8666">
          <cell r="E8666" t="str">
            <v>HOSHIR GIDDI,RAMGARH
NEAR P.N. BANK MAIN ROAD, RAMGARH CANTT. 829122
829110</v>
          </cell>
          <cell r="G8666">
            <v>8789325754</v>
          </cell>
          <cell r="K8666" t="str">
            <v>GPJS030042</v>
          </cell>
        </row>
        <row r="8667">
          <cell r="E8667" t="str">
            <v>HESLA,RAMGARH
829101</v>
          </cell>
          <cell r="G8667">
            <v>8250717743</v>
          </cell>
          <cell r="K8667" t="str">
            <v>BSDS037710</v>
          </cell>
        </row>
        <row r="8668">
          <cell r="E8668" t="str">
            <v>AT: SENEGARHA, P.O-RABODH, P.S-GIDDI,(RAMGARH),, DISTT. HAZARIBAGH,JHARKHAND-825330
829108
AT: SENEGARHA, P.O-RABODH, P.S-GIDDI,(RAMGARH),</v>
          </cell>
          <cell r="G8668">
            <v>8250717743</v>
          </cell>
          <cell r="K8668" t="str">
            <v>BRAS033261</v>
          </cell>
        </row>
        <row r="8669">
          <cell r="E8669" t="str">
            <v>AT: SENEGARHA, P.O-RABODH, P.S-GIDDI,(RAMGARH),, DISTT. HAZARIBAGH,JHARKHAND-825330
829108
AT: SENEGARHA, P.O-RABODH, P.S-GIDDI,(RAMGARH),</v>
          </cell>
          <cell r="G8669">
            <v>8250717743</v>
          </cell>
          <cell r="K8669" t="str">
            <v>BSCS037349</v>
          </cell>
        </row>
        <row r="8670">
          <cell r="E8670" t="str">
            <v>DHANBAD</v>
          </cell>
          <cell r="G8670">
            <v>9441693704</v>
          </cell>
          <cell r="K8670" t="str">
            <v>BTDD162183</v>
          </cell>
        </row>
        <row r="8671">
          <cell r="E8671" t="str">
            <v>NAYA MORE,RAMGARH
ARA SARU BERA ROAD, NAYA, RAMGARH,JHARKHAND
829110
NAYA MORE</v>
          </cell>
          <cell r="G8671">
            <v>8651078549</v>
          </cell>
          <cell r="K8671" t="str">
            <v>BQBS033796</v>
          </cell>
        </row>
        <row r="8672">
          <cell r="E8672" t="str">
            <v>DHANBAD</v>
          </cell>
          <cell r="G8672">
            <v>9546535031</v>
          </cell>
          <cell r="K8672" t="str">
            <v>BRAD160803</v>
          </cell>
        </row>
        <row r="8673">
          <cell r="E8673" t="str">
            <v>TIKRATOLI,SAPAROM
NEAR LALGUTWA OVERBRIDGE, TIKRATOLI, SAPAROM,, NAGRI, RANCHI
835303</v>
          </cell>
          <cell r="G8673">
            <v>9608086621</v>
          </cell>
          <cell r="K8673" t="str">
            <v>BQCS040170</v>
          </cell>
        </row>
        <row r="8674">
          <cell r="E8674" t="str">
            <v>TIKRATOLI,SAPAROM
NEAR LALGUTWA OVERBRIDGE, TIKRATOLI, SAPAROM,, NAGRI, RANCHI
835303</v>
          </cell>
          <cell r="G8674">
            <v>7004423828</v>
          </cell>
          <cell r="K8674" t="str">
            <v>BKJS040077</v>
          </cell>
        </row>
        <row r="8675">
          <cell r="E8675" t="str">
            <v>TIKRATOLI,SAPAROM
NEAR LALGUTWA OVERBRIDGE, TIKRATOLI, SAPAROM,, NAGRI, RANCHI
835303</v>
          </cell>
          <cell r="G8675">
            <v>9608086621</v>
          </cell>
          <cell r="K8675" t="str">
            <v>BRGC373885</v>
          </cell>
        </row>
        <row r="8676">
          <cell r="E8676" t="str">
            <v>C/O RAJ KUMAR BHALA, DIWAN KUNJLAL LOHIA CHARITABLE TRUST, EAST MARKET ROAD, UPPER BAZAR,, RANCHI
834001</v>
          </cell>
          <cell r="G8676">
            <v>9234613522</v>
          </cell>
          <cell r="K8676" t="str">
            <v>BMDS031033</v>
          </cell>
        </row>
        <row r="8677">
          <cell r="E8677" t="str">
            <v>PLOT NO 716,VILL-RUKKA,
835219</v>
          </cell>
          <cell r="G8677">
            <v>8759215726</v>
          </cell>
          <cell r="K8677" t="str">
            <v>BSKS036366</v>
          </cell>
        </row>
        <row r="8678">
          <cell r="E8678" t="str">
            <v>HESLA,RAMGARH
829101</v>
          </cell>
          <cell r="G8678">
            <v>8862948833</v>
          </cell>
          <cell r="K8678" t="str">
            <v>BSJS035917</v>
          </cell>
        </row>
        <row r="8679">
          <cell r="E8679" t="str">
            <v>FLAT NO. 300, BLOCK - A, MP SRIRAM, CHHOTA GAMHARIA, P.S. - GAMHARIA, DIST.- SARAIKELA KHARSAWAN</v>
          </cell>
          <cell r="G8679">
            <v>8849448211</v>
          </cell>
          <cell r="K8679" t="str">
            <v>BRBL150944</v>
          </cell>
        </row>
        <row r="8680">
          <cell r="E8680" t="str">
            <v>FLAT NO. 300, BLOCK - A, MP SRIRAM, CHHOTA GAMHARIA, P.S. - GAMHARIA, DIST.- SARAIKELA KHARSAWAN</v>
          </cell>
          <cell r="G8680">
            <v>8849448211</v>
          </cell>
          <cell r="K8680" t="str">
            <v>BRGL151464</v>
          </cell>
        </row>
        <row r="8681">
          <cell r="E8681" t="str">
            <v>FLAT NO. 300, BLOCK - A, MP SRIRAM, CHHOTA GAMHARIA, P.S. - GAMHARIA, DIST.- SARAIKELA KHARSAWAN</v>
          </cell>
          <cell r="G8681">
            <v>8849448211</v>
          </cell>
          <cell r="K8681" t="str">
            <v>BRGL151468</v>
          </cell>
        </row>
        <row r="8682">
          <cell r="E8682" t="str">
            <v>ANKIT KUMAR SONTHALIA, R.N. BOSE ROAD, SATSANG GATE, NEAR HANUMAN MANDIR,, PURANDAHA, DEOGHAR, DIST. DUMKA,, JHARKHAND</v>
          </cell>
          <cell r="G8682">
            <v>7542025382</v>
          </cell>
          <cell r="K8682" t="str">
            <v>BTJD162040</v>
          </cell>
        </row>
        <row r="8683">
          <cell r="E8683" t="str">
            <v>ANKIT KUMAR SONTHALIA, R.N. BOSE ROAD, SATSANG GATE, NEAR HANUMAN MANDIR,, PURANDAHA, DEOGHAR, DIST. DUMKA,, JHARKHAND</v>
          </cell>
          <cell r="G8683">
            <v>7542025382</v>
          </cell>
          <cell r="K8683" t="str">
            <v>BSFD161795</v>
          </cell>
        </row>
        <row r="8684">
          <cell r="E8684" t="str">
            <v>KOKAR INDUSTRIAL AREA,,RANCHI
834002
KOKAR INDUSTRIAL AREA RANCHI</v>
          </cell>
          <cell r="G8684">
            <v>9431101890</v>
          </cell>
          <cell r="K8684" t="str">
            <v>BPLF150007</v>
          </cell>
        </row>
        <row r="8685">
          <cell r="E8685" t="str">
            <v>KOKAR
834001</v>
          </cell>
          <cell r="G8685">
            <v>9771457002</v>
          </cell>
          <cell r="K8685" t="str">
            <v>BSDC375892</v>
          </cell>
        </row>
        <row r="8686">
          <cell r="E8686" t="str">
            <v>CHANDMARI, JORAPHATAK,, DHANBAD</v>
          </cell>
          <cell r="G8686">
            <v>8668122316</v>
          </cell>
          <cell r="K8686" t="str">
            <v>BRGD161212</v>
          </cell>
        </row>
        <row r="8687">
          <cell r="E8687" t="str">
            <v>TUPUDANA INDUSTRIAL AREA, RANCHI
PLOT NO. - 45 &amp; 46, TUPUDAN AINDUSTRIAL AREA, TUPUDANA, HATIA, RANCHI
834003
TIPUDANA INDUSTRIAL AREA</v>
          </cell>
          <cell r="G8687">
            <v>8092355914</v>
          </cell>
          <cell r="K8687" t="str">
            <v>BQBS033819</v>
          </cell>
        </row>
        <row r="8688">
          <cell r="E8688" t="str">
            <v>ADITYAPUR</v>
          </cell>
          <cell r="G8688">
            <v>9234771111</v>
          </cell>
          <cell r="K8688" t="str">
            <v>BMEC370372</v>
          </cell>
        </row>
        <row r="8689">
          <cell r="E8689" t="str">
            <v>KOKAR INDUSTRIAL AREA,RANCHI
834002
KOKAR INDUSTRIAL AREA</v>
          </cell>
          <cell r="G8689">
            <v>7781022555</v>
          </cell>
          <cell r="K8689" t="str">
            <v>BRKC371988</v>
          </cell>
        </row>
        <row r="8690">
          <cell r="E8690" t="str">
            <v>RAVULA SHYAM SUNDER REDDY, HOUSE NO. 3-5-196/1, ROAD NO. 5M, KRISHNANAGAR COLONY, MOULALI, HYDRABAD</v>
          </cell>
          <cell r="G8690">
            <v>6200658072</v>
          </cell>
          <cell r="K8690" t="str">
            <v>BSCD161691</v>
          </cell>
        </row>
        <row r="8691">
          <cell r="E8691" t="str">
            <v>SHEETLA PRASAD SINGH,, MISHRA PADA, NEAR DURGA MANDIR,, JHARIA, DHANBAD - 828 111, JHARKHAND.</v>
          </cell>
          <cell r="G8691">
            <v>7644045555</v>
          </cell>
          <cell r="K8691" t="str">
            <v>BTCD162149</v>
          </cell>
        </row>
        <row r="8692">
          <cell r="E8692" t="str">
            <v>RAVULA SHYAM SUNDER REDDY, HOUSE NO. 3-5-196/1, ROAD NO. 5M, KRISHNANAGAR COLONY, MOULALI, HYDRABAD</v>
          </cell>
          <cell r="G8692">
            <v>6200658072</v>
          </cell>
          <cell r="K8692" t="str">
            <v>BSCD161691</v>
          </cell>
        </row>
        <row r="8693">
          <cell r="E8693" t="str">
            <v>RAMGARH CANTT, RAMGARH
RAMGARH
829122
RAMGARH</v>
          </cell>
          <cell r="G8693">
            <v>9576833882</v>
          </cell>
          <cell r="K8693" t="str">
            <v>BNKS030423</v>
          </cell>
        </row>
        <row r="8694">
          <cell r="E8694" t="str">
            <v>RAVULA SHYAM SUNDER REDDY, HOUSE NO. 3-5-196/1, ROAD NO. 5M, KRISHNANAGAR COLONY, MOULALI, HYDRABAD</v>
          </cell>
          <cell r="G8694">
            <v>6200658072</v>
          </cell>
          <cell r="K8694" t="str">
            <v>BSCD161691</v>
          </cell>
        </row>
        <row r="8695">
          <cell r="E8695" t="str">
            <v>ANGAR PATRA,DHANBAD</v>
          </cell>
          <cell r="G8695">
            <v>8210106692</v>
          </cell>
          <cell r="K8695" t="str">
            <v>BSDD161729</v>
          </cell>
        </row>
        <row r="8696">
          <cell r="E8696" t="str">
            <v>NAGRI,RANCHI
835202
RANCHI</v>
          </cell>
          <cell r="G8696">
            <v>7004122894</v>
          </cell>
          <cell r="K8696" t="str">
            <v>BRIS035698</v>
          </cell>
        </row>
        <row r="8697">
          <cell r="E8697" t="str">
            <v>REHLA,GARWA,JHARKHAND
822124
RANCHI</v>
          </cell>
          <cell r="G8697">
            <v>7004623399</v>
          </cell>
          <cell r="K8697" t="str">
            <v>GOIS031795</v>
          </cell>
        </row>
        <row r="8698">
          <cell r="E8698" t="str">
            <v>TOPA MINES, RAMGARH</v>
          </cell>
          <cell r="G8698">
            <v>9471109170</v>
          </cell>
          <cell r="K8698" t="str">
            <v>BSKD161467</v>
          </cell>
        </row>
        <row r="8699">
          <cell r="E8699" t="str">
            <v>TUPUDANA INDUSTRIAL AREA, RANCHI
PLOT NO. - 45 &amp; 46, TUPUDAN AINDUSTRIAL AREA, TUPUDANA, HATIA, RANCHI
834003
TIPUDANA INDUSTRIAL AREA</v>
          </cell>
          <cell r="G8699">
            <v>8092355914</v>
          </cell>
          <cell r="K8699" t="str">
            <v>BQBS033819</v>
          </cell>
        </row>
        <row r="8700">
          <cell r="E8700" t="str">
            <v>TUPUDANA INDUSTRIAL AREA</v>
          </cell>
          <cell r="G8700">
            <v>7978649310</v>
          </cell>
          <cell r="K8700" t="str">
            <v>BMBS030816</v>
          </cell>
        </row>
        <row r="8701">
          <cell r="E8701" t="str">
            <v>TIPUDANA INDUSTRIAL AREA, HATIA,</v>
          </cell>
          <cell r="G8701">
            <v>7978649310</v>
          </cell>
          <cell r="K8701" t="str">
            <v>BJGS031396</v>
          </cell>
        </row>
        <row r="8702">
          <cell r="E8702" t="str">
            <v>NAGRI, RANCHI
TIKRATOLI, P.O:- NAGRI, RANCHI
834006</v>
          </cell>
          <cell r="G8702">
            <v>9608884161</v>
          </cell>
          <cell r="K8702" t="str">
            <v>BKKS030393</v>
          </cell>
        </row>
        <row r="8703">
          <cell r="E8703" t="str">
            <v>TUPUDANA INDUSTRIAL AREA, RANCHI
PLOT NO. 114, TUPUDANA INDUSTRIAL AREA, TUPUDANA,HATIA, RANCHI
834002
RANCHI</v>
          </cell>
          <cell r="G8703">
            <v>9939738679</v>
          </cell>
          <cell r="K8703" t="str">
            <v>BNAS040245</v>
          </cell>
        </row>
        <row r="8704">
          <cell r="E8704" t="str">
            <v>TUPUDANA INDUSTRIAL AREA, RANCHI
PLOT NO. 114, TUPUDANA INDUSTRIAL AREA, TUPUDANA,HATIA, RANCHI
834002
RANCHI</v>
          </cell>
          <cell r="G8704">
            <v>9939738679</v>
          </cell>
          <cell r="K8704">
            <v>123434</v>
          </cell>
        </row>
        <row r="8705">
          <cell r="E8705" t="str">
            <v>TUPUDANA INDUSTRIAL AREA, RANCHI
PLOT NO. 114, TUPUDANA INDUSTRIAL AREA, TUPUDANA,HATIA, RANCHI
834002
RANCHI</v>
          </cell>
          <cell r="G8705">
            <v>9939738679</v>
          </cell>
          <cell r="K8705" t="str">
            <v>GOKS040088</v>
          </cell>
        </row>
        <row r="8706">
          <cell r="E8706" t="str">
            <v>BANDHIYA RAOD, NAGRI RANCHI, MOB.8709325266
834006
BANDHIYA ROAD, NAGARI RANCHI</v>
          </cell>
          <cell r="G8706">
            <v>9110022503</v>
          </cell>
          <cell r="K8706" t="str">
            <v>BLFS040558</v>
          </cell>
        </row>
        <row r="8707">
          <cell r="E8707" t="str">
            <v>NAGARI
 835303</v>
          </cell>
          <cell r="G8707">
            <v>9264443243</v>
          </cell>
          <cell r="K8707" t="str">
            <v>BREC373538</v>
          </cell>
        </row>
        <row r="8708">
          <cell r="E8708" t="str">
            <v>KISHOREGANJ, RANCHI
834001
KAMRE RAVI STEEL,</v>
          </cell>
          <cell r="G8708">
            <v>8709279344</v>
          </cell>
          <cell r="K8708" t="str">
            <v>GPKC370113</v>
          </cell>
        </row>
        <row r="8709">
          <cell r="E8709" t="str">
            <v>TILAIYA, KODERMA</v>
          </cell>
          <cell r="G8709">
            <v>8670056724</v>
          </cell>
          <cell r="K8709" t="str">
            <v>BTLS039785</v>
          </cell>
        </row>
        <row r="8710">
          <cell r="E8710" t="str">
            <v>DHANBAD</v>
          </cell>
          <cell r="G8710">
            <v>9263634417</v>
          </cell>
          <cell r="K8710" t="str">
            <v>BTCD162159</v>
          </cell>
        </row>
        <row r="8711">
          <cell r="E8711" t="str">
            <v>205, HARE RAM APARTMENT, KANKE ROAD OPP. HOLIDAY HOME, RANCHI</v>
          </cell>
          <cell r="G8711">
            <v>9234951903</v>
          </cell>
          <cell r="K8711" t="str">
            <v>BSID200615</v>
          </cell>
        </row>
        <row r="8712">
          <cell r="E8712" t="str">
            <v>ANGAR PATRA,DHANBAD</v>
          </cell>
          <cell r="G8712">
            <v>8210106692</v>
          </cell>
          <cell r="K8712" t="str">
            <v>BSDD161729</v>
          </cell>
        </row>
        <row r="8713">
          <cell r="E8713" t="str">
            <v>TATISILWAI, JHARKHAND
835103</v>
          </cell>
          <cell r="G8713">
            <v>6200160428</v>
          </cell>
          <cell r="K8713" t="str">
            <v>BQHS040705</v>
          </cell>
        </row>
        <row r="8714">
          <cell r="E8714" t="str">
            <v>SARAIKELA</v>
          </cell>
          <cell r="G8714">
            <v>7004039037</v>
          </cell>
          <cell r="K8714" t="str">
            <v>BSID220375</v>
          </cell>
        </row>
        <row r="8715">
          <cell r="E8715" t="str">
            <v>HORHAP ROAD, MAHILONG, RANCHI
835103
MAHILONG, TATISILWAI</v>
          </cell>
          <cell r="G8715">
            <v>7004994230</v>
          </cell>
          <cell r="K8715" t="str">
            <v>GPFC370737</v>
          </cell>
        </row>
        <row r="8716">
          <cell r="E8716" t="str">
            <v>RAMGARH CANTT, RAMGARH
RAMGARH
829122
RAMGARH</v>
          </cell>
          <cell r="G8716">
            <v>9905511245</v>
          </cell>
          <cell r="K8716" t="str">
            <v>BNKS030423</v>
          </cell>
        </row>
        <row r="8717">
          <cell r="E8717" t="str">
            <v>SHIVA JEE LANE, HARMU
834002</v>
          </cell>
          <cell r="G8717">
            <v>9431574189</v>
          </cell>
          <cell r="K8717" t="str">
            <v>BRGC374007</v>
          </cell>
        </row>
        <row r="8718">
          <cell r="E8718" t="str">
            <v>C/O RAJ KUMAR BHALA, DIWAN KUNJLAL LOHIA CHARITABLE TRUST, EAST MARKET ROAD, UPPER BAZAR,, RANCHI
834001</v>
          </cell>
          <cell r="G8718">
            <v>9234613522</v>
          </cell>
          <cell r="K8718" t="str">
            <v>BMDS031033</v>
          </cell>
        </row>
        <row r="8719">
          <cell r="E8719" t="str">
            <v>TUPUDANA INDUSTRIAL AREA, RANCHI
834003</v>
          </cell>
          <cell r="G8719">
            <v>9471712877</v>
          </cell>
          <cell r="K8719" t="str">
            <v>BQIC371432</v>
          </cell>
        </row>
        <row r="8720">
          <cell r="E8720" t="str">
            <v>CHANDIL BAZAR</v>
          </cell>
          <cell r="G8720">
            <v>7004590966</v>
          </cell>
          <cell r="K8720" t="str">
            <v>BRKD160684</v>
          </cell>
        </row>
        <row r="8721">
          <cell r="E8721" t="str">
            <v>11 PINJRAPOLE, HARMU ROAD, RANCHI
11 PINJRAPOLE, HARMU ROAD, RANCHI
834001
MAHILONG, TATISILWAY</v>
          </cell>
          <cell r="G8721">
            <v>9709000070</v>
          </cell>
          <cell r="K8721" t="str">
            <v>BNCC370425</v>
          </cell>
        </row>
        <row r="8722">
          <cell r="E8722" t="str">
            <v>HARMU, RANCHI
834001</v>
          </cell>
          <cell r="G8722">
            <v>9835339783</v>
          </cell>
          <cell r="K8722" t="str">
            <v>BSJC374595</v>
          </cell>
        </row>
        <row r="8723">
          <cell r="E8723" t="str">
            <v>SHEETLA PRASAD SINGH,, MISHRA PADA, NEAR DURGA MANDIR,, JHARIA, DHANBAD - 828 111, JHARKHAND.</v>
          </cell>
          <cell r="G8723">
            <v>7644045555</v>
          </cell>
          <cell r="K8723" t="str">
            <v>BTDD162169</v>
          </cell>
        </row>
        <row r="8724">
          <cell r="E8724" t="str">
            <v>38 MILLS AND GODOWNS AREA BURMAMINES, JAMSHEDPUR - 831007
831012</v>
          </cell>
          <cell r="G8724">
            <v>9204784818</v>
          </cell>
          <cell r="K8724" t="str">
            <v>BREC373493</v>
          </cell>
        </row>
        <row r="8725">
          <cell r="E8725" t="str">
            <v>JHARKHAND</v>
          </cell>
          <cell r="G8725">
            <v>9441693704</v>
          </cell>
          <cell r="K8725" t="str">
            <v>BQKD160099</v>
          </cell>
        </row>
        <row r="8726">
          <cell r="E8726" t="str">
            <v>REG. OFFICE: UNIT 106, MAHABIR TOWER, JOKHIRAM LANE, MAIN ROAD, RANCHI - 834 001
REG. OFFICE: UNIT 106, MAHABIR TOWER, JOKHIRAM LANE, MAIN ROAD, RANCHI - 834 001
835214</v>
          </cell>
          <cell r="G8726">
            <v>8340323546</v>
          </cell>
          <cell r="K8726" t="str">
            <v>BSDS043254</v>
          </cell>
        </row>
        <row r="8727">
          <cell r="E8727" t="str">
            <v>PAWAN KUMAR MISHRA,, KAHALGAON, BHAGALPUR, BIHAR - 813 203</v>
          </cell>
          <cell r="G8727">
            <v>9934225097</v>
          </cell>
          <cell r="K8727" t="str">
            <v>BSCL152143</v>
          </cell>
        </row>
        <row r="8728">
          <cell r="E8728" t="str">
            <v>SHEETLA PRASAD SINGH,, MISHRA PADA, NEAR DURGA MANDIR,, JHARIA, DHANBAD - 828 111, JHARKHAND.</v>
          </cell>
          <cell r="G8728">
            <v>7644045555</v>
          </cell>
          <cell r="K8728" t="str">
            <v>BTCD162149</v>
          </cell>
        </row>
        <row r="8729">
          <cell r="E8729" t="str">
            <v>B7-PHASE-3, BALIDIH INDUSTRIAL AREA BALIDIH, BOKARO STEEL CITY BOKARO, JHARKHAND
SUNDARAM STEELS PVT. LTD, B-7 PHASE-III,BOKARO INDUSTRIAL AREA,BALIDIH, BOKARO
827014</v>
          </cell>
          <cell r="G8729">
            <v>8001371916</v>
          </cell>
          <cell r="K8729" t="str">
            <v>BSFS043411</v>
          </cell>
        </row>
        <row r="8730">
          <cell r="E8730" t="str">
            <v>MW APJL PROJECT SITE
VILLAGE &amp;P.O. MOTIA, TEHSIL: GODDA DIST. GODDA, JHARKHAND- 874733
874733</v>
          </cell>
          <cell r="G8730">
            <v>9581574996</v>
          </cell>
          <cell r="K8730" t="str">
            <v>BTJS043846</v>
          </cell>
        </row>
        <row r="8731">
          <cell r="E8731" t="str">
            <v>BASTAWLA DHANBAD</v>
          </cell>
          <cell r="G8731">
            <v>9550053031</v>
          </cell>
          <cell r="K8731" t="str">
            <v>BTJD162046</v>
          </cell>
        </row>
        <row r="8732">
          <cell r="E8732" t="str">
            <v>PALAMU,GARWA, JHARKHAND
822124
GARHWA ROAD, NEAR BCCL PALAMU,</v>
          </cell>
          <cell r="G8732">
            <v>9973536006</v>
          </cell>
          <cell r="K8732" t="str">
            <v>GOCS030806</v>
          </cell>
        </row>
        <row r="8733">
          <cell r="E8733" t="str">
            <v>ANKIT KUMAR SONTHALIA, R.N. BOSE ROAD, SATSANG GATE, NEAR HANUMAN MANDIR,, PURANDAHA, DEOGHAR, DIST. DUMKA,, JHARKHAND</v>
          </cell>
          <cell r="G8733">
            <v>7542025382</v>
          </cell>
          <cell r="K8733" t="str">
            <v>BSID161979</v>
          </cell>
        </row>
        <row r="8734">
          <cell r="E8734" t="str">
            <v>ANKIT KUMAR SONTHALIA, R.N. BOSE ROAD, SATSANG GATE, NEAR HANUMAN MANDIR,, PURANDAHA, DEOGHAR, DIST. DUMKA,, JHARKHAND</v>
          </cell>
          <cell r="G8734">
            <v>7542025382</v>
          </cell>
          <cell r="K8734" t="str">
            <v>BSFD161819</v>
          </cell>
        </row>
        <row r="8735">
          <cell r="E8735" t="str">
            <v>GARHWA</v>
          </cell>
          <cell r="G8735">
            <v>7037240346</v>
          </cell>
          <cell r="K8735" t="str">
            <v>BQID160527</v>
          </cell>
        </row>
        <row r="8736">
          <cell r="E8736" t="str">
            <v>ANKIT KUMAR SONTHALIA, R.N. BOSE ROAD, SATSANG GATE, NEAR HANUMAN MANDIR,, PURANDAHA, DEOGHAR, DIST. DUMKA,, JHARKHAND</v>
          </cell>
          <cell r="G8736">
            <v>7542025382</v>
          </cell>
          <cell r="K8736" t="str">
            <v>BSFD161795</v>
          </cell>
        </row>
        <row r="8737">
          <cell r="E8737" t="str">
            <v>KAMRE
835222</v>
          </cell>
          <cell r="G8737">
            <v>7541898135</v>
          </cell>
          <cell r="K8737" t="str">
            <v>BTCC377923</v>
          </cell>
        </row>
        <row r="8738">
          <cell r="E8738" t="str">
            <v>ANKIT KUMAR SONTHALIA, R.N. BOSE ROAD, SATSANG GATE, NEAR HANUMAN MANDIR,, PURANDAHA, DEOGHAR, DIST. DUMKA,, JHARKHAND</v>
          </cell>
          <cell r="G8738">
            <v>7542025382</v>
          </cell>
          <cell r="K8738" t="str">
            <v>BSFD161795</v>
          </cell>
        </row>
        <row r="8739">
          <cell r="E8739" t="str">
            <v>SAHEBGANJ, JHARKHAND</v>
          </cell>
          <cell r="G8739">
            <v>7766904785</v>
          </cell>
          <cell r="K8739" t="str">
            <v>BTJD162047</v>
          </cell>
        </row>
        <row r="8740">
          <cell r="E8740" t="str">
            <v>RANCHI PATNA ROAD
DEMOTAND
825301
HAZARIBAGH</v>
          </cell>
          <cell r="G8740">
            <v>7209274781</v>
          </cell>
          <cell r="K8740" t="str">
            <v>BMBL160078</v>
          </cell>
        </row>
        <row r="8741">
          <cell r="E8741" t="str">
            <v>HESLA,RAMGARH
829101</v>
          </cell>
          <cell r="G8741">
            <v>8789350097</v>
          </cell>
          <cell r="K8741" t="str">
            <v>BSJS035917</v>
          </cell>
        </row>
        <row r="8742">
          <cell r="E8742" t="str">
            <v>REHLA, GARHWA ROAD, PALAMU D.T, JHARKHAND
PALAMU JHARKHAND 822124
INDIA</v>
          </cell>
          <cell r="G8742">
            <v>7004971081</v>
          </cell>
          <cell r="K8742" t="str">
            <v>BLFS031469</v>
          </cell>
        </row>
        <row r="8743">
          <cell r="E8743" t="str">
            <v>PATRATU RANCHI</v>
          </cell>
          <cell r="G8743">
            <v>9771426650</v>
          </cell>
          <cell r="K8743" t="str">
            <v>BSJL100041</v>
          </cell>
        </row>
        <row r="8744">
          <cell r="E8744" t="str">
            <v>HORHAP ROAD, MAHILONG, RANCHI
835103
MAHILONG, TATISILWAI</v>
          </cell>
          <cell r="G8744">
            <v>7004994230</v>
          </cell>
          <cell r="K8744" t="str">
            <v>GPFC370737</v>
          </cell>
        </row>
        <row r="8745">
          <cell r="E8745" t="str">
            <v>REHLA,GARWA,JHARKHAND
822124
RANCHI</v>
          </cell>
          <cell r="G8745">
            <v>9304009671</v>
          </cell>
          <cell r="K8745" t="str">
            <v>BMFS031346</v>
          </cell>
        </row>
        <row r="8746">
          <cell r="E8746" t="str">
            <v>NAMKUM INDUSTRIAL AREA,RANCHI
834010</v>
          </cell>
          <cell r="G8746">
            <v>9386408111</v>
          </cell>
          <cell r="K8746" t="str">
            <v>BRHS035337</v>
          </cell>
        </row>
        <row r="8747">
          <cell r="E8747" t="str">
            <v>NAMKUM INDUSTRIAL AREA,RANCHI
834010</v>
          </cell>
          <cell r="G8747">
            <v>9386408111</v>
          </cell>
          <cell r="K8747" t="str">
            <v>BRHS035337</v>
          </cell>
        </row>
        <row r="8748">
          <cell r="E8748" t="str">
            <v>MANDU, RAMGARH
JAISWAL COLONY, THANA CHOW,, RAMGARH CANTT. DIST. RAMGARH, JHARKHAND
825316
MANDU</v>
          </cell>
          <cell r="G8748">
            <v>6205951815</v>
          </cell>
          <cell r="K8748" t="str">
            <v>BSGS043527</v>
          </cell>
        </row>
        <row r="8749">
          <cell r="E8749" t="str">
            <v>MANDU, RAMGARH
JAISWAL COLONY, THANA CHOW,, RAMGARH CANTT. DIST. RAMGARH, JHARKHAND
825316
MANDU</v>
          </cell>
          <cell r="G8749">
            <v>6205951815</v>
          </cell>
          <cell r="K8749" t="str">
            <v>BSGS043528</v>
          </cell>
        </row>
        <row r="8750">
          <cell r="E8750" t="str">
            <v>TRIDENT PNEUMATICS PVT LTD   5/232,KNG PUDUR ROADSOMAYAMPALAYAM POSTCOIMBATORE IND</v>
          </cell>
          <cell r="G8750">
            <v>6204342637</v>
          </cell>
          <cell r="K8750" t="str">
            <v>BRCC373040</v>
          </cell>
        </row>
        <row r="8751">
          <cell r="E8751" t="str">
            <v>HAZARIBAGH
RANCHI JHARKHAND 834002
INDIA</v>
          </cell>
          <cell r="G8751" t="str">
            <v>7309672604 / 7361044447/9835535277</v>
          </cell>
          <cell r="K8751" t="str">
            <v>BKAS030685</v>
          </cell>
        </row>
        <row r="8752">
          <cell r="E8752" t="str">
            <v>NAMKUM INDUSTRIAL AREA,RANCHI
834010</v>
          </cell>
          <cell r="G8752">
            <v>9386408111</v>
          </cell>
          <cell r="K8752" t="str">
            <v>BRHS035337</v>
          </cell>
        </row>
        <row r="8753">
          <cell r="E8753" t="str">
            <v>KATRAS, DHANBAD</v>
          </cell>
          <cell r="G8753">
            <v>9798360305</v>
          </cell>
          <cell r="K8753" t="str">
            <v>BSKD161477</v>
          </cell>
        </row>
        <row r="8754">
          <cell r="E8754" t="str">
            <v>RAMGARH</v>
          </cell>
          <cell r="G8754">
            <v>7004377365</v>
          </cell>
          <cell r="K8754" t="str">
            <v>BLES031356</v>
          </cell>
        </row>
        <row r="8755">
          <cell r="E8755" t="str">
            <v>SHEETLA PRASAD SINGH,, MISHRA PADA, NEAR DURGA MANDIR,, JHARIA, DHANBAD - 828 111, JHARKHAND.</v>
          </cell>
          <cell r="G8755">
            <v>7644045555</v>
          </cell>
          <cell r="K8755" t="str">
            <v>BTKD162112</v>
          </cell>
        </row>
        <row r="8756">
          <cell r="E8756" t="str">
            <v>RAMGARH</v>
          </cell>
          <cell r="G8756">
            <v>9973223350</v>
          </cell>
          <cell r="K8756" t="str">
            <v>BKAS030601</v>
          </cell>
        </row>
        <row r="8757">
          <cell r="E8757" t="str">
            <v>SHEETLA PRASAD SINGH,, MISHRA PADA, NEAR DURGA MANDIR,, JHARIA, DHANBAD - 828 111, JHARKHAND.</v>
          </cell>
          <cell r="G8757">
            <v>7644045555</v>
          </cell>
          <cell r="K8757" t="str">
            <v>BTKD162112</v>
          </cell>
        </row>
        <row r="8758">
          <cell r="E8758" t="str">
            <v>TATISIWAI INDUSTRIAL AREA, RANCHI
835103
TATISILWAY RANCHI</v>
          </cell>
          <cell r="G8758">
            <v>7488690694</v>
          </cell>
          <cell r="K8758" t="str">
            <v>BSAS036958</v>
          </cell>
        </row>
        <row r="8759">
          <cell r="E8759" t="str">
            <v>SIMARIYA ROAD, CHATRA
825401</v>
          </cell>
          <cell r="G8759">
            <v>7779922031</v>
          </cell>
          <cell r="K8759" t="str">
            <v>BSFC376341</v>
          </cell>
        </row>
        <row r="8760">
          <cell r="E8760" t="str">
            <v>KIRIGARA, JHARKHAND</v>
          </cell>
          <cell r="G8760">
            <v>9304197720</v>
          </cell>
          <cell r="K8760" t="str">
            <v>BRGD161229</v>
          </cell>
        </row>
        <row r="8761">
          <cell r="E8761" t="str">
            <v>KOKAR INDUSTRIAL AREA,RANCHI
834001</v>
          </cell>
          <cell r="G8761">
            <v>8709740232</v>
          </cell>
          <cell r="K8761" t="str">
            <v>BPIC370386</v>
          </cell>
        </row>
        <row r="8762">
          <cell r="E8762" t="str">
            <v>KUSUNDA DHABAD</v>
          </cell>
          <cell r="G8762">
            <v>8210106692</v>
          </cell>
          <cell r="K8762" t="str">
            <v>BRCD160939</v>
          </cell>
        </row>
        <row r="8763">
          <cell r="E8763" t="str">
            <v>PLOT NO 716,VILL-RUKKA,
835219</v>
          </cell>
          <cell r="G8763">
            <v>8759215726</v>
          </cell>
          <cell r="K8763" t="str">
            <v>BSKS036366</v>
          </cell>
        </row>
        <row r="8764">
          <cell r="E8764" t="str">
            <v>DHANBAD</v>
          </cell>
          <cell r="G8764">
            <v>9585918025</v>
          </cell>
          <cell r="K8764" t="str">
            <v>BRCD160968</v>
          </cell>
        </row>
        <row r="8765">
          <cell r="E8765" t="str">
            <v>KODERMA
825410</v>
          </cell>
          <cell r="G8765">
            <v>7070098712</v>
          </cell>
          <cell r="K8765" t="str">
            <v>BLIS040713</v>
          </cell>
        </row>
        <row r="8766">
          <cell r="E8766" t="str">
            <v>NAGARI, RANCHI
834006</v>
          </cell>
          <cell r="G8766">
            <v>7255848442</v>
          </cell>
          <cell r="K8766" t="str">
            <v>BRAC372524</v>
          </cell>
        </row>
        <row r="8767">
          <cell r="E8767" t="str">
            <v>KODERMA
825410</v>
          </cell>
          <cell r="G8767">
            <v>7070098712</v>
          </cell>
          <cell r="K8767" t="str">
            <v>BLIS040713</v>
          </cell>
        </row>
        <row r="8768">
          <cell r="E8768" t="str">
            <v>RAMGARH</v>
          </cell>
          <cell r="G8768">
            <v>7004377365</v>
          </cell>
          <cell r="K8768" t="str">
            <v>BLES031356</v>
          </cell>
        </row>
        <row r="8769">
          <cell r="E8769" t="str">
            <v>BIT MESRA, RANCHI
835215
BIT MISRA, RANCHI</v>
          </cell>
          <cell r="G8769" t="str">
            <v>`</v>
          </cell>
          <cell r="K8769" t="str">
            <v>BPHS030467</v>
          </cell>
        </row>
        <row r="8770">
          <cell r="E8770" t="str">
            <v>RANCHI PATNA ROAD
DEMOTAND
825301
HAZARIBAGH</v>
          </cell>
          <cell r="G8770">
            <v>6203465926</v>
          </cell>
          <cell r="K8770" t="str">
            <v>BIFS040367</v>
          </cell>
        </row>
        <row r="8771">
          <cell r="E8771" t="str">
            <v>MARAR, RAMGARH, JHARKHAND
MARRAR RAMGARH, 9155729786
829117
MARAR</v>
          </cell>
          <cell r="G8771">
            <v>9155729786</v>
          </cell>
          <cell r="K8771" t="str">
            <v>BMIS031759</v>
          </cell>
        </row>
        <row r="8772">
          <cell r="E8772" t="str">
            <v>REG. OFFICE: UNIT 106, MAHABIR TOWER, JOKHIRAM LANE, MAIN ROAD, RANCHI - 834 001
REG. OFFICE: UNIT 106, MAHABIR TOWER, JOKHIRAM LANE, MAIN ROAD, RANCHI - 834 001
835214</v>
          </cell>
          <cell r="G8772">
            <v>8340323546</v>
          </cell>
          <cell r="K8772" t="str">
            <v>BSDS043254</v>
          </cell>
        </row>
        <row r="8773">
          <cell r="E8773" t="str">
            <v>TRIDENT PNEUMATICS PVT LTD   5/232,KNG PUDUR ROADSOMAYAMPALAYAM POSTCOIMBATORE IND</v>
          </cell>
          <cell r="G8773">
            <v>6204342637</v>
          </cell>
          <cell r="K8773" t="str">
            <v>BRCC373040</v>
          </cell>
        </row>
        <row r="8774">
          <cell r="E8774" t="str">
            <v>B7-PHASE-3, BALIDIH INDUSTRIAL AREA BALIDIH, BOKARO STEEL CITY BOKARO, JHARKHAND
SUNDARAM STEELS PVT. LTD, B-7 PHASE-III,BOKARO INDUSTRIAL AREA,BALIDIH, BOKARO
827014</v>
          </cell>
          <cell r="G8774">
            <v>8001371916</v>
          </cell>
          <cell r="K8774" t="str">
            <v>BSFS043411</v>
          </cell>
        </row>
        <row r="8775">
          <cell r="E8775" t="str">
            <v>KOKAR INDUSTRIAL AREA,RANCHI
834002
KOKAR INDUSTRIAL AREA</v>
          </cell>
          <cell r="G8775">
            <v>7781022555</v>
          </cell>
          <cell r="K8775" t="str">
            <v>BRKC371988</v>
          </cell>
        </row>
        <row r="8776">
          <cell r="E8776" t="str">
            <v>KAMRE
835222</v>
          </cell>
          <cell r="G8776">
            <v>7541898135</v>
          </cell>
          <cell r="K8776" t="str">
            <v>BTCC377923</v>
          </cell>
        </row>
        <row r="8777">
          <cell r="E8777" t="str">
            <v>NAGARI,</v>
          </cell>
          <cell r="G8777">
            <v>9297706123</v>
          </cell>
          <cell r="K8777" t="str">
            <v>BLGS040582</v>
          </cell>
        </row>
        <row r="8778">
          <cell r="E8778" t="str">
            <v>NAGARI,</v>
          </cell>
          <cell r="G8778">
            <v>9297706123</v>
          </cell>
          <cell r="K8778" t="str">
            <v>BILS030211</v>
          </cell>
        </row>
        <row r="8779">
          <cell r="E8779" t="str">
            <v>501, H.NO.3-4-136/B., ROYAL ASHOK, RESIDENCY , BARKATPURA, HYDERABAD, TELANGANA - 500027</v>
          </cell>
          <cell r="G8779">
            <v>8210106692</v>
          </cell>
          <cell r="K8779" t="str">
            <v>BTJD162045</v>
          </cell>
        </row>
        <row r="8780">
          <cell r="E8780" t="str">
            <v>SHEETLA PRASAD SINGH,, MISHRA PADA, NEAR DURGA MANDIR,, JHARIA, DHANBAD - 828 111, JHARKHAND.</v>
          </cell>
          <cell r="G8780">
            <v>7644045555</v>
          </cell>
          <cell r="K8780" t="str">
            <v>BTCD162149</v>
          </cell>
        </row>
        <row r="8781">
          <cell r="E8781" t="str">
            <v>SHEETLA PRASAD SINGH,, MISHRA PADA, NEAR DURGA MANDIR,, JHARIA, DHANBAD - 828 111, JHARKHAND.</v>
          </cell>
          <cell r="G8781">
            <v>7644045555</v>
          </cell>
          <cell r="K8781" t="str">
            <v>BTCD162149</v>
          </cell>
        </row>
        <row r="8782">
          <cell r="E8782" t="str">
            <v>TUPUDANA INDUSTRIAL AREA,RANCHI
834001
TUPUDANA RANCHI</v>
          </cell>
          <cell r="G8782">
            <v>7672855821</v>
          </cell>
          <cell r="K8782" t="str">
            <v>GPGS031328</v>
          </cell>
        </row>
        <row r="8783">
          <cell r="E8783" t="str">
            <v>KOKAR INDUSTRIAL AREA,RANCHI
834001</v>
          </cell>
          <cell r="G8783">
            <v>8404822862</v>
          </cell>
          <cell r="K8783" t="str">
            <v>BSBC375535</v>
          </cell>
        </row>
        <row r="8784">
          <cell r="E8784" t="str">
            <v>HORHAP ROAD, MAHILONG, RANCHI
835103</v>
          </cell>
          <cell r="G8784">
            <v>9708039203</v>
          </cell>
          <cell r="K8784" t="str">
            <v>BRIC374329</v>
          </cell>
        </row>
        <row r="8785">
          <cell r="E8785" t="str">
            <v>SHEETLA PRASAD SINGH,, MISHRA PADA, NEAR DURGA MANDIR,, JHARIA, DHANBAD - 828 111, JHARKHAND.</v>
          </cell>
          <cell r="G8785">
            <v>7644045555</v>
          </cell>
          <cell r="K8785" t="str">
            <v>BTKD162112</v>
          </cell>
        </row>
        <row r="8786">
          <cell r="E8786" t="str">
            <v>RAMGARH</v>
          </cell>
          <cell r="G8786">
            <v>7004377365</v>
          </cell>
          <cell r="K8786" t="str">
            <v>BLES031356</v>
          </cell>
        </row>
        <row r="8787">
          <cell r="E8787" t="str">
            <v>SUNRISE COMPLEX, KATRAS ROAD,, MATKURIA, DHANBAD, JHARKHAND-826001, WORKS: BHELATAND, GOVINDPUR,, DHANBAD, JHARKHAND - 828109.
828109</v>
          </cell>
          <cell r="G8787">
            <v>7280055806</v>
          </cell>
          <cell r="K8787" t="str">
            <v>BTLS044130</v>
          </cell>
        </row>
        <row r="8788">
          <cell r="E8788" t="str">
            <v>TIRUDIH , POST GHATDULMI, KANDRA ROAD, CHOWKA
832401
TIRUDIH , POST GHATDULMI, CHOWKA, KANDRA ROAD, SAR</v>
          </cell>
          <cell r="G8788">
            <v>8918324986</v>
          </cell>
          <cell r="K8788" t="str">
            <v>BMFS040502</v>
          </cell>
        </row>
        <row r="8789">
          <cell r="E8789" t="str">
            <v>TILAIYA, KODERMA</v>
          </cell>
          <cell r="G8789">
            <v>8670056724</v>
          </cell>
          <cell r="K8789" t="str">
            <v>BTLS039785</v>
          </cell>
        </row>
        <row r="8790">
          <cell r="E8790" t="str">
            <v>MORANGI HAZARIBAGH</v>
          </cell>
          <cell r="G8790">
            <v>6203465926</v>
          </cell>
          <cell r="K8790" t="str">
            <v>BKCS040931</v>
          </cell>
        </row>
        <row r="8791">
          <cell r="E8791" t="str">
            <v>1ST FLOOR, RAJ GLASS AND HARDWARE, PISKA MORE, PO - HEHEL, RATU ROAD, RANCHI
1ST FLOOR, RAJ GLASS AND HARDWARE, PISKA MORE, PO - HEHEL, RATU ROAD, RANCHI
835214</v>
          </cell>
          <cell r="G8791">
            <v>6203876287</v>
          </cell>
          <cell r="K8791" t="str">
            <v>BTJS039199</v>
          </cell>
        </row>
        <row r="8792">
          <cell r="E8792" t="str">
            <v>ANKIT KUMAR SONTHALIA, R.N. BOSE ROAD, SATSANG GATE, NEAR HANUMAN MANDIR,, PURANDAHA, DEOGHAR, DIST. DUMKA,, JHARKHAND</v>
          </cell>
          <cell r="G8792">
            <v>7542025382</v>
          </cell>
          <cell r="K8792" t="str">
            <v>BSFD161795</v>
          </cell>
        </row>
        <row r="8793">
          <cell r="E8793" t="str">
            <v>JHAJHA BIHAR</v>
          </cell>
          <cell r="G8793">
            <v>9430312599</v>
          </cell>
          <cell r="K8793" t="str">
            <v>RJD230103</v>
          </cell>
        </row>
        <row r="8794">
          <cell r="E8794" t="str">
            <v>MORANGI HAZARIBAGH</v>
          </cell>
          <cell r="G8794">
            <v>6203465926</v>
          </cell>
          <cell r="K8794" t="str">
            <v>BKCS040931</v>
          </cell>
        </row>
        <row r="8795">
          <cell r="E8795" t="str">
            <v>REG. OFFICE: UNIT 106, MAHABIR TOWER, JOKHIRAM LANE, MAIN ROAD, RANCHI - 834 001
REG. OFFICE: UNIT 106, MAHABIR TOWER, JOKHIRAM LANE, MAIN ROAD, RANCHI - 834 001
835214</v>
          </cell>
          <cell r="G8795">
            <v>8340323546</v>
          </cell>
          <cell r="K8795" t="str">
            <v>BSDS043254</v>
          </cell>
        </row>
        <row r="8796">
          <cell r="E8796" t="str">
            <v>PLOT NO 716,VILL-RUKKA,
835219</v>
          </cell>
          <cell r="G8796">
            <v>8759215726</v>
          </cell>
          <cell r="K8796" t="str">
            <v>BSKS036365</v>
          </cell>
        </row>
        <row r="8797">
          <cell r="E8797" t="str">
            <v>PLOT NO 716,VILL-RUKKA,
835219</v>
          </cell>
          <cell r="G8797">
            <v>8759215726</v>
          </cell>
          <cell r="K8797" t="str">
            <v>BSKS036366</v>
          </cell>
        </row>
        <row r="8798">
          <cell r="E8798" t="str">
            <v>ANKIT KUMAR SONTHALIA, R.N. BOSE ROAD, SATSANG GATE, NEAR HANUMAN MANDIR,, PURANDAHA, DEOGHAR, DIST. DUMKA,, JHARKHAND</v>
          </cell>
          <cell r="G8798">
            <v>7542025382</v>
          </cell>
          <cell r="K8798" t="str">
            <v>BSFD161795</v>
          </cell>
        </row>
        <row r="8799">
          <cell r="E8799" t="str">
            <v>ANKIT KUMAR SONTHALIA, R.N. BOSE ROAD, SATSANG GATE, NEAR HANUMAN MANDIR,, PURANDAHA, DEOGHAR, DIST. DUMKA,, JHARKHAND</v>
          </cell>
          <cell r="G8799">
            <v>7542025382</v>
          </cell>
          <cell r="K8799" t="str">
            <v>BSID161979</v>
          </cell>
        </row>
        <row r="8800">
          <cell r="E8800" t="str">
            <v>KATHAL MORE, RANCHI</v>
          </cell>
          <cell r="G8800">
            <v>9304729097</v>
          </cell>
          <cell r="K8800" t="str">
            <v>BRED161081</v>
          </cell>
        </row>
        <row r="8801">
          <cell r="E8801" t="str">
            <v>RAMGARH</v>
          </cell>
          <cell r="G8801">
            <v>7004377365</v>
          </cell>
          <cell r="K8801" t="str">
            <v>BLES031356</v>
          </cell>
        </row>
        <row r="8802">
          <cell r="E8802" t="str">
            <v>ANKIT KUMAR SONTHALIA, R.N. BOSE ROAD, SATSANG GATE, NEAR HANUMAN MANDIR,, PURANDAHA, DEOGHAR, DIST. DUMKA,, JHARKHAND</v>
          </cell>
          <cell r="G8802">
            <v>7542025382</v>
          </cell>
          <cell r="K8802" t="str">
            <v>BTJD162040</v>
          </cell>
        </row>
        <row r="8803">
          <cell r="E8803" t="str">
            <v>SHEETLA PRASAD SINGH,, MISHRA PADA, NEAR DURGA MANDIR,, JHARIA, DHANBAD - 828 111, JHARKHAND.</v>
          </cell>
          <cell r="G8803">
            <v>7644045555</v>
          </cell>
          <cell r="K8803" t="str">
            <v>BTCD162149</v>
          </cell>
        </row>
        <row r="8804">
          <cell r="E8804" t="str">
            <v>SHEETLA PRASAD SINGH,, MISHRA PADA, NEAR DURGA MANDIR,, JHARIA, DHANBAD - 828 111, JHARKHAND.</v>
          </cell>
          <cell r="G8804">
            <v>7644045555</v>
          </cell>
          <cell r="K8804" t="str">
            <v>BTCD162149</v>
          </cell>
        </row>
        <row r="8805">
          <cell r="E8805" t="str">
            <v>ANKIT KUMAR SONTHALIA, R.N. BOSE ROAD, SATSANG GATE, NEAR HANUMAN MANDIR,, PURANDAHA, DEOGHAR, DIST. DUMKA,, JHARKHAND</v>
          </cell>
          <cell r="G8805">
            <v>7542025382</v>
          </cell>
          <cell r="K8805" t="str">
            <v>BSFD161819</v>
          </cell>
        </row>
        <row r="8806">
          <cell r="E8806" t="str">
            <v>SHEETLA PRASAD SINGH,, MISHRA PADA, NEAR DURGA MANDIR,, JHARIA, DHANBAD - 828 111, JHARKHAND.</v>
          </cell>
          <cell r="G8806">
            <v>7644045555</v>
          </cell>
          <cell r="K8806" t="str">
            <v>BTKD162112</v>
          </cell>
        </row>
        <row r="8807">
          <cell r="E8807" t="str">
            <v>MARAR, RAMGARH, JHARKHAND
MARRAR RAMGARH, 9155729786
829117
MARAR</v>
          </cell>
          <cell r="G8807">
            <v>9155729786</v>
          </cell>
          <cell r="K8807" t="str">
            <v>BMIS031759</v>
          </cell>
        </row>
        <row r="8808">
          <cell r="E8808" t="str">
            <v>SHEETLA PRASAD SINGH,, MISHRA PADA, NEAR DURGA MANDIR,, JHARIA, DHANBAD - 828 111, JHARKHAND.</v>
          </cell>
          <cell r="G8808">
            <v>7644045555</v>
          </cell>
          <cell r="K8808" t="str">
            <v>BTCD162149</v>
          </cell>
        </row>
        <row r="8809">
          <cell r="E8809" t="str">
            <v>KATHAL MORE, RANCHI</v>
          </cell>
          <cell r="G8809">
            <v>9304729097</v>
          </cell>
          <cell r="K8809" t="str">
            <v>BRED161081</v>
          </cell>
        </row>
        <row r="8810">
          <cell r="E8810" t="str">
            <v>KATRAS, DHANBAD</v>
          </cell>
          <cell r="G8810">
            <v>7004387228</v>
          </cell>
          <cell r="K8810" t="str">
            <v>BQCD160103</v>
          </cell>
        </row>
        <row r="8811">
          <cell r="E8811" t="str">
            <v>JHARKHAND</v>
          </cell>
          <cell r="G8811">
            <v>9424744640</v>
          </cell>
          <cell r="K8811" t="str">
            <v>BQKD160099</v>
          </cell>
        </row>
        <row r="8812">
          <cell r="E8812" t="str">
            <v>KOKAR INDUSTRIAL AREA,RANCHI
834001</v>
          </cell>
          <cell r="G8812">
            <v>8404822862</v>
          </cell>
          <cell r="K8812" t="str">
            <v>BSBC375535</v>
          </cell>
        </row>
        <row r="8813">
          <cell r="E8813" t="str">
            <v>JHARKHAND</v>
          </cell>
          <cell r="G8813">
            <v>9424744640</v>
          </cell>
          <cell r="K8813" t="str">
            <v>BQJD160040</v>
          </cell>
        </row>
        <row r="8814">
          <cell r="E8814" t="str">
            <v>RANCHI PATNA ROAD
DEMOTAND
825301
HAZARIBAGH</v>
          </cell>
          <cell r="G8814">
            <v>7209274781</v>
          </cell>
          <cell r="K8814" t="str">
            <v>BSCS037531</v>
          </cell>
        </row>
        <row r="8815">
          <cell r="E8815" t="str">
            <v>VILL: MORWAY,, P.O. : GURPA, P.S.: FATEHPUR, DIST. GAYA  - 824232 (BIHAR)</v>
          </cell>
          <cell r="G8815">
            <v>9199648262</v>
          </cell>
          <cell r="K8815" t="str">
            <v>BSED161766</v>
          </cell>
        </row>
        <row r="8816">
          <cell r="E8816" t="str">
            <v>P.O.+P.S. - GURPA, DIST- GAYA, BIHAR</v>
          </cell>
          <cell r="G8816">
            <v>9934799633</v>
          </cell>
          <cell r="K8816" t="str">
            <v>BRED161131</v>
          </cell>
        </row>
        <row r="8817">
          <cell r="E8817" t="str">
            <v>KATRAS, DHANBAD</v>
          </cell>
          <cell r="G8817">
            <v>9798360305</v>
          </cell>
          <cell r="K8817" t="str">
            <v>BSKD161477</v>
          </cell>
        </row>
        <row r="8818">
          <cell r="E8818" t="str">
            <v>BIHAR</v>
          </cell>
          <cell r="G8818">
            <v>6205816424</v>
          </cell>
          <cell r="K8818" t="str">
            <v>BSID161968</v>
          </cell>
        </row>
        <row r="8819">
          <cell r="E8819" t="str">
            <v>GROUND AND 1 ST FLOOR, BESIDE DAINIK BHASKAR, GOVINDPUR ROAD, DIST :- DHANBAD
GROUND AND 1 ST FLOOR, BESIDE DAINIK BHASKAR, GOVINDPUR ROAD, DIST :- DHANBAD
828109</v>
          </cell>
          <cell r="G8819">
            <v>6200477487</v>
          </cell>
          <cell r="K8819" t="str">
            <v>BRJC371698</v>
          </cell>
        </row>
        <row r="8820">
          <cell r="E8820" t="str">
            <v>BIHAR</v>
          </cell>
          <cell r="G8820">
            <v>6205816424</v>
          </cell>
          <cell r="K8820" t="str">
            <v>BSAD161567</v>
          </cell>
        </row>
        <row r="8821">
          <cell r="E8821" t="str">
            <v>NAMKUM RANCHI, DINESH PRASAD MOB.9334435124</v>
          </cell>
          <cell r="G8821">
            <v>9334435124</v>
          </cell>
          <cell r="K8821" t="str">
            <v>BQBD200008</v>
          </cell>
        </row>
        <row r="8822">
          <cell r="E8822" t="str">
            <v>C/O PALANIAPPAN CHANDRAN, KATTUKOTTAL, PAITHUR, P.O- ATTUR TK,SALEM, TAMILNADU</v>
          </cell>
          <cell r="G8822">
            <v>7903828920</v>
          </cell>
          <cell r="K8822" t="str">
            <v>BSAD230391</v>
          </cell>
        </row>
        <row r="8823">
          <cell r="E8823" t="str">
            <v>BIHAR</v>
          </cell>
          <cell r="G8823">
            <v>6205816424</v>
          </cell>
          <cell r="K8823" t="str">
            <v>BSAD161567</v>
          </cell>
        </row>
        <row r="8824">
          <cell r="E8824" t="str">
            <v>HAZARIBAGH
825301</v>
          </cell>
          <cell r="G8824">
            <v>6394341437</v>
          </cell>
          <cell r="K8824">
            <v>107480</v>
          </cell>
        </row>
        <row r="8825">
          <cell r="E8825" t="str">
            <v>ASHOK NAGAR, RANCHI</v>
          </cell>
          <cell r="G8825">
            <v>9471356821</v>
          </cell>
          <cell r="K8825" t="str">
            <v>BPLD200068</v>
          </cell>
        </row>
        <row r="8826">
          <cell r="E8826" t="str">
            <v>DUMRI, JHARKHAND</v>
          </cell>
          <cell r="G8826">
            <v>9608325210</v>
          </cell>
          <cell r="K8826" t="str">
            <v>BSFD161830</v>
          </cell>
        </row>
        <row r="8827">
          <cell r="E8827" t="str">
            <v>SHEETLA PRASAD SINGH,, MISHRA PADA, NEAR DURGA MANDIR,, JHARIA, DHANBAD - 828 111, JHARKHAND.</v>
          </cell>
          <cell r="G8827">
            <v>7644045555</v>
          </cell>
          <cell r="K8827" t="str">
            <v>BTKD162112</v>
          </cell>
        </row>
        <row r="8828">
          <cell r="E8828" t="str">
            <v>SHEETLA PRASAD SINGH,, MISHRA PADA, NEAR DURGA MANDIR,, JHARIA, DHANBAD - 828 111, JHARKHAND.</v>
          </cell>
          <cell r="G8828">
            <v>7644045555</v>
          </cell>
          <cell r="K8828" t="str">
            <v>BTKD162112</v>
          </cell>
        </row>
        <row r="8829">
          <cell r="E8829" t="str">
            <v>TIPUDANA RANCHI</v>
          </cell>
          <cell r="G8829">
            <v>7992413342</v>
          </cell>
          <cell r="K8829" t="str">
            <v>BMJD200014</v>
          </cell>
        </row>
        <row r="8830">
          <cell r="E8830" t="str">
            <v>KODERMA, JHARKHAND</v>
          </cell>
          <cell r="G8830">
            <v>9123403124</v>
          </cell>
          <cell r="K8830" t="str">
            <v>BKCS031162</v>
          </cell>
        </row>
        <row r="8831">
          <cell r="E8831" t="str">
            <v>PHASE - IV, PLOT NO. - IV-C/3 P AND IV-C/2 P, BOKARO INDUSTRIAL AREA, BALIDIH, BOKARO
PHASE - IV, PLOT NO. - IV-C/3 P AND IV-C/2 P, BOKARO INDUSTRIAL AREA, BALIDIH, BOKARO
827014</v>
          </cell>
          <cell r="G8831" t="str">
            <v>9304641746/9814340048</v>
          </cell>
          <cell r="K8831" t="str">
            <v>BSDS037649</v>
          </cell>
        </row>
        <row r="8832">
          <cell r="E8832" t="str">
            <v>JHUMRI TELAIYA, KODARMA
825409</v>
          </cell>
          <cell r="G8832">
            <v>7455926707</v>
          </cell>
          <cell r="K8832" t="str">
            <v>BSBC375530</v>
          </cell>
        </row>
        <row r="8833">
          <cell r="E8833" t="str">
            <v>501, H.NO.3-4-136/B., ROYAL ASHOK, RESIDENCY , BARKATPURA, HYDERABAD, TELANGANA - 500027</v>
          </cell>
          <cell r="G8833">
            <v>8210106692</v>
          </cell>
          <cell r="K8833" t="str">
            <v>BTJD162045</v>
          </cell>
        </row>
        <row r="8834">
          <cell r="E8834" t="str">
            <v>URMILA TOWER, ROOM NO. 805, DHANBAD</v>
          </cell>
          <cell r="G8834">
            <v>9234669513</v>
          </cell>
          <cell r="K8834" t="str">
            <v>BTKD162074</v>
          </cell>
        </row>
        <row r="8835">
          <cell r="E8835" t="str">
            <v>URMILA TOWER, ROOM NO. 805, DHANBAD</v>
          </cell>
          <cell r="G8835">
            <v>9234669513</v>
          </cell>
          <cell r="K8835" t="str">
            <v>BTKD162074</v>
          </cell>
        </row>
        <row r="8836">
          <cell r="E8836" t="str">
            <v>TIRUDIH , POST GHATDULMI, KANDRA ROAD, CHOWKA
832401
TIRUDIH , POST GHATDULMI, CHOWKA, KANDRA ROAD, SAR</v>
          </cell>
          <cell r="G8836">
            <v>8918324986</v>
          </cell>
          <cell r="K8836" t="str">
            <v>GOBS040228</v>
          </cell>
        </row>
        <row r="8837">
          <cell r="E8837" t="str">
            <v>TIRUDIH , POST GHATDULMI, KANDRA ROAD, CHOWKA
832401
TIRUDIH , POST GHATDULMI, CHOWKA, KANDRA ROAD, SAR</v>
          </cell>
          <cell r="G8837">
            <v>8918324986</v>
          </cell>
          <cell r="K8837" t="str">
            <v>BMFS040502</v>
          </cell>
        </row>
        <row r="8838">
          <cell r="E8838" t="str">
            <v>BALIDIH INDUSTRIAL AREA, BALIDIH BOKARO</v>
          </cell>
          <cell r="G8838">
            <v>8299567574</v>
          </cell>
          <cell r="K8838">
            <v>164253</v>
          </cell>
        </row>
        <row r="8839">
          <cell r="E8839" t="str">
            <v>HAZARIBAGH
825301</v>
          </cell>
          <cell r="G8839">
            <v>6394341437</v>
          </cell>
          <cell r="K8839">
            <v>107480</v>
          </cell>
        </row>
        <row r="8840">
          <cell r="E8840" t="str">
            <v>RANCHI PATNA ROAD
DEMOTAND
825301
HAZARIBAGH</v>
          </cell>
          <cell r="G8840">
            <v>7209274781</v>
          </cell>
          <cell r="K8840" t="str">
            <v>BSCS037531</v>
          </cell>
        </row>
        <row r="8841">
          <cell r="E8841" t="str">
            <v>RANCHI PATNA ROAD
DEMOTAND
825301
HAZARIBAGH</v>
          </cell>
          <cell r="G8841">
            <v>7209274781</v>
          </cell>
          <cell r="K8841" t="str">
            <v>BMBL160078</v>
          </cell>
        </row>
        <row r="8842">
          <cell r="E8842" t="str">
            <v>501, H.NO.3-4-136/B., ROYAL ASHOK, RESIDENCY , BARKATPURA, HYDERABAD, TELANGANA - 500027</v>
          </cell>
          <cell r="G8842">
            <v>8210106692</v>
          </cell>
          <cell r="K8842" t="str">
            <v>BTJD162045</v>
          </cell>
        </row>
        <row r="8843">
          <cell r="E8843" t="str">
            <v>KOKAR INDUSTRIAL AREA,RANCHI
834001</v>
          </cell>
          <cell r="G8843">
            <v>8404822862</v>
          </cell>
          <cell r="K8843" t="str">
            <v>BSBC375535</v>
          </cell>
        </row>
        <row r="8844">
          <cell r="E8844" t="str">
            <v>KOKAR INDUSTRIAL AREA,RANCHI
834001</v>
          </cell>
          <cell r="G8844">
            <v>8404822862</v>
          </cell>
          <cell r="K8844" t="str">
            <v>BSBC375535</v>
          </cell>
        </row>
        <row r="8845">
          <cell r="E8845" t="str">
            <v>TUPUDANA INDUSTRIAL AREA, RANCHI
PLOT NO. 114, TUPUDANA INDUSTRIAL AREA, TUPUDANA,HATIA, RANCHI
834002
RANCHI</v>
          </cell>
          <cell r="G8845">
            <v>9939738679</v>
          </cell>
          <cell r="K8845" t="str">
            <v>GOKS040088</v>
          </cell>
        </row>
        <row r="8846">
          <cell r="E8846" t="str">
            <v>JHARKHAND</v>
          </cell>
          <cell r="G8846">
            <v>9441693704</v>
          </cell>
          <cell r="K8846" t="str">
            <v>BQJD160040</v>
          </cell>
        </row>
        <row r="8847">
          <cell r="E8847" t="str">
            <v>GHATO
825314</v>
          </cell>
          <cell r="G8847">
            <v>7763817520</v>
          </cell>
          <cell r="K8847" t="str">
            <v>BRGS035077</v>
          </cell>
        </row>
        <row r="8848">
          <cell r="E8848" t="str">
            <v>1ST FLOOR, RAJ GLASS AND HARDWARE, PISKA MORE, PO - HEHEL, RATU ROAD, RANCHI
1ST FLOOR, RAJ GLASS AND HARDWARE, PISKA MORE, PO - HEHEL, RATU ROAD, RANCHI
835214</v>
          </cell>
          <cell r="G8848">
            <v>6203876287</v>
          </cell>
          <cell r="K8848" t="str">
            <v>BTJS039199</v>
          </cell>
        </row>
        <row r="8849">
          <cell r="E8849" t="str">
            <v>KOKAR,INDUSTRIAL AREA,RANCHI
834002
RANCHI</v>
          </cell>
          <cell r="G8849">
            <v>9471394003</v>
          </cell>
          <cell r="K8849" t="str">
            <v>BMKC370048</v>
          </cell>
        </row>
        <row r="8850">
          <cell r="E8850" t="str">
            <v>TOPA MINES, RAMGARH</v>
          </cell>
          <cell r="G8850">
            <v>9471109170</v>
          </cell>
          <cell r="K8850" t="str">
            <v>BSKD161467</v>
          </cell>
        </row>
        <row r="8851">
          <cell r="E8851" t="str">
            <v>BOKARO, JHARKHAND</v>
          </cell>
          <cell r="G8851">
            <v>7260851800</v>
          </cell>
          <cell r="K8851" t="str">
            <v>BKBL100036</v>
          </cell>
        </row>
        <row r="8852">
          <cell r="E8852" t="str">
            <v>SAHEBGANJ, JHARKHAND</v>
          </cell>
          <cell r="G8852">
            <v>9608937507</v>
          </cell>
          <cell r="K8852" t="str">
            <v>BSAD161576</v>
          </cell>
        </row>
        <row r="8853">
          <cell r="E8853" t="str">
            <v>JHARKHAND</v>
          </cell>
          <cell r="G8853">
            <v>9441693704</v>
          </cell>
          <cell r="K8853" t="str">
            <v>BQKD160099</v>
          </cell>
        </row>
        <row r="8854">
          <cell r="E8854" t="str">
            <v>SIDRAUL, NAMKUM, RANCHI
834010
SIDRAUL, NAMKUM, RANCHI</v>
          </cell>
          <cell r="G8854">
            <v>8877172788</v>
          </cell>
          <cell r="K8854" t="str">
            <v>UOIS030128</v>
          </cell>
        </row>
        <row r="8855">
          <cell r="E8855" t="str">
            <v>SIDRAUL, NAMKUM, RANCHI
834010
SIDRAUL, NAMKUM, RANCHI</v>
          </cell>
          <cell r="G8855">
            <v>8877172788</v>
          </cell>
          <cell r="K8855" t="str">
            <v>UOHS030121</v>
          </cell>
        </row>
        <row r="8856">
          <cell r="E8856" t="str">
            <v>NAGRI,RANCHI
835202
RANCHI</v>
          </cell>
          <cell r="G8856">
            <v>7004122894</v>
          </cell>
          <cell r="K8856" t="str">
            <v>BRIS035698</v>
          </cell>
        </row>
        <row r="8857">
          <cell r="E8857" t="str">
            <v>CHAS BOKARO</v>
          </cell>
          <cell r="G8857">
            <v>9430375575</v>
          </cell>
          <cell r="K8857" t="str">
            <v>BQKD160076</v>
          </cell>
        </row>
        <row r="8858">
          <cell r="E8858" t="str">
            <v>B7-PHASE-3, BALIDIH INDUSTRIAL AREA BALIDIH, BOKARO STEEL CITY BOKARO, JHARKHAND
SUNDARAM STEELS PVT. LTD, B-7 PHASE-III,BOKARO INDUSTRIAL AREA,BALIDIH, BOKARO
827014</v>
          </cell>
          <cell r="G8858">
            <v>8001371916</v>
          </cell>
          <cell r="K8858" t="str">
            <v>BSFS043411</v>
          </cell>
        </row>
        <row r="8859">
          <cell r="E8859" t="str">
            <v>B7-PHASE-3, BALIDIH INDUSTRIAL AREA BALIDIH, BOKARO STEEL CITY BOKARO, JHARKHAND
SUNDARAM STEELS PVT. LTD, B-7 PHASE-III,BOKARO INDUSTRIAL AREA,BALIDIH, BOKARO
827014</v>
          </cell>
          <cell r="G8859">
            <v>8001371916</v>
          </cell>
          <cell r="K8859" t="str">
            <v>BSFS043411</v>
          </cell>
        </row>
        <row r="8860">
          <cell r="E8860" t="str">
            <v>BARIATU,RANCHI
834009
BARIATU</v>
          </cell>
          <cell r="G8860">
            <v>9546501069</v>
          </cell>
          <cell r="K8860" t="str">
            <v>BQLC370193</v>
          </cell>
        </row>
        <row r="8861">
          <cell r="E8861" t="str">
            <v>NAGRI,RANCHI
835202
RANCHI</v>
          </cell>
          <cell r="G8861">
            <v>8051139257</v>
          </cell>
          <cell r="K8861" t="str">
            <v>BMJS040004</v>
          </cell>
        </row>
        <row r="8862">
          <cell r="E8862" t="str">
            <v>DUMRI, JHARKHAND</v>
          </cell>
          <cell r="G8862">
            <v>9608325210</v>
          </cell>
          <cell r="K8862" t="str">
            <v>BSFD161830</v>
          </cell>
        </row>
        <row r="8863">
          <cell r="E8863" t="str">
            <v>ANGAR PATRA,DHANBAD</v>
          </cell>
          <cell r="G8863">
            <v>8210106692</v>
          </cell>
          <cell r="K8863" t="str">
            <v>BSDD161729</v>
          </cell>
        </row>
        <row r="8864">
          <cell r="E8864" t="str">
            <v>GROUND FLOOR,, OFFICE NO.448A, ROAD NO.4, ASHOK NAGAR
GROUND FLOOR,, OFFICE NO.448A, ROAD NO.4, ASHOK NAGAR
829118
PLOT NO:- 47P, PATRATU INDUSTRIAL AREA</v>
          </cell>
          <cell r="G8864">
            <v>7541959323</v>
          </cell>
          <cell r="K8864" t="str">
            <v>GOGC370754</v>
          </cell>
        </row>
        <row r="8865">
          <cell r="E8865" t="str">
            <v>BARKAGAON, HAZARIBAGH</v>
          </cell>
          <cell r="G8865">
            <v>6301756433</v>
          </cell>
          <cell r="K8865" t="str">
            <v>BRCD160990</v>
          </cell>
        </row>
        <row r="8866">
          <cell r="E8866" t="str">
            <v>URMILA TOWER, ROOM NO. 805, DHANBAD</v>
          </cell>
          <cell r="G8866">
            <v>9234669513</v>
          </cell>
          <cell r="K8866" t="str">
            <v>BTKD162074</v>
          </cell>
        </row>
        <row r="8867">
          <cell r="E8867" t="str">
            <v>TATISIWAI INDUSTRIAL AREA, RANCHI
835103
TATISILWAY RANCHI</v>
          </cell>
          <cell r="G8867">
            <v>7488690694</v>
          </cell>
          <cell r="K8867" t="str">
            <v>BSAS036958</v>
          </cell>
        </row>
        <row r="8868">
          <cell r="E8868" t="str">
            <v>TUPUDANA INDUSTRIAL AREA, RANCHI
PLOT NO. 114, TUPUDANA INDUSTRIAL AREA, TUPUDANA,HATIA, RANCHI
834002
RANCHI</v>
          </cell>
          <cell r="G8868">
            <v>9939738679</v>
          </cell>
          <cell r="K8868" t="str">
            <v>BNAS040245</v>
          </cell>
        </row>
        <row r="8869">
          <cell r="E8869" t="str">
            <v>TUPUDANA INDUSTRIAL AREA, RANCHI
PLOT NO. 114, TUPUDANA INDUSTRIAL AREA, TUPUDANA,HATIA, RANCHI
834002
RANCHI</v>
          </cell>
          <cell r="G8869">
            <v>9939738679</v>
          </cell>
          <cell r="K8869" t="str">
            <v>GOKS040088</v>
          </cell>
        </row>
        <row r="8870">
          <cell r="E8870" t="str">
            <v>TUPUDANA INDUSTRIAL AREA, RANCHI
PLOT NO. 114, TUPUDANA INDUSTRIAL AREA, TUPUDANA,HATIA, RANCHI
834002
RANCHI</v>
          </cell>
          <cell r="G8870">
            <v>9431350358</v>
          </cell>
          <cell r="K8870" t="str">
            <v>BNAS040245</v>
          </cell>
        </row>
        <row r="8871">
          <cell r="E8871" t="str">
            <v>SHEETLA PRASAD SINGH,, MISHRA PADA, NEAR DURGA MANDIR,, JHARIA, DHANBAD - 828 111, JHARKHAND.</v>
          </cell>
          <cell r="G8871">
            <v>7644045555</v>
          </cell>
          <cell r="K8871" t="str">
            <v>BTKD162112</v>
          </cell>
        </row>
        <row r="8872">
          <cell r="E8872" t="str">
            <v>TIKRATOLI,SAPAROM
NEAR LALGUTWA OVERBRIDGE, TIKRATOLI, SAPAROM,, NAGRI, RANCHI
835303</v>
          </cell>
          <cell r="G8872">
            <v>9608086621</v>
          </cell>
          <cell r="K8872" t="str">
            <v>BQCS040170</v>
          </cell>
        </row>
        <row r="8873">
          <cell r="E8873" t="str">
            <v>RAMGARH CANTT, RAMGARH
RAMGARH
829122
RAMGARH</v>
          </cell>
          <cell r="G8873">
            <v>9576833882</v>
          </cell>
          <cell r="K8873" t="str">
            <v>BNKS030423</v>
          </cell>
        </row>
        <row r="8874">
          <cell r="E8874" t="str">
            <v>KATITARH,RANCHI
835222</v>
          </cell>
          <cell r="G8874">
            <v>8825286094</v>
          </cell>
          <cell r="K8874" t="str">
            <v>BSAS036940</v>
          </cell>
        </row>
        <row r="8875">
          <cell r="E8875" t="str">
            <v>GOVINDPUR DHANBAD</v>
          </cell>
          <cell r="G8875">
            <v>9178711688</v>
          </cell>
          <cell r="K8875" t="str">
            <v>BRFS034901</v>
          </cell>
        </row>
        <row r="8876">
          <cell r="E8876" t="str">
            <v>DALADALI, RANCHUI</v>
          </cell>
          <cell r="G8876">
            <v>7992413342</v>
          </cell>
          <cell r="K8876" t="str">
            <v>BMJD200014</v>
          </cell>
        </row>
        <row r="8877">
          <cell r="E8877" t="str">
            <v>RAMPUR</v>
          </cell>
          <cell r="G8877">
            <v>9546884024</v>
          </cell>
          <cell r="K8877" t="str">
            <v>BSAD120582</v>
          </cell>
        </row>
        <row r="8878">
          <cell r="E8878" t="str">
            <v>RATANPUR,DHANBAD
828109</v>
          </cell>
          <cell r="G8878">
            <v>9031029501</v>
          </cell>
          <cell r="K8878" t="str">
            <v>BTLC377584</v>
          </cell>
        </row>
        <row r="8879">
          <cell r="E8879" t="str">
            <v>VILL - BARIDARI, BOKARO</v>
          </cell>
          <cell r="G8879">
            <v>9234957903</v>
          </cell>
          <cell r="K8879" t="str">
            <v>BSCD161704</v>
          </cell>
        </row>
        <row r="8880">
          <cell r="E8880" t="str">
            <v>GROUND FLOOR,, OFFICE NO.448A, ROAD NO.4, ASHOK NAGAR
GROUND FLOOR,, OFFICE NO.448A, ROAD NO.4, ASHOK NAGAR
829118
PLOT NO:- 47P, PATRATU INDUSTRIAL AREA</v>
          </cell>
          <cell r="G8880">
            <v>7541959323</v>
          </cell>
          <cell r="K8880" t="str">
            <v>ONIC370102</v>
          </cell>
        </row>
        <row r="8881">
          <cell r="E8881" t="str">
            <v>VILL - BARIDARI, BOKARO</v>
          </cell>
          <cell r="G8881">
            <v>9234957903</v>
          </cell>
          <cell r="K8881" t="str">
            <v>BSCD161704</v>
          </cell>
        </row>
        <row r="8882">
          <cell r="E8882" t="str">
            <v>RANIGANJ, WB</v>
          </cell>
          <cell r="G8882">
            <v>9931544115</v>
          </cell>
          <cell r="K8882" t="str">
            <v>BRBD160904</v>
          </cell>
        </row>
        <row r="8883">
          <cell r="E8883" t="str">
            <v>JHAJHA BIHAR</v>
          </cell>
          <cell r="G8883">
            <v>9430312599</v>
          </cell>
          <cell r="K8883" t="str">
            <v>RJD230103</v>
          </cell>
        </row>
        <row r="8884">
          <cell r="E8884" t="str">
            <v>H. NO. 22, RAHAT COLONY,, KADRU, RANCHI - 834 002, JHARKHAND</v>
          </cell>
          <cell r="G8884">
            <v>8051191796</v>
          </cell>
          <cell r="K8884" t="str">
            <v>BRGD161233</v>
          </cell>
        </row>
        <row r="8885">
          <cell r="E8885" t="str">
            <v>HOSHIR GIDDI,RAMGARH
NEAR P.N. BANK MAIN ROAD, RAMGARH CANTT. 829122
829110</v>
          </cell>
          <cell r="G8885">
            <v>8789325754</v>
          </cell>
          <cell r="K8885" t="str">
            <v>BRHS035368</v>
          </cell>
        </row>
        <row r="8886">
          <cell r="E8886" t="str">
            <v>KATHITAR,RANCHI
KATHITAR,RANCHI
834004
KATHITAR,</v>
          </cell>
          <cell r="G8886">
            <v>7004709540</v>
          </cell>
          <cell r="K8886" t="str">
            <v>BSFC376340</v>
          </cell>
        </row>
        <row r="8887">
          <cell r="E8887" t="str">
            <v>ANKIT KUMAR SONTHALIA, R.N. BOSE ROAD, SATSANG GATE, NEAR HANUMAN MANDIR,, PURANDAHA, DEOGHAR, DIST. DUMKA,, JHARKHAND</v>
          </cell>
          <cell r="G8887">
            <v>7542025382</v>
          </cell>
          <cell r="K8887" t="str">
            <v>BSFD161795</v>
          </cell>
        </row>
        <row r="8888">
          <cell r="E8888" t="str">
            <v>RAMGARH</v>
          </cell>
          <cell r="G8888">
            <v>7004377365</v>
          </cell>
          <cell r="K8888" t="str">
            <v>BLES031356</v>
          </cell>
        </row>
        <row r="8889">
          <cell r="E8889" t="str">
            <v>NAGARI RANCHI
NAGARI RANCHI
835303</v>
          </cell>
          <cell r="G8889">
            <v>9752567399</v>
          </cell>
          <cell r="K8889" t="str">
            <v>BKJS030050</v>
          </cell>
        </row>
        <row r="8890">
          <cell r="E8890" t="str">
            <v>CHAKARDHARPUR, JHARKHAND</v>
          </cell>
          <cell r="G8890">
            <v>8709505676</v>
          </cell>
          <cell r="K8890" t="str">
            <v>BSJD161422</v>
          </cell>
        </row>
        <row r="8891">
          <cell r="E8891" t="str">
            <v>CHAS BOKARO</v>
          </cell>
          <cell r="G8891">
            <v>9135780530</v>
          </cell>
          <cell r="K8891" t="str">
            <v>BQKD200034</v>
          </cell>
        </row>
        <row r="8892">
          <cell r="E8892" t="str">
            <v>TATISIWAI INDUSTRIAL AREA, RANCHI
835103
TATISILWAY RANCHI</v>
          </cell>
          <cell r="G8892">
            <v>9122209999</v>
          </cell>
          <cell r="K8892" t="str">
            <v>BNJC370072</v>
          </cell>
        </row>
        <row r="8893">
          <cell r="E8893" t="str">
            <v>GROUND FLOOR,, OFFICE NO.448A, ROAD NO.4, ASHOK NAGAR
GROUND FLOOR,, OFFICE NO.448A, ROAD NO.4, ASHOK NAGAR
829118
PLOT NO:- 47P, PATRATU INDUSTRIAL AREA</v>
          </cell>
          <cell r="G8893">
            <v>7541959323</v>
          </cell>
          <cell r="K8893" t="str">
            <v>GOGC370754</v>
          </cell>
        </row>
        <row r="8894">
          <cell r="E8894" t="str">
            <v>RAMGARH</v>
          </cell>
          <cell r="G8894">
            <v>7004377365</v>
          </cell>
          <cell r="K8894" t="str">
            <v>BLES031356</v>
          </cell>
        </row>
        <row r="8895">
          <cell r="E8895" t="str">
            <v>NAGARI RANCHI
NAGARI RANCHI
835303</v>
          </cell>
          <cell r="G8895">
            <v>9752567399</v>
          </cell>
          <cell r="K8895" t="str">
            <v>BKJS030050</v>
          </cell>
        </row>
        <row r="8896">
          <cell r="E8896" t="str">
            <v>C/O PALANIAPPAN CHANDRAN, KATTUKOTTAL, PAITHUR, P.O- ATTUR TK,SALEM, TAMILNADU</v>
          </cell>
          <cell r="G8896">
            <v>7903828920</v>
          </cell>
          <cell r="K8896" t="str">
            <v>BSAD230391</v>
          </cell>
        </row>
        <row r="8897">
          <cell r="E8897" t="str">
            <v>CHANDMARI, JORAPHATAK,, DHANBAD</v>
          </cell>
          <cell r="G8897">
            <v>9585918025</v>
          </cell>
          <cell r="K8897" t="str">
            <v>BRCD160967</v>
          </cell>
        </row>
        <row r="8898">
          <cell r="E8898" t="str">
            <v>EANA COLLIEARY, JHARIYA</v>
          </cell>
          <cell r="G8898">
            <v>7672025601</v>
          </cell>
          <cell r="K8898" t="str">
            <v>BRID161336</v>
          </cell>
        </row>
        <row r="8899">
          <cell r="E8899" t="str">
            <v>KOKAR,INDUSTRIAL AREA,RANCHI
834002
RANCHI</v>
          </cell>
          <cell r="G8899">
            <v>7781017919</v>
          </cell>
          <cell r="K8899" t="str">
            <v>BMKC370048</v>
          </cell>
        </row>
        <row r="8900">
          <cell r="E8900" t="str">
            <v>DEMO TANND HAZAIBAGH JHARKHAND,
825301
DEMO TANND HAZAIBAGH JHARKHAND</v>
          </cell>
          <cell r="G8900">
            <v>9431170158</v>
          </cell>
          <cell r="K8900" t="str">
            <v>BMDS040417</v>
          </cell>
        </row>
        <row r="8901">
          <cell r="E8901" t="str">
            <v>CHATRA</v>
          </cell>
          <cell r="G8901">
            <v>9110947105</v>
          </cell>
          <cell r="K8901" t="str">
            <v>BQFD160263</v>
          </cell>
        </row>
        <row r="8902">
          <cell r="E8902" t="str">
            <v>205, HARE RAM APARTMENT, KANKE ROAD OPP. HOLIDAY HOME, RANCHI</v>
          </cell>
          <cell r="G8902">
            <v>9234951903</v>
          </cell>
          <cell r="K8902" t="str">
            <v>BSID200615</v>
          </cell>
        </row>
        <row r="8903">
          <cell r="E8903" t="str">
            <v>CHANDMARI, JORAPHATAK,, DHANBAD</v>
          </cell>
          <cell r="G8903">
            <v>8668122316</v>
          </cell>
          <cell r="K8903" t="str">
            <v>BRGD161212</v>
          </cell>
        </row>
        <row r="8904">
          <cell r="E8904" t="str">
            <v>H. NO. 22, RAHAT COLONY,, KADRU, RANCHI - 834 002, JHARKHAND</v>
          </cell>
          <cell r="G8904">
            <v>8051191796</v>
          </cell>
          <cell r="K8904" t="str">
            <v>BRGD161233</v>
          </cell>
        </row>
        <row r="8905">
          <cell r="E8905" t="str">
            <v>C/O RAJ KUMAR BHALA, DIWAN KUNJLAL LOHIA CHARITABLE TRUST, EAST MARKET ROAD, UPPER BAZAR,, RANCHI
834001</v>
          </cell>
          <cell r="G8905">
            <v>6204206373</v>
          </cell>
          <cell r="K8905" t="str">
            <v>BMDS031033</v>
          </cell>
        </row>
        <row r="8906">
          <cell r="E8906" t="str">
            <v>KODERMA, JHARKHAND</v>
          </cell>
          <cell r="G8906">
            <v>9234413099</v>
          </cell>
          <cell r="K8906" t="str">
            <v>BMDL160131</v>
          </cell>
        </row>
        <row r="8907">
          <cell r="E8907" t="str">
            <v>GHATO
825314</v>
          </cell>
          <cell r="G8907">
            <v>9262290295</v>
          </cell>
          <cell r="K8907">
            <v>124371</v>
          </cell>
        </row>
        <row r="8908">
          <cell r="E8908" t="str">
            <v>DHANBAD JHARKHAND</v>
          </cell>
          <cell r="G8908">
            <v>9441693704</v>
          </cell>
          <cell r="K8908" t="str">
            <v>BQKD160115</v>
          </cell>
        </row>
        <row r="8909">
          <cell r="E8909" t="str">
            <v>PATONDA</v>
          </cell>
          <cell r="G8909">
            <v>9431525317</v>
          </cell>
          <cell r="K8909" t="str">
            <v>NA</v>
          </cell>
        </row>
        <row r="8910">
          <cell r="E8910" t="str">
            <v>HYDERABAD, MO-09502110693</v>
          </cell>
          <cell r="G8910" t="str">
            <v>MUTTHU</v>
          </cell>
          <cell r="K8910" t="str">
            <v>BNCD200094</v>
          </cell>
        </row>
        <row r="8911">
          <cell r="E8911" t="str">
            <v>H. NO. 22, RAHAT COLONY,, KADRU, RANCHI - 834 002, JHARKHAND</v>
          </cell>
          <cell r="G8911">
            <v>8051191796</v>
          </cell>
          <cell r="K8911" t="str">
            <v>BRGD161233</v>
          </cell>
        </row>
        <row r="8912">
          <cell r="E8912" t="str">
            <v>B7-PHASE-3, BALIDIH INDUSTRIAL AREA BALIDIH, BOKARO STEEL CITY BOKARO, JHARKHAND
SUNDARAM STEELS PVT. LTD, B-7 PHASE-III,BOKARO INDUSTRIAL AREA,BALIDIH, BOKARO
827014</v>
          </cell>
          <cell r="G8912">
            <v>8001371916</v>
          </cell>
          <cell r="K8912" t="str">
            <v>BSFS043411</v>
          </cell>
        </row>
        <row r="8913">
          <cell r="E8913" t="str">
            <v>DUMRI, JHARKHAND</v>
          </cell>
          <cell r="G8913">
            <v>9608325210</v>
          </cell>
          <cell r="K8913" t="str">
            <v>BSFD161830</v>
          </cell>
        </row>
        <row r="8914">
          <cell r="E8914" t="str">
            <v>CHANDIL BAZAR</v>
          </cell>
          <cell r="G8914">
            <v>9123594446</v>
          </cell>
          <cell r="K8914" t="str">
            <v>BRKD160684</v>
          </cell>
        </row>
        <row r="8915">
          <cell r="E8915" t="str">
            <v>CHANDMARI, JORAPHATAK,, DHANBAD</v>
          </cell>
          <cell r="G8915">
            <v>8668122316</v>
          </cell>
          <cell r="K8915" t="str">
            <v>BRGD161212</v>
          </cell>
        </row>
        <row r="8916">
          <cell r="E8916" t="str">
            <v>205, HARE RAM APARTMENT, KANKE ROAD OPP. HOLIDAY HOME, RANCHI</v>
          </cell>
          <cell r="G8916">
            <v>9234951903</v>
          </cell>
          <cell r="K8916" t="str">
            <v>BSID200615</v>
          </cell>
        </row>
        <row r="8917">
          <cell r="E8917" t="str">
            <v>TUPUDANA INDUSTRIAL AREA</v>
          </cell>
          <cell r="G8917">
            <v>7978649310</v>
          </cell>
          <cell r="K8917" t="str">
            <v>BMBS030816</v>
          </cell>
        </row>
        <row r="8918">
          <cell r="E8918" t="str">
            <v>TIPUDANA INDUSTRIAL AREA, HATIA,</v>
          </cell>
          <cell r="G8918">
            <v>7978649310</v>
          </cell>
          <cell r="K8918" t="str">
            <v>BJGS031396</v>
          </cell>
        </row>
        <row r="8919">
          <cell r="E8919" t="str">
            <v>RANCHI PATNA ROAD
DEMOTAND
825301
HAZARIBAGH</v>
          </cell>
          <cell r="G8919">
            <v>6203465926</v>
          </cell>
          <cell r="K8919" t="str">
            <v>BSCS037531</v>
          </cell>
        </row>
        <row r="8920">
          <cell r="E8920" t="str">
            <v>GROUND FLOOR,, OFFICE NO.448A, ROAD NO.4, ASHOK NAGAR
GROUND FLOOR,, OFFICE NO.448A, ROAD NO.4, ASHOK NAGAR
829118
PLOT NO:- 47P, PATRATU INDUSTRIAL AREA</v>
          </cell>
          <cell r="G8920">
            <v>7541959323</v>
          </cell>
          <cell r="K8920" t="str">
            <v>ONIC370102</v>
          </cell>
        </row>
        <row r="8921">
          <cell r="E8921" t="str">
            <v>GROUND FLOOR,, OFFICE NO.448A, ROAD NO.4, ASHOK NAGAR
GROUND FLOOR,, OFFICE NO.448A, ROAD NO.4, ASHOK NAGAR
829118
PLOT NO:- 47P, PATRATU INDUSTRIAL AREA</v>
          </cell>
          <cell r="G8921">
            <v>7541959323</v>
          </cell>
          <cell r="K8921" t="str">
            <v>GOGC370754</v>
          </cell>
        </row>
        <row r="8922">
          <cell r="E8922" t="str">
            <v>RANCHI PATNA ROAD, NH-33, SINDUR, HAZARIBAGH</v>
          </cell>
          <cell r="G8922">
            <v>9709175616</v>
          </cell>
          <cell r="K8922" t="str">
            <v>BTKD200646</v>
          </cell>
        </row>
        <row r="8923">
          <cell r="E8923" t="str">
            <v>LALMATIYA</v>
          </cell>
          <cell r="G8923">
            <v>9110992783</v>
          </cell>
          <cell r="K8923" t="str">
            <v>BRAD160811</v>
          </cell>
        </row>
        <row r="8924">
          <cell r="E8924" t="str">
            <v>C/O PALANIAPPAN CHANDRAN, KATTUKOTTAL, PAITHUR, P.O- ATTUR TK,SALEM, TAMILNADU</v>
          </cell>
          <cell r="G8924">
            <v>7903828920</v>
          </cell>
          <cell r="K8924" t="str">
            <v>BSAD230391</v>
          </cell>
        </row>
        <row r="8925">
          <cell r="E8925" t="str">
            <v>NAYA MORE,RAMGARH
ARA SARU BERA ROAD, NAYA, RAMGARH,JHARKHAND
829110
NAYA MORE</v>
          </cell>
          <cell r="G8925">
            <v>8651078549</v>
          </cell>
          <cell r="K8925" t="str">
            <v>BQBS033796</v>
          </cell>
        </row>
        <row r="8926">
          <cell r="E8926" t="str">
            <v>HYDERABAD, MO-09502110693</v>
          </cell>
          <cell r="G8926">
            <v>9344284002</v>
          </cell>
          <cell r="K8926" t="str">
            <v>BQCD220126</v>
          </cell>
        </row>
        <row r="8927">
          <cell r="E8927" t="str">
            <v>SHEETLA PRASAD SINGH,, MISHRA PADA, NEAR DURGA MANDIR,, JHARIA, DHANBAD - 828 111, JHARKHAND.</v>
          </cell>
          <cell r="G8927">
            <v>7644045555</v>
          </cell>
          <cell r="K8927" t="str">
            <v>BTKD162112</v>
          </cell>
        </row>
        <row r="8928">
          <cell r="E8928" t="str">
            <v>DHANBAD, CONT PERSON :MR. IKTEKHAR AHMAD, PH.NO :9431316718</v>
          </cell>
          <cell r="G8928">
            <v>8210567144</v>
          </cell>
          <cell r="K8928" t="str">
            <v>BSKD161462</v>
          </cell>
        </row>
        <row r="8929">
          <cell r="E8929" t="str">
            <v>C/O - AMAN AGRAWAL, PLOT NO. 735, KAITHA, RAMGARH CANTT., RAMGARH
825101</v>
          </cell>
          <cell r="G8929">
            <v>8709937739</v>
          </cell>
          <cell r="K8929" t="str">
            <v>BSDC375954</v>
          </cell>
        </row>
        <row r="8930">
          <cell r="E8930" t="str">
            <v>C/O PALANIAPPAN CHANDRAN, KATTUKOTTAL, PAITHUR, P.O- ATTUR TK,SALEM, TAMILNADU</v>
          </cell>
          <cell r="G8930">
            <v>6380540177</v>
          </cell>
          <cell r="K8930" t="str">
            <v>BQGD230029</v>
          </cell>
        </row>
        <row r="8931">
          <cell r="E8931" t="str">
            <v>DEMO TANND HAZAIBAGH JHARKHAND,
825301
DEMO TANND HAZAIBAGH JHARKHAND</v>
          </cell>
          <cell r="G8931">
            <v>9431170158</v>
          </cell>
          <cell r="K8931" t="str">
            <v>BMDS040417</v>
          </cell>
        </row>
        <row r="8932">
          <cell r="E8932" t="str">
            <v>REHLA PALAMU</v>
          </cell>
          <cell r="G8932">
            <v>7004623399</v>
          </cell>
          <cell r="K8932" t="str">
            <v>BMFS030340</v>
          </cell>
        </row>
        <row r="8933">
          <cell r="E8933" t="str">
            <v>HORHAP ROAD, MAHILONG, RANCHI
835103
MAHILONG, TATISILWAI</v>
          </cell>
          <cell r="G8933">
            <v>7004994230</v>
          </cell>
          <cell r="K8933" t="str">
            <v>GPFC370737</v>
          </cell>
        </row>
        <row r="8934">
          <cell r="E8934" t="str">
            <v>ANKIT KUMAR SONTHALIA, R.N. BOSE ROAD, SATSANG GATE, NEAR HANUMAN MANDIR,, PURANDAHA, DEOGHAR, DIST. DUMKA,, JHARKHAND</v>
          </cell>
          <cell r="G8934">
            <v>7542025382</v>
          </cell>
          <cell r="K8934" t="str">
            <v>BSFD161795</v>
          </cell>
        </row>
        <row r="8935">
          <cell r="E8935" t="str">
            <v>VILL - BARIDARI, BOKARO</v>
          </cell>
          <cell r="G8935">
            <v>9234957903</v>
          </cell>
          <cell r="K8935" t="str">
            <v>BSCD161704</v>
          </cell>
        </row>
        <row r="8936">
          <cell r="E8936" t="str">
            <v>RANCHI PATNA ROAD, NH-33, SINDUR, HAZARIBAGH</v>
          </cell>
          <cell r="G8936">
            <v>9709175616</v>
          </cell>
          <cell r="K8936" t="str">
            <v>BTKD200646</v>
          </cell>
        </row>
        <row r="8937">
          <cell r="E8937" t="str">
            <v>CHAKARDHARPUR, JHARKHAND</v>
          </cell>
          <cell r="G8937">
            <v>8709505676</v>
          </cell>
          <cell r="K8937" t="str">
            <v>BSJD161422</v>
          </cell>
        </row>
        <row r="8938">
          <cell r="E8938" t="str">
            <v>HORHAP ROAD, MAHILONG, RANCHI
835103</v>
          </cell>
          <cell r="G8938">
            <v>9708039203</v>
          </cell>
          <cell r="K8938" t="str">
            <v>BRIC374329</v>
          </cell>
        </row>
        <row r="8939">
          <cell r="E8939" t="str">
            <v>TOPA MINES, RAMGARH</v>
          </cell>
          <cell r="G8939">
            <v>9471109170</v>
          </cell>
          <cell r="K8939" t="str">
            <v>BSKD161467</v>
          </cell>
        </row>
        <row r="8940">
          <cell r="E8940" t="str">
            <v>SIMALIYA, RANCHI
835103
SIMLIYA, RANCHI</v>
          </cell>
          <cell r="G8940">
            <v>9431115841</v>
          </cell>
          <cell r="K8940">
            <v>106989</v>
          </cell>
        </row>
        <row r="8941">
          <cell r="E8941" t="str">
            <v>TATISILWAI, JHARKHAND
835103</v>
          </cell>
          <cell r="G8941">
            <v>6200160428</v>
          </cell>
          <cell r="K8941" t="str">
            <v>BQGS031413</v>
          </cell>
        </row>
        <row r="8942">
          <cell r="E8942" t="str">
            <v>NAGARI,</v>
          </cell>
          <cell r="G8942">
            <v>9297706123</v>
          </cell>
          <cell r="K8942" t="str">
            <v>BLGS040582</v>
          </cell>
        </row>
        <row r="8943">
          <cell r="E8943" t="str">
            <v>NAGARI,</v>
          </cell>
          <cell r="G8943">
            <v>9297706123</v>
          </cell>
          <cell r="K8943" t="str">
            <v>BILS030211</v>
          </cell>
        </row>
        <row r="8944">
          <cell r="E8944" t="str">
            <v>KOKAR,INDUSTRIAL AREA,RANCHI
834002
RANCHI</v>
          </cell>
          <cell r="G8944">
            <v>7781017919</v>
          </cell>
          <cell r="K8944" t="str">
            <v>BMKC370048</v>
          </cell>
        </row>
        <row r="8945">
          <cell r="E8945" t="str">
            <v>KOKAR INDUSTRIAL AREA,RANCHI
834001</v>
          </cell>
          <cell r="G8945">
            <v>9572347943</v>
          </cell>
          <cell r="K8945" t="str">
            <v>BPIC370386</v>
          </cell>
        </row>
        <row r="8946">
          <cell r="E8946" t="str">
            <v>RANCHI PATNA ROAD
DEMOTAND
825301
HAZARIBAGH</v>
          </cell>
          <cell r="G8946">
            <v>6203465926</v>
          </cell>
          <cell r="K8946" t="str">
            <v>BIFS040367</v>
          </cell>
        </row>
        <row r="8947">
          <cell r="E8947" t="str">
            <v>PLOT N0 3127 , RATU THANA 79,RANCHI
RATU RANCHI JHARKHAND
835103
PLOT NO- 3127, THANA NO- 79, RATU ROAD</v>
          </cell>
          <cell r="G8947">
            <v>9798542502</v>
          </cell>
          <cell r="K8947" t="str">
            <v>BSES037922</v>
          </cell>
        </row>
        <row r="8948">
          <cell r="E8948" t="str">
            <v>GOVINDPUR, GOMIYA</v>
          </cell>
          <cell r="G8948">
            <v>8825270627</v>
          </cell>
          <cell r="K8948" t="str">
            <v>BRLD160728</v>
          </cell>
        </row>
        <row r="8949">
          <cell r="E8949" t="str">
            <v>DHANBAD</v>
          </cell>
          <cell r="G8949">
            <v>9585918025</v>
          </cell>
          <cell r="K8949" t="str">
            <v>BRCD160968</v>
          </cell>
        </row>
        <row r="8950">
          <cell r="E8950" t="str">
            <v>CHAS, BOKARO
827013</v>
          </cell>
          <cell r="G8950">
            <v>7992434966</v>
          </cell>
          <cell r="K8950" t="str">
            <v>BSEC376103</v>
          </cell>
        </row>
        <row r="8951">
          <cell r="E8951" t="str">
            <v>SHEIKHPURA, BIHAR</v>
          </cell>
          <cell r="G8951">
            <v>7782976533</v>
          </cell>
          <cell r="K8951" t="str">
            <v>BTKD162080</v>
          </cell>
        </row>
        <row r="8952">
          <cell r="E8952" t="str">
            <v>SHEETLA PRASAD SINGH,, MISHRA PADA, NEAR DURGA MANDIR,, JHARIA, DHANBAD - 828 111, JHARKHAND.</v>
          </cell>
          <cell r="G8952">
            <v>7644045555</v>
          </cell>
          <cell r="K8952" t="str">
            <v>BTKD162112</v>
          </cell>
        </row>
        <row r="8953">
          <cell r="E8953" t="str">
            <v>DHANBAD</v>
          </cell>
          <cell r="G8953">
            <v>9585918025</v>
          </cell>
          <cell r="K8953" t="str">
            <v>BRCD160968</v>
          </cell>
        </row>
        <row r="8954">
          <cell r="E8954" t="str">
            <v>RAMGARH
829103
NAYA MORE</v>
          </cell>
          <cell r="G8954">
            <v>7739460263</v>
          </cell>
          <cell r="K8954" t="str">
            <v>BRGS035169</v>
          </cell>
        </row>
        <row r="8955">
          <cell r="E8955" t="str">
            <v>RAMGARH
829103
NAYA MORE</v>
          </cell>
          <cell r="G8955">
            <v>7739460263</v>
          </cell>
          <cell r="K8955" t="str">
            <v>BPCS030196</v>
          </cell>
        </row>
        <row r="8956">
          <cell r="E8956" t="str">
            <v>UNIT OF HERITAGE LANDMARKS AUTOWORLD PVT. LTD., NEAR KAMRE AASHRAM, P.O. KAMRE, RATU ROAD, RANCHI
835214</v>
          </cell>
          <cell r="G8956">
            <v>9065521314</v>
          </cell>
          <cell r="K8956" t="str">
            <v>BTJC377158</v>
          </cell>
        </row>
        <row r="8957">
          <cell r="E8957" t="str">
            <v>KATRAS, DHANBAD</v>
          </cell>
          <cell r="G8957">
            <v>9798360305</v>
          </cell>
          <cell r="K8957" t="str">
            <v>BSKD161477</v>
          </cell>
        </row>
        <row r="8958">
          <cell r="E8958" t="str">
            <v>CHATRA</v>
          </cell>
          <cell r="G8958">
            <v>7004915623</v>
          </cell>
          <cell r="K8958" t="str">
            <v>BSLD200427</v>
          </cell>
        </row>
        <row r="8959">
          <cell r="E8959" t="str">
            <v>KATHAL MORE, RANCHI</v>
          </cell>
          <cell r="G8959">
            <v>9304729097</v>
          </cell>
          <cell r="K8959" t="str">
            <v>BRED161081</v>
          </cell>
        </row>
        <row r="8960">
          <cell r="E8960" t="str">
            <v>BANDHIYA RAOD, NAGRI RANCHI, MOB.8709325266
834006
BANDHIYA ROAD, NAGARI RANCHI</v>
          </cell>
          <cell r="G8960">
            <v>9110033639</v>
          </cell>
          <cell r="K8960" t="str">
            <v>BLFS040558</v>
          </cell>
        </row>
        <row r="8961">
          <cell r="E8961" t="str">
            <v>AT: SENEGARHA, P.O-RABODH, P.S-GIDDI,(RAMGARH),, DISTT. HAZARIBAGH,JHARKHAND-825330
829108
AT: SENEGARHA, P.O-RABODH, P.S-GIDDI,(RAMGARH),</v>
          </cell>
          <cell r="G8961">
            <v>9006877583</v>
          </cell>
          <cell r="K8961" t="str">
            <v>BQES030978</v>
          </cell>
        </row>
        <row r="8962">
          <cell r="E8962" t="str">
            <v>RANCHI PATNA ROAD, NH-33, SINDUR, HAZARIBAGH</v>
          </cell>
          <cell r="G8962">
            <v>9709175616</v>
          </cell>
          <cell r="K8962" t="str">
            <v>BTKD200646</v>
          </cell>
        </row>
        <row r="8963">
          <cell r="E8963" t="str">
            <v>AT: SENEGARHA, P.O-RABODH, P.S-GIDDI,(RAMGARH),, DISTT. HAZARIBAGH,JHARKHAND-825330
829108
AT: SENEGARHA, P.O-RABODH, P.S-GIDDI,(RAMGARH),</v>
          </cell>
          <cell r="G8963">
            <v>700428918</v>
          </cell>
          <cell r="K8963" t="str">
            <v>BSCS037349</v>
          </cell>
        </row>
        <row r="8964">
          <cell r="E8964" t="str">
            <v>KISHOREGANJ, RANCHI
834001
KAMRE RAVI STEEL,</v>
          </cell>
          <cell r="G8964">
            <v>8709279344</v>
          </cell>
          <cell r="K8964" t="str">
            <v>GPKC370113</v>
          </cell>
        </row>
        <row r="8965">
          <cell r="E8965" t="str">
            <v>AT: SENEGARHA, P.O-RABODH, P.S-GIDDI,(RAMGARH),, DISTT. HAZARIBAGH,JHARKHAND-825330
829108
AT: SENEGARHA, P.O-RABODH, P.S-GIDDI,(RAMGARH),</v>
          </cell>
          <cell r="G8965">
            <v>9006877583</v>
          </cell>
          <cell r="K8965" t="str">
            <v>BRAS033261</v>
          </cell>
        </row>
        <row r="8966">
          <cell r="E8966" t="str">
            <v>GHATSILA JAMSHEDPUR</v>
          </cell>
          <cell r="G8966">
            <v>9661357618</v>
          </cell>
          <cell r="K8966" t="str">
            <v>NA</v>
          </cell>
        </row>
        <row r="8967">
          <cell r="E8967" t="str">
            <v>BANDHIYA RAOD, NAGRI RANCHI, MOB.8709325266
834006
BANDHIYA ROAD, NAGARI RANCHI</v>
          </cell>
          <cell r="G8967">
            <v>9110022503</v>
          </cell>
          <cell r="K8967" t="str">
            <v>BLFS040558</v>
          </cell>
        </row>
        <row r="8968">
          <cell r="E8968" t="str">
            <v>CHANDMARI, JORAPHATAK,, DHANBAD</v>
          </cell>
          <cell r="G8968">
            <v>9585918025</v>
          </cell>
          <cell r="K8968" t="str">
            <v>BRCD160967</v>
          </cell>
        </row>
        <row r="8969">
          <cell r="E8969" t="str">
            <v>ANGAR PATRA,DHANBAD</v>
          </cell>
          <cell r="G8969">
            <v>8210106692</v>
          </cell>
          <cell r="K8969" t="str">
            <v>BSDD161729</v>
          </cell>
        </row>
        <row r="8970">
          <cell r="E8970" t="str">
            <v>KISHOREGANJ, RANCHI
834001
KAMRE RAVI STEEL,</v>
          </cell>
          <cell r="G8970">
            <v>8709279344</v>
          </cell>
          <cell r="K8970" t="str">
            <v>GPKC370113</v>
          </cell>
        </row>
        <row r="8971">
          <cell r="E8971" t="str">
            <v>NAWADIH, CHATARPUR</v>
          </cell>
          <cell r="G8971">
            <v>6203240174</v>
          </cell>
          <cell r="K8971" t="str">
            <v>BRDD161019</v>
          </cell>
        </row>
        <row r="8972">
          <cell r="E8972" t="str">
            <v>BARKAGAON, HAZARIBAGH</v>
          </cell>
          <cell r="G8972">
            <v>9791616091</v>
          </cell>
          <cell r="K8972" t="str">
            <v>BSHD120743</v>
          </cell>
        </row>
        <row r="8973">
          <cell r="E8973" t="str">
            <v>BARKAGAON, HAZARIBAGH</v>
          </cell>
          <cell r="G8973">
            <v>9791616091</v>
          </cell>
          <cell r="K8973" t="str">
            <v>BSHD120746</v>
          </cell>
        </row>
        <row r="8974">
          <cell r="E8974" t="str">
            <v>RANCHI PATNA ROAD, NH-33, SINDUR, HAZARIBAGH</v>
          </cell>
          <cell r="G8974">
            <v>9709175616</v>
          </cell>
          <cell r="K8974" t="str">
            <v>BTKD200646</v>
          </cell>
        </row>
        <row r="8975">
          <cell r="E8975" t="str">
            <v>TRIDENT PNEUMATICS PVT LTD   5/232,KNG PUDUR ROADSOMAYAMPALAYAM POSTCOIMBATORE IND</v>
          </cell>
          <cell r="G8975">
            <v>6204342637</v>
          </cell>
          <cell r="K8975" t="str">
            <v>BRCC373040</v>
          </cell>
        </row>
        <row r="8976">
          <cell r="E8976" t="str">
            <v>DHANBAD, CONT PERSON :MR. IKTEKHAR AHMAD, PH.NO :9431316718</v>
          </cell>
          <cell r="G8976">
            <v>8210567144</v>
          </cell>
          <cell r="K8976" t="str">
            <v>BQID160499</v>
          </cell>
        </row>
        <row r="8977">
          <cell r="E8977" t="str">
            <v>UPPER BAZAR,RANCHI
834001
UPPER BAZAR,</v>
          </cell>
          <cell r="G8977">
            <v>8381069617</v>
          </cell>
          <cell r="K8977" t="str">
            <v>BRJC371828</v>
          </cell>
        </row>
        <row r="8978">
          <cell r="E8978" t="str">
            <v>TUPUDANA INDUSTRIAL AREA,RANCHI
834003</v>
          </cell>
          <cell r="G8978">
            <v>9835167418</v>
          </cell>
          <cell r="K8978" t="str">
            <v>BRIS035695</v>
          </cell>
        </row>
        <row r="8979">
          <cell r="E8979" t="str">
            <v>ANKIT KUMAR SONTHALIA, R.N. BOSE ROAD, SATSANG GATE, NEAR HANUMAN MANDIR,, PURANDAHA, DEOGHAR, DIST. DUMKA,, JHARKHAND</v>
          </cell>
          <cell r="G8979">
            <v>7542025382</v>
          </cell>
          <cell r="K8979" t="str">
            <v>BSFD161795</v>
          </cell>
        </row>
        <row r="8980">
          <cell r="E8980" t="str">
            <v>JAMTARA</v>
          </cell>
          <cell r="G8980">
            <v>8789065274</v>
          </cell>
          <cell r="K8980" t="str">
            <v>BRAD160816</v>
          </cell>
        </row>
        <row r="8981">
          <cell r="E8981" t="str">
            <v>KATRAS, DHANBAD</v>
          </cell>
          <cell r="G8981">
            <v>6203411013</v>
          </cell>
          <cell r="K8981" t="str">
            <v>BSGD161904</v>
          </cell>
        </row>
        <row r="8982">
          <cell r="E8982" t="str">
            <v>ANKIT KUMAR SONTHALIA, R.N. BOSE ROAD, SATSANG GATE, NEAR HANUMAN MANDIR,, PURANDAHA, DEOGHAR, DIST. DUMKA,, JHARKHAND</v>
          </cell>
          <cell r="G8982">
            <v>7542025382</v>
          </cell>
          <cell r="K8982" t="str">
            <v>BSID161979</v>
          </cell>
        </row>
        <row r="8983">
          <cell r="E8983" t="str">
            <v>C/O RAJ KUMAR BHALA, DIWAN KUNJLAL LOHIA CHARITABLE TRUST, EAST MARKET ROAD, UPPER BAZAR,, RANCHI
834001</v>
          </cell>
          <cell r="G8983">
            <v>9234613522</v>
          </cell>
          <cell r="K8983" t="str">
            <v>BMDS031033</v>
          </cell>
        </row>
        <row r="8984">
          <cell r="E8984" t="str">
            <v>VILL - BARIDARI, BOKARO</v>
          </cell>
          <cell r="G8984">
            <v>9234951903</v>
          </cell>
          <cell r="K8984" t="str">
            <v>BRHD161299</v>
          </cell>
        </row>
        <row r="8985">
          <cell r="E8985" t="str">
            <v>JHARKHAND</v>
          </cell>
          <cell r="G8985">
            <v>9441693704</v>
          </cell>
          <cell r="K8985" t="str">
            <v>BQJD160040</v>
          </cell>
        </row>
        <row r="8986">
          <cell r="E8986" t="str">
            <v>PHASE 3
827014
PHASE 3 INDUSTRIAL AREA827013</v>
          </cell>
          <cell r="G8986">
            <v>9122209999</v>
          </cell>
          <cell r="K8986" t="str">
            <v>BQIS031915</v>
          </cell>
        </row>
        <row r="8987">
          <cell r="E8987" t="str">
            <v>OPERATIONS OFFICER, BOKARO BP, KIND ATTEN.ABHISHEK TRIPATHI, MOB. NO.8789972995, VENDOR CODE-11970380
OPERATIONS OFFICER, BOKARO BP, KIND ATTEN.ABHISHEK TRIPATHI, MOB. NO.8789972995, VENDOR CODE-11970380
827014
LPG BOTTALING PLANT, BALIDIH,</v>
          </cell>
          <cell r="G8987">
            <v>8092095823</v>
          </cell>
          <cell r="K8987" t="str">
            <v>BOCS040147</v>
          </cell>
        </row>
        <row r="8988">
          <cell r="E8988" t="str">
            <v>GARHWA JHARKHAND</v>
          </cell>
          <cell r="G8988">
            <v>9709158650</v>
          </cell>
          <cell r="K8988" t="str">
            <v>BPHD200246</v>
          </cell>
        </row>
        <row r="8989">
          <cell r="E8989" t="str">
            <v>GARHWA JHARKHAND</v>
          </cell>
          <cell r="G8989">
            <v>9709158650</v>
          </cell>
          <cell r="K8989" t="str">
            <v>BPHD200246</v>
          </cell>
        </row>
        <row r="8990">
          <cell r="E8990" t="str">
            <v>DALADALI, RANCHI</v>
          </cell>
          <cell r="G8990">
            <v>0</v>
          </cell>
          <cell r="K8990" t="str">
            <v>BQGD230221</v>
          </cell>
        </row>
        <row r="8991">
          <cell r="E8991" t="str">
            <v>TIKRATOLI,SAPAROM
NEAR LALGUTWA OVERBRIDGE, TIKRATOLI, SAPAROM,, NAGRI, RANCHI
835303</v>
          </cell>
          <cell r="G8991">
            <v>9608086621</v>
          </cell>
          <cell r="K8991" t="str">
            <v>BQCS040170</v>
          </cell>
        </row>
        <row r="8992">
          <cell r="E8992" t="str">
            <v>TIKRATOLI,SAPAROM
NEAR LALGUTWA OVERBRIDGE, TIKRATOLI, SAPAROM,, NAGRI, RANCHI
835303</v>
          </cell>
          <cell r="G8992">
            <v>9608086621</v>
          </cell>
          <cell r="K8992" t="str">
            <v>BRGC373885</v>
          </cell>
        </row>
        <row r="8993">
          <cell r="E8993" t="str">
            <v>TIKRATOLI,SAPAROM
NEAR LALGUTWA OVERBRIDGE, TIKRATOLI, SAPAROM,, NAGRI, RANCHI
835303</v>
          </cell>
          <cell r="G8993">
            <v>7004423828</v>
          </cell>
          <cell r="K8993" t="str">
            <v>BKJS040077</v>
          </cell>
        </row>
        <row r="8994">
          <cell r="E8994" t="str">
            <v>KATITAND, RATU, RANCHI, JHARKHAND
835222</v>
          </cell>
          <cell r="G8994">
            <v>9798542502</v>
          </cell>
          <cell r="K8994" t="str">
            <v>BQFC370928</v>
          </cell>
        </row>
        <row r="8995">
          <cell r="E8995" t="str">
            <v>KATRAS, DHANBAD</v>
          </cell>
          <cell r="G8995">
            <v>9798360305</v>
          </cell>
          <cell r="K8995" t="str">
            <v>BSKD161477</v>
          </cell>
        </row>
        <row r="8996">
          <cell r="E8996" t="str">
            <v>GARHWA DALTONGANJ</v>
          </cell>
          <cell r="G8996">
            <v>7488289727</v>
          </cell>
          <cell r="K8996" t="str">
            <v>BSAD161582</v>
          </cell>
        </row>
        <row r="8997">
          <cell r="E8997" t="str">
            <v>BARKAGAON, HAZARIBAGH</v>
          </cell>
          <cell r="G8997">
            <v>6301756433</v>
          </cell>
          <cell r="K8997" t="str">
            <v>BRCD160990</v>
          </cell>
        </row>
        <row r="8998">
          <cell r="E8998" t="str">
            <v>TOPA MINES, RAMGARH</v>
          </cell>
          <cell r="G8998">
            <v>9471109170</v>
          </cell>
          <cell r="K8998" t="str">
            <v>BSKD161467</v>
          </cell>
        </row>
        <row r="8999">
          <cell r="E8999" t="str">
            <v>RANCHI,JHARKHAND
834004</v>
          </cell>
          <cell r="G8999">
            <v>9113441079</v>
          </cell>
          <cell r="K8999" t="str">
            <v>BRHC374102</v>
          </cell>
        </row>
        <row r="9000">
          <cell r="E9000" t="str">
            <v>HYDERABAD, MO-09502110693</v>
          </cell>
          <cell r="G9000">
            <v>9344284002</v>
          </cell>
          <cell r="K9000" t="str">
            <v>BQID160474</v>
          </cell>
        </row>
        <row r="9001">
          <cell r="E9001" t="str">
            <v>HYDERABAD, MO-09502110693</v>
          </cell>
          <cell r="G9001">
            <v>9344284002</v>
          </cell>
          <cell r="K9001" t="str">
            <v>BQCD220126</v>
          </cell>
        </row>
        <row r="9002">
          <cell r="E9002" t="str">
            <v>DALADALI, RANCHI</v>
          </cell>
          <cell r="G9002">
            <v>9360707349</v>
          </cell>
          <cell r="K9002" t="str">
            <v>BQGD230221</v>
          </cell>
        </row>
        <row r="9003">
          <cell r="E9003" t="str">
            <v>DALADALI, RANCHI</v>
          </cell>
          <cell r="G9003">
            <v>9360707349</v>
          </cell>
          <cell r="K9003" t="str">
            <v>BQGD230221</v>
          </cell>
        </row>
        <row r="9004">
          <cell r="E9004" t="str">
            <v>RANCHI,JHARKHAND
834001
RANCHI</v>
          </cell>
          <cell r="G9004">
            <v>9407860584</v>
          </cell>
          <cell r="K9004" t="str">
            <v>BJHS031586</v>
          </cell>
        </row>
        <row r="9005">
          <cell r="E9005" t="str">
            <v>ARGADA ROAD, BINJHAR, P.O. - MARAR, RAMGARH
829117</v>
          </cell>
          <cell r="G9005">
            <v>8294504879</v>
          </cell>
          <cell r="K9005" t="str">
            <v>BSCS037449</v>
          </cell>
        </row>
        <row r="9006">
          <cell r="E9006" t="str">
            <v>VILL - BARIDARI, BOKARO</v>
          </cell>
          <cell r="G9006">
            <v>9234951903</v>
          </cell>
          <cell r="K9006" t="str">
            <v>BRHD161299</v>
          </cell>
        </row>
        <row r="9007">
          <cell r="E9007" t="str">
            <v>HAZARIBAGH
RANCHI JHARKHAND 834002
INDIA</v>
          </cell>
          <cell r="G9007" t="str">
            <v>7309672604 / 7361044447/9835535277</v>
          </cell>
          <cell r="K9007" t="str">
            <v>BKAS030685</v>
          </cell>
        </row>
        <row r="9008">
          <cell r="E9008" t="str">
            <v>RANCHI,JHARKHAND
825301
JHUMRA</v>
          </cell>
          <cell r="G9008">
            <v>9593546866</v>
          </cell>
          <cell r="K9008" t="str">
            <v>BMIS031670</v>
          </cell>
        </row>
        <row r="9009">
          <cell r="E9009" t="str">
            <v>HAZARIBAGH
RANCHI JHARKHAND 834002
INDIA</v>
          </cell>
          <cell r="G9009" t="str">
            <v>7309672604 / 7361044447/9835535277</v>
          </cell>
          <cell r="K9009" t="str">
            <v>BKAS030685</v>
          </cell>
        </row>
        <row r="9010">
          <cell r="E9010" t="str">
            <v>C/O - NAVEEN KUMAR SINGH, PLOT NO.-538,718, DUNDURIA, GUMLA</v>
          </cell>
          <cell r="G9010">
            <v>9308060257</v>
          </cell>
          <cell r="K9010" t="str">
            <v>BTJD162038</v>
          </cell>
        </row>
        <row r="9011">
          <cell r="E9011" t="str">
            <v>RANCHI PATNA ROAD
DEMOTAND
825301
HAZARIBAGH</v>
          </cell>
          <cell r="G9011">
            <v>7209274781</v>
          </cell>
          <cell r="K9011" t="str">
            <v>BSCS037531</v>
          </cell>
        </row>
        <row r="9012">
          <cell r="E9012" t="str">
            <v>RANCHI PATNA ROAD
DEMOTAND
825301
HAZARIBAGH</v>
          </cell>
          <cell r="G9012">
            <v>7209274781</v>
          </cell>
          <cell r="K9012" t="str">
            <v>BMBL160078</v>
          </cell>
        </row>
        <row r="9013">
          <cell r="E9013" t="str">
            <v>TRIDENT PNEUMATICS PVT LTD   5/232,KNG PUDUR ROADSOMAYAMPALAYAM POSTCOIMBATORE IND</v>
          </cell>
          <cell r="G9013">
            <v>6204342637</v>
          </cell>
          <cell r="K9013" t="str">
            <v>BRCC373040</v>
          </cell>
        </row>
        <row r="9014">
          <cell r="E9014" t="str">
            <v>NAGRI,RANCHI
835202
RANCHI</v>
          </cell>
          <cell r="G9014">
            <v>7004122894</v>
          </cell>
          <cell r="K9014" t="str">
            <v>BRIS035698</v>
          </cell>
        </row>
        <row r="9015">
          <cell r="E9015" t="str">
            <v>RANCHI PATNA ROAD
DEMOTAND
825301
HAZARIBAGH</v>
          </cell>
          <cell r="G9015">
            <v>7905424302</v>
          </cell>
          <cell r="K9015" t="str">
            <v>BIFS040367</v>
          </cell>
        </row>
        <row r="9016">
          <cell r="E9016" t="str">
            <v>RANCHI PATNA ROAD
DEMOTAND
825301
HAZARIBAGH</v>
          </cell>
          <cell r="G9016">
            <v>6203465926</v>
          </cell>
          <cell r="K9016" t="str">
            <v>BMBL160078</v>
          </cell>
        </row>
        <row r="9017">
          <cell r="E9017" t="str">
            <v>UNIT OF HERITAGE LANDMARKS AUTOWORLD PVT. LTD., NEAR KAMRE AASHRAM, P.O. KAMRE, RATU ROAD, RANCHI
835214</v>
          </cell>
          <cell r="G9017">
            <v>9065521314</v>
          </cell>
          <cell r="K9017" t="str">
            <v>BTJC377158</v>
          </cell>
        </row>
        <row r="9018">
          <cell r="E9018" t="str">
            <v>BANDHIYA RAOD, NAGRI RANCHI, MOB.8709325266
834006
BANDHIYA ROAD, NAGARI RANCHI</v>
          </cell>
          <cell r="G9018">
            <v>9110033639</v>
          </cell>
          <cell r="K9018" t="str">
            <v>BLFS040558</v>
          </cell>
        </row>
        <row r="9019">
          <cell r="E9019" t="str">
            <v>RANCHI PATNA ROAD
DEMOTAND
825301
HAZARIBAGH</v>
          </cell>
          <cell r="G9019">
            <v>9431140190</v>
          </cell>
          <cell r="K9019" t="str">
            <v>BSCS037531</v>
          </cell>
        </row>
        <row r="9020">
          <cell r="E9020" t="str">
            <v>KATHITAR,RANCHI
KATHITAR,RANCHI
834004
KATHITAR,</v>
          </cell>
          <cell r="G9020">
            <v>9431360168</v>
          </cell>
          <cell r="K9020" t="str">
            <v>GPGC370774</v>
          </cell>
        </row>
        <row r="9021">
          <cell r="E9021" t="str">
            <v>DUMKA</v>
          </cell>
          <cell r="G9021">
            <v>9304762882</v>
          </cell>
          <cell r="K9021" t="str">
            <v>BRAD160777</v>
          </cell>
        </row>
        <row r="9022">
          <cell r="E9022" t="str">
            <v>KOKAR INDUSTRIAL AREA,,RANCHI
834002
KOKAR INDUSTRIAL AREA RANCHI</v>
          </cell>
          <cell r="G9022">
            <v>7079323050</v>
          </cell>
          <cell r="K9022" t="str">
            <v>GNDC370057</v>
          </cell>
        </row>
        <row r="9023">
          <cell r="E9023" t="str">
            <v>BAGODAR, JHARKHAND</v>
          </cell>
          <cell r="G9023">
            <v>7870903284</v>
          </cell>
          <cell r="K9023" t="str">
            <v>BQID160510</v>
          </cell>
        </row>
        <row r="9024">
          <cell r="E9024" t="str">
            <v>KOKAR, RANCHI</v>
          </cell>
          <cell r="G9024">
            <v>9263186366</v>
          </cell>
          <cell r="K9024" t="str">
            <v>BPLF150007</v>
          </cell>
        </row>
        <row r="9025">
          <cell r="E9025" t="str">
            <v>NAMKUM INDUSTRIAL AREA,RANCHI
834010</v>
          </cell>
          <cell r="G9025">
            <v>9386408111</v>
          </cell>
          <cell r="K9025" t="str">
            <v>GOCC370403</v>
          </cell>
        </row>
        <row r="9026">
          <cell r="E9026" t="str">
            <v>DUMRI, JHARKHAND</v>
          </cell>
          <cell r="G9026">
            <v>9608325210</v>
          </cell>
          <cell r="K9026" t="str">
            <v>BSFD161830</v>
          </cell>
        </row>
        <row r="9027">
          <cell r="E9027" t="str">
            <v>RAMGARH, JHAKHAND</v>
          </cell>
          <cell r="G9027">
            <v>8525930531</v>
          </cell>
          <cell r="K9027" t="str">
            <v>BSCD161691</v>
          </cell>
        </row>
        <row r="9028">
          <cell r="E9028" t="str">
            <v>CHIRKUNDA, DHANBAD</v>
          </cell>
          <cell r="G9028">
            <v>9661734823</v>
          </cell>
          <cell r="K9028" t="str">
            <v>BTKD162074</v>
          </cell>
        </row>
        <row r="9029">
          <cell r="E9029" t="str">
            <v>NAGARI,</v>
          </cell>
          <cell r="G9029">
            <v>9297706123</v>
          </cell>
          <cell r="K9029" t="str">
            <v>BLGS040582</v>
          </cell>
        </row>
        <row r="9030">
          <cell r="E9030" t="str">
            <v>GOVINDPUR, GOMIYA</v>
          </cell>
          <cell r="G9030">
            <v>8825270627</v>
          </cell>
          <cell r="K9030" t="str">
            <v>BRLD160728</v>
          </cell>
        </row>
        <row r="9031">
          <cell r="E9031" t="str">
            <v>AT: SENEGARHA, P.O-RABODH, P.S-GIDDI,(RAMGARH),, DISTT. HAZARIBAGH,JHARKHAND-825330
829108
AT: SENEGARHA, P.O-RABODH, P.S-GIDDI,(RAMGARH),</v>
          </cell>
          <cell r="G9031">
            <v>9006877583</v>
          </cell>
          <cell r="K9031" t="str">
            <v>BRAS033261</v>
          </cell>
        </row>
        <row r="9032">
          <cell r="E9032" t="str">
            <v>RAMGARH
829103
NAYA MORE</v>
          </cell>
          <cell r="G9032">
            <v>8651078549</v>
          </cell>
          <cell r="K9032" t="str">
            <v>BPCS030196</v>
          </cell>
        </row>
        <row r="9033">
          <cell r="E9033" t="str">
            <v>RAMGARH
829103
NAYA MORE</v>
          </cell>
          <cell r="G9033">
            <v>8651078549</v>
          </cell>
          <cell r="K9033" t="str">
            <v>BPCS030196</v>
          </cell>
        </row>
        <row r="9034">
          <cell r="E9034" t="str">
            <v>KATRAS, DHANBAD</v>
          </cell>
          <cell r="G9034">
            <v>9550583031</v>
          </cell>
          <cell r="K9034" t="str">
            <v>BQKD160115</v>
          </cell>
        </row>
        <row r="9035">
          <cell r="E9035" t="str">
            <v>RAIGANJ,DHANBAD</v>
          </cell>
          <cell r="G9035">
            <v>7981394030</v>
          </cell>
          <cell r="K9035" t="str">
            <v>BPID120091</v>
          </cell>
        </row>
        <row r="9036">
          <cell r="E9036" t="str">
            <v>TILTA RING ROAD.
834006</v>
          </cell>
          <cell r="G9036">
            <v>0</v>
          </cell>
          <cell r="K9036" t="str">
            <v>BSHC376807</v>
          </cell>
        </row>
        <row r="9037">
          <cell r="E9037" t="str">
            <v>JAMUI BIHAR</v>
          </cell>
          <cell r="G9037">
            <v>9264207575</v>
          </cell>
          <cell r="K9037" t="str">
            <v>BQKD160076</v>
          </cell>
        </row>
        <row r="9038">
          <cell r="E9038" t="str">
            <v>DHANBAD</v>
          </cell>
          <cell r="G9038">
            <v>9585918025</v>
          </cell>
          <cell r="K9038" t="str">
            <v>BRCD160968</v>
          </cell>
        </row>
        <row r="9039">
          <cell r="E9039" t="str">
            <v>TRIDENT PNEUMATICS PVT LTD   5/232,KNG PUDUR ROADSOMAYAMPALAYAM POSTCOIMBATORE IND</v>
          </cell>
          <cell r="G9039">
            <v>9386007608</v>
          </cell>
          <cell r="K9039" t="str">
            <v>BRCC373040</v>
          </cell>
        </row>
        <row r="9040">
          <cell r="E9040" t="str">
            <v>KARKENDRA, DHANBAD</v>
          </cell>
          <cell r="G9040">
            <v>9263634474</v>
          </cell>
          <cell r="K9040" t="str">
            <v>NA</v>
          </cell>
        </row>
        <row r="9041">
          <cell r="E9041" t="str">
            <v>RAMGARH</v>
          </cell>
          <cell r="G9041">
            <v>7360077726</v>
          </cell>
          <cell r="K9041" t="str">
            <v>BKAS030601</v>
          </cell>
        </row>
        <row r="9042">
          <cell r="E9042" t="str">
            <v>PIPARWAR, JHARKHAND</v>
          </cell>
          <cell r="G9042">
            <v>9661734823</v>
          </cell>
          <cell r="K9042" t="str">
            <v>BTKD162077</v>
          </cell>
        </row>
        <row r="9043">
          <cell r="E9043" t="str">
            <v>CHIRKUNDA, DHANBAD</v>
          </cell>
          <cell r="G9043">
            <v>9661734823</v>
          </cell>
          <cell r="K9043" t="str">
            <v>BTKD162074</v>
          </cell>
        </row>
        <row r="9044">
          <cell r="E9044" t="str">
            <v>DHANBAD</v>
          </cell>
          <cell r="G9044">
            <v>9585918025</v>
          </cell>
          <cell r="K9044" t="str">
            <v>BRCD160967</v>
          </cell>
        </row>
        <row r="9045">
          <cell r="E9045" t="str">
            <v>ANGAR PATRA,DHANBAD</v>
          </cell>
          <cell r="G9045">
            <v>8210106692</v>
          </cell>
          <cell r="K9045" t="str">
            <v>BSDD161729</v>
          </cell>
        </row>
        <row r="9046">
          <cell r="E9046" t="str">
            <v>NAWADIH, CHATARPUR</v>
          </cell>
          <cell r="G9046">
            <v>6203240174</v>
          </cell>
          <cell r="K9046" t="str">
            <v>BRDD161019</v>
          </cell>
        </row>
        <row r="9047">
          <cell r="E9047" t="str">
            <v>NAWADIH, CHATARPUR</v>
          </cell>
          <cell r="G9047">
            <v>6203240174</v>
          </cell>
          <cell r="K9047" t="str">
            <v>BRDD161019</v>
          </cell>
        </row>
        <row r="9048">
          <cell r="E9048" t="str">
            <v>NAGARI RANCHI
NAGARI RANCHI
835303</v>
          </cell>
          <cell r="G9048">
            <v>6201457979</v>
          </cell>
          <cell r="K9048" t="str">
            <v>BKJS030050</v>
          </cell>
        </row>
        <row r="9049">
          <cell r="E9049" t="str">
            <v>KOKAR,INDUSTRIAL AREA,RANCHI
834002
RANCHI</v>
          </cell>
          <cell r="G9049">
            <v>7781017919</v>
          </cell>
          <cell r="K9049" t="str">
            <v>BMKC370048</v>
          </cell>
        </row>
        <row r="9050">
          <cell r="E9050" t="str">
            <v>KOKAR INDUSTRIAL AREA,,RANCHI
834002
KOKAR INDUSTRIAL AREA RANCHI</v>
          </cell>
          <cell r="G9050">
            <v>7079323050</v>
          </cell>
          <cell r="K9050" t="str">
            <v>GNDC370057</v>
          </cell>
        </row>
        <row r="9051">
          <cell r="E9051" t="str">
            <v>KOKAR INDUSTRIAL AREA,,RANCHI
834002
KOKAR INDUSTRIAL AREA RANCHI</v>
          </cell>
          <cell r="G9051">
            <v>6202903299</v>
          </cell>
          <cell r="K9051" t="str">
            <v>BPLF150007</v>
          </cell>
        </row>
        <row r="9052">
          <cell r="E9052" t="str">
            <v>TATISILWAI, JHARKHAND
835103</v>
          </cell>
          <cell r="G9052">
            <v>6200160428</v>
          </cell>
          <cell r="K9052" t="str">
            <v>BQGS031413</v>
          </cell>
        </row>
        <row r="9053">
          <cell r="E9053" t="str">
            <v>TATISILWAI, JHARKHAND
835103</v>
          </cell>
          <cell r="G9053">
            <v>6200160428</v>
          </cell>
          <cell r="K9053" t="str">
            <v>BQHS040705</v>
          </cell>
        </row>
        <row r="9054">
          <cell r="E9054" t="str">
            <v>NAGARI,</v>
          </cell>
          <cell r="G9054">
            <v>9297706123</v>
          </cell>
          <cell r="K9054" t="str">
            <v>BLGS040582</v>
          </cell>
        </row>
        <row r="9055">
          <cell r="E9055" t="str">
            <v>REHLA, GARHWA ROAD, PALAMU D.T, JHARKHAND
PALAMU JHARKHAND 822124
INDIA</v>
          </cell>
          <cell r="G9055">
            <v>7004971081</v>
          </cell>
          <cell r="K9055" t="str">
            <v>BLFS031469</v>
          </cell>
        </row>
        <row r="9056">
          <cell r="E9056" t="str">
            <v>PALAMU,JHARKHAND
822126
PALAMU</v>
          </cell>
          <cell r="G9056">
            <v>6200280151</v>
          </cell>
          <cell r="K9056" t="str">
            <v>GPGC370758</v>
          </cell>
        </row>
        <row r="9057">
          <cell r="E9057" t="str">
            <v>DHANBAD</v>
          </cell>
          <cell r="G9057">
            <v>8210106692</v>
          </cell>
          <cell r="K9057" t="str">
            <v>BRGD161225</v>
          </cell>
        </row>
        <row r="9058">
          <cell r="E9058" t="str">
            <v>FATEHPUR, GAYA</v>
          </cell>
          <cell r="G9058">
            <v>8169716899</v>
          </cell>
          <cell r="K9058" t="str">
            <v>BRHD161314</v>
          </cell>
        </row>
        <row r="9059">
          <cell r="E9059" t="str">
            <v>RAJAULI, BIHAR</v>
          </cell>
          <cell r="G9059">
            <v>7717797801</v>
          </cell>
          <cell r="K9059" t="str">
            <v>BSHD161938</v>
          </cell>
        </row>
        <row r="9060">
          <cell r="E9060" t="str">
            <v>KATRAS, DHANBAD</v>
          </cell>
          <cell r="G9060">
            <v>9798360305</v>
          </cell>
          <cell r="K9060" t="str">
            <v>BSKD161477</v>
          </cell>
        </row>
        <row r="9061">
          <cell r="E9061" t="str">
            <v>JHUMRI TELAIYA, KODARMA
825409</v>
          </cell>
          <cell r="G9061" t="str">
            <v>9955926845/6202393112</v>
          </cell>
          <cell r="K9061" t="str">
            <v>BSBC375530</v>
          </cell>
        </row>
        <row r="9062">
          <cell r="E9062" t="str">
            <v>KATRAS, DHANBAD</v>
          </cell>
          <cell r="G9062">
            <v>9550583031</v>
          </cell>
          <cell r="K9062" t="str">
            <v>BQKD160115</v>
          </cell>
        </row>
        <row r="9063">
          <cell r="E9063" t="str">
            <v>RAGH8UNATHPUR, JHARKHAND</v>
          </cell>
          <cell r="G9063">
            <v>9939356615</v>
          </cell>
          <cell r="K9063" t="str">
            <v>BOID200238</v>
          </cell>
        </row>
        <row r="9064">
          <cell r="E9064" t="str">
            <v>DUMRI, JHARKHAND</v>
          </cell>
          <cell r="G9064">
            <v>9608325210</v>
          </cell>
          <cell r="K9064" t="str">
            <v>BSFD161830</v>
          </cell>
        </row>
        <row r="9065">
          <cell r="E9065" t="str">
            <v>RANCHI,JHARKHAND
834001
RANCHI</v>
          </cell>
          <cell r="G9065">
            <v>9431571200</v>
          </cell>
          <cell r="K9065" t="str">
            <v>BJHS031586</v>
          </cell>
        </row>
        <row r="9066">
          <cell r="E9066" t="str">
            <v>CHATRA,JHARKHAND</v>
          </cell>
          <cell r="G9066">
            <v>7004203427</v>
          </cell>
          <cell r="K9066" t="str">
            <v>BSKD200409</v>
          </cell>
        </row>
        <row r="9067">
          <cell r="E9067" t="str">
            <v>RAMGARH,JHARKHAND
825101
RAMGARH</v>
          </cell>
          <cell r="G9067">
            <v>9031309516</v>
          </cell>
          <cell r="K9067" t="str">
            <v>BSGC376585</v>
          </cell>
        </row>
        <row r="9068">
          <cell r="E9068" t="str">
            <v>GAYA, BIHAR</v>
          </cell>
          <cell r="G9068">
            <v>9934194244</v>
          </cell>
          <cell r="K9068" t="str">
            <v>BQHD160361</v>
          </cell>
        </row>
        <row r="9069">
          <cell r="E9069" t="str">
            <v>TIPUDANA</v>
          </cell>
          <cell r="G9069">
            <v>9534249500</v>
          </cell>
          <cell r="K9069">
            <v>13254305</v>
          </cell>
        </row>
        <row r="9070">
          <cell r="E9070" t="str">
            <v>TUPUDANA INDUSTRIAL AREA</v>
          </cell>
          <cell r="G9070">
            <v>9534249500</v>
          </cell>
          <cell r="K9070" t="str">
            <v>BMBS030816</v>
          </cell>
        </row>
        <row r="9071">
          <cell r="E9071" t="str">
            <v>RAMGARH CANTT, RAMGARH
RAMGARH
829122
RAMGARH</v>
          </cell>
          <cell r="G9071">
            <v>9576033882</v>
          </cell>
          <cell r="K9071" t="str">
            <v>BNKS030423</v>
          </cell>
        </row>
        <row r="9072">
          <cell r="E9072" t="str">
            <v>TIPUDANA INDUSTRIAL AREA, HATIA,</v>
          </cell>
          <cell r="G9072">
            <v>9534249500</v>
          </cell>
          <cell r="K9072" t="str">
            <v>BJGS031396</v>
          </cell>
        </row>
        <row r="9073">
          <cell r="E9073" t="str">
            <v>KOKAR,INDUSTRIAL AREA,RANCHI
834002
RANCHI</v>
          </cell>
          <cell r="G9073">
            <v>7781017919</v>
          </cell>
          <cell r="K9073" t="str">
            <v>BMKC370048</v>
          </cell>
        </row>
        <row r="9074">
          <cell r="E9074" t="str">
            <v>DEOGHAR, JHARKHAND</v>
          </cell>
          <cell r="G9074">
            <v>6299474526</v>
          </cell>
          <cell r="K9074" t="str">
            <v>BQAS043368</v>
          </cell>
        </row>
        <row r="9075">
          <cell r="E9075" t="str">
            <v>NAGARI RANCHI
NAGARI RANCHI
835303</v>
          </cell>
          <cell r="G9075">
            <v>9570029248</v>
          </cell>
          <cell r="K9075" t="str">
            <v>BKJS030050</v>
          </cell>
        </row>
        <row r="9076">
          <cell r="E9076" t="str">
            <v>RAMGARH</v>
          </cell>
          <cell r="G9076">
            <v>7360077726</v>
          </cell>
          <cell r="K9076" t="str">
            <v>BKAS030601</v>
          </cell>
        </row>
        <row r="9077">
          <cell r="E9077" t="str">
            <v>RAMGARH CANTT, RAMGARH
RAMGARH
829122
RAMGARH</v>
          </cell>
          <cell r="G9077">
            <v>9576033882</v>
          </cell>
          <cell r="K9077" t="str">
            <v>BNKS030423</v>
          </cell>
        </row>
        <row r="9078">
          <cell r="E9078" t="str">
            <v>TRIDENT PNEUMATICS PVT LTD   5/232,KNG PUDUR ROADSOMAYAMPALAYAM POSTCOIMBATORE IND</v>
          </cell>
          <cell r="G9078">
            <v>9386007608</v>
          </cell>
          <cell r="K9078" t="str">
            <v>BRCC373040</v>
          </cell>
        </row>
        <row r="9079">
          <cell r="E9079" t="str">
            <v>CHAKARDHARPUR</v>
          </cell>
          <cell r="G9079">
            <v>8639995694</v>
          </cell>
          <cell r="K9079" t="str">
            <v>BSJD161422</v>
          </cell>
        </row>
        <row r="9080">
          <cell r="E9080" t="str">
            <v>RAMGARH,JHARKHAND
825101
RAMGARH</v>
          </cell>
          <cell r="G9080">
            <v>9031309516</v>
          </cell>
          <cell r="K9080" t="str">
            <v>BSGC376585</v>
          </cell>
        </row>
        <row r="9081">
          <cell r="E9081" t="str">
            <v>UNIT OF HERITAGE LANDMARKS AUTOWORLD PVT. LTD., NEAR KAMRE AASHRAM, P.O. KAMRE, RATU ROAD, RANCHI
835214</v>
          </cell>
          <cell r="G9081">
            <v>9065521314</v>
          </cell>
          <cell r="K9081" t="str">
            <v>BTJC377158</v>
          </cell>
        </row>
        <row r="9082">
          <cell r="E9082" t="str">
            <v>KATRAS, DHANBAD</v>
          </cell>
          <cell r="G9082">
            <v>9431316718</v>
          </cell>
          <cell r="K9082" t="str">
            <v>BSKD161462</v>
          </cell>
        </row>
        <row r="9083">
          <cell r="E9083" t="str">
            <v>KATHITAR,RANCHI
KATHITAR,RANCHI
834004
KATHITAR,</v>
          </cell>
          <cell r="G9083">
            <v>9431360168</v>
          </cell>
          <cell r="K9083" t="str">
            <v>GPGC370774</v>
          </cell>
        </row>
        <row r="9084">
          <cell r="E9084" t="str">
            <v>JAMCHUA RANCHI</v>
          </cell>
          <cell r="G9084">
            <v>9771195278</v>
          </cell>
          <cell r="K9084" t="str">
            <v>BRCD160978</v>
          </cell>
        </row>
        <row r="9085">
          <cell r="E9085" t="str">
            <v>KAMRE, RATU, RANCHI</v>
          </cell>
          <cell r="G9085">
            <v>9360029316</v>
          </cell>
          <cell r="K9085" t="str">
            <v>BOGD230231</v>
          </cell>
        </row>
        <row r="9086">
          <cell r="E9086" t="str">
            <v>11 PINJRAPOLE, HARMU ROAD, RANCHI
11 PINJRAPOLE, HARMU ROAD, RANCHI
834001
MAHILONG, TATISILWAY</v>
          </cell>
          <cell r="G9086">
            <v>9709000070</v>
          </cell>
          <cell r="K9086" t="str">
            <v>BNCC370425</v>
          </cell>
        </row>
        <row r="9087">
          <cell r="E9087" t="str">
            <v>JAMCHUA RANCHI</v>
          </cell>
          <cell r="G9087">
            <v>9771195278</v>
          </cell>
          <cell r="K9087" t="str">
            <v>BRCD160978</v>
          </cell>
        </row>
        <row r="9088">
          <cell r="E9088" t="str">
            <v>DUMARI</v>
          </cell>
          <cell r="G9088">
            <v>9572932321</v>
          </cell>
          <cell r="K9088" t="str">
            <v>BRBD160856</v>
          </cell>
        </row>
        <row r="9089">
          <cell r="E9089" t="str">
            <v>RAGH8UNATHPUR, JHARKHAND</v>
          </cell>
          <cell r="G9089">
            <v>9939356615</v>
          </cell>
          <cell r="K9089" t="str">
            <v>BOID200238</v>
          </cell>
        </row>
        <row r="9090">
          <cell r="E9090" t="str">
            <v>DUMRI, JHARKHAND</v>
          </cell>
          <cell r="G9090">
            <v>9608325210</v>
          </cell>
          <cell r="K9090" t="str">
            <v>BSFD161830</v>
          </cell>
        </row>
        <row r="9091">
          <cell r="E9091" t="str">
            <v>RANCHI PATNA ROAD
DEMOTAND
825301
HAZARIBAGH</v>
          </cell>
          <cell r="G9091">
            <v>6203465926</v>
          </cell>
          <cell r="K9091" t="str">
            <v>BMBL160078</v>
          </cell>
        </row>
        <row r="9092">
          <cell r="E9092" t="str">
            <v>REHLA,GARWA,JHARKHAND
822124
RANCHI</v>
          </cell>
          <cell r="G9092">
            <v>7992431955</v>
          </cell>
          <cell r="K9092" t="str">
            <v>BMFS031346</v>
          </cell>
        </row>
        <row r="9093">
          <cell r="E9093" t="str">
            <v>COLLIEARY, DHANBAD</v>
          </cell>
          <cell r="G9093">
            <v>9573347055</v>
          </cell>
          <cell r="K9093" t="str">
            <v>BRID161336</v>
          </cell>
        </row>
        <row r="9094">
          <cell r="E9094" t="str">
            <v>KODERMA</v>
          </cell>
          <cell r="G9094">
            <v>6205816424</v>
          </cell>
          <cell r="K9094" t="str">
            <v>BSAD161567</v>
          </cell>
        </row>
        <row r="9095">
          <cell r="E9095" t="str">
            <v>CHANDIL, JAMSHEDPUR</v>
          </cell>
          <cell r="G9095">
            <v>9971133859</v>
          </cell>
          <cell r="K9095" t="str">
            <v>BMLD160107</v>
          </cell>
        </row>
        <row r="9096">
          <cell r="E9096" t="str">
            <v>KATRAS, DHANBAD</v>
          </cell>
          <cell r="G9096">
            <v>8210567144</v>
          </cell>
          <cell r="K9096" t="str">
            <v>BQID160499</v>
          </cell>
        </row>
        <row r="9097">
          <cell r="E9097" t="str">
            <v>TUPUDANA INDUSTRIAL AREA, RANCHI
PLOT NO. - 45 &amp; 46, TUPUDAN AINDUSTRIAL AREA, TUPUDANA, HATIA, RANCHI
834003
TIPUDANA INDUSTRIAL AREA</v>
          </cell>
          <cell r="G9097">
            <v>8092355914</v>
          </cell>
          <cell r="K9097" t="str">
            <v>BQBS033819</v>
          </cell>
        </row>
        <row r="9098">
          <cell r="E9098" t="str">
            <v>DILWA, KODERMA</v>
          </cell>
          <cell r="G9098">
            <v>6205816424</v>
          </cell>
          <cell r="K9098" t="str">
            <v>BSID161968</v>
          </cell>
        </row>
        <row r="9099">
          <cell r="E9099" t="str">
            <v>NIMIAGHAT,GIRIDIH</v>
          </cell>
          <cell r="G9099">
            <v>9798869433</v>
          </cell>
          <cell r="K9099" t="str">
            <v>BSJD161406</v>
          </cell>
        </row>
        <row r="9100">
          <cell r="E9100" t="str">
            <v>CHANDIL, JAMSHEDPUR</v>
          </cell>
          <cell r="G9100">
            <v>9971133859</v>
          </cell>
          <cell r="K9100" t="str">
            <v>BMLD160107</v>
          </cell>
        </row>
        <row r="9101">
          <cell r="E9101" t="str">
            <v>KATRAS, DHANBAD</v>
          </cell>
          <cell r="G9101">
            <v>8210567144</v>
          </cell>
          <cell r="K9101" t="str">
            <v>BQID160499</v>
          </cell>
        </row>
        <row r="9102">
          <cell r="E9102" t="str">
            <v>DILWA, KODERMA</v>
          </cell>
          <cell r="G9102">
            <v>6205816424</v>
          </cell>
          <cell r="K9102" t="str">
            <v>BSID161968</v>
          </cell>
        </row>
        <row r="9103">
          <cell r="E9103" t="str">
            <v>JAMSHEDPUR</v>
          </cell>
          <cell r="G9103">
            <v>7004637342</v>
          </cell>
          <cell r="K9103" t="str">
            <v>BQLD160182</v>
          </cell>
        </row>
        <row r="9104">
          <cell r="E9104" t="str">
            <v>BAGSUMA,GOVINDPUR, DHANBAD
GT ROAD, BAGSUMA
828109</v>
          </cell>
          <cell r="G9104">
            <v>8292346666</v>
          </cell>
          <cell r="K9104" t="str">
            <v>BTJC377259</v>
          </cell>
        </row>
        <row r="9105">
          <cell r="E9105" t="str">
            <v>TOPA MINES, RAMGARH</v>
          </cell>
          <cell r="G9105">
            <v>9908949548</v>
          </cell>
          <cell r="K9105" t="str">
            <v>BSKD161467</v>
          </cell>
        </row>
        <row r="9106">
          <cell r="E9106" t="str">
            <v>KATRAS, DHANBAD</v>
          </cell>
          <cell r="G9106">
            <v>8668006217</v>
          </cell>
          <cell r="K9106" t="str">
            <v>BRED161077</v>
          </cell>
        </row>
        <row r="9107">
          <cell r="E9107" t="str">
            <v>BASKINATH, DEOGHAR</v>
          </cell>
          <cell r="G9107">
            <v>8800698704</v>
          </cell>
          <cell r="K9107" t="str">
            <v>BQID200160</v>
          </cell>
        </row>
        <row r="9108">
          <cell r="E9108" t="str">
            <v>COLLIEARY, DHANBAD</v>
          </cell>
          <cell r="G9108">
            <v>9573347055</v>
          </cell>
          <cell r="K9108" t="str">
            <v>BRID161336</v>
          </cell>
        </row>
        <row r="9109">
          <cell r="E9109" t="str">
            <v>GUMLA, JHARKHAND</v>
          </cell>
          <cell r="G9109">
            <v>8809783790</v>
          </cell>
          <cell r="K9109" t="str">
            <v>BKAD160145</v>
          </cell>
        </row>
        <row r="9110">
          <cell r="E9110" t="str">
            <v>GAMHARIA,JAMSHEDPUR</v>
          </cell>
          <cell r="G9110">
            <v>9725878240</v>
          </cell>
          <cell r="K9110" t="str">
            <v>BRBL150944</v>
          </cell>
        </row>
        <row r="9111">
          <cell r="E9111" t="str">
            <v>GAMHARIA,JAMSHEDPUR</v>
          </cell>
          <cell r="G9111">
            <v>9725878240</v>
          </cell>
          <cell r="K9111" t="str">
            <v>BSKL151780</v>
          </cell>
        </row>
        <row r="9112">
          <cell r="E9112" t="str">
            <v>GOLITAND</v>
          </cell>
          <cell r="G9112">
            <v>9304198323</v>
          </cell>
          <cell r="K9112" t="str">
            <v>BSGD161854</v>
          </cell>
        </row>
        <row r="9113">
          <cell r="E9113" t="str">
            <v>HORHAP ROAD, MAHILONG, RANCHI
835103</v>
          </cell>
          <cell r="G9113">
            <v>9708039203</v>
          </cell>
          <cell r="K9113" t="str">
            <v>BRIC374329</v>
          </cell>
        </row>
        <row r="9114">
          <cell r="E9114" t="str">
            <v>COLLIEARY, DHANBAD</v>
          </cell>
          <cell r="G9114">
            <v>9573347055</v>
          </cell>
          <cell r="K9114" t="str">
            <v>BRID161336</v>
          </cell>
        </row>
        <row r="9115">
          <cell r="E9115" t="str">
            <v>ANGAR PATRA,DHANBAD</v>
          </cell>
          <cell r="G9115">
            <v>8106167121</v>
          </cell>
          <cell r="K9115" t="str">
            <v>BRBD160901</v>
          </cell>
        </row>
        <row r="9116">
          <cell r="E9116" t="str">
            <v>PRITAM</v>
          </cell>
          <cell r="G9116" t="str">
            <v>7309672604 / 7361044447/9835535277</v>
          </cell>
          <cell r="K9116">
            <v>11493204</v>
          </cell>
        </row>
        <row r="9117">
          <cell r="E9117" t="str">
            <v>NAGARI, RANCHI
834006</v>
          </cell>
          <cell r="G9117">
            <v>7903378087</v>
          </cell>
          <cell r="K9117" t="str">
            <v>BRAC372524</v>
          </cell>
        </row>
        <row r="9118">
          <cell r="E9118" t="str">
            <v>JAMUI BIHAR</v>
          </cell>
          <cell r="G9118">
            <v>9264207575</v>
          </cell>
          <cell r="K9118" t="str">
            <v>BQKD160076</v>
          </cell>
        </row>
        <row r="9119">
          <cell r="E9119" t="str">
            <v>RAMGARH,JHARKHAND
829122</v>
          </cell>
          <cell r="G9119">
            <v>9934012694</v>
          </cell>
          <cell r="K9119" t="str">
            <v>BPAS030126</v>
          </cell>
        </row>
        <row r="9120">
          <cell r="E9120" t="str">
            <v>TUPUDANA INDUSTRIAL AREA, RANCHI
PLOT NO. 114, TUPUDANA INDUSTRIAL AREA, TUPUDANA,HATIA, RANCHI
834002
RANCHI</v>
          </cell>
          <cell r="G9120">
            <v>7979079842</v>
          </cell>
          <cell r="K9120" t="str">
            <v>GOKS040088</v>
          </cell>
        </row>
        <row r="9121">
          <cell r="E9121" t="str">
            <v>RAGH8UNATHPUR, JHARKHAND</v>
          </cell>
          <cell r="G9121">
            <v>9939356615</v>
          </cell>
          <cell r="K9121" t="str">
            <v>BOID200238</v>
          </cell>
        </row>
        <row r="9122">
          <cell r="E9122" t="str">
            <v>DHANBAD</v>
          </cell>
          <cell r="G9122">
            <v>8840562635</v>
          </cell>
          <cell r="K9122" t="str">
            <v>BTKD120805</v>
          </cell>
        </row>
        <row r="9123">
          <cell r="E9123" t="str">
            <v>ORMANJHI,RANCHI
835219</v>
          </cell>
          <cell r="G9123">
            <v>9905273242</v>
          </cell>
          <cell r="K9123" t="str">
            <v>BSGC376577</v>
          </cell>
        </row>
        <row r="9124">
          <cell r="E9124" t="str">
            <v>PALAMU</v>
          </cell>
          <cell r="G9124">
            <v>7903236357</v>
          </cell>
          <cell r="K9124" t="str">
            <v>BSJD161378</v>
          </cell>
        </row>
        <row r="9125">
          <cell r="E9125" t="str">
            <v>CHATRA</v>
          </cell>
          <cell r="G9125">
            <v>7004915623</v>
          </cell>
          <cell r="K9125" t="str">
            <v>BSLD200427</v>
          </cell>
        </row>
        <row r="9126">
          <cell r="E9126" t="str">
            <v>JUMRI TELAIYA</v>
          </cell>
          <cell r="G9126">
            <v>6204401259</v>
          </cell>
          <cell r="K9126" t="str">
            <v>GOBC370298</v>
          </cell>
        </row>
        <row r="9127">
          <cell r="E9127" t="str">
            <v>BERU COLLIERY, DHANBAD</v>
          </cell>
          <cell r="G9127">
            <v>9585918025</v>
          </cell>
          <cell r="K9127" t="str">
            <v>BRGD161212</v>
          </cell>
        </row>
        <row r="9128">
          <cell r="E9128" t="str">
            <v>ANGAR PATRA,DHANBAD</v>
          </cell>
          <cell r="G9128">
            <v>6203411013</v>
          </cell>
          <cell r="K9128" t="str">
            <v>BSGD161898</v>
          </cell>
        </row>
        <row r="9129">
          <cell r="E9129" t="str">
            <v>ORMANJHI,RANCHI
835219</v>
          </cell>
          <cell r="G9129">
            <v>9905273242</v>
          </cell>
          <cell r="K9129" t="str">
            <v>BSGC376577</v>
          </cell>
        </row>
        <row r="9130">
          <cell r="E9130" t="str">
            <v>DEWRI,TATA ROAD,JHARKHAND
GOSAIGIH BUNDU NH-33, RANCHI
815314
TATA ROAD, BUNDU,</v>
          </cell>
          <cell r="G9130">
            <v>9308825621</v>
          </cell>
          <cell r="K9130" t="str">
            <v>BNAS040264</v>
          </cell>
        </row>
        <row r="9131">
          <cell r="E9131" t="str">
            <v>Govindpur, Dhanbad</v>
          </cell>
          <cell r="G9131">
            <v>7903828920</v>
          </cell>
          <cell r="K9131" t="str">
            <v>BQGD230029</v>
          </cell>
        </row>
        <row r="9132">
          <cell r="E9132" t="str">
            <v>DALADALI, RANCHI</v>
          </cell>
          <cell r="G9132">
            <v>9487713345</v>
          </cell>
          <cell r="K9132" t="str">
            <v>BSHD200586</v>
          </cell>
        </row>
        <row r="9133">
          <cell r="E9133" t="str">
            <v>DHANBAD</v>
          </cell>
          <cell r="G9133">
            <v>9585918025</v>
          </cell>
          <cell r="K9133" t="str">
            <v>BRCD160967</v>
          </cell>
        </row>
        <row r="9134">
          <cell r="E9134" t="str">
            <v>BERA COILERY,DHANNBAD</v>
          </cell>
          <cell r="G9134">
            <v>9585918025</v>
          </cell>
          <cell r="K9134" t="str">
            <v>BRCD160968</v>
          </cell>
        </row>
        <row r="9135">
          <cell r="E9135" t="str">
            <v>DUMRI, JHARKHAND</v>
          </cell>
          <cell r="G9135">
            <v>9608325210</v>
          </cell>
          <cell r="K9135" t="str">
            <v>BSFD161830</v>
          </cell>
        </row>
        <row r="9136">
          <cell r="E9136" t="str">
            <v>COLLIEARY, DHANBAD</v>
          </cell>
          <cell r="G9136">
            <v>9573347055</v>
          </cell>
          <cell r="K9136" t="str">
            <v>BRID161336</v>
          </cell>
        </row>
        <row r="9137">
          <cell r="E9137" t="str">
            <v>RAGH8UNATHPUR, JHARKHAND</v>
          </cell>
          <cell r="G9137">
            <v>9939356615</v>
          </cell>
          <cell r="K9137" t="str">
            <v>BOID200238</v>
          </cell>
        </row>
        <row r="9138">
          <cell r="E9138" t="str">
            <v>MADANPUR</v>
          </cell>
          <cell r="G9138">
            <v>7004213534</v>
          </cell>
          <cell r="K9138" t="str">
            <v>BSID161961</v>
          </cell>
        </row>
        <row r="9139">
          <cell r="E9139" t="str">
            <v>HARMU, RANCHI
834001</v>
          </cell>
          <cell r="G9139">
            <v>9835339783</v>
          </cell>
          <cell r="K9139" t="str">
            <v>BSJC374595</v>
          </cell>
        </row>
        <row r="9140">
          <cell r="E9140" t="str">
            <v>RANCHI</v>
          </cell>
          <cell r="G9140">
            <v>9199364073</v>
          </cell>
          <cell r="K9140" t="str">
            <v>BMJD200014</v>
          </cell>
        </row>
        <row r="9141">
          <cell r="E9141" t="str">
            <v>KOINJHAR, HATGHAMHARIA</v>
          </cell>
          <cell r="G9141">
            <v>9384385095</v>
          </cell>
          <cell r="K9141" t="str">
            <v>BRKD230139</v>
          </cell>
        </row>
        <row r="9142">
          <cell r="E9142" t="str">
            <v>BALIDIH, BOKARO</v>
          </cell>
          <cell r="G9142">
            <v>9814340048</v>
          </cell>
          <cell r="K9142" t="str">
            <v>BSDS037649</v>
          </cell>
        </row>
        <row r="9143">
          <cell r="E9143" t="str">
            <v>KUMAR JORI,KATRASH,DHANBAD</v>
          </cell>
          <cell r="G9143">
            <v>8210106692</v>
          </cell>
          <cell r="K9143" t="str">
            <v>BRDD161036</v>
          </cell>
        </row>
        <row r="9144">
          <cell r="E9144" t="str">
            <v>SARAIKELA</v>
          </cell>
          <cell r="G9144">
            <v>7004039034</v>
          </cell>
          <cell r="K9144" t="str">
            <v>BSID220375</v>
          </cell>
        </row>
        <row r="9145">
          <cell r="E9145" t="str">
            <v>TUPUDANA, RANCHI</v>
          </cell>
          <cell r="G9145">
            <v>8651829835</v>
          </cell>
          <cell r="K9145" t="str">
            <v>BQFC371432</v>
          </cell>
        </row>
        <row r="9146">
          <cell r="E9146" t="str">
            <v>KISHOREGANJ, RANCHI
834001
KAMRE RAVI STEEL,</v>
          </cell>
          <cell r="G9146">
            <v>8709279344</v>
          </cell>
          <cell r="K9146" t="str">
            <v>GPKC370113</v>
          </cell>
        </row>
        <row r="9147">
          <cell r="E9147" t="str">
            <v>TUPUDANA INDUSTRIAL AREA, RANCHI
PLOT NO. - 45 &amp; 46, TUPUDAN AINDUSTRIAL AREA, TUPUDANA, HATIA, RANCHI
834003
TIPUDANA INDUSTRIAL AREA</v>
          </cell>
          <cell r="G9147">
            <v>8092355914</v>
          </cell>
          <cell r="K9147" t="str">
            <v>BQBS033819</v>
          </cell>
        </row>
        <row r="9148">
          <cell r="E9148" t="str">
            <v>TUPUDANA INDUSTRIAL AREA,RANCHI
834001
TUPUDANA RANCHI</v>
          </cell>
          <cell r="G9148">
            <v>8877302791</v>
          </cell>
          <cell r="K9148" t="str">
            <v>GPGS031328</v>
          </cell>
        </row>
        <row r="9149">
          <cell r="E9149" t="str">
            <v>GOVINFPUR, DHANBAD</v>
          </cell>
          <cell r="G9149">
            <v>9835191288</v>
          </cell>
          <cell r="K9149" t="str">
            <v>BTJC377250</v>
          </cell>
        </row>
        <row r="9150">
          <cell r="E9150" t="str">
            <v>BIT, RANCHI</v>
          </cell>
          <cell r="G9150">
            <v>9155006000</v>
          </cell>
          <cell r="K9150" t="str">
            <v>BSGC376577</v>
          </cell>
        </row>
        <row r="9151">
          <cell r="E9151" t="str">
            <v>JHARYA, DHANBAD</v>
          </cell>
          <cell r="G9151">
            <v>7672025601</v>
          </cell>
          <cell r="K9151" t="str">
            <v>BRID161336</v>
          </cell>
        </row>
        <row r="9152">
          <cell r="E9152" t="str">
            <v>NAGRI, RANCHI
TIKRATOLI, P.O:- NAGRI, RANCHI
834006</v>
          </cell>
          <cell r="G9152">
            <v>8294630107</v>
          </cell>
          <cell r="K9152" t="str">
            <v>BKKS030393</v>
          </cell>
        </row>
        <row r="9153">
          <cell r="E9153" t="str">
            <v>KOKAR, RANCHI</v>
          </cell>
          <cell r="G9153">
            <v>8051191796</v>
          </cell>
          <cell r="K9153" t="str">
            <v>BRGD161233</v>
          </cell>
        </row>
        <row r="9154">
          <cell r="E9154" t="str">
            <v>KOKAR, RANCHI</v>
          </cell>
          <cell r="G9154">
            <v>8051191796</v>
          </cell>
          <cell r="K9154" t="str">
            <v>BRGD161233</v>
          </cell>
        </row>
        <row r="9155">
          <cell r="E9155" t="str">
            <v>NAGARI RANCHI
NAGARI RANCHI
835303</v>
          </cell>
          <cell r="G9155">
            <v>9570029248</v>
          </cell>
          <cell r="K9155" t="str">
            <v>BKJS030050</v>
          </cell>
        </row>
        <row r="9156">
          <cell r="E9156" t="str">
            <v>BOKARO,JHARKHAND
827004</v>
          </cell>
          <cell r="G9156">
            <v>9263636102</v>
          </cell>
          <cell r="K9156" t="str">
            <v>BRGC373881</v>
          </cell>
        </row>
        <row r="9157">
          <cell r="E9157" t="str">
            <v>DHANBAD</v>
          </cell>
          <cell r="G9157">
            <v>9942799726</v>
          </cell>
          <cell r="K9157" t="str">
            <v>BRLD160741</v>
          </cell>
        </row>
        <row r="9158">
          <cell r="E9158" t="str">
            <v>DUMKA</v>
          </cell>
          <cell r="G9158">
            <v>9546535031</v>
          </cell>
          <cell r="K9158" t="str">
            <v>BRAD160803</v>
          </cell>
        </row>
        <row r="9159">
          <cell r="E9159" t="str">
            <v>RAJAPUR, DHANBAD</v>
          </cell>
          <cell r="G9159">
            <v>8106167121</v>
          </cell>
          <cell r="K9159" t="str">
            <v>BRCD160940</v>
          </cell>
        </row>
        <row r="9160">
          <cell r="E9160" t="str">
            <v>JHUMRI TILAIYA</v>
          </cell>
          <cell r="G9160">
            <v>7004725287</v>
          </cell>
          <cell r="K9160" t="str">
            <v>GPLS030458</v>
          </cell>
        </row>
        <row r="9161">
          <cell r="E9161" t="str">
            <v>KATRAS, DHANBAD</v>
          </cell>
          <cell r="G9161">
            <v>6200938521</v>
          </cell>
          <cell r="K9161" t="str">
            <v>BRHD161312</v>
          </cell>
        </row>
        <row r="9162">
          <cell r="E9162" t="str">
            <v>PRITAM</v>
          </cell>
          <cell r="G9162" t="str">
            <v>7309672604 / 7361044447/9835535277</v>
          </cell>
          <cell r="K9162">
            <v>11493204</v>
          </cell>
        </row>
        <row r="9163">
          <cell r="E9163" t="str">
            <v>PLOT N0 3127 , RATU THANA 79,RANCHI
RATU RANCHI JHARKHAND
835103
PLOT NO- 3127, THANA NO- 79, RATU ROAD</v>
          </cell>
          <cell r="G9163">
            <v>9798542502</v>
          </cell>
          <cell r="K9163" t="str">
            <v>BSES037922</v>
          </cell>
        </row>
        <row r="9164">
          <cell r="E9164" t="str">
            <v>B7-PHASE-3, BALIDIH INDUSTRIAL AREA BALIDIH, BOKARO STEEL CITY BOKARO, JHARKHAND
SUNDARAM STEELS PVT. LTD, B-7 PHASE-III,BOKARO INDUSTRIAL AREA,BALIDIH, BOKARO
827014</v>
          </cell>
          <cell r="G9164">
            <v>8804088102</v>
          </cell>
          <cell r="K9164" t="str">
            <v>BSFS043411</v>
          </cell>
        </row>
        <row r="9165">
          <cell r="E9165" t="str">
            <v>GOLA,RAMGARH
829110
TITLA GOLA,</v>
          </cell>
          <cell r="G9165">
            <v>9534232818</v>
          </cell>
          <cell r="K9165" t="str">
            <v>BJBS040305</v>
          </cell>
        </row>
        <row r="9166">
          <cell r="E9166" t="str">
            <v>SANDI, RAMGARH</v>
          </cell>
          <cell r="G9166">
            <v>7360077726</v>
          </cell>
          <cell r="K9166">
            <v>12096810</v>
          </cell>
        </row>
        <row r="9167">
          <cell r="E9167" t="str">
            <v>DHANBAD</v>
          </cell>
          <cell r="G9167">
            <v>9585918025</v>
          </cell>
          <cell r="K9167" t="str">
            <v>BRCD160967</v>
          </cell>
        </row>
        <row r="9168">
          <cell r="E9168" t="str">
            <v>BERU COLLIERY, DHANBAD</v>
          </cell>
          <cell r="G9168">
            <v>9585918025</v>
          </cell>
          <cell r="K9168" t="str">
            <v>BRGD161212</v>
          </cell>
        </row>
        <row r="9169">
          <cell r="E9169" t="str">
            <v>CHAKARDHARPUR</v>
          </cell>
          <cell r="G9169">
            <v>8709505676</v>
          </cell>
          <cell r="K9169" t="str">
            <v>BSJD161422</v>
          </cell>
        </row>
        <row r="9170">
          <cell r="E9170" t="str">
            <v>RAMGARH</v>
          </cell>
          <cell r="G9170">
            <v>7360077726</v>
          </cell>
          <cell r="K9170" t="str">
            <v>BKAS030601</v>
          </cell>
        </row>
        <row r="9171">
          <cell r="E9171" t="str">
            <v>AT. BONGABAR, SANDI, RAMGARH, AMC  FROM 1-8-2019 TO 30-7-2020
829122
SANDI ,</v>
          </cell>
          <cell r="G9171">
            <v>7360077726</v>
          </cell>
          <cell r="K9171" t="str">
            <v>BLGS040605</v>
          </cell>
        </row>
        <row r="9172">
          <cell r="E9172" t="str">
            <v>TATISIWAI INDUSTRIAL AREA, RANCHI
835103
TATISILWAY RANCHI</v>
          </cell>
          <cell r="G9172">
            <v>7761842443</v>
          </cell>
          <cell r="K9172" t="str">
            <v>BSAS036958</v>
          </cell>
        </row>
        <row r="9173">
          <cell r="E9173" t="str">
            <v>DHANBAD</v>
          </cell>
          <cell r="G9173">
            <v>9585918025</v>
          </cell>
          <cell r="K9173" t="str">
            <v>BRCD160968</v>
          </cell>
        </row>
        <row r="9174">
          <cell r="E9174" t="str">
            <v>COLLIEARY, DHANBAD</v>
          </cell>
          <cell r="G9174">
            <v>9573347055</v>
          </cell>
          <cell r="K9174" t="str">
            <v>BRID161336</v>
          </cell>
        </row>
        <row r="9175">
          <cell r="E9175" t="str">
            <v>RAJAPUR, DHANBAD</v>
          </cell>
          <cell r="G9175">
            <v>8106167121</v>
          </cell>
          <cell r="K9175" t="str">
            <v>BRHD161304</v>
          </cell>
        </row>
        <row r="9176">
          <cell r="E9176" t="str">
            <v>NAGRI,RANCHI
835202
RANCHI</v>
          </cell>
          <cell r="G9176">
            <v>8877024924</v>
          </cell>
          <cell r="K9176" t="str">
            <v>BMJS040004</v>
          </cell>
        </row>
        <row r="9177">
          <cell r="E9177" t="str">
            <v>CHANDIL, JAMSHEDPUR</v>
          </cell>
          <cell r="G9177">
            <v>9123594446</v>
          </cell>
          <cell r="K9177" t="str">
            <v>BRKD160684</v>
          </cell>
        </row>
        <row r="9178">
          <cell r="E9178" t="str">
            <v>GHATSHILA,JAMSHEDPUR</v>
          </cell>
          <cell r="G9178">
            <v>9931755764</v>
          </cell>
          <cell r="K9178" t="str">
            <v>BPED200187</v>
          </cell>
        </row>
        <row r="9179">
          <cell r="E9179" t="str">
            <v>NEAR P.N BANK MAIN ROAD,, RAMGARH CANTT-829122, DIST. RAMGARH
829122
BUDHAKHOP, AMBRELA, KARMA,</v>
          </cell>
          <cell r="G9179">
            <v>9437090314</v>
          </cell>
          <cell r="K9179" t="str">
            <v>BQBS030091</v>
          </cell>
        </row>
        <row r="9180">
          <cell r="E9180" t="str">
            <v>GAYA, BIHAR</v>
          </cell>
          <cell r="G9180">
            <v>9431266779</v>
          </cell>
          <cell r="K9180" t="str">
            <v>BRJD160577</v>
          </cell>
        </row>
        <row r="9181">
          <cell r="E9181" t="str">
            <v>JUMRI TELAIYA</v>
          </cell>
          <cell r="G9181">
            <v>6204401259</v>
          </cell>
          <cell r="K9181" t="str">
            <v>GOBC370298</v>
          </cell>
        </row>
        <row r="9182">
          <cell r="E9182" t="str">
            <v>JHARKHAND</v>
          </cell>
          <cell r="G9182">
            <v>9705540626</v>
          </cell>
          <cell r="K9182" t="str">
            <v>BQJD160040</v>
          </cell>
        </row>
        <row r="9183">
          <cell r="E9183" t="str">
            <v>JAMCHUA RANCHI</v>
          </cell>
          <cell r="G9183">
            <v>7321083425</v>
          </cell>
          <cell r="K9183" t="str">
            <v>BRCD160978</v>
          </cell>
        </row>
        <row r="9184">
          <cell r="E9184" t="str">
            <v>NAMKUM, RANCHI</v>
          </cell>
          <cell r="G9184">
            <v>8002328076</v>
          </cell>
          <cell r="K9184" t="str">
            <v>BQBD200008</v>
          </cell>
        </row>
        <row r="9185">
          <cell r="E9185" t="str">
            <v>PHASE 3
827014
PHASE 3 INDUSTRIAL AREA827013</v>
          </cell>
          <cell r="G9185">
            <v>9122209999</v>
          </cell>
          <cell r="K9185" t="str">
            <v>BQIS031915</v>
          </cell>
        </row>
        <row r="9186">
          <cell r="E9186" t="str">
            <v>DEOGHAR, JHARKHAND</v>
          </cell>
          <cell r="G9186">
            <v>8969887298</v>
          </cell>
          <cell r="K9186" t="str">
            <v>BQAS043368</v>
          </cell>
        </row>
        <row r="9187">
          <cell r="E9187" t="str">
            <v>HAZARIBAGH
RANCHI JHARKHAND 834002
INDIA</v>
          </cell>
          <cell r="G9187" t="str">
            <v>7309672604 / 7361044447/7361044448</v>
          </cell>
          <cell r="K9187" t="str">
            <v>BKAS030685</v>
          </cell>
        </row>
        <row r="9188">
          <cell r="E9188" t="str">
            <v>H.B.ROAD LALPUR, PH.NO-7488583587
H.B.ROAD LALPUR, PH.NO-7488583587
834009
RANCHI</v>
          </cell>
          <cell r="G9188">
            <v>8603332181</v>
          </cell>
          <cell r="K9188" t="str">
            <v>GOLF110035</v>
          </cell>
        </row>
        <row r="9189">
          <cell r="E9189" t="str">
            <v>HAZARIBAGH</v>
          </cell>
          <cell r="G9189">
            <v>7361044448</v>
          </cell>
          <cell r="K9189">
            <v>11493204</v>
          </cell>
        </row>
        <row r="9190">
          <cell r="E9190" t="str">
            <v>TUPUDANA INDUSTRIAL AREA, RANCHI
PLOT NO. 114, TUPUDANA INDUSTRIAL AREA, TUPUDANA,HATIA, RANCHI
834002
RANCHI</v>
          </cell>
          <cell r="G9190">
            <v>7979079842</v>
          </cell>
          <cell r="K9190" t="str">
            <v>GOKS040088</v>
          </cell>
        </row>
        <row r="9191">
          <cell r="E9191" t="str">
            <v>TUPUDANA INDUSTRIAL AREA, RANCHI
PLOT NO. 114, TUPUDANA INDUSTRIAL AREA, TUPUDANA,HATIA, RANCHI
834002
RANCHI</v>
          </cell>
          <cell r="G9191">
            <v>7979079842</v>
          </cell>
          <cell r="K9191" t="str">
            <v>BNAS040245</v>
          </cell>
        </row>
        <row r="9192">
          <cell r="E9192" t="str">
            <v>REHLA,GARWA,JHARKHAND
822124
RANCHI</v>
          </cell>
          <cell r="G9192">
            <v>7004623399</v>
          </cell>
          <cell r="K9192" t="str">
            <v>BMFS031346</v>
          </cell>
        </row>
        <row r="9193">
          <cell r="E9193" t="str">
            <v>JAMTARA</v>
          </cell>
          <cell r="G9193">
            <v>8789065274</v>
          </cell>
          <cell r="K9193" t="str">
            <v>BRAD160816</v>
          </cell>
        </row>
        <row r="9194">
          <cell r="E9194" t="str">
            <v>ANGAR PATRA,DHANBAD</v>
          </cell>
          <cell r="G9194">
            <v>8210106692</v>
          </cell>
          <cell r="K9194" t="str">
            <v>BSDD161729</v>
          </cell>
        </row>
        <row r="9195">
          <cell r="E9195" t="str">
            <v>DEOGHAR, JHARKHAND</v>
          </cell>
          <cell r="G9195">
            <v>8340609673</v>
          </cell>
          <cell r="K9195" t="str">
            <v>BSID161979</v>
          </cell>
        </row>
        <row r="9196">
          <cell r="E9196" t="str">
            <v>ANGAR PATRA,DHANBAD</v>
          </cell>
          <cell r="G9196">
            <v>6203411013</v>
          </cell>
          <cell r="K9196" t="str">
            <v>BSGD161898</v>
          </cell>
        </row>
        <row r="9197">
          <cell r="E9197" t="str">
            <v>RAMGARH,JHARKHAND
829122</v>
          </cell>
          <cell r="G9197">
            <v>9934012694</v>
          </cell>
          <cell r="K9197" t="str">
            <v>BPAS030126</v>
          </cell>
        </row>
        <row r="9198">
          <cell r="E9198" t="str">
            <v>KATRAS, DHANBAD</v>
          </cell>
          <cell r="G9198">
            <v>6203411013</v>
          </cell>
          <cell r="K9198" t="str">
            <v>BSGD161904</v>
          </cell>
        </row>
        <row r="9199">
          <cell r="E9199" t="str">
            <v>GAYA, BIHAR</v>
          </cell>
          <cell r="G9199">
            <v>9801665105</v>
          </cell>
          <cell r="K9199" t="str">
            <v>MISSING</v>
          </cell>
        </row>
        <row r="9200">
          <cell r="E9200" t="str">
            <v>KATITARH,RANCHI
835222</v>
          </cell>
          <cell r="G9200">
            <v>6201408006</v>
          </cell>
          <cell r="K9200" t="str">
            <v>BSAS036940</v>
          </cell>
        </row>
        <row r="9201">
          <cell r="E9201" t="str">
            <v>ANGAR PATRA,DHANBAD</v>
          </cell>
          <cell r="G9201">
            <v>8106167121</v>
          </cell>
          <cell r="K9201" t="str">
            <v>BSDD161729</v>
          </cell>
        </row>
        <row r="9202">
          <cell r="E9202" t="str">
            <v>NAGRI, RANCHI
TIKRATOLI, P.O:- NAGRI, RANCHI
834006</v>
          </cell>
          <cell r="G9202">
            <v>8825219779</v>
          </cell>
          <cell r="K9202" t="str">
            <v>BKKS030393</v>
          </cell>
        </row>
        <row r="9203">
          <cell r="E9203" t="str">
            <v>PUNDAG</v>
          </cell>
          <cell r="G9203">
            <v>9835168152</v>
          </cell>
          <cell r="K9203" t="str">
            <v>BMJD200014</v>
          </cell>
        </row>
        <row r="9204">
          <cell r="E9204" t="str">
            <v>PUNDAG, JHARKHAND</v>
          </cell>
          <cell r="G9204">
            <v>9835168152</v>
          </cell>
          <cell r="K9204" t="str">
            <v>BMJD200014</v>
          </cell>
        </row>
        <row r="9205">
          <cell r="E9205" t="str">
            <v>KATRAS, DHANBAD</v>
          </cell>
          <cell r="G9205">
            <v>9550583031</v>
          </cell>
          <cell r="K9205" t="str">
            <v>BQKD160115</v>
          </cell>
        </row>
        <row r="9206">
          <cell r="E9206" t="str">
            <v>BASJODA , KATRAS, DHANBAD</v>
          </cell>
          <cell r="G9206">
            <v>7010756991</v>
          </cell>
          <cell r="K9206" t="str">
            <v>BRED161077</v>
          </cell>
        </row>
        <row r="9207">
          <cell r="E9207" t="str">
            <v>DALADALI, RANCHI</v>
          </cell>
          <cell r="G9207">
            <v>9334701321</v>
          </cell>
          <cell r="K9207" t="str">
            <v>BRGD230256</v>
          </cell>
        </row>
        <row r="9208">
          <cell r="E9208" t="str">
            <v>COLLIEARY, DHANBAD</v>
          </cell>
          <cell r="G9208">
            <v>9573347055</v>
          </cell>
          <cell r="K9208" t="str">
            <v>BQCD160106</v>
          </cell>
        </row>
        <row r="9209">
          <cell r="E9209" t="str">
            <v>DEMO TANND HAZAIBAGH JHARKHAND,
825301
DEMO TANND HAZAIBAGH JHARKHAND</v>
          </cell>
          <cell r="G9209">
            <v>8617059138</v>
          </cell>
          <cell r="K9209" t="str">
            <v>BMDS040417</v>
          </cell>
        </row>
        <row r="9210">
          <cell r="E9210" t="str">
            <v>HAZARIBAGH
RANCHI JHARKHAND 834002
INDIA</v>
          </cell>
          <cell r="G9210" t="str">
            <v>7309672604 / 7361044447/7361044448</v>
          </cell>
          <cell r="K9210" t="str">
            <v>BKAS030685</v>
          </cell>
        </row>
        <row r="9211">
          <cell r="E9211" t="str">
            <v>KOKAR INDUSTRIAL AREA,RANCHI
834002
KOKAR INDUSTRIAL AREA</v>
          </cell>
          <cell r="G9211">
            <v>9470590155</v>
          </cell>
          <cell r="K9211" t="str">
            <v>BRKC371988</v>
          </cell>
        </row>
        <row r="9212">
          <cell r="E9212" t="str">
            <v>RAJAPUR, DHANBAD</v>
          </cell>
          <cell r="G9212">
            <v>8106167121</v>
          </cell>
          <cell r="K9212" t="str">
            <v>BRHD161304</v>
          </cell>
        </row>
        <row r="9213">
          <cell r="E9213" t="str">
            <v>RAJAPUR, DHANBAD</v>
          </cell>
          <cell r="G9213">
            <v>8106167121</v>
          </cell>
          <cell r="K9213" t="str">
            <v>BRHD161304</v>
          </cell>
        </row>
        <row r="9214">
          <cell r="E9214" t="str">
            <v>DALADALI, RANCHI</v>
          </cell>
          <cell r="G9214">
            <v>9334701321</v>
          </cell>
          <cell r="K9214" t="str">
            <v>BQKD200047</v>
          </cell>
        </row>
        <row r="9215">
          <cell r="E9215" t="str">
            <v>BARKAGAON, HAZARIBAGH</v>
          </cell>
          <cell r="G9215">
            <v>9981330185</v>
          </cell>
          <cell r="K9215" t="str">
            <v>BSLC375116</v>
          </cell>
        </row>
        <row r="9216">
          <cell r="E9216" t="str">
            <v>C/O: NTPC LIMITED,PAKRI BARWADIH COAL MINING PROJECT,
06551</v>
          </cell>
          <cell r="G9216">
            <v>7488249787</v>
          </cell>
          <cell r="K9216" t="str">
            <v>BRFS042072</v>
          </cell>
        </row>
        <row r="9217">
          <cell r="E9217" t="str">
            <v>BARKAGAON, HAZARIBAGH</v>
          </cell>
          <cell r="G9217">
            <v>7488249787</v>
          </cell>
          <cell r="K9217" t="str">
            <v>BOIS040238</v>
          </cell>
        </row>
        <row r="9218">
          <cell r="E9218" t="str">
            <v>BARKAGAON, HAZARIBAGH</v>
          </cell>
          <cell r="G9218">
            <v>7488249787</v>
          </cell>
          <cell r="K9218" t="str">
            <v>GPCC370525</v>
          </cell>
        </row>
        <row r="9219">
          <cell r="E9219" t="str">
            <v>HAZARIBAGH,JHARKHAND
825301</v>
          </cell>
          <cell r="G9219">
            <v>7488249787</v>
          </cell>
          <cell r="K9219" t="str">
            <v>GPCC370524</v>
          </cell>
        </row>
        <row r="9220">
          <cell r="E9220" t="str">
            <v>BARKAGAON, HAZARIBAGH</v>
          </cell>
          <cell r="G9220">
            <v>7488249787</v>
          </cell>
          <cell r="K9220" t="str">
            <v>BPIC370415</v>
          </cell>
        </row>
        <row r="9221">
          <cell r="E9221" t="str">
            <v>COLLIEARY, DHANBAD</v>
          </cell>
          <cell r="G9221">
            <v>9573347055</v>
          </cell>
          <cell r="K9221" t="str">
            <v>BQCD160106</v>
          </cell>
        </row>
        <row r="9222">
          <cell r="E9222" t="str">
            <v>RAMPUR NAMKUM, RANCHI</v>
          </cell>
          <cell r="G9222">
            <v>9546884024</v>
          </cell>
          <cell r="K9222" t="str">
            <v>BSAD120582</v>
          </cell>
        </row>
        <row r="9223">
          <cell r="E9223" t="str">
            <v>KUMAR JORI,KATRASH,DHANBAD</v>
          </cell>
          <cell r="G9223">
            <v>8210106692</v>
          </cell>
          <cell r="K9223" t="str">
            <v>BRDD161036</v>
          </cell>
        </row>
        <row r="9224">
          <cell r="E9224" t="str">
            <v>PLOT NO 716,VILL-RUKKA,
835219</v>
          </cell>
          <cell r="G9224" t="str">
            <v>9470307145/6203099738</v>
          </cell>
          <cell r="K9224" t="str">
            <v>BSKS036366</v>
          </cell>
        </row>
        <row r="9225">
          <cell r="E9225" t="str">
            <v>PLOT NO 716,VILL-RUKKA,
835219</v>
          </cell>
          <cell r="G9225" t="str">
            <v>9470307145/6203099738</v>
          </cell>
          <cell r="K9225" t="str">
            <v>BSKS036365</v>
          </cell>
        </row>
        <row r="9226">
          <cell r="E9226" t="str">
            <v>RAMGARH, JHAKHAND</v>
          </cell>
          <cell r="G9226">
            <v>8525930531</v>
          </cell>
          <cell r="K9226" t="str">
            <v>BSCD161691</v>
          </cell>
        </row>
        <row r="9227">
          <cell r="E9227" t="str">
            <v>RAMGARH,JHARKHAND
829122</v>
          </cell>
          <cell r="G9227">
            <v>9934012694</v>
          </cell>
          <cell r="K9227" t="str">
            <v>BOKC370020</v>
          </cell>
        </row>
        <row r="9228">
          <cell r="E9228" t="str">
            <v>ANGAR PATRA,DHANBAD</v>
          </cell>
          <cell r="G9228">
            <v>6203411013</v>
          </cell>
          <cell r="K9228" t="str">
            <v>BSGD161898</v>
          </cell>
        </row>
        <row r="9229">
          <cell r="E9229" t="str">
            <v>ANGAR PATRA,DHANBAD</v>
          </cell>
          <cell r="G9229">
            <v>6203411013</v>
          </cell>
          <cell r="K9229" t="str">
            <v>BSGD161904</v>
          </cell>
        </row>
        <row r="9230">
          <cell r="E9230" t="str">
            <v>DHANBAD</v>
          </cell>
          <cell r="G9230">
            <v>9585918025</v>
          </cell>
          <cell r="K9230" t="str">
            <v>BRCD160967</v>
          </cell>
        </row>
        <row r="9231">
          <cell r="E9231" t="str">
            <v>RANCHI</v>
          </cell>
          <cell r="G9231">
            <v>8372081415</v>
          </cell>
          <cell r="K9231" t="str">
            <v>BRCD160978</v>
          </cell>
        </row>
        <row r="9232">
          <cell r="E9232" t="str">
            <v>JHARIA, DHANBAD</v>
          </cell>
          <cell r="G9232">
            <v>7024084588</v>
          </cell>
          <cell r="K9232" t="str">
            <v>BRHD161304</v>
          </cell>
        </row>
        <row r="9233">
          <cell r="E9233" t="str">
            <v>RANCHI PATNA ROAD
DEMOTAND
825301
HAZARIBAGH</v>
          </cell>
          <cell r="G9233">
            <v>7905424302</v>
          </cell>
          <cell r="K9233" t="str">
            <v>BIFS040367</v>
          </cell>
        </row>
        <row r="9234">
          <cell r="E9234" t="str">
            <v>GAYA, BIHAR</v>
          </cell>
          <cell r="G9234">
            <v>9798878634</v>
          </cell>
          <cell r="K9234" t="str">
            <v>BRED161131</v>
          </cell>
        </row>
        <row r="9235">
          <cell r="E9235" t="str">
            <v>MADANPUR</v>
          </cell>
          <cell r="G9235">
            <v>7004213534</v>
          </cell>
          <cell r="K9235" t="str">
            <v>BSID161961</v>
          </cell>
        </row>
        <row r="9236">
          <cell r="E9236" t="str">
            <v>LATAHORE</v>
          </cell>
          <cell r="G9236">
            <v>9934700413</v>
          </cell>
          <cell r="K9236" t="str">
            <v>BRID161341</v>
          </cell>
        </row>
        <row r="9237">
          <cell r="E9237" t="str">
            <v>GAYA, BIHAR</v>
          </cell>
          <cell r="G9237">
            <v>7272956960</v>
          </cell>
          <cell r="K9237" t="str">
            <v>BSFD161799</v>
          </cell>
        </row>
        <row r="9238">
          <cell r="E9238" t="str">
            <v>RAURKELA, MANOHARPUR</v>
          </cell>
          <cell r="G9238">
            <v>8210269774</v>
          </cell>
          <cell r="K9238" t="str">
            <v>BRED161081</v>
          </cell>
        </row>
        <row r="9239">
          <cell r="E9239" t="str">
            <v>KATRAS, DHANBAD</v>
          </cell>
          <cell r="G9239">
            <v>9550583031</v>
          </cell>
          <cell r="K9239" t="str">
            <v>BQKD160115</v>
          </cell>
        </row>
        <row r="9240">
          <cell r="E9240" t="str">
            <v>NAMKUM INDUSTRIAL AREA,RANCHI
RANCHI
834010
INDIA</v>
          </cell>
          <cell r="G9240">
            <v>7070993635</v>
          </cell>
          <cell r="K9240" t="str">
            <v>GOCC370465</v>
          </cell>
        </row>
        <row r="9241">
          <cell r="E9241" t="str">
            <v>DHANBAD</v>
          </cell>
          <cell r="G9241">
            <v>8668122316</v>
          </cell>
          <cell r="K9241" t="str">
            <v>BRCD160967</v>
          </cell>
        </row>
        <row r="9242">
          <cell r="E9242" t="str">
            <v>BERU COLLIERY, DHANBAD</v>
          </cell>
          <cell r="G9242">
            <v>8668122316</v>
          </cell>
          <cell r="K9242" t="str">
            <v>BRGD161212</v>
          </cell>
        </row>
        <row r="9243">
          <cell r="E9243" t="str">
            <v>RAJAPUR, DHANBAD</v>
          </cell>
          <cell r="G9243">
            <v>6203273412</v>
          </cell>
          <cell r="K9243" t="str">
            <v>BSKD161477</v>
          </cell>
        </row>
        <row r="9244">
          <cell r="E9244" t="str">
            <v>BOKARO</v>
          </cell>
          <cell r="G9244">
            <v>9443541279</v>
          </cell>
          <cell r="K9244" t="str">
            <v>BSLD230358</v>
          </cell>
        </row>
        <row r="9245">
          <cell r="E9245" t="str">
            <v>TOPA MINES, RAMGARH</v>
          </cell>
          <cell r="G9245">
            <v>9908949548</v>
          </cell>
          <cell r="K9245" t="str">
            <v>BSKD161467</v>
          </cell>
        </row>
        <row r="9246">
          <cell r="E9246" t="str">
            <v>SARAIKELA</v>
          </cell>
          <cell r="G9246">
            <v>7004039034</v>
          </cell>
          <cell r="K9246" t="str">
            <v>BSID220375</v>
          </cell>
        </row>
        <row r="9247">
          <cell r="E9247" t="str">
            <v>RAJAPUR, DHANBAD</v>
          </cell>
          <cell r="G9247">
            <v>6203273412</v>
          </cell>
          <cell r="K9247" t="str">
            <v>BSKD161477</v>
          </cell>
        </row>
        <row r="9248">
          <cell r="E9248" t="str">
            <v>NAGRI, RANCHI
TIKRATOLI, P.O:- NAGRI, RANCHI
834006</v>
          </cell>
          <cell r="G9248">
            <v>9608884168</v>
          </cell>
          <cell r="K9248" t="str">
            <v>BKKS030393</v>
          </cell>
        </row>
        <row r="9249">
          <cell r="E9249" t="str">
            <v>BERU COLLIERY, DHANBAD</v>
          </cell>
          <cell r="G9249">
            <v>8668122316</v>
          </cell>
          <cell r="K9249" t="str">
            <v>BRGD161212</v>
          </cell>
        </row>
        <row r="9250">
          <cell r="E9250" t="str">
            <v>RAJAPUR, DHANBAD</v>
          </cell>
          <cell r="G9250">
            <v>6203273412</v>
          </cell>
          <cell r="K9250" t="str">
            <v>BSKD161477</v>
          </cell>
        </row>
        <row r="9251">
          <cell r="E9251" t="str">
            <v>KOKAR INDUSTRIAL AREA, RANCHI
834001</v>
          </cell>
          <cell r="G9251" t="str">
            <v>9204065928/9934841617</v>
          </cell>
          <cell r="K9251" t="str">
            <v>BJAET10022</v>
          </cell>
        </row>
        <row r="9252">
          <cell r="E9252" t="str">
            <v>CHHATARPUR</v>
          </cell>
          <cell r="G9252">
            <v>7903236357</v>
          </cell>
          <cell r="K9252" t="str">
            <v>BSJD161378</v>
          </cell>
        </row>
        <row r="9253">
          <cell r="E9253" t="str">
            <v>CITY CENTER SECTOR - 4, BOKARO STEEL CITY, BOKARO, JHARKHAND, MOB. NO. 7050539301
CITY CENTER SECTOR - 4, BOKARO STEEL CITY, BOKARO, JHARKHAND, MOB. NO. 7050539301
827003
BOKARO</v>
          </cell>
          <cell r="G9253">
            <v>9798301918</v>
          </cell>
          <cell r="K9253">
            <v>70369</v>
          </cell>
        </row>
        <row r="9254">
          <cell r="E9254" t="str">
            <v>C/O - AMAN AGRAWAL, PLOT NO. 735, KAITHA, RAMGARH CANTT., RAMGARH
825101</v>
          </cell>
          <cell r="G9254">
            <v>7631152674</v>
          </cell>
          <cell r="K9254" t="str">
            <v>BSDC375954</v>
          </cell>
        </row>
        <row r="9255">
          <cell r="E9255" t="str">
            <v>TOPA MINES, RAMGARH</v>
          </cell>
          <cell r="G9255">
            <v>9234957903</v>
          </cell>
          <cell r="K9255" t="str">
            <v>BSCD161704</v>
          </cell>
        </row>
        <row r="9256">
          <cell r="E9256" t="str">
            <v>TATISIWAI INDUSTRIAL AREA, RANCHI
835103
TATISILWAY RANCHI</v>
          </cell>
          <cell r="G9256">
            <v>7050549999</v>
          </cell>
          <cell r="K9256">
            <v>107837</v>
          </cell>
        </row>
        <row r="9257">
          <cell r="E9257" t="str">
            <v>DHANBAD</v>
          </cell>
          <cell r="G9257">
            <v>9585918025</v>
          </cell>
          <cell r="K9257" t="str">
            <v>BRCD160968</v>
          </cell>
        </row>
        <row r="9258">
          <cell r="E9258" t="str">
            <v>NAGARI,</v>
          </cell>
          <cell r="G9258">
            <v>3576</v>
          </cell>
          <cell r="K9258" t="str">
            <v>BILS030211</v>
          </cell>
        </row>
        <row r="9259">
          <cell r="E9259" t="str">
            <v>RANCHI,JHARKHAND
825301
JHUMRA</v>
          </cell>
          <cell r="G9259">
            <v>8541022146</v>
          </cell>
          <cell r="K9259" t="str">
            <v>BMIS031670</v>
          </cell>
        </row>
        <row r="9260">
          <cell r="E9260" t="str">
            <v>RANCHI
834001</v>
          </cell>
          <cell r="G9260">
            <v>9471157954</v>
          </cell>
          <cell r="K9260" t="str">
            <v>BRHC374243</v>
          </cell>
        </row>
        <row r="9261">
          <cell r="E9261" t="str">
            <v>LALMATIYA</v>
          </cell>
          <cell r="G9261">
            <v>9304653249</v>
          </cell>
          <cell r="K9261" t="str">
            <v>BNCD200094</v>
          </cell>
        </row>
        <row r="9262">
          <cell r="E9262" t="str">
            <v>BURMU, RANCHI</v>
          </cell>
          <cell r="G9262">
            <v>6203876287</v>
          </cell>
          <cell r="K9262" t="str">
            <v>BTES044431</v>
          </cell>
        </row>
        <row r="9263">
          <cell r="E9263" t="str">
            <v>TUPUDANA INDUSTRIAL AREA, RANCHI
PLOT NO. - 45 &amp; 46, TUPUDAN AINDUSTRIAL AREA, TUPUDANA, HATIA, RANCHI
834003
TIPUDANA INDUSTRIAL AREA</v>
          </cell>
          <cell r="G9263">
            <v>8092355914</v>
          </cell>
          <cell r="K9263" t="str">
            <v>BQBS033819</v>
          </cell>
        </row>
        <row r="9264">
          <cell r="E9264" t="str">
            <v>PALAMU,GARWA, JHARKHAND
822124
GARHWA ROAD, NEAR BCCL PALAMU,</v>
          </cell>
          <cell r="G9264">
            <v>9973686006</v>
          </cell>
          <cell r="K9264" t="str">
            <v>GOCS030806</v>
          </cell>
        </row>
        <row r="9265">
          <cell r="E9265" t="str">
            <v>HESLA,RAMGARH
829101</v>
          </cell>
          <cell r="G9265" t="str">
            <v>7546811333/9905158373</v>
          </cell>
          <cell r="K9265" t="str">
            <v>BSJS035917</v>
          </cell>
        </row>
        <row r="9266">
          <cell r="E9266" t="str">
            <v>MARAR, RAMGARH, JHARKHAND
MARRAR RAMGARH, 9155729786
829117
MARAR</v>
          </cell>
          <cell r="G9266">
            <v>9155729786</v>
          </cell>
          <cell r="K9266" t="str">
            <v>BMIS031759</v>
          </cell>
        </row>
        <row r="9267">
          <cell r="E9267" t="str">
            <v>SIMARIYA ROAD, CHATRA
825401</v>
          </cell>
          <cell r="G9267">
            <v>8294255155</v>
          </cell>
          <cell r="K9267" t="str">
            <v>BSFC376341</v>
          </cell>
        </row>
        <row r="9268">
          <cell r="E9268" t="str">
            <v>HESLA,RAMGARH
829101</v>
          </cell>
          <cell r="G9268">
            <v>931188022</v>
          </cell>
          <cell r="K9268" t="str">
            <v>BSDS037710</v>
          </cell>
        </row>
        <row r="9269">
          <cell r="E9269" t="str">
            <v>GOVINDPUR, GOMIYA</v>
          </cell>
          <cell r="G9269">
            <v>8825270627</v>
          </cell>
          <cell r="K9269" t="str">
            <v>BRLD160728</v>
          </cell>
        </row>
        <row r="9270">
          <cell r="E9270" t="str">
            <v>RAIPUR DHANBAD</v>
          </cell>
          <cell r="G9270">
            <v>8106167121</v>
          </cell>
          <cell r="K9270" t="str">
            <v>BRHD161312</v>
          </cell>
        </row>
        <row r="9271">
          <cell r="E9271" t="str">
            <v>PALAMU,JHARKHAND
822126
PALAMU</v>
          </cell>
          <cell r="G9271">
            <v>6200280151</v>
          </cell>
          <cell r="K9271" t="str">
            <v>GPGC370758</v>
          </cell>
        </row>
        <row r="9272">
          <cell r="E9272" t="str">
            <v>RANCHI,JHARKHAND
834001
RANCHI</v>
          </cell>
          <cell r="G9272">
            <v>9431571200</v>
          </cell>
          <cell r="K9272" t="str">
            <v>BJHS031586</v>
          </cell>
        </row>
        <row r="9273">
          <cell r="E9273" t="str">
            <v>RAMGARH</v>
          </cell>
          <cell r="G9273">
            <v>7360077726</v>
          </cell>
          <cell r="K9273" t="str">
            <v>BLES031356</v>
          </cell>
        </row>
        <row r="9274">
          <cell r="E9274" t="str">
            <v>RAMGARH</v>
          </cell>
          <cell r="G9274">
            <v>7360077726</v>
          </cell>
          <cell r="K9274" t="str">
            <v>BKAS030601</v>
          </cell>
        </row>
        <row r="9275">
          <cell r="E9275" t="str">
            <v>AT. BONGABAR, SANDI, RAMGARH, AMC  FROM 1-8-2019 TO 30-7-2020
829122
SANDI ,</v>
          </cell>
          <cell r="G9275">
            <v>7360077726</v>
          </cell>
          <cell r="K9275" t="str">
            <v>BLGS040605</v>
          </cell>
        </row>
        <row r="9276">
          <cell r="E9276" t="str">
            <v>MARAR, RAMGARH, JHARKHAND
MARRAR RAMGARH, 9155729786
829117
MARAR</v>
          </cell>
          <cell r="G9276">
            <v>9155729786</v>
          </cell>
          <cell r="K9276" t="str">
            <v>BMIS031759</v>
          </cell>
        </row>
        <row r="9277">
          <cell r="E9277" t="str">
            <v>JAMUI BIHAR</v>
          </cell>
          <cell r="G9277">
            <v>9264207575</v>
          </cell>
          <cell r="K9277" t="str">
            <v>BQKD160076</v>
          </cell>
        </row>
        <row r="9278">
          <cell r="E9278" t="str">
            <v>KOKAR INDUSTRIAL AREA, RANCHI
834002</v>
          </cell>
          <cell r="G9278">
            <v>7781000210</v>
          </cell>
          <cell r="K9278" t="str">
            <v>BRJS040951</v>
          </cell>
        </row>
        <row r="9279">
          <cell r="E9279" t="str">
            <v>ANGAR PATRA,DHANBAD</v>
          </cell>
          <cell r="G9279">
            <v>8210106692</v>
          </cell>
          <cell r="K9279" t="str">
            <v>BSDD161729</v>
          </cell>
        </row>
        <row r="9280">
          <cell r="E9280" t="str">
            <v>TATISILWAI, JHARKHAND
835103</v>
          </cell>
          <cell r="G9280">
            <v>6200160428</v>
          </cell>
          <cell r="K9280" t="str">
            <v>BQHS040705</v>
          </cell>
        </row>
        <row r="9281">
          <cell r="E9281" t="str">
            <v>KOKAR INDUSTRIAL AREA,,RANCHI
834002
KOKAR INDUSTRIAL AREA RANCHI</v>
          </cell>
          <cell r="G9281">
            <v>7079323050</v>
          </cell>
          <cell r="K9281" t="str">
            <v>GNDC370057</v>
          </cell>
        </row>
        <row r="9282">
          <cell r="E9282" t="str">
            <v>KOKAR INDUSTRIAL AREA,,RANCHI
834002
KOKAR INDUSTRIAL AREA RANCHI</v>
          </cell>
          <cell r="G9282">
            <v>6202903299</v>
          </cell>
          <cell r="K9282" t="str">
            <v>BPLF150007</v>
          </cell>
        </row>
        <row r="9283">
          <cell r="E9283" t="str">
            <v>TATISILWAI, JHARKHAND
835103</v>
          </cell>
          <cell r="G9283">
            <v>6200160428</v>
          </cell>
          <cell r="K9283" t="str">
            <v>BQGS031413</v>
          </cell>
        </row>
        <row r="9284">
          <cell r="E9284" t="str">
            <v>JAMUI BIHAR</v>
          </cell>
          <cell r="G9284">
            <v>9264207575</v>
          </cell>
          <cell r="K9284" t="str">
            <v>BQKD160076</v>
          </cell>
        </row>
        <row r="9285">
          <cell r="E9285" t="str">
            <v>TUPUDANA INDUSTRIAL AREA, RANCHI
PLOT NO. - 45 &amp; 46, TUPUDAN AINDUSTRIAL AREA, TUPUDANA, HATIA, RANCHI
834003
TIPUDANA INDUSTRIAL AREA</v>
          </cell>
          <cell r="G9285">
            <v>8092355914</v>
          </cell>
          <cell r="K9285" t="str">
            <v>BQBS033819</v>
          </cell>
        </row>
        <row r="9286">
          <cell r="E9286" t="str">
            <v>TUPUDANA INDUSTRIAL AREA, RANCHI
PLOT NO. - 45 &amp; 46, TUPUDAN AINDUSTRIAL AREA, TUPUDANA, HATIA, RANCHI
834003
TIPUDANA INDUSTRIAL AREA</v>
          </cell>
          <cell r="G9286">
            <v>8092355914</v>
          </cell>
          <cell r="K9286" t="str">
            <v>BJHET10090</v>
          </cell>
        </row>
        <row r="9287">
          <cell r="E9287" t="str">
            <v>RANCHI,JHARKHAND
825301
JHUMRA</v>
          </cell>
          <cell r="G9287">
            <v>8541022146</v>
          </cell>
          <cell r="K9287" t="str">
            <v>BMIS031670</v>
          </cell>
        </row>
        <row r="9288">
          <cell r="E9288" t="str">
            <v>SUKRI GALI
816109</v>
          </cell>
          <cell r="G9288">
            <v>9981148422</v>
          </cell>
          <cell r="K9288" t="str">
            <v>BSLS042711</v>
          </cell>
        </row>
        <row r="9289">
          <cell r="E9289" t="str">
            <v>SUKRI GALI
816109</v>
          </cell>
          <cell r="G9289">
            <v>9981148422</v>
          </cell>
          <cell r="K9289" t="str">
            <v>BSLS042707</v>
          </cell>
        </row>
        <row r="9290">
          <cell r="E9290" t="str">
            <v>RAMGARH SPONGE IRON PVT LTD VILLAGE:HOSHIR GIDDI-POHAZARIBAGH(DT)JHARKHAND IND
829110</v>
          </cell>
          <cell r="G9290">
            <v>7654659452</v>
          </cell>
          <cell r="K9290" t="str">
            <v>BKCS040470</v>
          </cell>
        </row>
        <row r="9291">
          <cell r="E9291" t="str">
            <v>HOSHIR GIDDI,RAMGARH
NEAR P.N. BANK MAIN ROAD, RAMGARH CANTT. 829122
829110</v>
          </cell>
          <cell r="G9291">
            <v>7654659452</v>
          </cell>
          <cell r="K9291" t="str">
            <v>GPJS030042</v>
          </cell>
        </row>
        <row r="9292">
          <cell r="E9292" t="str">
            <v>HOSHIR GIDDI,RAMGARH
NEAR P.N. BANK MAIN ROAD, RAMGARH CANTT. 829122
829110</v>
          </cell>
          <cell r="G9292">
            <v>7654659452</v>
          </cell>
          <cell r="K9292" t="str">
            <v>BRHS035368</v>
          </cell>
        </row>
        <row r="9293">
          <cell r="E9293" t="str">
            <v>HAZARIBAGH</v>
          </cell>
          <cell r="G9293">
            <v>9494338689</v>
          </cell>
          <cell r="K9293" t="str">
            <v>BRCD160990</v>
          </cell>
        </row>
        <row r="9294">
          <cell r="E9294" t="str">
            <v>KOKAR,INDUSTRIAL AREA,RANCHI
834002
RANCHI</v>
          </cell>
          <cell r="G9294">
            <v>7781017919</v>
          </cell>
          <cell r="K9294" t="str">
            <v>BMKC370048</v>
          </cell>
        </row>
        <row r="9295">
          <cell r="E9295" t="str">
            <v>ANGAR PATRA,DHANBAD</v>
          </cell>
          <cell r="G9295">
            <v>6203411013</v>
          </cell>
          <cell r="K9295" t="str">
            <v>BSGD161898</v>
          </cell>
        </row>
        <row r="9296">
          <cell r="E9296" t="str">
            <v>PALAMU</v>
          </cell>
          <cell r="G9296">
            <v>7903236357</v>
          </cell>
          <cell r="K9296" t="str">
            <v>BSJD161378</v>
          </cell>
        </row>
        <row r="9297">
          <cell r="E9297" t="str">
            <v>RANCHI,JHARKHAND
825301
JHUMRA</v>
          </cell>
          <cell r="G9297">
            <v>8541022146</v>
          </cell>
          <cell r="K9297" t="str">
            <v>BMIS031670</v>
          </cell>
        </row>
        <row r="9298">
          <cell r="E9298" t="str">
            <v>PLOT NO. 148, TUPUDANA, INDUSTRIAL AREA, HATIA, RANCHI
834002</v>
          </cell>
          <cell r="G9298">
            <v>7979079842</v>
          </cell>
          <cell r="K9298" t="str">
            <v>BRIS035838</v>
          </cell>
        </row>
        <row r="9299">
          <cell r="E9299" t="str">
            <v>TIPUDANA INDUSTRIAL AREA, HATIA,</v>
          </cell>
          <cell r="G9299">
            <v>9534249500</v>
          </cell>
          <cell r="K9299" t="str">
            <v>BJGS031396</v>
          </cell>
        </row>
        <row r="9300">
          <cell r="E9300" t="str">
            <v>SINDRI,DHANBAD
828122</v>
          </cell>
          <cell r="G9300">
            <v>7004371723</v>
          </cell>
          <cell r="K9300" t="str">
            <v>GOEC370640</v>
          </cell>
        </row>
        <row r="9301">
          <cell r="E9301" t="str">
            <v>KOKAR INDUSTRIAL AREA, RANCHI
834002</v>
          </cell>
          <cell r="G9301">
            <v>7781000210</v>
          </cell>
          <cell r="K9301" t="str">
            <v>BRJS040951</v>
          </cell>
        </row>
        <row r="9302">
          <cell r="E9302" t="str">
            <v>KISHOREGANJ, RANCHI
834001
KAMRE RAVI STEEL,</v>
          </cell>
          <cell r="G9302">
            <v>8709279344</v>
          </cell>
          <cell r="K9302" t="str">
            <v>GPKC370113</v>
          </cell>
        </row>
        <row r="9303">
          <cell r="E9303" t="str">
            <v>KOKAR,INDUSTRIAL AREA,RANCHI
834002
RANCHI</v>
          </cell>
          <cell r="G9303">
            <v>7781017919</v>
          </cell>
          <cell r="K9303" t="str">
            <v>BMKC370048</v>
          </cell>
        </row>
        <row r="9304">
          <cell r="E9304" t="str">
            <v>DHANBAD</v>
          </cell>
          <cell r="G9304">
            <v>9585918025</v>
          </cell>
          <cell r="K9304" t="str">
            <v>BRCD160968</v>
          </cell>
        </row>
        <row r="9305">
          <cell r="E9305" t="str">
            <v>NAGARI
 835303</v>
          </cell>
          <cell r="G9305">
            <v>9570000319</v>
          </cell>
          <cell r="K9305" t="str">
            <v>BREC373538</v>
          </cell>
        </row>
        <row r="9306">
          <cell r="E9306" t="str">
            <v>PLOT NO. 148, TUPUDANA, INDUSTRIAL AREA, HATIA, RANCHI
834002</v>
          </cell>
          <cell r="G9306">
            <v>7979079842</v>
          </cell>
          <cell r="K9306" t="str">
            <v>BRIS035838</v>
          </cell>
        </row>
        <row r="9307">
          <cell r="E9307" t="str">
            <v>TUPUDANA INDUSTRIAL AREA,RANCHI
834003</v>
          </cell>
          <cell r="G9307">
            <v>7070458350</v>
          </cell>
          <cell r="K9307" t="str">
            <v>BRIS035695</v>
          </cell>
        </row>
        <row r="9308">
          <cell r="E9308" t="str">
            <v>KODERMA</v>
          </cell>
          <cell r="G9308">
            <v>8709361173</v>
          </cell>
          <cell r="K9308" t="str">
            <v>BSAD161567</v>
          </cell>
        </row>
        <row r="9309">
          <cell r="E9309" t="str">
            <v>DILWA, KODERMA</v>
          </cell>
          <cell r="G9309">
            <v>8709361173</v>
          </cell>
          <cell r="K9309" t="str">
            <v>BSID161968</v>
          </cell>
        </row>
        <row r="9310">
          <cell r="E9310" t="str">
            <v>PHASE - IV, PLOT NO. - IV-C/3 P AND IV-C/2 P, BOKARO INDUSTRIAL AREA, BALIDIH, BOKARO
PHASE - IV, PLOT NO. - IV-C/3 P AND IV-C/2 P, BOKARO INDUSTRIAL AREA, BALIDIH, BOKARO
827014</v>
          </cell>
          <cell r="G9310">
            <v>7322073723</v>
          </cell>
          <cell r="K9310" t="str">
            <v>BSDS037619</v>
          </cell>
        </row>
        <row r="9311">
          <cell r="E9311" t="str">
            <v>CHANDWAY CHOWK,RANCHI
834006</v>
          </cell>
          <cell r="G9311">
            <v>9631673800</v>
          </cell>
          <cell r="K9311" t="str">
            <v>BRAC372352</v>
          </cell>
        </row>
        <row r="9312">
          <cell r="E9312" t="str">
            <v>BARWADA, DHANBAD</v>
          </cell>
          <cell r="G9312">
            <v>7903828920</v>
          </cell>
          <cell r="K9312" t="str">
            <v>BQGD230029</v>
          </cell>
        </row>
        <row r="9313">
          <cell r="E9313" t="str">
            <v>KATRAS, DHANBAD</v>
          </cell>
          <cell r="G9313">
            <v>9550053031</v>
          </cell>
          <cell r="K9313" t="str">
            <v>BQKD160099</v>
          </cell>
        </row>
        <row r="9314">
          <cell r="E9314" t="str">
            <v>WB</v>
          </cell>
          <cell r="G9314">
            <v>8010302178</v>
          </cell>
          <cell r="K9314" t="str">
            <v>BQFD200158</v>
          </cell>
        </row>
        <row r="9315">
          <cell r="E9315" t="str">
            <v>RAMGARH
829103
NAYA MORE</v>
          </cell>
          <cell r="G9315">
            <v>8651078549</v>
          </cell>
          <cell r="K9315" t="str">
            <v>BPCS030196</v>
          </cell>
        </row>
        <row r="9316">
          <cell r="E9316" t="str">
            <v>NAYA MORE,RAMGARH
ARA SARU BERA ROAD, NAYA, RAMGARH,JHARKHAND
829110
NAYA MORE</v>
          </cell>
          <cell r="G9316">
            <v>8651078549</v>
          </cell>
          <cell r="K9316" t="str">
            <v>BQBS033796</v>
          </cell>
        </row>
        <row r="9317">
          <cell r="E9317" t="str">
            <v>KATRAS, DHANBAD</v>
          </cell>
          <cell r="G9317">
            <v>8210106692</v>
          </cell>
          <cell r="K9317" t="str">
            <v>BRCD160940</v>
          </cell>
        </row>
        <row r="9318">
          <cell r="E9318" t="str">
            <v>KATRAS, DHANBAD</v>
          </cell>
          <cell r="G9318">
            <v>8210106692</v>
          </cell>
          <cell r="K9318" t="str">
            <v>BRCD160940</v>
          </cell>
        </row>
        <row r="9319">
          <cell r="E9319" t="str">
            <v>KATRAS, DHANBAD</v>
          </cell>
          <cell r="G9319">
            <v>8210106692</v>
          </cell>
          <cell r="K9319" t="str">
            <v>BRCD160940</v>
          </cell>
        </row>
        <row r="9320">
          <cell r="E9320" t="str">
            <v>GUWAHATI</v>
          </cell>
          <cell r="G9320">
            <v>7598650509</v>
          </cell>
          <cell r="K9320" t="str">
            <v>BRJD230112</v>
          </cell>
        </row>
        <row r="9321">
          <cell r="E9321" t="str">
            <v>RAMGARH</v>
          </cell>
          <cell r="G9321" t="str">
            <v>8978200989/9437090314</v>
          </cell>
          <cell r="K9321" t="str">
            <v>NA</v>
          </cell>
        </row>
        <row r="9322">
          <cell r="E9322" t="str">
            <v>KOKAR INDUSTRIAL AREA,RANCHI
834001</v>
          </cell>
          <cell r="G9322">
            <v>9572347943</v>
          </cell>
          <cell r="K9322" t="str">
            <v>BPIC370386</v>
          </cell>
        </row>
        <row r="9323">
          <cell r="E9323" t="str">
            <v>NIMIAGHAT,GIRIDIH</v>
          </cell>
          <cell r="G9323">
            <v>9798869433</v>
          </cell>
          <cell r="K9323" t="str">
            <v>BSJD161406</v>
          </cell>
        </row>
        <row r="9324">
          <cell r="E9324" t="str">
            <v>KODERMA</v>
          </cell>
          <cell r="G9324">
            <v>6205816424</v>
          </cell>
          <cell r="K9324" t="str">
            <v>BSAD161567</v>
          </cell>
        </row>
        <row r="9325">
          <cell r="E9325" t="str">
            <v>KOKAR INDUSTRIAL AREA,,RANCHI
834002
KOKAR INDUSTRIAL AREA RANCHI</v>
          </cell>
          <cell r="G9325">
            <v>9599040419</v>
          </cell>
          <cell r="K9325" t="str">
            <v>BKHET70130</v>
          </cell>
        </row>
        <row r="9326">
          <cell r="E9326" t="str">
            <v>TUPUDANA INDUSTRIAL AREA,RANCHI
834003</v>
          </cell>
          <cell r="G9326">
            <v>9835167418</v>
          </cell>
          <cell r="K9326" t="str">
            <v>BRIS035695</v>
          </cell>
        </row>
        <row r="9327">
          <cell r="E9327" t="str">
            <v>KOKAR,INDUSTRIAL AREA,RANCHI
834002
RANCHI</v>
          </cell>
          <cell r="G9327">
            <v>7781017919</v>
          </cell>
          <cell r="K9327" t="str">
            <v>BMKC370048</v>
          </cell>
        </row>
        <row r="9328">
          <cell r="E9328" t="str">
            <v>KOINJHAR, HATGHAMHARIA</v>
          </cell>
          <cell r="G9328">
            <v>9384385095</v>
          </cell>
          <cell r="K9328" t="str">
            <v>BRKD230139</v>
          </cell>
        </row>
        <row r="9329">
          <cell r="E9329" t="str">
            <v>DHANBAD</v>
          </cell>
          <cell r="G9329">
            <v>8825938685</v>
          </cell>
          <cell r="K9329" t="str">
            <v>BRLD160741</v>
          </cell>
        </row>
        <row r="9330">
          <cell r="E9330" t="str">
            <v>KATRAS, DHANBAD</v>
          </cell>
          <cell r="G9330">
            <v>9550053031</v>
          </cell>
          <cell r="K9330" t="str">
            <v>BQKD160099</v>
          </cell>
        </row>
        <row r="9331">
          <cell r="E9331" t="str">
            <v>ANGAR PATRA,DHANBAD</v>
          </cell>
          <cell r="G9331">
            <v>6203411013</v>
          </cell>
          <cell r="K9331" t="str">
            <v>BSGD161898</v>
          </cell>
        </row>
        <row r="9332">
          <cell r="E9332" t="str">
            <v>KATRAS, DHANBAD</v>
          </cell>
          <cell r="G9332">
            <v>8668006217</v>
          </cell>
          <cell r="K9332" t="str">
            <v>BRED161077</v>
          </cell>
        </row>
        <row r="9333">
          <cell r="E9333" t="str">
            <v>KATRAS, DHANBAD</v>
          </cell>
          <cell r="G9333">
            <v>6203411013</v>
          </cell>
          <cell r="K9333" t="str">
            <v>BSGD161904</v>
          </cell>
        </row>
        <row r="9334">
          <cell r="E9334" t="str">
            <v>NAMKUM, RANCHI</v>
          </cell>
          <cell r="G9334" t="str">
            <v>NA</v>
          </cell>
          <cell r="K9334">
            <v>18470611</v>
          </cell>
        </row>
        <row r="9335">
          <cell r="E9335" t="str">
            <v>RANCHI</v>
          </cell>
          <cell r="G9335">
            <v>9065521314</v>
          </cell>
          <cell r="K9335" t="str">
            <v>NA</v>
          </cell>
        </row>
        <row r="9336">
          <cell r="E9336" t="str">
            <v>PHURSIA, BHAGALPUR</v>
          </cell>
          <cell r="G9336">
            <v>7389613267</v>
          </cell>
          <cell r="K9336" t="str">
            <v>BSCD230433</v>
          </cell>
        </row>
        <row r="9337">
          <cell r="E9337" t="str">
            <v>NAMKUM, RANCHI</v>
          </cell>
          <cell r="G9337">
            <v>9308825924</v>
          </cell>
          <cell r="K9337">
            <v>18465010</v>
          </cell>
        </row>
        <row r="9338">
          <cell r="E9338" t="str">
            <v>JHUMRI TELAIYA, KODARMA
825409</v>
          </cell>
          <cell r="G9338">
            <v>9955926845</v>
          </cell>
          <cell r="K9338" t="str">
            <v>BSBC375530</v>
          </cell>
        </row>
        <row r="9339">
          <cell r="E9339" t="str">
            <v>BARKAGAON, HAZARIBAGH</v>
          </cell>
          <cell r="G9339">
            <v>7904778009</v>
          </cell>
          <cell r="K9339" t="str">
            <v>BOIS040238</v>
          </cell>
        </row>
        <row r="9340">
          <cell r="E9340" t="str">
            <v>RAMGARH,JHARKHAND
829122</v>
          </cell>
          <cell r="G9340">
            <v>9934012694</v>
          </cell>
          <cell r="K9340" t="str">
            <v>BOKC370020</v>
          </cell>
        </row>
        <row r="9341">
          <cell r="E9341" t="str">
            <v>RANCHI</v>
          </cell>
          <cell r="G9341">
            <v>8709406268</v>
          </cell>
          <cell r="K9341" t="str">
            <v>BKDS031405</v>
          </cell>
        </row>
        <row r="9342">
          <cell r="E9342" t="str">
            <v>B7-PHASE-3, BALIDIH INDUSTRIAL AREA BALIDIH, BOKARO STEEL CITY BOKARO, JHARKHAND
SUNDARAM STEELS PVT. LTD, B-7 PHASE-III,BOKARO INDUSTRIAL AREA,BALIDIH, BOKARO
827014</v>
          </cell>
          <cell r="G9342">
            <v>9438686879</v>
          </cell>
          <cell r="K9342" t="str">
            <v>BSFS043411</v>
          </cell>
        </row>
        <row r="9343">
          <cell r="E9343" t="str">
            <v>REHLA,GARWA,JHARKHAND
822124
RANCHI</v>
          </cell>
          <cell r="G9343">
            <v>7004623399</v>
          </cell>
          <cell r="K9343" t="str">
            <v>GOIS031795</v>
          </cell>
        </row>
        <row r="9344">
          <cell r="E9344" t="str">
            <v>NAGRI,RANCHI
835202
RANCHI</v>
          </cell>
          <cell r="G9344">
            <v>0</v>
          </cell>
          <cell r="K9344" t="str">
            <v>BRIS035698</v>
          </cell>
        </row>
        <row r="9345">
          <cell r="E9345" t="str">
            <v>NAGARI,</v>
          </cell>
          <cell r="G9345">
            <v>9297706123</v>
          </cell>
          <cell r="K9345" t="str">
            <v>BLGS040582</v>
          </cell>
        </row>
        <row r="9346">
          <cell r="E9346" t="str">
            <v>GOVINDPUR, GOMIYA</v>
          </cell>
          <cell r="G9346">
            <v>8825270627</v>
          </cell>
          <cell r="K9346" t="str">
            <v>BRLD160728</v>
          </cell>
        </row>
        <row r="9347">
          <cell r="E9347" t="str">
            <v>TOPA MINES, RAMGARH</v>
          </cell>
          <cell r="G9347">
            <v>9908949548</v>
          </cell>
          <cell r="K9347" t="str">
            <v>BSKD161467</v>
          </cell>
        </row>
        <row r="9348">
          <cell r="E9348" t="str">
            <v>TATISIWAI INDUSTRIAL AREA, RANCHI
835103
TATISILWAY RANCHI</v>
          </cell>
          <cell r="G9348">
            <v>7050549999</v>
          </cell>
          <cell r="K9348">
            <v>107837</v>
          </cell>
        </row>
        <row r="9349">
          <cell r="E9349" t="str">
            <v>SINDRI, DHANBAD</v>
          </cell>
          <cell r="G9349">
            <v>8840562675</v>
          </cell>
          <cell r="K9349" t="str">
            <v>BSID120761</v>
          </cell>
        </row>
        <row r="9350">
          <cell r="E9350" t="str">
            <v>CHITARPUR,RAMGHAR</v>
          </cell>
          <cell r="G9350">
            <v>9431571900</v>
          </cell>
          <cell r="K9350">
            <v>10338511</v>
          </cell>
        </row>
        <row r="9351">
          <cell r="E9351" t="str">
            <v>SIKIDRI,RANCHI
835219
RANCHI</v>
          </cell>
          <cell r="G9351">
            <v>9955770819</v>
          </cell>
          <cell r="K9351" t="str">
            <v>BJGS031440</v>
          </cell>
        </row>
        <row r="9352">
          <cell r="E9352" t="str">
            <v>TIKRATOLI,SAPAROM
NEAR LALGUTWA OVERBRIDGE, TIKRATOLI, SAPAROM,, NAGRI, RANCHI
835303</v>
          </cell>
          <cell r="G9352">
            <v>9608086621</v>
          </cell>
          <cell r="K9352" t="str">
            <v>BQCS040170</v>
          </cell>
        </row>
        <row r="9353">
          <cell r="E9353" t="str">
            <v>TIKRATOLI,SAPAROM
NEAR LALGUTWA OVERBRIDGE, TIKRATOLI, SAPAROM,, NAGRI, RANCHI
835303</v>
          </cell>
          <cell r="G9353">
            <v>7004423828</v>
          </cell>
          <cell r="K9353" t="str">
            <v>BKJS040077</v>
          </cell>
        </row>
        <row r="9354">
          <cell r="E9354" t="str">
            <v>JHUMRI TELAIYA, KODARMA
825409</v>
          </cell>
          <cell r="G9354">
            <v>9955926845</v>
          </cell>
          <cell r="K9354" t="str">
            <v>BSBC375530</v>
          </cell>
        </row>
        <row r="9355">
          <cell r="E9355" t="str">
            <v>TIKRATOLI,SAPAROM
NEAR LALGUTWA OVERBRIDGE, TIKRATOLI, SAPAROM,, NAGRI, RANCHI
835303</v>
          </cell>
          <cell r="G9355">
            <v>9608086621</v>
          </cell>
          <cell r="K9355" t="str">
            <v>BRGC373885</v>
          </cell>
        </row>
        <row r="9356">
          <cell r="E9356" t="str">
            <v>NIMIAGHAT,GIRIDIH</v>
          </cell>
          <cell r="G9356">
            <v>9798869433</v>
          </cell>
          <cell r="K9356" t="str">
            <v>BSJD161406</v>
          </cell>
        </row>
        <row r="9357">
          <cell r="E9357" t="str">
            <v>LOHARDAGA,JHARKHAND
LOHARDAGA, MOB. NO.9661111900
835302
LOHARDAGA</v>
          </cell>
          <cell r="G9357">
            <v>8709406268</v>
          </cell>
          <cell r="K9357" t="str">
            <v>BQFS031084</v>
          </cell>
        </row>
        <row r="9358">
          <cell r="E9358" t="str">
            <v>RANCHI</v>
          </cell>
          <cell r="G9358">
            <v>8709406268</v>
          </cell>
          <cell r="K9358" t="str">
            <v>BKDS031405</v>
          </cell>
        </row>
        <row r="9359">
          <cell r="E9359" t="str">
            <v>DEOGHAR</v>
          </cell>
          <cell r="G9359">
            <v>7261002856</v>
          </cell>
          <cell r="K9359" t="str">
            <v>BRED161124</v>
          </cell>
        </row>
        <row r="9360">
          <cell r="E9360" t="str">
            <v>RAIPUR DHANBAD</v>
          </cell>
          <cell r="G9360">
            <v>8106167121</v>
          </cell>
          <cell r="K9360" t="str">
            <v>BRHD161312</v>
          </cell>
        </row>
        <row r="9361">
          <cell r="E9361" t="str">
            <v>NAGARI
 835303</v>
          </cell>
          <cell r="G9361">
            <v>9570000319</v>
          </cell>
          <cell r="K9361" t="str">
            <v>BREC373538</v>
          </cell>
        </row>
        <row r="9362">
          <cell r="E9362" t="str">
            <v>B7-PHASE-3, BALIDIH INDUSTRIAL AREA BALIDIH, BOKARO STEEL CITY BOKARO, JHARKHAND
SUNDARAM STEELS PVT. LTD, B-7 PHASE-III,BOKARO INDUSTRIAL AREA,BALIDIH, BOKARO
827014</v>
          </cell>
          <cell r="G9362">
            <v>9473050251</v>
          </cell>
          <cell r="K9362" t="str">
            <v>BSFS043411</v>
          </cell>
        </row>
        <row r="9363">
          <cell r="E9363" t="str">
            <v>OPERATIONS OFFICER, BOKARO BP, KIND ATTEN.ABHISHEK TRIPATHI, MOB. NO.8789972995, VENDOR CODE-11970380
OPERATIONS OFFICER, BOKARO BP, KIND ATTEN.ABHISHEK TRIPATHI, MOB. NO.8789972995, VENDOR CODE-11970380
827014
LPG BOTTALING PLANT, BALIDIH,</v>
          </cell>
          <cell r="G9363">
            <v>9064073084</v>
          </cell>
          <cell r="K9363" t="str">
            <v>BOCS040147</v>
          </cell>
        </row>
        <row r="9364">
          <cell r="E9364" t="str">
            <v>C/O: NTPC LIMITED,PAKRI BARWADIH COAL MINING PROJECT,
06551</v>
          </cell>
          <cell r="G9364">
            <v>8240602322</v>
          </cell>
          <cell r="K9364" t="str">
            <v>BRFS042072</v>
          </cell>
        </row>
        <row r="9365">
          <cell r="E9365" t="str">
            <v>PHASE 3
827014
PHASE 3 INDUSTRIAL AREA827013</v>
          </cell>
          <cell r="G9365">
            <v>9122209999</v>
          </cell>
          <cell r="K9365" t="str">
            <v>BQIS031915</v>
          </cell>
        </row>
        <row r="9366">
          <cell r="E9366" t="str">
            <v>DHANBAD</v>
          </cell>
          <cell r="G9366">
            <v>9585918025</v>
          </cell>
          <cell r="K9366" t="str">
            <v>BRCD160967</v>
          </cell>
        </row>
        <row r="9367">
          <cell r="E9367" t="str">
            <v>KATRAS, DHANBAD</v>
          </cell>
          <cell r="G9367">
            <v>6203411013</v>
          </cell>
          <cell r="K9367" t="str">
            <v>BSGD161904</v>
          </cell>
        </row>
        <row r="9368">
          <cell r="E9368" t="str">
            <v>DALADALI, RANCHI</v>
          </cell>
          <cell r="G9368">
            <v>7091129329</v>
          </cell>
          <cell r="K9368" t="str">
            <v>NA</v>
          </cell>
        </row>
        <row r="9369">
          <cell r="E9369" t="str">
            <v>KHUNTI, RANCHI</v>
          </cell>
          <cell r="G9369">
            <v>9149262960</v>
          </cell>
          <cell r="K9369" t="str">
            <v>BOJD160000</v>
          </cell>
        </row>
        <row r="9370">
          <cell r="E9370" t="str">
            <v>KODERMA</v>
          </cell>
          <cell r="G9370">
            <v>6205816424</v>
          </cell>
          <cell r="K9370" t="str">
            <v>BSAD161567</v>
          </cell>
        </row>
        <row r="9371">
          <cell r="E9371" t="str">
            <v>DEWRI,TATA ROAD,JHARKHAND
GOSAIGIH BUNDU NH-33, RANCHI
815314
TATA ROAD, BUNDU,</v>
          </cell>
          <cell r="G9371">
            <v>9308825621</v>
          </cell>
          <cell r="K9371" t="str">
            <v>BNAS040264</v>
          </cell>
        </row>
        <row r="9372">
          <cell r="E9372" t="str">
            <v>CHITARPUR,RAMGHAR</v>
          </cell>
          <cell r="G9372">
            <v>9431571900</v>
          </cell>
          <cell r="K9372">
            <v>10338511</v>
          </cell>
        </row>
        <row r="9373">
          <cell r="E9373" t="str">
            <v>NIMIAGHAT,GIRIDIH</v>
          </cell>
          <cell r="G9373">
            <v>9798869433</v>
          </cell>
          <cell r="K9373" t="str">
            <v>BSJD161406</v>
          </cell>
        </row>
        <row r="9374">
          <cell r="E9374" t="str">
            <v>TATISIWAI INDUSTRIAL AREA, RANCHI
835103
TATISILWAY RANCHI</v>
          </cell>
          <cell r="G9374">
            <v>7050549999</v>
          </cell>
          <cell r="K9374">
            <v>107837</v>
          </cell>
        </row>
        <row r="9375">
          <cell r="E9375" t="str">
            <v>KATRAS, DHANBAD</v>
          </cell>
          <cell r="G9375">
            <v>8668006217</v>
          </cell>
          <cell r="K9375" t="str">
            <v>BRED161077</v>
          </cell>
        </row>
        <row r="9376">
          <cell r="E9376" t="str">
            <v>KATRAS, DHANBAD</v>
          </cell>
          <cell r="G9376">
            <v>8668006217</v>
          </cell>
          <cell r="K9376" t="str">
            <v>BRED161077</v>
          </cell>
        </row>
        <row r="9377">
          <cell r="E9377" t="str">
            <v>RAMGARH</v>
          </cell>
          <cell r="G9377">
            <v>8978200989</v>
          </cell>
          <cell r="K9377" t="str">
            <v>BSHS038806</v>
          </cell>
        </row>
        <row r="9378">
          <cell r="E9378" t="str">
            <v>NAGARI, RANCHI
834006</v>
          </cell>
          <cell r="G9378">
            <v>7903378087</v>
          </cell>
          <cell r="K9378" t="str">
            <v>BRAC372524</v>
          </cell>
        </row>
        <row r="9379">
          <cell r="E9379" t="str">
            <v>HAZARIBAGH</v>
          </cell>
          <cell r="G9379">
            <v>9955066102</v>
          </cell>
          <cell r="K9379" t="str">
            <v>BMKD160055</v>
          </cell>
        </row>
        <row r="9380">
          <cell r="E9380" t="str">
            <v>DALADALI, RANCHI</v>
          </cell>
          <cell r="G9380">
            <v>9487713345</v>
          </cell>
          <cell r="K9380" t="str">
            <v>BSHD200586</v>
          </cell>
        </row>
        <row r="9381">
          <cell r="E9381" t="str">
            <v>RAMGARH, JHAKHAND</v>
          </cell>
          <cell r="G9381">
            <v>8525930531</v>
          </cell>
          <cell r="K9381" t="str">
            <v>BSCD161691</v>
          </cell>
        </row>
        <row r="9382">
          <cell r="E9382" t="str">
            <v>KATRAS, DHANBAD</v>
          </cell>
          <cell r="G9382">
            <v>8210106692</v>
          </cell>
          <cell r="K9382" t="str">
            <v>BRCD160939</v>
          </cell>
        </row>
        <row r="9383">
          <cell r="E9383" t="str">
            <v>NISCHITPUR</v>
          </cell>
          <cell r="G9383">
            <v>9162318906</v>
          </cell>
          <cell r="K9383" t="str">
            <v>BQHD160412</v>
          </cell>
        </row>
        <row r="9384">
          <cell r="E9384" t="str">
            <v>GROUND FLOOR, 8H AND 81, NATION PRINTERS, NAMKUM INDUSTRIAL AREA,, LOWADIH, RANCHI
GROUND FLOOR, 8H AND 81, NATION PRINTERS, NAMKUM INDUSTRIAL AREA,, LOWADIH, RANCHI
834010</v>
          </cell>
          <cell r="G9384">
            <v>9308825924</v>
          </cell>
          <cell r="K9384" t="str">
            <v>BRFC373676</v>
          </cell>
        </row>
        <row r="9385">
          <cell r="E9385" t="str">
            <v>GROUND FLOOR, 8H AND 81, NATION PRINTERS, NAMKUM INDUSTRIAL AREA,, LOWADIH, RANCHI
GROUND FLOOR, 8H AND 81, NATION PRINTERS, NAMKUM INDUSTRIAL AREA,, LOWADIH, RANCHI
834010</v>
          </cell>
          <cell r="G9385">
            <v>9308825924</v>
          </cell>
          <cell r="K9385" t="str">
            <v>BRCC372871</v>
          </cell>
        </row>
        <row r="9386">
          <cell r="E9386" t="str">
            <v>GAMHARIA,JAMSHEDPUR</v>
          </cell>
          <cell r="G9386">
            <v>9725878240</v>
          </cell>
          <cell r="K9386" t="str">
            <v>BSKL151780</v>
          </cell>
        </row>
        <row r="9387">
          <cell r="E9387" t="str">
            <v>BANDHIYA RAOD, NAGRI RANCHI, MOB.8709325266
834006
BANDHIYA ROAD, NAGARI RANCHI</v>
          </cell>
          <cell r="G9387">
            <v>9110033639</v>
          </cell>
          <cell r="K9387" t="str">
            <v>BLFS040558</v>
          </cell>
        </row>
        <row r="9388">
          <cell r="E9388" t="str">
            <v>TIPUDANA, RANCHI</v>
          </cell>
          <cell r="G9388">
            <v>8709343595</v>
          </cell>
          <cell r="K9388" t="str">
            <v>BSGD161861</v>
          </cell>
        </row>
        <row r="9389">
          <cell r="E9389" t="str">
            <v>DUMKA</v>
          </cell>
          <cell r="G9389">
            <v>9304762882</v>
          </cell>
          <cell r="K9389" t="str">
            <v>BRAD160777</v>
          </cell>
        </row>
        <row r="9390">
          <cell r="E9390" t="str">
            <v>TOPA MINES, RAMGARH</v>
          </cell>
          <cell r="G9390">
            <v>9908949548</v>
          </cell>
          <cell r="K9390" t="str">
            <v>BSKD161467</v>
          </cell>
        </row>
        <row r="9391">
          <cell r="E9391" t="str">
            <v>JAMUI BIHAR</v>
          </cell>
          <cell r="G9391">
            <v>9264207575</v>
          </cell>
          <cell r="K9391" t="str">
            <v>BQKD160076</v>
          </cell>
        </row>
        <row r="9392">
          <cell r="E9392" t="str">
            <v>DALTONGANJ</v>
          </cell>
          <cell r="G9392">
            <v>9677836110</v>
          </cell>
          <cell r="K9392" t="str">
            <v>BQHD160427</v>
          </cell>
        </row>
        <row r="9393">
          <cell r="E9393" t="str">
            <v>JHARIA, DHANBAD</v>
          </cell>
          <cell r="G9393">
            <v>7024084588</v>
          </cell>
          <cell r="K9393" t="str">
            <v>BRHD161304</v>
          </cell>
        </row>
        <row r="9394">
          <cell r="E9394" t="str">
            <v>NAYA MORE,RAMGARH
ARA SARU BERA ROAD, NAYA, RAMGARH,JHARKHAND
829110
NAYA MORE</v>
          </cell>
          <cell r="G9394">
            <v>7739460263</v>
          </cell>
          <cell r="K9394" t="str">
            <v>BQBS033796</v>
          </cell>
        </row>
        <row r="9395">
          <cell r="E9395" t="str">
            <v>RANCHI</v>
          </cell>
          <cell r="G9395">
            <v>9973686006</v>
          </cell>
          <cell r="K9395" t="str">
            <v>BLIS031950</v>
          </cell>
        </row>
        <row r="9396">
          <cell r="E9396" t="str">
            <v>BOKARO</v>
          </cell>
          <cell r="G9396">
            <v>9443541279</v>
          </cell>
          <cell r="K9396" t="str">
            <v>BSLD230358</v>
          </cell>
        </row>
        <row r="9397">
          <cell r="E9397" t="str">
            <v>RANCHI</v>
          </cell>
          <cell r="G9397">
            <v>9973686006</v>
          </cell>
          <cell r="K9397" t="str">
            <v>BLIS031950</v>
          </cell>
        </row>
        <row r="9398">
          <cell r="E9398" t="str">
            <v>GAYA, BIHAR</v>
          </cell>
          <cell r="G9398">
            <v>9199648262</v>
          </cell>
          <cell r="K9398" t="str">
            <v>BSED161766</v>
          </cell>
        </row>
        <row r="9399">
          <cell r="E9399" t="str">
            <v>PALAMU,GARWA, JHARKHAND
822124
GARHWA ROAD, NEAR BCCL PALAMU,</v>
          </cell>
          <cell r="G9399">
            <v>9973686006</v>
          </cell>
          <cell r="K9399" t="str">
            <v>GOCS030806</v>
          </cell>
        </row>
        <row r="9400">
          <cell r="E9400" t="str">
            <v>NEAR P.N BANK MAIN ROAD,, RAMGARH CANTT-829122, DIST. RAMGARH
829122
BUDHAKHOP, AMBRELA, KARMA,</v>
          </cell>
          <cell r="G9400">
            <v>9437090314</v>
          </cell>
          <cell r="K9400" t="str">
            <v>BQBS030091</v>
          </cell>
        </row>
        <row r="9401">
          <cell r="E9401" t="str">
            <v>JAMSHEDPUR</v>
          </cell>
          <cell r="G9401">
            <v>9725035972</v>
          </cell>
          <cell r="K9401" t="str">
            <v>BRGL151468</v>
          </cell>
        </row>
        <row r="9402">
          <cell r="E9402" t="str">
            <v>GAMHARIA,JAMSHEDPUR</v>
          </cell>
          <cell r="G9402">
            <v>9725878240</v>
          </cell>
          <cell r="K9402" t="str">
            <v>BRBL150944</v>
          </cell>
        </row>
        <row r="9403">
          <cell r="E9403" t="str">
            <v>GAMHARIA,JAMSHEDPUR</v>
          </cell>
          <cell r="G9403">
            <v>9725878240</v>
          </cell>
          <cell r="K9403" t="str">
            <v>BSKL151780</v>
          </cell>
        </row>
        <row r="9404">
          <cell r="E9404" t="str">
            <v>GAMHARIA,JAMSHEDPUR</v>
          </cell>
          <cell r="G9404">
            <v>9725878240</v>
          </cell>
          <cell r="K9404" t="str">
            <v>BRGL151464</v>
          </cell>
        </row>
        <row r="9405">
          <cell r="E9405" t="str">
            <v>DALTANGANJ</v>
          </cell>
          <cell r="G9405">
            <v>9835111213</v>
          </cell>
          <cell r="K9405" t="str">
            <v>BQKD160094</v>
          </cell>
        </row>
        <row r="9406">
          <cell r="E9406" t="str">
            <v>TUPUDANA INDUSTRIAL AREA</v>
          </cell>
          <cell r="G9406">
            <v>9534249500</v>
          </cell>
          <cell r="K9406" t="str">
            <v>BMBS030816</v>
          </cell>
        </row>
        <row r="9407">
          <cell r="E9407" t="str">
            <v>TIPUDANA INDUSTRIAL AREA, HATIA,</v>
          </cell>
          <cell r="G9407">
            <v>9534249500</v>
          </cell>
          <cell r="K9407" t="str">
            <v>BJGS031396</v>
          </cell>
        </row>
        <row r="9408">
          <cell r="E9408" t="str">
            <v>SARNATOLI,ANGADA,RANCHI
835222</v>
          </cell>
          <cell r="G9408">
            <v>9798563448</v>
          </cell>
          <cell r="K9408" t="str">
            <v>BSAF110719</v>
          </cell>
        </row>
        <row r="9409">
          <cell r="E9409" t="str">
            <v>KODERMA</v>
          </cell>
          <cell r="G9409">
            <v>6205816424</v>
          </cell>
          <cell r="K9409" t="str">
            <v>BSAD161567</v>
          </cell>
        </row>
        <row r="9410">
          <cell r="E9410" t="str">
            <v>AURANGABAD,  BIHAR</v>
          </cell>
          <cell r="G9410">
            <v>8969984870</v>
          </cell>
          <cell r="K9410" t="str">
            <v>BQDD160163</v>
          </cell>
        </row>
        <row r="9411">
          <cell r="E9411" t="str">
            <v>TUPUDANA INDUSTRIAL AREA, RANCHI
PLOT NO. 114, TUPUDANA INDUSTRIAL AREA, TUPUDANA,HATIA, RANCHI
834002
RANCHI</v>
          </cell>
          <cell r="G9411">
            <v>7859077019</v>
          </cell>
          <cell r="K9411" t="str">
            <v>GOKS040088</v>
          </cell>
        </row>
        <row r="9412">
          <cell r="E9412" t="str">
            <v>TUPUDANA INDUSTRIAL AREA,RANCHI
834003</v>
          </cell>
          <cell r="G9412">
            <v>7289087328</v>
          </cell>
          <cell r="K9412" t="str">
            <v>BRIS035695</v>
          </cell>
        </row>
        <row r="9413">
          <cell r="E9413" t="str">
            <v>TUPUDANA INDUSTRIAL AREA, RANCHI
PLOT NO. 114, TUPUDANA INDUSTRIAL AREA, TUPUDANA,HATIA, RANCHI
834002
RANCHI</v>
          </cell>
          <cell r="G9413">
            <v>7859077019</v>
          </cell>
          <cell r="K9413" t="str">
            <v>GOKS040088</v>
          </cell>
        </row>
        <row r="9414">
          <cell r="E9414" t="str">
            <v>RANCHI,JHARKHAND
825301
JHUMRA</v>
          </cell>
          <cell r="G9414">
            <v>8541022146</v>
          </cell>
          <cell r="K9414" t="str">
            <v>BMIS031670</v>
          </cell>
        </row>
        <row r="9415">
          <cell r="E9415" t="str">
            <v>BERU COLLIERY, DHANBAD</v>
          </cell>
          <cell r="G9415">
            <v>9585918025</v>
          </cell>
          <cell r="K9415" t="str">
            <v>BRGD161212</v>
          </cell>
        </row>
        <row r="9416">
          <cell r="E9416" t="str">
            <v>CHATRA,JHARKHAND</v>
          </cell>
          <cell r="G9416">
            <v>7004015257</v>
          </cell>
          <cell r="K9416" t="str">
            <v>BSKD200409</v>
          </cell>
        </row>
        <row r="9417">
          <cell r="E9417" t="str">
            <v>HORHAP ROAD, MAHILONG, RANCHI
835103</v>
          </cell>
          <cell r="G9417">
            <v>9708039203</v>
          </cell>
          <cell r="K9417" t="str">
            <v>BRIC374329</v>
          </cell>
        </row>
        <row r="9418">
          <cell r="E9418" t="str">
            <v>KOKAR INDUSTRIAL AREA,RANCHI
834002
KOKAR INDUSTRIAL AREA</v>
          </cell>
          <cell r="G9418">
            <v>7781002555</v>
          </cell>
          <cell r="K9418" t="str">
            <v>BQAC373733</v>
          </cell>
        </row>
        <row r="9419">
          <cell r="E9419" t="str">
            <v>JAMUI BIHAR</v>
          </cell>
          <cell r="G9419">
            <v>9264207575</v>
          </cell>
          <cell r="K9419" t="str">
            <v>BQKD160076</v>
          </cell>
        </row>
        <row r="9420">
          <cell r="E9420" t="str">
            <v>ANGAR PATRA,DHANBAD</v>
          </cell>
          <cell r="G9420">
            <v>6203411013</v>
          </cell>
          <cell r="K9420" t="str">
            <v>BSGD161898</v>
          </cell>
        </row>
        <row r="9421">
          <cell r="E9421" t="str">
            <v>NAGRI, RANCHI
834006
RANCHI</v>
          </cell>
          <cell r="G9421">
            <v>8051139257</v>
          </cell>
          <cell r="K9421" t="str">
            <v>BIGC370085</v>
          </cell>
        </row>
        <row r="9422">
          <cell r="E9422" t="str">
            <v>AT: SENEGARHA, P.O-RABODH, P.S-GIDDI,(RAMGARH),, DISTT. HAZARIBAGH,JHARKHAND-825330
829108
AT: SENEGARHA, P.O-RABODH, P.S-GIDDI,(RAMGARH),</v>
          </cell>
          <cell r="G9422">
            <v>700428918</v>
          </cell>
          <cell r="K9422" t="str">
            <v>BSCS037349</v>
          </cell>
        </row>
        <row r="9423">
          <cell r="E9423" t="str">
            <v>REG. OFFICE: UNIT 106, MAHABIR TOWER, JOKHIRAM LANE, MAIN ROAD, RANCHI - 834 001
REG. OFFICE: UNIT 106, MAHABIR TOWER, JOKHIRAM LANE, MAIN ROAD, RANCHI - 834 001
835214</v>
          </cell>
          <cell r="G9423">
            <v>8051139257</v>
          </cell>
          <cell r="K9423" t="str">
            <v>BSDS043254</v>
          </cell>
        </row>
        <row r="9424">
          <cell r="E9424" t="str">
            <v>HAZARIBAGH</v>
          </cell>
          <cell r="G9424">
            <v>9934841617</v>
          </cell>
          <cell r="K9424" t="str">
            <v>BJAET10022</v>
          </cell>
        </row>
        <row r="9425">
          <cell r="E9425" t="str">
            <v>DALTANGANJ</v>
          </cell>
          <cell r="G9425">
            <v>9835111213</v>
          </cell>
          <cell r="K9425" t="str">
            <v>BQKD160094</v>
          </cell>
        </row>
        <row r="9426">
          <cell r="E9426" t="str">
            <v>CHAKARDHARPUR</v>
          </cell>
          <cell r="G9426">
            <v>8639995694</v>
          </cell>
          <cell r="K9426" t="str">
            <v>BSJD161422</v>
          </cell>
        </row>
        <row r="9427">
          <cell r="E9427" t="str">
            <v>OPERATIONS OFFICER, BOKARO BP, KIND ATTEN.ABHISHEK TRIPATHI, MOB. NO.8789972995, VENDOR CODE-11970380
OPERATIONS OFFICER, BOKARO BP, KIND ATTEN.ABHISHEK TRIPATHI, MOB. NO.8789972995, VENDOR CODE-11970380
827014
LPG BOTTALING PLANT, BALIDIH,</v>
          </cell>
          <cell r="G9427">
            <v>8092095823</v>
          </cell>
          <cell r="K9427" t="str">
            <v>BOCS040147</v>
          </cell>
        </row>
        <row r="9428">
          <cell r="E9428" t="str">
            <v>SIDRAUL, NAMKUM, RANCHI
834010
SIDRAUL, NAMKUM, RANCHI</v>
          </cell>
          <cell r="G9428">
            <v>9993423669</v>
          </cell>
          <cell r="K9428" t="str">
            <v>UOHS030121</v>
          </cell>
        </row>
        <row r="9429">
          <cell r="E9429" t="str">
            <v>KUSUMDIH,GOLA</v>
          </cell>
          <cell r="G9429">
            <v>8210231162</v>
          </cell>
          <cell r="K9429" t="str">
            <v>BJBSO40305</v>
          </cell>
        </row>
        <row r="9430">
          <cell r="E9430" t="str">
            <v>DALTONGANJ</v>
          </cell>
          <cell r="G9430">
            <v>8292896268</v>
          </cell>
          <cell r="K9430" t="str">
            <v>BQHI60427</v>
          </cell>
        </row>
        <row r="9431">
          <cell r="E9431" t="str">
            <v>TUPUDANA ,RANCHI</v>
          </cell>
          <cell r="G9431">
            <v>0</v>
          </cell>
          <cell r="K9431">
            <v>10322410</v>
          </cell>
        </row>
        <row r="9432">
          <cell r="E9432" t="str">
            <v>ANA COLLIERY DHANBAD</v>
          </cell>
          <cell r="G9432">
            <v>9573347055</v>
          </cell>
          <cell r="K9432" t="str">
            <v>BRID161336</v>
          </cell>
        </row>
        <row r="9433">
          <cell r="E9433" t="str">
            <v>KODERMA</v>
          </cell>
          <cell r="G9433">
            <v>6205816424</v>
          </cell>
          <cell r="K9433" t="str">
            <v>BSAD161567</v>
          </cell>
        </row>
        <row r="9434">
          <cell r="E9434" t="str">
            <v>DALADALI, RANCHI</v>
          </cell>
          <cell r="G9434">
            <v>9334701321</v>
          </cell>
          <cell r="K9434" t="str">
            <v>BRGD230256</v>
          </cell>
        </row>
        <row r="9435">
          <cell r="E9435" t="str">
            <v>DALTONGANJ</v>
          </cell>
          <cell r="G9435">
            <v>9677836110</v>
          </cell>
          <cell r="K9435" t="str">
            <v>BQHD160427</v>
          </cell>
        </row>
        <row r="9436">
          <cell r="E9436" t="str">
            <v>NAGRI, RANCHI</v>
          </cell>
          <cell r="G9436">
            <v>6201457979</v>
          </cell>
          <cell r="K9436">
            <v>11397201</v>
          </cell>
        </row>
        <row r="9437">
          <cell r="E9437" t="str">
            <v>NAGRI, RANCHI
TIKRATOLI, P.O:- NAGRI, RANCHI
834006</v>
          </cell>
          <cell r="G9437">
            <v>8294630107</v>
          </cell>
          <cell r="K9437" t="str">
            <v>BKKS030393</v>
          </cell>
        </row>
        <row r="9438">
          <cell r="E9438" t="str">
            <v>NAGRI, RANCHI</v>
          </cell>
          <cell r="G9438">
            <v>6201457979</v>
          </cell>
          <cell r="K9438">
            <v>11397201</v>
          </cell>
        </row>
        <row r="9439">
          <cell r="E9439" t="str">
            <v>KOKAR INDUSTRIAL AREA,RANCHI
834002
KOKAR INDUSTRIAL AREA</v>
          </cell>
          <cell r="G9439">
            <v>7781002555</v>
          </cell>
          <cell r="K9439" t="str">
            <v>BQAC373733</v>
          </cell>
        </row>
        <row r="9440">
          <cell r="E9440" t="str">
            <v>ANGAR PATRA,DHANBAD</v>
          </cell>
          <cell r="G9440">
            <v>6203411013</v>
          </cell>
          <cell r="K9440" t="str">
            <v>BSGD161898</v>
          </cell>
        </row>
        <row r="9441">
          <cell r="E9441" t="str">
            <v>NAGRI, RANCHI
834006
RANCHI</v>
          </cell>
          <cell r="G9441">
            <v>8051139257</v>
          </cell>
          <cell r="K9441" t="str">
            <v>BIGC370085</v>
          </cell>
        </row>
        <row r="9442">
          <cell r="E9442" t="str">
            <v>CHATRA</v>
          </cell>
          <cell r="G9442">
            <v>7004915623</v>
          </cell>
          <cell r="K9442" t="str">
            <v>BRJD160543</v>
          </cell>
        </row>
        <row r="9443">
          <cell r="E9443" t="str">
            <v>SAHEBGANJ, JHARKHAND</v>
          </cell>
          <cell r="G9443">
            <v>7988672063</v>
          </cell>
          <cell r="K9443" t="str">
            <v>BNBD160162</v>
          </cell>
        </row>
        <row r="9444">
          <cell r="E9444" t="str">
            <v>MANDU, RAMGARH
JAISWAL COLONY, THANA CHOW,, RAMGARH CANTT. DIST. RAMGARH, JHARKHAND
825316
MANDU</v>
          </cell>
          <cell r="G9444">
            <v>7992410997</v>
          </cell>
          <cell r="K9444" t="str">
            <v>BSGS043527</v>
          </cell>
        </row>
        <row r="9445">
          <cell r="E9445" t="str">
            <v>NAGRI ,RANCHI</v>
          </cell>
          <cell r="G9445">
            <v>7903378087</v>
          </cell>
          <cell r="K9445">
            <v>18277004</v>
          </cell>
        </row>
        <row r="9446">
          <cell r="E9446" t="str">
            <v>TUPUDANA INDUSTRIAL AREA, RANCHI
PLOT NO. 114, TUPUDANA INDUSTRIAL AREA, TUPUDANA,HATIA, RANCHI
834002
RANCHI</v>
          </cell>
          <cell r="G9446">
            <v>7859077019</v>
          </cell>
          <cell r="K9446" t="str">
            <v>BIKS040038</v>
          </cell>
        </row>
        <row r="9447">
          <cell r="E9447" t="str">
            <v>NAGARI, RANCHI
834006</v>
          </cell>
          <cell r="G9447">
            <v>7903378087</v>
          </cell>
          <cell r="K9447" t="str">
            <v>BRAC372524</v>
          </cell>
        </row>
        <row r="9448">
          <cell r="E9448" t="str">
            <v>GAYA, BIHAR</v>
          </cell>
          <cell r="G9448">
            <v>7272956960</v>
          </cell>
          <cell r="K9448" t="str">
            <v>BSFD161799</v>
          </cell>
        </row>
        <row r="9449">
          <cell r="E9449" t="str">
            <v>CHUTIYA, RANCHI</v>
          </cell>
          <cell r="G9449">
            <v>9308825924</v>
          </cell>
          <cell r="K9449" t="str">
            <v>BRFC373676</v>
          </cell>
        </row>
        <row r="9450">
          <cell r="E9450" t="str">
            <v>GROUND FLOOR, 8H AND 81, NATION PRINTERS, NAMKUM INDUSTRIAL AREA,, LOWADIH, RANCHI
GROUND FLOOR, 8H AND 81, NATION PRINTERS, NAMKUM INDUSTRIAL AREA,, LOWADIH, RANCHI
834010</v>
          </cell>
          <cell r="G9450">
            <v>9308825924</v>
          </cell>
          <cell r="K9450" t="str">
            <v>BRCC372871</v>
          </cell>
        </row>
        <row r="9451">
          <cell r="E9451" t="str">
            <v>TATISILWAI, JHARKHAND
835103</v>
          </cell>
          <cell r="G9451">
            <v>6200160428</v>
          </cell>
          <cell r="K9451" t="str">
            <v>BQGS031413</v>
          </cell>
        </row>
        <row r="9452">
          <cell r="E9452" t="str">
            <v>RAMGARH</v>
          </cell>
          <cell r="G9452">
            <v>7360077726</v>
          </cell>
          <cell r="K9452" t="str">
            <v>BLES031356</v>
          </cell>
        </row>
        <row r="9453">
          <cell r="E9453" t="str">
            <v>AT. BONGABAR, SANDI, RAMGARH, AMC  FROM 1-8-2019 TO 30-7-2020
829122
SANDI ,</v>
          </cell>
          <cell r="G9453">
            <v>7360077726</v>
          </cell>
          <cell r="K9453" t="str">
            <v>BLGS040605</v>
          </cell>
        </row>
        <row r="9454">
          <cell r="E9454" t="str">
            <v>CHITARPUR,RAMGHAR</v>
          </cell>
          <cell r="G9454">
            <v>8292911144</v>
          </cell>
          <cell r="K9454">
            <v>10335511</v>
          </cell>
        </row>
        <row r="9455">
          <cell r="E9455" t="str">
            <v>DHANBAD</v>
          </cell>
          <cell r="G9455">
            <v>9585918025</v>
          </cell>
          <cell r="K9455" t="str">
            <v>BRCD160968</v>
          </cell>
        </row>
        <row r="9456">
          <cell r="E9456" t="str">
            <v>RAMGARH</v>
          </cell>
          <cell r="G9456">
            <v>7360077726</v>
          </cell>
          <cell r="K9456" t="str">
            <v>BKAS030601</v>
          </cell>
        </row>
        <row r="9457">
          <cell r="E9457" t="str">
            <v>HOSHIR GIDDI,RAMGARH
NEAR P.N. BANK MAIN ROAD, RAMGARH CANTT. 829122
829110</v>
          </cell>
          <cell r="G9457">
            <v>8789325754</v>
          </cell>
          <cell r="K9457" t="str">
            <v>BRHS035368</v>
          </cell>
        </row>
        <row r="9458">
          <cell r="E9458" t="str">
            <v>CHIYAKI, RANCHI ROAD</v>
          </cell>
          <cell r="G9458">
            <v>7644800132</v>
          </cell>
          <cell r="K9458" t="str">
            <v>BQED160211</v>
          </cell>
        </row>
        <row r="9459">
          <cell r="E9459" t="str">
            <v>GOLITAND</v>
          </cell>
          <cell r="G9459">
            <v>9304198323</v>
          </cell>
          <cell r="K9459" t="str">
            <v>BSGD161854</v>
          </cell>
        </row>
        <row r="9460">
          <cell r="E9460" t="str">
            <v>SIMALIA, RANCHI</v>
          </cell>
          <cell r="G9460">
            <v>9431115841</v>
          </cell>
          <cell r="K9460">
            <v>106989</v>
          </cell>
        </row>
        <row r="9461">
          <cell r="E9461" t="str">
            <v>SIMALIYA, RANCHI
835103
SIMLIYA, RANCHI</v>
          </cell>
          <cell r="G9461">
            <v>9431115841</v>
          </cell>
          <cell r="K9461">
            <v>106989</v>
          </cell>
        </row>
        <row r="9462">
          <cell r="E9462" t="str">
            <v>NAYA MORE,RAMGARH
ARA SARU BERA ROAD, NAYA, RAMGARH,JHARKHAND
829110
NAYA MORE</v>
          </cell>
          <cell r="G9462">
            <v>7739460263</v>
          </cell>
          <cell r="K9462" t="str">
            <v>BQBS033796</v>
          </cell>
        </row>
        <row r="9463">
          <cell r="E9463" t="str">
            <v>BIHAR,</v>
          </cell>
          <cell r="G9463">
            <v>7979973607</v>
          </cell>
          <cell r="K9463" t="str">
            <v>BRLD160756</v>
          </cell>
        </row>
        <row r="9464">
          <cell r="E9464" t="str">
            <v>SIMALIA, RANCHI</v>
          </cell>
          <cell r="G9464">
            <v>9431115841</v>
          </cell>
          <cell r="K9464" t="str">
            <v>BMKS030210</v>
          </cell>
        </row>
        <row r="9465">
          <cell r="E9465" t="str">
            <v>HOSHIR GIDDI,RAMGARH
NEAR P.N. BANK MAIN ROAD, RAMGARH CANTT. 829122
829110</v>
          </cell>
          <cell r="G9465">
            <v>7654659452</v>
          </cell>
          <cell r="K9465" t="str">
            <v>BRHS035368</v>
          </cell>
        </row>
        <row r="9466">
          <cell r="E9466" t="str">
            <v>JASIDIH, DEOGHAR
814142</v>
          </cell>
          <cell r="G9466">
            <v>9431794976</v>
          </cell>
          <cell r="K9466" t="str">
            <v>BSBC375571</v>
          </cell>
        </row>
        <row r="9467">
          <cell r="E9467" t="str">
            <v>NAGARI RANCHI
NAGARI RANCHI
835303</v>
          </cell>
          <cell r="G9467">
            <v>8404896634</v>
          </cell>
          <cell r="K9467" t="str">
            <v>BKJS030050</v>
          </cell>
        </row>
        <row r="9468">
          <cell r="E9468" t="str">
            <v>GROUND FLOOR,, OFFICE NO.448A, ROAD NO.4, ASHOK NAGAR
GROUND FLOOR,, OFFICE NO.448A, ROAD NO.4, ASHOK NAGAR
829118
PLOT NO:- 47P, PATRATU INDUSTRIAL AREA</v>
          </cell>
          <cell r="G9468">
            <v>7541959323</v>
          </cell>
          <cell r="K9468" t="str">
            <v>ONIC370102</v>
          </cell>
        </row>
        <row r="9469">
          <cell r="E9469" t="str">
            <v>BAGODAR, JHARKHAND</v>
          </cell>
          <cell r="G9469">
            <v>7870903284</v>
          </cell>
          <cell r="K9469" t="str">
            <v>BQID160510</v>
          </cell>
        </row>
        <row r="9470">
          <cell r="E9470" t="str">
            <v>BERU COLLIERY, DHANBAD</v>
          </cell>
          <cell r="G9470">
            <v>9585918025</v>
          </cell>
          <cell r="K9470" t="str">
            <v>BRGD161212</v>
          </cell>
        </row>
        <row r="9471">
          <cell r="E9471" t="str">
            <v>BIHAR,</v>
          </cell>
          <cell r="G9471">
            <v>7979973607</v>
          </cell>
          <cell r="K9471" t="str">
            <v>BRLD160756</v>
          </cell>
        </row>
        <row r="9472">
          <cell r="E9472" t="str">
            <v>DHANBAD</v>
          </cell>
          <cell r="G9472">
            <v>9585918025</v>
          </cell>
          <cell r="K9472" t="str">
            <v>BRCD160968</v>
          </cell>
        </row>
        <row r="9473">
          <cell r="E9473" t="str">
            <v>KOKAR,RANCHI</v>
          </cell>
          <cell r="G9473">
            <v>9263186365</v>
          </cell>
          <cell r="K9473" t="str">
            <v>BPLF150007</v>
          </cell>
        </row>
        <row r="9474">
          <cell r="E9474" t="str">
            <v>NAGRI, RANCHI
TIKRATOLI, P.O:- NAGRI, RANCHI
834006</v>
          </cell>
          <cell r="G9474">
            <v>8294630107</v>
          </cell>
          <cell r="K9474" t="str">
            <v>BKKS030393</v>
          </cell>
        </row>
        <row r="9475">
          <cell r="E9475" t="str">
            <v>BOKARO,JHARKHAND
827004</v>
          </cell>
          <cell r="G9475">
            <v>0</v>
          </cell>
          <cell r="K9475" t="str">
            <v>BRGC373881</v>
          </cell>
        </row>
        <row r="9476">
          <cell r="E9476" t="str">
            <v>KOKAR, RANCHI</v>
          </cell>
          <cell r="G9476">
            <v>9263186366</v>
          </cell>
          <cell r="K9476" t="str">
            <v>BPLF150007</v>
          </cell>
        </row>
        <row r="9477">
          <cell r="E9477" t="str">
            <v>NAMKUM INDUSTRIAL AREA,RANCHI
834010</v>
          </cell>
          <cell r="G9477">
            <v>9386408111</v>
          </cell>
          <cell r="K9477" t="str">
            <v>GOCC370403</v>
          </cell>
        </row>
        <row r="9478">
          <cell r="E9478" t="str">
            <v>NAMKUM INDUSTRIAL AREA,RANCHI
834010</v>
          </cell>
          <cell r="G9478">
            <v>9386408111</v>
          </cell>
          <cell r="K9478" t="str">
            <v>GOCC370403</v>
          </cell>
        </row>
        <row r="9479">
          <cell r="E9479" t="str">
            <v>NAGRI, RANCHI</v>
          </cell>
          <cell r="G9479">
            <v>6201457979</v>
          </cell>
          <cell r="K9479">
            <v>11397201</v>
          </cell>
        </row>
        <row r="9480">
          <cell r="E9480" t="str">
            <v>NAMKUM INDUSTRIAL AREA,RANCHI
RANCHI
834010
INDIA</v>
          </cell>
          <cell r="G9480">
            <v>7070993638</v>
          </cell>
          <cell r="K9480" t="str">
            <v>GOCC370465</v>
          </cell>
        </row>
        <row r="9481">
          <cell r="E9481" t="str">
            <v>NAGARI, RANCHI
834006</v>
          </cell>
          <cell r="G9481">
            <v>7903378087</v>
          </cell>
          <cell r="K9481" t="str">
            <v>BRAC372524</v>
          </cell>
        </row>
        <row r="9482">
          <cell r="E9482" t="str">
            <v>IIT,ROAD RANCGI</v>
          </cell>
          <cell r="G9482">
            <v>9608329916</v>
          </cell>
          <cell r="K9482" t="str">
            <v>19TR01233</v>
          </cell>
        </row>
        <row r="9483">
          <cell r="E9483" t="str">
            <v>GAYA, BIHAR</v>
          </cell>
          <cell r="G9483">
            <v>6201360432</v>
          </cell>
          <cell r="K9483" t="str">
            <v>BQHD160361</v>
          </cell>
        </row>
        <row r="9484">
          <cell r="E9484" t="str">
            <v>ARGADA ROAD, BINJHAR, P.O. - MARAR, RAMGARH
829117</v>
          </cell>
          <cell r="G9484">
            <v>8294504879</v>
          </cell>
          <cell r="K9484" t="str">
            <v>BSCS037449</v>
          </cell>
        </row>
        <row r="9485">
          <cell r="E9485" t="str">
            <v>JUMRI TELAIYA</v>
          </cell>
          <cell r="G9485">
            <v>6204401259</v>
          </cell>
          <cell r="K9485" t="str">
            <v>GOBC370298</v>
          </cell>
        </row>
        <row r="9486">
          <cell r="E9486" t="str">
            <v>JHUMRI TILAIYA</v>
          </cell>
          <cell r="G9486">
            <v>7004725287</v>
          </cell>
          <cell r="K9486" t="str">
            <v>GPLS030458</v>
          </cell>
        </row>
        <row r="9487">
          <cell r="E9487" t="str">
            <v>DUMRI, JHARKHAND</v>
          </cell>
          <cell r="G9487">
            <v>9608325210</v>
          </cell>
          <cell r="K9487" t="str">
            <v>BSFD161830</v>
          </cell>
        </row>
        <row r="9488">
          <cell r="E9488" t="str">
            <v>GHATO,RAMGARH</v>
          </cell>
          <cell r="G9488">
            <v>9934963992</v>
          </cell>
          <cell r="K9488" t="str">
            <v>05.12.2008</v>
          </cell>
        </row>
        <row r="9489">
          <cell r="E9489" t="str">
            <v>DHANBAD</v>
          </cell>
          <cell r="G9489">
            <v>6200699077</v>
          </cell>
          <cell r="K9489" t="str">
            <v>BRKD200211</v>
          </cell>
        </row>
        <row r="9490">
          <cell r="E9490" t="str">
            <v>JAMSHEDPUR</v>
          </cell>
          <cell r="G9490">
            <v>9442992525</v>
          </cell>
          <cell r="K9490" t="str">
            <v>BRKD230139</v>
          </cell>
        </row>
        <row r="9491">
          <cell r="E9491" t="str">
            <v>JHUMRI TELAIYA, KODARMA
825409</v>
          </cell>
          <cell r="G9491">
            <v>9955926845</v>
          </cell>
          <cell r="K9491" t="str">
            <v>BSBC375530</v>
          </cell>
        </row>
        <row r="9492">
          <cell r="E9492" t="str">
            <v>KATRAS, DHANBAD</v>
          </cell>
          <cell r="G9492">
            <v>6206591024</v>
          </cell>
          <cell r="K9492" t="str">
            <v>BRLD160727</v>
          </cell>
        </row>
        <row r="9493">
          <cell r="E9493" t="str">
            <v>PRITAM</v>
          </cell>
          <cell r="G9493">
            <v>7309672604</v>
          </cell>
          <cell r="K9493">
            <v>11493204</v>
          </cell>
        </row>
        <row r="9494">
          <cell r="E9494" t="str">
            <v>PRITAM</v>
          </cell>
          <cell r="G9494">
            <v>7309672604</v>
          </cell>
          <cell r="K9494">
            <v>11493204</v>
          </cell>
        </row>
        <row r="9495">
          <cell r="E9495" t="str">
            <v>TUPUDANA INDUSTRIAL AREA, RANCHI
PLOT NO. 114, TUPUDANA INDUSTRIAL AREA, TUPUDANA,HATIA, RANCHI
834002
RANCHI</v>
          </cell>
          <cell r="G9495">
            <v>7979079842</v>
          </cell>
          <cell r="K9495" t="str">
            <v>BNAS040245</v>
          </cell>
        </row>
        <row r="9496">
          <cell r="E9496" t="str">
            <v>TUPUDANA INDUSTRIAL AREA, RANCHI
PLOT NO. 114, TUPUDANA INDUSTRIAL AREA, TUPUDANA,HATIA, RANCHI
834002
RANCHI</v>
          </cell>
          <cell r="G9496">
            <v>7979079842</v>
          </cell>
          <cell r="K9496">
            <v>123434</v>
          </cell>
        </row>
        <row r="9497">
          <cell r="E9497" t="str">
            <v>TUPUDANA INDUSTRIAL AREA, RANCHI
PLOT NO. 114, TUPUDANA INDUSTRIAL AREA, TUPUDANA,HATIA, RANCHI
834002
RANCHI</v>
          </cell>
          <cell r="G9497">
            <v>7979079842</v>
          </cell>
          <cell r="K9497" t="str">
            <v>GOKS040088</v>
          </cell>
        </row>
        <row r="9498">
          <cell r="E9498" t="str">
            <v>RAMGARH,JHARKHAND
825101
RAMGARH</v>
          </cell>
          <cell r="G9498">
            <v>620431636</v>
          </cell>
          <cell r="K9498" t="str">
            <v>BSGC376585</v>
          </cell>
        </row>
        <row r="9499">
          <cell r="E9499" t="str">
            <v>KATRAS, DHANBAD</v>
          </cell>
          <cell r="G9499">
            <v>9431316718</v>
          </cell>
          <cell r="K9499" t="str">
            <v>BQID160499</v>
          </cell>
        </row>
        <row r="9500">
          <cell r="E9500" t="str">
            <v>BAGODAR, JHARKHAND</v>
          </cell>
          <cell r="G9500">
            <v>7870903284</v>
          </cell>
          <cell r="K9500" t="str">
            <v>BQID160510</v>
          </cell>
        </row>
        <row r="9501">
          <cell r="E9501" t="str">
            <v>KATRAS, DHANBAD</v>
          </cell>
          <cell r="G9501">
            <v>9431316718</v>
          </cell>
          <cell r="K9501" t="str">
            <v>BQID160499</v>
          </cell>
        </row>
        <row r="9502">
          <cell r="E9502" t="str">
            <v>RAMGARH</v>
          </cell>
          <cell r="G9502">
            <v>7360077726</v>
          </cell>
          <cell r="K9502" t="str">
            <v>BKAS030601</v>
          </cell>
        </row>
        <row r="9503">
          <cell r="E9503" t="str">
            <v>AT. BONGABAR, SANDI, RAMGARH, AMC  FROM 1-8-2019 TO 30-7-2020
829122
SANDI ,</v>
          </cell>
          <cell r="G9503">
            <v>7360077726</v>
          </cell>
          <cell r="K9503" t="str">
            <v>BLGS040605</v>
          </cell>
        </row>
        <row r="9504">
          <cell r="E9504" t="str">
            <v>RAMGARH</v>
          </cell>
          <cell r="G9504">
            <v>7360077726</v>
          </cell>
          <cell r="K9504" t="str">
            <v>BLES031356</v>
          </cell>
        </row>
        <row r="9505">
          <cell r="E9505" t="str">
            <v>KANKE, RANCHI
834002</v>
          </cell>
          <cell r="G9505">
            <v>9162779018</v>
          </cell>
          <cell r="K9505" t="str">
            <v>BSFC376396</v>
          </cell>
        </row>
        <row r="9506">
          <cell r="E9506" t="str">
            <v>MANDU, RAMGARH
JAISWAL COLONY, THANA CHOW,, RAMGARH CANTT. DIST. RAMGARH, JHARKHAND
825316
MANDU</v>
          </cell>
          <cell r="G9506">
            <v>6208931815</v>
          </cell>
          <cell r="K9506" t="str">
            <v>BSGS043528</v>
          </cell>
        </row>
        <row r="9507">
          <cell r="E9507" t="str">
            <v>KATRAS, DHANBAD</v>
          </cell>
          <cell r="G9507">
            <v>9431316718</v>
          </cell>
          <cell r="K9507" t="str">
            <v>BQID160499</v>
          </cell>
        </row>
        <row r="9508">
          <cell r="E9508" t="str">
            <v>GOVINDPUR, GOMIYA</v>
          </cell>
          <cell r="G9508">
            <v>8825270627</v>
          </cell>
          <cell r="K9508" t="str">
            <v>BRLD160728</v>
          </cell>
        </row>
        <row r="9509">
          <cell r="E9509" t="str">
            <v>RANCHI</v>
          </cell>
          <cell r="G9509">
            <v>9608073008</v>
          </cell>
          <cell r="K9509" t="str">
            <v>BKDS031405</v>
          </cell>
        </row>
        <row r="9510">
          <cell r="E9510" t="str">
            <v>BASJODA , KATRAS, DHANBAD</v>
          </cell>
          <cell r="G9510">
            <v>9578883777</v>
          </cell>
          <cell r="K9510" t="str">
            <v>BRED161077</v>
          </cell>
        </row>
        <row r="9511">
          <cell r="E9511" t="str">
            <v>PRATAPUR, GIRIDIH, JHARKHAND</v>
          </cell>
          <cell r="G9511">
            <v>6205472164</v>
          </cell>
          <cell r="K9511" t="str">
            <v>BSJD161406</v>
          </cell>
        </row>
        <row r="9512">
          <cell r="E9512" t="str">
            <v>RAURKELA, MANOHARPUR</v>
          </cell>
          <cell r="G9512">
            <v>8210269774</v>
          </cell>
          <cell r="K9512" t="str">
            <v>BRED161081</v>
          </cell>
        </row>
        <row r="9513">
          <cell r="E9513" t="str">
            <v>RAMGARH,JHARKHAND
825101
RAMGARH</v>
          </cell>
          <cell r="G9513">
            <v>620431636</v>
          </cell>
          <cell r="K9513" t="str">
            <v>BSGC376585</v>
          </cell>
        </row>
        <row r="9514">
          <cell r="E9514" t="str">
            <v>MANDU, RAMGARH
JAISWAL COLONY, THANA CHOW,, RAMGARH CANTT. DIST. RAMGARH, JHARKHAND
825316
MANDU</v>
          </cell>
          <cell r="G9514" t="str">
            <v>NA</v>
          </cell>
          <cell r="K9514" t="str">
            <v>BSGS043528</v>
          </cell>
        </row>
        <row r="9515">
          <cell r="E9515" t="str">
            <v>KATRAS, DHANBAD</v>
          </cell>
          <cell r="G9515">
            <v>9798360305</v>
          </cell>
          <cell r="K9515" t="str">
            <v>BSKD161477</v>
          </cell>
        </row>
        <row r="9516">
          <cell r="E9516" t="str">
            <v>KATRAS, DHANBAD</v>
          </cell>
          <cell r="G9516">
            <v>9798360305</v>
          </cell>
          <cell r="K9516" t="str">
            <v>BSKD161477</v>
          </cell>
        </row>
        <row r="9517">
          <cell r="E9517" t="str">
            <v>DUMARI</v>
          </cell>
          <cell r="G9517">
            <v>9572932321</v>
          </cell>
          <cell r="K9517" t="str">
            <v>BRBD160856</v>
          </cell>
        </row>
        <row r="9518">
          <cell r="E9518" t="str">
            <v>INDUSTRIAL AREA KOKAR,JHARKHAND</v>
          </cell>
          <cell r="G9518">
            <v>9534189364</v>
          </cell>
          <cell r="K9518">
            <v>13343308</v>
          </cell>
        </row>
        <row r="9519">
          <cell r="E9519" t="str">
            <v>GAMHARIA,JAMSHEDPUR</v>
          </cell>
          <cell r="G9519">
            <v>9725878240</v>
          </cell>
          <cell r="K9519" t="str">
            <v>BRGL151468</v>
          </cell>
        </row>
        <row r="9520">
          <cell r="E9520" t="str">
            <v>GAMHARIA,JAMSHEDPUR</v>
          </cell>
          <cell r="G9520">
            <v>9725878240</v>
          </cell>
          <cell r="K9520" t="str">
            <v>BRGL151464</v>
          </cell>
        </row>
        <row r="9521">
          <cell r="E9521" t="str">
            <v>REG. OFFICE: UNIT 106, MAHABIR TOWER, JOKHIRAM LANE, MAIN ROAD, RANCHI - 834 001
REG. OFFICE: UNIT 106, MAHABIR TOWER, JOKHIRAM LANE, MAIN ROAD, RANCHI - 834 001
835214</v>
          </cell>
          <cell r="G9521">
            <v>8252597873</v>
          </cell>
          <cell r="K9521" t="str">
            <v>BSDS043254</v>
          </cell>
        </row>
        <row r="9522">
          <cell r="E9522" t="str">
            <v>NAGRI, RANCHI
834006
RANCHI</v>
          </cell>
          <cell r="G9522">
            <v>8252597873</v>
          </cell>
          <cell r="K9522" t="str">
            <v>BIGC370085</v>
          </cell>
        </row>
        <row r="9523">
          <cell r="E9523" t="str">
            <v>BAGODAR, JHARKHAND</v>
          </cell>
          <cell r="G9523">
            <v>9801371900</v>
          </cell>
          <cell r="K9523" t="str">
            <v>BQID160510</v>
          </cell>
        </row>
        <row r="9524">
          <cell r="E9524" t="str">
            <v>GAYA, BIHAR</v>
          </cell>
          <cell r="G9524">
            <v>9431088962</v>
          </cell>
          <cell r="K9524" t="str">
            <v>BSKD161500</v>
          </cell>
        </row>
        <row r="9525">
          <cell r="E9525" t="str">
            <v>PRATAPUR, GIRIDIH, JHARKHAND</v>
          </cell>
          <cell r="G9525">
            <v>6205472164</v>
          </cell>
          <cell r="K9525" t="str">
            <v>BSJD161406</v>
          </cell>
        </row>
        <row r="9526">
          <cell r="E9526" t="str">
            <v>JAMSHEDPUR</v>
          </cell>
          <cell r="G9526">
            <v>9442992525</v>
          </cell>
          <cell r="K9526" t="str">
            <v>BRKD230139</v>
          </cell>
        </row>
        <row r="9527">
          <cell r="E9527" t="str">
            <v>AT: SENEGARHA, P.O-RABODH, P.S-GIDDI,(RAMGARH),, DISTT. HAZARIBAGH,JHARKHAND-825330
829108
AT: SENEGARHA, P.O-RABODH, P.S-GIDDI,(RAMGARH),</v>
          </cell>
          <cell r="G9527">
            <v>9006877583</v>
          </cell>
          <cell r="K9527" t="str">
            <v>BQES030978</v>
          </cell>
        </row>
        <row r="9528">
          <cell r="E9528" t="str">
            <v>GAYA, BIHAR</v>
          </cell>
          <cell r="G9528">
            <v>9431266779</v>
          </cell>
          <cell r="K9528" t="str">
            <v>BRJD160577</v>
          </cell>
        </row>
        <row r="9529">
          <cell r="E9529" t="str">
            <v>GHATO,RAMGARH</v>
          </cell>
          <cell r="G9529">
            <v>9934963992</v>
          </cell>
          <cell r="K9529">
            <v>24371</v>
          </cell>
        </row>
        <row r="9530">
          <cell r="E9530" t="str">
            <v>SIMARIYA ROAD, CHATRA
825401</v>
          </cell>
          <cell r="G9530">
            <v>9608300410</v>
          </cell>
          <cell r="K9530" t="str">
            <v>BSFC376341</v>
          </cell>
        </row>
        <row r="9531">
          <cell r="E9531" t="str">
            <v>KANKE, RANCHI
834002</v>
          </cell>
          <cell r="G9531">
            <v>7979732853</v>
          </cell>
          <cell r="K9531" t="str">
            <v>BSFC376396</v>
          </cell>
        </row>
        <row r="9532">
          <cell r="E9532" t="str">
            <v>GHATO
825314</v>
          </cell>
          <cell r="G9532">
            <v>9934963992</v>
          </cell>
          <cell r="K9532">
            <v>124380</v>
          </cell>
        </row>
        <row r="9533">
          <cell r="E9533" t="str">
            <v>RANCHI PATNA ROAD
DEMOTAND
825301
HAZARIBAGH</v>
          </cell>
          <cell r="G9533">
            <v>9431140190</v>
          </cell>
          <cell r="K9533" t="str">
            <v>BSCS037531</v>
          </cell>
        </row>
        <row r="9534">
          <cell r="E9534" t="str">
            <v>KAMRE, RANCHI</v>
          </cell>
          <cell r="G9534">
            <v>8709279344</v>
          </cell>
          <cell r="K9534" t="str">
            <v>0K1499</v>
          </cell>
        </row>
        <row r="9535">
          <cell r="E9535" t="str">
            <v>DHANBAD</v>
          </cell>
          <cell r="G9535">
            <v>7903828920</v>
          </cell>
          <cell r="K9535" t="str">
            <v>BQGD230029</v>
          </cell>
        </row>
        <row r="9536">
          <cell r="E9536" t="str">
            <v>RANCHI</v>
          </cell>
          <cell r="G9536">
            <v>9608073008</v>
          </cell>
          <cell r="K9536" t="str">
            <v>BKDS031405</v>
          </cell>
        </row>
        <row r="9537">
          <cell r="E9537" t="str">
            <v>COILERY,DHANBAD</v>
          </cell>
          <cell r="G9537">
            <v>9585918025</v>
          </cell>
          <cell r="K9537" t="str">
            <v>BRGD161212</v>
          </cell>
        </row>
        <row r="9538">
          <cell r="E9538" t="str">
            <v>KODERMA</v>
          </cell>
          <cell r="G9538">
            <v>6205816424</v>
          </cell>
          <cell r="K9538" t="str">
            <v>BSAD161567</v>
          </cell>
        </row>
        <row r="9539">
          <cell r="E9539" t="str">
            <v>KOKAR INDUSTRIAL AREA, RANCHI
834001</v>
          </cell>
          <cell r="G9539">
            <v>92040065928</v>
          </cell>
          <cell r="K9539" t="str">
            <v>BJAET10022</v>
          </cell>
        </row>
        <row r="9540">
          <cell r="E9540" t="str">
            <v>PUDANG,RANCHI
834002</v>
          </cell>
          <cell r="G9540" t="str">
            <v>NA</v>
          </cell>
          <cell r="K9540" t="str">
            <v>BSEC376140</v>
          </cell>
        </row>
        <row r="9541">
          <cell r="E9541" t="str">
            <v>RAMPUR NAMKUM, RANCHI</v>
          </cell>
          <cell r="G9541">
            <v>9546884024</v>
          </cell>
          <cell r="K9541" t="str">
            <v>BSAD120582</v>
          </cell>
        </row>
        <row r="9542">
          <cell r="E9542" t="str">
            <v>PRATAPUR, GIRIDIH, JHARKHAND</v>
          </cell>
          <cell r="G9542">
            <v>6205472164</v>
          </cell>
          <cell r="K9542" t="str">
            <v>BSJD161406</v>
          </cell>
        </row>
        <row r="9543">
          <cell r="E9543" t="str">
            <v>TOPA MINES, RAMGARH</v>
          </cell>
          <cell r="G9543">
            <v>9471109170</v>
          </cell>
          <cell r="K9543" t="str">
            <v>BSKD161467</v>
          </cell>
        </row>
        <row r="9544">
          <cell r="E9544" t="str">
            <v>DALTONGANJ</v>
          </cell>
          <cell r="G9544">
            <v>9080373190</v>
          </cell>
          <cell r="K9544" t="str">
            <v>BQHD160427</v>
          </cell>
        </row>
        <row r="9545">
          <cell r="E9545" t="str">
            <v>RAMPUR</v>
          </cell>
          <cell r="G9545">
            <v>9334701321</v>
          </cell>
          <cell r="K9545" t="str">
            <v>BRGD230256</v>
          </cell>
        </row>
        <row r="9546">
          <cell r="E9546" t="str">
            <v>RANCHI
834001</v>
          </cell>
          <cell r="G9546">
            <v>9471157954</v>
          </cell>
          <cell r="K9546" t="str">
            <v>BRHC374243</v>
          </cell>
        </row>
        <row r="9547">
          <cell r="E9547" t="str">
            <v xml:space="preserve">DALTAONGANJ </v>
          </cell>
          <cell r="G9547">
            <v>0</v>
          </cell>
          <cell r="K9547" t="str">
            <v>BQK160094</v>
          </cell>
        </row>
        <row r="9548">
          <cell r="E9548" t="str">
            <v>KATRAS, DHANBAD</v>
          </cell>
          <cell r="G9548">
            <v>6206591024</v>
          </cell>
          <cell r="K9548" t="str">
            <v>BRLD160727</v>
          </cell>
        </row>
        <row r="9549">
          <cell r="E9549" t="str">
            <v>IIT,ROAD RANCGI</v>
          </cell>
          <cell r="G9549">
            <v>9608329916</v>
          </cell>
          <cell r="K9549" t="str">
            <v>19TR01233</v>
          </cell>
        </row>
        <row r="9550">
          <cell r="E9550" t="str">
            <v>NAMKUM, RANCHI</v>
          </cell>
          <cell r="G9550">
            <v>9308825924</v>
          </cell>
          <cell r="K9550">
            <v>18465010</v>
          </cell>
        </row>
        <row r="9551">
          <cell r="E9551" t="str">
            <v>NAGRI,RANCHI
835202
RANCHI</v>
          </cell>
          <cell r="G9551">
            <v>7541071027</v>
          </cell>
          <cell r="K9551" t="str">
            <v>BMJS040004</v>
          </cell>
        </row>
        <row r="9552">
          <cell r="E9552" t="str">
            <v>NAGRI,RANCHI</v>
          </cell>
          <cell r="G9552">
            <v>7541071027</v>
          </cell>
          <cell r="K9552">
            <v>18516212</v>
          </cell>
        </row>
        <row r="9553">
          <cell r="E9553" t="str">
            <v>HINDPIDI, RANCHI</v>
          </cell>
          <cell r="G9553">
            <v>9445553022</v>
          </cell>
          <cell r="K9553" t="str">
            <v>BPLD200036</v>
          </cell>
        </row>
        <row r="9554">
          <cell r="E9554" t="str">
            <v>NAGRI,RANCHI
835202
RANCHI</v>
          </cell>
          <cell r="G9554">
            <v>7541071027</v>
          </cell>
          <cell r="K9554">
            <v>108441</v>
          </cell>
        </row>
        <row r="9555">
          <cell r="E9555" t="str">
            <v>JAMUI BIHAR</v>
          </cell>
          <cell r="G9555">
            <v>9430467100</v>
          </cell>
          <cell r="K9555" t="str">
            <v>RJD230103</v>
          </cell>
        </row>
        <row r="9556">
          <cell r="E9556" t="str">
            <v>CHAKARDHARPUR, JAMSHEDPUR</v>
          </cell>
          <cell r="G9556">
            <v>8639995694</v>
          </cell>
          <cell r="K9556" t="str">
            <v>BSJD161422</v>
          </cell>
        </row>
        <row r="9557">
          <cell r="E9557" t="str">
            <v>HAZARIBAGH</v>
          </cell>
          <cell r="G9557">
            <v>9494338689</v>
          </cell>
          <cell r="K9557" t="str">
            <v>BRCD160990</v>
          </cell>
        </row>
        <row r="9558">
          <cell r="E9558" t="str">
            <v>BANDHIYA RAOD, NAGRI RANCHI, MOB.8709325266
834006
BANDHIYA ROAD, NAGARI RANCHI</v>
          </cell>
          <cell r="G9558">
            <v>9110033639</v>
          </cell>
          <cell r="K9558" t="str">
            <v>BLFS040558</v>
          </cell>
        </row>
        <row r="9559">
          <cell r="E9559" t="str">
            <v>NAGRI, RANCHI
TIKRATOLI, P.O:- NAGRI, RANCHI
834006</v>
          </cell>
          <cell r="G9559">
            <v>8294630107</v>
          </cell>
          <cell r="K9559" t="str">
            <v>BKKS030393</v>
          </cell>
        </row>
        <row r="9560">
          <cell r="E9560" t="str">
            <v>GOPI MORE, GAYA ,BIHAR</v>
          </cell>
          <cell r="G9560">
            <v>9934604076</v>
          </cell>
          <cell r="K9560" t="str">
            <v>BSFD161799</v>
          </cell>
        </row>
        <row r="9561">
          <cell r="E9561" t="str">
            <v>KATRAS, DHANBAD</v>
          </cell>
          <cell r="G9561">
            <v>6203273412</v>
          </cell>
          <cell r="K9561" t="str">
            <v>BSKD161477</v>
          </cell>
        </row>
        <row r="9562">
          <cell r="E9562" t="str">
            <v>TIKRATOLI,SAPAROM
NEAR LALGUTWA OVERBRIDGE, TIKRATOLI, SAPAROM,, NAGRI, RANCHI
835303</v>
          </cell>
          <cell r="G9562">
            <v>9608086621</v>
          </cell>
          <cell r="K9562" t="str">
            <v>BRGC373885</v>
          </cell>
        </row>
        <row r="9563">
          <cell r="E9563" t="str">
            <v>KANKE, RANCHI
834002</v>
          </cell>
          <cell r="G9563">
            <v>9162779018</v>
          </cell>
          <cell r="K9563" t="str">
            <v>BSFC376396</v>
          </cell>
        </row>
        <row r="9564">
          <cell r="E9564" t="str">
            <v>DHANBAD</v>
          </cell>
          <cell r="G9564">
            <v>8825938685</v>
          </cell>
          <cell r="K9564" t="str">
            <v>BRLD160741</v>
          </cell>
        </row>
        <row r="9565">
          <cell r="E9565" t="str">
            <v>DEOGHAR, JHARKHAND</v>
          </cell>
          <cell r="G9565">
            <v>7542025382</v>
          </cell>
          <cell r="K9565" t="str">
            <v>BSFD161819</v>
          </cell>
        </row>
        <row r="9566">
          <cell r="E9566" t="str">
            <v>DHANBAD</v>
          </cell>
          <cell r="G9566">
            <v>8825938685</v>
          </cell>
          <cell r="K9566" t="str">
            <v>BRLD160741</v>
          </cell>
        </row>
        <row r="9567">
          <cell r="E9567" t="str">
            <v>BANDHIYA RAOD, NAGRI RANCHI, MOB.8709325266
834006
BANDHIYA ROAD, NAGARI RANCHI</v>
          </cell>
          <cell r="G9567">
            <v>9110033639</v>
          </cell>
          <cell r="K9567" t="str">
            <v>BLFS040558</v>
          </cell>
        </row>
        <row r="9568">
          <cell r="E9568" t="str">
            <v>RING ROAD, RAMPUR, RANCHI
834010</v>
          </cell>
          <cell r="G9568">
            <v>6206538126</v>
          </cell>
          <cell r="K9568" t="str">
            <v>BRCS033813</v>
          </cell>
        </row>
        <row r="9569">
          <cell r="E9569" t="str">
            <v>OPERATIONS OFFICER, BOKARO BP, KIND ATTEN.ABHISHEK TRIPATHI, MOB. NO.8789972995, VENDOR CODE-11970380
OPERATIONS OFFICER, BOKARO BP, KIND ATTEN.ABHISHEK TRIPATHI, MOB. NO.8789972995, VENDOR CODE-11970380
827014
LPG BOTTALING PLANT, BALIDIH,</v>
          </cell>
          <cell r="G9569">
            <v>8092095823</v>
          </cell>
          <cell r="K9569" t="str">
            <v>BOCS040147</v>
          </cell>
        </row>
        <row r="9570">
          <cell r="E9570" t="str">
            <v>TIKRATOLI,SAPAROM
NEAR LALGUTWA OVERBRIDGE, TIKRATOLI, SAPAROM,, NAGRI, RANCHI
835303</v>
          </cell>
          <cell r="G9570">
            <v>9608086621</v>
          </cell>
          <cell r="K9570" t="str">
            <v>BRGC373885</v>
          </cell>
        </row>
        <row r="9571">
          <cell r="E9571" t="str">
            <v>NAGRI,RANCHI
835202
RANCHI</v>
          </cell>
          <cell r="G9571">
            <v>8877024924</v>
          </cell>
          <cell r="K9571" t="str">
            <v>BMJS040004</v>
          </cell>
        </row>
        <row r="9572">
          <cell r="E9572" t="str">
            <v>CHAUPARAN</v>
          </cell>
          <cell r="G9572">
            <v>7979973607</v>
          </cell>
          <cell r="K9572" t="str">
            <v>BRLD160756</v>
          </cell>
        </row>
        <row r="9573">
          <cell r="E9573" t="str">
            <v>TIKRATOLI,SAPAROM
NEAR LALGUTWA OVERBRIDGE, TIKRATOLI, SAPAROM,, NAGRI, RANCHI
835303</v>
          </cell>
          <cell r="G9573">
            <v>9608086621</v>
          </cell>
          <cell r="K9573" t="str">
            <v>BRGC373885</v>
          </cell>
        </row>
        <row r="9574">
          <cell r="E9574" t="str">
            <v>KAMRE, RANCHI</v>
          </cell>
          <cell r="G9574">
            <v>8709279344</v>
          </cell>
          <cell r="K9574">
            <v>33972</v>
          </cell>
        </row>
        <row r="9575">
          <cell r="E9575" t="str">
            <v>KATRAS, DHANBAD</v>
          </cell>
          <cell r="G9575">
            <v>9431316718</v>
          </cell>
          <cell r="K9575" t="str">
            <v>BQID160499</v>
          </cell>
        </row>
        <row r="9576">
          <cell r="E9576" t="str">
            <v>REHLA, GARHWA ROAD, PALAMU D.T, JHARKHAND
PALAMU JHARKHAND 822124
INDIA</v>
          </cell>
          <cell r="G9576">
            <v>7992431955</v>
          </cell>
          <cell r="K9576" t="str">
            <v>BLFS031469</v>
          </cell>
        </row>
        <row r="9577">
          <cell r="E9577" t="str">
            <v>RANCHI</v>
          </cell>
          <cell r="G9577">
            <v>8969039892</v>
          </cell>
          <cell r="K9577" t="str">
            <v>BQHD160416</v>
          </cell>
        </row>
        <row r="9578">
          <cell r="E9578" t="str">
            <v>GOVINDPUR, GOMIYA</v>
          </cell>
          <cell r="G9578">
            <v>8825270627</v>
          </cell>
          <cell r="K9578" t="str">
            <v>BRLD160728</v>
          </cell>
        </row>
        <row r="9579">
          <cell r="E9579" t="str">
            <v>LOHARDAGA,JHARKHAND
LOHARDAGA, MOB. NO.9661111900
835302
LOHARDAGA</v>
          </cell>
          <cell r="G9579">
            <v>8709406268</v>
          </cell>
          <cell r="K9579" t="str">
            <v>BQFS031084</v>
          </cell>
        </row>
        <row r="9580">
          <cell r="E9580" t="str">
            <v>TUPUDANA INDUSTRIAL AREA, RANCHI
PLOT NO. - 45 &amp; 46, TUPUDAN AINDUSTRIAL AREA, TUPUDANA, HATIA, RANCHI
834003
TIPUDANA INDUSTRIAL AREA</v>
          </cell>
          <cell r="G9580">
            <v>8092355914</v>
          </cell>
          <cell r="K9580" t="str">
            <v>BJHET10090</v>
          </cell>
        </row>
        <row r="9581">
          <cell r="E9581" t="str">
            <v>NAGRI, RANCHI</v>
          </cell>
          <cell r="G9581">
            <v>6201457979</v>
          </cell>
          <cell r="K9581">
            <v>11397201</v>
          </cell>
        </row>
        <row r="9582">
          <cell r="E9582" t="str">
            <v>SAPAROM INDUSTRIAL AREA</v>
          </cell>
          <cell r="G9582">
            <v>9431103211</v>
          </cell>
          <cell r="K9582">
            <v>18535712</v>
          </cell>
        </row>
        <row r="9583">
          <cell r="E9583" t="str">
            <v>DALTONGANJ</v>
          </cell>
          <cell r="G9583">
            <v>9080373190</v>
          </cell>
          <cell r="K9583" t="str">
            <v>BQHD160427</v>
          </cell>
        </row>
        <row r="9584">
          <cell r="E9584" t="str">
            <v>DALTONGANJ</v>
          </cell>
          <cell r="G9584">
            <v>9080373190</v>
          </cell>
          <cell r="K9584" t="str">
            <v>BQHD160427</v>
          </cell>
        </row>
        <row r="9585">
          <cell r="E9585" t="str">
            <v>LATAHORE</v>
          </cell>
          <cell r="G9585">
            <v>9934700413</v>
          </cell>
          <cell r="K9585" t="str">
            <v>BRID161341</v>
          </cell>
        </row>
        <row r="9586">
          <cell r="E9586" t="str">
            <v>BAGODAR, JHARKHAND</v>
          </cell>
          <cell r="G9586">
            <v>7870903284</v>
          </cell>
          <cell r="K9586" t="str">
            <v>BQID160510</v>
          </cell>
        </row>
        <row r="9587">
          <cell r="E9587" t="str">
            <v>BAGODAR, JHARKHAND</v>
          </cell>
          <cell r="G9587">
            <v>7870903284</v>
          </cell>
          <cell r="K9587" t="str">
            <v>BQID160510</v>
          </cell>
        </row>
        <row r="9588">
          <cell r="E9588" t="str">
            <v>TUPUDANA INDUSTRIAL AREA, RANCHI
PLOT NO. - 45 &amp; 46, TUPUDAN AINDUSTRIAL AREA, TUPUDANA, HATIA, RANCHI
834003
TIPUDANA INDUSTRIAL AREA</v>
          </cell>
          <cell r="G9588">
            <v>8092355914</v>
          </cell>
          <cell r="K9588" t="str">
            <v>BQBS033819</v>
          </cell>
        </row>
        <row r="9589">
          <cell r="E9589" t="str">
            <v>KATRAS, DHANBAD</v>
          </cell>
          <cell r="G9589">
            <v>9798360305</v>
          </cell>
          <cell r="K9589" t="str">
            <v>BSKD161477</v>
          </cell>
        </row>
        <row r="9590">
          <cell r="E9590" t="str">
            <v>PLOT NO 716,VILL-RUKKA,
835219</v>
          </cell>
          <cell r="G9590">
            <v>9791019799</v>
          </cell>
          <cell r="K9590" t="str">
            <v>BSKS036366</v>
          </cell>
        </row>
        <row r="9591">
          <cell r="E9591" t="str">
            <v>KATITARH,RANCHI
835222</v>
          </cell>
          <cell r="G9591">
            <v>6201408006</v>
          </cell>
          <cell r="K9591" t="str">
            <v>BSAS036940</v>
          </cell>
        </row>
        <row r="9592">
          <cell r="E9592" t="str">
            <v>ADITYAPUR, KANDRA ROAD
831013</v>
          </cell>
          <cell r="G9592">
            <v>9234771111</v>
          </cell>
          <cell r="K9592" t="str">
            <v>BMEC370377</v>
          </cell>
        </row>
        <row r="9593">
          <cell r="E9593" t="str">
            <v>TIPUDANA,RANCHI</v>
          </cell>
          <cell r="G9593">
            <v>9534249500</v>
          </cell>
          <cell r="K9593">
            <v>10322410</v>
          </cell>
        </row>
        <row r="9594">
          <cell r="E9594" t="str">
            <v>OPERATIONS OFFICER, BOKARO BP, KIND ATTEN.ABHISHEK TRIPATHI, MOB. NO.8789972995, VENDOR CODE-11970380
OPERATIONS OFFICER, BOKARO BP, KIND ATTEN.ABHISHEK TRIPATHI, MOB. NO.8789972995, VENDOR CODE-11970380
827014
LPG BOTTALING PLANT, BALIDIH,</v>
          </cell>
          <cell r="G9594">
            <v>8092095823</v>
          </cell>
          <cell r="K9594" t="str">
            <v>BOCS040147</v>
          </cell>
        </row>
        <row r="9595">
          <cell r="E9595" t="str">
            <v>REHLA,GARWA,JHARKHAND
822124
RANCHI</v>
          </cell>
          <cell r="G9595">
            <v>7004623399</v>
          </cell>
          <cell r="K9595" t="str">
            <v>BMFS031346</v>
          </cell>
        </row>
        <row r="9596">
          <cell r="E9596" t="str">
            <v>REHLA, GARHWA ROAD, PALAMU D.T, JHARKHAND
PALAMU JHARKHAND 822124
INDIA</v>
          </cell>
          <cell r="G9596">
            <v>7992431955</v>
          </cell>
          <cell r="K9596" t="str">
            <v>BLFS031469</v>
          </cell>
        </row>
        <row r="9597">
          <cell r="E9597" t="str">
            <v>RANCHI</v>
          </cell>
          <cell r="G9597">
            <v>8372081415</v>
          </cell>
          <cell r="K9597" t="str">
            <v>BRCD160978</v>
          </cell>
        </row>
        <row r="9598">
          <cell r="E9598" t="str">
            <v>RAMGARH
829103
NAYA MORE</v>
          </cell>
          <cell r="G9598">
            <v>8651078549</v>
          </cell>
          <cell r="K9598" t="str">
            <v>BPCS030196</v>
          </cell>
        </row>
        <row r="9599">
          <cell r="E9599" t="str">
            <v>CHAKARDHARPUR</v>
          </cell>
          <cell r="G9599">
            <v>8709505676</v>
          </cell>
          <cell r="K9599" t="str">
            <v>BSJD161422</v>
          </cell>
        </row>
        <row r="9600">
          <cell r="E9600" t="str">
            <v>PISKA MORE,RANCHI</v>
          </cell>
          <cell r="G9600">
            <v>9431395214</v>
          </cell>
          <cell r="K9600" t="str">
            <v>19TR01235</v>
          </cell>
        </row>
        <row r="9601">
          <cell r="E9601" t="str">
            <v>ANGAR PATRA,DHANBAD</v>
          </cell>
          <cell r="G9601">
            <v>8210877787</v>
          </cell>
          <cell r="K9601" t="str">
            <v>BQJD160027</v>
          </cell>
        </row>
        <row r="9602">
          <cell r="E9602" t="str">
            <v>ANGAR PATRA,DHANBAD</v>
          </cell>
          <cell r="G9602">
            <v>8210877787</v>
          </cell>
          <cell r="K9602" t="str">
            <v>BRBD160901</v>
          </cell>
        </row>
        <row r="9603">
          <cell r="E9603" t="str">
            <v>ANGAR PATRA,DHANBAD</v>
          </cell>
          <cell r="G9603">
            <v>8210877787</v>
          </cell>
          <cell r="K9603" t="str">
            <v>MISSING</v>
          </cell>
        </row>
        <row r="9604">
          <cell r="E9604" t="str">
            <v>RAMNAGAR , HAZARIBAGH,JHARKHAND
825302</v>
          </cell>
          <cell r="G9604">
            <v>9113183803</v>
          </cell>
          <cell r="K9604" t="str">
            <v>BQAC373617</v>
          </cell>
        </row>
        <row r="9605">
          <cell r="E9605" t="str">
            <v>KATRAS, DHANBAD</v>
          </cell>
          <cell r="G9605">
            <v>6200938521</v>
          </cell>
          <cell r="K9605" t="str">
            <v>BRCD160939</v>
          </cell>
        </row>
        <row r="9606">
          <cell r="E9606" t="str">
            <v>KATRAS, DHANBAD</v>
          </cell>
          <cell r="G9606">
            <v>6200938521</v>
          </cell>
          <cell r="K9606" t="str">
            <v>BRHD161312</v>
          </cell>
        </row>
        <row r="9607">
          <cell r="E9607" t="str">
            <v>JAMCHUWA,TATA ROAD</v>
          </cell>
          <cell r="G9607">
            <v>8002285928</v>
          </cell>
          <cell r="K9607" t="str">
            <v>BRCD160978</v>
          </cell>
        </row>
        <row r="9608">
          <cell r="E9608" t="str">
            <v>TIPUDANA INDUSTRIAL AREA, HATIA,</v>
          </cell>
          <cell r="G9608">
            <v>9534249500</v>
          </cell>
          <cell r="K9608" t="str">
            <v>BJGS031396</v>
          </cell>
        </row>
        <row r="9609">
          <cell r="E9609" t="str">
            <v>BERA COILERY,DHANNBAD</v>
          </cell>
          <cell r="G9609">
            <v>9585918025</v>
          </cell>
          <cell r="K9609" t="str">
            <v>BRCD160968</v>
          </cell>
        </row>
        <row r="9610">
          <cell r="E9610" t="str">
            <v>BERA COILERY,DHANNBAD</v>
          </cell>
          <cell r="G9610">
            <v>9585918025</v>
          </cell>
          <cell r="K9610" t="str">
            <v>BRCD160967</v>
          </cell>
        </row>
        <row r="9611">
          <cell r="E9611" t="str">
            <v>HOSHIR GIDDI,RAMGARH
NEAR P.N. BANK MAIN ROAD, RAMGARH CANTT. 829122
829110</v>
          </cell>
          <cell r="G9611">
            <v>8789325724</v>
          </cell>
          <cell r="K9611" t="str">
            <v>BRHS035368</v>
          </cell>
        </row>
        <row r="9612">
          <cell r="E9612" t="str">
            <v>TUPUDANA INDUSTRIAL AREA, RANCHI
PLOT NO. 114, TUPUDANA INDUSTRIAL AREA, TUPUDANA,HATIA, RANCHI
834002
RANCHI</v>
          </cell>
          <cell r="G9612">
            <v>7979079842</v>
          </cell>
          <cell r="K9612" t="str">
            <v>BNAS040245</v>
          </cell>
        </row>
        <row r="9613">
          <cell r="E9613" t="str">
            <v>TUPUDANA INDUSTRIAL AREA, RANCHI
PLOT NO. 114, TUPUDANA INDUSTRIAL AREA, TUPUDANA,HATIA, RANCHI
834002
RANCHI</v>
          </cell>
          <cell r="G9613">
            <v>7979079842</v>
          </cell>
          <cell r="K9613" t="str">
            <v>GOKS040088</v>
          </cell>
        </row>
        <row r="9614">
          <cell r="E9614" t="str">
            <v>KATRAS, DHANBAD</v>
          </cell>
          <cell r="G9614">
            <v>9346693594</v>
          </cell>
          <cell r="K9614" t="str">
            <v>BQCD160103</v>
          </cell>
        </row>
        <row r="9615">
          <cell r="E9615" t="str">
            <v>FULWARI TAND,DHANBAD</v>
          </cell>
          <cell r="G9615">
            <v>9346693594</v>
          </cell>
          <cell r="K9615" t="str">
            <v>BQLD160145</v>
          </cell>
        </row>
        <row r="9616">
          <cell r="E9616" t="str">
            <v>FULWARI TAND,DHANBAD</v>
          </cell>
          <cell r="G9616">
            <v>9346693594</v>
          </cell>
          <cell r="K9616" t="str">
            <v>BRBD160866</v>
          </cell>
        </row>
        <row r="9617">
          <cell r="E9617" t="str">
            <v>GAYA, BIHAR</v>
          </cell>
          <cell r="G9617">
            <v>9431266779</v>
          </cell>
          <cell r="K9617" t="str">
            <v>BRJD160577</v>
          </cell>
        </row>
        <row r="9618">
          <cell r="E9618" t="str">
            <v>KISHOREGANJ, RANCHI
834001
KAMRE RAVI STEEL,</v>
          </cell>
          <cell r="G9618">
            <v>8709279344</v>
          </cell>
          <cell r="K9618" t="str">
            <v>GPKC370113</v>
          </cell>
        </row>
        <row r="9619">
          <cell r="E9619" t="str">
            <v>RAMGARH SPONGE IRON PVT LTD VILLAGE:HOSHIR GIDDI-POHAZARIBAGH(DT)JHARKHAND IND
829110</v>
          </cell>
          <cell r="G9619">
            <v>9523148731</v>
          </cell>
          <cell r="K9619" t="str">
            <v>BKCS040470</v>
          </cell>
        </row>
        <row r="9620">
          <cell r="E9620" t="str">
            <v>DALTONGANJ</v>
          </cell>
          <cell r="G9620">
            <v>7488259727</v>
          </cell>
          <cell r="K9620" t="str">
            <v>BSAD161582</v>
          </cell>
        </row>
        <row r="9621">
          <cell r="E9621" t="str">
            <v>HOSHIR GIDDI,RAMGARH
NEAR P.N. BANK MAIN ROAD, RAMGARH CANTT. 829122
829110</v>
          </cell>
          <cell r="G9621">
            <v>9523148731</v>
          </cell>
          <cell r="K9621" t="str">
            <v>GPJS030042</v>
          </cell>
        </row>
        <row r="9622">
          <cell r="E9622" t="str">
            <v>TIKRATOLI,SAPAROM
NEAR LALGUTWA OVERBRIDGE, TIKRATOLI, SAPAROM,, NAGRI, RANCHI
835303</v>
          </cell>
          <cell r="G9622">
            <v>9608086621</v>
          </cell>
          <cell r="K9622" t="str">
            <v>BQCS040170</v>
          </cell>
        </row>
        <row r="9623">
          <cell r="E9623" t="str">
            <v>TIKRATOLI,SAPAROM
NEAR LALGUTWA OVERBRIDGE, TIKRATOLI, SAPAROM,, NAGRI, RANCHI
835303</v>
          </cell>
          <cell r="G9623">
            <v>9608086621</v>
          </cell>
          <cell r="K9623" t="str">
            <v>BRGC373885</v>
          </cell>
        </row>
        <row r="9624">
          <cell r="E9624" t="str">
            <v>TIRUDIH , POST GHATDULMI, KANDRA ROAD, CHOWKA
832401
TIRUDIH , POST GHATDULMI, CHOWKA, KANDRA ROAD, SAR</v>
          </cell>
          <cell r="G9624">
            <v>7076701990</v>
          </cell>
          <cell r="K9624" t="str">
            <v>BMFS040502</v>
          </cell>
        </row>
        <row r="9625">
          <cell r="E9625" t="str">
            <v>KOKAR INDUSTRIAL AREA,RANCHI
834002
KOKAR INDUSTRIAL AREA</v>
          </cell>
          <cell r="G9625">
            <v>9470590151</v>
          </cell>
          <cell r="K9625" t="str">
            <v>BQAC373733</v>
          </cell>
        </row>
        <row r="9626">
          <cell r="E9626" t="str">
            <v>PANDRA, RANCHI</v>
          </cell>
          <cell r="G9626">
            <v>943193514</v>
          </cell>
          <cell r="K9626" t="str">
            <v>NA</v>
          </cell>
        </row>
        <row r="9627">
          <cell r="E9627" t="str">
            <v>ANA COILERY,DHANBAD</v>
          </cell>
          <cell r="G9627">
            <v>9573347055</v>
          </cell>
          <cell r="K9627" t="str">
            <v>BQCD160106</v>
          </cell>
        </row>
        <row r="9628">
          <cell r="E9628" t="str">
            <v>ANA COILERY,DHANBAD</v>
          </cell>
          <cell r="G9628">
            <v>9573347055</v>
          </cell>
          <cell r="K9628" t="str">
            <v>BRID161336</v>
          </cell>
        </row>
        <row r="9629">
          <cell r="E9629" t="str">
            <v>DUMARI</v>
          </cell>
          <cell r="G9629">
            <v>9572932321</v>
          </cell>
          <cell r="K9629" t="str">
            <v>BRBD160856</v>
          </cell>
        </row>
        <row r="9630">
          <cell r="E9630" t="str">
            <v>MAHILONG TATISILWAY, RANCHI</v>
          </cell>
          <cell r="G9630">
            <v>9709000070</v>
          </cell>
          <cell r="K9630">
            <v>146057056</v>
          </cell>
        </row>
        <row r="9631">
          <cell r="E9631">
            <v>63</v>
          </cell>
          <cell r="G9631">
            <v>6205472164</v>
          </cell>
          <cell r="K9631" t="str">
            <v>BSJD161406</v>
          </cell>
        </row>
        <row r="9632">
          <cell r="E9632" t="str">
            <v>DHANBAD</v>
          </cell>
          <cell r="G9632">
            <v>7903828920</v>
          </cell>
          <cell r="K9632" t="str">
            <v>BQGD230029</v>
          </cell>
        </row>
        <row r="9633">
          <cell r="E9633" t="str">
            <v>AT: SENEGARHA, P.O-RABODH, P.S-GIDDI,(RAMGARH),, DISTT. HAZARIBAGH,JHARKHAND-825330
829108
AT: SENEGARHA, P.O-RABODH, P.S-GIDDI,(RAMGARH),</v>
          </cell>
          <cell r="G9633">
            <v>9006877583</v>
          </cell>
          <cell r="K9633" t="str">
            <v>BQES030978</v>
          </cell>
        </row>
        <row r="9634">
          <cell r="E9634" t="str">
            <v>COILERY,DHANBAD</v>
          </cell>
          <cell r="G9634">
            <v>9585918025</v>
          </cell>
          <cell r="K9634" t="str">
            <v>BRGD161212</v>
          </cell>
        </row>
        <row r="9635">
          <cell r="E9635" t="str">
            <v>GROUND AND 1 ST FLOOR, BESIDE DAINIK BHASKAR, GOVINDPUR ROAD, DIST :- DHANBAD
GROUND AND 1 ST FLOOR, BESIDE DAINIK BHASKAR, GOVINDPUR ROAD, DIST :- DHANBAD
828109</v>
          </cell>
          <cell r="G9635">
            <v>7870580008</v>
          </cell>
          <cell r="K9635" t="str">
            <v>BRES034488</v>
          </cell>
        </row>
        <row r="9636">
          <cell r="E9636" t="str">
            <v>GROUND AND 1 ST FLOOR, BESIDE DAINIK BHASKAR, GOVINDPUR ROAD, DIST :- DHANBAD
GROUND AND 1 ST FLOOR, BESIDE DAINIK BHASKAR, GOVINDPUR ROAD, DIST :- DHANBAD
828109</v>
          </cell>
          <cell r="G9636">
            <v>9955178750</v>
          </cell>
          <cell r="K9636" t="str">
            <v>BRJC371698</v>
          </cell>
        </row>
        <row r="9637">
          <cell r="E9637" t="str">
            <v>PISKA MORE,RANCHI</v>
          </cell>
          <cell r="G9637">
            <v>9798009855</v>
          </cell>
          <cell r="K9637" t="str">
            <v>BRGD161233</v>
          </cell>
        </row>
        <row r="9638">
          <cell r="E9638" t="str">
            <v>AT: SENEGARHA, P.O-RABODH, P.S-GIDDI,(RAMGARH),, DISTT. HAZARIBAGH,JHARKHAND-825330
829108
AT: SENEGARHA, P.O-RABODH, P.S-GIDDI,(RAMGARH),</v>
          </cell>
          <cell r="G9638">
            <v>9006877583</v>
          </cell>
          <cell r="K9638" t="str">
            <v>BRAS033261</v>
          </cell>
        </row>
        <row r="9639">
          <cell r="E9639" t="str">
            <v>RAJAPUR, DHANBAD</v>
          </cell>
          <cell r="G9639">
            <v>7667544644</v>
          </cell>
          <cell r="K9639" t="str">
            <v>BQKD200053</v>
          </cell>
        </row>
        <row r="9640">
          <cell r="E9640" t="str">
            <v>RAJAPUR, DHANBAD</v>
          </cell>
          <cell r="G9640">
            <v>7667544644</v>
          </cell>
          <cell r="K9640" t="str">
            <v>BQKD200046</v>
          </cell>
        </row>
        <row r="9641">
          <cell r="E9641" t="str">
            <v>KATRAS, DHANBAD</v>
          </cell>
          <cell r="G9641">
            <v>9798360305</v>
          </cell>
          <cell r="K9641" t="str">
            <v>BSKD161477</v>
          </cell>
        </row>
        <row r="9642">
          <cell r="E9642" t="str">
            <v>DHANBAD</v>
          </cell>
          <cell r="G9642">
            <v>6200699077</v>
          </cell>
          <cell r="K9642" t="str">
            <v>BRKD200211</v>
          </cell>
        </row>
        <row r="9643">
          <cell r="E9643" t="str">
            <v>RAJAPUR, DHANBAD</v>
          </cell>
          <cell r="G9643">
            <v>6200699077</v>
          </cell>
          <cell r="K9643" t="str">
            <v>BDFA288892</v>
          </cell>
        </row>
        <row r="9644">
          <cell r="E9644" t="str">
            <v>RAIPUR DHANBAD</v>
          </cell>
          <cell r="G9644">
            <v>8825938685</v>
          </cell>
          <cell r="K9644" t="str">
            <v>BRLD160741</v>
          </cell>
        </row>
        <row r="9645">
          <cell r="E9645" t="str">
            <v>RAJAPUR, DHANBAD</v>
          </cell>
          <cell r="G9645">
            <v>9661734823</v>
          </cell>
          <cell r="K9645" t="str">
            <v>BJFD160328</v>
          </cell>
        </row>
        <row r="9646">
          <cell r="E9646" t="str">
            <v>RAJAPUR, DHANBAD</v>
          </cell>
          <cell r="G9646">
            <v>9661734823</v>
          </cell>
          <cell r="K9646" t="str">
            <v>BIHD2000051</v>
          </cell>
        </row>
        <row r="9647">
          <cell r="E9647" t="str">
            <v>RAJAPUR, DHANBAD</v>
          </cell>
          <cell r="G9647">
            <v>9661734823</v>
          </cell>
          <cell r="K9647" t="str">
            <v>NA`</v>
          </cell>
        </row>
        <row r="9648">
          <cell r="E9648" t="str">
            <v>RAJAPUR, DHANBAD</v>
          </cell>
          <cell r="G9648">
            <v>9661734823</v>
          </cell>
          <cell r="K9648" t="str">
            <v>BIED160240</v>
          </cell>
        </row>
        <row r="9649">
          <cell r="E9649" t="str">
            <v>RANCHI,JHARKHAND
834001
RANCHI</v>
          </cell>
          <cell r="G9649">
            <v>9507860584</v>
          </cell>
          <cell r="K9649" t="str">
            <v>BJHS031586</v>
          </cell>
        </row>
        <row r="9650">
          <cell r="E9650" t="str">
            <v>SIMARIYA ROAD, CHATRA
825401</v>
          </cell>
          <cell r="G9650">
            <v>8294255155</v>
          </cell>
          <cell r="K9650" t="str">
            <v>BSFC376341</v>
          </cell>
        </row>
        <row r="9651">
          <cell r="E9651" t="str">
            <v>GROUND FLOOR,, OFFICE NO.448A, ROAD NO.4, ASHOK NAGAR
GROUND FLOOR,, OFFICE NO.448A, ROAD NO.4, ASHOK NAGAR
829118
PLOT NO:- 47P, PATRATU INDUSTRIAL AREA</v>
          </cell>
          <cell r="G9651">
            <v>7763817179</v>
          </cell>
          <cell r="K9651" t="str">
            <v>ONIC370102</v>
          </cell>
        </row>
        <row r="9652">
          <cell r="E9652" t="str">
            <v>GROUND FLOOR,, OFFICE NO.448A, ROAD NO.4, ASHOK NAGAR
GROUND FLOOR,, OFFICE NO.448A, ROAD NO.4, ASHOK NAGAR
829118
PLOT NO:- 47P, PATRATU INDUSTRIAL AREA</v>
          </cell>
          <cell r="G9652">
            <v>7763817179</v>
          </cell>
          <cell r="K9652" t="str">
            <v>GOGC370754</v>
          </cell>
        </row>
        <row r="9653">
          <cell r="E9653" t="str">
            <v>TATISILWAI, JHARKHAND
835103</v>
          </cell>
          <cell r="G9653">
            <v>6200160428</v>
          </cell>
          <cell r="K9653" t="str">
            <v>BQHS040705</v>
          </cell>
        </row>
        <row r="9654">
          <cell r="E9654" t="str">
            <v>GANGA NAGAR,RANCHI</v>
          </cell>
          <cell r="G9654">
            <v>9445553022</v>
          </cell>
          <cell r="K9654" t="str">
            <v>BQDD200043</v>
          </cell>
        </row>
        <row r="9655">
          <cell r="E9655" t="str">
            <v>TATISILWAI, JHARKHAND
835103</v>
          </cell>
          <cell r="G9655">
            <v>6200160428</v>
          </cell>
          <cell r="K9655" t="str">
            <v>BQGS031413</v>
          </cell>
        </row>
        <row r="9656">
          <cell r="E9656" t="str">
            <v>RANCHI ROAD,RAMGARH 
DIGWAR,RAMGARH
829122
DIGWAR , RANCHI ROAD ,</v>
          </cell>
          <cell r="G9656">
            <v>9507195338</v>
          </cell>
          <cell r="K9656" t="str">
            <v>BSFC376459</v>
          </cell>
        </row>
        <row r="9657">
          <cell r="E9657" t="str">
            <v>RAMGARH</v>
          </cell>
          <cell r="G9657">
            <v>7355300437</v>
          </cell>
          <cell r="K9657" t="str">
            <v>BSFD161825</v>
          </cell>
        </row>
        <row r="9658">
          <cell r="E9658" t="str">
            <v>KATRAS, DHANBAD</v>
          </cell>
          <cell r="G9658">
            <v>9578883777</v>
          </cell>
          <cell r="K9658" t="str">
            <v>BRED161077</v>
          </cell>
        </row>
        <row r="9659">
          <cell r="E9659" t="str">
            <v>TIPUDANA</v>
          </cell>
          <cell r="G9659">
            <v>9534249500</v>
          </cell>
          <cell r="K9659" t="str">
            <v>BMBS030816</v>
          </cell>
        </row>
        <row r="9660">
          <cell r="E9660" t="str">
            <v>NAGRI,RANCHI
835202
RANCHI</v>
          </cell>
          <cell r="G9660">
            <v>9304482300</v>
          </cell>
          <cell r="K9660" t="str">
            <v>BRIS035698</v>
          </cell>
        </row>
        <row r="9661">
          <cell r="E9661" t="str">
            <v>TUPUDANA INDUSTRIAL AREA</v>
          </cell>
          <cell r="G9661">
            <v>9534249500</v>
          </cell>
          <cell r="K9661" t="str">
            <v>BMBS030816</v>
          </cell>
        </row>
        <row r="9662">
          <cell r="E9662" t="str">
            <v>KISHOREGANJ, RANCHI
834001
KAMRE RAVI STEEL,</v>
          </cell>
          <cell r="G9662">
            <v>8709279344</v>
          </cell>
          <cell r="K9662" t="str">
            <v>GPKC370113</v>
          </cell>
        </row>
        <row r="9663">
          <cell r="E9663" t="str">
            <v>NAGRI, RANCHI</v>
          </cell>
          <cell r="G9663">
            <v>6201457979</v>
          </cell>
          <cell r="K9663">
            <v>11397201</v>
          </cell>
        </row>
        <row r="9664">
          <cell r="E9664" t="str">
            <v>TUPUDANA INDUSTRIAL AREA</v>
          </cell>
          <cell r="G9664">
            <v>9534249500</v>
          </cell>
          <cell r="K9664" t="str">
            <v>BMBS030816</v>
          </cell>
        </row>
        <row r="9665">
          <cell r="E9665" t="str">
            <v>RANCHI PATNA ROAD
DEMOTAND
825301
HAZARIBAGH</v>
          </cell>
          <cell r="G9665">
            <v>7905424302</v>
          </cell>
          <cell r="K9665" t="str">
            <v>BIFS040367</v>
          </cell>
        </row>
        <row r="9666">
          <cell r="E9666" t="str">
            <v>TOPA MINES, RAMGARH</v>
          </cell>
          <cell r="G9666">
            <v>9471109170</v>
          </cell>
          <cell r="K9666" t="str">
            <v>BSKD161467</v>
          </cell>
        </row>
        <row r="9667">
          <cell r="E9667" t="str">
            <v>JAMSHEDPUR</v>
          </cell>
          <cell r="G9667">
            <v>9216183140</v>
          </cell>
          <cell r="K9667" t="str">
            <v>BLTD120001</v>
          </cell>
        </row>
        <row r="9668">
          <cell r="E9668" t="str">
            <v>RAMGARH, JHAKHAND</v>
          </cell>
          <cell r="G9668">
            <v>8525930531</v>
          </cell>
          <cell r="K9668" t="str">
            <v>BSCD161691</v>
          </cell>
        </row>
        <row r="9669">
          <cell r="E9669" t="str">
            <v>C/O - REKHA KUMARI, AT TENDER, PANDRA, KAMRE, RATU, RANCHI
C/O - REKHA KUMARI, AT TENDER, PANDRA, KAMRE, RATU, RANCHI
835103</v>
          </cell>
          <cell r="G9669">
            <v>7903881583</v>
          </cell>
          <cell r="K9669" t="str">
            <v>BREC373485</v>
          </cell>
        </row>
        <row r="9670">
          <cell r="E9670" t="str">
            <v>KATHITAND
835222,RANCHI
835222</v>
          </cell>
          <cell r="G9670">
            <v>9334381382</v>
          </cell>
          <cell r="K9670" t="str">
            <v>BRHC374105</v>
          </cell>
        </row>
        <row r="9671">
          <cell r="E9671" t="str">
            <v>NAMKUM, RANCHI</v>
          </cell>
          <cell r="G9671">
            <v>7660883394</v>
          </cell>
          <cell r="K9671">
            <v>107578</v>
          </cell>
        </row>
        <row r="9672">
          <cell r="E9672" t="str">
            <v>RAIGANJ,DHANBAD</v>
          </cell>
          <cell r="G9672">
            <v>9632636707</v>
          </cell>
          <cell r="K9672" t="str">
            <v>BPID120091</v>
          </cell>
        </row>
        <row r="9673">
          <cell r="E9673" t="str">
            <v>NAGRI,RANCHI
835202
RANCHI</v>
          </cell>
          <cell r="G9673">
            <v>8877024924</v>
          </cell>
          <cell r="K9673" t="str">
            <v>BMJS040004</v>
          </cell>
        </row>
        <row r="9674">
          <cell r="E9674" t="str">
            <v>NAGRI, RANCHI</v>
          </cell>
          <cell r="G9674">
            <v>7541071027</v>
          </cell>
          <cell r="K9674">
            <v>900509</v>
          </cell>
        </row>
        <row r="9675">
          <cell r="E9675" t="str">
            <v>NAGRI,RANCHI</v>
          </cell>
          <cell r="G9675">
            <v>7541071027</v>
          </cell>
          <cell r="K9675">
            <v>18516212</v>
          </cell>
        </row>
        <row r="9676">
          <cell r="E9676" t="str">
            <v>HESLA,RAMGARH
829101</v>
          </cell>
          <cell r="G9676">
            <v>7546811333</v>
          </cell>
          <cell r="K9676" t="str">
            <v>BSJS035917</v>
          </cell>
        </row>
        <row r="9677">
          <cell r="E9677" t="str">
            <v>NAGRI,RANCHI
835202
RANCHI</v>
          </cell>
          <cell r="G9677">
            <v>7004849065</v>
          </cell>
          <cell r="K9677" t="str">
            <v>BRIS035698</v>
          </cell>
        </row>
        <row r="9678">
          <cell r="E9678" t="str">
            <v>DIGWAR, RAMGARH</v>
          </cell>
          <cell r="G9678">
            <v>97086660450</v>
          </cell>
          <cell r="K9678" t="str">
            <v>BSFC376459</v>
          </cell>
        </row>
        <row r="9679">
          <cell r="E9679" t="str">
            <v>RANCHI,JHARKHAND
834001
RANCHI</v>
          </cell>
          <cell r="G9679">
            <v>9123128021</v>
          </cell>
          <cell r="K9679" t="str">
            <v>BJHS031586</v>
          </cell>
        </row>
        <row r="9680">
          <cell r="E9680" t="str">
            <v>GAMHARIA,JAMSHEDPUR</v>
          </cell>
          <cell r="G9680">
            <v>9725878240</v>
          </cell>
          <cell r="K9680" t="str">
            <v>BSKL151780</v>
          </cell>
        </row>
        <row r="9681">
          <cell r="E9681" t="str">
            <v>SAMASTIPUR,BIHAR</v>
          </cell>
          <cell r="G9681">
            <v>9310433337</v>
          </cell>
          <cell r="K9681" t="str">
            <v>BSFD161809</v>
          </cell>
        </row>
        <row r="9682">
          <cell r="E9682" t="str">
            <v>LOHARDAGA,JHARKHAND
LOHARDAGA, MOB. NO.9661111900
835302
LOHARDAGA</v>
          </cell>
          <cell r="G9682">
            <v>8709406268</v>
          </cell>
          <cell r="K9682" t="str">
            <v>BQFS031084</v>
          </cell>
        </row>
        <row r="9683">
          <cell r="E9683" t="str">
            <v>KATARS, DHANBAD</v>
          </cell>
          <cell r="G9683">
            <v>7488248088</v>
          </cell>
          <cell r="K9683" t="str">
            <v>BQFD200092</v>
          </cell>
        </row>
        <row r="9684">
          <cell r="E9684" t="str">
            <v>JAMTARA</v>
          </cell>
          <cell r="G9684">
            <v>8789065274</v>
          </cell>
          <cell r="K9684" t="str">
            <v>BRAD160816</v>
          </cell>
        </row>
        <row r="9685">
          <cell r="E9685" t="str">
            <v>RANCHI</v>
          </cell>
          <cell r="G9685">
            <v>8969039892</v>
          </cell>
          <cell r="K9685" t="str">
            <v>BQHD160416</v>
          </cell>
        </row>
        <row r="9686">
          <cell r="E9686" t="str">
            <v>KTRAS, DHANBAD</v>
          </cell>
          <cell r="G9686">
            <v>9431316718</v>
          </cell>
          <cell r="K9686" t="str">
            <v>BSKD161462</v>
          </cell>
        </row>
        <row r="9687">
          <cell r="E9687" t="str">
            <v>TOPA MINES, RAMGARH</v>
          </cell>
          <cell r="G9687">
            <v>9471109170</v>
          </cell>
          <cell r="K9687" t="str">
            <v>BSKD161467</v>
          </cell>
        </row>
        <row r="9688">
          <cell r="E9688" t="str">
            <v>RAJPUR COLLIYARI</v>
          </cell>
          <cell r="G9688">
            <v>9578883777</v>
          </cell>
          <cell r="K9688" t="str">
            <v>BRKD200211</v>
          </cell>
        </row>
        <row r="9689">
          <cell r="E9689" t="str">
            <v>GAYA, BIHAR</v>
          </cell>
          <cell r="G9689">
            <v>9199648262</v>
          </cell>
          <cell r="K9689" t="str">
            <v>BSED161766</v>
          </cell>
        </row>
        <row r="9690">
          <cell r="E9690" t="str">
            <v>RANCHI</v>
          </cell>
          <cell r="G9690">
            <v>8372081415</v>
          </cell>
          <cell r="K9690" t="str">
            <v>BRCD160978</v>
          </cell>
        </row>
        <row r="9691">
          <cell r="E9691" t="str">
            <v>BOKARO</v>
          </cell>
          <cell r="G9691">
            <v>9443541279</v>
          </cell>
          <cell r="K9691" t="str">
            <v>BSLD230358</v>
          </cell>
        </row>
        <row r="9692">
          <cell r="E9692" t="str">
            <v>CHAS, BOKARO</v>
          </cell>
          <cell r="G9692">
            <v>9931588975</v>
          </cell>
          <cell r="K9692" t="str">
            <v>BQDD160205</v>
          </cell>
        </row>
        <row r="9693">
          <cell r="E9693" t="str">
            <v>NAMKUM, RANCHI</v>
          </cell>
          <cell r="G9693">
            <v>9386408111</v>
          </cell>
          <cell r="K9693" t="str">
            <v>GOCC370403</v>
          </cell>
        </row>
        <row r="9694">
          <cell r="E9694" t="str">
            <v>SHADEV NAGAR
834002
SHADEV NAGAR</v>
          </cell>
          <cell r="G9694">
            <v>9431395214</v>
          </cell>
          <cell r="K9694" t="str">
            <v>GOHC370857</v>
          </cell>
        </row>
        <row r="9695">
          <cell r="E9695" t="str">
            <v>CHAS, BOKARO</v>
          </cell>
          <cell r="G9695">
            <v>9931588975</v>
          </cell>
          <cell r="K9695" t="str">
            <v>BQDD160205</v>
          </cell>
        </row>
        <row r="9696">
          <cell r="E9696" t="str">
            <v>CITY CENTER SECTOR - 4, BOKARO STEEL CITY, BOKARO, JHARKHAND, MOB. NO. 7050539301
CITY CENTER SECTOR - 4, BOKARO STEEL CITY, BOKARO, JHARKHAND, MOB. NO. 7050539301
827003
BOKARO</v>
          </cell>
          <cell r="G9696">
            <v>9798301918</v>
          </cell>
          <cell r="K9696">
            <v>70369</v>
          </cell>
        </row>
        <row r="9697">
          <cell r="E9697" t="str">
            <v>REHLA,PLAMU</v>
          </cell>
          <cell r="G9697">
            <v>7004623399</v>
          </cell>
          <cell r="K9697">
            <v>19564401</v>
          </cell>
        </row>
        <row r="9698">
          <cell r="E9698" t="str">
            <v>REHLA,PLAMU</v>
          </cell>
          <cell r="G9698">
            <v>7992431955</v>
          </cell>
          <cell r="K9698">
            <v>13368009</v>
          </cell>
        </row>
        <row r="9699">
          <cell r="E9699" t="str">
            <v>REHLA,PLAMU</v>
          </cell>
          <cell r="G9699">
            <v>7992431955</v>
          </cell>
          <cell r="K9699">
            <v>19561601</v>
          </cell>
        </row>
        <row r="9700">
          <cell r="E9700" t="str">
            <v>REHLA,GARWA,JHARKHAND
822124
RANCHI</v>
          </cell>
          <cell r="G9700">
            <v>7992431955</v>
          </cell>
          <cell r="K9700" t="str">
            <v>BMFS031346</v>
          </cell>
        </row>
        <row r="9701">
          <cell r="E9701" t="str">
            <v>SIMDEGA</v>
          </cell>
          <cell r="G9701">
            <v>7739231151</v>
          </cell>
          <cell r="K9701" t="str">
            <v>BRCD160998</v>
          </cell>
        </row>
        <row r="9702">
          <cell r="E9702" t="str">
            <v>CHAS, BOKARO</v>
          </cell>
          <cell r="G9702">
            <v>9931588975</v>
          </cell>
          <cell r="K9702" t="str">
            <v>BQDD160205</v>
          </cell>
        </row>
        <row r="9703">
          <cell r="E9703" t="str">
            <v>NIMIAGHAT,GIRIDIH</v>
          </cell>
          <cell r="G9703">
            <v>6205472164</v>
          </cell>
          <cell r="K9703" t="str">
            <v>BSJD161406</v>
          </cell>
        </row>
        <row r="9704">
          <cell r="E9704" t="str">
            <v>CHAS, BOKARO</v>
          </cell>
          <cell r="G9704">
            <v>9570926434</v>
          </cell>
          <cell r="K9704" t="str">
            <v>BQDD160205</v>
          </cell>
        </row>
        <row r="9705">
          <cell r="E9705" t="str">
            <v>TOPA MINES, RAMGARH</v>
          </cell>
          <cell r="G9705">
            <v>9425513941</v>
          </cell>
          <cell r="K9705" t="str">
            <v>BQID160519</v>
          </cell>
        </row>
        <row r="9706">
          <cell r="E9706" t="str">
            <v>ANGARAH, RANCHI</v>
          </cell>
          <cell r="G9706">
            <v>9661709553</v>
          </cell>
          <cell r="K9706" t="str">
            <v>SN19TR00571</v>
          </cell>
        </row>
        <row r="9707">
          <cell r="E9707" t="str">
            <v>KERWALA CHOWK RANCHI</v>
          </cell>
          <cell r="G9707">
            <v>8210269774</v>
          </cell>
          <cell r="K9707" t="str">
            <v>BRED161081</v>
          </cell>
        </row>
        <row r="9708">
          <cell r="E9708" t="str">
            <v>PLOT NO 716,VILL-RUKKA,
835219</v>
          </cell>
          <cell r="G9708">
            <v>9791019799</v>
          </cell>
          <cell r="K9708" t="str">
            <v>BSKS036365</v>
          </cell>
        </row>
        <row r="9709">
          <cell r="E9709" t="str">
            <v>KATRAS, DHANBAD</v>
          </cell>
          <cell r="G9709">
            <v>6200699077</v>
          </cell>
          <cell r="K9709" t="str">
            <v>BRED161077</v>
          </cell>
        </row>
        <row r="9710">
          <cell r="E9710" t="str">
            <v>RAJAPUR, DHANBAD</v>
          </cell>
          <cell r="G9710">
            <v>9491603217</v>
          </cell>
          <cell r="K9710" t="str">
            <v>BRHD161304</v>
          </cell>
        </row>
        <row r="9711">
          <cell r="E9711" t="str">
            <v>PLOT NO 716,VILL-RUKKA,
835219</v>
          </cell>
          <cell r="G9711">
            <v>9791019799</v>
          </cell>
          <cell r="K9711" t="str">
            <v>BSKS036365</v>
          </cell>
        </row>
        <row r="9712">
          <cell r="E9712" t="str">
            <v>KATARS, DHANBAD</v>
          </cell>
          <cell r="G9712">
            <v>6200699077</v>
          </cell>
          <cell r="K9712" t="str">
            <v>BQFD200092</v>
          </cell>
        </row>
        <row r="9713">
          <cell r="E9713" t="str">
            <v>DUMKA</v>
          </cell>
          <cell r="G9713">
            <v>9546535031</v>
          </cell>
          <cell r="K9713" t="str">
            <v>BRAD160803</v>
          </cell>
        </row>
        <row r="9714">
          <cell r="E9714" t="str">
            <v>B7-PHASE-3, BALIDIH INDUSTRIAL AREA BALIDIH, BOKARO STEEL CITY BOKARO, JHARKHAND
SUNDARAM STEELS PVT. LTD, B-7 PHASE-III,BOKARO INDUSTRIAL AREA,BALIDIH, BOKARO
827014</v>
          </cell>
          <cell r="G9714">
            <v>7381096763</v>
          </cell>
          <cell r="K9714" t="str">
            <v>GPJS040009</v>
          </cell>
        </row>
        <row r="9715">
          <cell r="E9715" t="str">
            <v>DHANBAD</v>
          </cell>
          <cell r="G9715">
            <v>6200699077</v>
          </cell>
          <cell r="K9715" t="str">
            <v>BRKD200211</v>
          </cell>
        </row>
        <row r="9716">
          <cell r="E9716" t="str">
            <v>CHATRA</v>
          </cell>
          <cell r="G9716">
            <v>9798724120</v>
          </cell>
          <cell r="K9716" t="str">
            <v>BRJD160543</v>
          </cell>
        </row>
        <row r="9717">
          <cell r="E9717" t="str">
            <v>JORIPARI, JAMSHEDPUR</v>
          </cell>
          <cell r="G9717">
            <v>62094037454</v>
          </cell>
          <cell r="K9717" t="str">
            <v>BSBD161628</v>
          </cell>
        </row>
        <row r="9718">
          <cell r="E9718" t="str">
            <v>GROUND AND 1 ST FLOOR, BESIDE DAINIK BHASKAR, GOVINDPUR ROAD, DIST :- DHANBAD
GROUND AND 1 ST FLOOR, BESIDE DAINIK BHASKAR, GOVINDPUR ROAD, DIST :- DHANBAD
828109</v>
          </cell>
          <cell r="G9718">
            <v>8709272726</v>
          </cell>
          <cell r="K9718" t="str">
            <v>BRES034488</v>
          </cell>
        </row>
        <row r="9719">
          <cell r="E9719" t="str">
            <v>JARANDIH,KATHARA</v>
          </cell>
          <cell r="G9719">
            <v>9234951903</v>
          </cell>
          <cell r="K9719" t="str">
            <v>BRHD161299</v>
          </cell>
        </row>
        <row r="9720">
          <cell r="E9720" t="str">
            <v>ANGARAH, RANCHI</v>
          </cell>
          <cell r="G9720">
            <v>9661709553</v>
          </cell>
          <cell r="K9720" t="str">
            <v>SN19TR00571</v>
          </cell>
        </row>
        <row r="9721">
          <cell r="E9721" t="str">
            <v>KATHITAR,RANCHI
KATHITAR,RANCHI
834004
KATHITAR,</v>
          </cell>
          <cell r="G9721">
            <v>9431360168</v>
          </cell>
          <cell r="K9721" t="str">
            <v>GPGC370774</v>
          </cell>
        </row>
        <row r="9722">
          <cell r="E9722" t="str">
            <v>KOKAR,INDUSTRIAL AREA,RANCHI
834002
RANCHI</v>
          </cell>
          <cell r="G9722">
            <v>9471394003</v>
          </cell>
          <cell r="K9722" t="str">
            <v>BMKC370048</v>
          </cell>
        </row>
        <row r="9723">
          <cell r="E9723" t="str">
            <v>PIPARWAR,JHARKHAND
BAHERA, BENTI, PIPARWAR, CHATRA
825321</v>
          </cell>
          <cell r="G9723">
            <v>9471556904</v>
          </cell>
          <cell r="K9723" t="str">
            <v>BRGC373918</v>
          </cell>
        </row>
        <row r="9724">
          <cell r="E9724" t="str">
            <v>SHEKHPURA, BIHAR</v>
          </cell>
          <cell r="G9724">
            <v>79791713783</v>
          </cell>
          <cell r="K9724" t="str">
            <v>GPBD160107</v>
          </cell>
        </row>
        <row r="9725">
          <cell r="E9725" t="str">
            <v>KATRAS, DHANBAD</v>
          </cell>
          <cell r="G9725">
            <v>6206591024</v>
          </cell>
          <cell r="K9725" t="str">
            <v>BRLD160727</v>
          </cell>
        </row>
        <row r="9726">
          <cell r="E9726" t="str">
            <v>HOSHIR GIDDI,RAMGARH
NEAR P.N. BANK MAIN ROAD, RAMGARH CANTT. 829122
829110</v>
          </cell>
          <cell r="G9726">
            <v>7654659452</v>
          </cell>
          <cell r="K9726" t="str">
            <v>GPJS030042</v>
          </cell>
        </row>
        <row r="9727">
          <cell r="E9727" t="str">
            <v>HOSHIR GIDDI,RAMGARH
NEAR P.N. BANK MAIN ROAD, RAMGARH CANTT. 829122
829110</v>
          </cell>
          <cell r="G9727">
            <v>7654659452</v>
          </cell>
          <cell r="K9727" t="str">
            <v>BRHS035368</v>
          </cell>
        </row>
        <row r="9728">
          <cell r="E9728" t="str">
            <v>DHANBAD</v>
          </cell>
          <cell r="G9728">
            <v>6200699077</v>
          </cell>
          <cell r="K9728" t="str">
            <v>BRKD200211</v>
          </cell>
        </row>
        <row r="9729">
          <cell r="E9729" t="str">
            <v>CHAS, BOKARO
827013</v>
          </cell>
          <cell r="G9729">
            <v>7992434966</v>
          </cell>
          <cell r="K9729" t="str">
            <v>BSEC376103</v>
          </cell>
        </row>
        <row r="9730">
          <cell r="E9730" t="str">
            <v>BARIATU,RANCHI
834009
BARIATU</v>
          </cell>
          <cell r="G9730">
            <v>8227839697</v>
          </cell>
          <cell r="K9730" t="str">
            <v>BQLC370193</v>
          </cell>
        </row>
        <row r="9731">
          <cell r="E9731" t="str">
            <v>BARIATU,RANCHI
834009
BARIATU</v>
          </cell>
          <cell r="G9731">
            <v>8227839697</v>
          </cell>
          <cell r="K9731" t="str">
            <v>BQLC370193</v>
          </cell>
        </row>
        <row r="9732">
          <cell r="E9732" t="str">
            <v>REG. OFFICE: UNIT 106, MAHABIR TOWER, JOKHIRAM LANE, MAIN ROAD, RANCHI - 834 001
REG. OFFICE: UNIT 106, MAHABIR TOWER, JOKHIRAM LANE, MAIN ROAD, RANCHI - 834 001
835214</v>
          </cell>
          <cell r="G9732">
            <v>8252597873</v>
          </cell>
          <cell r="K9732" t="str">
            <v>BSDS043254</v>
          </cell>
        </row>
        <row r="9733">
          <cell r="E9733" t="str">
            <v>KATRAS, DHANBAD</v>
          </cell>
          <cell r="G9733">
            <v>9798360305</v>
          </cell>
          <cell r="K9733" t="str">
            <v>BSKD161477</v>
          </cell>
        </row>
        <row r="9734">
          <cell r="E9734" t="str">
            <v>RING ROAD, RAMPUR, RANCHI
834010</v>
          </cell>
          <cell r="G9734">
            <v>6207538126</v>
          </cell>
          <cell r="K9734" t="str">
            <v>BRCS033809</v>
          </cell>
        </row>
        <row r="9735">
          <cell r="E9735" t="str">
            <v>11 PINJRAPOLE, HARMU ROAD, RANCHI
11 PINJRAPOLE, HARMU ROAD, RANCHI
834001
MAHILONG, TATISILWAY</v>
          </cell>
          <cell r="G9735">
            <v>9709000070</v>
          </cell>
          <cell r="K9735" t="str">
            <v>BNCC370425</v>
          </cell>
        </row>
        <row r="9736">
          <cell r="E9736" t="str">
            <v>NAYA MORE,RAMGARH
ARA SARU BERA ROAD, NAYA, RAMGARH,JHARKHAND
829110
NAYA MORE</v>
          </cell>
          <cell r="G9736">
            <v>8651078549</v>
          </cell>
          <cell r="K9736" t="str">
            <v>BQBS033796</v>
          </cell>
        </row>
        <row r="9737">
          <cell r="E9737" t="str">
            <v>SINDRI,DHANBAD
828122</v>
          </cell>
          <cell r="G9737">
            <v>9304335589</v>
          </cell>
          <cell r="K9737" t="str">
            <v>GOEC370640</v>
          </cell>
        </row>
        <row r="9738">
          <cell r="E9738" t="str">
            <v>TATA, JAMSHEDPUR</v>
          </cell>
          <cell r="G9738">
            <v>9431704713</v>
          </cell>
          <cell r="K9738">
            <v>123041</v>
          </cell>
        </row>
        <row r="9739">
          <cell r="E9739" t="str">
            <v>TATISILWAI, JHARKHAND
835103</v>
          </cell>
          <cell r="G9739">
            <v>7001862460</v>
          </cell>
          <cell r="K9739" t="str">
            <v>BQHS040705</v>
          </cell>
        </row>
        <row r="9740">
          <cell r="E9740" t="str">
            <v>GAMHARIA,JAMSHEDPUR</v>
          </cell>
          <cell r="G9740">
            <v>9725878240</v>
          </cell>
          <cell r="K9740" t="str">
            <v>BRBL150944</v>
          </cell>
        </row>
        <row r="9741">
          <cell r="E9741" t="str">
            <v>GAMHARIA,JAMSHEDPUR</v>
          </cell>
          <cell r="G9741">
            <v>9725878240</v>
          </cell>
          <cell r="K9741" t="str">
            <v>BRGL151468</v>
          </cell>
        </row>
        <row r="9742">
          <cell r="E9742" t="str">
            <v>NAGRI,RANCHI
835202
RANCHI</v>
          </cell>
          <cell r="G9742">
            <v>7004849065</v>
          </cell>
          <cell r="K9742" t="str">
            <v>BRIS035698</v>
          </cell>
        </row>
        <row r="9743">
          <cell r="E9743" t="str">
            <v>UPPER BAZAR,RANCHI
834001
OPP. MAHAVIR MANDIR , RADHA NAGAR ROAD</v>
          </cell>
          <cell r="G9743">
            <v>790969824</v>
          </cell>
          <cell r="K9743" t="str">
            <v>GOHC370805</v>
          </cell>
        </row>
        <row r="9744">
          <cell r="E9744" t="str">
            <v>NAGARI RANCHI
NAGARI RANCHI
835303</v>
          </cell>
          <cell r="G9744">
            <v>6201457979</v>
          </cell>
          <cell r="K9744" t="str">
            <v>BKJS030050</v>
          </cell>
        </row>
        <row r="9745">
          <cell r="E9745" t="str">
            <v>REHLA,GARWA,JHARKHAND
822124
RANCHI</v>
          </cell>
          <cell r="G9745">
            <v>7004623399</v>
          </cell>
          <cell r="K9745" t="str">
            <v>GOIS031795</v>
          </cell>
        </row>
        <row r="9746">
          <cell r="E9746" t="str">
            <v>COLLIEARY, DHANBAD</v>
          </cell>
          <cell r="G9746">
            <v>9948411856</v>
          </cell>
          <cell r="K9746" t="str">
            <v>BRID161336</v>
          </cell>
        </row>
        <row r="9747">
          <cell r="E9747" t="str">
            <v>RAMGARH</v>
          </cell>
          <cell r="G9747">
            <v>6361473213</v>
          </cell>
          <cell r="K9747" t="str">
            <v>BSBD161624</v>
          </cell>
        </row>
        <row r="9748">
          <cell r="E9748" t="str">
            <v>BHUIYADIH, CHATRA</v>
          </cell>
          <cell r="G9748">
            <v>9430194175</v>
          </cell>
          <cell r="K9748" t="str">
            <v>BOGD200180</v>
          </cell>
        </row>
        <row r="9749">
          <cell r="E9749" t="str">
            <v>JAMSHEDPUR</v>
          </cell>
          <cell r="G9749">
            <v>9216183140</v>
          </cell>
          <cell r="K9749" t="str">
            <v>BLTD120001</v>
          </cell>
        </row>
        <row r="9750">
          <cell r="E9750" t="str">
            <v>CHATRA</v>
          </cell>
          <cell r="G9750">
            <v>9798724120</v>
          </cell>
          <cell r="K9750" t="str">
            <v>BRJD160543</v>
          </cell>
        </row>
        <row r="9751">
          <cell r="E9751" t="str">
            <v>NIMIAGHAT,GIRIDIH</v>
          </cell>
          <cell r="G9751">
            <v>9430312599</v>
          </cell>
          <cell r="K9751" t="str">
            <v>RJD230103</v>
          </cell>
        </row>
        <row r="9752">
          <cell r="E9752" t="str">
            <v>PIPARWAR,JHARKHAND
BAHERA, BENTI, PIPARWAR, CHATRA
825321</v>
          </cell>
          <cell r="G9752">
            <v>9471556904</v>
          </cell>
          <cell r="K9752" t="str">
            <v>BRGC373918</v>
          </cell>
        </row>
        <row r="9753">
          <cell r="E9753" t="str">
            <v>UPPER BAZAR,RANCHI
834001
OPP. MAHAVIR MANDIR , RADHA NAGAR ROAD</v>
          </cell>
          <cell r="G9753">
            <v>790969824</v>
          </cell>
          <cell r="K9753" t="str">
            <v>GOHC370805</v>
          </cell>
        </row>
        <row r="9754">
          <cell r="E9754" t="str">
            <v>RAMGARH</v>
          </cell>
          <cell r="G9754">
            <v>7360077726</v>
          </cell>
          <cell r="K9754" t="str">
            <v>BKAS030601</v>
          </cell>
        </row>
        <row r="9755">
          <cell r="E9755" t="str">
            <v>TUPUDANA INDUSTRIAL AREA,RANCHI
834001
TUPUDANA RANCHI</v>
          </cell>
          <cell r="G9755">
            <v>9890395878</v>
          </cell>
          <cell r="K9755" t="str">
            <v>GPGS031328</v>
          </cell>
        </row>
        <row r="9756">
          <cell r="E9756" t="str">
            <v>KASMAR, PETARWAR</v>
          </cell>
          <cell r="G9756">
            <v>9801516321</v>
          </cell>
          <cell r="K9756" t="str">
            <v>BSBD161629</v>
          </cell>
        </row>
        <row r="9757">
          <cell r="E9757" t="str">
            <v>TUPUDANA INDUSTRIAL AREA, RANCHI
PLOT NO. - 45 &amp; 46, TUPUDAN AINDUSTRIAL AREA, TUPUDANA, HATIA, RANCHI
834003
TIPUDANA INDUSTRIAL AREA</v>
          </cell>
          <cell r="G9757">
            <v>8092355914</v>
          </cell>
          <cell r="K9757" t="str">
            <v>BQBS033819</v>
          </cell>
        </row>
        <row r="9758">
          <cell r="E9758" t="str">
            <v>JARANDIH,KATHARA</v>
          </cell>
          <cell r="G9758">
            <v>9234951903</v>
          </cell>
          <cell r="K9758" t="str">
            <v>BRHD161299</v>
          </cell>
        </row>
        <row r="9759">
          <cell r="E9759" t="str">
            <v>PAKUR, JHARKHAND</v>
          </cell>
          <cell r="G9759">
            <v>9709158650</v>
          </cell>
          <cell r="K9759" t="str">
            <v>BPHD200246</v>
          </cell>
        </row>
        <row r="9760">
          <cell r="E9760" t="str">
            <v>C/O: NTPC LIMITED,PAKRI BARWADIH COAL MINING PROJECT,
06551</v>
          </cell>
          <cell r="G9760" t="str">
            <v>7978907525</v>
          </cell>
          <cell r="K9760" t="str">
            <v>BRFS042072</v>
          </cell>
        </row>
        <row r="9761">
          <cell r="E9761" t="str">
            <v>HESLA,RAMGARH
829101</v>
          </cell>
          <cell r="G9761">
            <v>7546811333</v>
          </cell>
          <cell r="K9761" t="str">
            <v>BSJS035917</v>
          </cell>
        </row>
        <row r="9762">
          <cell r="E9762" t="str">
            <v>CHAUPARAN</v>
          </cell>
          <cell r="G9762">
            <v>7979973607</v>
          </cell>
          <cell r="K9762" t="str">
            <v>BRLD160756</v>
          </cell>
        </row>
        <row r="9763">
          <cell r="E9763" t="str">
            <v>RANCHI,JHARKHAND
834001
RANCHI</v>
          </cell>
          <cell r="G9763">
            <v>9507860584</v>
          </cell>
          <cell r="K9763" t="str">
            <v>BJHS031586</v>
          </cell>
        </row>
        <row r="9764">
          <cell r="E9764" t="str">
            <v>BALIDIH INDUSTRIAL AREA, BOKARO
BYE PASS ROAD, CHAS, BOKARO, JHARKHAND.
827014</v>
          </cell>
          <cell r="G9764">
            <v>6205577657</v>
          </cell>
          <cell r="K9764" t="str">
            <v>BRCC373034</v>
          </cell>
        </row>
        <row r="9765">
          <cell r="E9765" t="str">
            <v>NAYA MORE,RAMGARH
ARA SARU BERA ROAD, NAYA, RAMGARH,JHARKHAND
829110
NAYA MORE</v>
          </cell>
          <cell r="G9765">
            <v>8651078549</v>
          </cell>
          <cell r="K9765" t="str">
            <v>BQBS033796</v>
          </cell>
        </row>
        <row r="9766">
          <cell r="E9766" t="str">
            <v>JASIDIH, DEOGHAR
814142</v>
          </cell>
          <cell r="G9766">
            <v>9431794976</v>
          </cell>
          <cell r="K9766" t="str">
            <v>BSEC376083</v>
          </cell>
        </row>
        <row r="9767">
          <cell r="E9767" t="str">
            <v>KOKAR INDUSTRIAL AREA,,RANCHI
834002
KOKAR INDUSTRIAL AREA RANCHI</v>
          </cell>
          <cell r="G9767">
            <v>6202903299</v>
          </cell>
          <cell r="K9767" t="str">
            <v>BPLF150007</v>
          </cell>
        </row>
        <row r="9768">
          <cell r="E9768" t="str">
            <v>TANDWA, CHATRA</v>
          </cell>
          <cell r="G9768">
            <v>8953466939</v>
          </cell>
          <cell r="K9768" t="str">
            <v>BIIS040535</v>
          </cell>
        </row>
        <row r="9769">
          <cell r="E9769" t="str">
            <v>KATRAS, DHANBAD</v>
          </cell>
          <cell r="G9769">
            <v>8578067075</v>
          </cell>
          <cell r="K9769" t="str">
            <v>BRED161077</v>
          </cell>
        </row>
        <row r="9770">
          <cell r="E9770" t="str">
            <v>CHAS, BOKARO
827013</v>
          </cell>
          <cell r="G9770">
            <v>7992434966</v>
          </cell>
          <cell r="K9770" t="str">
            <v>BSEC376103</v>
          </cell>
        </row>
        <row r="9771">
          <cell r="E9771" t="str">
            <v>NAGARI RANCHI
NAGARI RANCHI
835303</v>
          </cell>
          <cell r="G9771">
            <v>9431141006</v>
          </cell>
          <cell r="K9771" t="str">
            <v>BKJS030050</v>
          </cell>
        </row>
        <row r="9772">
          <cell r="E9772" t="str">
            <v>KOKAR,INDUSTRIAL AREA,RANCHI
834002
RANCHI</v>
          </cell>
          <cell r="G9772">
            <v>9471394003</v>
          </cell>
          <cell r="K9772" t="str">
            <v>BMKC370048</v>
          </cell>
        </row>
        <row r="9773">
          <cell r="E9773" t="str">
            <v>SHEKHPURA, BIHAR</v>
          </cell>
          <cell r="G9773">
            <v>7782976533</v>
          </cell>
          <cell r="K9773" t="str">
            <v>GPBD160107</v>
          </cell>
        </row>
        <row r="9774">
          <cell r="E9774" t="str">
            <v>RAMGARH</v>
          </cell>
          <cell r="G9774">
            <v>7544013816</v>
          </cell>
          <cell r="K9774" t="str">
            <v>BRBD160859</v>
          </cell>
        </row>
        <row r="9775">
          <cell r="E9775" t="str">
            <v>NIMIAGHAT,GIRIDIH</v>
          </cell>
          <cell r="G9775">
            <v>7033020285</v>
          </cell>
          <cell r="K9775" t="str">
            <v>BSJD161406</v>
          </cell>
        </row>
        <row r="9776">
          <cell r="E9776" t="str">
            <v>COLLIEARY, DHANBAD</v>
          </cell>
          <cell r="G9776">
            <v>9948411856</v>
          </cell>
          <cell r="K9776" t="str">
            <v>BRID161336</v>
          </cell>
        </row>
        <row r="9777">
          <cell r="E9777" t="str">
            <v>RAMGARH</v>
          </cell>
          <cell r="G9777">
            <v>7360077726</v>
          </cell>
          <cell r="K9777" t="str">
            <v>BKAS030601</v>
          </cell>
        </row>
        <row r="9778">
          <cell r="E9778" t="str">
            <v>RAMGARH</v>
          </cell>
          <cell r="G9778">
            <v>7360077726</v>
          </cell>
          <cell r="K9778" t="str">
            <v>BKAS030601</v>
          </cell>
        </row>
        <row r="9779">
          <cell r="E9779" t="str">
            <v>LOHARDAGA,JHARKHAND
LOHARDAGA, MOB. NO.9661111900
835302
LOHARDAGA</v>
          </cell>
          <cell r="G9779">
            <v>8709406268</v>
          </cell>
          <cell r="K9779" t="str">
            <v>BQFS031084</v>
          </cell>
        </row>
        <row r="9780">
          <cell r="E9780" t="str">
            <v>CITY CENTER SECTOR - 4, BOKARO STEEL CITY, BOKARO, JHARKHAND, MOB. NO. 7050539301
CITY CENTER SECTOR - 4, BOKARO STEEL CITY, BOKARO, JHARKHAND, MOB. NO. 7050539301
827003
BOKARO</v>
          </cell>
          <cell r="G9780">
            <v>9798301918</v>
          </cell>
          <cell r="K9780">
            <v>70369</v>
          </cell>
        </row>
        <row r="9781">
          <cell r="E9781" t="str">
            <v>RANCHI</v>
          </cell>
          <cell r="G9781">
            <v>8709406268</v>
          </cell>
          <cell r="K9781" t="str">
            <v>BKDS031405</v>
          </cell>
        </row>
        <row r="9782">
          <cell r="E9782" t="str">
            <v>TOPA MINES, RAMGARH</v>
          </cell>
          <cell r="G9782">
            <v>9471109170</v>
          </cell>
          <cell r="K9782" t="str">
            <v>BQID160519</v>
          </cell>
        </row>
        <row r="9783">
          <cell r="E9783" t="str">
            <v>PRITAM</v>
          </cell>
          <cell r="G9783">
            <v>7309672604</v>
          </cell>
          <cell r="K9783">
            <v>11493204</v>
          </cell>
        </row>
        <row r="9784">
          <cell r="E9784" t="str">
            <v>KUMAR JORI,KATRASH,DHANBAD</v>
          </cell>
          <cell r="G9784">
            <v>8210106692</v>
          </cell>
          <cell r="K9784" t="str">
            <v>BRDD161036</v>
          </cell>
        </row>
        <row r="9785">
          <cell r="E9785" t="str">
            <v>HAZARIBAGH
RANCHI JHARKHAND 834002
INDIA</v>
          </cell>
          <cell r="G9785">
            <v>7309672604</v>
          </cell>
          <cell r="K9785" t="str">
            <v>BKAS030685</v>
          </cell>
        </row>
        <row r="9786">
          <cell r="E9786" t="str">
            <v>KATRAS, DHANBAD</v>
          </cell>
          <cell r="G9786">
            <v>8210106692</v>
          </cell>
          <cell r="K9786" t="str">
            <v>BRCD160940</v>
          </cell>
        </row>
        <row r="9787">
          <cell r="E9787" t="str">
            <v>COLLIEARY, DHANBAD</v>
          </cell>
          <cell r="G9787">
            <v>9948411856</v>
          </cell>
          <cell r="K9787" t="str">
            <v>BRID161336</v>
          </cell>
        </row>
        <row r="9788">
          <cell r="E9788" t="str">
            <v>BOKARO</v>
          </cell>
          <cell r="G9788">
            <v>9234957904</v>
          </cell>
          <cell r="K9788" t="str">
            <v>BSCD161705</v>
          </cell>
        </row>
        <row r="9789">
          <cell r="E9789" t="str">
            <v>KOKAR,INDUSTRIAL AREA,RANCHI
834002
RANCHI</v>
          </cell>
          <cell r="G9789">
            <v>9471394003</v>
          </cell>
          <cell r="K9789" t="str">
            <v>BMKC370048</v>
          </cell>
        </row>
        <row r="9790">
          <cell r="E9790" t="str">
            <v>KASMAR, PETARWAR</v>
          </cell>
          <cell r="G9790">
            <v>9801516321</v>
          </cell>
          <cell r="K9790" t="str">
            <v>BSBD161629</v>
          </cell>
        </row>
        <row r="9791">
          <cell r="E9791" t="str">
            <v>NAMKUM INDUSTRIAL AREA,RANCHI
834010</v>
          </cell>
          <cell r="G9791">
            <v>9356408111</v>
          </cell>
          <cell r="K9791" t="str">
            <v>GOCC370403</v>
          </cell>
        </row>
        <row r="9792">
          <cell r="E9792" t="str">
            <v>JAMUI BIHAR</v>
          </cell>
          <cell r="G9792">
            <v>9264207575</v>
          </cell>
          <cell r="K9792" t="str">
            <v>BQKD160076</v>
          </cell>
        </row>
        <row r="9793">
          <cell r="E9793" t="str">
            <v>C/O: NTPC LIMITED,PAKRI BARWADIH COAL MINING PROJECT,
06551</v>
          </cell>
          <cell r="G9793">
            <v>8240602322</v>
          </cell>
          <cell r="K9793" t="str">
            <v>BRFS042072</v>
          </cell>
        </row>
        <row r="9794">
          <cell r="E9794" t="str">
            <v>NAGRI, RANCHI
TIKRATOLI, P.O:- NAGRI, RANCHI
834006</v>
          </cell>
          <cell r="G9794">
            <v>8294630107</v>
          </cell>
          <cell r="K9794" t="str">
            <v>BKKS030393</v>
          </cell>
        </row>
        <row r="9795">
          <cell r="E9795" t="str">
            <v>RANCHI,JHARKHAND
834004</v>
          </cell>
          <cell r="G9795">
            <v>9113441079</v>
          </cell>
          <cell r="K9795" t="str">
            <v>BRHC374102</v>
          </cell>
        </row>
        <row r="9796">
          <cell r="E9796" t="str">
            <v>LOHARDAGA,JHARKHAND
LOHARDAGA, MOB. NO.9661111900
835302
LOHARDAGA</v>
          </cell>
          <cell r="G9796">
            <v>8709406268</v>
          </cell>
          <cell r="K9796" t="str">
            <v>BQFS031084</v>
          </cell>
        </row>
        <row r="9797">
          <cell r="E9797" t="str">
            <v>BOKARO</v>
          </cell>
          <cell r="G9797">
            <v>9234957903</v>
          </cell>
          <cell r="K9797" t="str">
            <v>BSCD161704</v>
          </cell>
        </row>
        <row r="9798">
          <cell r="E9798" t="str">
            <v>KATRAS, DHANBAD</v>
          </cell>
          <cell r="G9798">
            <v>8578067075</v>
          </cell>
          <cell r="K9798" t="str">
            <v>BRED161077</v>
          </cell>
        </row>
        <row r="9799">
          <cell r="E9799" t="str">
            <v>KERWALA CHOWK RANCHI</v>
          </cell>
          <cell r="G9799">
            <v>8210269774</v>
          </cell>
          <cell r="K9799" t="str">
            <v>BRED161081</v>
          </cell>
        </row>
        <row r="9800">
          <cell r="E9800" t="str">
            <v>KERWALA CHOWK RANCHI</v>
          </cell>
          <cell r="G9800">
            <v>8210269774</v>
          </cell>
          <cell r="K9800" t="str">
            <v>BRED161081</v>
          </cell>
        </row>
        <row r="9801">
          <cell r="E9801" t="str">
            <v>KATRAS, DHANBAD</v>
          </cell>
          <cell r="G9801">
            <v>6206591024</v>
          </cell>
          <cell r="K9801" t="str">
            <v>BRLD160727</v>
          </cell>
        </row>
        <row r="9802">
          <cell r="E9802" t="str">
            <v>MANDU, RAMGARH
JAISWAL COLONY, THANA CHOW,, RAMGARH CANTT. DIST. RAMGARH, JHARKHAND
825316
MANDU</v>
          </cell>
          <cell r="G9802">
            <v>6205951815</v>
          </cell>
          <cell r="K9802">
            <v>123399</v>
          </cell>
        </row>
        <row r="9803">
          <cell r="E9803" t="str">
            <v>PLOT NO.-806, HARDAGKHUTI ROAD,RANCHI
KHUNTI ROAD HARDAG
835221</v>
          </cell>
          <cell r="G9803">
            <v>6201750703</v>
          </cell>
          <cell r="K9803" t="str">
            <v>BRGS035244</v>
          </cell>
        </row>
        <row r="9804">
          <cell r="E9804" t="str">
            <v>PLOT NO. 148, TUPUDANA, INDUSTRIAL AREA, HATIA, RANCHI
834002</v>
          </cell>
          <cell r="G9804">
            <v>7979079842</v>
          </cell>
          <cell r="K9804" t="str">
            <v>BRIS035838</v>
          </cell>
        </row>
        <row r="9805">
          <cell r="E9805" t="str">
            <v>PLOT NO. 148, TUPUDANA, INDUSTRIAL AREA, HATIA, RANCHI
834002</v>
          </cell>
          <cell r="G9805">
            <v>0</v>
          </cell>
          <cell r="K9805" t="str">
            <v>BSLS036682</v>
          </cell>
        </row>
        <row r="9806">
          <cell r="E9806" t="str">
            <v>BALIDIH INDUSTRIAL AREA, BOKARO
BYE PASS ROAD, CHAS, BOKARO, JHARKHAND.
827014</v>
          </cell>
          <cell r="G9806">
            <v>6205577657</v>
          </cell>
          <cell r="K9806" t="str">
            <v>BRCC373034</v>
          </cell>
        </row>
        <row r="9807">
          <cell r="E9807" t="str">
            <v>NAGARI,</v>
          </cell>
          <cell r="G9807">
            <v>9297706123</v>
          </cell>
          <cell r="K9807" t="str">
            <v>BILS030211</v>
          </cell>
        </row>
        <row r="9808">
          <cell r="E9808" t="str">
            <v>SIMARIYA RANCHI</v>
          </cell>
          <cell r="G9808">
            <v>9199364073</v>
          </cell>
          <cell r="K9808" t="str">
            <v>BRGD161233</v>
          </cell>
        </row>
        <row r="9809">
          <cell r="E9809" t="str">
            <v>NAGRI RANCHI</v>
          </cell>
          <cell r="G9809">
            <v>9297706123</v>
          </cell>
          <cell r="K9809" t="str">
            <v>FKCS04831</v>
          </cell>
        </row>
        <row r="9810">
          <cell r="E9810" t="str">
            <v>RANCHI PATNA ROAD
DEMOTAND
825301
HAZARIBAGH</v>
          </cell>
          <cell r="G9810">
            <v>6203465926</v>
          </cell>
          <cell r="K9810" t="str">
            <v>BMBL160078</v>
          </cell>
        </row>
        <row r="9811">
          <cell r="E9811" t="str">
            <v>OPERATIONS OFFICER, BOKARO BP, KIND ATTEN.ABHISHEK TRIPATHI, MOB. NO.8789972995, VENDOR CODE-11970380
OPERATIONS OFFICER, BOKARO BP, KIND ATTEN.ABHISHEK TRIPATHI, MOB. NO.8789972995, VENDOR CODE-11970380
827014
LPG BOTTALING PLANT, BALIDIH,</v>
          </cell>
          <cell r="G9811">
            <v>9064073084</v>
          </cell>
          <cell r="K9811" t="str">
            <v>BOCS040147</v>
          </cell>
        </row>
        <row r="9812">
          <cell r="E9812" t="str">
            <v>PALAMU,GARWA, JHARKHAND
822124
GARHWA ROAD, NEAR BCCL PALAMU,</v>
          </cell>
          <cell r="G9812">
            <v>9973686006</v>
          </cell>
          <cell r="K9812" t="str">
            <v>GOCS030806</v>
          </cell>
        </row>
        <row r="9813">
          <cell r="E9813" t="str">
            <v>GROUND FLOOR,, OFFICE NO.448A, ROAD NO.4, ASHOK NAGAR
GROUND FLOOR,, OFFICE NO.448A, ROAD NO.4, ASHOK NAGAR
829118
PLOT NO:- 47P, PATRATU INDUSTRIAL AREA</v>
          </cell>
          <cell r="G9813">
            <v>7541959323</v>
          </cell>
          <cell r="K9813" t="str">
            <v>ONIC370102</v>
          </cell>
        </row>
        <row r="9814">
          <cell r="E9814" t="str">
            <v>NAGRI, RANCHI
TIKRATOLI, P.O:- NAGRI, RANCHI
834006</v>
          </cell>
          <cell r="G9814">
            <v>8294630107</v>
          </cell>
          <cell r="K9814" t="str">
            <v>BKKS030393</v>
          </cell>
        </row>
        <row r="9815">
          <cell r="E9815" t="str">
            <v>BALIDIH INDUSTRIAL AREA,BOKARO
PLOT NO. - A/2 (P) INDUSTRIAL AREA, BALIDIH BOKARO STEEL CITY - 14, BOKARO
827014
BOKARO INDUSTRIAL ESTATE</v>
          </cell>
          <cell r="G9815">
            <v>9102999894</v>
          </cell>
          <cell r="K9815" t="str">
            <v>BICET50010</v>
          </cell>
        </row>
        <row r="9816">
          <cell r="E9816" t="str">
            <v>NAMKUM INDUSTRIAL AREA,RANCHI
RANCHI
834010
INDIA</v>
          </cell>
          <cell r="G9816">
            <v>7070993638</v>
          </cell>
          <cell r="K9816" t="str">
            <v>GOCC370465</v>
          </cell>
        </row>
        <row r="9817">
          <cell r="E9817" t="str">
            <v>NAGARI RANCHI
NAGARI RANCHI
835303</v>
          </cell>
          <cell r="G9817">
            <v>9431141006</v>
          </cell>
          <cell r="K9817" t="str">
            <v>BKJS030050</v>
          </cell>
        </row>
        <row r="9818">
          <cell r="E9818" t="str">
            <v>JAMUI BIHAR</v>
          </cell>
          <cell r="G9818">
            <v>9264207575</v>
          </cell>
          <cell r="K9818" t="str">
            <v>BQKD160076</v>
          </cell>
        </row>
        <row r="9819">
          <cell r="E9819" t="str">
            <v>RAMGARH</v>
          </cell>
          <cell r="G9819">
            <v>7360077726</v>
          </cell>
          <cell r="K9819" t="str">
            <v>BKAS030601</v>
          </cell>
        </row>
        <row r="9820">
          <cell r="E9820" t="str">
            <v>RAMGARH</v>
          </cell>
          <cell r="G9820">
            <v>7360077726</v>
          </cell>
          <cell r="K9820" t="str">
            <v>BLES031356</v>
          </cell>
        </row>
        <row r="9821">
          <cell r="E9821" t="str">
            <v>AT. BONGABAR, SANDI, RAMGARH, AMC  FROM 1-8-2019 TO 30-7-2020
829122
SANDI ,</v>
          </cell>
          <cell r="G9821">
            <v>7360077726</v>
          </cell>
          <cell r="K9821" t="str">
            <v>BLGS040605</v>
          </cell>
        </row>
        <row r="9822">
          <cell r="E9822" t="str">
            <v>DEOGARH</v>
          </cell>
          <cell r="G9822">
            <v>6203014906</v>
          </cell>
          <cell r="K9822" t="str">
            <v>BSAD161576</v>
          </cell>
        </row>
        <row r="9823">
          <cell r="E9823" t="str">
            <v>PALAMU,GARWA, JHARKHAND
822124
GARHWA ROAD, NEAR BCCL PALAMU,</v>
          </cell>
          <cell r="G9823">
            <v>9973686006</v>
          </cell>
          <cell r="K9823" t="str">
            <v>GOCS030806</v>
          </cell>
        </row>
        <row r="9824">
          <cell r="E9824" t="str">
            <v>B7-PHASE-3, BALIDIH INDUSTRIAL AREA BALIDIH, BOKARO STEEL CITY BOKARO, JHARKHAND
SUNDARAM STEELS PVT. LTD, B-7 PHASE-III,BOKARO INDUSTRIAL AREA,BALIDIH, BOKARO
827014</v>
          </cell>
          <cell r="G9824">
            <v>7381096763</v>
          </cell>
          <cell r="K9824" t="str">
            <v>GPJS040009</v>
          </cell>
        </row>
        <row r="9825">
          <cell r="E9825" t="str">
            <v>BANDHIYA RAOD, NAGRI RANCHI, MOB.8709325266
834006
BANDHIYA ROAD, NAGARI RANCHI</v>
          </cell>
          <cell r="G9825">
            <v>9110033639</v>
          </cell>
          <cell r="K9825" t="str">
            <v>BLFS040558</v>
          </cell>
        </row>
        <row r="9826">
          <cell r="E9826" t="str">
            <v>DEOGARH</v>
          </cell>
          <cell r="G9826">
            <v>6203014905</v>
          </cell>
          <cell r="K9826" t="str">
            <v>BQHD160364</v>
          </cell>
        </row>
        <row r="9827">
          <cell r="E9827" t="str">
            <v>DUMKA</v>
          </cell>
          <cell r="G9827">
            <v>8294927069</v>
          </cell>
          <cell r="K9827" t="str">
            <v>BRAD160777</v>
          </cell>
        </row>
        <row r="9828">
          <cell r="E9828" t="str">
            <v>KAMDE,RANCHI</v>
          </cell>
          <cell r="G9828">
            <v>9304197723</v>
          </cell>
          <cell r="K9828" t="str">
            <v>BSJD161438</v>
          </cell>
        </row>
        <row r="9829">
          <cell r="E9829" t="str">
            <v>NEWRI VIKASH RANCHI JHARKHAND
NEWRI VIKASH RANCHI JHARKHAND
834006
RANCHI</v>
          </cell>
          <cell r="G9829">
            <v>201479268</v>
          </cell>
          <cell r="K9829" t="str">
            <v>BQAC373734</v>
          </cell>
        </row>
        <row r="9830">
          <cell r="E9830" t="str">
            <v>GHATO
825314</v>
          </cell>
          <cell r="G9830">
            <v>9262290295</v>
          </cell>
          <cell r="K9830">
            <v>124371</v>
          </cell>
        </row>
        <row r="9831">
          <cell r="E9831" t="str">
            <v>GHATO
825314</v>
          </cell>
          <cell r="G9831">
            <v>9262290295</v>
          </cell>
          <cell r="K9831">
            <v>124371</v>
          </cell>
        </row>
        <row r="9832">
          <cell r="E9832" t="str">
            <v>BOKARO</v>
          </cell>
          <cell r="G9832">
            <v>9234957903</v>
          </cell>
          <cell r="K9832" t="str">
            <v>BSCD161704</v>
          </cell>
        </row>
        <row r="9833">
          <cell r="E9833" t="str">
            <v>HORHAP ROAD, MAHILONG, RANCHI
835103</v>
          </cell>
          <cell r="G9833">
            <v>9708039203</v>
          </cell>
          <cell r="K9833" t="str">
            <v>BRIC374329</v>
          </cell>
        </row>
        <row r="9834">
          <cell r="E9834" t="str">
            <v>RAMGARH</v>
          </cell>
          <cell r="G9834">
            <v>7631152674</v>
          </cell>
          <cell r="K9834" t="str">
            <v>BSDC375964</v>
          </cell>
        </row>
        <row r="9835">
          <cell r="E9835" t="str">
            <v>NEWRI VIKASH RANCHI JHARKHAND
NEWRI VIKASH RANCHI JHARKHAND
834006
RANCHI</v>
          </cell>
          <cell r="G9835">
            <v>201479268</v>
          </cell>
          <cell r="K9835" t="str">
            <v>BQAC373734</v>
          </cell>
        </row>
        <row r="9836">
          <cell r="E9836" t="str">
            <v>NAGRI, RANCHI
TIKRATOLI, P.O:- NAGRI, RANCHI
834006</v>
          </cell>
          <cell r="G9836">
            <v>8294630107</v>
          </cell>
          <cell r="K9836" t="str">
            <v>BKKS030393</v>
          </cell>
        </row>
        <row r="9837">
          <cell r="E9837" t="str">
            <v>TIRUDIH , POST GHATDULMI, KANDRA ROAD, CHOWKA
832401
TIRUDIH , POST GHATDULMI, CHOWKA, KANDRA ROAD, SAR</v>
          </cell>
          <cell r="G9837">
            <v>7016701990</v>
          </cell>
          <cell r="K9837" t="str">
            <v>BMFS040502</v>
          </cell>
        </row>
        <row r="9838">
          <cell r="E9838" t="str">
            <v>TIRUDIH , POST GHATDULMI, KANDRA ROAD, CHOWKA
832401
TIRUDIH , POST GHATDULMI, CHOWKA, KANDRA ROAD, SAR</v>
          </cell>
          <cell r="G9838">
            <v>7016701990</v>
          </cell>
          <cell r="K9838" t="str">
            <v>GOBS040228</v>
          </cell>
        </row>
        <row r="9839">
          <cell r="E9839" t="str">
            <v>RANCHI,JHARKHAND
825301
JHUMRA</v>
          </cell>
          <cell r="G9839">
            <v>8541022146</v>
          </cell>
          <cell r="K9839" t="str">
            <v>BMIS031670</v>
          </cell>
        </row>
        <row r="9840">
          <cell r="E9840" t="str">
            <v>KOKAR, RANCHI</v>
          </cell>
          <cell r="G9840">
            <v>9386066665</v>
          </cell>
          <cell r="K9840">
            <v>19646204</v>
          </cell>
        </row>
        <row r="9841">
          <cell r="E9841" t="str">
            <v>BOKARO</v>
          </cell>
          <cell r="G9841">
            <v>9234957903</v>
          </cell>
          <cell r="K9841" t="str">
            <v>BRHD161299</v>
          </cell>
        </row>
        <row r="9842">
          <cell r="E9842" t="str">
            <v>KATRAS, DHANBAD</v>
          </cell>
          <cell r="G9842">
            <v>9431316718</v>
          </cell>
          <cell r="K9842" t="str">
            <v>BQID160499</v>
          </cell>
        </row>
        <row r="9843">
          <cell r="E9843" t="str">
            <v>GARHWA, JHARKHAND</v>
          </cell>
          <cell r="G9843">
            <v>8002302043</v>
          </cell>
          <cell r="K9843" t="str">
            <v>BQID160527</v>
          </cell>
        </row>
        <row r="9844">
          <cell r="E9844" t="str">
            <v>C/O: NTPC LIMITED,PAKRI BARWADIH COAL MINING PROJECT,
06551</v>
          </cell>
          <cell r="G9844">
            <v>8240602322</v>
          </cell>
          <cell r="K9844" t="str">
            <v>BRFS042072</v>
          </cell>
        </row>
        <row r="9845">
          <cell r="E9845" t="str">
            <v>HAZARIBAGH</v>
          </cell>
          <cell r="G9845">
            <v>9494338689</v>
          </cell>
          <cell r="K9845" t="str">
            <v>BRCD160990</v>
          </cell>
        </row>
        <row r="9846">
          <cell r="E9846" t="str">
            <v>REHLA, GARHWA</v>
          </cell>
          <cell r="G9846">
            <v>9973686006</v>
          </cell>
          <cell r="K9846" t="str">
            <v>BILS031850</v>
          </cell>
        </row>
        <row r="9847">
          <cell r="E9847" t="str">
            <v>RANCHI PATNA ROAD
DEMOTAND
825301
HAZARIBAGH</v>
          </cell>
          <cell r="G9847">
            <v>6203465926</v>
          </cell>
          <cell r="K9847" t="str">
            <v>BMBL160078</v>
          </cell>
        </row>
        <row r="9848">
          <cell r="E9848" t="str">
            <v>JAMUI BIHAR</v>
          </cell>
          <cell r="G9848">
            <v>9430312599</v>
          </cell>
          <cell r="K9848" t="str">
            <v>RJD230103</v>
          </cell>
        </row>
        <row r="9849">
          <cell r="E9849" t="str">
            <v>ARGORA, RANCHI
834002</v>
          </cell>
          <cell r="G9849">
            <v>9199980777</v>
          </cell>
          <cell r="K9849" t="str">
            <v>BSKC374901</v>
          </cell>
        </row>
        <row r="9850">
          <cell r="E9850" t="str">
            <v>RAIPUR DHANBAD</v>
          </cell>
          <cell r="G9850">
            <v>8825938685</v>
          </cell>
          <cell r="K9850" t="str">
            <v>BRLD160741</v>
          </cell>
        </row>
        <row r="9851">
          <cell r="E9851" t="str">
            <v>NAYA MORE,RAMGARH
ARA SARU BERA ROAD, NAYA, RAMGARH,JHARKHAND
829110
NAYA MORE</v>
          </cell>
          <cell r="G9851">
            <v>8651078549</v>
          </cell>
          <cell r="K9851" t="str">
            <v>BQBS033796</v>
          </cell>
        </row>
        <row r="9852">
          <cell r="E9852" t="str">
            <v>REHLA,GARWA,JHARKHAND
822124
RANCHI</v>
          </cell>
          <cell r="G9852">
            <v>7004623399</v>
          </cell>
          <cell r="K9852" t="str">
            <v>BMFS031346</v>
          </cell>
        </row>
        <row r="9853">
          <cell r="E9853" t="str">
            <v>REHLA,GARWA,JHARKHAND
822124
RANCHI</v>
          </cell>
          <cell r="G9853">
            <v>7004623399</v>
          </cell>
          <cell r="K9853" t="str">
            <v>BMFS031346</v>
          </cell>
        </row>
        <row r="9854">
          <cell r="E9854" t="str">
            <v>REHLA,GARWA,JHARKHAND
822124
RANCHI</v>
          </cell>
          <cell r="G9854">
            <v>7004623399</v>
          </cell>
          <cell r="K9854" t="str">
            <v>GOIS031795</v>
          </cell>
        </row>
        <row r="9855">
          <cell r="E9855" t="str">
            <v>KATRAS, DHANBAD</v>
          </cell>
          <cell r="G9855">
            <v>9798360305</v>
          </cell>
          <cell r="K9855" t="str">
            <v>BSKD161477</v>
          </cell>
        </row>
        <row r="9856">
          <cell r="E9856" t="str">
            <v>COLLIEARY, DHANBAD</v>
          </cell>
          <cell r="G9856">
            <v>9948411856</v>
          </cell>
          <cell r="K9856" t="str">
            <v>BRID161336</v>
          </cell>
        </row>
        <row r="9857">
          <cell r="E9857" t="str">
            <v>NIMIAGHAT,GIRIDIH</v>
          </cell>
          <cell r="G9857">
            <v>9798869433</v>
          </cell>
          <cell r="K9857" t="str">
            <v>BSJD161406</v>
          </cell>
        </row>
        <row r="9858">
          <cell r="E9858" t="str">
            <v>HOSHIR GIDDI,RAMGARH
NEAR P.N. BANK MAIN ROAD, RAMGARH CANTT. 829122
829110</v>
          </cell>
          <cell r="G9858">
            <v>7654659452</v>
          </cell>
          <cell r="K9858" t="str">
            <v>GPJS030042</v>
          </cell>
        </row>
        <row r="9859">
          <cell r="E9859" t="str">
            <v>RAMGARH
829103
NAYA MORE</v>
          </cell>
          <cell r="G9859">
            <v>8651078549</v>
          </cell>
          <cell r="K9859" t="str">
            <v>BRGS035169</v>
          </cell>
        </row>
        <row r="9860">
          <cell r="E9860" t="str">
            <v>KATRAS, DHANBAD</v>
          </cell>
          <cell r="G9860">
            <v>9798360305</v>
          </cell>
          <cell r="K9860" t="str">
            <v>BSKD161477</v>
          </cell>
        </row>
        <row r="9861">
          <cell r="E9861" t="str">
            <v>KODERMA</v>
          </cell>
          <cell r="G9861">
            <v>6205816424</v>
          </cell>
          <cell r="K9861" t="str">
            <v>BSAD161567</v>
          </cell>
        </row>
        <row r="9862">
          <cell r="E9862" t="str">
            <v>GARHWA, JHARKHAND</v>
          </cell>
          <cell r="G9862">
            <v>8002302043</v>
          </cell>
          <cell r="K9862" t="str">
            <v>BQID160527</v>
          </cell>
        </row>
        <row r="9863">
          <cell r="E9863" t="str">
            <v>VIDIYA NAGAR,RANCHI</v>
          </cell>
          <cell r="G9863">
            <v>9199364073</v>
          </cell>
          <cell r="K9863" t="str">
            <v>BRGD161233</v>
          </cell>
        </row>
        <row r="9864">
          <cell r="E9864" t="str">
            <v>KATRAS, DHANBAD</v>
          </cell>
          <cell r="G9864">
            <v>6206591024</v>
          </cell>
          <cell r="K9864" t="str">
            <v>BRLD160727</v>
          </cell>
        </row>
        <row r="9865">
          <cell r="E9865" t="str">
            <v>DUMKA</v>
          </cell>
          <cell r="G9865">
            <v>9546535031</v>
          </cell>
          <cell r="K9865" t="str">
            <v>BRAD160803</v>
          </cell>
        </row>
        <row r="9866">
          <cell r="E9866" t="str">
            <v>RANCHI</v>
          </cell>
          <cell r="G9866">
            <v>8969039892</v>
          </cell>
          <cell r="K9866" t="str">
            <v>BQHD160416</v>
          </cell>
        </row>
        <row r="9867">
          <cell r="E9867" t="str">
            <v>RAIPUR DHANBAD</v>
          </cell>
          <cell r="G9867">
            <v>8106167121</v>
          </cell>
          <cell r="K9867" t="str">
            <v>BRHD161312</v>
          </cell>
        </row>
        <row r="9868">
          <cell r="E9868" t="str">
            <v>NAGRI, RANCHI
TIKRATOLI, P.O:- NAGRI, RANCHI
834006</v>
          </cell>
          <cell r="G9868">
            <v>8294630107</v>
          </cell>
          <cell r="K9868" t="str">
            <v>BKKS030393</v>
          </cell>
        </row>
        <row r="9869">
          <cell r="E9869" t="str">
            <v>NAGARI RANCHI
NAGARI RANCHI
835303</v>
          </cell>
          <cell r="G9869">
            <v>6201457979</v>
          </cell>
          <cell r="K9869" t="str">
            <v>BKJS030050</v>
          </cell>
        </row>
        <row r="9870">
          <cell r="E9870" t="str">
            <v>RAIPUR DHANBAD</v>
          </cell>
          <cell r="G9870">
            <v>8106167121</v>
          </cell>
          <cell r="K9870" t="str">
            <v>BRHD161312</v>
          </cell>
        </row>
        <row r="9871">
          <cell r="E9871" t="str">
            <v>HOSHIR GIDDI,RAMGARH
NEAR P.N. BANK MAIN ROAD, RAMGARH CANTT. 829122
829110</v>
          </cell>
          <cell r="G9871">
            <v>7654659452</v>
          </cell>
          <cell r="K9871" t="str">
            <v>BRHS035368</v>
          </cell>
        </row>
        <row r="9872">
          <cell r="E9872" t="str">
            <v>KAHLGAWON, BIHAR</v>
          </cell>
          <cell r="G9872">
            <v>8789144539</v>
          </cell>
          <cell r="K9872" t="str">
            <v>BSCL152143</v>
          </cell>
        </row>
        <row r="9873">
          <cell r="E9873" t="str">
            <v>KODERMA</v>
          </cell>
          <cell r="G9873">
            <v>6205816424</v>
          </cell>
          <cell r="K9873" t="str">
            <v>BSAD161567</v>
          </cell>
        </row>
        <row r="9874">
          <cell r="E9874" t="str">
            <v>CHATRA</v>
          </cell>
          <cell r="G9874">
            <v>7004915623</v>
          </cell>
          <cell r="K9874" t="str">
            <v>BSLD200427</v>
          </cell>
        </row>
        <row r="9875">
          <cell r="E9875" t="str">
            <v>CHATRA</v>
          </cell>
          <cell r="G9875">
            <v>8002678406</v>
          </cell>
          <cell r="K9875" t="str">
            <v>BRGC373915</v>
          </cell>
        </row>
        <row r="9876">
          <cell r="E9876" t="str">
            <v>RAMGARH</v>
          </cell>
          <cell r="G9876">
            <v>7631152674</v>
          </cell>
          <cell r="K9876" t="str">
            <v>BSDC375954</v>
          </cell>
        </row>
        <row r="9877">
          <cell r="E9877" t="str">
            <v>DUMARI</v>
          </cell>
          <cell r="G9877">
            <v>9572932321</v>
          </cell>
          <cell r="K9877" t="str">
            <v>BRBD160856</v>
          </cell>
        </row>
        <row r="9878">
          <cell r="E9878" t="str">
            <v>JAL MAIDAN, JAMSHEDPUR</v>
          </cell>
          <cell r="G9878">
            <v>9489176819</v>
          </cell>
          <cell r="K9878" t="str">
            <v>BRCD161002</v>
          </cell>
        </row>
        <row r="9879">
          <cell r="E9879" t="str">
            <v>RAMGARH, JHAKHAND</v>
          </cell>
          <cell r="G9879">
            <v>8525930531</v>
          </cell>
          <cell r="K9879" t="str">
            <v>BSCD161691</v>
          </cell>
        </row>
        <row r="9880">
          <cell r="E9880" t="str">
            <v>KATRAS, DHANBAD</v>
          </cell>
          <cell r="G9880">
            <v>8144777757</v>
          </cell>
          <cell r="K9880" t="str">
            <v>BRED161077</v>
          </cell>
        </row>
        <row r="9881">
          <cell r="E9881" t="str">
            <v>BOKARO</v>
          </cell>
          <cell r="G9881">
            <v>9234957903</v>
          </cell>
          <cell r="K9881" t="str">
            <v>BRHD161299</v>
          </cell>
        </row>
        <row r="9882">
          <cell r="E9882" t="str">
            <v>PLOT NO.-806, HARDAGKHUTI ROAD,RANCHI
KHUNTI ROAD HARDAG
835221</v>
          </cell>
          <cell r="G9882">
            <v>6201750703</v>
          </cell>
          <cell r="K9882" t="str">
            <v>BRGS035244</v>
          </cell>
        </row>
        <row r="9883">
          <cell r="E9883" t="str">
            <v>SIDRAUL, NAMKUM, RANCHI
834010
SIDRAUL, NAMKUM, RANCHI</v>
          </cell>
          <cell r="G9883">
            <v>8877172788</v>
          </cell>
          <cell r="K9883" t="str">
            <v>UOIS030128</v>
          </cell>
        </row>
        <row r="9884">
          <cell r="E9884" t="str">
            <v>KATRAS, DHANBAD</v>
          </cell>
          <cell r="G9884">
            <v>7004203427</v>
          </cell>
          <cell r="K9884" t="str">
            <v>BQID160499</v>
          </cell>
        </row>
        <row r="9885">
          <cell r="E9885" t="str">
            <v>KODERMA</v>
          </cell>
          <cell r="G9885">
            <v>6205816424</v>
          </cell>
          <cell r="K9885" t="str">
            <v>BSAD161567</v>
          </cell>
        </row>
        <row r="9886">
          <cell r="E9886" t="str">
            <v>KATRAS, DHANBAD</v>
          </cell>
          <cell r="G9886">
            <v>9798360305</v>
          </cell>
          <cell r="K9886" t="str">
            <v>BSKD161477</v>
          </cell>
        </row>
        <row r="9887">
          <cell r="E9887" t="str">
            <v>BALIDIH INDUSTRIAL AREA,BOKARO
PLOT NO. - A/2 (P) INDUSTRIAL AREA, BALIDIH BOKARO STEEL CITY - 14, BOKARO
827014
BOKARO INDUSTRIAL ESTATE</v>
          </cell>
          <cell r="G9887">
            <v>9102999894</v>
          </cell>
          <cell r="K9887" t="str">
            <v>BICET50010</v>
          </cell>
        </row>
        <row r="9888">
          <cell r="E9888" t="str">
            <v>CHKARDHARPUR, JHARKHAND</v>
          </cell>
          <cell r="G9888">
            <v>0</v>
          </cell>
          <cell r="K9888" t="str">
            <v>MISSING</v>
          </cell>
        </row>
        <row r="9889">
          <cell r="E9889" t="str">
            <v>RANCHI PATNA ROAD
DEMOTAND
825301
HAZARIBAGH</v>
          </cell>
          <cell r="G9889">
            <v>6203465926</v>
          </cell>
          <cell r="K9889" t="str">
            <v>BMBL160078</v>
          </cell>
        </row>
        <row r="9890">
          <cell r="E9890" t="str">
            <v>ARGADA ROAD, BINJHAR, P.O. - MARAR, RAMGARH
829117</v>
          </cell>
          <cell r="G9890">
            <v>7004688401</v>
          </cell>
          <cell r="K9890" t="str">
            <v>BSCS037449</v>
          </cell>
        </row>
        <row r="9891">
          <cell r="E9891" t="str">
            <v>KOKAR INDUSTRIAL AREA,,RANCHI
834002
KOKAR INDUSTRIAL AREA RANCHI</v>
          </cell>
          <cell r="G9891">
            <v>6202903299</v>
          </cell>
          <cell r="K9891" t="str">
            <v>BPLF150007</v>
          </cell>
        </row>
        <row r="9892">
          <cell r="E9892" t="str">
            <v>HAZARIBAGH</v>
          </cell>
          <cell r="G9892">
            <v>9494338689</v>
          </cell>
          <cell r="K9892" t="str">
            <v>BRCD160990</v>
          </cell>
        </row>
        <row r="9893">
          <cell r="E9893" t="str">
            <v>NAGARI,</v>
          </cell>
          <cell r="G9893">
            <v>9297706123</v>
          </cell>
          <cell r="K9893" t="str">
            <v>BLGS040582</v>
          </cell>
        </row>
        <row r="9894">
          <cell r="E9894" t="str">
            <v>NAGARI,</v>
          </cell>
          <cell r="G9894">
            <v>9297706123</v>
          </cell>
          <cell r="K9894" t="str">
            <v>BLGS040582</v>
          </cell>
        </row>
        <row r="9895">
          <cell r="E9895" t="str">
            <v>CHAKARDHARPUR, JAMSHEDPUR</v>
          </cell>
          <cell r="G9895">
            <v>9973476268</v>
          </cell>
          <cell r="K9895" t="str">
            <v>BSJD161422</v>
          </cell>
        </row>
        <row r="9896">
          <cell r="E9896" t="str">
            <v>RAIPUR COLLIYARI</v>
          </cell>
          <cell r="G9896">
            <v>8825938685</v>
          </cell>
          <cell r="K9896" t="str">
            <v>BRLD160741</v>
          </cell>
        </row>
        <row r="9897">
          <cell r="E9897" t="str">
            <v>TATISILWI, RANCHI</v>
          </cell>
          <cell r="G9897">
            <v>9431353920</v>
          </cell>
          <cell r="K9897" t="str">
            <v>BSDD120664</v>
          </cell>
        </row>
        <row r="9898">
          <cell r="E9898" t="str">
            <v>TATISIWAI INDUSTRIAL AREA, RANCHI
835103
TATISILWAY RANCHI</v>
          </cell>
          <cell r="G9898">
            <v>7050549999</v>
          </cell>
          <cell r="K9898">
            <v>107837</v>
          </cell>
        </row>
        <row r="9899">
          <cell r="E9899" t="str">
            <v>RAGH8UNATHPUR, JHARKHAND</v>
          </cell>
          <cell r="G9899">
            <v>9939356615</v>
          </cell>
          <cell r="K9899" t="str">
            <v>BOID200238</v>
          </cell>
        </row>
        <row r="9900">
          <cell r="E9900" t="str">
            <v>TATISILWI, RANCHI</v>
          </cell>
          <cell r="G9900">
            <v>7992479722</v>
          </cell>
          <cell r="K9900" t="str">
            <v>BSDD120664</v>
          </cell>
        </row>
        <row r="9901">
          <cell r="E9901" t="str">
            <v>TOPA MINES, RAMGARH</v>
          </cell>
          <cell r="G9901">
            <v>9471109170</v>
          </cell>
          <cell r="K9901" t="str">
            <v>BQID160519</v>
          </cell>
        </row>
        <row r="9902">
          <cell r="E9902" t="str">
            <v>CITY CENTER SECTOR - 4, BOKARO STEEL CITY, BOKARO, JHARKHAND, MOB. NO. 7050539301
CITY CENTER SECTOR - 4, BOKARO STEEL CITY, BOKARO, JHARKHAND, MOB. NO. 7050539301
827003
BOKARO</v>
          </cell>
          <cell r="G9902">
            <v>9798301918</v>
          </cell>
          <cell r="K9902">
            <v>70369</v>
          </cell>
        </row>
        <row r="9903">
          <cell r="E9903" t="str">
            <v>BOKARO,JHARKHAND
827004</v>
          </cell>
          <cell r="G9903">
            <v>9263636102</v>
          </cell>
          <cell r="K9903" t="str">
            <v>BRGC373881</v>
          </cell>
        </row>
        <row r="9904">
          <cell r="E9904" t="str">
            <v>TATISILWAI, JHARKHAND
835103</v>
          </cell>
          <cell r="G9904">
            <v>6200160428</v>
          </cell>
          <cell r="K9904" t="str">
            <v>BQGS031413</v>
          </cell>
        </row>
        <row r="9905">
          <cell r="E9905" t="str">
            <v>TOPA MINES, RAMGARH</v>
          </cell>
          <cell r="G9905">
            <v>9908949548</v>
          </cell>
          <cell r="K9905" t="str">
            <v>BSKD161467</v>
          </cell>
        </row>
        <row r="9906">
          <cell r="E9906" t="str">
            <v>KHELGAON, RANCHI</v>
          </cell>
          <cell r="G9906">
            <v>8051191796</v>
          </cell>
          <cell r="K9906" t="str">
            <v>BRGD161233</v>
          </cell>
        </row>
        <row r="9907">
          <cell r="E9907" t="str">
            <v>AT: SENEGARHA, P.O-RABODH, P.S-GIDDI,(RAMGARH),, DISTT. HAZARIBAGH,JHARKHAND-825330
829108
AT: SENEGARHA, P.O-RABODH, P.S-GIDDI,(RAMGARH),</v>
          </cell>
          <cell r="G9907">
            <v>9006877583</v>
          </cell>
          <cell r="K9907" t="str">
            <v>BSCS037349</v>
          </cell>
        </row>
        <row r="9908">
          <cell r="E9908" t="str">
            <v>DALTONGANJ, JHARKHAND
822101
DALTONGANJ</v>
          </cell>
          <cell r="G9908">
            <v>9654005362</v>
          </cell>
          <cell r="K9908" t="str">
            <v>BRJC371742</v>
          </cell>
        </row>
        <row r="9909">
          <cell r="E9909" t="str">
            <v>HOSHIR GIDDI,RAMGARH
NEAR P.N. BANK MAIN ROAD, RAMGARH CANTT. 829122
829110</v>
          </cell>
          <cell r="G9909">
            <v>7654659452</v>
          </cell>
          <cell r="K9909" t="str">
            <v>BRHS035368</v>
          </cell>
        </row>
        <row r="9910">
          <cell r="E9910" t="str">
            <v>KOKAR INDUSTRIAL AREA, RANCHI
834001</v>
          </cell>
          <cell r="G9910">
            <v>9934841617</v>
          </cell>
          <cell r="K9910" t="str">
            <v>BJAET10022</v>
          </cell>
        </row>
        <row r="9911">
          <cell r="E9911" t="str">
            <v>NAGRI, RANCHI</v>
          </cell>
          <cell r="G9911">
            <v>0</v>
          </cell>
          <cell r="K9911">
            <v>11397201</v>
          </cell>
        </row>
        <row r="9912">
          <cell r="E9912" t="str">
            <v>RANCHI PATNA ROAD
DEMOTAND
825301
HAZARIBAGH</v>
          </cell>
          <cell r="G9912">
            <v>7905424302</v>
          </cell>
          <cell r="K9912" t="str">
            <v>BIFS040367</v>
          </cell>
        </row>
        <row r="9913">
          <cell r="E9913" t="str">
            <v>CHATRA</v>
          </cell>
          <cell r="G9913">
            <v>9798724120</v>
          </cell>
          <cell r="K9913" t="str">
            <v>BRJD160543</v>
          </cell>
        </row>
        <row r="9914">
          <cell r="E9914" t="str">
            <v>GARHWA ROAD, NEAR BCCL PALAMU,DALTONGANJ</v>
          </cell>
          <cell r="G9914">
            <v>0</v>
          </cell>
          <cell r="K9914">
            <v>19561607</v>
          </cell>
        </row>
        <row r="9915">
          <cell r="E9915" t="str">
            <v>TATISILWAI, JHARKHAND
835103</v>
          </cell>
          <cell r="G9915">
            <v>6200160428</v>
          </cell>
          <cell r="K9915" t="str">
            <v>BQHS040705</v>
          </cell>
        </row>
        <row r="9916">
          <cell r="E9916" t="str">
            <v>PAKUR</v>
          </cell>
          <cell r="G9916">
            <v>9234686331</v>
          </cell>
          <cell r="K9916" t="str">
            <v>BQJD200029</v>
          </cell>
        </row>
        <row r="9917">
          <cell r="E9917" t="str">
            <v>NEWRI VIKASH RANCHI JHARKHAND
NEWRI VIKASH RANCHI JHARKHAND
834006
RANCHI</v>
          </cell>
          <cell r="G9917">
            <v>201479268</v>
          </cell>
          <cell r="K9917" t="str">
            <v>BQAC373734</v>
          </cell>
        </row>
        <row r="9918">
          <cell r="E9918" t="str">
            <v>KOKAR,RANCHI</v>
          </cell>
          <cell r="G9918">
            <v>7079323050</v>
          </cell>
          <cell r="K9918" t="str">
            <v>BPLF150007</v>
          </cell>
        </row>
        <row r="9919">
          <cell r="E9919" t="str">
            <v>KOKAR,RANCHI</v>
          </cell>
          <cell r="G9919">
            <v>6202903299</v>
          </cell>
          <cell r="K9919" t="str">
            <v>BPLF150007</v>
          </cell>
        </row>
        <row r="9920">
          <cell r="E9920" t="str">
            <v>PLOT NO 716,VILL-RUKKA,
835219</v>
          </cell>
          <cell r="G9920">
            <v>9791019799</v>
          </cell>
          <cell r="K9920" t="str">
            <v>BSKS036366</v>
          </cell>
        </row>
        <row r="9921">
          <cell r="E9921" t="str">
            <v>NAGRI,RANCHI</v>
          </cell>
          <cell r="G9921">
            <v>7541071027</v>
          </cell>
          <cell r="K9921">
            <v>18516212</v>
          </cell>
        </row>
        <row r="9922">
          <cell r="E9922" t="str">
            <v>TUPPUDANA</v>
          </cell>
          <cell r="G9922">
            <v>8235281820</v>
          </cell>
          <cell r="K9922" t="str">
            <v>BQHD160412</v>
          </cell>
        </row>
        <row r="9923">
          <cell r="E9923" t="str">
            <v>BIHAR</v>
          </cell>
          <cell r="G9923">
            <v>7013214289</v>
          </cell>
          <cell r="K9923" t="str">
            <v>BGHD160013</v>
          </cell>
        </row>
        <row r="9924">
          <cell r="E9924" t="str">
            <v>KATRAS, DHANBAD</v>
          </cell>
          <cell r="G9924">
            <v>9631212634</v>
          </cell>
          <cell r="K9924" t="str">
            <v>BRLD160727</v>
          </cell>
        </row>
        <row r="9925">
          <cell r="E9925" t="str">
            <v>BOKARO CITY SECTOR-4 BOKARO
827001
CITY CENTER, SECTOR-4</v>
          </cell>
          <cell r="G9925">
            <v>9263636107</v>
          </cell>
          <cell r="K9925" t="str">
            <v>GOEC370631</v>
          </cell>
        </row>
        <row r="9926">
          <cell r="E9926" t="str">
            <v>NAGRI,RANCHI
835202
RANCHI</v>
          </cell>
          <cell r="G9926">
            <v>8877024924</v>
          </cell>
          <cell r="K9926" t="str">
            <v>BMJS040004</v>
          </cell>
        </row>
        <row r="9927">
          <cell r="E9927" t="str">
            <v>NAGRI,RANCHI
835202
RANCHI</v>
          </cell>
          <cell r="G9927">
            <v>8877024924</v>
          </cell>
          <cell r="K9927" t="str">
            <v>BMJS040004</v>
          </cell>
        </row>
        <row r="9928">
          <cell r="E9928" t="str">
            <v>COLLIEARY, DHANBAD</v>
          </cell>
          <cell r="G9928">
            <v>9948411856</v>
          </cell>
          <cell r="K9928" t="str">
            <v>BRID161336</v>
          </cell>
        </row>
        <row r="9929">
          <cell r="E9929" t="str">
            <v>REHLA, GARHWA ROAD, PALAMU D.T, JHARKHAND
PALAMU JHARKHAND 822124
INDIA</v>
          </cell>
          <cell r="G9929">
            <v>7992431955</v>
          </cell>
          <cell r="K9929" t="str">
            <v>BLFS031469</v>
          </cell>
        </row>
        <row r="9930">
          <cell r="E9930" t="str">
            <v>REHLA,GARWA,JHARKHAND
822124
RANCHI</v>
          </cell>
          <cell r="G9930">
            <v>7992431955</v>
          </cell>
          <cell r="K9930" t="str">
            <v>BMFS031346</v>
          </cell>
        </row>
        <row r="9931">
          <cell r="E9931" t="str">
            <v>CITY CENTER SECTOR - 4, BOKARO STEEL CITY, BOKARO, JHARKHAND, MOB. NO. 7050539301
CITY CENTER SECTOR - 4, BOKARO STEEL CITY, BOKARO, JHARKHAND, MOB. NO. 7050539301
827003
BOKARO</v>
          </cell>
          <cell r="G9931">
            <v>9798301918</v>
          </cell>
          <cell r="K9931">
            <v>70369</v>
          </cell>
        </row>
        <row r="9932">
          <cell r="E9932" t="str">
            <v>BISRAMPUR, DALTONGANJ</v>
          </cell>
          <cell r="G9932">
            <v>8489239977</v>
          </cell>
          <cell r="K9932" t="str">
            <v>BQED160211</v>
          </cell>
        </row>
        <row r="9933">
          <cell r="E9933" t="str">
            <v>Govindpur, Dhanbad</v>
          </cell>
          <cell r="G9933">
            <v>7903828920</v>
          </cell>
          <cell r="K9933" t="str">
            <v>BQGD230029</v>
          </cell>
        </row>
        <row r="9934">
          <cell r="E9934" t="str">
            <v>RANCHI,JHARKHAND
825301
JHUMRA</v>
          </cell>
          <cell r="G9934">
            <v>8541022146</v>
          </cell>
          <cell r="K9934" t="str">
            <v>BMIS031670</v>
          </cell>
        </row>
        <row r="9935">
          <cell r="E9935" t="str">
            <v xml:space="preserve"> GARWA</v>
          </cell>
          <cell r="G9935">
            <v>7992431955</v>
          </cell>
          <cell r="K9935">
            <v>19561601</v>
          </cell>
        </row>
        <row r="9936">
          <cell r="E9936" t="str">
            <v>BOKARO,JHARKHAND
827004</v>
          </cell>
          <cell r="G9936">
            <v>9263636102</v>
          </cell>
          <cell r="K9936" t="str">
            <v>BRGC373881</v>
          </cell>
        </row>
        <row r="9937">
          <cell r="E9937" t="str">
            <v>GARWA</v>
          </cell>
          <cell r="G9937">
            <v>7992431955</v>
          </cell>
          <cell r="K9937">
            <v>19564401</v>
          </cell>
        </row>
        <row r="9938">
          <cell r="E9938" t="str">
            <v>C/O - REKHA KUMARI, AT TENDER, PANDRA, KAMRE, RATU, RANCHI
C/O - REKHA KUMARI, AT TENDER, PANDRA, KAMRE, RATU, RANCHI
835103</v>
          </cell>
          <cell r="G9938">
            <v>7903881583</v>
          </cell>
          <cell r="K9938" t="str">
            <v>BREC373485</v>
          </cell>
        </row>
        <row r="9939">
          <cell r="E9939" t="str">
            <v>JAMTARA</v>
          </cell>
          <cell r="G9939">
            <v>8789065274</v>
          </cell>
          <cell r="K9939" t="str">
            <v>BRAD160816</v>
          </cell>
        </row>
        <row r="9940">
          <cell r="E9940" t="str">
            <v>ANEDIH</v>
          </cell>
          <cell r="G9940">
            <v>6299628873</v>
          </cell>
          <cell r="K9940" t="str">
            <v>BSKD161476</v>
          </cell>
        </row>
        <row r="9941">
          <cell r="E9941" t="str">
            <v>PHASE 3
827014
PHASE 3 INDUSTRIAL AREA827013</v>
          </cell>
          <cell r="G9941">
            <v>9122209999</v>
          </cell>
          <cell r="K9941" t="str">
            <v>BQIS031915</v>
          </cell>
        </row>
        <row r="9942">
          <cell r="E9942" t="str">
            <v>PAKUR</v>
          </cell>
          <cell r="G9942">
            <v>9234686331</v>
          </cell>
          <cell r="K9942" t="str">
            <v>BQJD200029</v>
          </cell>
        </row>
        <row r="9943">
          <cell r="E9943" t="str">
            <v>JAMTARA</v>
          </cell>
          <cell r="G9943">
            <v>8789065274</v>
          </cell>
          <cell r="K9943" t="str">
            <v>BRAD160816</v>
          </cell>
        </row>
        <row r="9944">
          <cell r="E9944" t="str">
            <v>TUPUDANA INDUSTRIAL AREA, RANCHI
PLOT NO. 114, TUPUDANA INDUSTRIAL AREA, TUPUDANA,HATIA, RANCHI
834002
RANCHI</v>
          </cell>
          <cell r="G9944">
            <v>7979079842</v>
          </cell>
          <cell r="K9944" t="str">
            <v>GOKS040088</v>
          </cell>
        </row>
        <row r="9945">
          <cell r="E9945" t="str">
            <v>RANCHI</v>
          </cell>
          <cell r="G9945">
            <v>8771336770</v>
          </cell>
          <cell r="K9945" t="str">
            <v>BLIS031950</v>
          </cell>
        </row>
        <row r="9946">
          <cell r="E9946" t="str">
            <v>TIKRATOLI,SAPAROM
NEAR LALGUTWA OVERBRIDGE, TIKRATOLI, SAPAROM,, NAGRI, RANCHI
835303</v>
          </cell>
          <cell r="G9946">
            <v>7004423828</v>
          </cell>
          <cell r="K9946" t="str">
            <v>BKJS040077</v>
          </cell>
        </row>
        <row r="9947">
          <cell r="E9947" t="str">
            <v>KATRAS, DHANBAD</v>
          </cell>
          <cell r="G9947">
            <v>7004203427</v>
          </cell>
          <cell r="K9947" t="str">
            <v>BQID160499</v>
          </cell>
        </row>
        <row r="9948">
          <cell r="E9948" t="str">
            <v>62, KOKAR INDUSTRIAL AREA, KOKAR,RANCHI.
834001</v>
          </cell>
          <cell r="G9948">
            <v>850744606</v>
          </cell>
          <cell r="K9948" t="str">
            <v>BJDF150016</v>
          </cell>
        </row>
        <row r="9949">
          <cell r="E9949" t="str">
            <v>RAIPUR COLLIYARI</v>
          </cell>
          <cell r="G9949">
            <v>9491609217</v>
          </cell>
          <cell r="K9949" t="str">
            <v>BRHD161304</v>
          </cell>
        </row>
        <row r="9950">
          <cell r="E9950" t="str">
            <v>TATISHILAWI, RANCHI</v>
          </cell>
          <cell r="G9950">
            <v>9709000070</v>
          </cell>
          <cell r="K9950">
            <v>14605705</v>
          </cell>
        </row>
        <row r="9951">
          <cell r="E9951" t="str">
            <v>Govindpur, Dhanbad</v>
          </cell>
          <cell r="G9951">
            <v>7903828920</v>
          </cell>
          <cell r="K9951" t="str">
            <v>BQGD230029</v>
          </cell>
        </row>
        <row r="9952">
          <cell r="E9952" t="str">
            <v>RANCHI PATNA ROAD
DEMOTAND
825301
HAZARIBAGH</v>
          </cell>
          <cell r="G9952">
            <v>6203465926</v>
          </cell>
          <cell r="K9952" t="str">
            <v>BMBL160078</v>
          </cell>
        </row>
        <row r="9953">
          <cell r="E9953" t="str">
            <v>JAMUI BIHAR</v>
          </cell>
          <cell r="G9953">
            <v>9264207575</v>
          </cell>
          <cell r="K9953" t="str">
            <v>BQKD160076</v>
          </cell>
        </row>
        <row r="9954">
          <cell r="E9954" t="str">
            <v>TATISHILAWI, RANCHI</v>
          </cell>
          <cell r="G9954">
            <v>9709000070</v>
          </cell>
          <cell r="K9954">
            <v>14605705</v>
          </cell>
        </row>
        <row r="9955">
          <cell r="E9955" t="str">
            <v>MAHILONG TATISILWAY, RANCHI</v>
          </cell>
          <cell r="G9955">
            <v>9709000070</v>
          </cell>
          <cell r="K9955">
            <v>146057056</v>
          </cell>
        </row>
        <row r="9956">
          <cell r="E9956" t="str">
            <v>RANCHI PATNA ROAD
DEMOTAND
825301
HAZARIBAGH</v>
          </cell>
          <cell r="G9956">
            <v>6203465926</v>
          </cell>
          <cell r="K9956" t="str">
            <v>BMBL160078</v>
          </cell>
        </row>
        <row r="9957">
          <cell r="E9957" t="str">
            <v>JAPLA</v>
          </cell>
          <cell r="G9957">
            <v>7979713783</v>
          </cell>
          <cell r="K9957" t="str">
            <v>GOBD160007</v>
          </cell>
        </row>
        <row r="9958">
          <cell r="E9958" t="str">
            <v>BERA COLLIEARY, DHANBAD</v>
          </cell>
          <cell r="G9958">
            <v>9585918025</v>
          </cell>
          <cell r="K9958" t="str">
            <v>BRCD160968</v>
          </cell>
        </row>
        <row r="9959">
          <cell r="E9959" t="str">
            <v>KATRAS, DHANBAD</v>
          </cell>
          <cell r="G9959">
            <v>8578067075</v>
          </cell>
          <cell r="K9959" t="str">
            <v>BRED161077</v>
          </cell>
        </row>
        <row r="9960">
          <cell r="E9960" t="str">
            <v>JAL MAIDAN, JAMSHEDPUR</v>
          </cell>
          <cell r="G9960">
            <v>9489176819</v>
          </cell>
          <cell r="K9960" t="str">
            <v>BRCD161002</v>
          </cell>
        </row>
        <row r="9961">
          <cell r="E9961" t="str">
            <v>KATRAS, DHANBAD</v>
          </cell>
          <cell r="G9961">
            <v>9994368227</v>
          </cell>
          <cell r="K9961" t="str">
            <v>BRLD160727</v>
          </cell>
        </row>
        <row r="9962">
          <cell r="E9962" t="str">
            <v>SHADEV NAGAR
834002
SHADEV NAGAR</v>
          </cell>
          <cell r="G9962">
            <v>8108898877</v>
          </cell>
          <cell r="K9962" t="str">
            <v>GOHC370857</v>
          </cell>
        </row>
        <row r="9963">
          <cell r="E9963" t="str">
            <v>BOKARO</v>
          </cell>
          <cell r="G9963">
            <v>9931588975</v>
          </cell>
          <cell r="K9963" t="str">
            <v>BQDD160205</v>
          </cell>
        </row>
        <row r="9964">
          <cell r="E9964" t="str">
            <v>SHADEV NAGAR
834002
SHADEV NAGAR</v>
          </cell>
          <cell r="G9964">
            <v>8108898877</v>
          </cell>
          <cell r="K9964" t="str">
            <v>GOHC370857</v>
          </cell>
        </row>
        <row r="9965">
          <cell r="E9965" t="str">
            <v>BOKARO</v>
          </cell>
          <cell r="G9965">
            <v>9443541279</v>
          </cell>
          <cell r="K9965" t="str">
            <v>BSLD230358</v>
          </cell>
        </row>
        <row r="9966">
          <cell r="E9966" t="str">
            <v>GOVINDPUR, DHANBAD</v>
          </cell>
          <cell r="G9966">
            <v>7903828920</v>
          </cell>
          <cell r="K9966" t="str">
            <v>BQGD230029</v>
          </cell>
        </row>
        <row r="9967">
          <cell r="E9967" t="str">
            <v>TOPA MINES, RAMGARH</v>
          </cell>
          <cell r="G9967">
            <v>9425513941</v>
          </cell>
          <cell r="K9967" t="str">
            <v>BQID160519</v>
          </cell>
        </row>
        <row r="9968">
          <cell r="E9968" t="str">
            <v>TOPA MINES, RAMGARH</v>
          </cell>
          <cell r="G9968">
            <v>9908949548</v>
          </cell>
          <cell r="K9968" t="str">
            <v>BSKD161467</v>
          </cell>
        </row>
        <row r="9969">
          <cell r="E9969" t="str">
            <v>TOPA MINES, RAMGARH</v>
          </cell>
          <cell r="G9969">
            <v>7010705456</v>
          </cell>
          <cell r="K9969" t="str">
            <v>BQED160241</v>
          </cell>
        </row>
        <row r="9970">
          <cell r="E9970" t="str">
            <v>DHANBAD</v>
          </cell>
          <cell r="G9970">
            <v>8825938685</v>
          </cell>
          <cell r="K9970" t="str">
            <v>BRLD160741</v>
          </cell>
        </row>
        <row r="9971">
          <cell r="E9971" t="str">
            <v>DEMO TANND HAZAIBAGH JHARKHAND,
825301
DEMO TANND HAZAIBAGH JHARKHAND</v>
          </cell>
          <cell r="G9971">
            <v>9431354466</v>
          </cell>
          <cell r="K9971" t="str">
            <v>BMDS040417</v>
          </cell>
        </row>
        <row r="9972">
          <cell r="E9972" t="str">
            <v>PALAMU</v>
          </cell>
          <cell r="G9972">
            <v>7903236357</v>
          </cell>
          <cell r="K9972" t="str">
            <v>BSJD161378</v>
          </cell>
        </row>
        <row r="9973">
          <cell r="E9973" t="str">
            <v>GAYA, BIHAR</v>
          </cell>
          <cell r="G9973">
            <v>9431266779</v>
          </cell>
          <cell r="K9973" t="str">
            <v>BRJD160577</v>
          </cell>
        </row>
        <row r="9974">
          <cell r="E9974" t="str">
            <v>MAIN ROAD , RANCHI</v>
          </cell>
          <cell r="G9974">
            <v>8002328076</v>
          </cell>
          <cell r="K9974" t="str">
            <v>BOID200223</v>
          </cell>
        </row>
        <row r="9975">
          <cell r="E9975" t="str">
            <v>GOVINDPUR, GOMIYA</v>
          </cell>
          <cell r="G9975">
            <v>8825270627</v>
          </cell>
          <cell r="K9975" t="str">
            <v>BRLD160728</v>
          </cell>
        </row>
        <row r="9976">
          <cell r="E9976" t="str">
            <v>TATISILWAI, JHARKHAND
835103</v>
          </cell>
          <cell r="G9976">
            <v>6200160428</v>
          </cell>
          <cell r="K9976" t="str">
            <v>BQHS040705</v>
          </cell>
        </row>
        <row r="9977">
          <cell r="E9977" t="str">
            <v>TATISILWAI, JHARKHAND
835103</v>
          </cell>
          <cell r="G9977">
            <v>6200160428</v>
          </cell>
          <cell r="K9977" t="str">
            <v>BQGS031413</v>
          </cell>
        </row>
        <row r="9978">
          <cell r="E9978" t="str">
            <v>CHATRA</v>
          </cell>
          <cell r="G9978">
            <v>7004915623</v>
          </cell>
          <cell r="K9978" t="str">
            <v>BSLD200427</v>
          </cell>
        </row>
        <row r="9979">
          <cell r="E9979" t="str">
            <v>PALAMU</v>
          </cell>
          <cell r="G9979">
            <v>7903236357</v>
          </cell>
          <cell r="K9979" t="str">
            <v>BSJD161378</v>
          </cell>
        </row>
        <row r="9980">
          <cell r="E9980" t="str">
            <v>JHUMRI TELAIYA, KODARMA
825409</v>
          </cell>
          <cell r="G9980">
            <v>9955926845</v>
          </cell>
          <cell r="K9980" t="str">
            <v>BSBC375530</v>
          </cell>
        </row>
        <row r="9981">
          <cell r="E9981" t="str">
            <v>TUPUDANA INDUSTRIAL AREA, RANCHI
PLOT NO. 114, TUPUDANA INDUSTRIAL AREA, TUPUDANA,HATIA, RANCHI
834002
RANCHI</v>
          </cell>
          <cell r="G9981">
            <v>7979079842</v>
          </cell>
          <cell r="K9981" t="str">
            <v>GOKS040088</v>
          </cell>
        </row>
        <row r="9982">
          <cell r="E9982" t="str">
            <v>NAGRI,RANCHI
835202
RANCHI</v>
          </cell>
          <cell r="G9982">
            <v>7004849065</v>
          </cell>
          <cell r="K9982" t="str">
            <v>BRIS035698</v>
          </cell>
        </row>
        <row r="9983">
          <cell r="E9983" t="str">
            <v>RAMPUR NAMKUM, RANCHI</v>
          </cell>
          <cell r="G9983">
            <v>9546884024</v>
          </cell>
          <cell r="K9983" t="str">
            <v>BSAD120582</v>
          </cell>
        </row>
        <row r="9984">
          <cell r="E9984" t="str">
            <v>PUNDAG, RANCHI</v>
          </cell>
          <cell r="G9984">
            <v>9471171432</v>
          </cell>
          <cell r="K9984" t="str">
            <v>BPED200181</v>
          </cell>
        </row>
        <row r="9985">
          <cell r="E9985" t="str">
            <v>KATHAL MORE, RANCHI</v>
          </cell>
          <cell r="G9985">
            <v>8210269774</v>
          </cell>
          <cell r="K9985" t="str">
            <v>BRED161081</v>
          </cell>
        </row>
        <row r="9986">
          <cell r="E9986" t="str">
            <v>KATRAS, DHANBAD</v>
          </cell>
          <cell r="G9986">
            <v>8210567144</v>
          </cell>
          <cell r="K9986" t="str">
            <v>BQID160499</v>
          </cell>
        </row>
        <row r="9987">
          <cell r="E9987" t="str">
            <v>TANKUPA, GAYA BIHAR</v>
          </cell>
          <cell r="G9987">
            <v>8434339565</v>
          </cell>
          <cell r="K9987" t="str">
            <v>BRED161131</v>
          </cell>
        </row>
        <row r="9988">
          <cell r="E9988" t="str">
            <v>TIPUDANA,RANCHI</v>
          </cell>
          <cell r="G9988">
            <v>9534249500</v>
          </cell>
          <cell r="K9988">
            <v>13254305</v>
          </cell>
        </row>
        <row r="9989">
          <cell r="E9989" t="str">
            <v>JHARIA, DHANBAD</v>
          </cell>
          <cell r="G9989">
            <v>9491609217</v>
          </cell>
          <cell r="K9989" t="str">
            <v>BRHD161304</v>
          </cell>
        </row>
        <row r="9990">
          <cell r="E9990" t="str">
            <v>OPERATIONS OFFICER, BOKARO BP, KIND ATTEN.ABHISHEK TRIPATHI, MOB. NO.8789972995, VENDOR CODE-11970380
OPERATIONS OFFICER, BOKARO BP, KIND ATTEN.ABHISHEK TRIPATHI, MOB. NO.8789972995, VENDOR CODE-11970380
827014
LPG BOTTALING PLANT, BALIDIH,</v>
          </cell>
          <cell r="G9990">
            <v>9064073084</v>
          </cell>
          <cell r="K9990" t="str">
            <v>BOCS040147</v>
          </cell>
        </row>
        <row r="9991">
          <cell r="E9991" t="str">
            <v>HOSHIR GIDDI,RAMGARH
NEAR P.N. BANK MAIN ROAD, RAMGARH CANTT. 829122
829110</v>
          </cell>
          <cell r="G9991">
            <v>8789325754</v>
          </cell>
          <cell r="K9991" t="str">
            <v>BSKS036261</v>
          </cell>
        </row>
        <row r="9992">
          <cell r="E9992" t="str">
            <v>TOPA MINES, RAMGARH</v>
          </cell>
          <cell r="G9992">
            <v>9908949548</v>
          </cell>
          <cell r="K9992" t="str">
            <v>BSKD161467</v>
          </cell>
        </row>
        <row r="9993">
          <cell r="E9993" t="str">
            <v>DALADALI, RANCHI</v>
          </cell>
          <cell r="G9993">
            <v>9334701321</v>
          </cell>
          <cell r="K9993" t="str">
            <v>BPLD200068</v>
          </cell>
        </row>
        <row r="9994">
          <cell r="E9994" t="str">
            <v>BISRAMPUR, DALTONGANJ</v>
          </cell>
          <cell r="G9994">
            <v>8489239977</v>
          </cell>
          <cell r="K9994" t="str">
            <v>BQED160211</v>
          </cell>
        </row>
        <row r="9995">
          <cell r="E9995" t="str">
            <v>DHANBAD</v>
          </cell>
          <cell r="G9995">
            <v>6200699077</v>
          </cell>
          <cell r="K9995" t="str">
            <v>BRKD200211</v>
          </cell>
        </row>
        <row r="9996">
          <cell r="E9996" t="str">
            <v>GROUND FLOOR, 8H AND 81, NATION PRINTERS, NAMKUM INDUSTRIAL AREA,, LOWADIH, RANCHI
GROUND FLOOR, 8H AND 81, NATION PRINTERS, NAMKUM INDUSTRIAL AREA,, LOWADIH, RANCHI
834010</v>
          </cell>
          <cell r="G9996">
            <v>9308825924</v>
          </cell>
          <cell r="K9996" t="str">
            <v>BRCC372871</v>
          </cell>
        </row>
        <row r="9997">
          <cell r="E9997" t="str">
            <v>KATHAL MORE, RANCHI</v>
          </cell>
          <cell r="G9997">
            <v>8210269774</v>
          </cell>
          <cell r="K9997" t="str">
            <v>BRED161081</v>
          </cell>
        </row>
        <row r="9998">
          <cell r="E9998" t="str">
            <v>KATHAL MORE, RANCHI</v>
          </cell>
          <cell r="G9998">
            <v>8210269774</v>
          </cell>
          <cell r="K9998" t="str">
            <v>BRED161081</v>
          </cell>
        </row>
        <row r="9999">
          <cell r="E9999" t="str">
            <v>LAKHISARAI, BIHAR</v>
          </cell>
          <cell r="G9999">
            <v>9874278005</v>
          </cell>
          <cell r="K9999" t="str">
            <v>BNJS040074</v>
          </cell>
        </row>
        <row r="10000">
          <cell r="E10000" t="str">
            <v>LAKHISARAI, BIHAR</v>
          </cell>
          <cell r="G10000">
            <v>9874278005</v>
          </cell>
          <cell r="K10000" t="str">
            <v>BNJS040045</v>
          </cell>
        </row>
        <row r="10001">
          <cell r="E10001" t="str">
            <v>LAKHISARAI, BIHAR</v>
          </cell>
          <cell r="G10001">
            <v>9874278005</v>
          </cell>
          <cell r="K10001" t="str">
            <v>BNJS040075</v>
          </cell>
        </row>
        <row r="10002">
          <cell r="E10002" t="str">
            <v>DALTANGANJ</v>
          </cell>
          <cell r="G10002">
            <v>9835111213</v>
          </cell>
          <cell r="K10002" t="str">
            <v>BQKD160094</v>
          </cell>
        </row>
        <row r="10003">
          <cell r="E10003" t="str">
            <v>GAYA, BIHAR</v>
          </cell>
          <cell r="G10003">
            <v>9546199380</v>
          </cell>
          <cell r="K10003" t="str">
            <v>BRDD161021</v>
          </cell>
        </row>
        <row r="10004">
          <cell r="E10004" t="str">
            <v>CHAS, BOKARO</v>
          </cell>
          <cell r="G10004">
            <v>9931588975</v>
          </cell>
          <cell r="K10004" t="str">
            <v>BQDD160205</v>
          </cell>
        </row>
        <row r="10005">
          <cell r="E10005" t="str">
            <v>KATHAL MORE, RANCHI</v>
          </cell>
          <cell r="G10005">
            <v>8210269774</v>
          </cell>
          <cell r="K10005" t="str">
            <v>BRED161081</v>
          </cell>
        </row>
        <row r="10006">
          <cell r="E10006" t="str">
            <v>GROUND FLOOR, 8H AND 81, NATION PRINTERS, NAMKUM INDUSTRIAL AREA,, LOWADIH, RANCHI
GROUND FLOOR, 8H AND 81, NATION PRINTERS, NAMKUM INDUSTRIAL AREA,, LOWADIH, RANCHI
834010</v>
          </cell>
          <cell r="G10006">
            <v>9306762658</v>
          </cell>
          <cell r="K10006" t="str">
            <v>BRFC373676</v>
          </cell>
        </row>
        <row r="10007">
          <cell r="E10007" t="str">
            <v>PAKUR, JHARKHAND</v>
          </cell>
          <cell r="G10007">
            <v>9708578832</v>
          </cell>
          <cell r="K10007" t="str">
            <v>BQJD120016</v>
          </cell>
        </row>
        <row r="10008">
          <cell r="E10008" t="str">
            <v>BIHAR</v>
          </cell>
          <cell r="G10008">
            <v>0</v>
          </cell>
          <cell r="K10008" t="str">
            <v>BRHD120445</v>
          </cell>
        </row>
        <row r="10009">
          <cell r="E10009" t="str">
            <v>JHUMRI TELAIYA, KODARMA
825409</v>
          </cell>
          <cell r="G10009">
            <v>9955926845</v>
          </cell>
          <cell r="K10009" t="str">
            <v>BSBC375530</v>
          </cell>
        </row>
        <row r="10010">
          <cell r="E10010" t="str">
            <v>TOPA MINES, RAMGARH</v>
          </cell>
          <cell r="G10010">
            <v>9425513941</v>
          </cell>
          <cell r="K10010" t="str">
            <v>BQID160519</v>
          </cell>
        </row>
        <row r="10011">
          <cell r="E10011" t="str">
            <v>RAMPUR, LOHARDGA</v>
          </cell>
          <cell r="G10011">
            <v>9934198170</v>
          </cell>
          <cell r="K10011" t="str">
            <v>BRKD160653</v>
          </cell>
        </row>
        <row r="10012">
          <cell r="E10012" t="str">
            <v>COLLIEARY, DHANBAD</v>
          </cell>
          <cell r="G10012">
            <v>9573347055</v>
          </cell>
          <cell r="K10012" t="str">
            <v>BRID161336</v>
          </cell>
        </row>
        <row r="10013">
          <cell r="E10013" t="str">
            <v>A-3, 2ND PHASE, ADITYAPUR INDUSTRIAL AREA, ADITYAPUR, JAMSHEDPUR, JHARKHAND
A-3, 2ND PHASE, ADITYAPUR INDUSTRIAL AREA, ADITYAPUR, JAMSHEDPUR, JHARKHAND
831013
JAMHEDPUR</v>
          </cell>
          <cell r="G10013">
            <v>9608189810</v>
          </cell>
          <cell r="K10013" t="str">
            <v>GPBC370442</v>
          </cell>
        </row>
        <row r="10014">
          <cell r="E10014" t="str">
            <v>KATHAL MORE, RANCHI</v>
          </cell>
          <cell r="G10014">
            <v>8210269774</v>
          </cell>
          <cell r="K10014" t="str">
            <v>BRED161081</v>
          </cell>
        </row>
        <row r="10015">
          <cell r="E10015" t="str">
            <v>TUPUDANA INDUSTRIAL AREA,RANCHI
834003</v>
          </cell>
          <cell r="G10015">
            <v>9835167418</v>
          </cell>
          <cell r="K10015" t="str">
            <v>BRIS035695</v>
          </cell>
        </row>
        <row r="10016">
          <cell r="E10016" t="str">
            <v>TIPUDANA</v>
          </cell>
          <cell r="G10016">
            <v>9534249500</v>
          </cell>
          <cell r="K10016">
            <v>13254305</v>
          </cell>
        </row>
        <row r="10017">
          <cell r="E10017" t="str">
            <v>NAGARI,</v>
          </cell>
          <cell r="G10017">
            <v>9297706123</v>
          </cell>
          <cell r="K10017" t="str">
            <v>BILS030211</v>
          </cell>
        </row>
        <row r="10018">
          <cell r="E10018" t="str">
            <v>ARGORA, RANCHI</v>
          </cell>
          <cell r="G10018">
            <v>9445553022</v>
          </cell>
          <cell r="K10018" t="str">
            <v>BQDD200043</v>
          </cell>
        </row>
        <row r="10019">
          <cell r="E10019" t="str">
            <v>GAMHARIA,JAMSHEDPUR</v>
          </cell>
          <cell r="G10019">
            <v>9725878240</v>
          </cell>
          <cell r="K10019" t="str">
            <v>BSKL151780</v>
          </cell>
        </row>
        <row r="10020">
          <cell r="E10020" t="str">
            <v>MUSABANI, TATA</v>
          </cell>
          <cell r="G10020">
            <v>7061969833</v>
          </cell>
          <cell r="K10020" t="str">
            <v>BQLD160182</v>
          </cell>
        </row>
        <row r="10021">
          <cell r="E10021" t="str">
            <v>DEOGHAR,JHARKHAND</v>
          </cell>
          <cell r="G10021">
            <v>8114561180</v>
          </cell>
          <cell r="K10021" t="str">
            <v>BQED160222</v>
          </cell>
        </row>
        <row r="10022">
          <cell r="E10022" t="str">
            <v>JAPLA</v>
          </cell>
          <cell r="G10022">
            <v>7979713783</v>
          </cell>
          <cell r="K10022" t="str">
            <v>GOBD160007</v>
          </cell>
        </row>
        <row r="10023">
          <cell r="E10023" t="str">
            <v>CHAS, BOKARO</v>
          </cell>
          <cell r="G10023">
            <v>9931588975</v>
          </cell>
          <cell r="K10023" t="str">
            <v>BQDD160205</v>
          </cell>
        </row>
        <row r="10024">
          <cell r="E10024" t="str">
            <v>KATRAS, DHANBAD</v>
          </cell>
          <cell r="G10024">
            <v>8578067075</v>
          </cell>
          <cell r="K10024" t="str">
            <v>BRED161077</v>
          </cell>
        </row>
        <row r="10025">
          <cell r="E10025" t="str">
            <v>CHAKARDHARPUR</v>
          </cell>
          <cell r="G10025">
            <v>8639995694</v>
          </cell>
          <cell r="K10025" t="str">
            <v>BSJD161422</v>
          </cell>
        </row>
        <row r="10026">
          <cell r="E10026" t="str">
            <v>CHAKARDHARPUR</v>
          </cell>
          <cell r="G10026">
            <v>8639995694</v>
          </cell>
          <cell r="K10026" t="str">
            <v>BSJD161422</v>
          </cell>
        </row>
        <row r="10027">
          <cell r="E10027" t="str">
            <v>RAMGARH</v>
          </cell>
          <cell r="G10027">
            <v>7004688401</v>
          </cell>
          <cell r="K10027" t="str">
            <v>BSCS037449</v>
          </cell>
        </row>
        <row r="10028">
          <cell r="E10028" t="str">
            <v>DEOGHAR,JHARKHAND</v>
          </cell>
          <cell r="G10028">
            <v>8114561180</v>
          </cell>
          <cell r="K10028" t="str">
            <v>BQED160222</v>
          </cell>
        </row>
        <row r="10029">
          <cell r="E10029" t="str">
            <v>DALTONGANJ</v>
          </cell>
          <cell r="G10029">
            <v>9661885004</v>
          </cell>
          <cell r="K10029" t="str">
            <v>BSAD161582</v>
          </cell>
        </row>
        <row r="10030">
          <cell r="E10030" t="str">
            <v>TOPA MINES, RAMGARH</v>
          </cell>
          <cell r="G10030">
            <v>9425513941</v>
          </cell>
          <cell r="K10030" t="str">
            <v>BQID160519</v>
          </cell>
        </row>
        <row r="10031">
          <cell r="E10031" t="str">
            <v>CHUTIYA, RANCHI</v>
          </cell>
          <cell r="G10031">
            <v>9334745488</v>
          </cell>
          <cell r="K10031" t="str">
            <v>BPBD200118</v>
          </cell>
        </row>
        <row r="10032">
          <cell r="E10032" t="str">
            <v>HINDPIDI, RANCHI</v>
          </cell>
          <cell r="G10032">
            <v>9445553022</v>
          </cell>
          <cell r="K10032" t="str">
            <v>BPLD200036</v>
          </cell>
        </row>
        <row r="10033">
          <cell r="E10033" t="str">
            <v>DUMKA</v>
          </cell>
          <cell r="G10033">
            <v>9304762882</v>
          </cell>
          <cell r="K10033" t="str">
            <v>BRAD160777</v>
          </cell>
        </row>
        <row r="10034">
          <cell r="E10034" t="str">
            <v>TOPA MINES, RAMGARH</v>
          </cell>
          <cell r="G10034">
            <v>9908949548</v>
          </cell>
          <cell r="K10034" t="str">
            <v>BSKD161467</v>
          </cell>
        </row>
        <row r="10035">
          <cell r="E10035" t="str">
            <v>TOPA MINES, RAMGARH</v>
          </cell>
          <cell r="G10035">
            <v>7010705456</v>
          </cell>
          <cell r="K10035" t="str">
            <v>BQED160241</v>
          </cell>
        </row>
        <row r="10036">
          <cell r="E10036" t="str">
            <v>DEMO TANND HAZAIBAGH JHARKHAND,
825301
DEMO TANND HAZAIBAGH JHARKHAND</v>
          </cell>
          <cell r="G10036">
            <v>9431354466</v>
          </cell>
          <cell r="K10036" t="str">
            <v>BMDS040417</v>
          </cell>
        </row>
        <row r="10037">
          <cell r="E10037" t="str">
            <v>TUPUDANA INDUSTRIAL AREA,RANCHI
834001
TUPUDANA RANCHI</v>
          </cell>
          <cell r="G10037">
            <v>9890395878</v>
          </cell>
          <cell r="K10037" t="str">
            <v>GPGS031328</v>
          </cell>
        </row>
        <row r="10038">
          <cell r="E10038" t="str">
            <v>TUPUDANA INDUSTRIAL AREA, RANCHI
PLOT NO. - 45 &amp; 46, TUPUDAN AINDUSTRIAL AREA, TUPUDANA, HATIA, RANCHI
834003
TIPUDANA INDUSTRIAL AREA</v>
          </cell>
          <cell r="G10038">
            <v>8092355914</v>
          </cell>
          <cell r="K10038" t="str">
            <v>BQBS033819</v>
          </cell>
        </row>
        <row r="10039">
          <cell r="E10039" t="str">
            <v>RANCHI PATNA ROAD
DEMOTAND
825301
HAZARIBAGH</v>
          </cell>
          <cell r="G10039">
            <v>7905424302</v>
          </cell>
          <cell r="K10039" t="str">
            <v>BMBL160078</v>
          </cell>
        </row>
        <row r="10040">
          <cell r="E10040" t="str">
            <v>KATRAS, DHANBAD</v>
          </cell>
          <cell r="G10040">
            <v>7013972419</v>
          </cell>
          <cell r="K10040" t="str">
            <v>BQCD160103</v>
          </cell>
        </row>
        <row r="10041">
          <cell r="E10041" t="str">
            <v>CHHATARPUR</v>
          </cell>
          <cell r="G10041">
            <v>9424332922</v>
          </cell>
          <cell r="K10041" t="str">
            <v>BRLD230160</v>
          </cell>
        </row>
        <row r="10042">
          <cell r="E10042" t="str">
            <v>DALTONGANJ, JHARKHAND
822101
DALTONGANJ</v>
          </cell>
          <cell r="G10042">
            <v>9654005362</v>
          </cell>
          <cell r="K10042" t="str">
            <v>BRJC371742</v>
          </cell>
        </row>
        <row r="10043">
          <cell r="E10043" t="str">
            <v>NAGARI,</v>
          </cell>
          <cell r="G10043">
            <v>9297706123</v>
          </cell>
          <cell r="K10043" t="str">
            <v>BILS030211</v>
          </cell>
        </row>
        <row r="10044">
          <cell r="E10044" t="str">
            <v>MANDU, RAMGARH
JAISWAL COLONY, THANA CHOW,, RAMGARH CANTT. DIST. RAMGARH, JHARKHAND
825316
MANDU</v>
          </cell>
          <cell r="G10044">
            <v>6205951815</v>
          </cell>
          <cell r="K10044">
            <v>123399</v>
          </cell>
        </row>
        <row r="10045">
          <cell r="E10045" t="str">
            <v>JAPLA</v>
          </cell>
          <cell r="G10045">
            <v>7979713783</v>
          </cell>
          <cell r="K10045" t="str">
            <v>GOBD160007</v>
          </cell>
        </row>
        <row r="10046">
          <cell r="E10046" t="str">
            <v>BAGODAR, JHARKHAND</v>
          </cell>
          <cell r="G10046">
            <v>9801371900</v>
          </cell>
          <cell r="K10046" t="str">
            <v>BJED210474</v>
          </cell>
        </row>
        <row r="10047">
          <cell r="E10047" t="str">
            <v>JAMTARA</v>
          </cell>
          <cell r="G10047">
            <v>6299737750</v>
          </cell>
          <cell r="K10047" t="str">
            <v>BRAD160816</v>
          </cell>
        </row>
        <row r="10048">
          <cell r="E10048" t="str">
            <v>CHATRA</v>
          </cell>
          <cell r="G10048">
            <v>7004915623</v>
          </cell>
          <cell r="K10048" t="str">
            <v>BSLD200427</v>
          </cell>
        </row>
        <row r="10049">
          <cell r="E10049" t="str">
            <v>GAYA, BIHAR</v>
          </cell>
          <cell r="G10049">
            <v>9431266779</v>
          </cell>
          <cell r="K10049" t="str">
            <v>BRJD160577</v>
          </cell>
        </row>
        <row r="10050">
          <cell r="E10050" t="str">
            <v>BAGODAR, JHARKHAND</v>
          </cell>
          <cell r="G10050">
            <v>7870903284</v>
          </cell>
          <cell r="K10050" t="str">
            <v>BQID160510</v>
          </cell>
        </row>
        <row r="10051">
          <cell r="E10051" t="str">
            <v>CHAS, BOKARO</v>
          </cell>
          <cell r="G10051">
            <v>9430331271</v>
          </cell>
          <cell r="K10051" t="str">
            <v>BMHD200313</v>
          </cell>
        </row>
        <row r="10052">
          <cell r="E10052" t="str">
            <v>DEOGHAR</v>
          </cell>
          <cell r="G10052">
            <v>8294069009</v>
          </cell>
          <cell r="K10052" t="str">
            <v>BSAD161576</v>
          </cell>
        </row>
        <row r="10053">
          <cell r="E10053" t="str">
            <v>GAYA, BIHAR</v>
          </cell>
          <cell r="G10053">
            <v>8340735591</v>
          </cell>
          <cell r="K10053" t="str">
            <v>BQBD160060</v>
          </cell>
        </row>
        <row r="10054">
          <cell r="E10054" t="str">
            <v>BOKARO</v>
          </cell>
          <cell r="G10054">
            <v>9443541279</v>
          </cell>
          <cell r="K10054" t="str">
            <v>BSLD230358</v>
          </cell>
        </row>
        <row r="10055">
          <cell r="E10055" t="str">
            <v>KOKAR,INDUSTRIAL AREA,RANCHI
834002
RANCHI</v>
          </cell>
          <cell r="G10055">
            <v>7781017919</v>
          </cell>
          <cell r="K10055" t="str">
            <v>BMKC370048</v>
          </cell>
        </row>
        <row r="10056">
          <cell r="E10056" t="str">
            <v>TIKRATOLI,SAPAROM
NEAR LALGUTWA OVERBRIDGE, TIKRATOLI, SAPAROM,, NAGRI, RANCHI
835303</v>
          </cell>
          <cell r="G10056">
            <v>7004423828</v>
          </cell>
          <cell r="K10056" t="str">
            <v>BKJS040077</v>
          </cell>
        </row>
        <row r="10057">
          <cell r="E10057" t="str">
            <v>KATRAS, DHANBAD</v>
          </cell>
          <cell r="G10057">
            <v>8210559608</v>
          </cell>
          <cell r="K10057" t="str">
            <v>BRBD160901</v>
          </cell>
        </row>
        <row r="10058">
          <cell r="E10058" t="str">
            <v>NEORI,VIKAS,RANCHI.
835217</v>
          </cell>
          <cell r="G10058">
            <v>0</v>
          </cell>
          <cell r="K10058" t="str">
            <v>BHES030390</v>
          </cell>
        </row>
        <row r="10059">
          <cell r="E10059" t="str">
            <v>HOSHIR GIDDI,RAMGARH
NEAR P.N. BANK MAIN ROAD, RAMGARH CANTT. 829122
829110</v>
          </cell>
          <cell r="G10059">
            <v>7654659452</v>
          </cell>
          <cell r="K10059" t="str">
            <v>BRHS035368</v>
          </cell>
        </row>
        <row r="10060">
          <cell r="E10060" t="str">
            <v>JAMTARA</v>
          </cell>
          <cell r="G10060">
            <v>8789065274</v>
          </cell>
          <cell r="K10060" t="str">
            <v>BRAD160816</v>
          </cell>
        </row>
        <row r="10061">
          <cell r="E10061" t="str">
            <v>KATRAS, DHANBAD</v>
          </cell>
          <cell r="G10061">
            <v>9346693594</v>
          </cell>
          <cell r="K10061" t="str">
            <v>BQCD160103</v>
          </cell>
        </row>
        <row r="10062">
          <cell r="E10062" t="str">
            <v>GOLA,RAMGARH
829110
TITLA GOLA,</v>
          </cell>
          <cell r="G10062">
            <v>9534232818</v>
          </cell>
          <cell r="K10062" t="str">
            <v>BJBS040305</v>
          </cell>
        </row>
        <row r="10063">
          <cell r="E10063" t="str">
            <v>CHATRA,JHARKHAND</v>
          </cell>
          <cell r="G10063">
            <v>7004203427</v>
          </cell>
          <cell r="K10063" t="str">
            <v>BSKD200409</v>
          </cell>
        </row>
        <row r="10064">
          <cell r="E10064" t="str">
            <v>PLOT NO. 148, TUPUDANA, INDUSTRIAL AREA, HATIA, RANCHI
834002</v>
          </cell>
          <cell r="G10064">
            <v>7979079842</v>
          </cell>
          <cell r="K10064" t="str">
            <v>BRIS035838</v>
          </cell>
        </row>
        <row r="10065">
          <cell r="E10065" t="str">
            <v>PLOT NO. 148, TUPUDANA, INDUSTRIAL AREA, HATIA, RANCHI
834002</v>
          </cell>
          <cell r="G10065">
            <v>7979079842</v>
          </cell>
          <cell r="K10065" t="str">
            <v>BRIS035838</v>
          </cell>
        </row>
        <row r="10066">
          <cell r="E10066" t="str">
            <v>SARNATOLI,ANGADA,RANCHI
835222</v>
          </cell>
          <cell r="G10066">
            <v>9798563448</v>
          </cell>
          <cell r="K10066" t="str">
            <v>BSAF110719</v>
          </cell>
        </row>
        <row r="10067">
          <cell r="E10067" t="str">
            <v>KATRAS, DHANBAD</v>
          </cell>
          <cell r="G10067">
            <v>8668006217</v>
          </cell>
          <cell r="K10067" t="str">
            <v>BRED161077</v>
          </cell>
        </row>
        <row r="10068">
          <cell r="E10068" t="str">
            <v>GHATSHILA,JAMSHEDPUR</v>
          </cell>
          <cell r="G10068">
            <v>9931755764</v>
          </cell>
          <cell r="K10068" t="str">
            <v>BPED200187</v>
          </cell>
        </row>
        <row r="10069">
          <cell r="E10069" t="str">
            <v>BAZAR SAMITI,RAMGARH
829122</v>
          </cell>
          <cell r="G10069">
            <v>9835764965</v>
          </cell>
          <cell r="K10069" t="str">
            <v>BSBC375576</v>
          </cell>
        </row>
        <row r="10070">
          <cell r="E10070" t="str">
            <v>BERU COLLIERY, DHANBAD</v>
          </cell>
          <cell r="G10070">
            <v>9585918025</v>
          </cell>
          <cell r="K10070" t="str">
            <v>BRGD161212</v>
          </cell>
        </row>
        <row r="10071">
          <cell r="E10071" t="str">
            <v>FATEHPUR, GAYA</v>
          </cell>
          <cell r="G10071">
            <v>8169716899</v>
          </cell>
          <cell r="K10071" t="str">
            <v>BRHD161314</v>
          </cell>
        </row>
        <row r="10072">
          <cell r="E10072" t="str">
            <v>DALTONGANJ</v>
          </cell>
          <cell r="G10072">
            <v>9835111213</v>
          </cell>
          <cell r="K10072" t="str">
            <v>BRJD160598</v>
          </cell>
        </row>
        <row r="10073">
          <cell r="E10073" t="str">
            <v>NAGRI, RANCHI</v>
          </cell>
          <cell r="G10073">
            <v>9771432711</v>
          </cell>
          <cell r="K10073" t="str">
            <v>BJDET70060</v>
          </cell>
        </row>
        <row r="10074">
          <cell r="E10074" t="str">
            <v>BAGODAR, JHARKHAND</v>
          </cell>
          <cell r="G10074">
            <v>9931180143</v>
          </cell>
          <cell r="K10074" t="str">
            <v>BPFD200198</v>
          </cell>
        </row>
        <row r="10075">
          <cell r="E10075" t="str">
            <v>DHANBAD</v>
          </cell>
          <cell r="G10075">
            <v>7979892986</v>
          </cell>
          <cell r="K10075" t="str">
            <v>BPED160088</v>
          </cell>
        </row>
        <row r="10076">
          <cell r="E10076" t="str">
            <v>NIMIAGHAT,GIRIDIH</v>
          </cell>
          <cell r="G10076">
            <v>9798869433</v>
          </cell>
          <cell r="K10076" t="str">
            <v>BSJD161406</v>
          </cell>
        </row>
        <row r="10077">
          <cell r="E10077" t="str">
            <v>PALAMU, JHARKHAND</v>
          </cell>
          <cell r="G10077">
            <v>9123429017</v>
          </cell>
          <cell r="K10077" t="str">
            <v>BMAD160117</v>
          </cell>
        </row>
        <row r="10078">
          <cell r="E10078" t="str">
            <v>BOKARO</v>
          </cell>
          <cell r="G10078">
            <v>9064073084</v>
          </cell>
          <cell r="K10078">
            <v>18445310</v>
          </cell>
        </row>
        <row r="10079">
          <cell r="E10079" t="str">
            <v>BOKARO</v>
          </cell>
          <cell r="G10079">
            <v>9064073084</v>
          </cell>
          <cell r="K10079">
            <v>19555604</v>
          </cell>
        </row>
        <row r="10080">
          <cell r="E10080" t="str">
            <v>ARGORA, RANCHI
834002</v>
          </cell>
          <cell r="G10080">
            <v>9199980777</v>
          </cell>
          <cell r="K10080" t="str">
            <v>BSKC374901</v>
          </cell>
        </row>
        <row r="10081">
          <cell r="E10081" t="str">
            <v>BIHAR</v>
          </cell>
          <cell r="G10081">
            <v>7013214289</v>
          </cell>
          <cell r="K10081" t="str">
            <v>BGHD160013</v>
          </cell>
        </row>
        <row r="10082">
          <cell r="E10082" t="str">
            <v>KATRAS, DHANBAD</v>
          </cell>
          <cell r="G10082">
            <v>8210106692</v>
          </cell>
          <cell r="K10082" t="str">
            <v>BRCD160940</v>
          </cell>
        </row>
        <row r="10083">
          <cell r="E10083" t="str">
            <v>DEOGHAR</v>
          </cell>
          <cell r="G10083">
            <v>8969984870</v>
          </cell>
          <cell r="K10083" t="str">
            <v>BQDD160163</v>
          </cell>
        </row>
        <row r="10084">
          <cell r="E10084" t="str">
            <v>DALADALI, RANCHI</v>
          </cell>
          <cell r="G10084">
            <v>9334701321</v>
          </cell>
          <cell r="K10084" t="str">
            <v>BQKD200048</v>
          </cell>
        </row>
        <row r="10085">
          <cell r="E10085" t="str">
            <v>GOPI MORE, GAYA</v>
          </cell>
          <cell r="G10085">
            <v>9931624435</v>
          </cell>
          <cell r="K10085" t="str">
            <v>BSAD161563</v>
          </cell>
        </row>
        <row r="10086">
          <cell r="E10086" t="str">
            <v>CHAS, BOKARO</v>
          </cell>
          <cell r="G10086">
            <v>9931588975</v>
          </cell>
          <cell r="K10086" t="str">
            <v>BQDD160205</v>
          </cell>
        </row>
        <row r="10087">
          <cell r="E10087" t="str">
            <v>RANCHI,JHARKHAND
834001
RANCHI</v>
          </cell>
          <cell r="G10087">
            <v>9431571200</v>
          </cell>
          <cell r="K10087" t="str">
            <v>BJHS031586</v>
          </cell>
        </row>
        <row r="10088">
          <cell r="E10088" t="str">
            <v>JAMSHEDPUR</v>
          </cell>
          <cell r="G10088">
            <v>9725878240</v>
          </cell>
          <cell r="K10088" t="str">
            <v>BRGL151468</v>
          </cell>
        </row>
        <row r="10089">
          <cell r="E10089" t="str">
            <v>REHLA,GARWA,JHARKHAND
822124
RANCHI</v>
          </cell>
          <cell r="G10089">
            <v>7992431955</v>
          </cell>
          <cell r="K10089" t="str">
            <v>BMFS031346</v>
          </cell>
        </row>
        <row r="10090">
          <cell r="E10090" t="str">
            <v>KATRAS, DHANBAD</v>
          </cell>
          <cell r="G10090">
            <v>9346693594</v>
          </cell>
          <cell r="K10090" t="str">
            <v>BQCD160103</v>
          </cell>
        </row>
        <row r="10091">
          <cell r="E10091" t="str">
            <v>HATA, JAMSHEDPUR</v>
          </cell>
          <cell r="G10091">
            <v>7692016969</v>
          </cell>
          <cell r="K10091" t="str">
            <v>BSLD161546</v>
          </cell>
        </row>
        <row r="10092">
          <cell r="E10092" t="str">
            <v>DALTONGANJ</v>
          </cell>
          <cell r="G10092">
            <v>9835111213</v>
          </cell>
          <cell r="K10092" t="str">
            <v>BRJD160598</v>
          </cell>
        </row>
        <row r="10093">
          <cell r="E10093" t="str">
            <v>DHANBAD</v>
          </cell>
          <cell r="G10093">
            <v>8210106692</v>
          </cell>
          <cell r="K10093" t="str">
            <v>BRGD161225</v>
          </cell>
        </row>
        <row r="10094">
          <cell r="E10094" t="str">
            <v>DHANBAD</v>
          </cell>
          <cell r="G10094">
            <v>8106167121</v>
          </cell>
          <cell r="K10094" t="str">
            <v>BRGD161225</v>
          </cell>
        </row>
        <row r="10095">
          <cell r="E10095" t="str">
            <v>DALADALI, RANCHI</v>
          </cell>
          <cell r="G10095">
            <v>9442277119</v>
          </cell>
          <cell r="K10095" t="str">
            <v>BQFD200090</v>
          </cell>
        </row>
        <row r="10096">
          <cell r="E10096" t="str">
            <v>TIKRATOLI,SAPAROM
NEAR LALGUTWA OVERBRIDGE, TIKRATOLI, SAPAROM,, NAGRI, RANCHI
835303</v>
          </cell>
          <cell r="G10096">
            <v>9608086621</v>
          </cell>
          <cell r="K10096" t="str">
            <v>BRGC373885</v>
          </cell>
        </row>
        <row r="10097">
          <cell r="E10097" t="str">
            <v>JHUMRI TILAIYA</v>
          </cell>
          <cell r="G10097">
            <v>7004725287</v>
          </cell>
          <cell r="K10097" t="str">
            <v>GPLS030458</v>
          </cell>
        </row>
        <row r="10098">
          <cell r="E10098" t="str">
            <v>KOKAR INDUSTRIAL AREA,RANCHI
834001</v>
          </cell>
          <cell r="G10098">
            <v>9572347943</v>
          </cell>
          <cell r="K10098" t="str">
            <v>BPIC370386</v>
          </cell>
        </row>
        <row r="10099">
          <cell r="E10099" t="str">
            <v>TIKRATOLI,SAPAROM
NEAR LALGUTWA OVERBRIDGE, TIKRATOLI, SAPAROM,, NAGRI, RANCHI
835303</v>
          </cell>
          <cell r="G10099">
            <v>9608086621</v>
          </cell>
          <cell r="K10099" t="str">
            <v>BQCS040170</v>
          </cell>
        </row>
        <row r="10100">
          <cell r="E10100" t="str">
            <v>AT. BONGABAR, SANDI, RAMGARH, AMC  FROM 1-8-2019 TO 30-7-2020
829122
SANDI ,</v>
          </cell>
          <cell r="G10100">
            <v>7360077726</v>
          </cell>
          <cell r="K10100" t="str">
            <v>BLGS040605</v>
          </cell>
        </row>
        <row r="10101">
          <cell r="E10101" t="str">
            <v>TATISILWAI, JHARKHAND
835103</v>
          </cell>
          <cell r="G10101">
            <v>6200160428</v>
          </cell>
          <cell r="K10101" t="str">
            <v>BQGS031413</v>
          </cell>
        </row>
        <row r="10102">
          <cell r="E10102" t="str">
            <v>TATISILWAI, JHARKHAND
835103</v>
          </cell>
          <cell r="G10102">
            <v>6200160428</v>
          </cell>
          <cell r="K10102" t="str">
            <v>BQHS040705</v>
          </cell>
        </row>
        <row r="10103">
          <cell r="E10103" t="str">
            <v>ODISA</v>
          </cell>
          <cell r="G10103">
            <v>9040140203</v>
          </cell>
          <cell r="K10103" t="str">
            <v>BPKD200021</v>
          </cell>
        </row>
        <row r="10104">
          <cell r="E10104" t="str">
            <v>ODISA</v>
          </cell>
          <cell r="G10104">
            <v>9040140203</v>
          </cell>
          <cell r="K10104" t="str">
            <v>BPKD200021</v>
          </cell>
        </row>
        <row r="10105">
          <cell r="E10105" t="str">
            <v>CITY CENTER SECTOR - 4, BOKARO STEEL CITY, BOKARO, JHARKHAND, MOB. NO. 7050539301
CITY CENTER SECTOR - 4, BOKARO STEEL CITY, BOKARO, JHARKHAND, MOB. NO. 7050539301
827003
BOKARO</v>
          </cell>
          <cell r="G10105">
            <v>9798301918</v>
          </cell>
          <cell r="K10105">
            <v>70369</v>
          </cell>
        </row>
        <row r="10106">
          <cell r="E10106" t="str">
            <v>VIDIYA NAGAR,RANCHI</v>
          </cell>
          <cell r="G10106">
            <v>9445553022</v>
          </cell>
          <cell r="K10106" t="str">
            <v>BQDD200043</v>
          </cell>
        </row>
        <row r="10107">
          <cell r="E10107" t="str">
            <v>CHAUPARAN</v>
          </cell>
          <cell r="G10107">
            <v>7979973607</v>
          </cell>
          <cell r="K10107" t="str">
            <v>BRLD160756</v>
          </cell>
        </row>
        <row r="10108">
          <cell r="E10108" t="str">
            <v>HORHAP ROAD, MAHILONG, RANCHI
835103</v>
          </cell>
          <cell r="G10108">
            <v>9708039203</v>
          </cell>
          <cell r="K10108" t="str">
            <v>BRIC374329</v>
          </cell>
        </row>
        <row r="10109">
          <cell r="E10109" t="str">
            <v>DHANBAD</v>
          </cell>
          <cell r="G10109">
            <v>9585918025</v>
          </cell>
          <cell r="K10109" t="str">
            <v>BRCD160968</v>
          </cell>
        </row>
        <row r="10110">
          <cell r="E10110" t="str">
            <v>CHAUPARAN</v>
          </cell>
          <cell r="G10110">
            <v>7979973607</v>
          </cell>
          <cell r="K10110" t="str">
            <v>BRLD160756</v>
          </cell>
        </row>
        <row r="10111">
          <cell r="E10111" t="str">
            <v>GOLA,RAMGARH
829110
TITLA GOLA,</v>
          </cell>
          <cell r="G10111">
            <v>9534232818</v>
          </cell>
          <cell r="K10111" t="str">
            <v>BJBS040305</v>
          </cell>
        </row>
        <row r="10112">
          <cell r="E10112" t="str">
            <v>TATISIWAI INDUSTRIAL AREA, RANCHI
835103
TATISILWAY RANCHI</v>
          </cell>
          <cell r="G10112">
            <v>9431103211</v>
          </cell>
          <cell r="K10112" t="str">
            <v>BSAS036958</v>
          </cell>
        </row>
        <row r="10113">
          <cell r="E10113" t="str">
            <v>SAPAROM INDUSTRIAL AREA</v>
          </cell>
          <cell r="G10113">
            <v>9431103211</v>
          </cell>
          <cell r="K10113">
            <v>18535712</v>
          </cell>
        </row>
        <row r="10114">
          <cell r="E10114" t="str">
            <v>KATITARH,RANCHI
835222</v>
          </cell>
          <cell r="G10114">
            <v>6201408006</v>
          </cell>
          <cell r="K10114" t="str">
            <v>BSAS036940</v>
          </cell>
        </row>
        <row r="10115">
          <cell r="E10115" t="str">
            <v>NAGARI RANCHI
NAGARI RANCHI
835303</v>
          </cell>
          <cell r="G10115">
            <v>6201457979</v>
          </cell>
          <cell r="K10115" t="str">
            <v>BKJS030050</v>
          </cell>
        </row>
        <row r="10116">
          <cell r="E10116" t="str">
            <v>PUNDAG, RANCHI</v>
          </cell>
          <cell r="G10116">
            <v>8969039892</v>
          </cell>
          <cell r="K10116" t="str">
            <v>BQHD160416</v>
          </cell>
        </row>
        <row r="10117">
          <cell r="E10117" t="str">
            <v>PLOT NO 716,VILL-RUKKA,
835219</v>
          </cell>
          <cell r="G10117">
            <v>9570112002</v>
          </cell>
          <cell r="K10117" t="str">
            <v>BSKS036365</v>
          </cell>
        </row>
        <row r="10118">
          <cell r="E10118" t="str">
            <v>RUKKA, RANCHI</v>
          </cell>
          <cell r="G10118">
            <v>9570112002</v>
          </cell>
          <cell r="K10118">
            <v>19595102</v>
          </cell>
        </row>
        <row r="10119">
          <cell r="E10119" t="str">
            <v>JAMUI BIHAR</v>
          </cell>
          <cell r="G10119">
            <v>9264207575</v>
          </cell>
          <cell r="K10119" t="str">
            <v>BQKD160076</v>
          </cell>
        </row>
        <row r="10120">
          <cell r="E10120" t="str">
            <v>GAYA, BIHAR</v>
          </cell>
          <cell r="G10120">
            <v>9431088962</v>
          </cell>
          <cell r="K10120" t="str">
            <v>BSKD161500</v>
          </cell>
        </row>
        <row r="10121">
          <cell r="E10121" t="str">
            <v>ANA COLLIERY DHANBAD</v>
          </cell>
          <cell r="G10121">
            <v>9573347055</v>
          </cell>
          <cell r="K10121" t="str">
            <v>BQCD160106</v>
          </cell>
        </row>
        <row r="10122">
          <cell r="E10122" t="str">
            <v>KOKAR, RANCHI</v>
          </cell>
          <cell r="G10122">
            <v>8051191796</v>
          </cell>
          <cell r="K10122" t="str">
            <v>BRGD161233</v>
          </cell>
        </row>
        <row r="10123">
          <cell r="E10123" t="str">
            <v>KOKAR,INDUSTRIAL AREA,RANCHI
834002
RANCHI</v>
          </cell>
          <cell r="G10123">
            <v>7781017919</v>
          </cell>
          <cell r="K10123" t="str">
            <v>BMKC370048</v>
          </cell>
        </row>
        <row r="10124">
          <cell r="E10124" t="str">
            <v>RAMGARH</v>
          </cell>
          <cell r="G10124">
            <v>7360077726</v>
          </cell>
          <cell r="K10124" t="str">
            <v>BKAS030601</v>
          </cell>
        </row>
        <row r="10125">
          <cell r="E10125" t="str">
            <v>RAMGARH</v>
          </cell>
          <cell r="G10125">
            <v>7360077726</v>
          </cell>
          <cell r="K10125" t="str">
            <v>BLES031356</v>
          </cell>
        </row>
        <row r="10126">
          <cell r="E10126" t="str">
            <v>HORHAP ROAD, MAHILONG, RANCHI
835103</v>
          </cell>
          <cell r="G10126">
            <v>9708039203</v>
          </cell>
          <cell r="K10126" t="str">
            <v>BRIC374329</v>
          </cell>
        </row>
        <row r="10127">
          <cell r="E10127" t="str">
            <v>UPPER BAZAR,RANCHI
834001
UPPER BAZAR,</v>
          </cell>
          <cell r="G10127">
            <v>8381069617</v>
          </cell>
          <cell r="K10127" t="str">
            <v>BRJC371828</v>
          </cell>
        </row>
        <row r="10128">
          <cell r="E10128" t="str">
            <v>BISRAMPUR, DALTONGANJ</v>
          </cell>
          <cell r="G10128">
            <v>8489239977</v>
          </cell>
          <cell r="K10128" t="str">
            <v>BQED160211</v>
          </cell>
        </row>
        <row r="10129">
          <cell r="E10129" t="str">
            <v>KATRAS, DHANBAD</v>
          </cell>
          <cell r="G10129">
            <v>8668006217</v>
          </cell>
          <cell r="K10129" t="str">
            <v>BRED161077</v>
          </cell>
        </row>
        <row r="10130">
          <cell r="E10130" t="str">
            <v>REHLA,GARWA,JHARKHAND
822124
RANCHI</v>
          </cell>
          <cell r="G10130">
            <v>0</v>
          </cell>
          <cell r="K10130" t="str">
            <v>GOIS031795</v>
          </cell>
        </row>
        <row r="10131">
          <cell r="E10131" t="str">
            <v>NAGARI RANCHI
NAGARI RANCHI
835303</v>
          </cell>
          <cell r="G10131">
            <v>9570029248</v>
          </cell>
          <cell r="K10131" t="str">
            <v>BKJS030050</v>
          </cell>
        </row>
        <row r="10132">
          <cell r="E10132" t="str">
            <v>VIDIYA NAGAR,RANCHI</v>
          </cell>
          <cell r="G10132">
            <v>9445553022</v>
          </cell>
          <cell r="K10132" t="str">
            <v>BQDD200043</v>
          </cell>
        </row>
        <row r="10133">
          <cell r="E10133" t="str">
            <v>DHANBAD</v>
          </cell>
          <cell r="G10133">
            <v>9585918025</v>
          </cell>
          <cell r="K10133" t="str">
            <v>BRCD160968</v>
          </cell>
        </row>
        <row r="10134">
          <cell r="E10134" t="str">
            <v>KATRAS, DHANBAD</v>
          </cell>
          <cell r="G10134">
            <v>9550583031</v>
          </cell>
          <cell r="K10134" t="str">
            <v>BQKD160115</v>
          </cell>
        </row>
        <row r="10135">
          <cell r="E10135" t="str">
            <v>RAMGARH</v>
          </cell>
          <cell r="G10135">
            <v>7360077726</v>
          </cell>
          <cell r="K10135" t="str">
            <v>BLES031356</v>
          </cell>
        </row>
        <row r="10136">
          <cell r="E10136" t="str">
            <v>RAMGARH</v>
          </cell>
          <cell r="G10136">
            <v>7360077726</v>
          </cell>
          <cell r="K10136" t="str">
            <v>BKAS030601</v>
          </cell>
        </row>
        <row r="10137">
          <cell r="E10137" t="str">
            <v>NAGARI,</v>
          </cell>
          <cell r="G10137">
            <v>9297706123</v>
          </cell>
          <cell r="K10137" t="str">
            <v>BILS030211</v>
          </cell>
        </row>
        <row r="10138">
          <cell r="E10138" t="str">
            <v>NAGARI,</v>
          </cell>
          <cell r="G10138">
            <v>9297706123</v>
          </cell>
          <cell r="K10138" t="str">
            <v>BLGS040582</v>
          </cell>
        </row>
        <row r="10139">
          <cell r="E10139" t="str">
            <v>PEPARWAR, KHILADI</v>
          </cell>
          <cell r="G10139">
            <v>9234615009</v>
          </cell>
          <cell r="K10139" t="str">
            <v>BRKD220111</v>
          </cell>
        </row>
        <row r="10140">
          <cell r="E10140" t="str">
            <v>JUMRI TELAIYA</v>
          </cell>
          <cell r="G10140">
            <v>6204401259</v>
          </cell>
          <cell r="K10140" t="str">
            <v>GOBC370298</v>
          </cell>
        </row>
        <row r="10141">
          <cell r="E10141" t="str">
            <v>GROUND AND 1 ST FLOOR, BESIDE DAINIK BHASKAR, GOVINDPUR ROAD, DIST :- DHANBAD
GROUND AND 1 ST FLOOR, BESIDE DAINIK BHASKAR, GOVINDPUR ROAD, DIST :- DHANBAD
828109</v>
          </cell>
          <cell r="G10141">
            <v>8789061377</v>
          </cell>
          <cell r="K10141" t="str">
            <v>BRES034488</v>
          </cell>
        </row>
        <row r="10142">
          <cell r="E10142" t="str">
            <v>TATISILWAI, JHARKHAND
835103</v>
          </cell>
          <cell r="G10142">
            <v>6200160428</v>
          </cell>
          <cell r="K10142" t="str">
            <v>BQGS031413</v>
          </cell>
        </row>
        <row r="10143">
          <cell r="E10143" t="str">
            <v>PLOT NO.-806, HARDAGKHUTI ROAD,RANCHI
KHUNTI ROAD HARDAG
835221</v>
          </cell>
          <cell r="G10143">
            <v>6201750703</v>
          </cell>
          <cell r="K10143" t="str">
            <v>BRGS035244</v>
          </cell>
        </row>
        <row r="10144">
          <cell r="E10144" t="str">
            <v>NIMIAGHAT,GIRIDIH</v>
          </cell>
          <cell r="G10144">
            <v>9798869433</v>
          </cell>
          <cell r="K10144" t="str">
            <v>BSJD161406</v>
          </cell>
        </row>
        <row r="10145">
          <cell r="E10145" t="str">
            <v>GOLA, RAMGARH</v>
          </cell>
          <cell r="G10145">
            <v>9790087333</v>
          </cell>
          <cell r="K10145" t="str">
            <v>BPED200174</v>
          </cell>
        </row>
        <row r="10146">
          <cell r="E10146" t="str">
            <v>KATHAL MORE, RANCHI</v>
          </cell>
          <cell r="G10146">
            <v>9304729097</v>
          </cell>
          <cell r="K10146" t="str">
            <v>BRED161081</v>
          </cell>
        </row>
        <row r="10147">
          <cell r="E10147" t="str">
            <v>DHANBAD</v>
          </cell>
          <cell r="G10147">
            <v>9585918025</v>
          </cell>
          <cell r="K10147" t="str">
            <v>BRCD160968</v>
          </cell>
        </row>
        <row r="10148">
          <cell r="E10148" t="str">
            <v>HAZARIBAGH</v>
          </cell>
          <cell r="G10148">
            <v>0</v>
          </cell>
          <cell r="K10148">
            <v>1149304</v>
          </cell>
        </row>
        <row r="10149">
          <cell r="E10149" t="str">
            <v>62, KOKAR INDUSTRIAL AREA, KOKAR,RANCHI.
834001</v>
          </cell>
          <cell r="G10149">
            <v>8429020942</v>
          </cell>
          <cell r="K10149" t="str">
            <v>BJDF150016</v>
          </cell>
        </row>
        <row r="10150">
          <cell r="E10150" t="str">
            <v>RANCHI</v>
          </cell>
          <cell r="G10150">
            <v>8372081415</v>
          </cell>
          <cell r="K10150" t="str">
            <v>BRCD160978</v>
          </cell>
        </row>
        <row r="10151">
          <cell r="E10151" t="str">
            <v>DHANBAD</v>
          </cell>
          <cell r="G10151">
            <v>9585918025</v>
          </cell>
          <cell r="K10151" t="str">
            <v>BRCD160967</v>
          </cell>
        </row>
        <row r="10152">
          <cell r="E10152" t="str">
            <v>SIMALIYA, RANCHI
835103
SIMLIYA, RANCHI</v>
          </cell>
          <cell r="G10152">
            <v>9431115841</v>
          </cell>
          <cell r="K10152">
            <v>106989</v>
          </cell>
        </row>
        <row r="10153">
          <cell r="E10153" t="str">
            <v>RANCHI,JHARKHAND
825301
JHUMRA</v>
          </cell>
          <cell r="G10153">
            <v>8541022146</v>
          </cell>
          <cell r="K10153" t="str">
            <v>BMIS031670</v>
          </cell>
        </row>
        <row r="10154">
          <cell r="E10154" t="str">
            <v>OPERATIONS OFFICER, BOKARO BP, KIND ATTEN.ABHISHEK TRIPATHI, MOB. NO.8789972995, VENDOR CODE-11970380
OPERATIONS OFFICER, BOKARO BP, KIND ATTEN.ABHISHEK TRIPATHI, MOB. NO.8789972995, VENDOR CODE-11970380
827014
LPG BOTTALING PLANT, BALIDIH,</v>
          </cell>
          <cell r="G10154">
            <v>9064073084</v>
          </cell>
          <cell r="K10154" t="str">
            <v>BOCS040147</v>
          </cell>
        </row>
        <row r="10155">
          <cell r="E10155" t="str">
            <v>RAMGARH</v>
          </cell>
          <cell r="G10155">
            <v>7004812057</v>
          </cell>
          <cell r="K10155" t="str">
            <v>BSBD161624</v>
          </cell>
        </row>
        <row r="10156">
          <cell r="E10156" t="str">
            <v>ADITYAPUR KANDRA ROAD
831013</v>
          </cell>
          <cell r="G10156">
            <v>9608189810</v>
          </cell>
          <cell r="K10156" t="str">
            <v>BRDC373261</v>
          </cell>
        </row>
        <row r="10157">
          <cell r="E10157" t="str">
            <v>KAMDE,RANCHI</v>
          </cell>
          <cell r="G10157">
            <v>8709738261</v>
          </cell>
          <cell r="K10157" t="str">
            <v>BSJD161438</v>
          </cell>
        </row>
        <row r="10158">
          <cell r="E10158" t="str">
            <v>NAGRI, RANCHI
TIKRATOLI, P.O:- NAGRI, RANCHI
834006</v>
          </cell>
          <cell r="G10158">
            <v>8294630107</v>
          </cell>
          <cell r="K10158" t="str">
            <v>BKKS030393</v>
          </cell>
        </row>
        <row r="10159">
          <cell r="E10159" t="str">
            <v>AT: SENEGARHA, P.O-RABODH, P.S-GIDDI,(RAMGARH),, DISTT. HAZARIBAGH,JHARKHAND-825330
829108
AT: SENEGARHA, P.O-RABODH, P.S-GIDDI,(RAMGARH),</v>
          </cell>
          <cell r="G10159">
            <v>9006877583</v>
          </cell>
          <cell r="K10159" t="str">
            <v>BQES030978</v>
          </cell>
        </row>
        <row r="10160">
          <cell r="E10160" t="str">
            <v>SARNATOLI,ANGADA,RANCHI
835222</v>
          </cell>
          <cell r="G10160">
            <v>9798563448</v>
          </cell>
          <cell r="K10160" t="str">
            <v>BSAF110719</v>
          </cell>
        </row>
        <row r="10161">
          <cell r="E10161" t="str">
            <v>ANGARAH, RANCHI</v>
          </cell>
          <cell r="G10161">
            <v>9798563448</v>
          </cell>
          <cell r="K10161" t="str">
            <v>SN19TR00571</v>
          </cell>
        </row>
        <row r="10162">
          <cell r="E10162" t="str">
            <v>BUNDU</v>
          </cell>
          <cell r="G10162">
            <v>7004273788</v>
          </cell>
          <cell r="K10162" t="str">
            <v>BSKC374901</v>
          </cell>
        </row>
        <row r="10163">
          <cell r="E10163" t="str">
            <v>GAYA, BIHAR</v>
          </cell>
          <cell r="G10163">
            <v>9934194244</v>
          </cell>
          <cell r="K10163" t="str">
            <v>BQHD160361</v>
          </cell>
        </row>
        <row r="10164">
          <cell r="E10164" t="str">
            <v>CHANDWAY CHOWK,RANCHI
834006</v>
          </cell>
          <cell r="G10164">
            <v>9631673800</v>
          </cell>
          <cell r="K10164" t="str">
            <v>BRAC372352</v>
          </cell>
        </row>
        <row r="10165">
          <cell r="E10165" t="str">
            <v>PHULWATAND, KATRAS</v>
          </cell>
          <cell r="G10165">
            <v>7013972419</v>
          </cell>
          <cell r="K10165" t="str">
            <v>BQCD160103</v>
          </cell>
        </row>
        <row r="10166">
          <cell r="E10166" t="str">
            <v>JAMSHEDPUR</v>
          </cell>
          <cell r="G10166">
            <v>9725878240</v>
          </cell>
          <cell r="K10166" t="str">
            <v>BRGL151468</v>
          </cell>
        </row>
        <row r="10167">
          <cell r="E10167" t="str">
            <v>SARNATOLI,ANGADA,RANCHI
835222</v>
          </cell>
          <cell r="G10167">
            <v>6204720546</v>
          </cell>
          <cell r="K10167" t="str">
            <v>BOGC370193</v>
          </cell>
        </row>
        <row r="10168">
          <cell r="E10168" t="str">
            <v>SARNATOLI,ANGADA,RANCHI
835222</v>
          </cell>
          <cell r="G10168">
            <v>6204720546</v>
          </cell>
          <cell r="K10168" t="str">
            <v>BOIC370255</v>
          </cell>
        </row>
        <row r="10169">
          <cell r="E10169" t="str">
            <v>DEWRI,TATA ROAD,JHARKHAND
GOSAIGIH BUNDU NH-33, RANCHI
815314
TATA ROAD, BUNDU,</v>
          </cell>
          <cell r="G10169">
            <v>9308825621</v>
          </cell>
          <cell r="K10169" t="str">
            <v>BLLS030352</v>
          </cell>
        </row>
        <row r="10170">
          <cell r="E10170" t="str">
            <v>DEWRI,TATA ROAD,JHARKHAND
GOSAIGIH BUNDU NH-33, RANCHI
815314
TATA ROAD, BUNDU,</v>
          </cell>
          <cell r="G10170">
            <v>9308825621</v>
          </cell>
          <cell r="K10170" t="str">
            <v>BNAS040264</v>
          </cell>
        </row>
        <row r="10171">
          <cell r="E10171" t="str">
            <v>CHATRA</v>
          </cell>
          <cell r="G10171">
            <v>9110947105</v>
          </cell>
          <cell r="K10171" t="str">
            <v>BQFD160263</v>
          </cell>
        </row>
        <row r="10172">
          <cell r="E10172" t="str">
            <v>REHLA, GARHWA ROAD, PALAMU D.T, JHARKHAND
PALAMU JHARKHAND 822124
INDIA</v>
          </cell>
          <cell r="G10172">
            <v>7992431955</v>
          </cell>
          <cell r="K10172" t="str">
            <v>BLFS031469</v>
          </cell>
        </row>
        <row r="10173">
          <cell r="E10173" t="str">
            <v>COLLIEARY, DHANBAD</v>
          </cell>
          <cell r="G10173">
            <v>9573347055</v>
          </cell>
          <cell r="K10173" t="str">
            <v>BQCD160106</v>
          </cell>
        </row>
        <row r="10174">
          <cell r="E10174" t="str">
            <v>SARAIKELA</v>
          </cell>
          <cell r="G10174">
            <v>9798624719</v>
          </cell>
          <cell r="K10174" t="str">
            <v>BQJD200026</v>
          </cell>
        </row>
        <row r="10175">
          <cell r="E10175" t="str">
            <v>FATEHPUR, GAYA</v>
          </cell>
          <cell r="G10175">
            <v>8169716899</v>
          </cell>
          <cell r="K10175" t="str">
            <v>BRHD161314</v>
          </cell>
        </row>
        <row r="10176">
          <cell r="E10176" t="str">
            <v>CHATRA,JHARKHAND</v>
          </cell>
          <cell r="G10176">
            <v>7004203427</v>
          </cell>
          <cell r="K10176" t="str">
            <v>BSKD200409</v>
          </cell>
        </row>
        <row r="10177">
          <cell r="E10177" t="str">
            <v>PHULWATAND, KATRAS</v>
          </cell>
          <cell r="G10177">
            <v>8668006217</v>
          </cell>
          <cell r="K10177" t="str">
            <v>BQAD203209</v>
          </cell>
        </row>
        <row r="10178">
          <cell r="E10178" t="str">
            <v>NISCHITPUR, KATRAS</v>
          </cell>
          <cell r="G10178">
            <v>9550553031</v>
          </cell>
          <cell r="K10178" t="str">
            <v>BQKD160099</v>
          </cell>
        </row>
        <row r="10179">
          <cell r="E10179" t="str">
            <v>CHATRA</v>
          </cell>
          <cell r="G10179">
            <v>9110947105</v>
          </cell>
          <cell r="K10179" t="str">
            <v>BQFD160263</v>
          </cell>
        </row>
        <row r="10180">
          <cell r="E10180" t="str">
            <v>KATRAS, DHANBAD</v>
          </cell>
          <cell r="G10180">
            <v>9550583031</v>
          </cell>
          <cell r="K10180" t="str">
            <v>BQKD160115</v>
          </cell>
        </row>
        <row r="10181">
          <cell r="E10181" t="str">
            <v>NAMKUM, RANCHI</v>
          </cell>
          <cell r="G10181" t="str">
            <v>NA</v>
          </cell>
          <cell r="K10181">
            <v>18470611</v>
          </cell>
        </row>
        <row r="10182">
          <cell r="E10182" t="str">
            <v>PIPARWAR,JHARKHAND
BAHERA, BENTI, PIPARWAR, CHATRA
825321</v>
          </cell>
          <cell r="G10182">
            <v>9471556904</v>
          </cell>
          <cell r="K10182" t="str">
            <v>BRGC373918</v>
          </cell>
        </row>
        <row r="10183">
          <cell r="E10183" t="str">
            <v>ODISA</v>
          </cell>
          <cell r="G10183">
            <v>9040140213</v>
          </cell>
          <cell r="K10183" t="str">
            <v>BPKD200021</v>
          </cell>
        </row>
        <row r="10184">
          <cell r="E10184" t="str">
            <v>KATITARH,RANCHI
835222</v>
          </cell>
          <cell r="G10184">
            <v>6201408006</v>
          </cell>
          <cell r="K10184" t="str">
            <v>BSAS036940</v>
          </cell>
        </row>
        <row r="10185">
          <cell r="E10185" t="str">
            <v>BISRAMPUR, DALTONGANJ</v>
          </cell>
          <cell r="G10185">
            <v>848929977</v>
          </cell>
          <cell r="K10185" t="str">
            <v>BQED160211</v>
          </cell>
        </row>
        <row r="10186">
          <cell r="E10186" t="str">
            <v>HATA, JAMSHEDPUR</v>
          </cell>
          <cell r="G10186">
            <v>7692016969</v>
          </cell>
          <cell r="K10186" t="str">
            <v>BSLD161546</v>
          </cell>
        </row>
        <row r="10187">
          <cell r="E10187" t="str">
            <v>NAMKUM, RANCHI</v>
          </cell>
          <cell r="G10187">
            <v>8002328076</v>
          </cell>
          <cell r="K10187" t="str">
            <v>BOID200223</v>
          </cell>
        </row>
        <row r="10188">
          <cell r="E10188" t="str">
            <v>ARGORA, RANCHI</v>
          </cell>
          <cell r="G10188">
            <v>7004273788</v>
          </cell>
          <cell r="K10188" t="str">
            <v>BSKC374901</v>
          </cell>
        </row>
        <row r="10189">
          <cell r="E10189" t="str">
            <v>KOKAR INDUSTRIAL AREA,RANCHI
834002
KOKAR INDUSTRIAL AREA</v>
          </cell>
          <cell r="G10189">
            <v>9470590155</v>
          </cell>
          <cell r="K10189" t="str">
            <v>BRKC371988</v>
          </cell>
        </row>
        <row r="10190">
          <cell r="E10190" t="str">
            <v>NIMIYAGHAT, GIRIDIH</v>
          </cell>
          <cell r="G10190">
            <v>6205472164</v>
          </cell>
          <cell r="K10190" t="str">
            <v>BSJD161406</v>
          </cell>
        </row>
        <row r="10191">
          <cell r="E10191" t="str">
            <v>BISRAMPUR, DALTONGANJ</v>
          </cell>
          <cell r="G10191">
            <v>848929977</v>
          </cell>
          <cell r="K10191" t="str">
            <v>BQED160211</v>
          </cell>
        </row>
        <row r="10192">
          <cell r="E10192" t="str">
            <v>BASKINATH, DEOGHAR</v>
          </cell>
          <cell r="G10192">
            <v>8800698704</v>
          </cell>
          <cell r="K10192" t="str">
            <v>BQID200160</v>
          </cell>
        </row>
        <row r="10193">
          <cell r="E10193" t="str">
            <v>NAGARI RANCHI
NAGARI RANCHI
835303</v>
          </cell>
          <cell r="G10193">
            <v>6201457979</v>
          </cell>
          <cell r="K10193" t="str">
            <v>BKJS030050</v>
          </cell>
        </row>
        <row r="10194">
          <cell r="E10194" t="str">
            <v>NAGRI,RANCHI
835202
RANCHI</v>
          </cell>
          <cell r="G10194">
            <v>8877024924</v>
          </cell>
          <cell r="K10194" t="str">
            <v>BMJS040004</v>
          </cell>
        </row>
        <row r="10195">
          <cell r="E10195" t="str">
            <v>CHANDIL, JAMSHEDPUR</v>
          </cell>
          <cell r="G10195">
            <v>7980622584</v>
          </cell>
          <cell r="K10195" t="str">
            <v>BQJC370029</v>
          </cell>
        </row>
        <row r="10196">
          <cell r="E10196" t="str">
            <v>KATRAS, DHANBAD</v>
          </cell>
          <cell r="G10196">
            <v>8210567144</v>
          </cell>
          <cell r="K10196" t="str">
            <v>BQID160499</v>
          </cell>
        </row>
        <row r="10197">
          <cell r="E10197" t="str">
            <v>PEPARWAR, KHILADI</v>
          </cell>
          <cell r="G10197">
            <v>9234615009</v>
          </cell>
          <cell r="K10197" t="str">
            <v>BRKD220111</v>
          </cell>
        </row>
        <row r="10198">
          <cell r="E10198" t="str">
            <v>NAGARI, RANCHI
834006</v>
          </cell>
          <cell r="G10198">
            <v>7903378087</v>
          </cell>
          <cell r="K10198" t="str">
            <v>BRAC372524</v>
          </cell>
        </row>
        <row r="10199">
          <cell r="E10199" t="str">
            <v>KUMAR JORI,KATRASH,DHANBAD</v>
          </cell>
          <cell r="G10199">
            <v>9798360305</v>
          </cell>
          <cell r="K10199" t="str">
            <v>BQCD160129</v>
          </cell>
        </row>
        <row r="10200">
          <cell r="E10200" t="str">
            <v>NAWADA, GARHWA</v>
          </cell>
          <cell r="G10200">
            <v>8002286121</v>
          </cell>
          <cell r="K10200" t="str">
            <v>BQID160527</v>
          </cell>
        </row>
        <row r="10201">
          <cell r="E10201" t="str">
            <v>JAMSHEDPUR</v>
          </cell>
          <cell r="G10201">
            <v>9489176819</v>
          </cell>
          <cell r="K10201" t="str">
            <v>BRCD161002</v>
          </cell>
        </row>
        <row r="10202">
          <cell r="E10202" t="str">
            <v>DALTONGANJ</v>
          </cell>
          <cell r="G10202">
            <v>9835111213</v>
          </cell>
          <cell r="K10202" t="str">
            <v>BRJD160598</v>
          </cell>
        </row>
        <row r="10203">
          <cell r="E10203" t="str">
            <v>KUSUNDA, DHANBAD</v>
          </cell>
          <cell r="G10203">
            <v>7294861600</v>
          </cell>
          <cell r="K10203" t="str">
            <v>BRBD160866</v>
          </cell>
        </row>
        <row r="10204">
          <cell r="E10204" t="str">
            <v>GHATO, RAMGARH</v>
          </cell>
          <cell r="G10204">
            <v>7781843649</v>
          </cell>
          <cell r="K10204" t="str">
            <v>BRDD161024</v>
          </cell>
        </row>
        <row r="10205">
          <cell r="E10205" t="str">
            <v>BISRAMPUR, DALTONGANJ</v>
          </cell>
          <cell r="G10205">
            <v>8489239977</v>
          </cell>
          <cell r="K10205" t="str">
            <v>BQED160211</v>
          </cell>
        </row>
        <row r="10206">
          <cell r="E10206" t="str">
            <v>NIRSA, DHANBAD</v>
          </cell>
          <cell r="G10206">
            <v>9848550285</v>
          </cell>
          <cell r="K10206" t="str">
            <v>BRBD160904</v>
          </cell>
        </row>
        <row r="10207">
          <cell r="E10207" t="str">
            <v>KATRAS, DHANBAD</v>
          </cell>
          <cell r="G10207">
            <v>9550053031</v>
          </cell>
          <cell r="K10207" t="str">
            <v>BQKD160099</v>
          </cell>
        </row>
        <row r="10208">
          <cell r="E10208" t="str">
            <v>PANDRA, RANCHI</v>
          </cell>
          <cell r="G10208">
            <v>0</v>
          </cell>
          <cell r="K10208" t="str">
            <v>GFKC378113</v>
          </cell>
        </row>
        <row r="10209">
          <cell r="E10209" t="str">
            <v>KATITARH,RANCHI
835222</v>
          </cell>
          <cell r="G10209">
            <v>6201408006</v>
          </cell>
          <cell r="K10209" t="str">
            <v>BSAS036940</v>
          </cell>
        </row>
        <row r="10210">
          <cell r="E10210" t="str">
            <v>JARANDIH,KATHARA</v>
          </cell>
          <cell r="G10210">
            <v>9234951903</v>
          </cell>
          <cell r="K10210" t="str">
            <v>BRHD161299</v>
          </cell>
        </row>
        <row r="10211">
          <cell r="E10211" t="str">
            <v>SIMALIYA, RANCHI
835103
SIMLIYA, RANCHI</v>
          </cell>
          <cell r="G10211">
            <v>9431115841</v>
          </cell>
          <cell r="K10211">
            <v>106989</v>
          </cell>
        </row>
        <row r="10212">
          <cell r="E10212" t="str">
            <v>DEOGHAR</v>
          </cell>
          <cell r="G10212">
            <v>8294069009</v>
          </cell>
          <cell r="K10212" t="str">
            <v>BSAD161576</v>
          </cell>
        </row>
        <row r="10213">
          <cell r="E10213" t="str">
            <v>RANCHI PATNA ROAD
DEMOTAND
825301
HAZARIBAGH</v>
          </cell>
          <cell r="G10213">
            <v>7905424302</v>
          </cell>
          <cell r="K10213" t="str">
            <v>BIFS040367</v>
          </cell>
        </row>
        <row r="10214">
          <cell r="E10214" t="str">
            <v>HOSHIR GIDDI,RAMGARH
NEAR P.N. BANK MAIN ROAD, RAMGARH CANTT. 829122
829110</v>
          </cell>
          <cell r="G10214">
            <v>7654659452</v>
          </cell>
          <cell r="K10214" t="str">
            <v>GPJS030042</v>
          </cell>
        </row>
        <row r="10215">
          <cell r="E10215" t="str">
            <v>BOKARO</v>
          </cell>
          <cell r="G10215">
            <v>9443541279</v>
          </cell>
          <cell r="K10215" t="str">
            <v>BSLD230358</v>
          </cell>
        </row>
        <row r="10216">
          <cell r="E10216" t="str">
            <v>NEWRI VIKASH RANCHI JHARKHAND
NEWRI VIKASH RANCHI JHARKHAND
834006
RANCHI</v>
          </cell>
          <cell r="G10216">
            <v>201479268</v>
          </cell>
          <cell r="K10216" t="str">
            <v>BQAC373734</v>
          </cell>
        </row>
        <row r="10217">
          <cell r="E10217" t="str">
            <v>RAMGARH</v>
          </cell>
          <cell r="G10217">
            <v>8002328076</v>
          </cell>
          <cell r="K10217" t="str">
            <v>BOID200223</v>
          </cell>
        </row>
        <row r="10218">
          <cell r="E10218" t="str">
            <v>PLOT NO. 148, TUPUDANA, INDUSTRIAL AREA, HATIA, RANCHI
834002</v>
          </cell>
          <cell r="G10218">
            <v>9570707073</v>
          </cell>
          <cell r="K10218" t="str">
            <v>BSLS036682</v>
          </cell>
        </row>
        <row r="10219">
          <cell r="E10219" t="str">
            <v>RAMGARH</v>
          </cell>
          <cell r="G10219">
            <v>9529617425</v>
          </cell>
          <cell r="K10219" t="str">
            <v>BRBD160859</v>
          </cell>
        </row>
        <row r="10220">
          <cell r="E10220" t="str">
            <v>KATRAS, DHANBAD</v>
          </cell>
          <cell r="G10220">
            <v>7004203427</v>
          </cell>
          <cell r="K10220" t="str">
            <v>BQID160499</v>
          </cell>
        </row>
        <row r="10221">
          <cell r="E10221" t="str">
            <v>KATRAS, DHANBAD</v>
          </cell>
          <cell r="G10221">
            <v>8210567144</v>
          </cell>
          <cell r="K10221" t="str">
            <v>BQID160499</v>
          </cell>
        </row>
        <row r="10222">
          <cell r="E10222" t="str">
            <v>HAZARIBAGH,JHARKHAND
825301
HAZARIBAGH</v>
          </cell>
          <cell r="G10222">
            <v>9431141006</v>
          </cell>
          <cell r="K10222" t="str">
            <v>BMGC370521</v>
          </cell>
        </row>
        <row r="10223">
          <cell r="E10223" t="str">
            <v>JAMTARA</v>
          </cell>
          <cell r="G10223">
            <v>8789065274</v>
          </cell>
          <cell r="K10223" t="str">
            <v>BRAD160816</v>
          </cell>
        </row>
        <row r="10224">
          <cell r="E10224" t="str">
            <v>DALTONGANJ</v>
          </cell>
          <cell r="G10224">
            <v>9835111213</v>
          </cell>
          <cell r="K10224" t="str">
            <v>BRJD160598</v>
          </cell>
        </row>
        <row r="10225">
          <cell r="E10225" t="str">
            <v>CHATARPUR</v>
          </cell>
          <cell r="G10225">
            <v>8789408878</v>
          </cell>
          <cell r="K10225" t="str">
            <v>BMBD200190</v>
          </cell>
        </row>
        <row r="10226">
          <cell r="E10226" t="str">
            <v>DEOGHAR</v>
          </cell>
          <cell r="G10226">
            <v>7261002856</v>
          </cell>
          <cell r="K10226" t="str">
            <v>BRED161124</v>
          </cell>
        </row>
        <row r="10227">
          <cell r="E10227" t="str">
            <v>GOPI MORE, GAYA</v>
          </cell>
          <cell r="G10227">
            <v>9931624435</v>
          </cell>
          <cell r="K10227" t="str">
            <v>BSAD161563</v>
          </cell>
        </row>
        <row r="10228">
          <cell r="E10228" t="str">
            <v>Govindpur, Dhanbad</v>
          </cell>
          <cell r="G10228">
            <v>7903828920</v>
          </cell>
          <cell r="K10228" t="str">
            <v>BQGD230029</v>
          </cell>
        </row>
        <row r="10229">
          <cell r="E10229" t="str">
            <v>DALTONGANJ</v>
          </cell>
          <cell r="G10229">
            <v>9677836110</v>
          </cell>
          <cell r="K10229" t="str">
            <v>BQHD160427</v>
          </cell>
        </row>
        <row r="10230">
          <cell r="E10230" t="str">
            <v>DUMKA</v>
          </cell>
          <cell r="G10230">
            <v>9546535031</v>
          </cell>
          <cell r="K10230" t="str">
            <v>BRAD160803</v>
          </cell>
        </row>
        <row r="10231">
          <cell r="E10231" t="str">
            <v>CHATRA,JHARKHAND</v>
          </cell>
          <cell r="G10231">
            <v>7004203427</v>
          </cell>
          <cell r="K10231" t="str">
            <v>BSKD200409</v>
          </cell>
        </row>
        <row r="10232">
          <cell r="E10232" t="str">
            <v>DEOGHAR</v>
          </cell>
          <cell r="G10232">
            <v>8969984870</v>
          </cell>
          <cell r="K10232" t="str">
            <v>BQDD160163</v>
          </cell>
        </row>
        <row r="10233">
          <cell r="E10233" t="str">
            <v>HAZARIBAGH
RANCHI JHARKHAND 834002
INDIA</v>
          </cell>
          <cell r="G10233">
            <v>7309672604</v>
          </cell>
          <cell r="K10233" t="str">
            <v>BKAS030685</v>
          </cell>
        </row>
        <row r="10234">
          <cell r="E10234" t="str">
            <v>BAGODAR, JHARKHAND</v>
          </cell>
          <cell r="G10234">
            <v>9934111977</v>
          </cell>
          <cell r="K10234" t="str">
            <v>BPFD200206</v>
          </cell>
        </row>
        <row r="10235">
          <cell r="E10235" t="str">
            <v>DHANBAD</v>
          </cell>
          <cell r="G10235">
            <v>9585918025</v>
          </cell>
          <cell r="K10235" t="str">
            <v>BRCD160967</v>
          </cell>
        </row>
        <row r="10236">
          <cell r="E10236" t="str">
            <v>CHAS, BOKARO</v>
          </cell>
          <cell r="G10236">
            <v>9931588975</v>
          </cell>
          <cell r="K10236" t="str">
            <v>BQKD200041</v>
          </cell>
        </row>
        <row r="10237">
          <cell r="E10237" t="str">
            <v>GUMLA</v>
          </cell>
          <cell r="G10237">
            <v>8709972418</v>
          </cell>
          <cell r="K10237" t="str">
            <v>BRGD161218</v>
          </cell>
        </row>
        <row r="10238">
          <cell r="E10238" t="str">
            <v>TIPUDANA,RANCHI</v>
          </cell>
          <cell r="G10238">
            <v>9534249500</v>
          </cell>
          <cell r="K10238">
            <v>13254305</v>
          </cell>
        </row>
        <row r="10239">
          <cell r="E10239" t="str">
            <v>DHANBAD</v>
          </cell>
          <cell r="G10239">
            <v>9585918025</v>
          </cell>
          <cell r="K10239" t="str">
            <v>BRCD160968</v>
          </cell>
        </row>
        <row r="10240">
          <cell r="E10240" t="str">
            <v>PLOT NO 716,VILL-RUKKA,
835219</v>
          </cell>
          <cell r="G10240">
            <v>9470307145</v>
          </cell>
          <cell r="K10240" t="str">
            <v>BSKS036365</v>
          </cell>
        </row>
        <row r="10241">
          <cell r="E10241" t="str">
            <v>TATISILWAY, RANCHI</v>
          </cell>
          <cell r="G10241">
            <v>6201580224</v>
          </cell>
          <cell r="K10241" t="str">
            <v>BOID200223</v>
          </cell>
        </row>
        <row r="10242">
          <cell r="E10242" t="str">
            <v>RANCHI</v>
          </cell>
          <cell r="G10242">
            <v>9973686006</v>
          </cell>
          <cell r="K10242" t="str">
            <v>BLIS031950</v>
          </cell>
        </row>
        <row r="10243">
          <cell r="E10243" t="str">
            <v>HAZARIBAGH</v>
          </cell>
          <cell r="G10243">
            <v>9494338689</v>
          </cell>
          <cell r="K10243" t="str">
            <v>BRCD160990</v>
          </cell>
        </row>
        <row r="10244">
          <cell r="E10244" t="str">
            <v>KATRAS, DHANBAD</v>
          </cell>
          <cell r="G10244">
            <v>9346693594</v>
          </cell>
          <cell r="K10244" t="str">
            <v>BQCD160103</v>
          </cell>
        </row>
        <row r="10245">
          <cell r="E10245" t="str">
            <v>RANCHI PATNA ROAD
DEMOTAND
825301
HAZARIBAGH</v>
          </cell>
          <cell r="G10245">
            <v>6203465926</v>
          </cell>
          <cell r="K10245" t="str">
            <v>BMBL160078</v>
          </cell>
        </row>
        <row r="10246">
          <cell r="E10246" t="str">
            <v>KATRAS, DHANBAD</v>
          </cell>
          <cell r="G10246">
            <v>9346693594</v>
          </cell>
          <cell r="K10246" t="str">
            <v>BQCD160103</v>
          </cell>
        </row>
        <row r="10247">
          <cell r="E10247" t="str">
            <v>NIMIAGHAT,GIRIDIH</v>
          </cell>
          <cell r="G10247">
            <v>9798869433</v>
          </cell>
          <cell r="K10247" t="str">
            <v>BSJD161406</v>
          </cell>
        </row>
        <row r="10248">
          <cell r="E10248" t="str">
            <v>NIMIAGHAT,GIRIDIH</v>
          </cell>
          <cell r="G10248">
            <v>9798869433</v>
          </cell>
          <cell r="K10248" t="str">
            <v>BSJD161406</v>
          </cell>
        </row>
        <row r="10249">
          <cell r="E10249" t="str">
            <v>TANKUPA, GAYA BIHAR</v>
          </cell>
          <cell r="G10249">
            <v>8434339565</v>
          </cell>
          <cell r="K10249" t="str">
            <v>BRED161131</v>
          </cell>
        </row>
        <row r="10250">
          <cell r="E10250" t="str">
            <v>RAMGARH
829103
NAYA MORE</v>
          </cell>
          <cell r="G10250">
            <v>8651078549</v>
          </cell>
          <cell r="K10250" t="str">
            <v>BPCS030196</v>
          </cell>
        </row>
        <row r="10251">
          <cell r="E10251" t="str">
            <v>DALADALI, RANCHI</v>
          </cell>
          <cell r="G10251">
            <v>9442277119</v>
          </cell>
          <cell r="K10251" t="str">
            <v>BQFD200090</v>
          </cell>
        </row>
        <row r="10252">
          <cell r="E10252" t="str">
            <v>GAYA, BIHAR</v>
          </cell>
          <cell r="G10252">
            <v>9934194244</v>
          </cell>
          <cell r="K10252" t="str">
            <v>BQHD160361</v>
          </cell>
        </row>
        <row r="10253">
          <cell r="E10253" t="str">
            <v>BALIDIH INDUSTRIAL AREA, BOKARO
827014
BALIDIH</v>
          </cell>
          <cell r="G10253">
            <v>9334591780</v>
          </cell>
          <cell r="K10253" t="str">
            <v>BMCS030957</v>
          </cell>
        </row>
        <row r="10254">
          <cell r="E10254" t="str">
            <v>LOHARDAGA,JHARKHAND
LOHARDAGA, MOB. NO.9661111900
835302
LOHARDAGA</v>
          </cell>
          <cell r="G10254">
            <v>8709406268</v>
          </cell>
          <cell r="K10254" t="str">
            <v>BQFS031084</v>
          </cell>
        </row>
        <row r="10255">
          <cell r="E10255" t="str">
            <v>RAMGARH
829103
NAYA MORE</v>
          </cell>
          <cell r="G10255">
            <v>8651078549</v>
          </cell>
          <cell r="K10255" t="str">
            <v>BRGS035169</v>
          </cell>
        </row>
        <row r="10256">
          <cell r="E10256" t="str">
            <v>GROUND AND 1 ST FLOOR, BESIDE DAINIK BHASKAR, GOVINDPUR ROAD, DIST :- DHANBAD
GROUND AND 1 ST FLOOR, BESIDE DAINIK BHASKAR, GOVINDPUR ROAD, DIST :- DHANBAD
828109</v>
          </cell>
          <cell r="G10256">
            <v>8709272726</v>
          </cell>
          <cell r="K10256" t="str">
            <v>BRES034488</v>
          </cell>
        </row>
        <row r="10257">
          <cell r="E10257" t="str">
            <v>TOPA MINES, RAMGARH</v>
          </cell>
          <cell r="G10257">
            <v>7010705456</v>
          </cell>
          <cell r="K10257" t="str">
            <v>BQED160241</v>
          </cell>
        </row>
        <row r="10258">
          <cell r="E10258" t="str">
            <v>RAMGARH,JHARKHAND
829122</v>
          </cell>
          <cell r="G10258">
            <v>8092806616</v>
          </cell>
          <cell r="K10258" t="str">
            <v>BKIS032164</v>
          </cell>
        </row>
        <row r="10259">
          <cell r="E10259" t="str">
            <v>UPPER BAZAR,RANCHI
834001
UPPER BAZAR,</v>
          </cell>
          <cell r="G10259">
            <v>8381069617</v>
          </cell>
          <cell r="K10259" t="str">
            <v>BRJC371828</v>
          </cell>
        </row>
        <row r="10260">
          <cell r="E10260" t="str">
            <v>RAMGARH CANTT, RAMGARH
RAMGARH
829122
RAMGARH</v>
          </cell>
          <cell r="G10260">
            <v>9576833882</v>
          </cell>
          <cell r="K10260" t="str">
            <v>BNKS030423</v>
          </cell>
        </row>
        <row r="10261">
          <cell r="E10261" t="str">
            <v>TATISILWAY</v>
          </cell>
          <cell r="G10261">
            <v>9842610472</v>
          </cell>
          <cell r="K10261" t="str">
            <v>BOGD230193</v>
          </cell>
        </row>
        <row r="10262">
          <cell r="E10262" t="str">
            <v>KOINJHAR, HATGHAMHARIA</v>
          </cell>
          <cell r="G10262">
            <v>9384385095</v>
          </cell>
          <cell r="K10262" t="str">
            <v>BRKD230139</v>
          </cell>
        </row>
        <row r="10263">
          <cell r="E10263" t="str">
            <v>PAKUR</v>
          </cell>
          <cell r="G10263">
            <v>9234686331</v>
          </cell>
          <cell r="K10263" t="str">
            <v>BQJD200029</v>
          </cell>
        </row>
        <row r="10264">
          <cell r="E10264" t="str">
            <v>NIMIAGHAT,GIRIDIH</v>
          </cell>
          <cell r="G10264">
            <v>9430312599</v>
          </cell>
          <cell r="K10264" t="str">
            <v>RJD230103</v>
          </cell>
        </row>
        <row r="10265">
          <cell r="E10265" t="str">
            <v>RAMGARH</v>
          </cell>
          <cell r="G10265">
            <v>9501471177</v>
          </cell>
          <cell r="K10265" t="str">
            <v>BQJD200011</v>
          </cell>
        </row>
        <row r="10266">
          <cell r="E10266" t="str">
            <v>PISKA MORE, RANCHI</v>
          </cell>
          <cell r="G10266">
            <v>896903982</v>
          </cell>
          <cell r="K10266" t="str">
            <v>BQHD160416</v>
          </cell>
        </row>
        <row r="10267">
          <cell r="E10267" t="str">
            <v>KATRAS, DHANBAD</v>
          </cell>
          <cell r="G10267">
            <v>9344400982</v>
          </cell>
          <cell r="K10267" t="str">
            <v>BPGD230204</v>
          </cell>
        </row>
        <row r="10268">
          <cell r="E10268" t="str">
            <v>NAGARI,</v>
          </cell>
          <cell r="G10268">
            <v>9297706123</v>
          </cell>
          <cell r="K10268" t="str">
            <v>BLGS040582</v>
          </cell>
        </row>
        <row r="10269">
          <cell r="E10269" t="str">
            <v>KAMDE,RANCHI</v>
          </cell>
          <cell r="G10269">
            <v>9304197723</v>
          </cell>
          <cell r="K10269" t="str">
            <v>BSJD161438</v>
          </cell>
        </row>
        <row r="10270">
          <cell r="E10270" t="str">
            <v>KATHITAND
835222,RANCHI
835222</v>
          </cell>
          <cell r="G10270">
            <v>9334381382</v>
          </cell>
          <cell r="K10270" t="str">
            <v>BRHC374105</v>
          </cell>
        </row>
        <row r="10271">
          <cell r="E10271" t="str">
            <v>KATRAS, DHANBAD</v>
          </cell>
          <cell r="G10271">
            <v>9994368227</v>
          </cell>
          <cell r="K10271" t="str">
            <v>BRLD160727</v>
          </cell>
        </row>
        <row r="10272">
          <cell r="E10272" t="str">
            <v>TOPA MINES, RAMGARH</v>
          </cell>
          <cell r="G10272">
            <v>9425513941</v>
          </cell>
          <cell r="K10272" t="str">
            <v>BQID160519</v>
          </cell>
        </row>
        <row r="10273">
          <cell r="E10273" t="str">
            <v>BOKARO CITY SECTOR-4 BOKARO
827001
CITY CENTER, SECTOR-4</v>
          </cell>
          <cell r="G10273">
            <v>0</v>
          </cell>
          <cell r="K10273" t="str">
            <v>GOEC370631</v>
          </cell>
        </row>
        <row r="10274">
          <cell r="E10274" t="str">
            <v>DHANBAD</v>
          </cell>
          <cell r="G10274">
            <v>9585918025</v>
          </cell>
          <cell r="K10274" t="str">
            <v>BRCD160967</v>
          </cell>
        </row>
        <row r="10275">
          <cell r="E10275" t="str">
            <v>KATRAS, DHANBAD</v>
          </cell>
          <cell r="G10275">
            <v>8668006217</v>
          </cell>
          <cell r="K10275" t="str">
            <v>BRED161077</v>
          </cell>
        </row>
        <row r="10276">
          <cell r="E10276" t="str">
            <v>DEWRI,TATA ROAD,JHARKHAND
GOSAIGIH BUNDU NH-33, RANCHI
815314
TATA ROAD, BUNDU,</v>
          </cell>
          <cell r="G10276">
            <v>9308825621</v>
          </cell>
          <cell r="K10276" t="str">
            <v>BJDS030976</v>
          </cell>
        </row>
        <row r="10277">
          <cell r="E10277" t="str">
            <v>DEWRI,TATA ROAD,JHARKHAND
GOSAIGIH BUNDU NH-33, RANCHI
815314
TATA ROAD, BUNDU,</v>
          </cell>
          <cell r="G10277">
            <v>9308825621</v>
          </cell>
          <cell r="K10277" t="str">
            <v>BNAS040264</v>
          </cell>
        </row>
        <row r="10278">
          <cell r="E10278" t="str">
            <v>DEWRI,TATA ROAD,JHARKHAND
GOSAIGIH BUNDU NH-33, RANCHI
815314
TATA ROAD, BUNDU,</v>
          </cell>
          <cell r="G10278">
            <v>9308825621</v>
          </cell>
          <cell r="K10278" t="str">
            <v>BLLS030352</v>
          </cell>
        </row>
        <row r="10279">
          <cell r="E10279" t="str">
            <v>HORHAP ROAD, MAHILONG, RANCHI
835103
MAHILONG, TATISILWAI</v>
          </cell>
          <cell r="G10279">
            <v>7004994230</v>
          </cell>
          <cell r="K10279" t="str">
            <v>GPFC370737</v>
          </cell>
        </row>
        <row r="10280">
          <cell r="E10280" t="str">
            <v>PHASE 3
827014
PHASE 3 INDUSTRIAL AREA827013</v>
          </cell>
          <cell r="G10280">
            <v>9122209999</v>
          </cell>
          <cell r="K10280" t="str">
            <v>BQIS031915</v>
          </cell>
        </row>
        <row r="10281">
          <cell r="E10281" t="str">
            <v>DHANBAD</v>
          </cell>
          <cell r="G10281">
            <v>9585918025</v>
          </cell>
          <cell r="K10281" t="str">
            <v>BRCD160967</v>
          </cell>
        </row>
        <row r="10282">
          <cell r="E10282" t="str">
            <v>JAMTARA</v>
          </cell>
          <cell r="G10282">
            <v>8789065274</v>
          </cell>
          <cell r="K10282" t="str">
            <v>BRAD160816</v>
          </cell>
        </row>
        <row r="10283">
          <cell r="E10283" t="str">
            <v>HATA, JAMSHEDPUR</v>
          </cell>
          <cell r="G10283">
            <v>7692016969</v>
          </cell>
          <cell r="K10283" t="str">
            <v>BSLD161546</v>
          </cell>
        </row>
        <row r="10284">
          <cell r="E10284" t="str">
            <v>DHANBAD</v>
          </cell>
          <cell r="G10284">
            <v>9585918025</v>
          </cell>
          <cell r="K10284" t="str">
            <v>BRCD160968</v>
          </cell>
        </row>
        <row r="10285">
          <cell r="E10285" t="str">
            <v>11 PINJRAPOLE, HARMU ROAD, RANCHI
11 PINJRAPOLE, HARMU ROAD, RANCHI
834001
MAHILONG, TATISILWAY</v>
          </cell>
          <cell r="G10285">
            <v>9709000070</v>
          </cell>
          <cell r="K10285" t="str">
            <v>BNCC370425</v>
          </cell>
        </row>
        <row r="10286">
          <cell r="E10286" t="str">
            <v>ADITYAPUR KANDRA ROAD
831013</v>
          </cell>
          <cell r="G10286">
            <v>9608189810</v>
          </cell>
          <cell r="K10286" t="str">
            <v>BRDC373261</v>
          </cell>
        </row>
        <row r="10287">
          <cell r="E10287" t="str">
            <v>TUPUDANA INDUSTRIAL AREA,RANCHI
834003</v>
          </cell>
          <cell r="G10287">
            <v>7070458350</v>
          </cell>
          <cell r="K10287" t="str">
            <v>BRIS035695</v>
          </cell>
        </row>
        <row r="10288">
          <cell r="E10288" t="str">
            <v>KATRAS, DHANBAD</v>
          </cell>
          <cell r="G10288">
            <v>8210559608</v>
          </cell>
          <cell r="K10288" t="str">
            <v>BRBD160892</v>
          </cell>
        </row>
        <row r="10289">
          <cell r="E10289" t="str">
            <v>KATRAS, DHANBAD</v>
          </cell>
          <cell r="G10289">
            <v>8210559608</v>
          </cell>
          <cell r="K10289" t="str">
            <v>BRBD160901</v>
          </cell>
        </row>
        <row r="10290">
          <cell r="E10290" t="str">
            <v>RANCHI,JHARKHAND
834001
RANCHI</v>
          </cell>
          <cell r="G10290">
            <v>9431571200</v>
          </cell>
          <cell r="K10290" t="str">
            <v>BJHS031586</v>
          </cell>
        </row>
        <row r="10291">
          <cell r="E10291" t="str">
            <v>RANCHI,JHARKHAND
825301
JHUMRA</v>
          </cell>
          <cell r="G10291">
            <v>8541022146</v>
          </cell>
          <cell r="K10291" t="str">
            <v>BMIS031670</v>
          </cell>
        </row>
        <row r="10292">
          <cell r="E10292" t="str">
            <v>PUNDAG, RANCHI</v>
          </cell>
          <cell r="G10292">
            <v>8909039892</v>
          </cell>
          <cell r="K10292" t="str">
            <v>BQHD160416</v>
          </cell>
        </row>
        <row r="10293">
          <cell r="E10293" t="str">
            <v>DUMKA</v>
          </cell>
          <cell r="G10293">
            <v>9304762882</v>
          </cell>
          <cell r="K10293" t="str">
            <v>BRAD160777</v>
          </cell>
        </row>
        <row r="10294">
          <cell r="E10294" t="str">
            <v>TANDWA</v>
          </cell>
          <cell r="G10294">
            <v>7645902555</v>
          </cell>
          <cell r="K10294" t="str">
            <v>BPED200185</v>
          </cell>
        </row>
        <row r="10295">
          <cell r="E10295" t="str">
            <v>GHATSILA, JAMSHEDPUR</v>
          </cell>
          <cell r="G10295">
            <v>9486386363</v>
          </cell>
          <cell r="K10295" t="str">
            <v>BNHD230064</v>
          </cell>
        </row>
        <row r="10296">
          <cell r="E10296" t="str">
            <v>KUMAR JORI,KATRASH,DHANBAD</v>
          </cell>
          <cell r="G10296">
            <v>9798360305</v>
          </cell>
          <cell r="K10296" t="str">
            <v>BQCD160129</v>
          </cell>
        </row>
        <row r="10297">
          <cell r="E10297" t="str">
            <v>NAGRI,RANCHI
835202
RANCHI</v>
          </cell>
          <cell r="G10297">
            <v>7004849065</v>
          </cell>
          <cell r="K10297" t="str">
            <v>BRIS035698</v>
          </cell>
        </row>
        <row r="10298">
          <cell r="E10298" t="str">
            <v>NAGRI,RANCHI
835202
RANCHI</v>
          </cell>
          <cell r="G10298">
            <v>8877024924</v>
          </cell>
          <cell r="K10298" t="str">
            <v>BMJS040004</v>
          </cell>
        </row>
        <row r="10299">
          <cell r="E10299" t="str">
            <v>TANDWA</v>
          </cell>
          <cell r="G10299">
            <v>7645902555</v>
          </cell>
          <cell r="K10299" t="str">
            <v>BPED200175</v>
          </cell>
        </row>
        <row r="10300">
          <cell r="E10300" t="str">
            <v>NAGRI, RANCHI
TIKRATOLI, P.O:- NAGRI, RANCHI
834006</v>
          </cell>
          <cell r="G10300">
            <v>8294630107</v>
          </cell>
          <cell r="K10300" t="str">
            <v>BKKS030393</v>
          </cell>
        </row>
        <row r="10301">
          <cell r="E10301" t="str">
            <v>MAIN ROAD , RANCHI</v>
          </cell>
          <cell r="G10301">
            <v>8002328076</v>
          </cell>
          <cell r="K10301" t="str">
            <v>BOID200223</v>
          </cell>
        </row>
        <row r="10302">
          <cell r="E10302" t="str">
            <v>CHAUPARAN</v>
          </cell>
          <cell r="G10302">
            <v>7979973607</v>
          </cell>
          <cell r="K10302" t="str">
            <v>BRLD160756</v>
          </cell>
        </row>
        <row r="10303">
          <cell r="E10303" t="str">
            <v>DEOGHAR,JHARKHAND</v>
          </cell>
          <cell r="G10303">
            <v>8114561180</v>
          </cell>
          <cell r="K10303" t="str">
            <v>BQED160222</v>
          </cell>
        </row>
        <row r="10304">
          <cell r="E10304" t="str">
            <v>ARGORA, RANCHI</v>
          </cell>
          <cell r="G10304">
            <v>9445553022</v>
          </cell>
          <cell r="K10304" t="str">
            <v>BQDD200043</v>
          </cell>
        </row>
        <row r="10305">
          <cell r="E10305" t="str">
            <v>JAMTARA</v>
          </cell>
          <cell r="G10305">
            <v>8789065274</v>
          </cell>
          <cell r="K10305" t="str">
            <v>BRAD160816</v>
          </cell>
        </row>
        <row r="10306">
          <cell r="E10306" t="str">
            <v>BASJARA, DHANBAD</v>
          </cell>
          <cell r="G10306">
            <v>8825704506</v>
          </cell>
          <cell r="K10306" t="str">
            <v>BPHD200250</v>
          </cell>
        </row>
        <row r="10307">
          <cell r="E10307" t="str">
            <v>KATARS, DHANBAD</v>
          </cell>
          <cell r="G10307">
            <v>7488248088</v>
          </cell>
          <cell r="K10307" t="str">
            <v>BQFD200092</v>
          </cell>
        </row>
        <row r="10308">
          <cell r="E10308" t="str">
            <v>DEOGHAR</v>
          </cell>
          <cell r="G10308">
            <v>7261002856</v>
          </cell>
          <cell r="K10308" t="str">
            <v>BRED161124</v>
          </cell>
        </row>
        <row r="10309">
          <cell r="E10309" t="str">
            <v>GOVINDPUR, GOMIYA</v>
          </cell>
          <cell r="G10309">
            <v>8825270627</v>
          </cell>
          <cell r="K10309" t="str">
            <v>BRLD160728</v>
          </cell>
        </row>
        <row r="10310">
          <cell r="E10310" t="str">
            <v>GOVINDPUR, GOMIYA</v>
          </cell>
          <cell r="G10310">
            <v>8825270627</v>
          </cell>
          <cell r="K10310" t="str">
            <v>BRLD160728</v>
          </cell>
        </row>
        <row r="10311">
          <cell r="E10311" t="str">
            <v>NAGRI (JHARKHAND)</v>
          </cell>
          <cell r="G10311">
            <v>9297706123</v>
          </cell>
          <cell r="K10311">
            <v>12083110</v>
          </cell>
        </row>
        <row r="10312">
          <cell r="E10312" t="str">
            <v>NAGARI,</v>
          </cell>
          <cell r="G10312">
            <v>9297706123</v>
          </cell>
          <cell r="K10312" t="str">
            <v>BLGS040582</v>
          </cell>
        </row>
        <row r="10313">
          <cell r="E10313" t="str">
            <v>11 PINJRAPOLE, HARMU ROAD, RANCHI
11 PINJRAPOLE, HARMU ROAD, RANCHI
834001
MAHILONG, TATISILWAY</v>
          </cell>
          <cell r="G10313">
            <v>9709000070</v>
          </cell>
          <cell r="K10313" t="str">
            <v>BNCC370425</v>
          </cell>
        </row>
        <row r="10314">
          <cell r="E10314" t="str">
            <v>MAHILONG TATISILWAY, RANCHI</v>
          </cell>
          <cell r="G10314">
            <v>9608696949</v>
          </cell>
          <cell r="K10314">
            <v>17070311</v>
          </cell>
        </row>
        <row r="10315">
          <cell r="E10315" t="str">
            <v>PHASE 3
827014
PHASE 3 INDUSTRIAL AREA827013</v>
          </cell>
          <cell r="G10315">
            <v>9122209999</v>
          </cell>
          <cell r="K10315" t="str">
            <v>BQIS031915</v>
          </cell>
        </row>
        <row r="10316">
          <cell r="E10316" t="str">
            <v>JARANDIH,KATHARA</v>
          </cell>
          <cell r="G10316">
            <v>9994426484</v>
          </cell>
          <cell r="K10316" t="str">
            <v>BRGD161206</v>
          </cell>
        </row>
        <row r="10317">
          <cell r="E10317" t="str">
            <v>DEOGHAR,JHARKHAND</v>
          </cell>
          <cell r="G10317">
            <v>8114561180</v>
          </cell>
          <cell r="K10317" t="str">
            <v>BQED160222</v>
          </cell>
        </row>
        <row r="10318">
          <cell r="E10318" t="str">
            <v>RUKKA RANCHI</v>
          </cell>
          <cell r="G10318">
            <v>9470307145</v>
          </cell>
          <cell r="K10318">
            <v>19595102</v>
          </cell>
        </row>
        <row r="10319">
          <cell r="E10319" t="str">
            <v>PLOT NO 716,VILL-RUKKA,
835219</v>
          </cell>
          <cell r="G10319">
            <v>9791019799</v>
          </cell>
          <cell r="K10319" t="str">
            <v>BSKS036365</v>
          </cell>
        </row>
        <row r="10320">
          <cell r="E10320" t="str">
            <v>TOPA MINES, RAMGARH</v>
          </cell>
          <cell r="G10320">
            <v>9425513941</v>
          </cell>
          <cell r="K10320" t="str">
            <v>BQID160519</v>
          </cell>
        </row>
        <row r="10321">
          <cell r="E10321" t="str">
            <v>HATA, JAMSHEDPUR</v>
          </cell>
          <cell r="G10321">
            <v>7692016969</v>
          </cell>
          <cell r="K10321" t="str">
            <v>BSLD161546</v>
          </cell>
        </row>
        <row r="10322">
          <cell r="E10322" t="str">
            <v>REHLA,PLAMU</v>
          </cell>
          <cell r="G10322">
            <v>7992431955</v>
          </cell>
          <cell r="K10322">
            <v>19561601</v>
          </cell>
        </row>
        <row r="10323">
          <cell r="E10323" t="str">
            <v>HATA, JAMSHEDPUR</v>
          </cell>
          <cell r="G10323">
            <v>7692016969</v>
          </cell>
          <cell r="K10323" t="str">
            <v>BSLD161547</v>
          </cell>
        </row>
        <row r="10324">
          <cell r="E10324" t="str">
            <v>CITY CENTER SECTOR - 4, BOKARO STEEL CITY, BOKARO, JHARKHAND, MOB. NO. 7050539301
CITY CENTER SECTOR - 4, BOKARO STEEL CITY, BOKARO, JHARKHAND, MOB. NO. 7050539301
827003
BOKARO</v>
          </cell>
          <cell r="G10324">
            <v>9263631333</v>
          </cell>
          <cell r="K10324">
            <v>70369</v>
          </cell>
        </row>
        <row r="10325">
          <cell r="E10325" t="str">
            <v>HESLA,RAMGARH
829101</v>
          </cell>
          <cell r="G10325">
            <v>7546811333</v>
          </cell>
          <cell r="K10325" t="str">
            <v>BSJS035917</v>
          </cell>
        </row>
        <row r="10326">
          <cell r="E10326" t="str">
            <v>CHAS, BOKARO</v>
          </cell>
          <cell r="G10326">
            <v>9931588975</v>
          </cell>
          <cell r="K10326" t="str">
            <v>BQDD160205</v>
          </cell>
        </row>
        <row r="10327">
          <cell r="E10327" t="str">
            <v>BANDU,  GHORMARA</v>
          </cell>
          <cell r="G10327">
            <v>888929977</v>
          </cell>
          <cell r="K10327" t="str">
            <v>BQED160211</v>
          </cell>
        </row>
        <row r="10328">
          <cell r="E10328" t="str">
            <v>KATHAL MORE, RANCHI</v>
          </cell>
          <cell r="G10328">
            <v>9304729097</v>
          </cell>
          <cell r="K10328" t="str">
            <v>BRED161081</v>
          </cell>
        </row>
        <row r="10329">
          <cell r="E10329" t="str">
            <v>AURANGABAD,  BIHAR</v>
          </cell>
          <cell r="G10329">
            <v>8969984870</v>
          </cell>
          <cell r="K10329" t="str">
            <v>BQDD160163</v>
          </cell>
        </row>
        <row r="10330">
          <cell r="E10330" t="str">
            <v>REHLA,PLAMU</v>
          </cell>
          <cell r="G10330">
            <v>7992431955</v>
          </cell>
          <cell r="K10330">
            <v>19564401</v>
          </cell>
        </row>
        <row r="10331">
          <cell r="E10331" t="str">
            <v>TOPA MINES, RAMGARH</v>
          </cell>
          <cell r="G10331">
            <v>9908949548</v>
          </cell>
          <cell r="K10331" t="str">
            <v>BSKD161467</v>
          </cell>
        </row>
        <row r="10332">
          <cell r="E10332" t="str">
            <v>RANCHI</v>
          </cell>
          <cell r="G10332">
            <v>7660883394</v>
          </cell>
          <cell r="K10332">
            <v>107578</v>
          </cell>
        </row>
        <row r="10333">
          <cell r="E10333" t="str">
            <v>REHLA,GARWA,JHARKHAND
822124
RANCHI</v>
          </cell>
          <cell r="G10333">
            <v>7992431955</v>
          </cell>
          <cell r="K10333" t="str">
            <v>BMFS031346</v>
          </cell>
        </row>
        <row r="10334">
          <cell r="E10334" t="str">
            <v>DHANBAD, JHARKHAND</v>
          </cell>
          <cell r="G10334">
            <v>9994426489</v>
          </cell>
          <cell r="K10334" t="str">
            <v>BRGD161206</v>
          </cell>
        </row>
        <row r="10335">
          <cell r="E10335" t="str">
            <v>CHATRA</v>
          </cell>
          <cell r="G10335">
            <v>7004915623</v>
          </cell>
          <cell r="K10335" t="str">
            <v>BSLD200427</v>
          </cell>
        </row>
        <row r="10336">
          <cell r="E10336" t="str">
            <v>Chattar Mandu gola, Ramghar</v>
          </cell>
          <cell r="G10336">
            <v>7355300437</v>
          </cell>
          <cell r="K10336" t="str">
            <v>BSKD120530</v>
          </cell>
        </row>
        <row r="10337">
          <cell r="E10337" t="str">
            <v>NAMKUM, RANCHI</v>
          </cell>
          <cell r="G10337">
            <v>8002328076</v>
          </cell>
          <cell r="K10337" t="str">
            <v>BQBD200008</v>
          </cell>
        </row>
        <row r="10338">
          <cell r="E10338" t="str">
            <v>DHANBAD, JHARKHAND</v>
          </cell>
          <cell r="G10338">
            <v>9994426489</v>
          </cell>
          <cell r="K10338" t="str">
            <v>BRGD161206</v>
          </cell>
        </row>
        <row r="10339">
          <cell r="E10339" t="str">
            <v>BERHAMPUR GANJAM, ODISHA</v>
          </cell>
          <cell r="G10339">
            <v>9437261883</v>
          </cell>
          <cell r="K10339" t="str">
            <v>BRAD160834</v>
          </cell>
        </row>
        <row r="10340">
          <cell r="E10340" t="str">
            <v>DALADALI, RANCHI</v>
          </cell>
          <cell r="G10340">
            <v>9334701321</v>
          </cell>
          <cell r="K10340" t="str">
            <v>BRGD230256</v>
          </cell>
        </row>
        <row r="10341">
          <cell r="E10341" t="str">
            <v>DEOGHAR</v>
          </cell>
          <cell r="G10341">
            <v>7261002856</v>
          </cell>
          <cell r="K10341" t="str">
            <v>BRED161124</v>
          </cell>
        </row>
        <row r="10342">
          <cell r="E10342" t="str">
            <v>DHANBAD</v>
          </cell>
          <cell r="G10342">
            <v>9585918025</v>
          </cell>
          <cell r="K10342" t="str">
            <v>BRCD160968</v>
          </cell>
        </row>
        <row r="10343">
          <cell r="E10343" t="str">
            <v>DHANBAD</v>
          </cell>
          <cell r="G10343">
            <v>9585918025</v>
          </cell>
          <cell r="K10343" t="str">
            <v>BRCD160967</v>
          </cell>
        </row>
        <row r="10344">
          <cell r="E10344" t="str">
            <v>DHANBAD</v>
          </cell>
          <cell r="G10344">
            <v>9626777756</v>
          </cell>
          <cell r="K10344" t="str">
            <v>BRGD161231</v>
          </cell>
        </row>
        <row r="10345">
          <cell r="E10345" t="str">
            <v>RAMGARH SPONGE IRON PVT LTD VILLAGE:HOSHIR GIDDI-POHAZARIBAGH(DT)JHARKHAND IND
829110</v>
          </cell>
          <cell r="G10345">
            <v>7654659452</v>
          </cell>
          <cell r="K10345" t="str">
            <v>BKCS040470</v>
          </cell>
        </row>
        <row r="10346">
          <cell r="E10346" t="str">
            <v>HOSHIR GIDDI,RAMGARH
NEAR P.N. BANK MAIN ROAD, RAMGARH CANTT. 829122
829110</v>
          </cell>
          <cell r="G10346">
            <v>7654659452</v>
          </cell>
          <cell r="K10346" t="str">
            <v>GPJS030042</v>
          </cell>
        </row>
        <row r="10347">
          <cell r="E10347" t="str">
            <v>HOSHIR GIDDI,RAMGARH
NEAR P.N. BANK MAIN ROAD, RAMGARH CANTT. 829122
829110</v>
          </cell>
          <cell r="G10347">
            <v>7654659452</v>
          </cell>
          <cell r="K10347" t="str">
            <v>BRHS035368</v>
          </cell>
        </row>
        <row r="10348">
          <cell r="E10348" t="str">
            <v>DEMO TANND HAZAIBAGH JHARKHAND,
825301
DEMO TANND HAZAIBAGH JHARKHAND</v>
          </cell>
          <cell r="G10348">
            <v>9431354466</v>
          </cell>
          <cell r="K10348" t="str">
            <v>BMDS040417</v>
          </cell>
        </row>
        <row r="10349">
          <cell r="E10349" t="str">
            <v>REHLA,GARWA,JHARKHAND
822124
RANCHI</v>
          </cell>
          <cell r="G10349">
            <v>7992431955</v>
          </cell>
          <cell r="K10349" t="str">
            <v>BMFS031346</v>
          </cell>
        </row>
        <row r="10350">
          <cell r="E10350" t="str">
            <v>REHLA, GARHWA ROAD, PALAMU D.T, JHARKHAND
PALAMU JHARKHAND 822124
INDIA</v>
          </cell>
          <cell r="G10350">
            <v>9308099565</v>
          </cell>
          <cell r="K10350" t="str">
            <v>BLFS031469</v>
          </cell>
        </row>
        <row r="10351">
          <cell r="E10351" t="str">
            <v>KUMAR JORI,KATRASH,DHANBAD</v>
          </cell>
          <cell r="G10351">
            <v>8210106692</v>
          </cell>
          <cell r="K10351" t="str">
            <v>BRDD161036</v>
          </cell>
        </row>
        <row r="10352">
          <cell r="E10352" t="str">
            <v>BALIDIH INDUSTRIAL AREA, BOKARO
827014
BALIDIH</v>
          </cell>
          <cell r="G10352">
            <v>9334591780</v>
          </cell>
          <cell r="K10352" t="str">
            <v>BMCS030957</v>
          </cell>
        </row>
        <row r="10353">
          <cell r="E10353" t="str">
            <v>HAZARIBAGH</v>
          </cell>
          <cell r="G10353">
            <v>8541022146</v>
          </cell>
          <cell r="K10353">
            <v>13447411</v>
          </cell>
        </row>
        <row r="10354">
          <cell r="E10354" t="str">
            <v>KATRAS, DHANBAD</v>
          </cell>
          <cell r="G10354">
            <v>9798360305</v>
          </cell>
          <cell r="K10354" t="str">
            <v>BSKD161477</v>
          </cell>
        </row>
        <row r="10355">
          <cell r="E10355" t="str">
            <v>PUNDAG, RANCHI</v>
          </cell>
          <cell r="G10355">
            <v>8969039892</v>
          </cell>
          <cell r="K10355" t="str">
            <v>BQHD160416</v>
          </cell>
        </row>
        <row r="10356">
          <cell r="E10356" t="str">
            <v>HESLA,RAMGARH
829101</v>
          </cell>
          <cell r="G10356">
            <v>9905158373</v>
          </cell>
          <cell r="K10356" t="str">
            <v>BSJS035917</v>
          </cell>
        </row>
        <row r="10357">
          <cell r="E10357" t="str">
            <v>KISHOREGANJ, RANCHI
834001
KAMRE RAVI STEEL,</v>
          </cell>
          <cell r="G10357">
            <v>8709279344</v>
          </cell>
          <cell r="K10357" t="str">
            <v>GPKC370113</v>
          </cell>
        </row>
        <row r="10358">
          <cell r="E10358" t="str">
            <v>DALADALI, RANCHI</v>
          </cell>
          <cell r="G10358">
            <v>9334701321</v>
          </cell>
          <cell r="K10358" t="str">
            <v>BRGD230256</v>
          </cell>
        </row>
        <row r="10359">
          <cell r="E10359" t="str">
            <v>DALADALI, RANCHI</v>
          </cell>
          <cell r="G10359">
            <v>9334701321</v>
          </cell>
          <cell r="K10359" t="str">
            <v>BPLD200068</v>
          </cell>
        </row>
        <row r="10360">
          <cell r="E10360" t="str">
            <v>BHUBANESHWAR, ORRISA</v>
          </cell>
          <cell r="G10360">
            <v>6261199293</v>
          </cell>
          <cell r="K10360" t="str">
            <v>BRAD230185</v>
          </cell>
        </row>
        <row r="10361">
          <cell r="E10361" t="str">
            <v>DALADALI, RANCHI</v>
          </cell>
          <cell r="G10361">
            <v>9934366411</v>
          </cell>
          <cell r="K10361" t="str">
            <v>BRGD230256</v>
          </cell>
        </row>
        <row r="10362">
          <cell r="E10362" t="str">
            <v>DALADALI, RANCHI</v>
          </cell>
          <cell r="G10362">
            <v>9334701321</v>
          </cell>
          <cell r="K10362" t="str">
            <v>BRGD230256</v>
          </cell>
        </row>
        <row r="10363">
          <cell r="E10363" t="str">
            <v>GAYA, BIHAR</v>
          </cell>
          <cell r="G10363">
            <v>9631508677</v>
          </cell>
          <cell r="K10363" t="str">
            <v>BRHD161303</v>
          </cell>
        </row>
        <row r="10364">
          <cell r="E10364" t="str">
            <v>TRIDENT PNEUMATICS PVT LTD   5/232,KNG PUDUR ROADSOMAYAMPALAYAM POSTCOIMBATORE IND</v>
          </cell>
          <cell r="G10364">
            <v>9386007608</v>
          </cell>
          <cell r="K10364" t="str">
            <v>BRCC373040</v>
          </cell>
        </row>
        <row r="10365">
          <cell r="E10365" t="str">
            <v>HESLA,RAMGARH
829101</v>
          </cell>
          <cell r="G10365">
            <v>9331188022</v>
          </cell>
          <cell r="K10365" t="str">
            <v>BSDS037710</v>
          </cell>
        </row>
        <row r="10366">
          <cell r="E10366" t="str">
            <v>GOLA,RAMGARH
829110
TITLA GOLA,</v>
          </cell>
          <cell r="G10366">
            <v>9534232818</v>
          </cell>
          <cell r="K10366" t="str">
            <v>BJBS040305</v>
          </cell>
        </row>
        <row r="10367">
          <cell r="E10367" t="str">
            <v>SHIVA JEE LANE, HARMU
834002</v>
          </cell>
          <cell r="G10367">
            <v>9431514189</v>
          </cell>
          <cell r="K10367" t="str">
            <v>BRGC374007</v>
          </cell>
        </row>
        <row r="10368">
          <cell r="E10368" t="str">
            <v>BALIDIH INDUSTRIAL AREA,BOKARO
PLOT NO. - A/2 (P) INDUSTRIAL AREA, BALIDIH BOKARO STEEL CITY - 14, BOKARO
827014
BOKARO INDUSTRIAL ESTATE</v>
          </cell>
          <cell r="G10368">
            <v>9102999894</v>
          </cell>
          <cell r="K10368" t="str">
            <v>BICET50010</v>
          </cell>
        </row>
        <row r="10369">
          <cell r="E10369" t="str">
            <v>ANGARA, TATISILWAI</v>
          </cell>
          <cell r="G10369">
            <v>9110012919</v>
          </cell>
          <cell r="K10369" t="str">
            <v>BVGF111615</v>
          </cell>
        </row>
        <row r="10370">
          <cell r="E10370" t="str">
            <v>BAGSUMA,GOVINDPUR, DHANBAD
GT ROAD, BAGSUMA
828109</v>
          </cell>
          <cell r="G10370">
            <v>9835191288</v>
          </cell>
          <cell r="K10370" t="str">
            <v>BTJC377259</v>
          </cell>
        </row>
        <row r="10371">
          <cell r="E10371" t="str">
            <v>CHATRA</v>
          </cell>
          <cell r="G10371">
            <v>9608456350</v>
          </cell>
          <cell r="K10371" t="str">
            <v>BOLD200057</v>
          </cell>
        </row>
        <row r="10372">
          <cell r="E10372" t="str">
            <v>PHUSHRO</v>
          </cell>
          <cell r="G10372">
            <v>7979946647</v>
          </cell>
          <cell r="K10372" t="str">
            <v>BWAD163687</v>
          </cell>
        </row>
        <row r="10373">
          <cell r="E10373" t="str">
            <v>KODERMA</v>
          </cell>
          <cell r="G10373">
            <v>6205630431</v>
          </cell>
          <cell r="K10373" t="str">
            <v>BXGS043540</v>
          </cell>
        </row>
        <row r="10374">
          <cell r="E10374" t="str">
            <v>MIRJA CHOWK, SAHEBGANJ</v>
          </cell>
          <cell r="G10374"/>
          <cell r="K10374" t="str">
            <v>BQBD160040</v>
          </cell>
        </row>
        <row r="10375">
          <cell r="E10375" t="str">
            <v>CHATRA</v>
          </cell>
          <cell r="G10375">
            <v>7004915623</v>
          </cell>
          <cell r="K10375" t="str">
            <v>BSLD200427</v>
          </cell>
        </row>
        <row r="10376">
          <cell r="E10376" t="str">
            <v>TUBED MINES, LATEHAR</v>
          </cell>
          <cell r="G10376">
            <v>7979098236</v>
          </cell>
          <cell r="K10376" t="str">
            <v>BXGD232278</v>
          </cell>
        </row>
        <row r="10377">
          <cell r="E10377" t="str">
            <v>LATEHAR</v>
          </cell>
          <cell r="G10377">
            <v>7979098236</v>
          </cell>
          <cell r="K10377" t="str">
            <v>BYHD165336</v>
          </cell>
        </row>
        <row r="10378">
          <cell r="E10378" t="str">
            <v>SAYAL, RAMGARH</v>
          </cell>
          <cell r="G10378">
            <v>8946096277</v>
          </cell>
          <cell r="K10378" t="str">
            <v>BXGD164632</v>
          </cell>
        </row>
        <row r="10379">
          <cell r="E10379" t="str">
            <v>PATRATU</v>
          </cell>
          <cell r="G10379">
            <v>9095444151</v>
          </cell>
          <cell r="K10379" t="str">
            <v>BXAD164301</v>
          </cell>
        </row>
        <row r="10380">
          <cell r="E10380" t="str">
            <v>PIPARWAR</v>
          </cell>
          <cell r="G10380">
            <v>7488660978</v>
          </cell>
          <cell r="K10380" t="str">
            <v>BXJD231746</v>
          </cell>
        </row>
        <row r="10381">
          <cell r="E10381" t="str">
            <v>BARKAGAON</v>
          </cell>
          <cell r="G10381">
            <v>9234615009</v>
          </cell>
          <cell r="K10381" t="str">
            <v>BXDD232126</v>
          </cell>
        </row>
        <row r="10382">
          <cell r="E10382" t="str">
            <v>NTPC BARKAGAON</v>
          </cell>
          <cell r="G10382">
            <v>7070010949</v>
          </cell>
          <cell r="K10382" t="str">
            <v>BYLD201693</v>
          </cell>
        </row>
        <row r="10383">
          <cell r="E10383" t="str">
            <v>DALADALI, RANCHI</v>
          </cell>
          <cell r="G10383">
            <v>9835538524</v>
          </cell>
          <cell r="K10383" t="str">
            <v>BWFD163940</v>
          </cell>
        </row>
        <row r="10384">
          <cell r="E10384" t="str">
            <v>NAGRI, RANCHI
TIKRATOLI, P.O:- NAGRI, RANCHI
834006</v>
          </cell>
          <cell r="G10384">
            <v>7549287704</v>
          </cell>
          <cell r="K10384" t="str">
            <v>BKKS030393</v>
          </cell>
        </row>
        <row r="10385">
          <cell r="E10385" t="str">
            <v>NAGRI,RANCHI
835202
RANCHI</v>
          </cell>
          <cell r="G10385">
            <v>7549287704</v>
          </cell>
          <cell r="K10385" t="str">
            <v>BIGS030904</v>
          </cell>
        </row>
        <row r="10386">
          <cell r="E10386" t="str">
            <v>KRISHNA NAGAR, BOOTY MORE, RANCHI</v>
          </cell>
          <cell r="G10386">
            <v>8910434312</v>
          </cell>
          <cell r="K10386" t="str">
            <v>BUES034926</v>
          </cell>
        </row>
        <row r="10387">
          <cell r="E10387" t="str">
            <v>MARRAR, RAMGRAH</v>
          </cell>
          <cell r="G10387">
            <v>8409349892</v>
          </cell>
          <cell r="K10387" t="str">
            <v>BWGS033844</v>
          </cell>
        </row>
        <row r="10388">
          <cell r="E10388" t="str">
            <v>BELANGI, RATU</v>
          </cell>
          <cell r="G10388">
            <v>9504196698</v>
          </cell>
          <cell r="K10388" t="str">
            <v>BYIS032660</v>
          </cell>
        </row>
        <row r="10389">
          <cell r="E10389" t="str">
            <v>ITKI, RANCHI</v>
          </cell>
          <cell r="G10389">
            <v>9793976818</v>
          </cell>
          <cell r="K10389" t="str">
            <v>BYLC376285</v>
          </cell>
        </row>
        <row r="10390">
          <cell r="E10390" t="str">
            <v>CHATRA</v>
          </cell>
          <cell r="G10390">
            <v>9110947105</v>
          </cell>
          <cell r="K10390" t="str">
            <v>BQFD160263</v>
          </cell>
        </row>
        <row r="10391">
          <cell r="E10391" t="str">
            <v>GAYA, BIHAR</v>
          </cell>
          <cell r="G10391">
            <v>8340735591</v>
          </cell>
          <cell r="K10391" t="str">
            <v>BQBD160060</v>
          </cell>
        </row>
        <row r="10392">
          <cell r="E10392" t="str">
            <v>KOKAR, RANCHI</v>
          </cell>
          <cell r="G10392">
            <v>8051191796</v>
          </cell>
          <cell r="K10392" t="str">
            <v>BRGD161233</v>
          </cell>
        </row>
        <row r="10393">
          <cell r="E10393" t="str">
            <v>BARKAGAON, HAZARIBAGH</v>
          </cell>
          <cell r="G10393">
            <v>7070010949</v>
          </cell>
          <cell r="K10393" t="str">
            <v>BWLD231334</v>
          </cell>
        </row>
        <row r="10394">
          <cell r="E10394" t="str">
            <v>CHATRA,JHARKHAND</v>
          </cell>
          <cell r="G10394">
            <v>9905024960</v>
          </cell>
          <cell r="K10394" t="str">
            <v>BSKD200409</v>
          </cell>
        </row>
        <row r="10395">
          <cell r="E10395" t="str">
            <v>GOPI MORE GAYA</v>
          </cell>
          <cell r="G10395">
            <v>8169716899</v>
          </cell>
          <cell r="K10395" t="str">
            <v>BRHD161314</v>
          </cell>
        </row>
        <row r="10396">
          <cell r="E10396" t="str">
            <v>GAYA</v>
          </cell>
          <cell r="G10396">
            <v>7004060071</v>
          </cell>
          <cell r="K10396" t="str">
            <v>BQGD160344</v>
          </cell>
        </row>
        <row r="10397">
          <cell r="E10397" t="str">
            <v>RAMGARH</v>
          </cell>
          <cell r="G10397">
            <v>7979930284</v>
          </cell>
          <cell r="K10397" t="str">
            <v>BYAS039931</v>
          </cell>
        </row>
        <row r="10398">
          <cell r="E10398" t="str">
            <v>GAYA</v>
          </cell>
          <cell r="G10398">
            <v>9431088962</v>
          </cell>
          <cell r="K10398" t="str">
            <v>BPKD200020</v>
          </cell>
        </row>
        <row r="10399">
          <cell r="E10399" t="str">
            <v>GAYA</v>
          </cell>
          <cell r="G10399">
            <v>8210812409</v>
          </cell>
          <cell r="K10399" t="str">
            <v>BUKD162510</v>
          </cell>
        </row>
        <row r="10400">
          <cell r="E10400" t="str">
            <v>GHATO</v>
          </cell>
          <cell r="G10400">
            <v>7260958963</v>
          </cell>
          <cell r="K10400" t="str">
            <v>BXKD164174</v>
          </cell>
        </row>
        <row r="10401">
          <cell r="E10401" t="str">
            <v>KRISHNA NAGAR, BOOTY MORE, RANCHI</v>
          </cell>
          <cell r="G10401">
            <v>8910434312</v>
          </cell>
          <cell r="K10401" t="str">
            <v>BUES034926</v>
          </cell>
        </row>
        <row r="10402">
          <cell r="E10402" t="str">
            <v>BALIAPUR ROAD, DHANBAD</v>
          </cell>
          <cell r="G10402">
            <v>7004723376</v>
          </cell>
          <cell r="K10402" t="str">
            <v>BXHD164701</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2)"/>
      <sheetName val="Summary"/>
      <sheetName val="Dashboard"/>
      <sheetName val="Pivot Table"/>
      <sheetName val="All Units"/>
      <sheetName val="BIS Feb-26"/>
      <sheetName val="Service"/>
      <sheetName val="Quote_Summary"/>
      <sheetName val="All_Units"/>
      <sheetName val="Scrap PP"/>
      <sheetName val="Sch Calls"/>
      <sheetName val="Active Customer Asset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061281-D0F1-4F10-AB5A-9A65BAFFF0E7}" name="tbl_DPSAC" displayName="tbl_DPSAC" ref="A1:EK490" totalsRowShown="0" headerRowDxfId="914" dataDxfId="913" tableBorderDxfId="912" totalsRowBorderDxfId="911">
  <autoFilter ref="A1:EK490" xr:uid="{F5061281-D0F1-4F10-AB5A-9A65BAFFF0E7}"/>
  <tableColumns count="141">
    <tableColumn id="1" xr3:uid="{F8247A84-6BB4-42CC-83FA-39CF706ADAAD}" name="Sl. No." dataDxfId="464">
      <calculatedColumnFormula>ROW([2]!tbl_DPSAC[[#This Row],[Sl. No.]])-1</calculatedColumnFormula>
    </tableColumn>
    <tableColumn id="2" xr3:uid="{EB15FD99-AD02-44FC-ACA5-248D4081B5D4}" name="Location" dataDxfId="463" totalsRowDxfId="910"/>
    <tableColumn id="3" xr3:uid="{D30922AA-1DB3-41F5-8E1D-A102F61F0A8A}" name="Fabrication No" dataDxfId="462" totalsRowDxfId="909"/>
    <tableColumn id="4" xr3:uid="{BB1858F0-F54E-4BAB-9CF0-EB0CE4608C5F}" name="MODEL" dataDxfId="461" totalsRowDxfId="908"/>
    <tableColumn id="71" xr3:uid="{F8CB9392-C89D-4FF3-B218-4DE2A2AC3815}" name="Sub Model" dataDxfId="460" totalsRowDxfId="907"/>
    <tableColumn id="5" xr3:uid="{85D80083-913C-4BBA-A5E9-99F8C3D25ED7}" name="Product Sub Group" dataDxfId="459" totalsRowDxfId="906"/>
    <tableColumn id="6" xr3:uid="{29E9F001-77FE-46C8-BE9F-A8F2A95FD798}" name="CUSTOMER NAME" dataDxfId="458" totalsRowDxfId="905"/>
    <tableColumn id="7" xr3:uid="{A82615A4-DEBE-4198-8875-908F4C10805E}" name="Address" dataDxfId="457" totalsRowDxfId="904"/>
    <tableColumn id="8" xr3:uid="{F2AFC85F-D15E-4CD9-BFC5-1378460B7AE4}" name="Email ID" dataDxfId="456" totalsRowDxfId="903"/>
    <tableColumn id="9" xr3:uid="{28D80342-A22C-40BE-BC4E-4E678C5BC5CB}" name="Contact No. 1" dataDxfId="455" totalsRowDxfId="902"/>
    <tableColumn id="10" xr3:uid="{6830056C-EE75-41FB-BC58-6844F3D5EDAE}" name="Contact No. 2" dataDxfId="454" totalsRowDxfId="901"/>
    <tableColumn id="11" xr3:uid="{58BB61F4-885D-469E-8B86-FB56D5B062BE}" name="Warranty Type" dataDxfId="453" totalsRowDxfId="900"/>
    <tableColumn id="12" xr3:uid="{5E581BA9-191E-4486-97EF-B989C84A0209}" name="Comm Date" dataDxfId="452" totalsRowDxfId="899"/>
    <tableColumn id="13" xr3:uid="{702E3117-4304-42D7-8E66-5B64515D4EBE}" name="Warranty Pd." dataDxfId="451" totalsRowDxfId="898"/>
    <tableColumn id="14" xr3:uid="{6BDA858C-4399-4E5B-A5D7-727A6A643783}" name="Warranty Expires On" dataDxfId="450" totalsRowDxfId="897"/>
    <tableColumn id="15" xr3:uid="{E0F2DFF3-3978-4D52-9CCD-77B16DB7E639}" name="Category" dataDxfId="449" totalsRowDxfId="896"/>
    <tableColumn id="24" xr3:uid="{5C8FA2AF-10B8-4BA2-A573-005EE8406096}" name="Last Service Call#" dataDxfId="442"/>
    <tableColumn id="25" xr3:uid="{28BA7485-C969-470B-AA44-9FF3E1BE1142}" name="Last Service Date" dataDxfId="441"/>
    <tableColumn id="26" xr3:uid="{2FBE62A8-FCD8-4597-B11D-00C8B452E53E}" name="Last Service HMR" dataDxfId="440" totalsRowDxfId="895"/>
    <tableColumn id="75" xr3:uid="{9046F61D-26A7-4F4F-A981-A33D6C9BDFB6}" name="Complaint Date" dataDxfId="439" totalsRowDxfId="894"/>
    <tableColumn id="74" xr3:uid="{14E29D8D-EB0C-4C85-83E7-8F120BD28321}" name="Complaint HMR" dataDxfId="438" totalsRowDxfId="893"/>
    <tableColumn id="107" xr3:uid="{7F20B067-AADB-49DC-B78B-603B87C2BB27}" name="Current Month HMR" dataDxfId="437"/>
    <tableColumn id="108" xr3:uid="{EC635688-EE01-45DF-AEB7-F17BEEDD96C1}" name="Current Month HMR Date" dataDxfId="436"/>
    <tableColumn id="27" xr3:uid="{C51CE949-6FDC-45C5-B914-6CAF49823CB4}" name="Last Service Details" dataDxfId="429" totalsRowDxfId="892"/>
    <tableColumn id="76" xr3:uid="{F0E3DDEB-833A-4BAD-A808-CC3F23DBCEA4}" name="Due Calculation" dataDxfId="428"/>
    <tableColumn id="28" xr3:uid="{DA5E0CC4-9483-42D2-886B-11EED6DEED6D}" name="Service Status by HMR" dataDxfId="427" totalsRowDxfId="891"/>
    <tableColumn id="77" xr3:uid="{916C875C-E772-452F-9671-7657614A8CFE}" name="Aging Calculation" dataDxfId="426" totalsRowDxfId="890"/>
    <tableColumn id="78" xr3:uid="{09F7D12B-EF44-43DD-AA79-336F7AD94D77}" name="Service Status by Ageing" dataDxfId="425" totalsRowDxfId="889"/>
    <tableColumn id="38" xr3:uid="{F2575533-7723-43AD-A863-5048400E78D5}" name="Current Month Due" dataDxfId="888" totalsRowDxfId="887"/>
    <tableColumn id="39" xr3:uid="{53D18CFE-B857-4FC4-A0E9-1F3829D0B65F}" name="Next Month Due" dataDxfId="886" totalsRowDxfId="885">
      <calculatedColumnFormula>IF(Z2="Due",1,0)</calculatedColumnFormula>
    </tableColumn>
    <tableColumn id="40" xr3:uid="{A9EDFC24-30BA-435F-B4C1-47E1ECD3B582}" name="Over Due" dataDxfId="884" totalsRowDxfId="883"/>
    <tableColumn id="41" xr3:uid="{5DD9EF58-30C8-487F-A367-52B6B5140499}" name="Avg. Hrs" dataDxfId="882" totalsRowDxfId="881"/>
    <tableColumn id="42" xr3:uid="{2223F581-7E44-4A14-B9E4-0E013E1FC192}" name="HMR Cal." dataDxfId="880" totalsRowDxfId="879">
      <calculatedColumnFormula>IFERROR(IF(V2&gt;=1,ROUND(SUM(SUM(TODAY()-W2)*AF2)+V2,0),""),"")</calculatedColumnFormula>
    </tableColumn>
    <tableColumn id="43" xr3:uid="{885719C3-37F1-4248-AC30-7C39C0132A73}" name="500 Hours schedule service" dataDxfId="878" totalsRowDxfId="877"/>
    <tableColumn id="44" xr3:uid="{92D6AD5F-8F19-4D04-A6FD-B6E9327E3779}" name="1000 Hours service " dataDxfId="876" totalsRowDxfId="875"/>
    <tableColumn id="45" xr3:uid="{BF4756A1-5659-4F87-BC98-354EF0C1D411}" name="1250 Hours schedule service" dataDxfId="874" totalsRowDxfId="873"/>
    <tableColumn id="46" xr3:uid="{5B1103E6-F999-4017-9BD8-7EE408B0CCF5}" name="1500 Hours schedule service" dataDxfId="872" totalsRowDxfId="871"/>
    <tableColumn id="47" xr3:uid="{BE6C1803-01CF-4008-AF37-FCA04E795A5D}" name="2000 Hours " dataDxfId="870" totalsRowDxfId="869"/>
    <tableColumn id="48" xr3:uid="{775CA33C-623D-4AEF-B2F7-13E858C72502}" name="2750 hours" dataDxfId="868" totalsRowDxfId="867"/>
    <tableColumn id="49" xr3:uid="{F15F49CC-1895-4A88-8644-A0BE7CDFD5C1}" name="3000 hours" dataDxfId="866" totalsRowDxfId="865"/>
    <tableColumn id="50" xr3:uid="{6FD425E4-3FEE-42D9-A925-DCDEF6BEEB0C}" name="3500 hours" dataDxfId="864" totalsRowDxfId="863"/>
    <tableColumn id="51" xr3:uid="{069D00D0-9E36-4523-B246-5CBEE44C82CE}" name="4250 Hours " dataDxfId="862" totalsRowDxfId="861"/>
    <tableColumn id="52" xr3:uid="{4232C8F9-0D62-4312-AD65-6A4109B95D26}" name="4500 Hours" dataDxfId="860" totalsRowDxfId="859"/>
    <tableColumn id="53" xr3:uid="{7DC28862-6929-4B04-BA4E-0F64ACC2A354}" name="5000 hours" dataDxfId="858" totalsRowDxfId="857"/>
    <tableColumn id="54" xr3:uid="{8E57976E-99EF-40C1-A07C-32BFA8EB2055}" name="5750 hours" dataDxfId="856" totalsRowDxfId="855"/>
    <tableColumn id="55" xr3:uid="{0CBC507A-72B4-4F19-996E-8D1F60A3E030}" name="6500 hours" dataDxfId="854" totalsRowDxfId="853"/>
    <tableColumn id="56" xr3:uid="{A36BE484-FA1F-441E-8560-D27887F9A23D}" name="7250 hours" dataDxfId="852" totalsRowDxfId="851"/>
    <tableColumn id="57" xr3:uid="{536670DA-A2C8-4636-9844-E0E6E35508EA}" name="8000 hours" dataDxfId="850" totalsRowDxfId="849"/>
    <tableColumn id="58" xr3:uid="{DF2D0C30-9F2C-4D0B-8159-8129ACBA7E81}" name="8750 hours" dataDxfId="848" totalsRowDxfId="847"/>
    <tableColumn id="125" xr3:uid="{526D4CFB-1F76-46FF-A8BC-065A39EEDD63}" name="Due remarks" dataDxfId="91" totalsRowDxfId="846"/>
    <tableColumn id="79" xr3:uid="{0A289625-91E6-4715-B0EC-FC7FC6599EB0}" name="Last OOF HMR" dataDxfId="90" totalsRowDxfId="845"/>
    <tableColumn id="80" xr3:uid="{4B06E4B7-6EF9-49D7-B952-D2DAB1B8410B}" name="Last OOF date" dataDxfId="89" totalsRowDxfId="844"/>
    <tableColumn id="81" xr3:uid="{DA526821-20CE-4C0F-A805-E91158D2BB0C}" name="OOF Track number" dataDxfId="88" totalsRowDxfId="843"/>
    <tableColumn id="84" xr3:uid="{CDF25D65-B7D9-470F-BE68-4FD6F038B310}" name="Last AOS HMR" dataDxfId="87" totalsRowDxfId="842"/>
    <tableColumn id="85" xr3:uid="{70A4DA78-9F6F-4ADA-987A-2ACD360D5C20}" name="Last AOS Date" dataDxfId="86" totalsRowDxfId="841"/>
    <tableColumn id="86" xr3:uid="{E8D637F9-5DFC-4B53-851B-B61EC5C1F81F}" name="AOS Track number" dataDxfId="85" totalsRowDxfId="840"/>
    <tableColumn id="89" xr3:uid="{EA8084FC-534D-423E-9664-852416DE45F6}" name="Last AF-C HMR" dataDxfId="84" totalsRowDxfId="839"/>
    <tableColumn id="90" xr3:uid="{202F4144-B2B6-4498-886F-118A9EC9B9C4}" name="Last AF-C Date" dataDxfId="83" totalsRowDxfId="838"/>
    <tableColumn id="91" xr3:uid="{F54EA283-645B-4EF9-929B-108F034124E0}" name="AFC Track number" dataDxfId="82" totalsRowDxfId="837"/>
    <tableColumn id="94" xr3:uid="{F153642A-D539-4129-A09E-789186A6C3E4}" name="Last AF-E HMR" dataDxfId="81" totalsRowDxfId="836"/>
    <tableColumn id="95" xr3:uid="{447DF1D7-A815-4A9A-8DA1-803878BCA41B}" name="Last AF-E Date" dataDxfId="80" totalsRowDxfId="835"/>
    <tableColumn id="96" xr3:uid="{419C3CAE-4A46-431F-A81C-249BE379B993}" name="AF-E Track number" dataDxfId="79" totalsRowDxfId="834"/>
    <tableColumn id="99" xr3:uid="{21E105C0-3DE3-4493-AB2C-BCB83C78127F}" name="Last VK HMR" dataDxfId="78" totalsRowDxfId="833"/>
    <tableColumn id="100" xr3:uid="{321B2BFE-0F8A-4ADF-BDEA-7C39DA255F4F}" name="Last VK Date" dataDxfId="77" totalsRowDxfId="832"/>
    <tableColumn id="101" xr3:uid="{6E0601B2-3175-43D0-9B52-A3744F529FCD}" name="VK Track number" dataDxfId="76" totalsRowDxfId="831"/>
    <tableColumn id="82" xr3:uid="{7C486043-74AB-40F9-8DD2-9BDD91ABE5AC}" name="Prev. OOF Due Month" dataDxfId="75" totalsRowDxfId="830" dataCellStyle="Comma"/>
    <tableColumn id="87" xr3:uid="{2B89BB60-C0A9-4D92-ABC6-6947FA20F502}" name="Prev. AOS Due Month" dataDxfId="74" totalsRowDxfId="829" dataCellStyle="Comma"/>
    <tableColumn id="92" xr3:uid="{CEC42696-C018-4956-87CB-2401CEAEB0F9}" name="Prev. AF-C Due Month" dataDxfId="73" totalsRowDxfId="828" dataCellStyle="Comma"/>
    <tableColumn id="97" xr3:uid="{2FFBC5FD-1753-4294-86EE-336B96F87E35}" name="Prev. AF-E Due Month" dataDxfId="72" totalsRowDxfId="827" dataCellStyle="Comma"/>
    <tableColumn id="102" xr3:uid="{EC722D03-58C0-45B2-A501-D977DDB65AF9}" name="Prev. VK Due Month" dataDxfId="71" totalsRowDxfId="826" dataCellStyle="Comma"/>
    <tableColumn id="83" xr3:uid="{673351F9-C671-43BA-AB44-B35902F0F06B}" name="Prev.  OOF HMR Due" dataDxfId="70" dataCellStyle="Comma"/>
    <tableColumn id="88" xr3:uid="{1B86438C-B195-4255-876C-F60CC00DFDEB}" name="Prev. AOS HMR Due" dataDxfId="69" totalsRowDxfId="825"/>
    <tableColumn id="93" xr3:uid="{47C5AF06-B975-4C9D-827F-B3169FA7164D}" name="Prev. AF-C HMR Due" dataDxfId="68" totalsRowDxfId="824"/>
    <tableColumn id="98" xr3:uid="{1E5A1BA7-D926-4276-A300-DB7B078E739B}" name="Prev. AFE HMR Due" dataDxfId="67" totalsRowDxfId="823"/>
    <tableColumn id="103" xr3:uid="{13D2F8C9-C3EE-42B2-85CD-A09BCD4F32E8}" name="Prev. VK HMR Due" dataDxfId="66" totalsRowDxfId="822"/>
    <tableColumn id="104" xr3:uid="{27B4759A-E309-4745-A3E9-95696BBB7A53}" name="Dealer Remarks" dataDxfId="65" totalsRowDxfId="821"/>
    <tableColumn id="168" xr3:uid="{CCF6D82C-0E8D-4D26-8D0C-D4CA17A0669E}" name="Over Due Count" dataDxfId="64"/>
    <tableColumn id="181" xr3:uid="{69943E71-DE0F-4647-B57A-BE97AA648A4E}" name="Current Month Due Count" dataDxfId="63"/>
    <tableColumn id="182" xr3:uid="{0C5C5444-5304-4FAF-B4A3-3B6A680976C7}" name="Next Month Due2" dataDxfId="62"/>
    <tableColumn id="183" xr3:uid="{4651304B-BAAC-4A92-91C6-23E5FCFC5CC5}" name="Oil R Date" dataDxfId="61"/>
    <tableColumn id="184" xr3:uid="{8FA04DAF-6A67-43E7-817B-467205A88EC3}" name="AFC R Date" dataDxfId="60"/>
    <tableColumn id="185" xr3:uid="{23C9A316-B72B-4F63-B106-03C3F87BC2C3}" name="AFE R Date" dataDxfId="59"/>
    <tableColumn id="186" xr3:uid="{ABD6E7BA-157B-49FB-AE99-10E715BF3342}" name="MOF R Date" dataDxfId="58"/>
    <tableColumn id="187" xr3:uid="{F0ED3C50-1542-4CC8-95B3-94BB38FCFD95}" name="ROF R Date" dataDxfId="57"/>
    <tableColumn id="188" xr3:uid="{3A5282C5-5082-4FFF-A6A6-B4A75F0254E7}" name="AOS R Date" dataDxfId="56"/>
    <tableColumn id="189" xr3:uid="{0FB2E876-EEF4-4033-8C44-16FAEC5A8B55}" name="RGT R Date" dataDxfId="55"/>
    <tableColumn id="190" xr3:uid="{04CBF51C-DA2F-4584-B34C-F6ABFF05A320}" name="1500 kit R Date" dataDxfId="54"/>
    <tableColumn id="191" xr3:uid="{9F142874-9FE6-4905-91D5-9C39A301140D}" name="3000 kit R Date" dataDxfId="53"/>
    <tableColumn id="192" xr3:uid="{0B99013C-5AF6-41AB-9774-BC88E74A4A37}" name="OIL Remaining Hours" dataDxfId="52"/>
    <tableColumn id="193" xr3:uid="{E0A6B20D-F0BB-4C41-9809-FB77C44CD2FF}" name="AFC Remaining Hours" dataDxfId="51"/>
    <tableColumn id="194" xr3:uid="{6D8FDA51-289F-4A75-9C2F-39D3D2BB6352}" name="AFE Remaining Hours" dataDxfId="50"/>
    <tableColumn id="195" xr3:uid="{CD92A35B-CC2C-4E5A-B849-0753B2997E30}" name="MOF Remaining Hours" dataDxfId="49"/>
    <tableColumn id="196" xr3:uid="{AE9C0322-0935-41A3-AE2D-DA658F3837FD}" name="ROF Remaining Hours" dataDxfId="48"/>
    <tableColumn id="197" xr3:uid="{C16172BE-82A2-4938-AF85-3FAA6AA470A7}" name="AOS Remaining Hours" dataDxfId="47"/>
    <tableColumn id="198" xr3:uid="{390B77FA-224F-459F-B4FC-1DB35BCAB344}" name="RGT Remaining Hours" dataDxfId="46"/>
    <tableColumn id="199" xr3:uid="{E7870F23-7810-47CE-BAB1-290EDC84E1FE}" name="1500 KIT Remaining Hours" dataDxfId="45"/>
    <tableColumn id="200" xr3:uid="{B6305E67-8922-4353-B689-E6A92117E455}" name="1500 KIT Remaining Hours2" dataDxfId="44"/>
    <tableColumn id="201" xr3:uid="{2EFB0173-67DD-40A2-BED0-A78021632DC5}" name="AVG Running Hours Per Day" dataDxfId="43"/>
    <tableColumn id="202" xr3:uid="{428B9F55-086A-4B5D-99E4-40CAAA092226}" name="OIL DUE DATE" dataDxfId="42"/>
    <tableColumn id="203" xr3:uid="{2DA1A103-A52D-4564-A09C-A9BBF1ABF506}" name="AFC DUE DATE" dataDxfId="41"/>
    <tableColumn id="204" xr3:uid="{44D94F4C-82D4-4E2B-9E5A-FCCE5126146B}" name="AFE DUE DATE" dataDxfId="40"/>
    <tableColumn id="205" xr3:uid="{7D2E4D9A-1826-4222-917B-0DA0199EDF35}" name="MOF DUE DATE" dataDxfId="39"/>
    <tableColumn id="206" xr3:uid="{0ED10C90-020C-4B90-A879-8D8030995F08}" name="ROF DUE DATE" dataDxfId="38"/>
    <tableColumn id="207" xr3:uid="{86A28D04-9C0D-4123-982F-4DE5B5DF829E}" name="AOS DUE DATE" dataDxfId="37"/>
    <tableColumn id="208" xr3:uid="{38822717-46C7-4959-B0C9-8FD1BBF69204}" name="RGT DUE DATE" dataDxfId="36"/>
    <tableColumn id="209" xr3:uid="{DA5576D6-8676-41C6-BE2D-5604215BBF7E}" name="1500 KIT DUE DATE" dataDxfId="35"/>
    <tableColumn id="210" xr3:uid="{A96ADF08-745F-4B96-A2DF-7A23FB96700A}" name="3000 KIT DUE DATE" dataDxfId="34"/>
    <tableColumn id="211" xr3:uid="{D654751D-4ED5-4C8B-BA58-E806D7BDA9BC}" name="Over Due3" dataDxfId="33"/>
    <tableColumn id="212" xr3:uid="{E42FEB10-BF28-4C4A-9420-0B8826EA3880}" name="Current Month Due4" dataDxfId="32"/>
    <tableColumn id="213" xr3:uid="{B564C474-D832-4F19-93CD-C12515ABFDB2}" name="Next Month Due5" dataDxfId="31"/>
    <tableColumn id="214" xr3:uid="{8F9E7632-A251-4934-9DC0-CA044A9F6D62}" name="BIS Over Due" dataDxfId="30"/>
    <tableColumn id="215" xr3:uid="{10E37E9A-208B-4B6D-8D60-80A027766633}" name="BIS Current Month Due" dataDxfId="29"/>
    <tableColumn id="216" xr3:uid="{4517BCC0-3E52-445A-89FF-25223EE4C301}" name="BIS Next Month Due" dataDxfId="28"/>
    <tableColumn id="217" xr3:uid="{3D079CB8-6EB3-428B-81B0-0D8804802D01}" name="MDA Customer Category" dataDxfId="27"/>
    <tableColumn id="218" xr3:uid="{86D8AD3F-33DF-4A72-ACA8-BC974E2605F2}" name="Date of Commissioning" dataDxfId="26"/>
    <tableColumn id="219" xr3:uid="{3CF1A725-0C5A-473D-BE99-E81329BB5B1F}" name="Date of Invoice" dataDxfId="25"/>
    <tableColumn id="220" xr3:uid="{7849D352-9B0A-4302-A145-5206244A4BA2}" name="HMR Date" dataDxfId="24"/>
    <tableColumn id="221" xr3:uid="{8D332251-F06B-44AC-988B-56F963C4F900}" name="Total Hours" dataDxfId="23"/>
    <tableColumn id="222" xr3:uid="{59AAD22F-80B1-4728-9F43-6D8A292EF2BB}" name="Loaded Hours (HMR)" dataDxfId="22"/>
    <tableColumn id="223" xr3:uid="{02C7E55A-B60C-4EB1-8D58-5A8219B6D9A1}" name="Unloaded Hours" dataDxfId="21"/>
    <tableColumn id="224" xr3:uid="{7CA160F1-B34B-4F05-B7CF-649223A00718}" name="Type of Oil" dataDxfId="20"/>
    <tableColumn id="225" xr3:uid="{2FC7FCA6-620A-4998-B720-50FDADF47600}" name="Oil Replacement Date" dataDxfId="19"/>
    <tableColumn id="226" xr3:uid="{2F53F032-E7DC-4162-9E98-42FADEE1A034}" name="Air filter Compressor Replaced Date" dataDxfId="18"/>
    <tableColumn id="227" xr3:uid="{414D6354-DB66-4891-98C2-6C30AA3A984D}" name="Air filter Engine Replaced Date" dataDxfId="17"/>
    <tableColumn id="228" xr3:uid="{999F9C24-A442-4B39-AAA4-DBD5FD56D1FA}" name="Main Oil filter Replaced Date" dataDxfId="16"/>
    <tableColumn id="229" xr3:uid="{FDEECFAB-3F65-467E-A7B8-6C9E68B888B5}" name="Return Oil filter Replaced Date" dataDxfId="15"/>
    <tableColumn id="230" xr3:uid="{BD949C82-FA5B-4813-A8D2-37E01E1296FC}" name="AOS Replaced Date" dataDxfId="14"/>
    <tableColumn id="231" xr3:uid="{AF1F4133-3F53-48B3-A843-46F3EBCE1114}" name="Greasing Done Date" dataDxfId="13"/>
    <tableColumn id="232" xr3:uid="{5F44AA17-1481-485A-A58C-E4CF474535D3}" name="1500 Valve kit Replaced Date" dataDxfId="12"/>
    <tableColumn id="233" xr3:uid="{95466278-CBE8-43C0-A127-0485FC9588DF}" name="3000 Valve kit Replaced Date" dataDxfId="11"/>
    <tableColumn id="234" xr3:uid="{BF8983FA-7646-42F5-BD28-269DD485BF9F}" name="HMR - Oil remaining" dataDxfId="10"/>
    <tableColumn id="235" xr3:uid="{FB4AC7F2-3597-4D3A-AAB9-B2549DDBE427}" name="Air filter replaced - Compressor Remaining Hours" dataDxfId="9"/>
    <tableColumn id="236" xr3:uid="{784EEEF8-EE50-497E-AA4D-AEFA77EA78F0}" name="Air filter replaced - Engine Remaining Hours" dataDxfId="8"/>
    <tableColumn id="237" xr3:uid="{DAE3A7E5-4567-4027-A6CE-188D8A8BE42C}" name="Main Oil filter Remaining Hours" dataDxfId="7"/>
    <tableColumn id="238" xr3:uid="{40E31374-FED1-4A17-B081-F52016923369}" name="Return Oil filter Remaining Hours" dataDxfId="6"/>
    <tableColumn id="239" xr3:uid="{500E6E76-CF57-4AE3-8FDD-DF8C44EAB975}" name="HMR - Separator remaining" dataDxfId="5"/>
    <tableColumn id="240" xr3:uid="{533A27D9-EA3B-4268-851F-63F1A0A29310}" name="HMR - Motor regressed remaining" dataDxfId="4"/>
    <tableColumn id="241" xr3:uid="{10F05DC1-45A9-4DB5-AD1D-E9DFC32BCE4C}" name="1500 Valve kit Remaining Hours" dataDxfId="3"/>
    <tableColumn id="242" xr3:uid="{2B11BCA8-3AF6-4118-B96B-A924A1149B88}" name="3000 Valve kit Remaining Hours" dataDxfId="2"/>
    <tableColumn id="243" xr3:uid="{84952BF6-2E36-4258-B4E4-254C6C7C7B51}" name="Average Running Hours" dataDxfId="1"/>
    <tableColumn id="16" xr3:uid="{D7F015C0-E100-47F7-AF7F-540BE25688FB}" name="Unit 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rishurajpoot2016@gmail.com" TargetMode="External"/><Relationship Id="rId21" Type="http://schemas.openxmlformats.org/officeDocument/2006/relationships/hyperlink" Target="mailto:rajtravels.prasad@gmail.com" TargetMode="External"/><Relationship Id="rId42" Type="http://schemas.openxmlformats.org/officeDocument/2006/relationships/hyperlink" Target="mailto:admin@mssns.com.in" TargetMode="External"/><Relationship Id="rId47" Type="http://schemas.openxmlformats.org/officeDocument/2006/relationships/hyperlink" Target="mailto:harishsingh.rnc@gmail.com" TargetMode="External"/><Relationship Id="rId63" Type="http://schemas.openxmlformats.org/officeDocument/2006/relationships/hyperlink" Target="mailto:mspranavkumarsingh@gmail.com" TargetMode="External"/><Relationship Id="rId68" Type="http://schemas.openxmlformats.org/officeDocument/2006/relationships/hyperlink" Target="mailto:tment909@gmail.com" TargetMode="External"/><Relationship Id="rId84" Type="http://schemas.openxmlformats.org/officeDocument/2006/relationships/hyperlink" Target="mailto:prabhakaranil99@gmail.com" TargetMode="External"/><Relationship Id="rId89" Type="http://schemas.openxmlformats.org/officeDocument/2006/relationships/hyperlink" Target="mailto:maintenance@jsiwinfra.com" TargetMode="External"/><Relationship Id="rId16" Type="http://schemas.openxmlformats.org/officeDocument/2006/relationships/hyperlink" Target="mailto:abhisheksoni.084@gmail.com" TargetMode="External"/><Relationship Id="rId11" Type="http://schemas.openxmlformats.org/officeDocument/2006/relationships/hyperlink" Target="mailto:abhisheksoni.084@gmail.com" TargetMode="External"/><Relationship Id="rId32" Type="http://schemas.openxmlformats.org/officeDocument/2006/relationships/hyperlink" Target="mailto:dharambirpaswan.mech@spsingla.com" TargetMode="External"/><Relationship Id="rId37" Type="http://schemas.openxmlformats.org/officeDocument/2006/relationships/hyperlink" Target="mailto:devendra.srivastava@kalpataru.com" TargetMode="External"/><Relationship Id="rId53" Type="http://schemas.openxmlformats.org/officeDocument/2006/relationships/hyperlink" Target="mailto:kunwar.akhilesh@kalpatrupower.com" TargetMode="External"/><Relationship Id="rId58" Type="http://schemas.openxmlformats.org/officeDocument/2006/relationships/hyperlink" Target="mailto:somanath@likhithain" TargetMode="External"/><Relationship Id="rId74" Type="http://schemas.openxmlformats.org/officeDocument/2006/relationships/hyperlink" Target="mailto:riteshkumar@afcons.com" TargetMode="External"/><Relationship Id="rId79" Type="http://schemas.openxmlformats.org/officeDocument/2006/relationships/hyperlink" Target="mailto:rakeshkumar088@gmail.com" TargetMode="External"/><Relationship Id="rId102" Type="http://schemas.openxmlformats.org/officeDocument/2006/relationships/hyperlink" Target="mailto:purviaspl@gmail.com" TargetMode="External"/><Relationship Id="rId5" Type="http://schemas.openxmlformats.org/officeDocument/2006/relationships/hyperlink" Target="mailto:asokastores@plrprojects.com" TargetMode="External"/><Relationship Id="rId90" Type="http://schemas.openxmlformats.org/officeDocument/2006/relationships/hyperlink" Target="mailto:sardamining@gmail.com" TargetMode="External"/><Relationship Id="rId95" Type="http://schemas.openxmlformats.org/officeDocument/2006/relationships/hyperlink" Target="mailto:navneetgns@gmail.com" TargetMode="External"/><Relationship Id="rId22" Type="http://schemas.openxmlformats.org/officeDocument/2006/relationships/hyperlink" Target="mailto:purchaseucil@mythriinfra.com" TargetMode="External"/><Relationship Id="rId27" Type="http://schemas.openxmlformats.org/officeDocument/2006/relationships/hyperlink" Target="mailto:palanivelpriya83@gmail.com" TargetMode="External"/><Relationship Id="rId43" Type="http://schemas.openxmlformats.org/officeDocument/2006/relationships/hyperlink" Target="mailto:sharad.sax007@gmail.com" TargetMode="External"/><Relationship Id="rId48" Type="http://schemas.openxmlformats.org/officeDocument/2006/relationships/hyperlink" Target="mailto:shashikant.sharma@heerugroup.in" TargetMode="External"/><Relationship Id="rId64" Type="http://schemas.openxmlformats.org/officeDocument/2006/relationships/hyperlink" Target="mailto:chunuvishwakarma502@gmail.com" TargetMode="External"/><Relationship Id="rId69" Type="http://schemas.openxmlformats.org/officeDocument/2006/relationships/hyperlink" Target="mailto:tment909@gmail.com" TargetMode="External"/><Relationship Id="rId80" Type="http://schemas.openxmlformats.org/officeDocument/2006/relationships/hyperlink" Target="mailto:somanath@likhitha.in" TargetMode="External"/><Relationship Id="rId85" Type="http://schemas.openxmlformats.org/officeDocument/2006/relationships/hyperlink" Target="mailto:transportrnt@gmail.com" TargetMode="External"/><Relationship Id="rId12" Type="http://schemas.openxmlformats.org/officeDocument/2006/relationships/hyperlink" Target="mailto:abhisheksoni.084@gmail.com" TargetMode="External"/><Relationship Id="rId17" Type="http://schemas.openxmlformats.org/officeDocument/2006/relationships/hyperlink" Target="mailto:abhisheksoni.084@gmail.com" TargetMode="External"/><Relationship Id="rId25" Type="http://schemas.openxmlformats.org/officeDocument/2006/relationships/hyperlink" Target="mailto:rishurajpoot2016@gmail.com" TargetMode="External"/><Relationship Id="rId33" Type="http://schemas.openxmlformats.org/officeDocument/2006/relationships/hyperlink" Target="mailto:mspranavkumarsingh@gmail.com" TargetMode="External"/><Relationship Id="rId38" Type="http://schemas.openxmlformats.org/officeDocument/2006/relationships/hyperlink" Target="mailto:neerajkumarchirawa@gmail.com" TargetMode="External"/><Relationship Id="rId46" Type="http://schemas.openxmlformats.org/officeDocument/2006/relationships/hyperlink" Target="mailto:echpkaranpura.dc@gdcl.in" TargetMode="External"/><Relationship Id="rId59" Type="http://schemas.openxmlformats.org/officeDocument/2006/relationships/hyperlink" Target="mailto:somanath@likhithain" TargetMode="External"/><Relationship Id="rId67" Type="http://schemas.openxmlformats.org/officeDocument/2006/relationships/hyperlink" Target="mailto:psp.sp98@gmail.com" TargetMode="External"/><Relationship Id="rId103" Type="http://schemas.openxmlformats.org/officeDocument/2006/relationships/printerSettings" Target="../printerSettings/printerSettings1.bin"/><Relationship Id="rId20" Type="http://schemas.openxmlformats.org/officeDocument/2006/relationships/hyperlink" Target="mailto:admin@mssns.com.in" TargetMode="External"/><Relationship Id="rId41" Type="http://schemas.openxmlformats.org/officeDocument/2006/relationships/hyperlink" Target="mailto:2009.dalmia@gmail.com" TargetMode="External"/><Relationship Id="rId54" Type="http://schemas.openxmlformats.org/officeDocument/2006/relationships/hyperlink" Target="mailto:kunwar.akhilesh@kalpatrupower.com" TargetMode="External"/><Relationship Id="rId62" Type="http://schemas.openxmlformats.org/officeDocument/2006/relationships/hyperlink" Target="mailto:mspranavkumarsingh@gmail.com" TargetMode="External"/><Relationship Id="rId70" Type="http://schemas.openxmlformats.org/officeDocument/2006/relationships/hyperlink" Target="mailto:mspranavkumarsingh@gmail.com" TargetMode="External"/><Relationship Id="rId75" Type="http://schemas.openxmlformats.org/officeDocument/2006/relationships/hyperlink" Target="mailto:mspranavkumarsingh@gmail.com" TargetMode="External"/><Relationship Id="rId83" Type="http://schemas.openxmlformats.org/officeDocument/2006/relationships/hyperlink" Target="mailto:rahul.ag2911@gmail.com" TargetMode="External"/><Relationship Id="rId88" Type="http://schemas.openxmlformats.org/officeDocument/2006/relationships/hyperlink" Target="mailto:maintenance@jsiwinfra.com" TargetMode="External"/><Relationship Id="rId91" Type="http://schemas.openxmlformats.org/officeDocument/2006/relationships/hyperlink" Target="mailto:rroy@lakecityinfra.com" TargetMode="External"/><Relationship Id="rId96" Type="http://schemas.openxmlformats.org/officeDocument/2006/relationships/hyperlink" Target="mailto:purviaspl@gmail.com" TargetMode="External"/><Relationship Id="rId1" Type="http://schemas.openxmlformats.org/officeDocument/2006/relationships/hyperlink" Target="mailto:aksharadrillers@gmail.com" TargetMode="External"/><Relationship Id="rId6" Type="http://schemas.openxmlformats.org/officeDocument/2006/relationships/hyperlink" Target="mailto:asokastores@plrprojects.com" TargetMode="External"/><Relationship Id="rId15" Type="http://schemas.openxmlformats.org/officeDocument/2006/relationships/hyperlink" Target="mailto:abhisheksoni.084@gmail.com" TargetMode="External"/><Relationship Id="rId23" Type="http://schemas.openxmlformats.org/officeDocument/2006/relationships/hyperlink" Target="mailto:purchaseucil@mythriinfra.com" TargetMode="External"/><Relationship Id="rId28" Type="http://schemas.openxmlformats.org/officeDocument/2006/relationships/hyperlink" Target="mailto:vrcpl@rediffmail.com" TargetMode="External"/><Relationship Id="rId36" Type="http://schemas.openxmlformats.org/officeDocument/2006/relationships/hyperlink" Target="mailto:vrcpl@rediffmail.com" TargetMode="External"/><Relationship Id="rId49" Type="http://schemas.openxmlformats.org/officeDocument/2006/relationships/hyperlink" Target="mailto:shashikant.sharma@heerugroup.in" TargetMode="External"/><Relationship Id="rId57" Type="http://schemas.openxmlformats.org/officeDocument/2006/relationships/hyperlink" Target="mailto:kunwar.akhilesh@kalpatrupower.com" TargetMode="External"/><Relationship Id="rId10" Type="http://schemas.openxmlformats.org/officeDocument/2006/relationships/hyperlink" Target="mailto:abhisheksoni.084@gmail.com" TargetMode="External"/><Relationship Id="rId31" Type="http://schemas.openxmlformats.org/officeDocument/2006/relationships/hyperlink" Target="mailto:mspranavkumarsingh@gmail.com" TargetMode="External"/><Relationship Id="rId44" Type="http://schemas.openxmlformats.org/officeDocument/2006/relationships/hyperlink" Target="mailto:ceplmechenical@gmail.com;%20classic_cepl@rediffmail.com" TargetMode="External"/><Relationship Id="rId52" Type="http://schemas.openxmlformats.org/officeDocument/2006/relationships/hyperlink" Target="mailto:kunwar.akhilesh@kalpatrupower.com" TargetMode="External"/><Relationship Id="rId60" Type="http://schemas.openxmlformats.org/officeDocument/2006/relationships/hyperlink" Target="mailto:rahulsaboo@nirmanfab.com" TargetMode="External"/><Relationship Id="rId65" Type="http://schemas.openxmlformats.org/officeDocument/2006/relationships/hyperlink" Target="mailto:chandra.baronia@spsig.com" TargetMode="External"/><Relationship Id="rId73" Type="http://schemas.openxmlformats.org/officeDocument/2006/relationships/hyperlink" Target="mailto:riteshkumar@afcons.com" TargetMode="External"/><Relationship Id="rId78" Type="http://schemas.openxmlformats.org/officeDocument/2006/relationships/hyperlink" Target="mailto:skanand@intecc.com" TargetMode="External"/><Relationship Id="rId81" Type="http://schemas.openxmlformats.org/officeDocument/2006/relationships/hyperlink" Target="mailto:tment909@gmail.com" TargetMode="External"/><Relationship Id="rId86" Type="http://schemas.openxmlformats.org/officeDocument/2006/relationships/hyperlink" Target="mailto:aambika123@gmail.com" TargetMode="External"/><Relationship Id="rId94" Type="http://schemas.openxmlformats.org/officeDocument/2006/relationships/hyperlink" Target="mailto:kayumborewell@23gmail.com" TargetMode="External"/><Relationship Id="rId99" Type="http://schemas.openxmlformats.org/officeDocument/2006/relationships/hyperlink" Target="mailto:shankar@broshanindia.com" TargetMode="External"/><Relationship Id="rId101" Type="http://schemas.openxmlformats.org/officeDocument/2006/relationships/hyperlink" Target="mailto:shankar@broshanindia.com" TargetMode="External"/><Relationship Id="rId4" Type="http://schemas.openxmlformats.org/officeDocument/2006/relationships/hyperlink" Target="mailto:anpr.koderma@gmail.com" TargetMode="External"/><Relationship Id="rId9" Type="http://schemas.openxmlformats.org/officeDocument/2006/relationships/hyperlink" Target="mailto:aksharadrillers@gmail.com" TargetMode="External"/><Relationship Id="rId13" Type="http://schemas.openxmlformats.org/officeDocument/2006/relationships/hyperlink" Target="mailto:abhisheksoni.084@gmail.com" TargetMode="External"/><Relationship Id="rId18" Type="http://schemas.openxmlformats.org/officeDocument/2006/relationships/hyperlink" Target="mailto:abhisheksoni.084@gmail.com" TargetMode="External"/><Relationship Id="rId39" Type="http://schemas.openxmlformats.org/officeDocument/2006/relationships/hyperlink" Target="mailto:riteshkumar@afcons.com" TargetMode="External"/><Relationship Id="rId34" Type="http://schemas.openxmlformats.org/officeDocument/2006/relationships/hyperlink" Target="mailto:randirdcst@gmail.com" TargetMode="External"/><Relationship Id="rId50" Type="http://schemas.openxmlformats.org/officeDocument/2006/relationships/hyperlink" Target="mailto:shashikant.sharma@heerugroup.in" TargetMode="External"/><Relationship Id="rId55" Type="http://schemas.openxmlformats.org/officeDocument/2006/relationships/hyperlink" Target="mailto:kunwar.akhilesh@kalpatrupower.com" TargetMode="External"/><Relationship Id="rId76" Type="http://schemas.openxmlformats.org/officeDocument/2006/relationships/hyperlink" Target="mailto:info@galvanoindia.com" TargetMode="External"/><Relationship Id="rId97" Type="http://schemas.openxmlformats.org/officeDocument/2006/relationships/hyperlink" Target="mailto:randhirdcsl@gmail.com" TargetMode="External"/><Relationship Id="rId104" Type="http://schemas.openxmlformats.org/officeDocument/2006/relationships/table" Target="../tables/table1.xml"/><Relationship Id="rId7" Type="http://schemas.openxmlformats.org/officeDocument/2006/relationships/hyperlink" Target="mailto:s.udyog@rediffmail.com" TargetMode="External"/><Relationship Id="rId71" Type="http://schemas.openxmlformats.org/officeDocument/2006/relationships/hyperlink" Target="mailto:riteshkumar@afcons.com" TargetMode="External"/><Relationship Id="rId92" Type="http://schemas.openxmlformats.org/officeDocument/2006/relationships/hyperlink" Target="mailto:bdy@thriveni.com;%20sksg@thriveni.com" TargetMode="External"/><Relationship Id="rId2" Type="http://schemas.openxmlformats.org/officeDocument/2006/relationships/hyperlink" Target="mailto:shankar@broshanindia.com" TargetMode="External"/><Relationship Id="rId29" Type="http://schemas.openxmlformats.org/officeDocument/2006/relationships/hyperlink" Target="mailto:vrcpl@rediffmail.com" TargetMode="External"/><Relationship Id="rId24" Type="http://schemas.openxmlformats.org/officeDocument/2006/relationships/hyperlink" Target="mailto:purchaseucil@mythriinfra.com" TargetMode="External"/><Relationship Id="rId40" Type="http://schemas.openxmlformats.org/officeDocument/2006/relationships/hyperlink" Target="mailto:riteshkumar@afcons.com" TargetMode="External"/><Relationship Id="rId45" Type="http://schemas.openxmlformats.org/officeDocument/2006/relationships/hyperlink" Target="mailto:electro_mech@yahoo.com" TargetMode="External"/><Relationship Id="rId66" Type="http://schemas.openxmlformats.org/officeDocument/2006/relationships/hyperlink" Target="mailto:sahityagrawal009@gmail.com" TargetMode="External"/><Relationship Id="rId87" Type="http://schemas.openxmlformats.org/officeDocument/2006/relationships/hyperlink" Target="mailto:ajaysingh@gmail.com" TargetMode="External"/><Relationship Id="rId61" Type="http://schemas.openxmlformats.org/officeDocument/2006/relationships/hyperlink" Target="mailto:mdshababkhan5@gmail.com" TargetMode="External"/><Relationship Id="rId82" Type="http://schemas.openxmlformats.org/officeDocument/2006/relationships/hyperlink" Target="mailto:vinod.ssingh@adityabirla.com" TargetMode="External"/><Relationship Id="rId19" Type="http://schemas.openxmlformats.org/officeDocument/2006/relationships/hyperlink" Target="mailto:jitenderaconstruction2013@gmail.com" TargetMode="External"/><Relationship Id="rId14" Type="http://schemas.openxmlformats.org/officeDocument/2006/relationships/hyperlink" Target="mailto:abhisheksoni.084@gmail.com" TargetMode="External"/><Relationship Id="rId30" Type="http://schemas.openxmlformats.org/officeDocument/2006/relationships/hyperlink" Target="mailto:mspranavkumarsingh@gmail.com" TargetMode="External"/><Relationship Id="rId35" Type="http://schemas.openxmlformats.org/officeDocument/2006/relationships/hyperlink" Target="mailto:vrcpl@rediffmail.com" TargetMode="External"/><Relationship Id="rId56" Type="http://schemas.openxmlformats.org/officeDocument/2006/relationships/hyperlink" Target="mailto:kunwar.akhilesh@kalpatrupower.com" TargetMode="External"/><Relationship Id="rId77" Type="http://schemas.openxmlformats.org/officeDocument/2006/relationships/hyperlink" Target="mailto:ramesh.gollapally@vprmininginfra.com" TargetMode="External"/><Relationship Id="rId100" Type="http://schemas.openxmlformats.org/officeDocument/2006/relationships/hyperlink" Target="mailto:dtak@lakecityinfra.com" TargetMode="External"/><Relationship Id="rId8" Type="http://schemas.openxmlformats.org/officeDocument/2006/relationships/hyperlink" Target="mailto:aksharadrillers@gmail.com" TargetMode="External"/><Relationship Id="rId51" Type="http://schemas.openxmlformats.org/officeDocument/2006/relationships/hyperlink" Target="mailto:kunwar.akhilesh@kalpatrupower.com" TargetMode="External"/><Relationship Id="rId72" Type="http://schemas.openxmlformats.org/officeDocument/2006/relationships/hyperlink" Target="mailto:riteshkumar@afcons.com" TargetMode="External"/><Relationship Id="rId93" Type="http://schemas.openxmlformats.org/officeDocument/2006/relationships/hyperlink" Target="mailto:saeimperial@gmail.com" TargetMode="External"/><Relationship Id="rId98" Type="http://schemas.openxmlformats.org/officeDocument/2006/relationships/hyperlink" Target="mailto:indumovers1972@gmail.com" TargetMode="External"/><Relationship Id="rId3" Type="http://schemas.openxmlformats.org/officeDocument/2006/relationships/hyperlink" Target="mailto:anpr.koderm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79C46-146B-40C0-910C-DA757242808D}">
  <dimension ref="A1:EV490"/>
  <sheetViews>
    <sheetView tabSelected="1" workbookViewId="0">
      <selection activeCell="E9" sqref="E9"/>
    </sheetView>
  </sheetViews>
  <sheetFormatPr defaultRowHeight="10.5" outlineLevelCol="1" x14ac:dyDescent="0.15"/>
  <cols>
    <col min="1" max="1" width="11.5703125" bestFit="1" customWidth="1"/>
    <col min="2" max="2" width="12.5703125" bestFit="1" customWidth="1"/>
    <col min="3" max="3" width="12.7109375" bestFit="1" customWidth="1"/>
    <col min="4" max="4" width="24.5703125" customWidth="1"/>
    <col min="5" max="5" width="11.140625" bestFit="1" customWidth="1"/>
    <col min="6" max="6" width="10.28515625" bestFit="1" customWidth="1"/>
    <col min="7" max="7" width="24" customWidth="1"/>
    <col min="8" max="8" width="19.28515625" customWidth="1" outlineLevel="1"/>
    <col min="9" max="9" width="21.85546875" customWidth="1" outlineLevel="1"/>
    <col min="10" max="10" width="22.5703125" customWidth="1" outlineLevel="1"/>
    <col min="11" max="11" width="12.28515625" customWidth="1" outlineLevel="1"/>
    <col min="12" max="12" width="13.7109375" customWidth="1" outlineLevel="1"/>
    <col min="13" max="13" width="11.7109375" customWidth="1" outlineLevel="1"/>
    <col min="14" max="14" width="12.5703125" customWidth="1" outlineLevel="1"/>
    <col min="15" max="15" width="12.7109375" customWidth="1" outlineLevel="1"/>
    <col min="16" max="16" width="12" customWidth="1" outlineLevel="1"/>
    <col min="17" max="17" width="12.28515625" customWidth="1" outlineLevel="1"/>
    <col min="18" max="18" width="11.7109375" bestFit="1" customWidth="1"/>
    <col min="19" max="19" width="8.7109375" customWidth="1"/>
    <col min="20" max="20" width="10" customWidth="1" outlineLevel="1"/>
    <col min="21" max="21" width="9.42578125" customWidth="1" outlineLevel="1"/>
    <col min="22" max="23" width="11.7109375" bestFit="1" customWidth="1"/>
    <col min="24" max="24" width="55.7109375" customWidth="1" outlineLevel="1"/>
    <col min="25" max="25" width="8.28515625" customWidth="1"/>
    <col min="26" max="26" width="11.7109375" bestFit="1" customWidth="1"/>
    <col min="27" max="27" width="12.7109375" bestFit="1" customWidth="1"/>
    <col min="28" max="29" width="11.7109375" bestFit="1" customWidth="1"/>
    <col min="30" max="30" width="10.28515625" bestFit="1" customWidth="1"/>
    <col min="32" max="33" width="12.5703125" bestFit="1" customWidth="1"/>
    <col min="34" max="48" width="26" customWidth="1"/>
    <col min="49" max="49" width="10" bestFit="1" customWidth="1"/>
    <col min="50" max="50" width="14.7109375" bestFit="1" customWidth="1"/>
    <col min="51" max="52" width="12.85546875" bestFit="1" customWidth="1"/>
    <col min="53" max="53" width="13.42578125" bestFit="1" customWidth="1"/>
    <col min="54" max="55" width="12.85546875" bestFit="1" customWidth="1"/>
    <col min="56" max="56" width="13.42578125" bestFit="1" customWidth="1"/>
    <col min="57" max="58" width="12.42578125" bestFit="1" customWidth="1"/>
    <col min="59" max="59" width="13.42578125" bestFit="1" customWidth="1"/>
    <col min="60" max="61" width="12.42578125" bestFit="1" customWidth="1"/>
    <col min="62" max="62" width="12.28515625" bestFit="1" customWidth="1"/>
    <col min="63" max="64" width="11.42578125" bestFit="1" customWidth="1"/>
    <col min="65" max="65" width="13.42578125" bestFit="1" customWidth="1"/>
    <col min="66" max="69" width="12.5703125" bestFit="1" customWidth="1"/>
    <col min="70" max="70" width="12.42578125" bestFit="1" customWidth="1"/>
    <col min="71" max="72" width="12.85546875" bestFit="1" customWidth="1"/>
    <col min="73" max="73" width="12.5703125" bestFit="1" customWidth="1"/>
    <col min="74" max="75" width="12.7109375" bestFit="1" customWidth="1"/>
    <col min="76" max="76" width="65.5703125" bestFit="1" customWidth="1"/>
    <col min="77" max="77" width="10" bestFit="1" customWidth="1"/>
    <col min="78" max="78" width="11.7109375" bestFit="1" customWidth="1"/>
    <col min="79" max="79" width="10.28515625" bestFit="1" customWidth="1"/>
    <col min="80" max="80" width="9.7109375" bestFit="1" customWidth="1"/>
    <col min="81" max="82" width="10" bestFit="1" customWidth="1"/>
    <col min="83" max="83" width="10.28515625" bestFit="1" customWidth="1"/>
    <col min="84" max="84" width="10" bestFit="1" customWidth="1"/>
    <col min="85" max="85" width="10.140625" bestFit="1" customWidth="1"/>
    <col min="86" max="86" width="10" bestFit="1" customWidth="1"/>
    <col min="87" max="88" width="12.28515625" bestFit="1" customWidth="1"/>
    <col min="89" max="99" width="12.140625" bestFit="1" customWidth="1"/>
    <col min="100" max="101" width="12.5703125" bestFit="1" customWidth="1"/>
    <col min="102" max="102" width="12.85546875" bestFit="1" customWidth="1"/>
    <col min="103" max="103" width="12.5703125" bestFit="1" customWidth="1"/>
    <col min="104" max="104" width="12.7109375" bestFit="1" customWidth="1"/>
    <col min="105" max="105" width="12.5703125" bestFit="1" customWidth="1"/>
    <col min="106" max="107" width="12.140625" bestFit="1" customWidth="1"/>
    <col min="108" max="108" width="9.42578125" bestFit="1" customWidth="1"/>
    <col min="109" max="109" width="11.7109375" bestFit="1" customWidth="1"/>
    <col min="110" max="110" width="10.28515625" bestFit="1" customWidth="1"/>
    <col min="111" max="111" width="12.85546875" bestFit="1" customWidth="1"/>
    <col min="112" max="112" width="11.7109375" bestFit="1" customWidth="1"/>
    <col min="113" max="113" width="12.7109375" bestFit="1" customWidth="1"/>
    <col min="114" max="114" width="37.7109375" bestFit="1" customWidth="1"/>
    <col min="115" max="115" width="12" bestFit="1" customWidth="1"/>
    <col min="116" max="116" width="11.7109375" bestFit="1" customWidth="1"/>
    <col min="117" max="117" width="9.5703125" bestFit="1" customWidth="1"/>
    <col min="118" max="118" width="10.140625" bestFit="1" customWidth="1"/>
    <col min="119" max="119" width="11.42578125" bestFit="1" customWidth="1"/>
    <col min="120" max="120" width="12.28515625" bestFit="1" customWidth="1"/>
    <col min="121" max="121" width="11.7109375" bestFit="1" customWidth="1"/>
    <col min="122" max="122" width="12" bestFit="1" customWidth="1"/>
    <col min="123" max="123" width="12.85546875" bestFit="1" customWidth="1"/>
    <col min="124" max="124" width="12.5703125" bestFit="1" customWidth="1"/>
    <col min="125" max="125" width="12" bestFit="1" customWidth="1"/>
    <col min="126" max="126" width="12.28515625" bestFit="1" customWidth="1"/>
    <col min="127" max="127" width="12" bestFit="1" customWidth="1"/>
    <col min="128" max="128" width="11.85546875" bestFit="1" customWidth="1"/>
    <col min="129" max="130" width="12.85546875" bestFit="1" customWidth="1"/>
    <col min="131" max="131" width="11.85546875" bestFit="1" customWidth="1"/>
    <col min="132" max="133" width="12.85546875" bestFit="1" customWidth="1"/>
    <col min="134" max="134" width="12.140625" bestFit="1" customWidth="1"/>
    <col min="135" max="135" width="12.28515625" bestFit="1" customWidth="1"/>
    <col min="136" max="136" width="12" bestFit="1" customWidth="1"/>
    <col min="137" max="137" width="11.85546875" bestFit="1" customWidth="1"/>
    <col min="138" max="139" width="12.85546875" bestFit="1" customWidth="1"/>
    <col min="140" max="140" width="12.5703125" bestFit="1" customWidth="1"/>
  </cols>
  <sheetData>
    <row r="1" spans="1:152" ht="94.5" x14ac:dyDescent="0.15">
      <c r="A1" s="1" t="s">
        <v>0</v>
      </c>
      <c r="B1" s="1" t="s">
        <v>1</v>
      </c>
      <c r="C1" s="2" t="s">
        <v>2</v>
      </c>
      <c r="D1" s="2" t="s">
        <v>3</v>
      </c>
      <c r="E1" s="2" t="s">
        <v>4</v>
      </c>
      <c r="F1" s="3" t="s">
        <v>5</v>
      </c>
      <c r="G1" s="2" t="s">
        <v>6</v>
      </c>
      <c r="H1" s="2" t="s">
        <v>7</v>
      </c>
      <c r="I1" s="2" t="s">
        <v>8</v>
      </c>
      <c r="J1" s="2" t="s">
        <v>9</v>
      </c>
      <c r="K1" s="2" t="s">
        <v>10</v>
      </c>
      <c r="L1" s="2" t="s">
        <v>11</v>
      </c>
      <c r="M1" s="4" t="s">
        <v>2625</v>
      </c>
      <c r="N1" s="5" t="s">
        <v>12</v>
      </c>
      <c r="O1" s="5" t="s">
        <v>2626</v>
      </c>
      <c r="P1" s="6" t="s">
        <v>13</v>
      </c>
      <c r="Q1" s="6" t="s">
        <v>14</v>
      </c>
      <c r="R1" s="6" t="s">
        <v>15</v>
      </c>
      <c r="S1" s="6" t="s">
        <v>16</v>
      </c>
      <c r="T1" s="6" t="s">
        <v>17</v>
      </c>
      <c r="U1" s="6" t="s">
        <v>18</v>
      </c>
      <c r="V1" s="6" t="s">
        <v>2627</v>
      </c>
      <c r="W1" s="6" t="s">
        <v>2628</v>
      </c>
      <c r="X1" s="6" t="s">
        <v>19</v>
      </c>
      <c r="Y1" s="6" t="s">
        <v>20</v>
      </c>
      <c r="Z1" s="6" t="s">
        <v>21</v>
      </c>
      <c r="AA1" s="6" t="s">
        <v>22</v>
      </c>
      <c r="AB1" s="6" t="s">
        <v>23</v>
      </c>
      <c r="AC1" s="6" t="s">
        <v>24</v>
      </c>
      <c r="AD1" s="6" t="s">
        <v>25</v>
      </c>
      <c r="AE1" s="6" t="s">
        <v>26</v>
      </c>
      <c r="AF1" s="6" t="s">
        <v>27</v>
      </c>
      <c r="AG1" s="6" t="s">
        <v>28</v>
      </c>
      <c r="AH1" s="6" t="s">
        <v>29</v>
      </c>
      <c r="AI1" s="6" t="s">
        <v>30</v>
      </c>
      <c r="AJ1" s="6" t="s">
        <v>31</v>
      </c>
      <c r="AK1" s="6" t="s">
        <v>32</v>
      </c>
      <c r="AL1" s="6" t="s">
        <v>33</v>
      </c>
      <c r="AM1" s="6" t="s">
        <v>34</v>
      </c>
      <c r="AN1" s="6" t="s">
        <v>35</v>
      </c>
      <c r="AO1" s="6" t="s">
        <v>36</v>
      </c>
      <c r="AP1" s="6" t="s">
        <v>37</v>
      </c>
      <c r="AQ1" s="6" t="s">
        <v>38</v>
      </c>
      <c r="AR1" s="6" t="s">
        <v>39</v>
      </c>
      <c r="AS1" s="6" t="s">
        <v>40</v>
      </c>
      <c r="AT1" s="6" t="s">
        <v>41</v>
      </c>
      <c r="AU1" s="6" t="s">
        <v>42</v>
      </c>
      <c r="AV1" s="6" t="s">
        <v>43</v>
      </c>
      <c r="AW1" s="6" t="s">
        <v>44</v>
      </c>
      <c r="AX1" s="6" t="s">
        <v>45</v>
      </c>
      <c r="AY1" s="6" t="s">
        <v>46</v>
      </c>
      <c r="AZ1" s="6" t="s">
        <v>47</v>
      </c>
      <c r="BA1" s="6" t="s">
        <v>48</v>
      </c>
      <c r="BB1" s="6" t="s">
        <v>49</v>
      </c>
      <c r="BC1" s="6" t="s">
        <v>50</v>
      </c>
      <c r="BD1" s="6" t="s">
        <v>51</v>
      </c>
      <c r="BE1" s="6" t="s">
        <v>52</v>
      </c>
      <c r="BF1" s="6" t="s">
        <v>53</v>
      </c>
      <c r="BG1" s="6" t="s">
        <v>54</v>
      </c>
      <c r="BH1" s="6" t="s">
        <v>55</v>
      </c>
      <c r="BI1" s="6" t="s">
        <v>56</v>
      </c>
      <c r="BJ1" s="6" t="s">
        <v>57</v>
      </c>
      <c r="BK1" s="6" t="s">
        <v>58</v>
      </c>
      <c r="BL1" s="6" t="s">
        <v>59</v>
      </c>
      <c r="BM1" s="6" t="s">
        <v>60</v>
      </c>
      <c r="BN1" s="6" t="s">
        <v>61</v>
      </c>
      <c r="BO1" s="6" t="s">
        <v>62</v>
      </c>
      <c r="BP1" s="6" t="s">
        <v>63</v>
      </c>
      <c r="BQ1" s="6" t="s">
        <v>64</v>
      </c>
      <c r="BR1" s="6" t="s">
        <v>65</v>
      </c>
      <c r="BS1" s="6" t="s">
        <v>66</v>
      </c>
      <c r="BT1" s="6" t="s">
        <v>67</v>
      </c>
      <c r="BU1" s="6" t="s">
        <v>68</v>
      </c>
      <c r="BV1" s="6" t="s">
        <v>69</v>
      </c>
      <c r="BW1" s="6" t="s">
        <v>70</v>
      </c>
      <c r="BX1" s="6" t="s">
        <v>71</v>
      </c>
      <c r="BY1" s="6" t="s">
        <v>72</v>
      </c>
      <c r="BZ1" s="6" t="s">
        <v>73</v>
      </c>
      <c r="CA1" s="6" t="s">
        <v>74</v>
      </c>
      <c r="CB1" s="6" t="s">
        <v>75</v>
      </c>
      <c r="CC1" s="6" t="s">
        <v>76</v>
      </c>
      <c r="CD1" s="6" t="s">
        <v>77</v>
      </c>
      <c r="CE1" s="6" t="s">
        <v>78</v>
      </c>
      <c r="CF1" s="6" t="s">
        <v>79</v>
      </c>
      <c r="CG1" s="6" t="s">
        <v>80</v>
      </c>
      <c r="CH1" s="6" t="s">
        <v>81</v>
      </c>
      <c r="CI1" s="6" t="s">
        <v>82</v>
      </c>
      <c r="CJ1" s="6" t="s">
        <v>83</v>
      </c>
      <c r="CK1" s="6" t="s">
        <v>84</v>
      </c>
      <c r="CL1" s="6" t="s">
        <v>85</v>
      </c>
      <c r="CM1" s="6" t="s">
        <v>86</v>
      </c>
      <c r="CN1" s="6" t="s">
        <v>87</v>
      </c>
      <c r="CO1" s="6" t="s">
        <v>88</v>
      </c>
      <c r="CP1" s="6" t="s">
        <v>89</v>
      </c>
      <c r="CQ1" s="6" t="s">
        <v>90</v>
      </c>
      <c r="CR1" s="6" t="s">
        <v>91</v>
      </c>
      <c r="CS1" s="6" t="s">
        <v>92</v>
      </c>
      <c r="CT1" s="6" t="s">
        <v>93</v>
      </c>
      <c r="CU1" s="6" t="s">
        <v>94</v>
      </c>
      <c r="CV1" s="6" t="s">
        <v>95</v>
      </c>
      <c r="CW1" s="6" t="s">
        <v>96</v>
      </c>
      <c r="CX1" s="6" t="s">
        <v>97</v>
      </c>
      <c r="CY1" s="6" t="s">
        <v>98</v>
      </c>
      <c r="CZ1" s="6" t="s">
        <v>99</v>
      </c>
      <c r="DA1" s="6" t="s">
        <v>100</v>
      </c>
      <c r="DB1" s="6" t="s">
        <v>101</v>
      </c>
      <c r="DC1" s="6" t="s">
        <v>102</v>
      </c>
      <c r="DD1" s="6" t="s">
        <v>103</v>
      </c>
      <c r="DE1" s="6" t="s">
        <v>104</v>
      </c>
      <c r="DF1" s="6" t="s">
        <v>105</v>
      </c>
      <c r="DG1" s="6" t="s">
        <v>106</v>
      </c>
      <c r="DH1" s="6" t="s">
        <v>107</v>
      </c>
      <c r="DI1" s="6" t="s">
        <v>108</v>
      </c>
      <c r="DJ1" s="6" t="s">
        <v>109</v>
      </c>
      <c r="DK1" s="7" t="s">
        <v>110</v>
      </c>
      <c r="DL1" s="7" t="s">
        <v>111</v>
      </c>
      <c r="DM1" s="7" t="s">
        <v>112</v>
      </c>
      <c r="DN1" s="7" t="s">
        <v>113</v>
      </c>
      <c r="DO1" s="7" t="s">
        <v>114</v>
      </c>
      <c r="DP1" s="7" t="s">
        <v>115</v>
      </c>
      <c r="DQ1" s="7" t="s">
        <v>116</v>
      </c>
      <c r="DR1" s="7" t="s">
        <v>117</v>
      </c>
      <c r="DS1" s="7" t="s">
        <v>118</v>
      </c>
      <c r="DT1" s="7" t="s">
        <v>119</v>
      </c>
      <c r="DU1" s="7" t="s">
        <v>120</v>
      </c>
      <c r="DV1" s="7" t="s">
        <v>121</v>
      </c>
      <c r="DW1" s="7" t="s">
        <v>122</v>
      </c>
      <c r="DX1" s="7" t="s">
        <v>123</v>
      </c>
      <c r="DY1" s="7" t="s">
        <v>124</v>
      </c>
      <c r="DZ1" s="7" t="s">
        <v>125</v>
      </c>
      <c r="EA1" s="7" t="s">
        <v>126</v>
      </c>
      <c r="EB1" s="7" t="s">
        <v>127</v>
      </c>
      <c r="EC1" s="7" t="s">
        <v>128</v>
      </c>
      <c r="ED1" s="7" t="s">
        <v>129</v>
      </c>
      <c r="EE1" s="7" t="s">
        <v>130</v>
      </c>
      <c r="EF1" s="7" t="s">
        <v>131</v>
      </c>
      <c r="EG1" s="7" t="s">
        <v>132</v>
      </c>
      <c r="EH1" s="7" t="s">
        <v>133</v>
      </c>
      <c r="EI1" s="7" t="s">
        <v>134</v>
      </c>
      <c r="EJ1" s="7" t="s">
        <v>135</v>
      </c>
      <c r="EK1" s="6" t="s">
        <v>2623</v>
      </c>
      <c r="EL1" s="6" t="s">
        <v>2940</v>
      </c>
      <c r="EM1" s="6" t="s">
        <v>2941</v>
      </c>
      <c r="EN1" s="7" t="s">
        <v>2942</v>
      </c>
      <c r="EO1" s="7" t="s">
        <v>2943</v>
      </c>
      <c r="EP1" s="7" t="s">
        <v>2944</v>
      </c>
      <c r="EQ1" s="7" t="s">
        <v>2945</v>
      </c>
      <c r="ER1" s="7" t="s">
        <v>2946</v>
      </c>
      <c r="ES1" s="7" t="s">
        <v>2947</v>
      </c>
      <c r="ET1" s="7" t="s">
        <v>2948</v>
      </c>
      <c r="EU1" s="7" t="s">
        <v>2949</v>
      </c>
      <c r="EV1" s="7" t="s">
        <v>2950</v>
      </c>
    </row>
    <row r="2" spans="1:152" x14ac:dyDescent="0.15">
      <c r="A2" s="8">
        <f>ROW([2]!tbl_DPSAC[[#This Row],[Sl. No.]])-1</f>
        <v>1</v>
      </c>
      <c r="B2" s="9" t="s">
        <v>136</v>
      </c>
      <c r="C2" s="9" t="s">
        <v>137</v>
      </c>
      <c r="D2" s="9" t="s">
        <v>138</v>
      </c>
      <c r="E2" s="9" t="s">
        <v>139</v>
      </c>
      <c r="F2" s="9" t="s">
        <v>140</v>
      </c>
      <c r="G2" s="10" t="s">
        <v>141</v>
      </c>
      <c r="H2" s="10" t="str">
        <f>_xlfn.XLOOKUP(C2,'[1]E&amp;DPSAC'!$K:$K,'[1]E&amp;DPSAC'!$E:$E,,0)</f>
        <v>DHANBAD, CONT PERSON :MR. IKTEKHAR AHMAD, PH.NO :9431316718</v>
      </c>
      <c r="I2" s="10"/>
      <c r="J2" s="10">
        <v>7402773991</v>
      </c>
      <c r="K2" s="10">
        <f>_xlfn.XLOOKUP(C2,'[1]E&amp;DPSAC'!$K:$K,'[1]E&amp;DPSAC'!$G:$G,"",0)</f>
        <v>8675594243</v>
      </c>
      <c r="L2" s="9" t="str">
        <f t="shared" ref="L2:L65" ca="1" si="0">IF(O2&gt;=TODAY(),"Warranty","Non - Warranty")</f>
        <v>Non - Warranty</v>
      </c>
      <c r="M2" s="11">
        <v>43725</v>
      </c>
      <c r="N2" s="12">
        <v>36</v>
      </c>
      <c r="O2" s="11">
        <f t="shared" ref="O2:O65" si="1">EOMONTH(DATE(YEAR(M2)+SUM(N2/12),MONTH(M2),DAY(M2))-1,0)</f>
        <v>44834</v>
      </c>
      <c r="P2" s="8" t="s">
        <v>142</v>
      </c>
      <c r="Q2" s="16" t="s">
        <v>144</v>
      </c>
      <c r="R2" s="15">
        <v>46008.645567129599</v>
      </c>
      <c r="S2" s="14">
        <v>9220</v>
      </c>
      <c r="T2" s="15">
        <v>46008</v>
      </c>
      <c r="U2" s="14">
        <v>9220</v>
      </c>
      <c r="V2" s="14">
        <v>9350</v>
      </c>
      <c r="W2" s="17">
        <v>46041.496435185203</v>
      </c>
      <c r="X2" s="14" t="s">
        <v>2691</v>
      </c>
      <c r="Y2" s="14">
        <v>620</v>
      </c>
      <c r="Z2" s="14" t="s">
        <v>2692</v>
      </c>
      <c r="AA2" s="18">
        <v>104.35443287040107</v>
      </c>
      <c r="AB2" s="18" t="s">
        <v>2692</v>
      </c>
      <c r="AC2" s="8">
        <f>tbl_DPSAC[[#This Row],[Current Month Due Count]]</f>
        <v>0</v>
      </c>
      <c r="AD2" s="8">
        <f>tbl_DPSAC[[#This Row],[Next Month Due2]]</f>
        <v>0</v>
      </c>
      <c r="AE2" s="8">
        <f t="shared" ref="AE2:AE65" si="2">IF(AB2="Due",1,0)</f>
        <v>0</v>
      </c>
      <c r="AF2" s="8">
        <v>4</v>
      </c>
      <c r="AG2" s="14">
        <f t="shared" ref="AG2:AG65" ca="1" si="3">IFERROR(IF(V2&gt;=1,ROUND(SUM(SUM(TODAY()-W2)*AF2)+V2,0),""),"")</f>
        <v>9636</v>
      </c>
      <c r="AH2" s="8">
        <v>0</v>
      </c>
      <c r="AI2" s="8">
        <v>0</v>
      </c>
      <c r="AJ2" s="8">
        <v>0</v>
      </c>
      <c r="AK2" s="8">
        <v>0</v>
      </c>
      <c r="AL2" s="8">
        <v>0</v>
      </c>
      <c r="AM2" s="8">
        <v>0</v>
      </c>
      <c r="AN2" s="8">
        <v>0</v>
      </c>
      <c r="AO2" s="8">
        <v>0</v>
      </c>
      <c r="AP2" s="8">
        <v>0</v>
      </c>
      <c r="AQ2" s="8">
        <v>0</v>
      </c>
      <c r="AR2" s="8">
        <v>0</v>
      </c>
      <c r="AS2" s="8">
        <v>0</v>
      </c>
      <c r="AT2" s="8">
        <v>0</v>
      </c>
      <c r="AU2" s="8">
        <v>0</v>
      </c>
      <c r="AV2" s="8">
        <v>0</v>
      </c>
      <c r="AW2" s="8">
        <v>0</v>
      </c>
      <c r="AX2" s="8" t="s">
        <v>2007</v>
      </c>
      <c r="AY2" s="14">
        <v>9220</v>
      </c>
      <c r="AZ2" s="19">
        <v>46008</v>
      </c>
      <c r="BA2" s="14" t="s">
        <v>144</v>
      </c>
      <c r="BB2" s="14">
        <v>9220</v>
      </c>
      <c r="BC2" s="19">
        <v>46008</v>
      </c>
      <c r="BD2" s="14" t="s">
        <v>144</v>
      </c>
      <c r="BE2" s="14">
        <v>9220</v>
      </c>
      <c r="BF2" s="19">
        <v>46008</v>
      </c>
      <c r="BG2" s="14" t="s">
        <v>144</v>
      </c>
      <c r="BH2" s="14">
        <v>9220</v>
      </c>
      <c r="BI2" s="19">
        <v>46008</v>
      </c>
      <c r="BJ2" s="14" t="s">
        <v>144</v>
      </c>
      <c r="BK2" s="14">
        <v>9220</v>
      </c>
      <c r="BL2" s="19">
        <v>46008</v>
      </c>
      <c r="BM2" s="14" t="s">
        <v>144</v>
      </c>
      <c r="BN2" s="27">
        <v>46188</v>
      </c>
      <c r="BO2" s="27">
        <v>46188</v>
      </c>
      <c r="BP2" s="27">
        <v>46188</v>
      </c>
      <c r="BQ2" s="27">
        <v>46188</v>
      </c>
      <c r="BR2" s="27">
        <v>46188</v>
      </c>
      <c r="BS2" s="28">
        <v>334</v>
      </c>
      <c r="BT2" s="29">
        <v>1084</v>
      </c>
      <c r="BU2" s="29">
        <v>334</v>
      </c>
      <c r="BV2" s="29">
        <v>334</v>
      </c>
      <c r="BW2" s="29">
        <v>1084</v>
      </c>
      <c r="BX2" s="30" t="e">
        <v>#N/A</v>
      </c>
      <c r="BY2" s="20">
        <v>0</v>
      </c>
      <c r="BZ2" s="8">
        <v>0</v>
      </c>
      <c r="CA2" s="8">
        <v>0</v>
      </c>
      <c r="CB2" s="21">
        <v>46007.770833333299</v>
      </c>
      <c r="CC2" s="21">
        <v>46007.770833333299</v>
      </c>
      <c r="CD2" s="21">
        <v>46007.770833333299</v>
      </c>
      <c r="CE2" s="21">
        <v>46007.770833333299</v>
      </c>
      <c r="CF2" s="21">
        <v>46007.770833333299</v>
      </c>
      <c r="CG2" s="21">
        <v>46007.770833333299</v>
      </c>
      <c r="CH2" s="21">
        <v>46007.770833333299</v>
      </c>
      <c r="CI2" s="21">
        <v>46007.770833333299</v>
      </c>
      <c r="CJ2" s="21">
        <v>46007.770833333299</v>
      </c>
      <c r="CK2" s="22" t="s">
        <v>2951</v>
      </c>
      <c r="CL2" s="22" t="s">
        <v>2951</v>
      </c>
      <c r="CM2" s="22" t="s">
        <v>2951</v>
      </c>
      <c r="CN2" s="22" t="s">
        <v>2951</v>
      </c>
      <c r="CO2" s="22" t="s">
        <v>2951</v>
      </c>
      <c r="CP2" s="22" t="s">
        <v>2952</v>
      </c>
      <c r="CQ2" s="22" t="s">
        <v>2953</v>
      </c>
      <c r="CR2" s="22" t="s">
        <v>2952</v>
      </c>
      <c r="CS2" s="22" t="s">
        <v>2952</v>
      </c>
      <c r="CT2" s="22">
        <v>3</v>
      </c>
      <c r="CU2" s="21">
        <v>46187</v>
      </c>
      <c r="CV2" s="21">
        <v>46187</v>
      </c>
      <c r="CW2" s="21">
        <v>46187</v>
      </c>
      <c r="CX2" s="21">
        <v>46187</v>
      </c>
      <c r="CY2" s="21">
        <v>46187</v>
      </c>
      <c r="CZ2" s="21">
        <v>46277</v>
      </c>
      <c r="DA2" s="21">
        <v>46372</v>
      </c>
      <c r="DB2" s="21">
        <v>46187</v>
      </c>
      <c r="DC2" s="21">
        <v>46372</v>
      </c>
      <c r="DD2" s="8">
        <v>0</v>
      </c>
      <c r="DE2" s="8">
        <v>0</v>
      </c>
      <c r="DF2" s="8">
        <v>0</v>
      </c>
      <c r="DG2" s="8">
        <v>0</v>
      </c>
      <c r="DH2" s="8">
        <v>0</v>
      </c>
      <c r="DI2" s="8">
        <v>0</v>
      </c>
      <c r="DJ2" s="8" t="s">
        <v>2954</v>
      </c>
      <c r="DK2" s="21">
        <v>43725</v>
      </c>
      <c r="DL2" s="21">
        <v>43524.229166666664</v>
      </c>
      <c r="DM2" s="21">
        <v>46041</v>
      </c>
      <c r="DN2" s="18">
        <v>9350</v>
      </c>
      <c r="DO2" s="21">
        <v>0</v>
      </c>
      <c r="DP2" s="21">
        <v>0</v>
      </c>
      <c r="DQ2" s="21" t="s">
        <v>2955</v>
      </c>
      <c r="DR2" s="21">
        <v>46008</v>
      </c>
      <c r="DS2" s="21">
        <v>46008</v>
      </c>
      <c r="DT2" s="21">
        <v>46008</v>
      </c>
      <c r="DU2" s="21">
        <v>46008</v>
      </c>
      <c r="DV2" s="21">
        <v>46008</v>
      </c>
      <c r="DW2" s="21">
        <v>46008</v>
      </c>
      <c r="DX2" s="21">
        <v>46008</v>
      </c>
      <c r="DY2" s="21">
        <v>46008</v>
      </c>
      <c r="DZ2" s="21">
        <v>46008</v>
      </c>
      <c r="EA2" s="8">
        <v>620</v>
      </c>
      <c r="EB2" s="8">
        <v>620</v>
      </c>
      <c r="EC2" s="8">
        <v>620</v>
      </c>
      <c r="ED2" s="8">
        <v>620</v>
      </c>
      <c r="EE2" s="8">
        <v>620</v>
      </c>
      <c r="EF2" s="8">
        <v>1370</v>
      </c>
      <c r="EG2" s="8">
        <v>1000</v>
      </c>
      <c r="EH2" s="8">
        <v>1370</v>
      </c>
      <c r="EI2" s="8">
        <v>1370</v>
      </c>
      <c r="EJ2" s="8">
        <v>3</v>
      </c>
      <c r="EK2" s="8" t="s">
        <v>2624</v>
      </c>
      <c r="EL2" s="8">
        <v>72</v>
      </c>
      <c r="EM2" s="8">
        <v>288</v>
      </c>
      <c r="EN2" s="8">
        <v>332</v>
      </c>
      <c r="EO2" s="8">
        <v>332</v>
      </c>
      <c r="EP2" s="8">
        <v>332</v>
      </c>
      <c r="EQ2" s="8">
        <v>332</v>
      </c>
      <c r="ER2" s="8">
        <v>332</v>
      </c>
      <c r="ES2" s="8">
        <v>1082</v>
      </c>
      <c r="ET2" s="8">
        <v>712</v>
      </c>
      <c r="EU2" s="8">
        <v>1082</v>
      </c>
      <c r="EV2" s="8">
        <v>1082</v>
      </c>
    </row>
    <row r="3" spans="1:152" x14ac:dyDescent="0.15">
      <c r="A3" s="8">
        <f>ROW([2]!tbl_DPSAC[[#This Row],[Sl. No.]])-1</f>
        <v>2</v>
      </c>
      <c r="B3" s="9" t="s">
        <v>136</v>
      </c>
      <c r="C3" s="9" t="s">
        <v>145</v>
      </c>
      <c r="D3" s="9" t="s">
        <v>146</v>
      </c>
      <c r="E3" s="9" t="s">
        <v>147</v>
      </c>
      <c r="F3" s="9" t="s">
        <v>140</v>
      </c>
      <c r="G3" s="10" t="s">
        <v>148</v>
      </c>
      <c r="H3" s="10" t="str">
        <f>_xlfn.XLOOKUP(C3,'[1]E&amp;DPSAC'!$K:$K,'[1]E&amp;DPSAC'!$E:$E,,0)</f>
        <v>DALADALI, RANCHI</v>
      </c>
      <c r="I3" s="10" t="s">
        <v>149</v>
      </c>
      <c r="J3" s="10">
        <v>9487713345</v>
      </c>
      <c r="K3" s="10">
        <f>_xlfn.XLOOKUP(C3,'[1]E&amp;DPSAC'!$K:$K,'[1]E&amp;DPSAC'!$G:$G,"",0)</f>
        <v>9487713345</v>
      </c>
      <c r="L3" s="9" t="str">
        <f t="shared" ca="1" si="0"/>
        <v>Non - Warranty</v>
      </c>
      <c r="M3" s="11">
        <v>43791</v>
      </c>
      <c r="N3" s="12">
        <v>36</v>
      </c>
      <c r="O3" s="11">
        <f t="shared" si="1"/>
        <v>44895</v>
      </c>
      <c r="P3" s="8" t="s">
        <v>142</v>
      </c>
      <c r="Q3" s="16" t="s">
        <v>150</v>
      </c>
      <c r="R3" s="15">
        <v>46045.488136574102</v>
      </c>
      <c r="S3" s="14">
        <v>6975</v>
      </c>
      <c r="T3" s="15">
        <v>45199</v>
      </c>
      <c r="U3" s="14">
        <v>4078</v>
      </c>
      <c r="V3" s="14">
        <v>6975</v>
      </c>
      <c r="W3" s="17">
        <v>46045.488136574102</v>
      </c>
      <c r="X3" s="14" t="s">
        <v>2693</v>
      </c>
      <c r="Y3" s="14">
        <v>750</v>
      </c>
      <c r="Z3" s="14" t="s">
        <v>2692</v>
      </c>
      <c r="AA3" s="18">
        <v>67.5118634258979</v>
      </c>
      <c r="AB3" s="18" t="s">
        <v>2692</v>
      </c>
      <c r="AC3" s="8">
        <f>tbl_DPSAC[[#This Row],[Current Month Due Count]]</f>
        <v>1</v>
      </c>
      <c r="AD3" s="8">
        <f>tbl_DPSAC[[#This Row],[Next Month Due2]]</f>
        <v>0</v>
      </c>
      <c r="AE3" s="8">
        <f t="shared" si="2"/>
        <v>0</v>
      </c>
      <c r="AF3" s="8">
        <v>8</v>
      </c>
      <c r="AG3" s="14">
        <f t="shared" ca="1" si="3"/>
        <v>7515</v>
      </c>
      <c r="AH3" s="8">
        <v>0</v>
      </c>
      <c r="AI3" s="8">
        <v>0</v>
      </c>
      <c r="AJ3" s="8">
        <v>0</v>
      </c>
      <c r="AK3" s="8">
        <v>0</v>
      </c>
      <c r="AL3" s="8">
        <v>0</v>
      </c>
      <c r="AM3" s="8">
        <v>0</v>
      </c>
      <c r="AN3" s="8">
        <v>0</v>
      </c>
      <c r="AO3" s="8">
        <v>0</v>
      </c>
      <c r="AP3" s="8">
        <v>0</v>
      </c>
      <c r="AQ3" s="8">
        <v>0</v>
      </c>
      <c r="AR3" s="8">
        <v>0</v>
      </c>
      <c r="AS3" s="8">
        <v>0</v>
      </c>
      <c r="AT3" s="8">
        <v>0</v>
      </c>
      <c r="AU3" s="8">
        <v>0</v>
      </c>
      <c r="AV3" s="8">
        <v>0</v>
      </c>
      <c r="AW3" s="8">
        <v>0</v>
      </c>
      <c r="AX3" s="8" t="s">
        <v>2007</v>
      </c>
      <c r="AY3" s="14">
        <v>6975</v>
      </c>
      <c r="AZ3" s="19">
        <v>46045</v>
      </c>
      <c r="BA3" s="14" t="s">
        <v>150</v>
      </c>
      <c r="BB3" s="14">
        <v>6255</v>
      </c>
      <c r="BC3" s="19">
        <v>45955</v>
      </c>
      <c r="BD3" s="14" t="s">
        <v>151</v>
      </c>
      <c r="BE3" s="14">
        <v>6975</v>
      </c>
      <c r="BF3" s="19">
        <v>46045</v>
      </c>
      <c r="BG3" s="14" t="s">
        <v>150</v>
      </c>
      <c r="BH3" s="14">
        <v>6975</v>
      </c>
      <c r="BI3" s="19">
        <v>46045</v>
      </c>
      <c r="BJ3" s="14" t="s">
        <v>150</v>
      </c>
      <c r="BK3" s="14">
        <v>6255</v>
      </c>
      <c r="BL3" s="19">
        <v>45955</v>
      </c>
      <c r="BM3" s="14" t="s">
        <v>151</v>
      </c>
      <c r="BN3" s="27">
        <v>46225</v>
      </c>
      <c r="BO3" s="27">
        <v>46135</v>
      </c>
      <c r="BP3" s="27">
        <v>46225</v>
      </c>
      <c r="BQ3" s="27">
        <v>46225</v>
      </c>
      <c r="BR3" s="27">
        <v>46320</v>
      </c>
      <c r="BS3" s="28">
        <v>210</v>
      </c>
      <c r="BT3" s="29">
        <v>240</v>
      </c>
      <c r="BU3" s="29">
        <v>210</v>
      </c>
      <c r="BV3" s="29">
        <v>210</v>
      </c>
      <c r="BW3" s="29">
        <v>240</v>
      </c>
      <c r="BX3" s="30" t="s">
        <v>152</v>
      </c>
      <c r="BY3" s="8">
        <v>0</v>
      </c>
      <c r="BZ3" s="8">
        <v>1</v>
      </c>
      <c r="CA3" s="8">
        <v>0</v>
      </c>
      <c r="CB3" s="21">
        <v>46044.770833333299</v>
      </c>
      <c r="CC3" s="21">
        <v>46044.770833333299</v>
      </c>
      <c r="CD3" s="21">
        <v>46044.770833333299</v>
      </c>
      <c r="CE3" s="21">
        <v>46044.770833333299</v>
      </c>
      <c r="CF3" s="21">
        <v>46044.770833333299</v>
      </c>
      <c r="CG3" s="21">
        <v>45954.770833333299</v>
      </c>
      <c r="CH3" s="21">
        <v>46044.770833333299</v>
      </c>
      <c r="CI3" s="21">
        <v>45954.770833333299</v>
      </c>
      <c r="CJ3" s="21">
        <v>45954.770833333299</v>
      </c>
      <c r="CK3" s="22" t="s">
        <v>2956</v>
      </c>
      <c r="CL3" s="22" t="s">
        <v>2957</v>
      </c>
      <c r="CM3" s="22" t="s">
        <v>2957</v>
      </c>
      <c r="CN3" s="22" t="s">
        <v>2957</v>
      </c>
      <c r="CO3" s="22" t="s">
        <v>2957</v>
      </c>
      <c r="CP3" s="22" t="s">
        <v>2958</v>
      </c>
      <c r="CQ3" s="22" t="s">
        <v>2953</v>
      </c>
      <c r="CR3" s="22" t="s">
        <v>2958</v>
      </c>
      <c r="CS3" s="22" t="s">
        <v>2958</v>
      </c>
      <c r="CT3" s="22">
        <v>4</v>
      </c>
      <c r="CU3" s="21">
        <v>46224</v>
      </c>
      <c r="CV3" s="21">
        <v>46224</v>
      </c>
      <c r="CW3" s="21">
        <v>46224</v>
      </c>
      <c r="CX3" s="21">
        <v>46224</v>
      </c>
      <c r="CY3" s="21">
        <v>46224</v>
      </c>
      <c r="CZ3" s="21">
        <v>46224</v>
      </c>
      <c r="DA3" s="21">
        <v>46295</v>
      </c>
      <c r="DB3" s="21">
        <v>46134</v>
      </c>
      <c r="DC3" s="21">
        <v>46240</v>
      </c>
      <c r="DD3" s="8">
        <v>0</v>
      </c>
      <c r="DE3" s="8">
        <v>0</v>
      </c>
      <c r="DF3" s="8">
        <v>0</v>
      </c>
      <c r="DG3" s="8">
        <v>0</v>
      </c>
      <c r="DH3" s="8">
        <v>1</v>
      </c>
      <c r="DI3" s="8">
        <v>0</v>
      </c>
      <c r="DJ3" s="8" t="s">
        <v>2954</v>
      </c>
      <c r="DK3" s="21">
        <v>43791</v>
      </c>
      <c r="DL3" s="21">
        <v>43720.229166666664</v>
      </c>
      <c r="DM3" s="21">
        <v>46045</v>
      </c>
      <c r="DN3" s="18">
        <v>6975</v>
      </c>
      <c r="DO3" s="21">
        <v>0</v>
      </c>
      <c r="DP3" s="21">
        <v>0</v>
      </c>
      <c r="DQ3" s="21" t="s">
        <v>2955</v>
      </c>
      <c r="DR3" s="21">
        <v>46045</v>
      </c>
      <c r="DS3" s="21">
        <v>46045</v>
      </c>
      <c r="DT3" s="21">
        <v>46045</v>
      </c>
      <c r="DU3" s="21">
        <v>46045</v>
      </c>
      <c r="DV3" s="21">
        <v>46045</v>
      </c>
      <c r="DW3" s="21">
        <v>45955</v>
      </c>
      <c r="DX3" s="21">
        <v>46045</v>
      </c>
      <c r="DY3" s="21">
        <v>45955</v>
      </c>
      <c r="DZ3" s="21">
        <v>45955</v>
      </c>
      <c r="EA3" s="8">
        <v>1500</v>
      </c>
      <c r="EB3" s="8">
        <v>750</v>
      </c>
      <c r="EC3" s="8">
        <v>750</v>
      </c>
      <c r="ED3" s="8">
        <v>750</v>
      </c>
      <c r="EE3" s="8">
        <v>750</v>
      </c>
      <c r="EF3" s="8">
        <v>780</v>
      </c>
      <c r="EG3" s="8">
        <v>1000</v>
      </c>
      <c r="EH3" s="8">
        <v>780</v>
      </c>
      <c r="EI3" s="8">
        <v>780</v>
      </c>
      <c r="EJ3" s="8">
        <v>4</v>
      </c>
      <c r="EK3" s="8" t="s">
        <v>2624</v>
      </c>
      <c r="EL3" s="8">
        <v>68</v>
      </c>
      <c r="EM3" s="8">
        <v>544</v>
      </c>
      <c r="EN3" s="8">
        <v>1212</v>
      </c>
      <c r="EO3" s="8">
        <v>462</v>
      </c>
      <c r="EP3" s="8">
        <v>462</v>
      </c>
      <c r="EQ3" s="8">
        <v>462</v>
      </c>
      <c r="ER3" s="8">
        <v>462</v>
      </c>
      <c r="ES3" s="8">
        <v>492</v>
      </c>
      <c r="ET3" s="8">
        <v>712</v>
      </c>
      <c r="EU3" s="8">
        <v>492</v>
      </c>
      <c r="EV3" s="8">
        <v>492</v>
      </c>
    </row>
    <row r="4" spans="1:152" x14ac:dyDescent="0.15">
      <c r="A4" s="8">
        <f>ROW([2]!tbl_DPSAC[[#This Row],[Sl. No.]])-1</f>
        <v>3</v>
      </c>
      <c r="B4" s="9" t="s">
        <v>136</v>
      </c>
      <c r="C4" s="9" t="s">
        <v>153</v>
      </c>
      <c r="D4" s="9" t="s">
        <v>154</v>
      </c>
      <c r="E4" s="9" t="s">
        <v>155</v>
      </c>
      <c r="F4" s="9" t="s">
        <v>140</v>
      </c>
      <c r="G4" s="10" t="s">
        <v>156</v>
      </c>
      <c r="H4" s="10" t="str">
        <f>_xlfn.XLOOKUP(C4,'[1]E&amp;DPSAC'!$K:$K,'[1]E&amp;DPSAC'!$E:$E,,0)</f>
        <v>C/O PALANIAPPAN CHANDRAN, KATTUKOTTAL, PAITHUR, P.O- ATTUR TK,SALEM, TAMILNADU</v>
      </c>
      <c r="I4" s="10"/>
      <c r="J4" s="10">
        <v>8809338483</v>
      </c>
      <c r="K4" s="10">
        <f>_xlfn.XLOOKUP(C4,'[1]E&amp;DPSAC'!$K:$K,'[1]E&amp;DPSAC'!$G:$G,"",0)</f>
        <v>8809338483</v>
      </c>
      <c r="L4" s="9" t="str">
        <f t="shared" ca="1" si="0"/>
        <v>Non - Warranty</v>
      </c>
      <c r="M4" s="11">
        <v>43713</v>
      </c>
      <c r="N4" s="12">
        <v>36</v>
      </c>
      <c r="O4" s="11">
        <f t="shared" si="1"/>
        <v>44834</v>
      </c>
      <c r="P4" s="8" t="s">
        <v>157</v>
      </c>
      <c r="Q4" s="16" t="s">
        <v>158</v>
      </c>
      <c r="R4" s="15">
        <v>46043.510833333297</v>
      </c>
      <c r="S4" s="14">
        <v>8480</v>
      </c>
      <c r="T4" s="15">
        <v>45289</v>
      </c>
      <c r="U4" s="14">
        <v>6304</v>
      </c>
      <c r="V4" s="14">
        <v>8480</v>
      </c>
      <c r="W4" s="17">
        <v>46043.510833333297</v>
      </c>
      <c r="X4" s="14" t="s">
        <v>2694</v>
      </c>
      <c r="Y4" s="14">
        <v>750</v>
      </c>
      <c r="Z4" s="14" t="s">
        <v>2692</v>
      </c>
      <c r="AA4" s="18">
        <v>69.489166666702658</v>
      </c>
      <c r="AB4" s="18" t="s">
        <v>2692</v>
      </c>
      <c r="AC4" s="8">
        <f>tbl_DPSAC[[#This Row],[Current Month Due Count]]</f>
        <v>0</v>
      </c>
      <c r="AD4" s="8">
        <f>tbl_DPSAC[[#This Row],[Next Month Due2]]</f>
        <v>0</v>
      </c>
      <c r="AE4" s="8">
        <f t="shared" si="2"/>
        <v>0</v>
      </c>
      <c r="AF4" s="8">
        <v>3</v>
      </c>
      <c r="AG4" s="14">
        <f t="shared" ca="1" si="3"/>
        <v>8688</v>
      </c>
      <c r="AH4" s="8">
        <v>0</v>
      </c>
      <c r="AI4" s="8">
        <v>0</v>
      </c>
      <c r="AJ4" s="8">
        <v>0</v>
      </c>
      <c r="AK4" s="8">
        <v>0</v>
      </c>
      <c r="AL4" s="8">
        <v>0</v>
      </c>
      <c r="AM4" s="8">
        <v>0</v>
      </c>
      <c r="AN4" s="8">
        <v>0</v>
      </c>
      <c r="AO4" s="8">
        <v>0</v>
      </c>
      <c r="AP4" s="8">
        <v>0</v>
      </c>
      <c r="AQ4" s="8">
        <v>0</v>
      </c>
      <c r="AR4" s="8">
        <v>0</v>
      </c>
      <c r="AS4" s="8">
        <v>0</v>
      </c>
      <c r="AT4" s="8">
        <v>0</v>
      </c>
      <c r="AU4" s="8">
        <v>0</v>
      </c>
      <c r="AV4" s="8">
        <v>0</v>
      </c>
      <c r="AW4" s="8">
        <v>0</v>
      </c>
      <c r="AX4" s="8" t="s">
        <v>2007</v>
      </c>
      <c r="AY4" s="14">
        <v>8480</v>
      </c>
      <c r="AZ4" s="19">
        <v>46043</v>
      </c>
      <c r="BA4" s="14" t="s">
        <v>158</v>
      </c>
      <c r="BB4" s="14">
        <v>8480</v>
      </c>
      <c r="BC4" s="19">
        <v>46043</v>
      </c>
      <c r="BD4" s="14" t="s">
        <v>158</v>
      </c>
      <c r="BE4" s="14">
        <v>8480</v>
      </c>
      <c r="BF4" s="19">
        <v>46043</v>
      </c>
      <c r="BG4" s="14" t="s">
        <v>158</v>
      </c>
      <c r="BH4" s="14">
        <v>8480</v>
      </c>
      <c r="BI4" s="19">
        <v>46043</v>
      </c>
      <c r="BJ4" s="14" t="s">
        <v>158</v>
      </c>
      <c r="BK4" s="14">
        <v>8480</v>
      </c>
      <c r="BL4" s="19">
        <v>46043</v>
      </c>
      <c r="BM4" s="14" t="s">
        <v>158</v>
      </c>
      <c r="BN4" s="27">
        <v>46223</v>
      </c>
      <c r="BO4" s="27">
        <v>46223</v>
      </c>
      <c r="BP4" s="27">
        <v>46223</v>
      </c>
      <c r="BQ4" s="27">
        <v>46223</v>
      </c>
      <c r="BR4" s="27">
        <v>46408</v>
      </c>
      <c r="BS4" s="28">
        <v>542</v>
      </c>
      <c r="BT4" s="29">
        <v>1292</v>
      </c>
      <c r="BU4" s="29">
        <v>542</v>
      </c>
      <c r="BV4" s="29">
        <v>542</v>
      </c>
      <c r="BW4" s="29">
        <v>1292</v>
      </c>
      <c r="BX4" s="30" t="s">
        <v>159</v>
      </c>
      <c r="BY4" s="8">
        <v>0</v>
      </c>
      <c r="BZ4" s="8">
        <v>0</v>
      </c>
      <c r="CA4" s="8">
        <v>0</v>
      </c>
      <c r="CB4" s="21">
        <v>46042.770833333299</v>
      </c>
      <c r="CC4" s="21">
        <v>46042.770833333299</v>
      </c>
      <c r="CD4" s="21">
        <v>46042.770833333299</v>
      </c>
      <c r="CE4" s="21">
        <v>46042.770833333299</v>
      </c>
      <c r="CF4" s="21">
        <v>46042.770833333299</v>
      </c>
      <c r="CG4" s="21">
        <v>46042.770833333299</v>
      </c>
      <c r="CH4" s="21">
        <v>46042.770833333299</v>
      </c>
      <c r="CI4" s="21">
        <v>46042.770833333299</v>
      </c>
      <c r="CJ4" s="21">
        <v>46042.770833333299</v>
      </c>
      <c r="CK4" s="22" t="s">
        <v>2956</v>
      </c>
      <c r="CL4" s="22" t="s">
        <v>2957</v>
      </c>
      <c r="CM4" s="22" t="s">
        <v>2959</v>
      </c>
      <c r="CN4" s="22" t="s">
        <v>2957</v>
      </c>
      <c r="CO4" s="22" t="s">
        <v>2957</v>
      </c>
      <c r="CP4" s="22" t="s">
        <v>2956</v>
      </c>
      <c r="CQ4" s="22" t="s">
        <v>2953</v>
      </c>
      <c r="CR4" s="22" t="s">
        <v>2956</v>
      </c>
      <c r="CS4" s="22" t="s">
        <v>2956</v>
      </c>
      <c r="CT4" s="22">
        <v>6</v>
      </c>
      <c r="CU4" s="21">
        <v>46222</v>
      </c>
      <c r="CV4" s="21">
        <v>46168</v>
      </c>
      <c r="CW4" s="21">
        <v>46126</v>
      </c>
      <c r="CX4" s="21">
        <v>46168</v>
      </c>
      <c r="CY4" s="21">
        <v>46168</v>
      </c>
      <c r="CZ4" s="21">
        <v>46293</v>
      </c>
      <c r="DA4" s="21">
        <v>46209</v>
      </c>
      <c r="DB4" s="21">
        <v>46222</v>
      </c>
      <c r="DC4" s="21">
        <v>46293</v>
      </c>
      <c r="DD4" s="8">
        <v>0</v>
      </c>
      <c r="DE4" s="8">
        <v>0</v>
      </c>
      <c r="DF4" s="8">
        <v>0</v>
      </c>
      <c r="DG4" s="8">
        <v>0</v>
      </c>
      <c r="DH4" s="8">
        <v>1</v>
      </c>
      <c r="DI4" s="8">
        <v>3</v>
      </c>
      <c r="DJ4" s="8" t="s">
        <v>2954</v>
      </c>
      <c r="DK4" s="21">
        <v>43713</v>
      </c>
      <c r="DL4" s="21">
        <v>43581.229166666664</v>
      </c>
      <c r="DM4" s="21">
        <v>46043</v>
      </c>
      <c r="DN4" s="18">
        <v>8480</v>
      </c>
      <c r="DO4" s="21">
        <v>0</v>
      </c>
      <c r="DP4" s="21">
        <v>0</v>
      </c>
      <c r="DQ4" s="21" t="s">
        <v>2955</v>
      </c>
      <c r="DR4" s="21">
        <v>46043</v>
      </c>
      <c r="DS4" s="21">
        <v>46043</v>
      </c>
      <c r="DT4" s="21">
        <v>46043</v>
      </c>
      <c r="DU4" s="21">
        <v>46043</v>
      </c>
      <c r="DV4" s="21">
        <v>46043</v>
      </c>
      <c r="DW4" s="21">
        <v>46043</v>
      </c>
      <c r="DX4" s="21">
        <v>46043</v>
      </c>
      <c r="DY4" s="21">
        <v>46043</v>
      </c>
      <c r="DZ4" s="21">
        <v>46043</v>
      </c>
      <c r="EA4" s="8">
        <v>1500</v>
      </c>
      <c r="EB4" s="8">
        <v>750</v>
      </c>
      <c r="EC4" s="8">
        <v>500</v>
      </c>
      <c r="ED4" s="8">
        <v>750</v>
      </c>
      <c r="EE4" s="8">
        <v>750</v>
      </c>
      <c r="EF4" s="8">
        <v>1500</v>
      </c>
      <c r="EG4" s="8">
        <v>1000</v>
      </c>
      <c r="EH4" s="8">
        <v>1500</v>
      </c>
      <c r="EI4" s="8">
        <v>1500</v>
      </c>
      <c r="EJ4" s="8">
        <v>6</v>
      </c>
      <c r="EK4" s="8" t="s">
        <v>157</v>
      </c>
      <c r="EL4" s="8">
        <v>69</v>
      </c>
      <c r="EM4" s="8">
        <v>207</v>
      </c>
      <c r="EN4" s="8">
        <v>1212</v>
      </c>
      <c r="EO4" s="8">
        <v>462</v>
      </c>
      <c r="EP4" s="8">
        <v>212</v>
      </c>
      <c r="EQ4" s="8">
        <v>462</v>
      </c>
      <c r="ER4" s="8">
        <v>462</v>
      </c>
      <c r="ES4" s="8">
        <v>1212</v>
      </c>
      <c r="ET4" s="8">
        <v>712</v>
      </c>
      <c r="EU4" s="8">
        <v>1212</v>
      </c>
      <c r="EV4" s="8">
        <v>1212</v>
      </c>
    </row>
    <row r="5" spans="1:152" x14ac:dyDescent="0.15">
      <c r="A5" s="8">
        <f>ROW([2]!tbl_DPSAC[[#This Row],[Sl. No.]])-1</f>
        <v>4</v>
      </c>
      <c r="B5" s="9" t="s">
        <v>136</v>
      </c>
      <c r="C5" s="9" t="s">
        <v>160</v>
      </c>
      <c r="D5" s="9" t="s">
        <v>138</v>
      </c>
      <c r="E5" s="9" t="s">
        <v>139</v>
      </c>
      <c r="F5" s="9" t="s">
        <v>161</v>
      </c>
      <c r="G5" s="10" t="s">
        <v>162</v>
      </c>
      <c r="H5" s="10" t="str">
        <f>_xlfn.XLOOKUP(C5,'[1]E&amp;DPSAC'!$K:$K,'[1]E&amp;DPSAC'!$E:$E,,0)</f>
        <v>TAPIN HAZARIBAGH</v>
      </c>
      <c r="I5" s="10" t="s">
        <v>163</v>
      </c>
      <c r="J5" s="10">
        <v>8002177613</v>
      </c>
      <c r="K5" s="10">
        <f>_xlfn.XLOOKUP(C5,'[1]E&amp;DPSAC'!$K:$K,'[1]E&amp;DPSAC'!$G:$G,"",0)</f>
        <v>8002177613</v>
      </c>
      <c r="L5" s="9" t="str">
        <f t="shared" ca="1" si="0"/>
        <v>Non - Warranty</v>
      </c>
      <c r="M5" s="11">
        <v>44138.506944444402</v>
      </c>
      <c r="N5" s="12">
        <v>24</v>
      </c>
      <c r="O5" s="11">
        <f t="shared" si="1"/>
        <v>44895</v>
      </c>
      <c r="P5" s="8" t="s">
        <v>142</v>
      </c>
      <c r="Q5" s="16" t="s">
        <v>164</v>
      </c>
      <c r="R5" s="15">
        <v>46072.545902777798</v>
      </c>
      <c r="S5" s="14">
        <v>12268</v>
      </c>
      <c r="T5" s="15">
        <v>46072</v>
      </c>
      <c r="U5" s="14">
        <v>12268</v>
      </c>
      <c r="V5" s="14">
        <v>12268</v>
      </c>
      <c r="W5" s="17">
        <v>46072.545902777798</v>
      </c>
      <c r="X5" s="14" t="s">
        <v>2695</v>
      </c>
      <c r="Y5" s="14">
        <v>750</v>
      </c>
      <c r="Z5" s="14" t="s">
        <v>2692</v>
      </c>
      <c r="AA5" s="18">
        <v>40.454097222202108</v>
      </c>
      <c r="AB5" s="18" t="s">
        <v>2692</v>
      </c>
      <c r="AC5" s="8">
        <f>tbl_DPSAC[[#This Row],[Current Month Due Count]]</f>
        <v>0</v>
      </c>
      <c r="AD5" s="8">
        <f>tbl_DPSAC[[#This Row],[Next Month Due2]]</f>
        <v>0</v>
      </c>
      <c r="AE5" s="8">
        <f t="shared" si="2"/>
        <v>0</v>
      </c>
      <c r="AF5" s="8">
        <v>4</v>
      </c>
      <c r="AG5" s="14">
        <f t="shared" ca="1" si="3"/>
        <v>12430</v>
      </c>
      <c r="AH5" s="8">
        <v>0</v>
      </c>
      <c r="AI5" s="8">
        <v>0</v>
      </c>
      <c r="AJ5" s="8">
        <v>0</v>
      </c>
      <c r="AK5" s="8">
        <v>0</v>
      </c>
      <c r="AL5" s="8">
        <v>0</v>
      </c>
      <c r="AM5" s="8">
        <v>0</v>
      </c>
      <c r="AN5" s="8">
        <v>0</v>
      </c>
      <c r="AO5" s="8">
        <v>0</v>
      </c>
      <c r="AP5" s="8">
        <v>0</v>
      </c>
      <c r="AQ5" s="8">
        <v>0</v>
      </c>
      <c r="AR5" s="8">
        <v>0</v>
      </c>
      <c r="AS5" s="8">
        <v>0</v>
      </c>
      <c r="AT5" s="8">
        <v>0</v>
      </c>
      <c r="AU5" s="8">
        <v>0</v>
      </c>
      <c r="AV5" s="8">
        <v>0</v>
      </c>
      <c r="AW5" s="8">
        <v>0</v>
      </c>
      <c r="AX5" s="8" t="s">
        <v>2007</v>
      </c>
      <c r="AY5" s="14">
        <v>12268</v>
      </c>
      <c r="AZ5" s="19">
        <v>46072</v>
      </c>
      <c r="BA5" s="14" t="s">
        <v>164</v>
      </c>
      <c r="BB5" s="14">
        <v>12268</v>
      </c>
      <c r="BC5" s="19">
        <v>46072</v>
      </c>
      <c r="BD5" s="14" t="s">
        <v>164</v>
      </c>
      <c r="BE5" s="14">
        <v>12268</v>
      </c>
      <c r="BF5" s="19">
        <v>46072</v>
      </c>
      <c r="BG5" s="14" t="s">
        <v>164</v>
      </c>
      <c r="BH5" s="14">
        <v>12268</v>
      </c>
      <c r="BI5" s="19">
        <v>46072</v>
      </c>
      <c r="BJ5" s="14" t="s">
        <v>164</v>
      </c>
      <c r="BK5" s="14">
        <v>12268</v>
      </c>
      <c r="BL5" s="19">
        <v>46072</v>
      </c>
      <c r="BM5" s="14" t="s">
        <v>164</v>
      </c>
      <c r="BN5" s="27">
        <v>46252</v>
      </c>
      <c r="BO5" s="27">
        <v>46252</v>
      </c>
      <c r="BP5" s="27">
        <v>46252</v>
      </c>
      <c r="BQ5" s="27">
        <v>46252</v>
      </c>
      <c r="BR5" s="27">
        <v>46437</v>
      </c>
      <c r="BS5" s="28">
        <v>588</v>
      </c>
      <c r="BT5" s="29">
        <v>1338</v>
      </c>
      <c r="BU5" s="29">
        <v>588</v>
      </c>
      <c r="BV5" s="29">
        <v>588</v>
      </c>
      <c r="BW5" s="29">
        <v>1338</v>
      </c>
      <c r="BX5" s="30" t="s">
        <v>152</v>
      </c>
      <c r="BY5" s="8">
        <v>0</v>
      </c>
      <c r="BZ5" s="8">
        <v>0</v>
      </c>
      <c r="CA5" s="8">
        <v>0</v>
      </c>
      <c r="CB5" s="21">
        <v>46071.770833333299</v>
      </c>
      <c r="CC5" s="21">
        <v>46071.770833333299</v>
      </c>
      <c r="CD5" s="21">
        <v>46071.770833333299</v>
      </c>
      <c r="CE5" s="21">
        <v>46071.770833333299</v>
      </c>
      <c r="CF5" s="21">
        <v>46071.770833333299</v>
      </c>
      <c r="CG5" s="21">
        <v>46071.770833333299</v>
      </c>
      <c r="CH5" s="21">
        <v>46071.770833333299</v>
      </c>
      <c r="CI5" s="21">
        <v>46071.770833333299</v>
      </c>
      <c r="CJ5" s="21">
        <v>46071.770833333299</v>
      </c>
      <c r="CK5" s="22" t="s">
        <v>2956</v>
      </c>
      <c r="CL5" s="22" t="s">
        <v>2957</v>
      </c>
      <c r="CM5" s="22" t="s">
        <v>2959</v>
      </c>
      <c r="CN5" s="22" t="s">
        <v>2957</v>
      </c>
      <c r="CO5" s="22" t="s">
        <v>2957</v>
      </c>
      <c r="CP5" s="22" t="s">
        <v>2956</v>
      </c>
      <c r="CQ5" s="22" t="s">
        <v>2953</v>
      </c>
      <c r="CR5" s="22" t="s">
        <v>2956</v>
      </c>
      <c r="CS5" s="22" t="s">
        <v>2960</v>
      </c>
      <c r="CT5" s="22">
        <v>8</v>
      </c>
      <c r="CU5" s="21">
        <v>46251</v>
      </c>
      <c r="CV5" s="21">
        <v>46165</v>
      </c>
      <c r="CW5" s="21">
        <v>46134</v>
      </c>
      <c r="CX5" s="21">
        <v>46165</v>
      </c>
      <c r="CY5" s="21">
        <v>46165</v>
      </c>
      <c r="CZ5" s="21">
        <v>46259</v>
      </c>
      <c r="DA5" s="21">
        <v>46197</v>
      </c>
      <c r="DB5" s="21">
        <v>46251</v>
      </c>
      <c r="DC5" s="21">
        <v>46436</v>
      </c>
      <c r="DD5" s="8">
        <v>0</v>
      </c>
      <c r="DE5" s="8">
        <v>0</v>
      </c>
      <c r="DF5" s="8">
        <v>0</v>
      </c>
      <c r="DG5" s="8">
        <v>0</v>
      </c>
      <c r="DH5" s="8">
        <v>1</v>
      </c>
      <c r="DI5" s="8">
        <v>3</v>
      </c>
      <c r="DJ5" s="8" t="s">
        <v>2954</v>
      </c>
      <c r="DK5" s="21">
        <v>44138</v>
      </c>
      <c r="DL5" s="21">
        <v>44113.229166666664</v>
      </c>
      <c r="DM5" s="21">
        <v>46072</v>
      </c>
      <c r="DN5" s="18">
        <v>12268</v>
      </c>
      <c r="DO5" s="21">
        <v>0</v>
      </c>
      <c r="DP5" s="21">
        <v>0</v>
      </c>
      <c r="DQ5" s="21" t="s">
        <v>2955</v>
      </c>
      <c r="DR5" s="21">
        <v>46072</v>
      </c>
      <c r="DS5" s="21">
        <v>46072</v>
      </c>
      <c r="DT5" s="21">
        <v>46072</v>
      </c>
      <c r="DU5" s="21">
        <v>46072</v>
      </c>
      <c r="DV5" s="21">
        <v>46072</v>
      </c>
      <c r="DW5" s="21">
        <v>46072</v>
      </c>
      <c r="DX5" s="21">
        <v>46072</v>
      </c>
      <c r="DY5" s="21">
        <v>46072</v>
      </c>
      <c r="DZ5" s="21">
        <v>46072</v>
      </c>
      <c r="EA5" s="8">
        <v>1500</v>
      </c>
      <c r="EB5" s="8">
        <v>750</v>
      </c>
      <c r="EC5" s="8">
        <v>500</v>
      </c>
      <c r="ED5" s="8">
        <v>750</v>
      </c>
      <c r="EE5" s="8">
        <v>750</v>
      </c>
      <c r="EF5" s="8">
        <v>1500</v>
      </c>
      <c r="EG5" s="8">
        <v>1000</v>
      </c>
      <c r="EH5" s="8">
        <v>1500</v>
      </c>
      <c r="EI5" s="8">
        <v>3000</v>
      </c>
      <c r="EJ5" s="8">
        <v>8</v>
      </c>
      <c r="EK5" s="8" t="s">
        <v>2624</v>
      </c>
      <c r="EL5" s="8">
        <v>40</v>
      </c>
      <c r="EM5" s="8">
        <v>160</v>
      </c>
      <c r="EN5" s="8">
        <v>1212</v>
      </c>
      <c r="EO5" s="8">
        <v>462</v>
      </c>
      <c r="EP5" s="8">
        <v>212</v>
      </c>
      <c r="EQ5" s="8">
        <v>462</v>
      </c>
      <c r="ER5" s="8">
        <v>462</v>
      </c>
      <c r="ES5" s="8">
        <v>1212</v>
      </c>
      <c r="ET5" s="8">
        <v>712</v>
      </c>
      <c r="EU5" s="8">
        <v>1212</v>
      </c>
      <c r="EV5" s="8">
        <v>2712</v>
      </c>
    </row>
    <row r="6" spans="1:152" x14ac:dyDescent="0.15">
      <c r="A6" s="8">
        <f>ROW([2]!tbl_DPSAC[[#This Row],[Sl. No.]])-1</f>
        <v>5</v>
      </c>
      <c r="B6" s="9" t="s">
        <v>136</v>
      </c>
      <c r="C6" s="9" t="s">
        <v>165</v>
      </c>
      <c r="D6" s="9" t="s">
        <v>138</v>
      </c>
      <c r="E6" s="9" t="s">
        <v>139</v>
      </c>
      <c r="F6" s="9" t="s">
        <v>161</v>
      </c>
      <c r="G6" s="10" t="s">
        <v>166</v>
      </c>
      <c r="H6" s="10" t="str">
        <f>_xlfn.XLOOKUP(C6,'[1]E&amp;DPSAC'!$K:$K,'[1]E&amp;DPSAC'!$E:$E,,0)</f>
        <v>DHANBAD</v>
      </c>
      <c r="I6" s="10"/>
      <c r="J6" s="10">
        <v>6207308280</v>
      </c>
      <c r="K6" s="10">
        <f>_xlfn.XLOOKUP(C6,'[1]E&amp;DPSAC'!$K:$K,'[1]E&amp;DPSAC'!$G:$G,"",0)</f>
        <v>7766908429</v>
      </c>
      <c r="L6" s="9" t="str">
        <f t="shared" ca="1" si="0"/>
        <v>Non - Warranty</v>
      </c>
      <c r="M6" s="11">
        <v>44127.439583333296</v>
      </c>
      <c r="N6" s="12">
        <v>24</v>
      </c>
      <c r="O6" s="11">
        <f t="shared" si="1"/>
        <v>44865</v>
      </c>
      <c r="P6" s="8" t="s">
        <v>142</v>
      </c>
      <c r="Q6" s="16" t="s">
        <v>167</v>
      </c>
      <c r="R6" s="15">
        <v>44803.598402777803</v>
      </c>
      <c r="S6" s="14">
        <v>4560</v>
      </c>
      <c r="T6" s="15">
        <v>45591</v>
      </c>
      <c r="U6" s="14">
        <v>8100</v>
      </c>
      <c r="V6" s="14">
        <v>9860</v>
      </c>
      <c r="W6" s="17">
        <v>45962.467361111114</v>
      </c>
      <c r="X6" s="14" t="s">
        <v>2696</v>
      </c>
      <c r="Y6" s="14">
        <v>-4550</v>
      </c>
      <c r="Z6" s="14" t="s">
        <v>2697</v>
      </c>
      <c r="AA6" s="18">
        <v>1309.4015972221969</v>
      </c>
      <c r="AB6" s="18" t="s">
        <v>2697</v>
      </c>
      <c r="AC6" s="8">
        <f>tbl_DPSAC[[#This Row],[Current Month Due Count]]</f>
        <v>0</v>
      </c>
      <c r="AD6" s="8">
        <f>tbl_DPSAC[[#This Row],[Next Month Due2]]</f>
        <v>0</v>
      </c>
      <c r="AE6" s="8">
        <f t="shared" si="2"/>
        <v>1</v>
      </c>
      <c r="AF6" s="8">
        <v>2</v>
      </c>
      <c r="AG6" s="14">
        <f t="shared" ca="1" si="3"/>
        <v>10161</v>
      </c>
      <c r="AH6" s="8">
        <v>0</v>
      </c>
      <c r="AI6" s="8">
        <v>0</v>
      </c>
      <c r="AJ6" s="8">
        <v>0</v>
      </c>
      <c r="AK6" s="8">
        <v>0</v>
      </c>
      <c r="AL6" s="8">
        <v>0</v>
      </c>
      <c r="AM6" s="8">
        <v>0</v>
      </c>
      <c r="AN6" s="8">
        <v>0</v>
      </c>
      <c r="AO6" s="8">
        <v>0</v>
      </c>
      <c r="AP6" s="8">
        <v>0</v>
      </c>
      <c r="AQ6" s="8">
        <v>0</v>
      </c>
      <c r="AR6" s="8">
        <v>0</v>
      </c>
      <c r="AS6" s="8">
        <v>0</v>
      </c>
      <c r="AT6" s="8">
        <v>0</v>
      </c>
      <c r="AU6" s="8">
        <v>0</v>
      </c>
      <c r="AV6" s="8">
        <v>0</v>
      </c>
      <c r="AW6" s="8">
        <v>0</v>
      </c>
      <c r="AX6" s="8" t="s">
        <v>2961</v>
      </c>
      <c r="AY6" s="14">
        <v>4560</v>
      </c>
      <c r="AZ6" s="19">
        <v>44803</v>
      </c>
      <c r="BA6" s="14" t="s">
        <v>167</v>
      </c>
      <c r="BB6" s="14">
        <v>4560</v>
      </c>
      <c r="BC6" s="19">
        <v>44803</v>
      </c>
      <c r="BD6" s="14" t="s">
        <v>167</v>
      </c>
      <c r="BE6" s="14">
        <v>4560</v>
      </c>
      <c r="BF6" s="19">
        <v>44803</v>
      </c>
      <c r="BG6" s="14" t="s">
        <v>167</v>
      </c>
      <c r="BH6" s="14">
        <v>4560</v>
      </c>
      <c r="BI6" s="19">
        <v>44803</v>
      </c>
      <c r="BJ6" s="14" t="s">
        <v>167</v>
      </c>
      <c r="BK6" s="14">
        <v>4560</v>
      </c>
      <c r="BL6" s="19">
        <v>44803</v>
      </c>
      <c r="BM6" s="14" t="s">
        <v>167</v>
      </c>
      <c r="BN6" s="27">
        <v>44983</v>
      </c>
      <c r="BO6" s="27">
        <v>44983</v>
      </c>
      <c r="BP6" s="27">
        <v>44983</v>
      </c>
      <c r="BQ6" s="27">
        <v>44983</v>
      </c>
      <c r="BR6" s="27">
        <v>45168</v>
      </c>
      <c r="BS6" s="28">
        <v>-4851</v>
      </c>
      <c r="BT6" s="29">
        <v>-4101</v>
      </c>
      <c r="BU6" s="29">
        <v>-4851</v>
      </c>
      <c r="BV6" s="29">
        <v>-4851</v>
      </c>
      <c r="BW6" s="29">
        <v>-4101</v>
      </c>
      <c r="BX6" s="30" t="e">
        <v>#N/A</v>
      </c>
      <c r="BY6" s="8">
        <v>5</v>
      </c>
      <c r="BZ6" s="8">
        <v>0</v>
      </c>
      <c r="CA6" s="8">
        <v>0</v>
      </c>
      <c r="CB6" s="21">
        <v>45590.770833333299</v>
      </c>
      <c r="CC6" s="21">
        <v>45590.770833333299</v>
      </c>
      <c r="CD6" s="21">
        <v>45590.770833333299</v>
      </c>
      <c r="CE6" s="21">
        <v>45590.770833333299</v>
      </c>
      <c r="CF6" s="21">
        <v>44636.770833333299</v>
      </c>
      <c r="CG6" s="21">
        <v>45590.770833333299</v>
      </c>
      <c r="CH6" s="21">
        <v>44636.770833333299</v>
      </c>
      <c r="CI6" s="21">
        <v>44367.770833333299</v>
      </c>
      <c r="CJ6" s="21">
        <v>44623.770833333299</v>
      </c>
      <c r="CK6" s="22" t="s">
        <v>2962</v>
      </c>
      <c r="CL6" s="22" t="s">
        <v>2962</v>
      </c>
      <c r="CM6" s="22" t="s">
        <v>2962</v>
      </c>
      <c r="CN6" s="22" t="s">
        <v>2962</v>
      </c>
      <c r="CO6" s="22" t="s">
        <v>2962</v>
      </c>
      <c r="CP6" s="22" t="s">
        <v>2962</v>
      </c>
      <c r="CQ6" s="22" t="s">
        <v>2953</v>
      </c>
      <c r="CR6" s="22" t="s">
        <v>2962</v>
      </c>
      <c r="CS6" s="22" t="s">
        <v>2962</v>
      </c>
      <c r="CT6" s="22">
        <v>2</v>
      </c>
      <c r="CU6" s="21">
        <v>45770</v>
      </c>
      <c r="CV6" s="21">
        <v>45770</v>
      </c>
      <c r="CW6" s="21">
        <v>45770</v>
      </c>
      <c r="CX6" s="21">
        <v>45770</v>
      </c>
      <c r="CY6" s="21">
        <v>44816</v>
      </c>
      <c r="CZ6" s="21">
        <v>45860</v>
      </c>
      <c r="DA6" s="21">
        <v>45001</v>
      </c>
      <c r="DB6" s="21">
        <v>44547</v>
      </c>
      <c r="DC6" s="21">
        <v>44988</v>
      </c>
      <c r="DD6" s="8">
        <v>1</v>
      </c>
      <c r="DE6" s="8">
        <v>0</v>
      </c>
      <c r="DF6" s="8">
        <v>0</v>
      </c>
      <c r="DG6" s="8">
        <v>9</v>
      </c>
      <c r="DH6" s="8">
        <v>0</v>
      </c>
      <c r="DI6" s="8">
        <v>0</v>
      </c>
      <c r="DJ6" s="8" t="s">
        <v>2954</v>
      </c>
      <c r="DK6" s="21">
        <v>44127</v>
      </c>
      <c r="DL6" s="21">
        <v>44081.229166666664</v>
      </c>
      <c r="DM6" s="21">
        <v>45962</v>
      </c>
      <c r="DN6" s="18">
        <v>9860</v>
      </c>
      <c r="DO6" s="21">
        <v>0</v>
      </c>
      <c r="DP6" s="21">
        <v>0</v>
      </c>
      <c r="DQ6" s="21" t="s">
        <v>2955</v>
      </c>
      <c r="DR6" s="21">
        <v>45591</v>
      </c>
      <c r="DS6" s="21">
        <v>45591</v>
      </c>
      <c r="DT6" s="21">
        <v>45591</v>
      </c>
      <c r="DU6" s="21">
        <v>45591</v>
      </c>
      <c r="DV6" s="21">
        <v>44637</v>
      </c>
      <c r="DW6" s="21">
        <v>45591</v>
      </c>
      <c r="DX6" s="21">
        <v>44637</v>
      </c>
      <c r="DY6" s="21">
        <v>44368</v>
      </c>
      <c r="DZ6" s="21">
        <v>44624</v>
      </c>
      <c r="EA6" s="8">
        <v>40</v>
      </c>
      <c r="EB6" s="8">
        <v>40</v>
      </c>
      <c r="EC6" s="8">
        <v>40</v>
      </c>
      <c r="ED6" s="8">
        <v>40</v>
      </c>
      <c r="EE6" s="8">
        <v>40</v>
      </c>
      <c r="EF6" s="8">
        <v>40</v>
      </c>
      <c r="EG6" s="8">
        <v>1000</v>
      </c>
      <c r="EH6" s="8">
        <v>40</v>
      </c>
      <c r="EI6" s="8">
        <v>40</v>
      </c>
      <c r="EJ6" s="8">
        <v>2</v>
      </c>
      <c r="EK6" s="8" t="s">
        <v>2624</v>
      </c>
      <c r="EL6" s="8">
        <v>151</v>
      </c>
      <c r="EM6" s="8">
        <v>302</v>
      </c>
      <c r="EN6" s="8">
        <v>-248</v>
      </c>
      <c r="EO6" s="8">
        <v>-248</v>
      </c>
      <c r="EP6" s="8">
        <v>-248</v>
      </c>
      <c r="EQ6" s="8">
        <v>-248</v>
      </c>
      <c r="ER6" s="8">
        <v>-248</v>
      </c>
      <c r="ES6" s="8">
        <v>-248</v>
      </c>
      <c r="ET6" s="8">
        <v>712</v>
      </c>
      <c r="EU6" s="8">
        <v>-248</v>
      </c>
      <c r="EV6" s="8">
        <v>-248</v>
      </c>
    </row>
    <row r="7" spans="1:152" x14ac:dyDescent="0.15">
      <c r="A7" s="8">
        <f>ROW([2]!tbl_DPSAC[[#This Row],[Sl. No.]])-1</f>
        <v>6</v>
      </c>
      <c r="B7" s="9" t="s">
        <v>136</v>
      </c>
      <c r="C7" s="9" t="s">
        <v>168</v>
      </c>
      <c r="D7" s="9" t="s">
        <v>169</v>
      </c>
      <c r="E7" s="9" t="s">
        <v>170</v>
      </c>
      <c r="F7" s="9" t="s">
        <v>161</v>
      </c>
      <c r="G7" s="10" t="s">
        <v>171</v>
      </c>
      <c r="H7" s="10" t="str">
        <f>_xlfn.XLOOKUP(C7,'[1]E&amp;DPSAC'!$K:$K,'[1]E&amp;DPSAC'!$E:$E,,0)</f>
        <v>RAMGARH</v>
      </c>
      <c r="I7" s="10"/>
      <c r="J7" s="10">
        <v>6266139043</v>
      </c>
      <c r="K7" s="10">
        <f>_xlfn.XLOOKUP(C7,'[1]E&amp;DPSAC'!$K:$K,'[1]E&amp;DPSAC'!$G:$G,"",0)</f>
        <v>6266139043</v>
      </c>
      <c r="L7" s="9" t="str">
        <f t="shared" ca="1" si="0"/>
        <v>Non - Warranty</v>
      </c>
      <c r="M7" s="11">
        <v>44106.854166666701</v>
      </c>
      <c r="N7" s="12">
        <v>24</v>
      </c>
      <c r="O7" s="11">
        <f t="shared" si="1"/>
        <v>44865</v>
      </c>
      <c r="P7" s="8" t="s">
        <v>142</v>
      </c>
      <c r="Q7" s="16" t="s">
        <v>143</v>
      </c>
      <c r="R7" s="15" t="s">
        <v>143</v>
      </c>
      <c r="S7" s="14" t="s">
        <v>143</v>
      </c>
      <c r="T7" s="15">
        <v>44571</v>
      </c>
      <c r="U7" s="14">
        <v>1909</v>
      </c>
      <c r="V7" s="14">
        <v>6575</v>
      </c>
      <c r="W7" s="17">
        <v>45962.470833333333</v>
      </c>
      <c r="X7" s="14" t="s">
        <v>143</v>
      </c>
      <c r="Y7" s="14">
        <v>0</v>
      </c>
      <c r="Z7" s="14" t="s">
        <v>2692</v>
      </c>
      <c r="AA7" s="18">
        <v>2006.1458333332994</v>
      </c>
      <c r="AB7" s="18" t="s">
        <v>2697</v>
      </c>
      <c r="AC7" s="8">
        <f>tbl_DPSAC[[#This Row],[Current Month Due Count]]</f>
        <v>0</v>
      </c>
      <c r="AD7" s="8">
        <f>tbl_DPSAC[[#This Row],[Next Month Due2]]</f>
        <v>0</v>
      </c>
      <c r="AE7" s="8">
        <f t="shared" si="2"/>
        <v>1</v>
      </c>
      <c r="AF7" s="8">
        <v>4</v>
      </c>
      <c r="AG7" s="14">
        <f t="shared" ca="1" si="3"/>
        <v>7177</v>
      </c>
      <c r="AH7" s="8">
        <v>0</v>
      </c>
      <c r="AI7" s="8">
        <v>0</v>
      </c>
      <c r="AJ7" s="8">
        <v>0</v>
      </c>
      <c r="AK7" s="8">
        <v>0</v>
      </c>
      <c r="AL7" s="8">
        <v>0</v>
      </c>
      <c r="AM7" s="8">
        <v>0</v>
      </c>
      <c r="AN7" s="8">
        <v>0</v>
      </c>
      <c r="AO7" s="8">
        <v>0</v>
      </c>
      <c r="AP7" s="8">
        <v>0</v>
      </c>
      <c r="AQ7" s="8">
        <v>0</v>
      </c>
      <c r="AR7" s="8">
        <v>0</v>
      </c>
      <c r="AS7" s="8">
        <v>0</v>
      </c>
      <c r="AT7" s="8">
        <v>0</v>
      </c>
      <c r="AU7" s="8">
        <v>0</v>
      </c>
      <c r="AV7" s="8">
        <v>0</v>
      </c>
      <c r="AW7" s="8">
        <v>0</v>
      </c>
      <c r="AX7" s="8" t="s">
        <v>2961</v>
      </c>
      <c r="AY7" s="14">
        <v>1500</v>
      </c>
      <c r="AZ7" s="19">
        <v>44456</v>
      </c>
      <c r="BA7" s="14"/>
      <c r="BB7" s="14">
        <v>1500</v>
      </c>
      <c r="BC7" s="19">
        <v>44456</v>
      </c>
      <c r="BD7" s="14"/>
      <c r="BE7" s="14">
        <v>1500</v>
      </c>
      <c r="BF7" s="19">
        <v>44456</v>
      </c>
      <c r="BG7" s="14"/>
      <c r="BH7" s="14">
        <v>1500</v>
      </c>
      <c r="BI7" s="19">
        <v>44456</v>
      </c>
      <c r="BJ7" s="14"/>
      <c r="BK7" s="14">
        <v>1500</v>
      </c>
      <c r="BL7" s="19">
        <v>44456</v>
      </c>
      <c r="BM7" s="14"/>
      <c r="BN7" s="27">
        <v>44636</v>
      </c>
      <c r="BO7" s="27">
        <v>44636</v>
      </c>
      <c r="BP7" s="27">
        <v>44636</v>
      </c>
      <c r="BQ7" s="27">
        <v>44636</v>
      </c>
      <c r="BR7" s="27">
        <v>44821</v>
      </c>
      <c r="BS7" s="28">
        <v>-4927</v>
      </c>
      <c r="BT7" s="29">
        <v>-4177</v>
      </c>
      <c r="BU7" s="29">
        <v>-4927</v>
      </c>
      <c r="BV7" s="29">
        <v>-4927</v>
      </c>
      <c r="BW7" s="29">
        <v>-4177</v>
      </c>
      <c r="BX7" s="30" t="s">
        <v>173</v>
      </c>
      <c r="BY7" s="8">
        <v>5</v>
      </c>
      <c r="BZ7" s="8">
        <v>0</v>
      </c>
      <c r="CA7" s="8">
        <v>0</v>
      </c>
      <c r="CB7" s="21">
        <v>0</v>
      </c>
      <c r="CC7" s="21">
        <v>0</v>
      </c>
      <c r="CD7" s="21">
        <v>0</v>
      </c>
      <c r="CE7" s="21">
        <v>0</v>
      </c>
      <c r="CF7" s="21">
        <v>0</v>
      </c>
      <c r="CG7" s="21">
        <v>0</v>
      </c>
      <c r="CH7" s="21">
        <v>0</v>
      </c>
      <c r="CI7" s="21">
        <v>0</v>
      </c>
      <c r="CJ7" s="21">
        <v>0</v>
      </c>
      <c r="CK7" s="22" t="s">
        <v>2963</v>
      </c>
      <c r="CL7" s="22" t="s">
        <v>2963</v>
      </c>
      <c r="CM7" s="22" t="s">
        <v>2963</v>
      </c>
      <c r="CN7" s="22" t="s">
        <v>2963</v>
      </c>
      <c r="CO7" s="22" t="s">
        <v>2963</v>
      </c>
      <c r="CP7" s="22" t="s">
        <v>2963</v>
      </c>
      <c r="CQ7" s="22" t="s">
        <v>2953</v>
      </c>
      <c r="CR7" s="22" t="s">
        <v>2963</v>
      </c>
      <c r="CS7" s="22" t="s">
        <v>2963</v>
      </c>
      <c r="CT7" s="22">
        <v>2</v>
      </c>
      <c r="CU7" s="21">
        <v>46024</v>
      </c>
      <c r="CV7" s="21">
        <v>46024</v>
      </c>
      <c r="CW7" s="21">
        <v>46024</v>
      </c>
      <c r="CX7" s="21">
        <v>46024</v>
      </c>
      <c r="CY7" s="21">
        <v>46024</v>
      </c>
      <c r="CZ7" s="21">
        <v>46024</v>
      </c>
      <c r="DA7" s="21">
        <v>46055</v>
      </c>
      <c r="DB7" s="21">
        <v>46017</v>
      </c>
      <c r="DC7" s="21">
        <v>46024</v>
      </c>
      <c r="DD7" s="8">
        <v>1</v>
      </c>
      <c r="DE7" s="8">
        <v>1</v>
      </c>
      <c r="DF7" s="8">
        <v>0</v>
      </c>
      <c r="DG7" s="8">
        <v>9</v>
      </c>
      <c r="DH7" s="8">
        <v>0</v>
      </c>
      <c r="DI7" s="8">
        <v>0</v>
      </c>
      <c r="DJ7" s="8" t="s">
        <v>2954</v>
      </c>
      <c r="DK7" s="21">
        <v>44106</v>
      </c>
      <c r="DL7" s="21">
        <v>43781.229166666664</v>
      </c>
      <c r="DM7" s="21">
        <v>45962</v>
      </c>
      <c r="DN7" s="18">
        <v>6575</v>
      </c>
      <c r="DO7" s="21">
        <v>0</v>
      </c>
      <c r="DP7" s="21">
        <v>0</v>
      </c>
      <c r="DQ7" s="21">
        <v>0</v>
      </c>
      <c r="DR7" s="21">
        <v>0</v>
      </c>
      <c r="DS7" s="21">
        <v>0</v>
      </c>
      <c r="DT7" s="21">
        <v>0</v>
      </c>
      <c r="DU7" s="21">
        <v>0</v>
      </c>
      <c r="DV7" s="21">
        <v>0</v>
      </c>
      <c r="DW7" s="21">
        <v>0</v>
      </c>
      <c r="DX7" s="21">
        <v>0</v>
      </c>
      <c r="DY7" s="21">
        <v>0</v>
      </c>
      <c r="DZ7" s="21">
        <v>0</v>
      </c>
      <c r="EA7" s="8">
        <v>125</v>
      </c>
      <c r="EB7" s="8">
        <v>125</v>
      </c>
      <c r="EC7" s="8">
        <v>125</v>
      </c>
      <c r="ED7" s="8">
        <v>125</v>
      </c>
      <c r="EE7" s="8">
        <v>125</v>
      </c>
      <c r="EF7" s="8">
        <v>125</v>
      </c>
      <c r="EG7" s="8">
        <v>1000</v>
      </c>
      <c r="EH7" s="8">
        <v>125</v>
      </c>
      <c r="EI7" s="8">
        <v>125</v>
      </c>
      <c r="EJ7" s="8">
        <v>2</v>
      </c>
      <c r="EK7" s="8" t="s">
        <v>2624</v>
      </c>
      <c r="EL7" s="8">
        <v>151</v>
      </c>
      <c r="EM7" s="8">
        <v>604</v>
      </c>
      <c r="EN7" s="8">
        <v>-163</v>
      </c>
      <c r="EO7" s="8">
        <v>-163</v>
      </c>
      <c r="EP7" s="8">
        <v>-163</v>
      </c>
      <c r="EQ7" s="8">
        <v>-163</v>
      </c>
      <c r="ER7" s="8">
        <v>-163</v>
      </c>
      <c r="ES7" s="8">
        <v>-163</v>
      </c>
      <c r="ET7" s="8">
        <v>712</v>
      </c>
      <c r="EU7" s="8">
        <v>-163</v>
      </c>
      <c r="EV7" s="8">
        <v>-163</v>
      </c>
    </row>
    <row r="8" spans="1:152" x14ac:dyDescent="0.15">
      <c r="A8" s="8">
        <f>ROW([2]!tbl_DPSAC[[#This Row],[Sl. No.]])-1</f>
        <v>7</v>
      </c>
      <c r="B8" s="9" t="s">
        <v>136</v>
      </c>
      <c r="C8" s="9" t="s">
        <v>174</v>
      </c>
      <c r="D8" s="9" t="s">
        <v>175</v>
      </c>
      <c r="E8" s="9" t="s">
        <v>176</v>
      </c>
      <c r="F8" s="9" t="s">
        <v>161</v>
      </c>
      <c r="G8" s="10" t="s">
        <v>177</v>
      </c>
      <c r="H8" s="10" t="str">
        <f>_xlfn.XLOOKUP(C8,'[1]E&amp;DPSAC'!$K:$K,'[1]E&amp;DPSAC'!$E:$E,,0)</f>
        <v>SAHIBGANJ</v>
      </c>
      <c r="I8" s="10"/>
      <c r="J8" s="10">
        <v>7544958524</v>
      </c>
      <c r="K8" s="10">
        <f>_xlfn.XLOOKUP(C8,'[1]E&amp;DPSAC'!$K:$K,'[1]E&amp;DPSAC'!$G:$G,"",0)</f>
        <v>7544958524</v>
      </c>
      <c r="L8" s="9" t="str">
        <f t="shared" ca="1" si="0"/>
        <v>Non - Warranty</v>
      </c>
      <c r="M8" s="11">
        <v>44064</v>
      </c>
      <c r="N8" s="12">
        <v>24</v>
      </c>
      <c r="O8" s="11">
        <f t="shared" si="1"/>
        <v>44804</v>
      </c>
      <c r="P8" s="8" t="s">
        <v>142</v>
      </c>
      <c r="Q8" s="16" t="s">
        <v>178</v>
      </c>
      <c r="R8" s="15">
        <v>46043.514166666697</v>
      </c>
      <c r="S8" s="14">
        <v>9265</v>
      </c>
      <c r="T8" s="15">
        <v>45709</v>
      </c>
      <c r="U8" s="14">
        <v>4692</v>
      </c>
      <c r="V8" s="14">
        <v>9265</v>
      </c>
      <c r="W8" s="17">
        <v>46043.514166666697</v>
      </c>
      <c r="X8" s="14" t="s">
        <v>2698</v>
      </c>
      <c r="Y8" s="14">
        <v>750</v>
      </c>
      <c r="Z8" s="14" t="s">
        <v>2692</v>
      </c>
      <c r="AA8" s="18">
        <v>69.485833333303162</v>
      </c>
      <c r="AB8" s="18" t="s">
        <v>2692</v>
      </c>
      <c r="AC8" s="8">
        <f>tbl_DPSAC[[#This Row],[Current Month Due Count]]</f>
        <v>0</v>
      </c>
      <c r="AD8" s="8">
        <f>tbl_DPSAC[[#This Row],[Next Month Due2]]</f>
        <v>0</v>
      </c>
      <c r="AE8" s="8">
        <f t="shared" si="2"/>
        <v>0</v>
      </c>
      <c r="AF8" s="8">
        <v>2</v>
      </c>
      <c r="AG8" s="14">
        <f t="shared" ca="1" si="3"/>
        <v>9404</v>
      </c>
      <c r="AH8" s="8">
        <v>0</v>
      </c>
      <c r="AI8" s="8">
        <v>0</v>
      </c>
      <c r="AJ8" s="8">
        <v>0</v>
      </c>
      <c r="AK8" s="8">
        <v>0</v>
      </c>
      <c r="AL8" s="8">
        <v>0</v>
      </c>
      <c r="AM8" s="8">
        <v>0</v>
      </c>
      <c r="AN8" s="8">
        <v>0</v>
      </c>
      <c r="AO8" s="8">
        <v>0</v>
      </c>
      <c r="AP8" s="8">
        <v>0</v>
      </c>
      <c r="AQ8" s="8">
        <v>0</v>
      </c>
      <c r="AR8" s="8">
        <v>0</v>
      </c>
      <c r="AS8" s="8">
        <v>0</v>
      </c>
      <c r="AT8" s="8">
        <v>0</v>
      </c>
      <c r="AU8" s="8">
        <v>0</v>
      </c>
      <c r="AV8" s="8">
        <v>0</v>
      </c>
      <c r="AW8" s="8">
        <v>0</v>
      </c>
      <c r="AX8" s="8" t="s">
        <v>2007</v>
      </c>
      <c r="AY8" s="14">
        <v>9265</v>
      </c>
      <c r="AZ8" s="19">
        <v>46043</v>
      </c>
      <c r="BA8" s="14" t="s">
        <v>178</v>
      </c>
      <c r="BB8" s="14">
        <v>9265</v>
      </c>
      <c r="BC8" s="19">
        <v>46043</v>
      </c>
      <c r="BD8" s="14" t="s">
        <v>178</v>
      </c>
      <c r="BE8" s="14">
        <v>9265</v>
      </c>
      <c r="BF8" s="19">
        <v>46043</v>
      </c>
      <c r="BG8" s="14" t="s">
        <v>178</v>
      </c>
      <c r="BH8" s="14">
        <v>9265</v>
      </c>
      <c r="BI8" s="19">
        <v>46043</v>
      </c>
      <c r="BJ8" s="14" t="s">
        <v>178</v>
      </c>
      <c r="BK8" s="14">
        <v>9265</v>
      </c>
      <c r="BL8" s="19">
        <v>46043</v>
      </c>
      <c r="BM8" s="14" t="s">
        <v>178</v>
      </c>
      <c r="BN8" s="27">
        <v>46223</v>
      </c>
      <c r="BO8" s="27">
        <v>46223</v>
      </c>
      <c r="BP8" s="27">
        <v>46223</v>
      </c>
      <c r="BQ8" s="27">
        <v>46223</v>
      </c>
      <c r="BR8" s="27">
        <v>46408</v>
      </c>
      <c r="BS8" s="28">
        <v>611</v>
      </c>
      <c r="BT8" s="29">
        <v>1361</v>
      </c>
      <c r="BU8" s="29">
        <v>611</v>
      </c>
      <c r="BV8" s="29">
        <v>611</v>
      </c>
      <c r="BW8" s="29">
        <v>1361</v>
      </c>
      <c r="BX8" s="30" t="e">
        <v>#N/A</v>
      </c>
      <c r="BY8" s="8">
        <v>0</v>
      </c>
      <c r="BZ8" s="8">
        <v>0</v>
      </c>
      <c r="CA8" s="8">
        <v>0</v>
      </c>
      <c r="CB8" s="21">
        <v>46042.770833333299</v>
      </c>
      <c r="CC8" s="21">
        <v>46042.770833333299</v>
      </c>
      <c r="CD8" s="21">
        <v>0</v>
      </c>
      <c r="CE8" s="21">
        <v>46042.770833333299</v>
      </c>
      <c r="CF8" s="21">
        <v>46042.770833333299</v>
      </c>
      <c r="CG8" s="21">
        <v>46042.770833333299</v>
      </c>
      <c r="CH8" s="21">
        <v>46042.770833333299</v>
      </c>
      <c r="CI8" s="21">
        <v>46042.770833333299</v>
      </c>
      <c r="CJ8" s="21">
        <v>46042.770833333299</v>
      </c>
      <c r="CK8" s="22" t="s">
        <v>2956</v>
      </c>
      <c r="CL8" s="22" t="s">
        <v>2957</v>
      </c>
      <c r="CM8" s="22" t="s">
        <v>2964</v>
      </c>
      <c r="CN8" s="22" t="s">
        <v>2957</v>
      </c>
      <c r="CO8" s="22" t="s">
        <v>2957</v>
      </c>
      <c r="CP8" s="22" t="s">
        <v>2956</v>
      </c>
      <c r="CQ8" s="22" t="s">
        <v>2953</v>
      </c>
      <c r="CR8" s="22" t="s">
        <v>2956</v>
      </c>
      <c r="CS8" s="22" t="s">
        <v>2956</v>
      </c>
      <c r="CT8" s="22">
        <v>3</v>
      </c>
      <c r="CU8" s="21">
        <v>46222</v>
      </c>
      <c r="CV8" s="21">
        <v>46222</v>
      </c>
      <c r="CW8" s="21">
        <v>46046</v>
      </c>
      <c r="CX8" s="21">
        <v>46222</v>
      </c>
      <c r="CY8" s="21">
        <v>46222</v>
      </c>
      <c r="CZ8" s="21">
        <v>46312</v>
      </c>
      <c r="DA8" s="21">
        <v>46376</v>
      </c>
      <c r="DB8" s="21">
        <v>46222</v>
      </c>
      <c r="DC8" s="21">
        <v>46407</v>
      </c>
      <c r="DD8" s="8">
        <v>1</v>
      </c>
      <c r="DE8" s="8">
        <v>0</v>
      </c>
      <c r="DF8" s="8">
        <v>0</v>
      </c>
      <c r="DG8" s="8">
        <v>1</v>
      </c>
      <c r="DH8" s="8">
        <v>0</v>
      </c>
      <c r="DI8" s="8">
        <v>0</v>
      </c>
      <c r="DJ8" s="8" t="s">
        <v>2954</v>
      </c>
      <c r="DK8" s="21">
        <v>44064</v>
      </c>
      <c r="DL8" s="21">
        <v>43825.229166666664</v>
      </c>
      <c r="DM8" s="21">
        <v>46043</v>
      </c>
      <c r="DN8" s="18">
        <v>9265</v>
      </c>
      <c r="DO8" s="21">
        <v>0</v>
      </c>
      <c r="DP8" s="21">
        <v>0</v>
      </c>
      <c r="DQ8" s="21" t="s">
        <v>2955</v>
      </c>
      <c r="DR8" s="21">
        <v>46043</v>
      </c>
      <c r="DS8" s="21">
        <v>46043</v>
      </c>
      <c r="DT8" s="21">
        <v>0</v>
      </c>
      <c r="DU8" s="21">
        <v>46043</v>
      </c>
      <c r="DV8" s="21">
        <v>46043</v>
      </c>
      <c r="DW8" s="21">
        <v>46043</v>
      </c>
      <c r="DX8" s="21">
        <v>46043</v>
      </c>
      <c r="DY8" s="21">
        <v>46043</v>
      </c>
      <c r="DZ8" s="21">
        <v>46043</v>
      </c>
      <c r="EA8" s="8">
        <v>1500</v>
      </c>
      <c r="EB8" s="8">
        <v>750</v>
      </c>
      <c r="EC8" s="8">
        <v>10</v>
      </c>
      <c r="ED8" s="8">
        <v>750</v>
      </c>
      <c r="EE8" s="8">
        <v>750</v>
      </c>
      <c r="EF8" s="8">
        <v>1500</v>
      </c>
      <c r="EG8" s="8">
        <v>1000</v>
      </c>
      <c r="EH8" s="8">
        <v>1500</v>
      </c>
      <c r="EI8" s="8">
        <v>1500</v>
      </c>
      <c r="EJ8" s="8">
        <v>3</v>
      </c>
      <c r="EK8" s="8" t="s">
        <v>2624</v>
      </c>
      <c r="EL8" s="8">
        <v>69</v>
      </c>
      <c r="EM8" s="8">
        <v>138</v>
      </c>
      <c r="EN8" s="8">
        <v>1212</v>
      </c>
      <c r="EO8" s="8">
        <v>462</v>
      </c>
      <c r="EP8" s="8">
        <v>-278</v>
      </c>
      <c r="EQ8" s="8">
        <v>462</v>
      </c>
      <c r="ER8" s="8">
        <v>462</v>
      </c>
      <c r="ES8" s="8">
        <v>1212</v>
      </c>
      <c r="ET8" s="8">
        <v>712</v>
      </c>
      <c r="EU8" s="8">
        <v>1212</v>
      </c>
      <c r="EV8" s="8">
        <v>1212</v>
      </c>
    </row>
    <row r="9" spans="1:152" x14ac:dyDescent="0.15">
      <c r="A9" s="8">
        <f>ROW([2]!tbl_DPSAC[[#This Row],[Sl. No.]])-1</f>
        <v>8</v>
      </c>
      <c r="B9" s="9" t="s">
        <v>136</v>
      </c>
      <c r="C9" s="9" t="s">
        <v>179</v>
      </c>
      <c r="D9" s="9" t="s">
        <v>138</v>
      </c>
      <c r="E9" s="9" t="s">
        <v>139</v>
      </c>
      <c r="F9" s="9" t="s">
        <v>161</v>
      </c>
      <c r="G9" s="10" t="s">
        <v>180</v>
      </c>
      <c r="H9" s="10" t="str">
        <f>_xlfn.XLOOKUP(C9,'[1]E&amp;DPSAC'!$K:$K,'[1]E&amp;DPSAC'!$E:$E,,0)</f>
        <v>DHANBAD</v>
      </c>
      <c r="I9" s="10" t="s">
        <v>181</v>
      </c>
      <c r="J9" s="10">
        <v>8521430494</v>
      </c>
      <c r="K9" s="10">
        <f>_xlfn.XLOOKUP(C9,'[1]E&amp;DPSAC'!$K:$K,'[1]E&amp;DPSAC'!$G:$G,"",0)</f>
        <v>9263634417</v>
      </c>
      <c r="L9" s="9" t="str">
        <f t="shared" ca="1" si="0"/>
        <v>Non - Warranty</v>
      </c>
      <c r="M9" s="11">
        <v>44051.749305555597</v>
      </c>
      <c r="N9" s="12">
        <v>24</v>
      </c>
      <c r="O9" s="11">
        <f t="shared" si="1"/>
        <v>44804</v>
      </c>
      <c r="P9" s="8" t="s">
        <v>142</v>
      </c>
      <c r="Q9" s="16" t="s">
        <v>182</v>
      </c>
      <c r="R9" s="15">
        <v>45954.738888888889</v>
      </c>
      <c r="S9" s="14">
        <v>9000</v>
      </c>
      <c r="T9" s="15">
        <v>45344</v>
      </c>
      <c r="U9" s="14">
        <v>6980</v>
      </c>
      <c r="V9" s="14">
        <v>9260</v>
      </c>
      <c r="W9" s="17">
        <v>46041.5078125</v>
      </c>
      <c r="X9" s="14" t="s">
        <v>2699</v>
      </c>
      <c r="Y9" s="14">
        <v>490</v>
      </c>
      <c r="Z9" s="14" t="s">
        <v>2692</v>
      </c>
      <c r="AA9" s="18">
        <v>158.26111111111095</v>
      </c>
      <c r="AB9" s="18" t="s">
        <v>2692</v>
      </c>
      <c r="AC9" s="8">
        <f>tbl_DPSAC[[#This Row],[Current Month Due Count]]</f>
        <v>4</v>
      </c>
      <c r="AD9" s="8">
        <f>tbl_DPSAC[[#This Row],[Next Month Due2]]</f>
        <v>0</v>
      </c>
      <c r="AE9" s="8">
        <f t="shared" si="2"/>
        <v>0</v>
      </c>
      <c r="AF9" s="8">
        <v>3</v>
      </c>
      <c r="AG9" s="14">
        <f t="shared" ca="1" si="3"/>
        <v>9474</v>
      </c>
      <c r="AH9" s="8">
        <v>0</v>
      </c>
      <c r="AI9" s="8">
        <v>0</v>
      </c>
      <c r="AJ9" s="8">
        <v>0</v>
      </c>
      <c r="AK9" s="8">
        <v>0</v>
      </c>
      <c r="AL9" s="8">
        <v>0</v>
      </c>
      <c r="AM9" s="8">
        <v>0</v>
      </c>
      <c r="AN9" s="8">
        <v>0</v>
      </c>
      <c r="AO9" s="8">
        <v>0</v>
      </c>
      <c r="AP9" s="8">
        <v>0</v>
      </c>
      <c r="AQ9" s="8">
        <v>0</v>
      </c>
      <c r="AR9" s="8">
        <v>0</v>
      </c>
      <c r="AS9" s="8">
        <v>0</v>
      </c>
      <c r="AT9" s="8">
        <v>0</v>
      </c>
      <c r="AU9" s="8">
        <v>0</v>
      </c>
      <c r="AV9" s="8">
        <v>0</v>
      </c>
      <c r="AW9" s="8">
        <v>0</v>
      </c>
      <c r="AX9" s="8" t="s">
        <v>2007</v>
      </c>
      <c r="AY9" s="14">
        <v>9000</v>
      </c>
      <c r="AZ9" s="19">
        <v>45954</v>
      </c>
      <c r="BA9" s="14" t="s">
        <v>182</v>
      </c>
      <c r="BB9" s="14">
        <v>9000</v>
      </c>
      <c r="BC9" s="19">
        <v>45954</v>
      </c>
      <c r="BD9" s="14" t="s">
        <v>182</v>
      </c>
      <c r="BE9" s="14">
        <v>9000</v>
      </c>
      <c r="BF9" s="19">
        <v>45954</v>
      </c>
      <c r="BG9" s="14" t="s">
        <v>182</v>
      </c>
      <c r="BH9" s="14">
        <v>9000</v>
      </c>
      <c r="BI9" s="19">
        <v>45954</v>
      </c>
      <c r="BJ9" s="14" t="s">
        <v>182</v>
      </c>
      <c r="BK9" s="14">
        <v>9000</v>
      </c>
      <c r="BL9" s="19">
        <v>45954</v>
      </c>
      <c r="BM9" s="14" t="s">
        <v>182</v>
      </c>
      <c r="BN9" s="27">
        <v>46134</v>
      </c>
      <c r="BO9" s="27">
        <v>46134</v>
      </c>
      <c r="BP9" s="27">
        <v>46134</v>
      </c>
      <c r="BQ9" s="27">
        <v>46134</v>
      </c>
      <c r="BR9" s="27">
        <v>46319</v>
      </c>
      <c r="BS9" s="28">
        <v>276</v>
      </c>
      <c r="BT9" s="29">
        <v>1026</v>
      </c>
      <c r="BU9" s="29">
        <v>276</v>
      </c>
      <c r="BV9" s="29">
        <v>276</v>
      </c>
      <c r="BW9" s="29">
        <v>1026</v>
      </c>
      <c r="BX9" s="30" t="e">
        <v>#N/A</v>
      </c>
      <c r="BY9" s="8">
        <v>0</v>
      </c>
      <c r="BZ9" s="8">
        <v>4</v>
      </c>
      <c r="CA9" s="8">
        <v>0</v>
      </c>
      <c r="CB9" s="21">
        <v>45954.770833333299</v>
      </c>
      <c r="CC9" s="21">
        <v>45954.770833333299</v>
      </c>
      <c r="CD9" s="21">
        <v>45954.770833333299</v>
      </c>
      <c r="CE9" s="21">
        <v>45954.770833333299</v>
      </c>
      <c r="CF9" s="21">
        <v>45954.770833333299</v>
      </c>
      <c r="CG9" s="21">
        <v>45688.770833333299</v>
      </c>
      <c r="CH9" s="21">
        <v>45688.770833333299</v>
      </c>
      <c r="CI9" s="21">
        <v>45688.770833333299</v>
      </c>
      <c r="CJ9" s="21">
        <v>45688.770833333299</v>
      </c>
      <c r="CK9" s="22" t="s">
        <v>2965</v>
      </c>
      <c r="CL9" s="22" t="s">
        <v>2966</v>
      </c>
      <c r="CM9" s="22" t="s">
        <v>2966</v>
      </c>
      <c r="CN9" s="22" t="s">
        <v>2966</v>
      </c>
      <c r="CO9" s="22" t="s">
        <v>2966</v>
      </c>
      <c r="CP9" s="22" t="s">
        <v>2965</v>
      </c>
      <c r="CQ9" s="22" t="s">
        <v>2953</v>
      </c>
      <c r="CR9" s="22" t="s">
        <v>2965</v>
      </c>
      <c r="CS9" s="22" t="s">
        <v>2965</v>
      </c>
      <c r="CT9" s="22">
        <v>3</v>
      </c>
      <c r="CU9" s="21">
        <v>46134</v>
      </c>
      <c r="CV9" s="21">
        <v>46134</v>
      </c>
      <c r="CW9" s="21">
        <v>46134</v>
      </c>
      <c r="CX9" s="21">
        <v>46134</v>
      </c>
      <c r="CY9" s="21">
        <v>46134</v>
      </c>
      <c r="CZ9" s="21">
        <v>45958</v>
      </c>
      <c r="DA9" s="21">
        <v>46053</v>
      </c>
      <c r="DB9" s="21">
        <v>45868</v>
      </c>
      <c r="DC9" s="21">
        <v>46053</v>
      </c>
      <c r="DD9" s="8">
        <v>1</v>
      </c>
      <c r="DE9" s="8">
        <v>0</v>
      </c>
      <c r="DF9" s="8">
        <v>0</v>
      </c>
      <c r="DG9" s="8">
        <v>4</v>
      </c>
      <c r="DH9" s="8">
        <v>5</v>
      </c>
      <c r="DI9" s="8">
        <v>0</v>
      </c>
      <c r="DJ9" s="8" t="s">
        <v>2954</v>
      </c>
      <c r="DK9" s="21">
        <v>44051</v>
      </c>
      <c r="DL9" s="21">
        <v>44006.229166666664</v>
      </c>
      <c r="DM9" s="21">
        <v>46041</v>
      </c>
      <c r="DN9" s="18">
        <v>9260</v>
      </c>
      <c r="DO9" s="21">
        <v>0</v>
      </c>
      <c r="DP9" s="21">
        <v>0</v>
      </c>
      <c r="DQ9" s="21" t="s">
        <v>2955</v>
      </c>
      <c r="DR9" s="21">
        <v>45955</v>
      </c>
      <c r="DS9" s="21">
        <v>45955</v>
      </c>
      <c r="DT9" s="21">
        <v>45955</v>
      </c>
      <c r="DU9" s="21">
        <v>45955</v>
      </c>
      <c r="DV9" s="21">
        <v>45955</v>
      </c>
      <c r="DW9" s="21">
        <v>45689</v>
      </c>
      <c r="DX9" s="21">
        <v>45689</v>
      </c>
      <c r="DY9" s="21">
        <v>45689</v>
      </c>
      <c r="DZ9" s="21">
        <v>45689</v>
      </c>
      <c r="EA9" s="8">
        <v>1240</v>
      </c>
      <c r="EB9" s="8">
        <v>490</v>
      </c>
      <c r="EC9" s="8">
        <v>490</v>
      </c>
      <c r="ED9" s="8">
        <v>490</v>
      </c>
      <c r="EE9" s="8">
        <v>490</v>
      </c>
      <c r="EF9" s="8">
        <v>1240</v>
      </c>
      <c r="EG9" s="8">
        <v>1000</v>
      </c>
      <c r="EH9" s="8">
        <v>1240</v>
      </c>
      <c r="EI9" s="8">
        <v>1240</v>
      </c>
      <c r="EJ9" s="8">
        <v>3</v>
      </c>
      <c r="EK9" s="8" t="s">
        <v>2624</v>
      </c>
      <c r="EL9" s="8">
        <v>71</v>
      </c>
      <c r="EM9" s="8">
        <v>213</v>
      </c>
      <c r="EN9" s="8">
        <v>952</v>
      </c>
      <c r="EO9" s="8">
        <v>202</v>
      </c>
      <c r="EP9" s="8">
        <v>202</v>
      </c>
      <c r="EQ9" s="8">
        <v>202</v>
      </c>
      <c r="ER9" s="8">
        <v>202</v>
      </c>
      <c r="ES9" s="8">
        <v>952</v>
      </c>
      <c r="ET9" s="8">
        <v>712</v>
      </c>
      <c r="EU9" s="8">
        <v>952</v>
      </c>
      <c r="EV9" s="8">
        <v>952</v>
      </c>
    </row>
    <row r="10" spans="1:152" x14ac:dyDescent="0.15">
      <c r="A10" s="8">
        <f>ROW([2]!tbl_DPSAC[[#This Row],[Sl. No.]])-1</f>
        <v>9</v>
      </c>
      <c r="B10" s="9" t="s">
        <v>136</v>
      </c>
      <c r="C10" s="9" t="s">
        <v>183</v>
      </c>
      <c r="D10" s="9" t="s">
        <v>138</v>
      </c>
      <c r="E10" s="9" t="s">
        <v>139</v>
      </c>
      <c r="F10" s="9" t="s">
        <v>161</v>
      </c>
      <c r="G10" s="10" t="s">
        <v>184</v>
      </c>
      <c r="H10" s="10" t="str">
        <f>_xlfn.XLOOKUP(C10,'[1]E&amp;DPSAC'!$K:$K,'[1]E&amp;DPSAC'!$E:$E,,0)</f>
        <v>BASTAWLA DHANBAD</v>
      </c>
      <c r="I10" s="10"/>
      <c r="J10" s="10">
        <v>6200119580</v>
      </c>
      <c r="K10" s="10">
        <f>_xlfn.XLOOKUP(C10,'[1]E&amp;DPSAC'!$K:$K,'[1]E&amp;DPSAC'!$G:$G,"",0)</f>
        <v>9693269669</v>
      </c>
      <c r="L10" s="9" t="str">
        <f t="shared" ca="1" si="0"/>
        <v>Non - Warranty</v>
      </c>
      <c r="M10" s="11">
        <v>44061</v>
      </c>
      <c r="N10" s="12">
        <v>24</v>
      </c>
      <c r="O10" s="11">
        <f t="shared" si="1"/>
        <v>44804</v>
      </c>
      <c r="P10" s="8" t="s">
        <v>142</v>
      </c>
      <c r="Q10" s="16" t="s">
        <v>185</v>
      </c>
      <c r="R10" s="15">
        <v>45954.536805555559</v>
      </c>
      <c r="S10" s="14">
        <v>10015</v>
      </c>
      <c r="T10" s="15">
        <v>46001</v>
      </c>
      <c r="U10" s="14">
        <v>10402</v>
      </c>
      <c r="V10" s="14">
        <v>10360</v>
      </c>
      <c r="W10" s="17">
        <v>46041.512395833299</v>
      </c>
      <c r="X10" s="14" t="s">
        <v>2700</v>
      </c>
      <c r="Y10" s="14">
        <v>405</v>
      </c>
      <c r="Z10" s="14" t="s">
        <v>2692</v>
      </c>
      <c r="AA10" s="18">
        <v>158.46319444444089</v>
      </c>
      <c r="AB10" s="18" t="s">
        <v>2692</v>
      </c>
      <c r="AC10" s="8">
        <f>tbl_DPSAC[[#This Row],[Current Month Due Count]]</f>
        <v>4</v>
      </c>
      <c r="AD10" s="8">
        <f>tbl_DPSAC[[#This Row],[Next Month Due2]]</f>
        <v>0</v>
      </c>
      <c r="AE10" s="8">
        <f t="shared" si="2"/>
        <v>0</v>
      </c>
      <c r="AF10" s="8">
        <v>4</v>
      </c>
      <c r="AG10" s="14">
        <f t="shared" ca="1" si="3"/>
        <v>10646</v>
      </c>
      <c r="AH10" s="8">
        <v>0</v>
      </c>
      <c r="AI10" s="8">
        <v>0</v>
      </c>
      <c r="AJ10" s="8">
        <v>0</v>
      </c>
      <c r="AK10" s="8">
        <v>0</v>
      </c>
      <c r="AL10" s="8">
        <v>0</v>
      </c>
      <c r="AM10" s="8">
        <v>0</v>
      </c>
      <c r="AN10" s="8">
        <v>0</v>
      </c>
      <c r="AO10" s="8">
        <v>0</v>
      </c>
      <c r="AP10" s="8">
        <v>0</v>
      </c>
      <c r="AQ10" s="8">
        <v>0</v>
      </c>
      <c r="AR10" s="8">
        <v>0</v>
      </c>
      <c r="AS10" s="8">
        <v>0</v>
      </c>
      <c r="AT10" s="8">
        <v>0</v>
      </c>
      <c r="AU10" s="8">
        <v>0</v>
      </c>
      <c r="AV10" s="8">
        <v>0</v>
      </c>
      <c r="AW10" s="8">
        <v>0</v>
      </c>
      <c r="AX10" s="8" t="s">
        <v>2007</v>
      </c>
      <c r="AY10" s="14">
        <v>10015</v>
      </c>
      <c r="AZ10" s="19">
        <v>45954</v>
      </c>
      <c r="BA10" s="14" t="s">
        <v>185</v>
      </c>
      <c r="BB10" s="14">
        <v>10015</v>
      </c>
      <c r="BC10" s="19">
        <v>45954</v>
      </c>
      <c r="BD10" s="14" t="s">
        <v>185</v>
      </c>
      <c r="BE10" s="14">
        <v>10015</v>
      </c>
      <c r="BF10" s="19">
        <v>45954</v>
      </c>
      <c r="BG10" s="14" t="s">
        <v>185</v>
      </c>
      <c r="BH10" s="14">
        <v>10015</v>
      </c>
      <c r="BI10" s="19">
        <v>45954</v>
      </c>
      <c r="BJ10" s="14" t="s">
        <v>185</v>
      </c>
      <c r="BK10" s="14">
        <v>10015</v>
      </c>
      <c r="BL10" s="19">
        <v>45954</v>
      </c>
      <c r="BM10" s="14" t="s">
        <v>185</v>
      </c>
      <c r="BN10" s="27">
        <v>46134</v>
      </c>
      <c r="BO10" s="27">
        <v>46134</v>
      </c>
      <c r="BP10" s="27">
        <v>46134</v>
      </c>
      <c r="BQ10" s="27">
        <v>46134</v>
      </c>
      <c r="BR10" s="27">
        <v>46319</v>
      </c>
      <c r="BS10" s="28">
        <v>119</v>
      </c>
      <c r="BT10" s="29">
        <v>869</v>
      </c>
      <c r="BU10" s="29">
        <v>119</v>
      </c>
      <c r="BV10" s="29">
        <v>119</v>
      </c>
      <c r="BW10" s="29">
        <v>869</v>
      </c>
      <c r="BX10" s="30" t="s">
        <v>152</v>
      </c>
      <c r="BY10" s="8">
        <v>0</v>
      </c>
      <c r="BZ10" s="8">
        <v>4</v>
      </c>
      <c r="CA10" s="8">
        <v>0</v>
      </c>
      <c r="CB10" s="21">
        <v>45953.770833333299</v>
      </c>
      <c r="CC10" s="21">
        <v>45953.770833333299</v>
      </c>
      <c r="CD10" s="21">
        <v>45953.770833333299</v>
      </c>
      <c r="CE10" s="21">
        <v>45953.770833333299</v>
      </c>
      <c r="CF10" s="21">
        <v>45953.770833333299</v>
      </c>
      <c r="CG10" s="21">
        <v>45953.770833333299</v>
      </c>
      <c r="CH10" s="21">
        <v>45953.770833333299</v>
      </c>
      <c r="CI10" s="21">
        <v>45953.770833333299</v>
      </c>
      <c r="CJ10" s="21">
        <v>45953.770833333299</v>
      </c>
      <c r="CK10" s="22" t="s">
        <v>2967</v>
      </c>
      <c r="CL10" s="22" t="s">
        <v>2968</v>
      </c>
      <c r="CM10" s="22" t="s">
        <v>2968</v>
      </c>
      <c r="CN10" s="22" t="s">
        <v>2968</v>
      </c>
      <c r="CO10" s="22" t="s">
        <v>2968</v>
      </c>
      <c r="CP10" s="22" t="s">
        <v>2967</v>
      </c>
      <c r="CQ10" s="22" t="s">
        <v>2953</v>
      </c>
      <c r="CR10" s="22" t="s">
        <v>2967</v>
      </c>
      <c r="CS10" s="22" t="s">
        <v>2967</v>
      </c>
      <c r="CT10" s="22">
        <v>3</v>
      </c>
      <c r="CU10" s="21">
        <v>46133</v>
      </c>
      <c r="CV10" s="21">
        <v>46133</v>
      </c>
      <c r="CW10" s="21">
        <v>46133</v>
      </c>
      <c r="CX10" s="21">
        <v>46133</v>
      </c>
      <c r="CY10" s="21">
        <v>46133</v>
      </c>
      <c r="CZ10" s="21">
        <v>46223</v>
      </c>
      <c r="DA10" s="21">
        <v>46318</v>
      </c>
      <c r="DB10" s="21">
        <v>46133</v>
      </c>
      <c r="DC10" s="21">
        <v>46318</v>
      </c>
      <c r="DD10" s="8">
        <v>0</v>
      </c>
      <c r="DE10" s="8">
        <v>0</v>
      </c>
      <c r="DF10" s="8">
        <v>0</v>
      </c>
      <c r="DG10" s="8">
        <v>0</v>
      </c>
      <c r="DH10" s="8">
        <v>6</v>
      </c>
      <c r="DI10" s="8">
        <v>0</v>
      </c>
      <c r="DJ10" s="8" t="s">
        <v>2954</v>
      </c>
      <c r="DK10" s="21">
        <v>44061</v>
      </c>
      <c r="DL10" s="21">
        <v>43784.229166666664</v>
      </c>
      <c r="DM10" s="21">
        <v>46041</v>
      </c>
      <c r="DN10" s="18">
        <v>10360</v>
      </c>
      <c r="DO10" s="21">
        <v>0</v>
      </c>
      <c r="DP10" s="21">
        <v>0</v>
      </c>
      <c r="DQ10" s="21" t="s">
        <v>2955</v>
      </c>
      <c r="DR10" s="21">
        <v>45954</v>
      </c>
      <c r="DS10" s="21">
        <v>45954</v>
      </c>
      <c r="DT10" s="21">
        <v>45954</v>
      </c>
      <c r="DU10" s="21">
        <v>45954</v>
      </c>
      <c r="DV10" s="21">
        <v>45954</v>
      </c>
      <c r="DW10" s="21">
        <v>45954</v>
      </c>
      <c r="DX10" s="21">
        <v>45954</v>
      </c>
      <c r="DY10" s="21">
        <v>45954</v>
      </c>
      <c r="DZ10" s="21">
        <v>45954</v>
      </c>
      <c r="EA10" s="8">
        <v>1155</v>
      </c>
      <c r="EB10" s="8">
        <v>405</v>
      </c>
      <c r="EC10" s="8">
        <v>405</v>
      </c>
      <c r="ED10" s="8">
        <v>405</v>
      </c>
      <c r="EE10" s="8">
        <v>405</v>
      </c>
      <c r="EF10" s="8">
        <v>1155</v>
      </c>
      <c r="EG10" s="8">
        <v>1000</v>
      </c>
      <c r="EH10" s="8">
        <v>1155</v>
      </c>
      <c r="EI10" s="8">
        <v>1155</v>
      </c>
      <c r="EJ10" s="8">
        <v>3</v>
      </c>
      <c r="EK10" s="8" t="s">
        <v>2624</v>
      </c>
      <c r="EL10" s="8">
        <v>71</v>
      </c>
      <c r="EM10" s="8">
        <v>284</v>
      </c>
      <c r="EN10" s="8">
        <v>867</v>
      </c>
      <c r="EO10" s="8">
        <v>117</v>
      </c>
      <c r="EP10" s="8">
        <v>117</v>
      </c>
      <c r="EQ10" s="8">
        <v>117</v>
      </c>
      <c r="ER10" s="8">
        <v>117</v>
      </c>
      <c r="ES10" s="8">
        <v>867</v>
      </c>
      <c r="ET10" s="8">
        <v>712</v>
      </c>
      <c r="EU10" s="8">
        <v>867</v>
      </c>
      <c r="EV10" s="8">
        <v>867</v>
      </c>
    </row>
    <row r="11" spans="1:152" x14ac:dyDescent="0.15">
      <c r="A11" s="8">
        <f>ROW([2]!tbl_DPSAC[[#This Row],[Sl. No.]])-1</f>
        <v>10</v>
      </c>
      <c r="B11" s="9" t="s">
        <v>136</v>
      </c>
      <c r="C11" s="9" t="s">
        <v>186</v>
      </c>
      <c r="D11" s="9" t="s">
        <v>138</v>
      </c>
      <c r="E11" s="9" t="s">
        <v>139</v>
      </c>
      <c r="F11" s="9" t="s">
        <v>161</v>
      </c>
      <c r="G11" s="10" t="s">
        <v>162</v>
      </c>
      <c r="H11" s="10" t="str">
        <f>_xlfn.XLOOKUP(C11,'[1]E&amp;DPSAC'!$K:$K,'[1]E&amp;DPSAC'!$E:$E,,0)</f>
        <v>AMLO, PHUSHRO</v>
      </c>
      <c r="I11" s="10" t="s">
        <v>163</v>
      </c>
      <c r="J11" s="10">
        <v>7368926835</v>
      </c>
      <c r="K11" s="10">
        <f>_xlfn.XLOOKUP(C11,'[1]E&amp;DPSAC'!$K:$K,'[1]E&amp;DPSAC'!$G:$G,"",0)</f>
        <v>9006617909</v>
      </c>
      <c r="L11" s="9" t="str">
        <f t="shared" ca="1" si="0"/>
        <v>Non - Warranty</v>
      </c>
      <c r="M11" s="11">
        <v>44168.40625</v>
      </c>
      <c r="N11" s="12">
        <v>24</v>
      </c>
      <c r="O11" s="11">
        <f t="shared" si="1"/>
        <v>44926</v>
      </c>
      <c r="P11" s="8" t="s">
        <v>142</v>
      </c>
      <c r="Q11" s="16" t="s">
        <v>192</v>
      </c>
      <c r="R11" s="15">
        <v>46042.558043981502</v>
      </c>
      <c r="S11" s="14">
        <v>7265</v>
      </c>
      <c r="T11" s="15">
        <v>45881</v>
      </c>
      <c r="U11" s="14">
        <v>7271</v>
      </c>
      <c r="V11" s="14">
        <v>7265</v>
      </c>
      <c r="W11" s="17">
        <v>46042.558043981502</v>
      </c>
      <c r="X11" s="14" t="s">
        <v>2701</v>
      </c>
      <c r="Y11" s="14">
        <v>750</v>
      </c>
      <c r="Z11" s="14" t="s">
        <v>2692</v>
      </c>
      <c r="AA11" s="18">
        <v>70.441956018497876</v>
      </c>
      <c r="AB11" s="18" t="s">
        <v>2692</v>
      </c>
      <c r="AC11" s="8">
        <f>tbl_DPSAC[[#This Row],[Current Month Due Count]]</f>
        <v>0</v>
      </c>
      <c r="AD11" s="8">
        <f>tbl_DPSAC[[#This Row],[Next Month Due2]]</f>
        <v>0</v>
      </c>
      <c r="AE11" s="8">
        <f t="shared" si="2"/>
        <v>0</v>
      </c>
      <c r="AF11" s="8">
        <v>6</v>
      </c>
      <c r="AG11" s="14">
        <f t="shared" ca="1" si="3"/>
        <v>7688</v>
      </c>
      <c r="AH11" s="8" t="s">
        <v>187</v>
      </c>
      <c r="AI11" s="8" t="s">
        <v>188</v>
      </c>
      <c r="AJ11" s="8" t="s">
        <v>189</v>
      </c>
      <c r="AK11" s="8" t="s">
        <v>190</v>
      </c>
      <c r="AL11" s="8" t="s">
        <v>191</v>
      </c>
      <c r="AM11" s="8">
        <v>0</v>
      </c>
      <c r="AN11" s="8">
        <v>0</v>
      </c>
      <c r="AO11" s="8">
        <v>0</v>
      </c>
      <c r="AP11" s="8">
        <v>0</v>
      </c>
      <c r="AQ11" s="8">
        <v>0</v>
      </c>
      <c r="AR11" s="8">
        <v>0</v>
      </c>
      <c r="AS11" s="8">
        <v>0</v>
      </c>
      <c r="AT11" s="8">
        <v>0</v>
      </c>
      <c r="AU11" s="8">
        <v>0</v>
      </c>
      <c r="AV11" s="8">
        <v>0</v>
      </c>
      <c r="AW11" s="8">
        <v>0</v>
      </c>
      <c r="AX11" s="8" t="s">
        <v>2007</v>
      </c>
      <c r="AY11" s="14">
        <v>7265</v>
      </c>
      <c r="AZ11" s="19">
        <v>46042</v>
      </c>
      <c r="BA11" s="14" t="s">
        <v>192</v>
      </c>
      <c r="BB11" s="14">
        <v>7265</v>
      </c>
      <c r="BC11" s="19">
        <v>46042</v>
      </c>
      <c r="BD11" s="14" t="s">
        <v>192</v>
      </c>
      <c r="BE11" s="14">
        <v>7265</v>
      </c>
      <c r="BF11" s="19">
        <v>46042</v>
      </c>
      <c r="BG11" s="14" t="s">
        <v>192</v>
      </c>
      <c r="BH11" s="14">
        <v>7265</v>
      </c>
      <c r="BI11" s="19">
        <v>46042</v>
      </c>
      <c r="BJ11" s="14" t="s">
        <v>192</v>
      </c>
      <c r="BK11" s="14">
        <v>7265</v>
      </c>
      <c r="BL11" s="19">
        <v>46042</v>
      </c>
      <c r="BM11" s="14" t="s">
        <v>192</v>
      </c>
      <c r="BN11" s="27">
        <v>46222</v>
      </c>
      <c r="BO11" s="27">
        <v>46222</v>
      </c>
      <c r="BP11" s="27">
        <v>46222</v>
      </c>
      <c r="BQ11" s="27">
        <v>46222</v>
      </c>
      <c r="BR11" s="27">
        <v>46407</v>
      </c>
      <c r="BS11" s="28">
        <v>327</v>
      </c>
      <c r="BT11" s="29">
        <v>1077</v>
      </c>
      <c r="BU11" s="29">
        <v>327</v>
      </c>
      <c r="BV11" s="29">
        <v>327</v>
      </c>
      <c r="BW11" s="29">
        <v>1077</v>
      </c>
      <c r="BX11" s="30" t="e">
        <v>#N/A</v>
      </c>
      <c r="BY11" s="8">
        <v>0</v>
      </c>
      <c r="BZ11" s="8">
        <v>0</v>
      </c>
      <c r="CA11" s="8">
        <v>0</v>
      </c>
      <c r="CB11" s="21">
        <v>46041.770833333299</v>
      </c>
      <c r="CC11" s="21">
        <v>46041.770833333299</v>
      </c>
      <c r="CD11" s="21">
        <v>46041.770833333299</v>
      </c>
      <c r="CE11" s="21">
        <v>46041.770833333299</v>
      </c>
      <c r="CF11" s="21">
        <v>46041.770833333299</v>
      </c>
      <c r="CG11" s="21">
        <v>46041.770833333299</v>
      </c>
      <c r="CH11" s="21">
        <v>46041.770833333299</v>
      </c>
      <c r="CI11" s="21">
        <v>46041.770833333299</v>
      </c>
      <c r="CJ11" s="21">
        <v>46041.770833333299</v>
      </c>
      <c r="CK11" s="22" t="s">
        <v>2956</v>
      </c>
      <c r="CL11" s="22" t="s">
        <v>2957</v>
      </c>
      <c r="CM11" s="22" t="s">
        <v>2959</v>
      </c>
      <c r="CN11" s="22" t="s">
        <v>2957</v>
      </c>
      <c r="CO11" s="22" t="s">
        <v>2957</v>
      </c>
      <c r="CP11" s="22" t="s">
        <v>2956</v>
      </c>
      <c r="CQ11" s="22" t="s">
        <v>2953</v>
      </c>
      <c r="CR11" s="22" t="s">
        <v>2956</v>
      </c>
      <c r="CS11" s="22" t="s">
        <v>2960</v>
      </c>
      <c r="CT11" s="22">
        <v>5</v>
      </c>
      <c r="CU11" s="21">
        <v>46221</v>
      </c>
      <c r="CV11" s="21">
        <v>46192</v>
      </c>
      <c r="CW11" s="21">
        <v>46142</v>
      </c>
      <c r="CX11" s="21">
        <v>46192</v>
      </c>
      <c r="CY11" s="21">
        <v>46192</v>
      </c>
      <c r="CZ11" s="21">
        <v>46311</v>
      </c>
      <c r="DA11" s="21">
        <v>46242</v>
      </c>
      <c r="DB11" s="21">
        <v>46221</v>
      </c>
      <c r="DC11" s="21">
        <v>46406</v>
      </c>
      <c r="DD11" s="8">
        <v>0</v>
      </c>
      <c r="DE11" s="8">
        <v>0</v>
      </c>
      <c r="DF11" s="8">
        <v>0</v>
      </c>
      <c r="DG11" s="8">
        <v>0</v>
      </c>
      <c r="DH11" s="8">
        <v>1</v>
      </c>
      <c r="DI11" s="8">
        <v>0</v>
      </c>
      <c r="DJ11" s="8" t="s">
        <v>2954</v>
      </c>
      <c r="DK11" s="21">
        <v>44168</v>
      </c>
      <c r="DL11" s="21">
        <v>44119.229166666664</v>
      </c>
      <c r="DM11" s="21">
        <v>46042</v>
      </c>
      <c r="DN11" s="18">
        <v>7265</v>
      </c>
      <c r="DO11" s="21">
        <v>0</v>
      </c>
      <c r="DP11" s="21">
        <v>0</v>
      </c>
      <c r="DQ11" s="21" t="s">
        <v>2955</v>
      </c>
      <c r="DR11" s="21">
        <v>46042</v>
      </c>
      <c r="DS11" s="21">
        <v>46042</v>
      </c>
      <c r="DT11" s="21">
        <v>46042</v>
      </c>
      <c r="DU11" s="21">
        <v>46042</v>
      </c>
      <c r="DV11" s="21">
        <v>46042</v>
      </c>
      <c r="DW11" s="21">
        <v>46042</v>
      </c>
      <c r="DX11" s="21">
        <v>46042</v>
      </c>
      <c r="DY11" s="21">
        <v>46042</v>
      </c>
      <c r="DZ11" s="21">
        <v>46042</v>
      </c>
      <c r="EA11" s="8">
        <v>1500</v>
      </c>
      <c r="EB11" s="8">
        <v>750</v>
      </c>
      <c r="EC11" s="8">
        <v>500</v>
      </c>
      <c r="ED11" s="8">
        <v>750</v>
      </c>
      <c r="EE11" s="8">
        <v>750</v>
      </c>
      <c r="EF11" s="8">
        <v>1500</v>
      </c>
      <c r="EG11" s="8">
        <v>1000</v>
      </c>
      <c r="EH11" s="8">
        <v>1500</v>
      </c>
      <c r="EI11" s="8">
        <v>3000</v>
      </c>
      <c r="EJ11" s="8">
        <v>5</v>
      </c>
      <c r="EK11" s="8" t="s">
        <v>2624</v>
      </c>
      <c r="EL11" s="8">
        <v>70</v>
      </c>
      <c r="EM11" s="8">
        <v>420</v>
      </c>
      <c r="EN11" s="8">
        <v>1212</v>
      </c>
      <c r="EO11" s="8">
        <v>462</v>
      </c>
      <c r="EP11" s="8">
        <v>212</v>
      </c>
      <c r="EQ11" s="8">
        <v>462</v>
      </c>
      <c r="ER11" s="8">
        <v>462</v>
      </c>
      <c r="ES11" s="8">
        <v>1212</v>
      </c>
      <c r="ET11" s="8">
        <v>712</v>
      </c>
      <c r="EU11" s="8">
        <v>1212</v>
      </c>
      <c r="EV11" s="8">
        <v>2712</v>
      </c>
    </row>
    <row r="12" spans="1:152" x14ac:dyDescent="0.15">
      <c r="A12" s="8">
        <f>ROW([2]!tbl_DPSAC[[#This Row],[Sl. No.]])-1</f>
        <v>11</v>
      </c>
      <c r="B12" s="9" t="s">
        <v>136</v>
      </c>
      <c r="C12" s="9" t="s">
        <v>193</v>
      </c>
      <c r="D12" s="9" t="s">
        <v>175</v>
      </c>
      <c r="E12" s="9" t="s">
        <v>176</v>
      </c>
      <c r="F12" s="9" t="s">
        <v>161</v>
      </c>
      <c r="G12" s="10" t="s">
        <v>194</v>
      </c>
      <c r="H12" s="10" t="str">
        <f>_xlfn.XLOOKUP(C12,'[1]E&amp;DPSAC'!$K:$K,'[1]E&amp;DPSAC'!$E:$E,,0)</f>
        <v>OPP. PUNJAB NATIONAL BANK,, BUKRU, RANCHI</v>
      </c>
      <c r="I12" s="10"/>
      <c r="J12" s="10">
        <v>9304198323</v>
      </c>
      <c r="K12" s="10">
        <f>_xlfn.XLOOKUP(C12,'[1]E&amp;DPSAC'!$K:$K,'[1]E&amp;DPSAC'!$G:$G,"",0)</f>
        <v>9304198323</v>
      </c>
      <c r="L12" s="9" t="str">
        <f t="shared" ca="1" si="0"/>
        <v>Non - Warranty</v>
      </c>
      <c r="M12" s="11">
        <v>44162.747222222199</v>
      </c>
      <c r="N12" s="12">
        <v>24</v>
      </c>
      <c r="O12" s="11">
        <f t="shared" si="1"/>
        <v>44895</v>
      </c>
      <c r="P12" s="8" t="s">
        <v>142</v>
      </c>
      <c r="Q12" s="16" t="s">
        <v>195</v>
      </c>
      <c r="R12" s="15">
        <v>45954.740972222222</v>
      </c>
      <c r="S12" s="14">
        <v>3033</v>
      </c>
      <c r="T12" s="15">
        <v>45199</v>
      </c>
      <c r="U12" s="14">
        <v>1600</v>
      </c>
      <c r="V12" s="14">
        <v>3050</v>
      </c>
      <c r="W12" s="17">
        <v>45962.473611111112</v>
      </c>
      <c r="X12" s="14" t="s">
        <v>2699</v>
      </c>
      <c r="Y12" s="14">
        <v>733</v>
      </c>
      <c r="Z12" s="14" t="s">
        <v>2692</v>
      </c>
      <c r="AA12" s="18">
        <v>158.2590277777781</v>
      </c>
      <c r="AB12" s="18" t="s">
        <v>2692</v>
      </c>
      <c r="AC12" s="8">
        <f>tbl_DPSAC[[#This Row],[Current Month Due Count]]</f>
        <v>4</v>
      </c>
      <c r="AD12" s="8">
        <f>tbl_DPSAC[[#This Row],[Next Month Due2]]</f>
        <v>0</v>
      </c>
      <c r="AE12" s="8">
        <f t="shared" si="2"/>
        <v>0</v>
      </c>
      <c r="AF12" s="8">
        <v>2</v>
      </c>
      <c r="AG12" s="14">
        <f t="shared" ca="1" si="3"/>
        <v>3351</v>
      </c>
      <c r="AH12" s="8">
        <v>0</v>
      </c>
      <c r="AI12" s="8">
        <v>0</v>
      </c>
      <c r="AJ12" s="8">
        <v>0</v>
      </c>
      <c r="AK12" s="8">
        <v>0</v>
      </c>
      <c r="AL12" s="8">
        <v>0</v>
      </c>
      <c r="AM12" s="8">
        <v>0</v>
      </c>
      <c r="AN12" s="8">
        <v>0</v>
      </c>
      <c r="AO12" s="8">
        <v>0</v>
      </c>
      <c r="AP12" s="8">
        <v>0</v>
      </c>
      <c r="AQ12" s="8">
        <v>0</v>
      </c>
      <c r="AR12" s="8">
        <v>0</v>
      </c>
      <c r="AS12" s="8">
        <v>0</v>
      </c>
      <c r="AT12" s="8">
        <v>0</v>
      </c>
      <c r="AU12" s="8">
        <v>0</v>
      </c>
      <c r="AV12" s="8">
        <v>0</v>
      </c>
      <c r="AW12" s="8">
        <v>0</v>
      </c>
      <c r="AX12" s="8" t="s">
        <v>2007</v>
      </c>
      <c r="AY12" s="14">
        <v>3033</v>
      </c>
      <c r="AZ12" s="19">
        <v>45954</v>
      </c>
      <c r="BA12" s="14" t="s">
        <v>195</v>
      </c>
      <c r="BB12" s="14">
        <v>3033</v>
      </c>
      <c r="BC12" s="19">
        <v>45954</v>
      </c>
      <c r="BD12" s="14" t="s">
        <v>195</v>
      </c>
      <c r="BE12" s="14">
        <v>3033</v>
      </c>
      <c r="BF12" s="19">
        <v>45954</v>
      </c>
      <c r="BG12" s="14" t="s">
        <v>195</v>
      </c>
      <c r="BH12" s="14">
        <v>3033</v>
      </c>
      <c r="BI12" s="19">
        <v>45954</v>
      </c>
      <c r="BJ12" s="14" t="s">
        <v>195</v>
      </c>
      <c r="BK12" s="14">
        <v>3033</v>
      </c>
      <c r="BL12" s="19">
        <v>45954</v>
      </c>
      <c r="BM12" s="14" t="s">
        <v>195</v>
      </c>
      <c r="BN12" s="27">
        <v>46134</v>
      </c>
      <c r="BO12" s="27">
        <v>46134</v>
      </c>
      <c r="BP12" s="27">
        <v>46134</v>
      </c>
      <c r="BQ12" s="27">
        <v>46134</v>
      </c>
      <c r="BR12" s="27">
        <v>46319</v>
      </c>
      <c r="BS12" s="28">
        <v>432</v>
      </c>
      <c r="BT12" s="29">
        <v>1182</v>
      </c>
      <c r="BU12" s="29">
        <v>432</v>
      </c>
      <c r="BV12" s="29">
        <v>432</v>
      </c>
      <c r="BW12" s="29">
        <v>1182</v>
      </c>
      <c r="BX12" s="30" t="s">
        <v>173</v>
      </c>
      <c r="BY12" s="8">
        <v>0</v>
      </c>
      <c r="BZ12" s="8">
        <v>4</v>
      </c>
      <c r="CA12" s="8">
        <v>0</v>
      </c>
      <c r="CB12" s="21">
        <v>45954.770833333299</v>
      </c>
      <c r="CC12" s="21">
        <v>45954.770833333299</v>
      </c>
      <c r="CD12" s="21">
        <v>45954.770833333299</v>
      </c>
      <c r="CE12" s="21">
        <v>45954.770833333299</v>
      </c>
      <c r="CF12" s="21">
        <v>45954.770833333299</v>
      </c>
      <c r="CG12" s="21">
        <v>45954.770833333299</v>
      </c>
      <c r="CH12" s="21">
        <v>45954.770833333299</v>
      </c>
      <c r="CI12" s="21">
        <v>45954.770833333299</v>
      </c>
      <c r="CJ12" s="21">
        <v>45954.770833333299</v>
      </c>
      <c r="CK12" s="22" t="s">
        <v>2969</v>
      </c>
      <c r="CL12" s="22" t="s">
        <v>2970</v>
      </c>
      <c r="CM12" s="22" t="s">
        <v>2970</v>
      </c>
      <c r="CN12" s="22" t="s">
        <v>2970</v>
      </c>
      <c r="CO12" s="22" t="s">
        <v>2970</v>
      </c>
      <c r="CP12" s="22" t="s">
        <v>2969</v>
      </c>
      <c r="CQ12" s="22" t="s">
        <v>2953</v>
      </c>
      <c r="CR12" s="22" t="s">
        <v>2969</v>
      </c>
      <c r="CS12" s="22" t="s">
        <v>2969</v>
      </c>
      <c r="CT12" s="22">
        <v>3</v>
      </c>
      <c r="CU12" s="21">
        <v>46134</v>
      </c>
      <c r="CV12" s="21">
        <v>46134</v>
      </c>
      <c r="CW12" s="21">
        <v>46134</v>
      </c>
      <c r="CX12" s="21">
        <v>46134</v>
      </c>
      <c r="CY12" s="21">
        <v>46134</v>
      </c>
      <c r="CZ12" s="21">
        <v>46224</v>
      </c>
      <c r="DA12" s="21">
        <v>46295</v>
      </c>
      <c r="DB12" s="21">
        <v>46134</v>
      </c>
      <c r="DC12" s="21">
        <v>46319</v>
      </c>
      <c r="DD12" s="8">
        <v>0</v>
      </c>
      <c r="DE12" s="8">
        <v>0</v>
      </c>
      <c r="DF12" s="8">
        <v>0</v>
      </c>
      <c r="DG12" s="8">
        <v>0</v>
      </c>
      <c r="DH12" s="8">
        <v>6</v>
      </c>
      <c r="DI12" s="8">
        <v>0</v>
      </c>
      <c r="DJ12" s="8" t="s">
        <v>2954</v>
      </c>
      <c r="DK12" s="21">
        <v>44162</v>
      </c>
      <c r="DL12" s="21">
        <v>43887.229166666664</v>
      </c>
      <c r="DM12" s="21">
        <v>45962</v>
      </c>
      <c r="DN12" s="18">
        <v>3050</v>
      </c>
      <c r="DO12" s="21">
        <v>0</v>
      </c>
      <c r="DP12" s="21">
        <v>0</v>
      </c>
      <c r="DQ12" s="21" t="s">
        <v>2955</v>
      </c>
      <c r="DR12" s="21">
        <v>45955</v>
      </c>
      <c r="DS12" s="21">
        <v>45955</v>
      </c>
      <c r="DT12" s="21">
        <v>45955</v>
      </c>
      <c r="DU12" s="21">
        <v>45955</v>
      </c>
      <c r="DV12" s="21">
        <v>45955</v>
      </c>
      <c r="DW12" s="21">
        <v>45955</v>
      </c>
      <c r="DX12" s="21">
        <v>45955</v>
      </c>
      <c r="DY12" s="21">
        <v>45955</v>
      </c>
      <c r="DZ12" s="21">
        <v>45955</v>
      </c>
      <c r="EA12" s="8">
        <v>1478</v>
      </c>
      <c r="EB12" s="8">
        <v>735</v>
      </c>
      <c r="EC12" s="8">
        <v>735</v>
      </c>
      <c r="ED12" s="8">
        <v>735</v>
      </c>
      <c r="EE12" s="8">
        <v>735</v>
      </c>
      <c r="EF12" s="8">
        <v>1478</v>
      </c>
      <c r="EG12" s="8">
        <v>1000</v>
      </c>
      <c r="EH12" s="8">
        <v>1478</v>
      </c>
      <c r="EI12" s="8">
        <v>1478</v>
      </c>
      <c r="EJ12" s="8">
        <v>3</v>
      </c>
      <c r="EK12" s="8" t="s">
        <v>2624</v>
      </c>
      <c r="EL12" s="8">
        <v>151</v>
      </c>
      <c r="EM12" s="8">
        <v>302</v>
      </c>
      <c r="EN12" s="8">
        <v>1190</v>
      </c>
      <c r="EO12" s="8">
        <v>447</v>
      </c>
      <c r="EP12" s="8">
        <v>447</v>
      </c>
      <c r="EQ12" s="8">
        <v>447</v>
      </c>
      <c r="ER12" s="8">
        <v>447</v>
      </c>
      <c r="ES12" s="8">
        <v>1190</v>
      </c>
      <c r="ET12" s="8">
        <v>712</v>
      </c>
      <c r="EU12" s="8">
        <v>1190</v>
      </c>
      <c r="EV12" s="8">
        <v>1190</v>
      </c>
    </row>
    <row r="13" spans="1:152" x14ac:dyDescent="0.15">
      <c r="A13" s="8">
        <f>ROW([2]!tbl_DPSAC[[#This Row],[Sl. No.]])-1</f>
        <v>12</v>
      </c>
      <c r="B13" s="9" t="s">
        <v>196</v>
      </c>
      <c r="C13" s="9" t="s">
        <v>197</v>
      </c>
      <c r="D13" s="9" t="s">
        <v>198</v>
      </c>
      <c r="E13" s="9" t="s">
        <v>199</v>
      </c>
      <c r="F13" s="9" t="s">
        <v>161</v>
      </c>
      <c r="G13" s="10" t="s">
        <v>200</v>
      </c>
      <c r="H13" s="10" t="str">
        <f>_xlfn.XLOOKUP(C13,'[1]E&amp;DPSAC'!$K:$K,'[1]E&amp;DPSAC'!$E:$E,,0)</f>
        <v>GANGA BRIDGE, BAKHTIYARPUR, PATNA</v>
      </c>
      <c r="I13" s="10"/>
      <c r="J13" s="10">
        <v>8544557188</v>
      </c>
      <c r="K13" s="10">
        <f>_xlfn.XLOOKUP(C13,'[1]E&amp;DPSAC'!$K:$K,'[1]E&amp;DPSAC'!$G:$G,"",0)</f>
        <v>8544557188</v>
      </c>
      <c r="L13" s="9" t="str">
        <f t="shared" ca="1" si="0"/>
        <v>Non - Warranty</v>
      </c>
      <c r="M13" s="11">
        <v>44161</v>
      </c>
      <c r="N13" s="12">
        <v>24</v>
      </c>
      <c r="O13" s="11">
        <f t="shared" si="1"/>
        <v>44895</v>
      </c>
      <c r="P13" s="8" t="s">
        <v>142</v>
      </c>
      <c r="Q13" s="16" t="s">
        <v>201</v>
      </c>
      <c r="R13" s="15">
        <v>45265.5446296296</v>
      </c>
      <c r="S13" s="14">
        <v>1445</v>
      </c>
      <c r="T13" s="15">
        <v>45265</v>
      </c>
      <c r="U13" s="14">
        <v>1445</v>
      </c>
      <c r="V13" s="14">
        <v>2770</v>
      </c>
      <c r="W13" s="17">
        <v>45962.476388888892</v>
      </c>
      <c r="X13" s="14" t="s">
        <v>2702</v>
      </c>
      <c r="Y13" s="14">
        <v>-575</v>
      </c>
      <c r="Z13" s="14" t="s">
        <v>2697</v>
      </c>
      <c r="AA13" s="18">
        <v>847.45537037040049</v>
      </c>
      <c r="AB13" s="18" t="s">
        <v>2697</v>
      </c>
      <c r="AC13" s="8">
        <f>tbl_DPSAC[[#This Row],[Current Month Due Count]]</f>
        <v>0</v>
      </c>
      <c r="AD13" s="8">
        <f>tbl_DPSAC[[#This Row],[Next Month Due2]]</f>
        <v>0</v>
      </c>
      <c r="AE13" s="8">
        <f t="shared" si="2"/>
        <v>1</v>
      </c>
      <c r="AF13" s="8">
        <v>1</v>
      </c>
      <c r="AG13" s="14">
        <f t="shared" ca="1" si="3"/>
        <v>2921</v>
      </c>
      <c r="AH13" s="8">
        <v>0</v>
      </c>
      <c r="AI13" s="8">
        <v>0</v>
      </c>
      <c r="AJ13" s="8">
        <v>0</v>
      </c>
      <c r="AK13" s="8">
        <v>0</v>
      </c>
      <c r="AL13" s="8">
        <v>0</v>
      </c>
      <c r="AM13" s="8">
        <v>0</v>
      </c>
      <c r="AN13" s="8">
        <v>0</v>
      </c>
      <c r="AO13" s="8">
        <v>0</v>
      </c>
      <c r="AP13" s="8">
        <v>0</v>
      </c>
      <c r="AQ13" s="8">
        <v>0</v>
      </c>
      <c r="AR13" s="8">
        <v>0</v>
      </c>
      <c r="AS13" s="8">
        <v>0</v>
      </c>
      <c r="AT13" s="8">
        <v>0</v>
      </c>
      <c r="AU13" s="8">
        <v>0</v>
      </c>
      <c r="AV13" s="8">
        <v>0</v>
      </c>
      <c r="AW13" s="8">
        <v>0</v>
      </c>
      <c r="AX13" s="8" t="s">
        <v>2961</v>
      </c>
      <c r="AY13" s="14">
        <v>1445</v>
      </c>
      <c r="AZ13" s="19">
        <v>45265</v>
      </c>
      <c r="BA13" s="14" t="s">
        <v>201</v>
      </c>
      <c r="BB13" s="14">
        <v>364</v>
      </c>
      <c r="BC13" s="19">
        <v>44706</v>
      </c>
      <c r="BD13" s="14" t="s">
        <v>202</v>
      </c>
      <c r="BE13" s="14">
        <v>1445</v>
      </c>
      <c r="BF13" s="19">
        <v>45265</v>
      </c>
      <c r="BG13" s="14" t="s">
        <v>201</v>
      </c>
      <c r="BH13" s="14">
        <v>1445</v>
      </c>
      <c r="BI13" s="19">
        <v>45265</v>
      </c>
      <c r="BJ13" s="14" t="s">
        <v>201</v>
      </c>
      <c r="BK13" s="14">
        <v>364</v>
      </c>
      <c r="BL13" s="19">
        <v>44706</v>
      </c>
      <c r="BM13" s="14" t="s">
        <v>202</v>
      </c>
      <c r="BN13" s="27">
        <v>45445</v>
      </c>
      <c r="BO13" s="27">
        <v>44886</v>
      </c>
      <c r="BP13" s="27">
        <v>45445</v>
      </c>
      <c r="BQ13" s="27">
        <v>45445</v>
      </c>
      <c r="BR13" s="27">
        <v>45071</v>
      </c>
      <c r="BS13" s="28">
        <v>-726</v>
      </c>
      <c r="BT13" s="29">
        <v>-1057</v>
      </c>
      <c r="BU13" s="29">
        <v>-726</v>
      </c>
      <c r="BV13" s="29">
        <v>-726</v>
      </c>
      <c r="BW13" s="29">
        <v>-1057</v>
      </c>
      <c r="BX13" s="30" t="s">
        <v>152</v>
      </c>
      <c r="BY13" s="8">
        <v>5</v>
      </c>
      <c r="BZ13" s="8">
        <v>0</v>
      </c>
      <c r="CA13" s="8">
        <v>0</v>
      </c>
      <c r="CB13" s="21">
        <v>45264.770833333299</v>
      </c>
      <c r="CC13" s="21">
        <v>45264.770833333299</v>
      </c>
      <c r="CD13" s="21">
        <v>45264.770833333299</v>
      </c>
      <c r="CE13" s="21">
        <v>45264.770833333299</v>
      </c>
      <c r="CF13" s="21">
        <v>45264.770833333299</v>
      </c>
      <c r="CG13" s="21">
        <v>0</v>
      </c>
      <c r="CH13" s="21">
        <v>0</v>
      </c>
      <c r="CI13" s="21">
        <v>0</v>
      </c>
      <c r="CJ13" s="21">
        <v>0</v>
      </c>
      <c r="CK13" s="22" t="s">
        <v>2971</v>
      </c>
      <c r="CL13" s="22" t="s">
        <v>2971</v>
      </c>
      <c r="CM13" s="22" t="s">
        <v>2971</v>
      </c>
      <c r="CN13" s="22" t="s">
        <v>2971</v>
      </c>
      <c r="CO13" s="22" t="s">
        <v>2971</v>
      </c>
      <c r="CP13" s="22" t="s">
        <v>2971</v>
      </c>
      <c r="CQ13" s="22" t="s">
        <v>2953</v>
      </c>
      <c r="CR13" s="22" t="s">
        <v>2971</v>
      </c>
      <c r="CS13" s="22" t="s">
        <v>2971</v>
      </c>
      <c r="CT13" s="22">
        <v>1</v>
      </c>
      <c r="CU13" s="21">
        <v>45444</v>
      </c>
      <c r="CV13" s="21">
        <v>45444</v>
      </c>
      <c r="CW13" s="21">
        <v>45444</v>
      </c>
      <c r="CX13" s="21">
        <v>45444</v>
      </c>
      <c r="CY13" s="21">
        <v>45444</v>
      </c>
      <c r="CZ13" s="21">
        <v>46117</v>
      </c>
      <c r="DA13" s="21">
        <v>46055</v>
      </c>
      <c r="DB13" s="21">
        <v>46027</v>
      </c>
      <c r="DC13" s="21">
        <v>46076</v>
      </c>
      <c r="DD13" s="8">
        <v>1</v>
      </c>
      <c r="DE13" s="8">
        <v>1</v>
      </c>
      <c r="DF13" s="8">
        <v>0</v>
      </c>
      <c r="DG13" s="8">
        <v>8</v>
      </c>
      <c r="DH13" s="8">
        <v>1</v>
      </c>
      <c r="DI13" s="8">
        <v>0</v>
      </c>
      <c r="DJ13" s="8" t="s">
        <v>2954</v>
      </c>
      <c r="DK13" s="21">
        <v>44161</v>
      </c>
      <c r="DL13" s="21">
        <v>44140.229166666664</v>
      </c>
      <c r="DM13" s="21">
        <v>45962</v>
      </c>
      <c r="DN13" s="18">
        <v>2770</v>
      </c>
      <c r="DO13" s="21">
        <v>0</v>
      </c>
      <c r="DP13" s="21">
        <v>0</v>
      </c>
      <c r="DQ13" s="21" t="s">
        <v>2955</v>
      </c>
      <c r="DR13" s="21">
        <v>45265</v>
      </c>
      <c r="DS13" s="21">
        <v>45265</v>
      </c>
      <c r="DT13" s="21">
        <v>45265</v>
      </c>
      <c r="DU13" s="21">
        <v>45265</v>
      </c>
      <c r="DV13" s="21">
        <v>45265</v>
      </c>
      <c r="DW13" s="21">
        <v>0</v>
      </c>
      <c r="DX13" s="21">
        <v>0</v>
      </c>
      <c r="DY13" s="21">
        <v>0</v>
      </c>
      <c r="DZ13" s="21">
        <v>0</v>
      </c>
      <c r="EA13" s="8">
        <v>230</v>
      </c>
      <c r="EB13" s="8">
        <v>230</v>
      </c>
      <c r="EC13" s="8">
        <v>230</v>
      </c>
      <c r="ED13" s="8">
        <v>230</v>
      </c>
      <c r="EE13" s="8">
        <v>230</v>
      </c>
      <c r="EF13" s="8">
        <v>230</v>
      </c>
      <c r="EG13" s="8">
        <v>1000</v>
      </c>
      <c r="EH13" s="8">
        <v>230</v>
      </c>
      <c r="EI13" s="8">
        <v>230</v>
      </c>
      <c r="EJ13" s="8">
        <v>1</v>
      </c>
      <c r="EK13" s="8" t="s">
        <v>2624</v>
      </c>
      <c r="EL13" s="8">
        <v>151</v>
      </c>
      <c r="EM13" s="8">
        <v>151</v>
      </c>
      <c r="EN13" s="8">
        <v>-58</v>
      </c>
      <c r="EO13" s="8">
        <v>-58</v>
      </c>
      <c r="EP13" s="8">
        <v>-58</v>
      </c>
      <c r="EQ13" s="8">
        <v>-58</v>
      </c>
      <c r="ER13" s="8">
        <v>-58</v>
      </c>
      <c r="ES13" s="8">
        <v>-58</v>
      </c>
      <c r="ET13" s="8">
        <v>712</v>
      </c>
      <c r="EU13" s="8">
        <v>-58</v>
      </c>
      <c r="EV13" s="8">
        <v>-58</v>
      </c>
    </row>
    <row r="14" spans="1:152" x14ac:dyDescent="0.15">
      <c r="A14" s="8">
        <f>ROW([2]!tbl_DPSAC[[#This Row],[Sl. No.]])-1</f>
        <v>13</v>
      </c>
      <c r="B14" s="9" t="s">
        <v>196</v>
      </c>
      <c r="C14" s="9" t="s">
        <v>203</v>
      </c>
      <c r="D14" s="9" t="s">
        <v>204</v>
      </c>
      <c r="E14" s="9" t="s">
        <v>205</v>
      </c>
      <c r="F14" s="9" t="s">
        <v>161</v>
      </c>
      <c r="G14" s="10" t="s">
        <v>206</v>
      </c>
      <c r="H14" s="10" t="str">
        <f>_xlfn.XLOOKUP(C14,'[1]E&amp;DPSAC'!$K:$K,'[1]E&amp;DPSAC'!$E:$E,,0)</f>
        <v>SHEKHPURA, BIHAR</v>
      </c>
      <c r="I14" s="10" t="s">
        <v>207</v>
      </c>
      <c r="J14" s="10">
        <v>9304172201</v>
      </c>
      <c r="K14" s="10">
        <f>_xlfn.XLOOKUP(C14,'[1]E&amp;DPSAC'!$K:$K,'[1]E&amp;DPSAC'!$G:$G,"",0)</f>
        <v>9304172201</v>
      </c>
      <c r="L14" s="9" t="str">
        <f t="shared" ca="1" si="0"/>
        <v>Non - Warranty</v>
      </c>
      <c r="M14" s="11">
        <v>44140</v>
      </c>
      <c r="N14" s="12">
        <v>24</v>
      </c>
      <c r="O14" s="11">
        <f t="shared" si="1"/>
        <v>44895</v>
      </c>
      <c r="P14" s="8" t="s">
        <v>142</v>
      </c>
      <c r="Q14" s="16" t="s">
        <v>208</v>
      </c>
      <c r="R14" s="15">
        <v>45630.504895833299</v>
      </c>
      <c r="S14" s="14">
        <v>7263</v>
      </c>
      <c r="T14" s="15">
        <v>45663</v>
      </c>
      <c r="U14" s="14">
        <v>7544</v>
      </c>
      <c r="V14" s="14">
        <v>8180</v>
      </c>
      <c r="W14" s="17">
        <v>45938.506249999999</v>
      </c>
      <c r="X14" s="14" t="s">
        <v>2703</v>
      </c>
      <c r="Y14" s="14">
        <v>-167</v>
      </c>
      <c r="Z14" s="14" t="s">
        <v>2697</v>
      </c>
      <c r="AA14" s="18">
        <v>482.49510416670091</v>
      </c>
      <c r="AB14" s="18" t="s">
        <v>2697</v>
      </c>
      <c r="AC14" s="8">
        <f>tbl_DPSAC[[#This Row],[Current Month Due Count]]</f>
        <v>0</v>
      </c>
      <c r="AD14" s="8">
        <f>tbl_DPSAC[[#This Row],[Next Month Due2]]</f>
        <v>0</v>
      </c>
      <c r="AE14" s="8">
        <f t="shared" si="2"/>
        <v>1</v>
      </c>
      <c r="AF14" s="8">
        <v>8</v>
      </c>
      <c r="AG14" s="14">
        <f t="shared" ca="1" si="3"/>
        <v>9576</v>
      </c>
      <c r="AH14" s="8">
        <v>0</v>
      </c>
      <c r="AI14" s="8">
        <v>0</v>
      </c>
      <c r="AJ14" s="8">
        <v>0</v>
      </c>
      <c r="AK14" s="8">
        <v>0</v>
      </c>
      <c r="AL14" s="8">
        <v>0</v>
      </c>
      <c r="AM14" s="8">
        <v>0</v>
      </c>
      <c r="AN14" s="8">
        <v>0</v>
      </c>
      <c r="AO14" s="8">
        <v>0</v>
      </c>
      <c r="AP14" s="8">
        <v>0</v>
      </c>
      <c r="AQ14" s="8">
        <v>0</v>
      </c>
      <c r="AR14" s="8">
        <v>0</v>
      </c>
      <c r="AS14" s="8">
        <v>0</v>
      </c>
      <c r="AT14" s="8">
        <v>0</v>
      </c>
      <c r="AU14" s="8">
        <v>0</v>
      </c>
      <c r="AV14" s="8">
        <v>0</v>
      </c>
      <c r="AW14" s="8">
        <v>0</v>
      </c>
      <c r="AX14" s="8" t="s">
        <v>2961</v>
      </c>
      <c r="AY14" s="14">
        <v>7263</v>
      </c>
      <c r="AZ14" s="19">
        <v>45630</v>
      </c>
      <c r="BA14" s="14" t="s">
        <v>208</v>
      </c>
      <c r="BB14" s="14">
        <v>7263</v>
      </c>
      <c r="BC14" s="19">
        <v>45630</v>
      </c>
      <c r="BD14" s="14" t="s">
        <v>208</v>
      </c>
      <c r="BE14" s="14">
        <v>7263</v>
      </c>
      <c r="BF14" s="19">
        <v>45630</v>
      </c>
      <c r="BG14" s="14" t="s">
        <v>208</v>
      </c>
      <c r="BH14" s="14">
        <v>7263</v>
      </c>
      <c r="BI14" s="19">
        <v>45630</v>
      </c>
      <c r="BJ14" s="14" t="s">
        <v>208</v>
      </c>
      <c r="BK14" s="14">
        <v>7263</v>
      </c>
      <c r="BL14" s="19">
        <v>45630</v>
      </c>
      <c r="BM14" s="14" t="s">
        <v>208</v>
      </c>
      <c r="BN14" s="27">
        <v>45810</v>
      </c>
      <c r="BO14" s="27">
        <v>45810</v>
      </c>
      <c r="BP14" s="27">
        <v>45810</v>
      </c>
      <c r="BQ14" s="27">
        <v>45810</v>
      </c>
      <c r="BR14" s="27">
        <v>45995</v>
      </c>
      <c r="BS14" s="28">
        <v>-1563</v>
      </c>
      <c r="BT14" s="29">
        <v>-813</v>
      </c>
      <c r="BU14" s="29">
        <v>-1563</v>
      </c>
      <c r="BV14" s="29">
        <v>-1563</v>
      </c>
      <c r="BW14" s="29">
        <v>-813</v>
      </c>
      <c r="BX14" s="30" t="s">
        <v>152</v>
      </c>
      <c r="BY14" s="8">
        <v>5</v>
      </c>
      <c r="BZ14" s="8">
        <v>0</v>
      </c>
      <c r="CA14" s="8">
        <v>0</v>
      </c>
      <c r="CB14" s="21">
        <v>45349.770833333299</v>
      </c>
      <c r="CC14" s="21">
        <v>45629.770833333299</v>
      </c>
      <c r="CD14" s="21">
        <v>0</v>
      </c>
      <c r="CE14" s="21">
        <v>45629.770833333299</v>
      </c>
      <c r="CF14" s="21">
        <v>45629.770833333299</v>
      </c>
      <c r="CG14" s="21">
        <v>45629.770833333299</v>
      </c>
      <c r="CH14" s="21">
        <v>45629.770833333299</v>
      </c>
      <c r="CI14" s="21">
        <v>45629.770833333299</v>
      </c>
      <c r="CJ14" s="21">
        <v>45629.770833333299</v>
      </c>
      <c r="CK14" s="22" t="s">
        <v>2972</v>
      </c>
      <c r="CL14" s="22" t="s">
        <v>2972</v>
      </c>
      <c r="CM14" s="22" t="s">
        <v>2972</v>
      </c>
      <c r="CN14" s="22" t="s">
        <v>2972</v>
      </c>
      <c r="CO14" s="22" t="s">
        <v>2972</v>
      </c>
      <c r="CP14" s="22" t="s">
        <v>2973</v>
      </c>
      <c r="CQ14" s="22" t="s">
        <v>2953</v>
      </c>
      <c r="CR14" s="22" t="s">
        <v>2973</v>
      </c>
      <c r="CS14" s="22" t="s">
        <v>2973</v>
      </c>
      <c r="CT14" s="22">
        <v>4</v>
      </c>
      <c r="CU14" s="21">
        <v>45529</v>
      </c>
      <c r="CV14" s="21">
        <v>45809</v>
      </c>
      <c r="CW14" s="21">
        <v>46033</v>
      </c>
      <c r="CX14" s="21">
        <v>45809</v>
      </c>
      <c r="CY14" s="21">
        <v>45809</v>
      </c>
      <c r="CZ14" s="21">
        <v>45899</v>
      </c>
      <c r="DA14" s="21">
        <v>45994</v>
      </c>
      <c r="DB14" s="21">
        <v>45809</v>
      </c>
      <c r="DC14" s="21">
        <v>45994</v>
      </c>
      <c r="DD14" s="8">
        <v>1</v>
      </c>
      <c r="DE14" s="8">
        <v>0</v>
      </c>
      <c r="DF14" s="8">
        <v>0</v>
      </c>
      <c r="DG14" s="8">
        <v>9</v>
      </c>
      <c r="DH14" s="8">
        <v>0</v>
      </c>
      <c r="DI14" s="8">
        <v>0</v>
      </c>
      <c r="DJ14" s="8" t="s">
        <v>2954</v>
      </c>
      <c r="DK14" s="21">
        <v>44140</v>
      </c>
      <c r="DL14" s="21">
        <v>44120.229166666664</v>
      </c>
      <c r="DM14" s="21">
        <v>45938</v>
      </c>
      <c r="DN14" s="18">
        <v>8180</v>
      </c>
      <c r="DO14" s="21">
        <v>0</v>
      </c>
      <c r="DP14" s="21">
        <v>0</v>
      </c>
      <c r="DQ14" s="21" t="s">
        <v>2955</v>
      </c>
      <c r="DR14" s="21">
        <v>45350</v>
      </c>
      <c r="DS14" s="21">
        <v>45630</v>
      </c>
      <c r="DT14" s="21">
        <v>0</v>
      </c>
      <c r="DU14" s="21">
        <v>45630</v>
      </c>
      <c r="DV14" s="21">
        <v>45630</v>
      </c>
      <c r="DW14" s="21">
        <v>45630</v>
      </c>
      <c r="DX14" s="21">
        <v>45630</v>
      </c>
      <c r="DY14" s="21">
        <v>45630</v>
      </c>
      <c r="DZ14" s="21">
        <v>45630</v>
      </c>
      <c r="EA14" s="8">
        <v>380</v>
      </c>
      <c r="EB14" s="8">
        <v>380</v>
      </c>
      <c r="EC14" s="8">
        <v>380</v>
      </c>
      <c r="ED14" s="8">
        <v>380</v>
      </c>
      <c r="EE14" s="8">
        <v>380</v>
      </c>
      <c r="EF14" s="8">
        <v>1380</v>
      </c>
      <c r="EG14" s="8">
        <v>1000</v>
      </c>
      <c r="EH14" s="8">
        <v>1380</v>
      </c>
      <c r="EI14" s="8">
        <v>1380</v>
      </c>
      <c r="EJ14" s="8">
        <v>4</v>
      </c>
      <c r="EK14" s="8" t="s">
        <v>2624</v>
      </c>
      <c r="EL14" s="8">
        <v>174</v>
      </c>
      <c r="EM14" s="8">
        <v>1392</v>
      </c>
      <c r="EN14" s="8">
        <v>92</v>
      </c>
      <c r="EO14" s="8">
        <v>92</v>
      </c>
      <c r="EP14" s="8">
        <v>92</v>
      </c>
      <c r="EQ14" s="8">
        <v>92</v>
      </c>
      <c r="ER14" s="8">
        <v>92</v>
      </c>
      <c r="ES14" s="8">
        <v>1092</v>
      </c>
      <c r="ET14" s="8">
        <v>712</v>
      </c>
      <c r="EU14" s="8">
        <v>1092</v>
      </c>
      <c r="EV14" s="8">
        <v>1092</v>
      </c>
    </row>
    <row r="15" spans="1:152" x14ac:dyDescent="0.15">
      <c r="A15" s="8">
        <f>ROW([2]!tbl_DPSAC[[#This Row],[Sl. No.]])-1</f>
        <v>14</v>
      </c>
      <c r="B15" s="9" t="s">
        <v>196</v>
      </c>
      <c r="C15" s="9" t="s">
        <v>209</v>
      </c>
      <c r="D15" s="9" t="s">
        <v>204</v>
      </c>
      <c r="E15" s="9" t="s">
        <v>205</v>
      </c>
      <c r="F15" s="9" t="s">
        <v>161</v>
      </c>
      <c r="G15" s="10" t="s">
        <v>206</v>
      </c>
      <c r="H15" s="10" t="str">
        <f>_xlfn.XLOOKUP(C15,'[1]E&amp;DPSAC'!$K:$K,'[1]E&amp;DPSAC'!$E:$E,,0)</f>
        <v>NAWADA, BIHAR</v>
      </c>
      <c r="I15" s="10" t="s">
        <v>207</v>
      </c>
      <c r="J15" s="10">
        <v>7255010416</v>
      </c>
      <c r="K15" s="10">
        <f>_xlfn.XLOOKUP(C15,'[1]E&amp;DPSAC'!$K:$K,'[1]E&amp;DPSAC'!$G:$G,"",0)</f>
        <v>7255010416</v>
      </c>
      <c r="L15" s="9" t="str">
        <f t="shared" ca="1" si="0"/>
        <v>Non - Warranty</v>
      </c>
      <c r="M15" s="11">
        <v>44119.75</v>
      </c>
      <c r="N15" s="12">
        <v>24</v>
      </c>
      <c r="O15" s="11">
        <f t="shared" si="1"/>
        <v>44865</v>
      </c>
      <c r="P15" s="8" t="s">
        <v>142</v>
      </c>
      <c r="Q15" s="16" t="s">
        <v>210</v>
      </c>
      <c r="R15" s="15">
        <v>45266.481342592597</v>
      </c>
      <c r="S15" s="14">
        <v>4680</v>
      </c>
      <c r="T15" s="15">
        <v>45266</v>
      </c>
      <c r="U15" s="14">
        <v>4680</v>
      </c>
      <c r="V15" s="14">
        <v>6670</v>
      </c>
      <c r="W15" s="17">
        <v>45938.510416666664</v>
      </c>
      <c r="X15" s="14" t="s">
        <v>2704</v>
      </c>
      <c r="Y15" s="14">
        <v>-1240</v>
      </c>
      <c r="Z15" s="14" t="s">
        <v>2697</v>
      </c>
      <c r="AA15" s="18">
        <v>846.51865740740323</v>
      </c>
      <c r="AB15" s="18" t="s">
        <v>2697</v>
      </c>
      <c r="AC15" s="8">
        <f>tbl_DPSAC[[#This Row],[Current Month Due Count]]</f>
        <v>0</v>
      </c>
      <c r="AD15" s="8">
        <f>tbl_DPSAC[[#This Row],[Next Month Due2]]</f>
        <v>0</v>
      </c>
      <c r="AE15" s="8">
        <f t="shared" si="2"/>
        <v>1</v>
      </c>
      <c r="AF15" s="8">
        <v>3</v>
      </c>
      <c r="AG15" s="14">
        <f t="shared" ca="1" si="3"/>
        <v>7193</v>
      </c>
      <c r="AH15" s="8">
        <v>0</v>
      </c>
      <c r="AI15" s="8">
        <v>0</v>
      </c>
      <c r="AJ15" s="8">
        <v>0</v>
      </c>
      <c r="AK15" s="8">
        <v>0</v>
      </c>
      <c r="AL15" s="8">
        <v>0</v>
      </c>
      <c r="AM15" s="8">
        <v>0</v>
      </c>
      <c r="AN15" s="8">
        <v>0</v>
      </c>
      <c r="AO15" s="8">
        <v>0</v>
      </c>
      <c r="AP15" s="8">
        <v>0</v>
      </c>
      <c r="AQ15" s="8">
        <v>0</v>
      </c>
      <c r="AR15" s="8">
        <v>0</v>
      </c>
      <c r="AS15" s="8">
        <v>0</v>
      </c>
      <c r="AT15" s="8">
        <v>0</v>
      </c>
      <c r="AU15" s="8">
        <v>0</v>
      </c>
      <c r="AV15" s="8">
        <v>0</v>
      </c>
      <c r="AW15" s="8">
        <v>0</v>
      </c>
      <c r="AX15" s="8" t="s">
        <v>2961</v>
      </c>
      <c r="AY15" s="14">
        <v>4680</v>
      </c>
      <c r="AZ15" s="19">
        <v>45266</v>
      </c>
      <c r="BA15" s="14" t="s">
        <v>210</v>
      </c>
      <c r="BB15" s="14">
        <v>4680</v>
      </c>
      <c r="BC15" s="19">
        <v>45266</v>
      </c>
      <c r="BD15" s="14" t="s">
        <v>210</v>
      </c>
      <c r="BE15" s="14">
        <v>4680</v>
      </c>
      <c r="BF15" s="19">
        <v>45266</v>
      </c>
      <c r="BG15" s="14" t="s">
        <v>210</v>
      </c>
      <c r="BH15" s="14">
        <v>4050</v>
      </c>
      <c r="BI15" s="19">
        <v>45113</v>
      </c>
      <c r="BJ15" s="14" t="s">
        <v>211</v>
      </c>
      <c r="BK15" s="14">
        <v>4680</v>
      </c>
      <c r="BL15" s="19">
        <v>45266</v>
      </c>
      <c r="BM15" s="14" t="s">
        <v>210</v>
      </c>
      <c r="BN15" s="27">
        <v>45446</v>
      </c>
      <c r="BO15" s="27">
        <v>45446</v>
      </c>
      <c r="BP15" s="27">
        <v>45446</v>
      </c>
      <c r="BQ15" s="27">
        <v>45293</v>
      </c>
      <c r="BR15" s="27">
        <v>45631</v>
      </c>
      <c r="BS15" s="28">
        <v>-1763</v>
      </c>
      <c r="BT15" s="29">
        <v>-1013</v>
      </c>
      <c r="BU15" s="29">
        <v>-1763</v>
      </c>
      <c r="BV15" s="29">
        <v>-2393</v>
      </c>
      <c r="BW15" s="29">
        <v>-1013</v>
      </c>
      <c r="BX15" s="30" t="s">
        <v>152</v>
      </c>
      <c r="BY15" s="8">
        <v>5</v>
      </c>
      <c r="BZ15" s="8">
        <v>0</v>
      </c>
      <c r="CA15" s="8">
        <v>0</v>
      </c>
      <c r="CB15" s="21">
        <v>45265.770833333299</v>
      </c>
      <c r="CC15" s="21">
        <v>45265.770833333299</v>
      </c>
      <c r="CD15" s="21">
        <v>0</v>
      </c>
      <c r="CE15" s="21">
        <v>45112.770833333299</v>
      </c>
      <c r="CF15" s="21">
        <v>45265.770833333299</v>
      </c>
      <c r="CG15" s="21">
        <v>45265.770833333299</v>
      </c>
      <c r="CH15" s="21">
        <v>45265.770833333299</v>
      </c>
      <c r="CI15" s="21">
        <v>45265.770833333299</v>
      </c>
      <c r="CJ15" s="21">
        <v>45265.770833333299</v>
      </c>
      <c r="CK15" s="22" t="s">
        <v>2974</v>
      </c>
      <c r="CL15" s="22" t="s">
        <v>2974</v>
      </c>
      <c r="CM15" s="22" t="s">
        <v>2974</v>
      </c>
      <c r="CN15" s="22" t="s">
        <v>2974</v>
      </c>
      <c r="CO15" s="22" t="s">
        <v>2974</v>
      </c>
      <c r="CP15" s="22" t="s">
        <v>2975</v>
      </c>
      <c r="CQ15" s="22" t="s">
        <v>2953</v>
      </c>
      <c r="CR15" s="22" t="s">
        <v>2975</v>
      </c>
      <c r="CS15" s="22" t="s">
        <v>2975</v>
      </c>
      <c r="CT15" s="22">
        <v>3</v>
      </c>
      <c r="CU15" s="21">
        <v>45445</v>
      </c>
      <c r="CV15" s="21">
        <v>45445</v>
      </c>
      <c r="CW15" s="21">
        <v>46051</v>
      </c>
      <c r="CX15" s="21">
        <v>45292</v>
      </c>
      <c r="CY15" s="21">
        <v>45445</v>
      </c>
      <c r="CZ15" s="21">
        <v>45535</v>
      </c>
      <c r="DA15" s="21">
        <v>45630</v>
      </c>
      <c r="DB15" s="21">
        <v>45445</v>
      </c>
      <c r="DC15" s="21">
        <v>45630</v>
      </c>
      <c r="DD15" s="8">
        <v>1</v>
      </c>
      <c r="DE15" s="8">
        <v>0</v>
      </c>
      <c r="DF15" s="8">
        <v>0</v>
      </c>
      <c r="DG15" s="8">
        <v>9</v>
      </c>
      <c r="DH15" s="8">
        <v>0</v>
      </c>
      <c r="DI15" s="8">
        <v>0</v>
      </c>
      <c r="DJ15" s="8" t="s">
        <v>2954</v>
      </c>
      <c r="DK15" s="21">
        <v>44119</v>
      </c>
      <c r="DL15" s="21">
        <v>44104.229166666664</v>
      </c>
      <c r="DM15" s="21">
        <v>45938</v>
      </c>
      <c r="DN15" s="18">
        <v>6670</v>
      </c>
      <c r="DO15" s="21">
        <v>0</v>
      </c>
      <c r="DP15" s="21">
        <v>0</v>
      </c>
      <c r="DQ15" s="21" t="s">
        <v>2955</v>
      </c>
      <c r="DR15" s="21">
        <v>45266</v>
      </c>
      <c r="DS15" s="21">
        <v>45266</v>
      </c>
      <c r="DT15" s="21">
        <v>0</v>
      </c>
      <c r="DU15" s="21">
        <v>45113</v>
      </c>
      <c r="DV15" s="21">
        <v>45266</v>
      </c>
      <c r="DW15" s="21">
        <v>45266</v>
      </c>
      <c r="DX15" s="21">
        <v>45266</v>
      </c>
      <c r="DY15" s="21">
        <v>45266</v>
      </c>
      <c r="DZ15" s="21">
        <v>45266</v>
      </c>
      <c r="EA15" s="8">
        <v>340</v>
      </c>
      <c r="EB15" s="8">
        <v>340</v>
      </c>
      <c r="EC15" s="8">
        <v>340</v>
      </c>
      <c r="ED15" s="8">
        <v>340</v>
      </c>
      <c r="EE15" s="8">
        <v>340</v>
      </c>
      <c r="EF15" s="8">
        <v>840</v>
      </c>
      <c r="EG15" s="8">
        <v>1000</v>
      </c>
      <c r="EH15" s="8">
        <v>840</v>
      </c>
      <c r="EI15" s="8">
        <v>840</v>
      </c>
      <c r="EJ15" s="8">
        <v>3</v>
      </c>
      <c r="EK15" s="8" t="s">
        <v>2624</v>
      </c>
      <c r="EL15" s="8">
        <v>174</v>
      </c>
      <c r="EM15" s="8">
        <v>522</v>
      </c>
      <c r="EN15" s="8">
        <v>52</v>
      </c>
      <c r="EO15" s="8">
        <v>52</v>
      </c>
      <c r="EP15" s="8">
        <v>52</v>
      </c>
      <c r="EQ15" s="8">
        <v>52</v>
      </c>
      <c r="ER15" s="8">
        <v>52</v>
      </c>
      <c r="ES15" s="8">
        <v>552</v>
      </c>
      <c r="ET15" s="8">
        <v>712</v>
      </c>
      <c r="EU15" s="8">
        <v>552</v>
      </c>
      <c r="EV15" s="8">
        <v>552</v>
      </c>
    </row>
    <row r="16" spans="1:152" x14ac:dyDescent="0.15">
      <c r="A16" s="8">
        <f>ROW([2]!tbl_DPSAC[[#This Row],[Sl. No.]])-1</f>
        <v>15</v>
      </c>
      <c r="B16" s="9" t="s">
        <v>196</v>
      </c>
      <c r="C16" s="9" t="s">
        <v>212</v>
      </c>
      <c r="D16" s="9" t="s">
        <v>198</v>
      </c>
      <c r="E16" s="9" t="s">
        <v>199</v>
      </c>
      <c r="F16" s="9" t="s">
        <v>161</v>
      </c>
      <c r="G16" s="10" t="s">
        <v>200</v>
      </c>
      <c r="H16" s="10" t="str">
        <f>_xlfn.XLOOKUP(C16,'[1]E&amp;DPSAC'!$K:$K,'[1]E&amp;DPSAC'!$E:$E,,0)</f>
        <v>GANGA BRIDGE, BAKHTIYARPUR, PATNA</v>
      </c>
      <c r="I16" s="10"/>
      <c r="J16" s="10">
        <v>8544557188</v>
      </c>
      <c r="K16" s="10">
        <f>_xlfn.XLOOKUP(C16,'[1]E&amp;DPSAC'!$K:$K,'[1]E&amp;DPSAC'!$G:$G,"",0)</f>
        <v>8544557188</v>
      </c>
      <c r="L16" s="9" t="str">
        <f t="shared" ca="1" si="0"/>
        <v>Non - Warranty</v>
      </c>
      <c r="M16" s="11">
        <v>44056</v>
      </c>
      <c r="N16" s="12">
        <v>24</v>
      </c>
      <c r="O16" s="11">
        <f t="shared" si="1"/>
        <v>44804</v>
      </c>
      <c r="P16" s="8" t="s">
        <v>213</v>
      </c>
      <c r="Q16" s="16" t="s">
        <v>214</v>
      </c>
      <c r="R16" s="15">
        <v>46052.516979166699</v>
      </c>
      <c r="S16" s="14">
        <v>4518</v>
      </c>
      <c r="T16" s="15">
        <v>46053</v>
      </c>
      <c r="U16" s="14">
        <v>4518</v>
      </c>
      <c r="V16" s="14">
        <v>4518</v>
      </c>
      <c r="W16" s="17">
        <v>46052.516979166699</v>
      </c>
      <c r="X16" s="14" t="s">
        <v>2705</v>
      </c>
      <c r="Y16" s="14">
        <v>750</v>
      </c>
      <c r="Z16" s="14" t="s">
        <v>2692</v>
      </c>
      <c r="AA16" s="18">
        <v>60.483020833300543</v>
      </c>
      <c r="AB16" s="18" t="s">
        <v>2692</v>
      </c>
      <c r="AC16" s="8">
        <f>tbl_DPSAC[[#This Row],[Current Month Due Count]]</f>
        <v>0</v>
      </c>
      <c r="AD16" s="8">
        <f>tbl_DPSAC[[#This Row],[Next Month Due2]]</f>
        <v>0</v>
      </c>
      <c r="AE16" s="8">
        <f t="shared" si="2"/>
        <v>0</v>
      </c>
      <c r="AF16" s="8">
        <v>4</v>
      </c>
      <c r="AG16" s="14">
        <f t="shared" ca="1" si="3"/>
        <v>4760</v>
      </c>
      <c r="AH16" s="8">
        <v>0</v>
      </c>
      <c r="AI16" s="8">
        <v>0</v>
      </c>
      <c r="AJ16" s="8">
        <v>0</v>
      </c>
      <c r="AK16" s="8">
        <v>0</v>
      </c>
      <c r="AL16" s="8">
        <v>0</v>
      </c>
      <c r="AM16" s="8">
        <v>0</v>
      </c>
      <c r="AN16" s="8">
        <v>0</v>
      </c>
      <c r="AO16" s="8">
        <v>0</v>
      </c>
      <c r="AP16" s="8">
        <v>0</v>
      </c>
      <c r="AQ16" s="8">
        <v>0</v>
      </c>
      <c r="AR16" s="8">
        <v>0</v>
      </c>
      <c r="AS16" s="8">
        <v>0</v>
      </c>
      <c r="AT16" s="8">
        <v>0</v>
      </c>
      <c r="AU16" s="8">
        <v>0</v>
      </c>
      <c r="AV16" s="8">
        <v>0</v>
      </c>
      <c r="AW16" s="8">
        <v>0</v>
      </c>
      <c r="AX16" s="8" t="s">
        <v>2007</v>
      </c>
      <c r="AY16" s="14">
        <v>4518</v>
      </c>
      <c r="AZ16" s="19">
        <v>46052</v>
      </c>
      <c r="BA16" s="14" t="s">
        <v>214</v>
      </c>
      <c r="BB16" s="14">
        <v>4518</v>
      </c>
      <c r="BC16" s="19">
        <v>46052</v>
      </c>
      <c r="BD16" s="14" t="s">
        <v>214</v>
      </c>
      <c r="BE16" s="14">
        <v>4518</v>
      </c>
      <c r="BF16" s="19">
        <v>46052</v>
      </c>
      <c r="BG16" s="14" t="s">
        <v>214</v>
      </c>
      <c r="BH16" s="14">
        <v>4518</v>
      </c>
      <c r="BI16" s="19">
        <v>46052</v>
      </c>
      <c r="BJ16" s="14" t="s">
        <v>214</v>
      </c>
      <c r="BK16" s="14">
        <v>4518</v>
      </c>
      <c r="BL16" s="19">
        <v>46052</v>
      </c>
      <c r="BM16" s="14" t="s">
        <v>214</v>
      </c>
      <c r="BN16" s="27">
        <v>46232</v>
      </c>
      <c r="BO16" s="27">
        <v>46232</v>
      </c>
      <c r="BP16" s="27">
        <v>46232</v>
      </c>
      <c r="BQ16" s="27">
        <v>46232</v>
      </c>
      <c r="BR16" s="27">
        <v>46417</v>
      </c>
      <c r="BS16" s="28">
        <v>508</v>
      </c>
      <c r="BT16" s="29">
        <v>1258</v>
      </c>
      <c r="BU16" s="29">
        <v>508</v>
      </c>
      <c r="BV16" s="29">
        <v>508</v>
      </c>
      <c r="BW16" s="29">
        <v>1258</v>
      </c>
      <c r="BX16" s="30" t="s">
        <v>173</v>
      </c>
      <c r="BY16" s="8">
        <v>0</v>
      </c>
      <c r="BZ16" s="8">
        <v>0</v>
      </c>
      <c r="CA16" s="8">
        <v>0</v>
      </c>
      <c r="CB16" s="21">
        <v>46051.770833333299</v>
      </c>
      <c r="CC16" s="21">
        <v>46051.770833333299</v>
      </c>
      <c r="CD16" s="21">
        <v>46051.770833333299</v>
      </c>
      <c r="CE16" s="21">
        <v>46051.770833333299</v>
      </c>
      <c r="CF16" s="21">
        <v>46051.770833333299</v>
      </c>
      <c r="CG16" s="21">
        <v>46051.770833333299</v>
      </c>
      <c r="CH16" s="21">
        <v>46051.770833333299</v>
      </c>
      <c r="CI16" s="21">
        <v>46051.770833333299</v>
      </c>
      <c r="CJ16" s="21">
        <v>46051.770833333299</v>
      </c>
      <c r="CK16" s="22" t="s">
        <v>2956</v>
      </c>
      <c r="CL16" s="22" t="s">
        <v>2957</v>
      </c>
      <c r="CM16" s="22" t="s">
        <v>2959</v>
      </c>
      <c r="CN16" s="22" t="s">
        <v>2957</v>
      </c>
      <c r="CO16" s="22" t="s">
        <v>2957</v>
      </c>
      <c r="CP16" s="22" t="s">
        <v>2956</v>
      </c>
      <c r="CQ16" s="22" t="s">
        <v>2953</v>
      </c>
      <c r="CR16" s="22" t="s">
        <v>2956</v>
      </c>
      <c r="CS16" s="22" t="s">
        <v>2960</v>
      </c>
      <c r="CT16" s="22">
        <v>5</v>
      </c>
      <c r="CU16" s="21">
        <v>46231</v>
      </c>
      <c r="CV16" s="21">
        <v>46203</v>
      </c>
      <c r="CW16" s="21">
        <v>46153</v>
      </c>
      <c r="CX16" s="21">
        <v>46203</v>
      </c>
      <c r="CY16" s="21">
        <v>46203</v>
      </c>
      <c r="CZ16" s="21">
        <v>46321</v>
      </c>
      <c r="DA16" s="21">
        <v>46253</v>
      </c>
      <c r="DB16" s="21">
        <v>46231</v>
      </c>
      <c r="DC16" s="21">
        <v>46416</v>
      </c>
      <c r="DD16" s="8">
        <v>0</v>
      </c>
      <c r="DE16" s="8">
        <v>0</v>
      </c>
      <c r="DF16" s="8">
        <v>0</v>
      </c>
      <c r="DG16" s="8">
        <v>0</v>
      </c>
      <c r="DH16" s="8">
        <v>0</v>
      </c>
      <c r="DI16" s="8">
        <v>1</v>
      </c>
      <c r="DJ16" s="8" t="s">
        <v>2976</v>
      </c>
      <c r="DK16" s="21">
        <v>44056</v>
      </c>
      <c r="DL16" s="21">
        <v>44043.229166666664</v>
      </c>
      <c r="DM16" s="21">
        <v>46053</v>
      </c>
      <c r="DN16" s="18">
        <v>4518</v>
      </c>
      <c r="DO16" s="21">
        <v>0</v>
      </c>
      <c r="DP16" s="21">
        <v>0</v>
      </c>
      <c r="DQ16" s="21" t="s">
        <v>2955</v>
      </c>
      <c r="DR16" s="21">
        <v>46052</v>
      </c>
      <c r="DS16" s="21">
        <v>46052</v>
      </c>
      <c r="DT16" s="21">
        <v>46052</v>
      </c>
      <c r="DU16" s="21">
        <v>46052</v>
      </c>
      <c r="DV16" s="21">
        <v>46052</v>
      </c>
      <c r="DW16" s="21">
        <v>46052</v>
      </c>
      <c r="DX16" s="21">
        <v>46052</v>
      </c>
      <c r="DY16" s="21">
        <v>46052</v>
      </c>
      <c r="DZ16" s="21">
        <v>46052</v>
      </c>
      <c r="EA16" s="8">
        <v>1500</v>
      </c>
      <c r="EB16" s="8">
        <v>750</v>
      </c>
      <c r="EC16" s="8">
        <v>500</v>
      </c>
      <c r="ED16" s="8">
        <v>750</v>
      </c>
      <c r="EE16" s="8">
        <v>750</v>
      </c>
      <c r="EF16" s="8">
        <v>1500</v>
      </c>
      <c r="EG16" s="8">
        <v>1000</v>
      </c>
      <c r="EH16" s="8">
        <v>1500</v>
      </c>
      <c r="EI16" s="8">
        <v>3000</v>
      </c>
      <c r="EJ16" s="8">
        <v>5</v>
      </c>
      <c r="EK16" s="8" t="s">
        <v>2624</v>
      </c>
      <c r="EL16" s="8">
        <v>60</v>
      </c>
      <c r="EM16" s="8">
        <v>240</v>
      </c>
      <c r="EN16" s="8">
        <v>1212</v>
      </c>
      <c r="EO16" s="8">
        <v>462</v>
      </c>
      <c r="EP16" s="8">
        <v>212</v>
      </c>
      <c r="EQ16" s="8">
        <v>462</v>
      </c>
      <c r="ER16" s="8">
        <v>462</v>
      </c>
      <c r="ES16" s="8">
        <v>1212</v>
      </c>
      <c r="ET16" s="8">
        <v>712</v>
      </c>
      <c r="EU16" s="8">
        <v>1212</v>
      </c>
      <c r="EV16" s="8">
        <v>2712</v>
      </c>
    </row>
    <row r="17" spans="1:152" x14ac:dyDescent="0.15">
      <c r="A17" s="8">
        <f>ROW([2]!tbl_DPSAC[[#This Row],[Sl. No.]])-1</f>
        <v>16</v>
      </c>
      <c r="B17" s="9" t="s">
        <v>196</v>
      </c>
      <c r="C17" s="9" t="s">
        <v>215</v>
      </c>
      <c r="D17" s="9" t="s">
        <v>216</v>
      </c>
      <c r="E17" s="9" t="s">
        <v>217</v>
      </c>
      <c r="F17" s="9" t="s">
        <v>161</v>
      </c>
      <c r="G17" s="10" t="s">
        <v>218</v>
      </c>
      <c r="H17" s="10" t="str">
        <f>_xlfn.XLOOKUP(C17,'[1]E&amp;DPSAC'!$K:$K,'[1]E&amp;DPSAC'!$E:$E,,0)</f>
        <v>BIHAR, BEGUSARAI</v>
      </c>
      <c r="I17" s="10" t="s">
        <v>219</v>
      </c>
      <c r="J17" s="10">
        <v>8877841639</v>
      </c>
      <c r="K17" s="10">
        <f>_xlfn.XLOOKUP(C17,'[1]E&amp;DPSAC'!$K:$K,'[1]E&amp;DPSAC'!$G:$G,"",0)</f>
        <v>8877841639</v>
      </c>
      <c r="L17" s="9" t="str">
        <f t="shared" ca="1" si="0"/>
        <v>Non - Warranty</v>
      </c>
      <c r="M17" s="11">
        <v>44049.75</v>
      </c>
      <c r="N17" s="12">
        <v>24</v>
      </c>
      <c r="O17" s="11">
        <f t="shared" si="1"/>
        <v>44804</v>
      </c>
      <c r="P17" s="8" t="s">
        <v>213</v>
      </c>
      <c r="Q17" s="16" t="s">
        <v>775</v>
      </c>
      <c r="R17" s="15">
        <v>45339.566423611097</v>
      </c>
      <c r="S17" s="14">
        <v>2053</v>
      </c>
      <c r="T17" s="15">
        <v>45339</v>
      </c>
      <c r="U17" s="14">
        <v>2053</v>
      </c>
      <c r="V17" s="14">
        <v>4150</v>
      </c>
      <c r="W17" s="17">
        <v>45938.517361111109</v>
      </c>
      <c r="X17" s="14" t="s">
        <v>2706</v>
      </c>
      <c r="Y17" s="14">
        <v>-1347</v>
      </c>
      <c r="Z17" s="14" t="s">
        <v>2697</v>
      </c>
      <c r="AA17" s="18">
        <v>773.43357638890302</v>
      </c>
      <c r="AB17" s="18" t="s">
        <v>2697</v>
      </c>
      <c r="AC17" s="8">
        <f>tbl_DPSAC[[#This Row],[Current Month Due Count]]</f>
        <v>0</v>
      </c>
      <c r="AD17" s="8">
        <f>tbl_DPSAC[[#This Row],[Next Month Due2]]</f>
        <v>0</v>
      </c>
      <c r="AE17" s="8">
        <f t="shared" si="2"/>
        <v>1</v>
      </c>
      <c r="AF17" s="8">
        <v>3.8</v>
      </c>
      <c r="AG17" s="14">
        <f t="shared" ca="1" si="3"/>
        <v>4813</v>
      </c>
      <c r="AH17" s="8">
        <v>0</v>
      </c>
      <c r="AI17" s="8">
        <v>0</v>
      </c>
      <c r="AJ17" s="8">
        <v>0</v>
      </c>
      <c r="AK17" s="8">
        <v>0</v>
      </c>
      <c r="AL17" s="8">
        <v>0</v>
      </c>
      <c r="AM17" s="8">
        <v>0</v>
      </c>
      <c r="AN17" s="8">
        <v>0</v>
      </c>
      <c r="AO17" s="8">
        <v>0</v>
      </c>
      <c r="AP17" s="8">
        <v>0</v>
      </c>
      <c r="AQ17" s="8">
        <v>0</v>
      </c>
      <c r="AR17" s="8">
        <v>0</v>
      </c>
      <c r="AS17" s="8">
        <v>0</v>
      </c>
      <c r="AT17" s="8">
        <v>0</v>
      </c>
      <c r="AU17" s="8">
        <v>0</v>
      </c>
      <c r="AV17" s="8">
        <v>0</v>
      </c>
      <c r="AW17" s="8">
        <v>0</v>
      </c>
      <c r="AX17" s="8" t="s">
        <v>2977</v>
      </c>
      <c r="AY17" s="14">
        <v>2053</v>
      </c>
      <c r="AZ17" s="19">
        <v>45339</v>
      </c>
      <c r="BA17" s="14" t="s">
        <v>220</v>
      </c>
      <c r="BB17" s="14">
        <v>2053</v>
      </c>
      <c r="BC17" s="19">
        <v>45339</v>
      </c>
      <c r="BD17" s="14" t="s">
        <v>220</v>
      </c>
      <c r="BE17" s="14">
        <v>2053</v>
      </c>
      <c r="BF17" s="19">
        <v>45339</v>
      </c>
      <c r="BG17" s="14" t="s">
        <v>220</v>
      </c>
      <c r="BH17" s="14"/>
      <c r="BI17" s="19"/>
      <c r="BJ17" s="14"/>
      <c r="BK17" s="14">
        <v>2053</v>
      </c>
      <c r="BL17" s="19">
        <v>45339</v>
      </c>
      <c r="BM17" s="14" t="s">
        <v>220</v>
      </c>
      <c r="BN17" s="27">
        <v>45519</v>
      </c>
      <c r="BO17" s="27">
        <v>45519</v>
      </c>
      <c r="BP17" s="27">
        <v>45519</v>
      </c>
      <c r="BQ17" s="27" t="s">
        <v>143</v>
      </c>
      <c r="BR17" s="27">
        <v>45704</v>
      </c>
      <c r="BS17" s="28">
        <v>-2010</v>
      </c>
      <c r="BT17" s="29">
        <v>-1260</v>
      </c>
      <c r="BU17" s="29">
        <v>-2010</v>
      </c>
      <c r="BV17" s="29" t="s">
        <v>143</v>
      </c>
      <c r="BW17" s="29">
        <v>-1260</v>
      </c>
      <c r="BX17" s="30" t="e">
        <v>#N/A</v>
      </c>
      <c r="BY17" s="8">
        <v>4</v>
      </c>
      <c r="BZ17" s="8">
        <v>0</v>
      </c>
      <c r="CA17" s="8">
        <v>0</v>
      </c>
      <c r="CB17" s="21">
        <v>45338.770833333299</v>
      </c>
      <c r="CC17" s="21">
        <v>45338.770833333299</v>
      </c>
      <c r="CD17" s="21">
        <v>0</v>
      </c>
      <c r="CE17" s="21">
        <v>45338.770833333299</v>
      </c>
      <c r="CF17" s="21">
        <v>45338.770833333299</v>
      </c>
      <c r="CG17" s="21">
        <v>45338.770833333299</v>
      </c>
      <c r="CH17" s="21">
        <v>45338.770833333299</v>
      </c>
      <c r="CI17" s="21">
        <v>45338.770833333299</v>
      </c>
      <c r="CJ17" s="21">
        <v>45338.770833333299</v>
      </c>
      <c r="CK17" s="22" t="s">
        <v>2978</v>
      </c>
      <c r="CL17" s="22" t="s">
        <v>2978</v>
      </c>
      <c r="CM17" s="22" t="s">
        <v>2978</v>
      </c>
      <c r="CN17" s="22" t="s">
        <v>2978</v>
      </c>
      <c r="CO17" s="22" t="s">
        <v>2978</v>
      </c>
      <c r="CP17" s="22" t="s">
        <v>2979</v>
      </c>
      <c r="CQ17" s="22" t="s">
        <v>2953</v>
      </c>
      <c r="CR17" s="22" t="s">
        <v>2979</v>
      </c>
      <c r="CS17" s="22" t="s">
        <v>2979</v>
      </c>
      <c r="CT17" s="22">
        <v>4</v>
      </c>
      <c r="CU17" s="21">
        <v>45518</v>
      </c>
      <c r="CV17" s="21">
        <v>45518</v>
      </c>
      <c r="CW17" s="21">
        <v>46025</v>
      </c>
      <c r="CX17" s="21">
        <v>45518</v>
      </c>
      <c r="CY17" s="21">
        <v>45518</v>
      </c>
      <c r="CZ17" s="21">
        <v>45608</v>
      </c>
      <c r="DA17" s="21">
        <v>45703</v>
      </c>
      <c r="DB17" s="21">
        <v>45518</v>
      </c>
      <c r="DC17" s="21">
        <v>45703</v>
      </c>
      <c r="DD17" s="8">
        <v>1</v>
      </c>
      <c r="DE17" s="8">
        <v>0</v>
      </c>
      <c r="DF17" s="8">
        <v>0</v>
      </c>
      <c r="DG17" s="8">
        <v>9</v>
      </c>
      <c r="DH17" s="8">
        <v>0</v>
      </c>
      <c r="DI17" s="8">
        <v>0</v>
      </c>
      <c r="DJ17" s="8" t="s">
        <v>2976</v>
      </c>
      <c r="DK17" s="21">
        <v>44049</v>
      </c>
      <c r="DL17" s="21">
        <v>43769.229166666664</v>
      </c>
      <c r="DM17" s="21">
        <v>45938</v>
      </c>
      <c r="DN17" s="18">
        <v>4150</v>
      </c>
      <c r="DO17" s="21">
        <v>0</v>
      </c>
      <c r="DP17" s="21">
        <v>0</v>
      </c>
      <c r="DQ17" s="21" t="s">
        <v>2955</v>
      </c>
      <c r="DR17" s="21">
        <v>45339</v>
      </c>
      <c r="DS17" s="21">
        <v>45339</v>
      </c>
      <c r="DT17" s="21">
        <v>0</v>
      </c>
      <c r="DU17" s="21">
        <v>45339</v>
      </c>
      <c r="DV17" s="21">
        <v>45339</v>
      </c>
      <c r="DW17" s="21">
        <v>45339</v>
      </c>
      <c r="DX17" s="21">
        <v>45339</v>
      </c>
      <c r="DY17" s="21">
        <v>45339</v>
      </c>
      <c r="DZ17" s="21">
        <v>45339</v>
      </c>
      <c r="EA17" s="8">
        <v>350</v>
      </c>
      <c r="EB17" s="8">
        <v>350</v>
      </c>
      <c r="EC17" s="8">
        <v>350</v>
      </c>
      <c r="ED17" s="8">
        <v>350</v>
      </c>
      <c r="EE17" s="8">
        <v>350</v>
      </c>
      <c r="EF17" s="8">
        <v>850</v>
      </c>
      <c r="EG17" s="8">
        <v>1000</v>
      </c>
      <c r="EH17" s="8">
        <v>850</v>
      </c>
      <c r="EI17" s="8">
        <v>850</v>
      </c>
      <c r="EJ17" s="8">
        <v>4</v>
      </c>
      <c r="EK17" s="8" t="s">
        <v>2624</v>
      </c>
      <c r="EL17" s="8">
        <v>174</v>
      </c>
      <c r="EM17" s="8">
        <v>661.19999999999993</v>
      </c>
      <c r="EN17" s="8">
        <v>62</v>
      </c>
      <c r="EO17" s="8">
        <v>62</v>
      </c>
      <c r="EP17" s="8">
        <v>62</v>
      </c>
      <c r="EQ17" s="8">
        <v>62</v>
      </c>
      <c r="ER17" s="8">
        <v>62</v>
      </c>
      <c r="ES17" s="8">
        <v>562</v>
      </c>
      <c r="ET17" s="8">
        <v>712</v>
      </c>
      <c r="EU17" s="8">
        <v>562</v>
      </c>
      <c r="EV17" s="8">
        <v>562</v>
      </c>
    </row>
    <row r="18" spans="1:152" x14ac:dyDescent="0.15">
      <c r="A18" s="8">
        <f>ROW([2]!tbl_DPSAC[[#This Row],[Sl. No.]])-1</f>
        <v>17</v>
      </c>
      <c r="B18" s="9" t="s">
        <v>136</v>
      </c>
      <c r="C18" s="9" t="s">
        <v>221</v>
      </c>
      <c r="D18" s="9" t="s">
        <v>138</v>
      </c>
      <c r="E18" s="9" t="s">
        <v>139</v>
      </c>
      <c r="F18" s="9" t="s">
        <v>161</v>
      </c>
      <c r="G18" s="10" t="s">
        <v>222</v>
      </c>
      <c r="H18" s="10" t="str">
        <f>_xlfn.XLOOKUP(C18,'[1]E&amp;DPSAC'!$K:$K,'[1]E&amp;DPSAC'!$E:$E,,0)</f>
        <v>C/O - PREM PRAKASH AGARWAL, OPP - HILLVIEW FUEL STATION, GODHUR, P.O - KUSUNDA, DHANBAD</v>
      </c>
      <c r="I18" s="10" t="s">
        <v>223</v>
      </c>
      <c r="J18" s="10">
        <v>7903412157</v>
      </c>
      <c r="K18" s="10">
        <f>_xlfn.XLOOKUP(C18,'[1]E&amp;DPSAC'!$K:$K,'[1]E&amp;DPSAC'!$G:$G,"",0)</f>
        <v>7903412157</v>
      </c>
      <c r="L18" s="9" t="str">
        <f t="shared" ca="1" si="0"/>
        <v>Non - Warranty</v>
      </c>
      <c r="M18" s="11">
        <v>44093</v>
      </c>
      <c r="N18" s="12">
        <v>24</v>
      </c>
      <c r="O18" s="11">
        <f t="shared" si="1"/>
        <v>44834</v>
      </c>
      <c r="P18" s="8" t="s">
        <v>142</v>
      </c>
      <c r="Q18" s="16" t="s">
        <v>224</v>
      </c>
      <c r="R18" s="15">
        <v>45954.723611111112</v>
      </c>
      <c r="S18" s="14">
        <v>9985</v>
      </c>
      <c r="T18" s="15">
        <v>45934</v>
      </c>
      <c r="U18" s="14">
        <v>9467</v>
      </c>
      <c r="V18" s="14">
        <v>10500</v>
      </c>
      <c r="W18" s="17">
        <v>46041.517685185201</v>
      </c>
      <c r="X18" s="14" t="s">
        <v>2699</v>
      </c>
      <c r="Y18" s="14">
        <v>235</v>
      </c>
      <c r="Z18" s="14" t="s">
        <v>2692</v>
      </c>
      <c r="AA18" s="18">
        <v>158.2763888888876</v>
      </c>
      <c r="AB18" s="18" t="s">
        <v>2692</v>
      </c>
      <c r="AC18" s="8">
        <f>tbl_DPSAC[[#This Row],[Current Month Due Count]]</f>
        <v>4</v>
      </c>
      <c r="AD18" s="8">
        <f>tbl_DPSAC[[#This Row],[Next Month Due2]]</f>
        <v>0</v>
      </c>
      <c r="AE18" s="8">
        <f t="shared" si="2"/>
        <v>0</v>
      </c>
      <c r="AF18" s="8">
        <v>6</v>
      </c>
      <c r="AG18" s="14">
        <f t="shared" ca="1" si="3"/>
        <v>10929</v>
      </c>
      <c r="AH18" s="8">
        <v>0</v>
      </c>
      <c r="AI18" s="8">
        <v>0</v>
      </c>
      <c r="AJ18" s="8">
        <v>0</v>
      </c>
      <c r="AK18" s="8">
        <v>0</v>
      </c>
      <c r="AL18" s="8">
        <v>0</v>
      </c>
      <c r="AM18" s="8">
        <v>0</v>
      </c>
      <c r="AN18" s="8">
        <v>0</v>
      </c>
      <c r="AO18" s="8">
        <v>0</v>
      </c>
      <c r="AP18" s="8">
        <v>0</v>
      </c>
      <c r="AQ18" s="8">
        <v>0</v>
      </c>
      <c r="AR18" s="8">
        <v>0</v>
      </c>
      <c r="AS18" s="8">
        <v>0</v>
      </c>
      <c r="AT18" s="8">
        <v>0</v>
      </c>
      <c r="AU18" s="8">
        <v>0</v>
      </c>
      <c r="AV18" s="8">
        <v>0</v>
      </c>
      <c r="AW18" s="8">
        <v>0</v>
      </c>
      <c r="AX18" s="8" t="s">
        <v>2980</v>
      </c>
      <c r="AY18" s="14">
        <v>9985</v>
      </c>
      <c r="AZ18" s="19">
        <v>45954</v>
      </c>
      <c r="BA18" s="14" t="s">
        <v>224</v>
      </c>
      <c r="BB18" s="14">
        <v>9985</v>
      </c>
      <c r="BC18" s="19">
        <v>45954</v>
      </c>
      <c r="BD18" s="14" t="s">
        <v>224</v>
      </c>
      <c r="BE18" s="14">
        <v>9985</v>
      </c>
      <c r="BF18" s="19">
        <v>45954</v>
      </c>
      <c r="BG18" s="14" t="s">
        <v>224</v>
      </c>
      <c r="BH18" s="14">
        <v>9985</v>
      </c>
      <c r="BI18" s="19">
        <v>45954</v>
      </c>
      <c r="BJ18" s="14" t="s">
        <v>224</v>
      </c>
      <c r="BK18" s="14">
        <v>9985</v>
      </c>
      <c r="BL18" s="19">
        <v>45954</v>
      </c>
      <c r="BM18" s="14" t="s">
        <v>224</v>
      </c>
      <c r="BN18" s="27">
        <v>46134</v>
      </c>
      <c r="BO18" s="27">
        <v>46134</v>
      </c>
      <c r="BP18" s="27">
        <v>46134</v>
      </c>
      <c r="BQ18" s="27">
        <v>46134</v>
      </c>
      <c r="BR18" s="27">
        <v>46319</v>
      </c>
      <c r="BS18" s="28">
        <v>-194</v>
      </c>
      <c r="BT18" s="29">
        <v>556</v>
      </c>
      <c r="BU18" s="29">
        <v>-194</v>
      </c>
      <c r="BV18" s="29">
        <v>-194</v>
      </c>
      <c r="BW18" s="29">
        <v>556</v>
      </c>
      <c r="BX18" s="30" t="e">
        <v>#N/A</v>
      </c>
      <c r="BY18" s="8">
        <v>0</v>
      </c>
      <c r="BZ18" s="8">
        <v>4</v>
      </c>
      <c r="CA18" s="8">
        <v>0</v>
      </c>
      <c r="CB18" s="21">
        <v>45954.770833333299</v>
      </c>
      <c r="CC18" s="21">
        <v>45954.770833333299</v>
      </c>
      <c r="CD18" s="21">
        <v>45954.770833333299</v>
      </c>
      <c r="CE18" s="21">
        <v>45954.770833333299</v>
      </c>
      <c r="CF18" s="21">
        <v>45954.770833333299</v>
      </c>
      <c r="CG18" s="21">
        <v>45655.770833333299</v>
      </c>
      <c r="CH18" s="21">
        <v>45655.770833333299</v>
      </c>
      <c r="CI18" s="21">
        <v>45655.770833333299</v>
      </c>
      <c r="CJ18" s="21">
        <v>45655.770833333299</v>
      </c>
      <c r="CK18" s="22" t="s">
        <v>2971</v>
      </c>
      <c r="CL18" s="22" t="s">
        <v>2971</v>
      </c>
      <c r="CM18" s="22" t="s">
        <v>2971</v>
      </c>
      <c r="CN18" s="22" t="s">
        <v>2971</v>
      </c>
      <c r="CO18" s="22" t="s">
        <v>2971</v>
      </c>
      <c r="CP18" s="22" t="s">
        <v>2981</v>
      </c>
      <c r="CQ18" s="22" t="s">
        <v>2953</v>
      </c>
      <c r="CR18" s="22" t="s">
        <v>2981</v>
      </c>
      <c r="CS18" s="22" t="s">
        <v>2981</v>
      </c>
      <c r="CT18" s="22">
        <v>3</v>
      </c>
      <c r="CU18" s="21">
        <v>46117</v>
      </c>
      <c r="CV18" s="21">
        <v>46117</v>
      </c>
      <c r="CW18" s="21">
        <v>46117</v>
      </c>
      <c r="CX18" s="21">
        <v>46117</v>
      </c>
      <c r="CY18" s="21">
        <v>46117</v>
      </c>
      <c r="CZ18" s="21">
        <v>45925</v>
      </c>
      <c r="DA18" s="21">
        <v>46020</v>
      </c>
      <c r="DB18" s="21">
        <v>45835</v>
      </c>
      <c r="DC18" s="21">
        <v>46020</v>
      </c>
      <c r="DD18" s="8">
        <v>1</v>
      </c>
      <c r="DE18" s="8">
        <v>0</v>
      </c>
      <c r="DF18" s="8">
        <v>0</v>
      </c>
      <c r="DG18" s="8">
        <v>4</v>
      </c>
      <c r="DH18" s="8">
        <v>5</v>
      </c>
      <c r="DI18" s="8">
        <v>0</v>
      </c>
      <c r="DJ18" s="8" t="s">
        <v>2954</v>
      </c>
      <c r="DK18" s="21">
        <v>44093</v>
      </c>
      <c r="DL18" s="21">
        <v>44068.229166666664</v>
      </c>
      <c r="DM18" s="21">
        <v>46041</v>
      </c>
      <c r="DN18" s="18">
        <v>10500</v>
      </c>
      <c r="DO18" s="21">
        <v>0</v>
      </c>
      <c r="DP18" s="21">
        <v>0</v>
      </c>
      <c r="DQ18" s="21" t="s">
        <v>2955</v>
      </c>
      <c r="DR18" s="21">
        <v>45955</v>
      </c>
      <c r="DS18" s="21">
        <v>45955</v>
      </c>
      <c r="DT18" s="21">
        <v>45955</v>
      </c>
      <c r="DU18" s="21">
        <v>45955</v>
      </c>
      <c r="DV18" s="21">
        <v>45955</v>
      </c>
      <c r="DW18" s="21">
        <v>45656</v>
      </c>
      <c r="DX18" s="21">
        <v>45656</v>
      </c>
      <c r="DY18" s="21">
        <v>45656</v>
      </c>
      <c r="DZ18" s="21">
        <v>45656</v>
      </c>
      <c r="EA18" s="8">
        <v>230</v>
      </c>
      <c r="EB18" s="8">
        <v>230</v>
      </c>
      <c r="EC18" s="8">
        <v>230</v>
      </c>
      <c r="ED18" s="8">
        <v>230</v>
      </c>
      <c r="EE18" s="8">
        <v>230</v>
      </c>
      <c r="EF18" s="8">
        <v>980</v>
      </c>
      <c r="EG18" s="8">
        <v>1000</v>
      </c>
      <c r="EH18" s="8">
        <v>980</v>
      </c>
      <c r="EI18" s="8">
        <v>980</v>
      </c>
      <c r="EJ18" s="8">
        <v>3</v>
      </c>
      <c r="EK18" s="8" t="s">
        <v>2624</v>
      </c>
      <c r="EL18" s="8">
        <v>71</v>
      </c>
      <c r="EM18" s="8">
        <v>426</v>
      </c>
      <c r="EN18" s="8">
        <v>-58</v>
      </c>
      <c r="EO18" s="8">
        <v>-58</v>
      </c>
      <c r="EP18" s="8">
        <v>-58</v>
      </c>
      <c r="EQ18" s="8">
        <v>-58</v>
      </c>
      <c r="ER18" s="8">
        <v>-58</v>
      </c>
      <c r="ES18" s="8">
        <v>692</v>
      </c>
      <c r="ET18" s="8">
        <v>712</v>
      </c>
      <c r="EU18" s="8">
        <v>692</v>
      </c>
      <c r="EV18" s="8">
        <v>692</v>
      </c>
    </row>
    <row r="19" spans="1:152" x14ac:dyDescent="0.15">
      <c r="A19" s="8">
        <f>ROW([2]!tbl_DPSAC[[#This Row],[Sl. No.]])-1</f>
        <v>18</v>
      </c>
      <c r="B19" s="9" t="s">
        <v>136</v>
      </c>
      <c r="C19" s="9" t="s">
        <v>225</v>
      </c>
      <c r="D19" s="9" t="s">
        <v>138</v>
      </c>
      <c r="E19" s="9" t="s">
        <v>139</v>
      </c>
      <c r="F19" s="9" t="s">
        <v>161</v>
      </c>
      <c r="G19" s="10" t="s">
        <v>226</v>
      </c>
      <c r="H19" s="10" t="str">
        <f>_xlfn.XLOOKUP(C19,'[1]E&amp;DPSAC'!$K:$K,'[1]E&amp;DPSAC'!$E:$E,,0)</f>
        <v>PHOOLWARITAND</v>
      </c>
      <c r="I19" s="10"/>
      <c r="J19" s="10">
        <v>8210106692</v>
      </c>
      <c r="K19" s="10">
        <f>_xlfn.XLOOKUP(C19,'[1]E&amp;DPSAC'!$K:$K,'[1]E&amp;DPSAC'!$G:$G,"",0)</f>
        <v>9006138621</v>
      </c>
      <c r="L19" s="9" t="str">
        <f t="shared" ca="1" si="0"/>
        <v>Non - Warranty</v>
      </c>
      <c r="M19" s="11">
        <v>44111</v>
      </c>
      <c r="N19" s="12">
        <v>24</v>
      </c>
      <c r="O19" s="11">
        <f t="shared" si="1"/>
        <v>44865</v>
      </c>
      <c r="P19" s="8" t="s">
        <v>142</v>
      </c>
      <c r="Q19" s="16" t="s">
        <v>227</v>
      </c>
      <c r="R19" s="15">
        <v>45954.732638888891</v>
      </c>
      <c r="S19" s="14">
        <v>11340</v>
      </c>
      <c r="T19" s="15">
        <v>45623</v>
      </c>
      <c r="U19" s="14">
        <v>11579</v>
      </c>
      <c r="V19" s="14">
        <v>11600</v>
      </c>
      <c r="W19" s="17">
        <v>46041.520358796297</v>
      </c>
      <c r="X19" s="14" t="s">
        <v>2699</v>
      </c>
      <c r="Y19" s="14">
        <v>490</v>
      </c>
      <c r="Z19" s="14" t="s">
        <v>2692</v>
      </c>
      <c r="AA19" s="18">
        <v>158.26736111110949</v>
      </c>
      <c r="AB19" s="18" t="s">
        <v>2692</v>
      </c>
      <c r="AC19" s="8">
        <f>tbl_DPSAC[[#This Row],[Current Month Due Count]]</f>
        <v>4</v>
      </c>
      <c r="AD19" s="8">
        <f>tbl_DPSAC[[#This Row],[Next Month Due2]]</f>
        <v>0</v>
      </c>
      <c r="AE19" s="8">
        <f t="shared" si="2"/>
        <v>0</v>
      </c>
      <c r="AF19" s="8">
        <v>3</v>
      </c>
      <c r="AG19" s="14">
        <f t="shared" ca="1" si="3"/>
        <v>11814</v>
      </c>
      <c r="AH19" s="8">
        <v>0</v>
      </c>
      <c r="AI19" s="8">
        <v>0</v>
      </c>
      <c r="AJ19" s="8">
        <v>0</v>
      </c>
      <c r="AK19" s="8">
        <v>0</v>
      </c>
      <c r="AL19" s="8">
        <v>0</v>
      </c>
      <c r="AM19" s="8">
        <v>0</v>
      </c>
      <c r="AN19" s="8">
        <v>0</v>
      </c>
      <c r="AO19" s="8">
        <v>0</v>
      </c>
      <c r="AP19" s="8">
        <v>0</v>
      </c>
      <c r="AQ19" s="8">
        <v>0</v>
      </c>
      <c r="AR19" s="8">
        <v>0</v>
      </c>
      <c r="AS19" s="8">
        <v>0</v>
      </c>
      <c r="AT19" s="8">
        <v>0</v>
      </c>
      <c r="AU19" s="8">
        <v>0</v>
      </c>
      <c r="AV19" s="8">
        <v>0</v>
      </c>
      <c r="AW19" s="8">
        <v>0</v>
      </c>
      <c r="AX19" s="8" t="s">
        <v>2007</v>
      </c>
      <c r="AY19" s="14">
        <v>11340</v>
      </c>
      <c r="AZ19" s="19">
        <v>45954</v>
      </c>
      <c r="BA19" s="14" t="s">
        <v>227</v>
      </c>
      <c r="BB19" s="14">
        <v>11340</v>
      </c>
      <c r="BC19" s="19">
        <v>45954</v>
      </c>
      <c r="BD19" s="14" t="s">
        <v>227</v>
      </c>
      <c r="BE19" s="14">
        <v>11340</v>
      </c>
      <c r="BF19" s="19">
        <v>45954</v>
      </c>
      <c r="BG19" s="14" t="s">
        <v>227</v>
      </c>
      <c r="BH19" s="14">
        <v>11340</v>
      </c>
      <c r="BI19" s="19">
        <v>45954</v>
      </c>
      <c r="BJ19" s="14" t="s">
        <v>227</v>
      </c>
      <c r="BK19" s="14">
        <v>11340</v>
      </c>
      <c r="BL19" s="19">
        <v>45954</v>
      </c>
      <c r="BM19" s="14" t="s">
        <v>227</v>
      </c>
      <c r="BN19" s="27">
        <v>46134</v>
      </c>
      <c r="BO19" s="27">
        <v>46134</v>
      </c>
      <c r="BP19" s="27">
        <v>46134</v>
      </c>
      <c r="BQ19" s="27">
        <v>46134</v>
      </c>
      <c r="BR19" s="27">
        <v>46319</v>
      </c>
      <c r="BS19" s="28">
        <v>276</v>
      </c>
      <c r="BT19" s="29">
        <v>1026</v>
      </c>
      <c r="BU19" s="29">
        <v>276</v>
      </c>
      <c r="BV19" s="29">
        <v>276</v>
      </c>
      <c r="BW19" s="29">
        <v>1026</v>
      </c>
      <c r="BX19" s="30" t="s">
        <v>152</v>
      </c>
      <c r="BY19" s="8">
        <v>0</v>
      </c>
      <c r="BZ19" s="8">
        <v>4</v>
      </c>
      <c r="CA19" s="8">
        <v>0</v>
      </c>
      <c r="CB19" s="21">
        <v>45954.770833333299</v>
      </c>
      <c r="CC19" s="21">
        <v>45954.770833333299</v>
      </c>
      <c r="CD19" s="21">
        <v>45954.770833333299</v>
      </c>
      <c r="CE19" s="21">
        <v>45954.770833333299</v>
      </c>
      <c r="CF19" s="21">
        <v>45954.770833333299</v>
      </c>
      <c r="CG19" s="21">
        <v>45730.770833333299</v>
      </c>
      <c r="CH19" s="21">
        <v>45730.770833333299</v>
      </c>
      <c r="CI19" s="21">
        <v>45730.770833333299</v>
      </c>
      <c r="CJ19" s="21">
        <v>45730.770833333299</v>
      </c>
      <c r="CK19" s="22" t="s">
        <v>2965</v>
      </c>
      <c r="CL19" s="22" t="s">
        <v>2966</v>
      </c>
      <c r="CM19" s="22" t="s">
        <v>2966</v>
      </c>
      <c r="CN19" s="22" t="s">
        <v>2966</v>
      </c>
      <c r="CO19" s="22" t="s">
        <v>2966</v>
      </c>
      <c r="CP19" s="22" t="s">
        <v>2965</v>
      </c>
      <c r="CQ19" s="22" t="s">
        <v>2953</v>
      </c>
      <c r="CR19" s="22" t="s">
        <v>2965</v>
      </c>
      <c r="CS19" s="22" t="s">
        <v>2965</v>
      </c>
      <c r="CT19" s="22">
        <v>3</v>
      </c>
      <c r="CU19" s="21">
        <v>46134</v>
      </c>
      <c r="CV19" s="21">
        <v>46134</v>
      </c>
      <c r="CW19" s="21">
        <v>46134</v>
      </c>
      <c r="CX19" s="21">
        <v>46134</v>
      </c>
      <c r="CY19" s="21">
        <v>46134</v>
      </c>
      <c r="CZ19" s="21">
        <v>46000</v>
      </c>
      <c r="DA19" s="21">
        <v>46095</v>
      </c>
      <c r="DB19" s="21">
        <v>45910</v>
      </c>
      <c r="DC19" s="21">
        <v>46095</v>
      </c>
      <c r="DD19" s="8">
        <v>1</v>
      </c>
      <c r="DE19" s="8">
        <v>0</v>
      </c>
      <c r="DF19" s="8">
        <v>1</v>
      </c>
      <c r="DG19" s="8">
        <v>4</v>
      </c>
      <c r="DH19" s="8">
        <v>5</v>
      </c>
      <c r="DI19" s="8">
        <v>0</v>
      </c>
      <c r="DJ19" s="8" t="s">
        <v>2954</v>
      </c>
      <c r="DK19" s="21">
        <v>44109</v>
      </c>
      <c r="DL19" s="21">
        <v>44083.229166666664</v>
      </c>
      <c r="DM19" s="21">
        <v>46041</v>
      </c>
      <c r="DN19" s="18">
        <v>11600</v>
      </c>
      <c r="DO19" s="21">
        <v>0</v>
      </c>
      <c r="DP19" s="21">
        <v>0</v>
      </c>
      <c r="DQ19" s="21" t="s">
        <v>2955</v>
      </c>
      <c r="DR19" s="21">
        <v>45955</v>
      </c>
      <c r="DS19" s="21">
        <v>45955</v>
      </c>
      <c r="DT19" s="21">
        <v>45955</v>
      </c>
      <c r="DU19" s="21">
        <v>45955</v>
      </c>
      <c r="DV19" s="21">
        <v>45955</v>
      </c>
      <c r="DW19" s="21">
        <v>45731</v>
      </c>
      <c r="DX19" s="21">
        <v>45731</v>
      </c>
      <c r="DY19" s="21">
        <v>45731</v>
      </c>
      <c r="DZ19" s="21">
        <v>45731</v>
      </c>
      <c r="EA19" s="8">
        <v>1240</v>
      </c>
      <c r="EB19" s="8">
        <v>490</v>
      </c>
      <c r="EC19" s="8">
        <v>490</v>
      </c>
      <c r="ED19" s="8">
        <v>490</v>
      </c>
      <c r="EE19" s="8">
        <v>490</v>
      </c>
      <c r="EF19" s="8">
        <v>1240</v>
      </c>
      <c r="EG19" s="8">
        <v>1000</v>
      </c>
      <c r="EH19" s="8">
        <v>1240</v>
      </c>
      <c r="EI19" s="8">
        <v>1240</v>
      </c>
      <c r="EJ19" s="8">
        <v>3</v>
      </c>
      <c r="EK19" s="8" t="s">
        <v>2624</v>
      </c>
      <c r="EL19" s="8">
        <v>71</v>
      </c>
      <c r="EM19" s="8">
        <v>213</v>
      </c>
      <c r="EN19" s="8">
        <v>952</v>
      </c>
      <c r="EO19" s="8">
        <v>202</v>
      </c>
      <c r="EP19" s="8">
        <v>202</v>
      </c>
      <c r="EQ19" s="8">
        <v>202</v>
      </c>
      <c r="ER19" s="8">
        <v>202</v>
      </c>
      <c r="ES19" s="8">
        <v>952</v>
      </c>
      <c r="ET19" s="8">
        <v>712</v>
      </c>
      <c r="EU19" s="8">
        <v>952</v>
      </c>
      <c r="EV19" s="8">
        <v>952</v>
      </c>
    </row>
    <row r="20" spans="1:152" x14ac:dyDescent="0.15">
      <c r="A20" s="8">
        <f>ROW([2]!tbl_DPSAC[[#This Row],[Sl. No.]])-1</f>
        <v>19</v>
      </c>
      <c r="B20" s="9" t="s">
        <v>136</v>
      </c>
      <c r="C20" s="9" t="s">
        <v>228</v>
      </c>
      <c r="D20" s="9" t="s">
        <v>138</v>
      </c>
      <c r="E20" s="9" t="s">
        <v>139</v>
      </c>
      <c r="F20" s="9" t="s">
        <v>161</v>
      </c>
      <c r="G20" s="10" t="s">
        <v>226</v>
      </c>
      <c r="H20" s="10" t="str">
        <f>_xlfn.XLOOKUP(C20,'[1]E&amp;DPSAC'!$K:$K,'[1]E&amp;DPSAC'!$E:$E,,0)</f>
        <v>KAARO SUBHASH NAGAR, DHANBAD</v>
      </c>
      <c r="I20" s="10"/>
      <c r="J20" s="10">
        <v>7873039065</v>
      </c>
      <c r="K20" s="10">
        <f>_xlfn.XLOOKUP(C20,'[1]E&amp;DPSAC'!$K:$K,'[1]E&amp;DPSAC'!$G:$G,"",0)</f>
        <v>6202123200</v>
      </c>
      <c r="L20" s="9" t="str">
        <f t="shared" ca="1" si="0"/>
        <v>Non - Warranty</v>
      </c>
      <c r="M20" s="11">
        <v>44131</v>
      </c>
      <c r="N20" s="12">
        <v>24</v>
      </c>
      <c r="O20" s="11">
        <f t="shared" si="1"/>
        <v>44865</v>
      </c>
      <c r="P20" s="8" t="s">
        <v>142</v>
      </c>
      <c r="Q20" s="16" t="s">
        <v>229</v>
      </c>
      <c r="R20" s="15">
        <v>46043.519467592603</v>
      </c>
      <c r="S20" s="14">
        <v>9160</v>
      </c>
      <c r="T20" s="15">
        <v>45545</v>
      </c>
      <c r="U20" s="14">
        <v>7373</v>
      </c>
      <c r="V20" s="14">
        <v>9160</v>
      </c>
      <c r="W20" s="17">
        <v>46043.519467592603</v>
      </c>
      <c r="X20" s="14" t="s">
        <v>2698</v>
      </c>
      <c r="Y20" s="14">
        <v>750</v>
      </c>
      <c r="Z20" s="14" t="s">
        <v>2692</v>
      </c>
      <c r="AA20" s="18">
        <v>69.480532407396822</v>
      </c>
      <c r="AB20" s="18" t="s">
        <v>2692</v>
      </c>
      <c r="AC20" s="8">
        <f>tbl_DPSAC[[#This Row],[Current Month Due Count]]</f>
        <v>0</v>
      </c>
      <c r="AD20" s="8">
        <f>tbl_DPSAC[[#This Row],[Next Month Due2]]</f>
        <v>0</v>
      </c>
      <c r="AE20" s="8">
        <f t="shared" si="2"/>
        <v>0</v>
      </c>
      <c r="AF20" s="8">
        <v>3.5</v>
      </c>
      <c r="AG20" s="14">
        <f t="shared" ca="1" si="3"/>
        <v>9403</v>
      </c>
      <c r="AH20" s="8">
        <v>0</v>
      </c>
      <c r="AI20" s="8">
        <v>0</v>
      </c>
      <c r="AJ20" s="8">
        <v>0</v>
      </c>
      <c r="AK20" s="8">
        <v>0</v>
      </c>
      <c r="AL20" s="8">
        <v>0</v>
      </c>
      <c r="AM20" s="8">
        <v>0</v>
      </c>
      <c r="AN20" s="8">
        <v>0</v>
      </c>
      <c r="AO20" s="8">
        <v>0</v>
      </c>
      <c r="AP20" s="8">
        <v>0</v>
      </c>
      <c r="AQ20" s="8">
        <v>0</v>
      </c>
      <c r="AR20" s="8">
        <v>0</v>
      </c>
      <c r="AS20" s="8">
        <v>0</v>
      </c>
      <c r="AT20" s="8">
        <v>0</v>
      </c>
      <c r="AU20" s="8">
        <v>0</v>
      </c>
      <c r="AV20" s="8">
        <v>0</v>
      </c>
      <c r="AW20" s="8">
        <v>0</v>
      </c>
      <c r="AX20" s="8" t="s">
        <v>2007</v>
      </c>
      <c r="AY20" s="14">
        <v>9160</v>
      </c>
      <c r="AZ20" s="19">
        <v>46043</v>
      </c>
      <c r="BA20" s="14" t="s">
        <v>229</v>
      </c>
      <c r="BB20" s="14">
        <v>9160</v>
      </c>
      <c r="BC20" s="19">
        <v>46043</v>
      </c>
      <c r="BD20" s="14" t="s">
        <v>229</v>
      </c>
      <c r="BE20" s="14">
        <v>9160</v>
      </c>
      <c r="BF20" s="19">
        <v>46043</v>
      </c>
      <c r="BG20" s="14" t="s">
        <v>229</v>
      </c>
      <c r="BH20" s="14">
        <v>9160</v>
      </c>
      <c r="BI20" s="19">
        <v>46043</v>
      </c>
      <c r="BJ20" s="14" t="s">
        <v>229</v>
      </c>
      <c r="BK20" s="14">
        <v>9160</v>
      </c>
      <c r="BL20" s="19">
        <v>46043</v>
      </c>
      <c r="BM20" s="14" t="s">
        <v>229</v>
      </c>
      <c r="BN20" s="27">
        <v>46223</v>
      </c>
      <c r="BO20" s="27">
        <v>46223</v>
      </c>
      <c r="BP20" s="27">
        <v>46223</v>
      </c>
      <c r="BQ20" s="27">
        <v>46223</v>
      </c>
      <c r="BR20" s="27">
        <v>46408</v>
      </c>
      <c r="BS20" s="28">
        <v>507</v>
      </c>
      <c r="BT20" s="29">
        <v>1257</v>
      </c>
      <c r="BU20" s="29">
        <v>507</v>
      </c>
      <c r="BV20" s="29">
        <v>507</v>
      </c>
      <c r="BW20" s="29">
        <v>1257</v>
      </c>
      <c r="BX20" s="30" t="s">
        <v>152</v>
      </c>
      <c r="BY20" s="8">
        <v>0</v>
      </c>
      <c r="BZ20" s="8">
        <v>0</v>
      </c>
      <c r="CA20" s="8">
        <v>0</v>
      </c>
      <c r="CB20" s="21">
        <v>46042.770833333299</v>
      </c>
      <c r="CC20" s="21">
        <v>45371.770833333299</v>
      </c>
      <c r="CD20" s="21">
        <v>45371.770833333299</v>
      </c>
      <c r="CE20" s="21">
        <v>45371.770833333299</v>
      </c>
      <c r="CF20" s="21">
        <v>45371.770833333299</v>
      </c>
      <c r="CG20" s="21">
        <v>45112.770833333299</v>
      </c>
      <c r="CH20" s="21">
        <v>45112.770833333299</v>
      </c>
      <c r="CI20" s="21">
        <v>45112.770833333299</v>
      </c>
      <c r="CJ20" s="21">
        <v>45112.770833333299</v>
      </c>
      <c r="CK20" s="22" t="s">
        <v>2956</v>
      </c>
      <c r="CL20" s="22" t="s">
        <v>2982</v>
      </c>
      <c r="CM20" s="22" t="s">
        <v>2982</v>
      </c>
      <c r="CN20" s="22" t="s">
        <v>2982</v>
      </c>
      <c r="CO20" s="22" t="s">
        <v>2982</v>
      </c>
      <c r="CP20" s="22" t="s">
        <v>2982</v>
      </c>
      <c r="CQ20" s="22" t="s">
        <v>2953</v>
      </c>
      <c r="CR20" s="22" t="s">
        <v>2982</v>
      </c>
      <c r="CS20" s="22" t="s">
        <v>2982</v>
      </c>
      <c r="CT20" s="22">
        <v>4</v>
      </c>
      <c r="CU20" s="21">
        <v>46222</v>
      </c>
      <c r="CV20" s="21">
        <v>45551</v>
      </c>
      <c r="CW20" s="21">
        <v>45551</v>
      </c>
      <c r="CX20" s="21">
        <v>45551</v>
      </c>
      <c r="CY20" s="21">
        <v>45551</v>
      </c>
      <c r="CZ20" s="21">
        <v>45382</v>
      </c>
      <c r="DA20" s="21">
        <v>45477</v>
      </c>
      <c r="DB20" s="21">
        <v>45292</v>
      </c>
      <c r="DC20" s="21">
        <v>45477</v>
      </c>
      <c r="DD20" s="8">
        <v>1</v>
      </c>
      <c r="DE20" s="8">
        <v>0</v>
      </c>
      <c r="DF20" s="8">
        <v>0</v>
      </c>
      <c r="DG20" s="8">
        <v>8</v>
      </c>
      <c r="DH20" s="8">
        <v>0</v>
      </c>
      <c r="DI20" s="8">
        <v>0</v>
      </c>
      <c r="DJ20" s="8" t="s">
        <v>2954</v>
      </c>
      <c r="DK20" s="21">
        <v>44131</v>
      </c>
      <c r="DL20" s="21">
        <v>44083.229166666664</v>
      </c>
      <c r="DM20" s="21">
        <v>46043</v>
      </c>
      <c r="DN20" s="18">
        <v>9160</v>
      </c>
      <c r="DO20" s="21">
        <v>0</v>
      </c>
      <c r="DP20" s="21">
        <v>0</v>
      </c>
      <c r="DQ20" s="21" t="s">
        <v>2955</v>
      </c>
      <c r="DR20" s="21">
        <v>46043</v>
      </c>
      <c r="DS20" s="21">
        <v>45372</v>
      </c>
      <c r="DT20" s="21">
        <v>45372</v>
      </c>
      <c r="DU20" s="21">
        <v>45372</v>
      </c>
      <c r="DV20" s="21">
        <v>45372</v>
      </c>
      <c r="DW20" s="21">
        <v>45113</v>
      </c>
      <c r="DX20" s="21">
        <v>45113</v>
      </c>
      <c r="DY20" s="21">
        <v>45113</v>
      </c>
      <c r="DZ20" s="21">
        <v>45113</v>
      </c>
      <c r="EA20" s="8">
        <v>1500</v>
      </c>
      <c r="EB20" s="8">
        <v>60</v>
      </c>
      <c r="EC20" s="8">
        <v>60</v>
      </c>
      <c r="ED20" s="8">
        <v>60</v>
      </c>
      <c r="EE20" s="8">
        <v>60</v>
      </c>
      <c r="EF20" s="8">
        <v>60</v>
      </c>
      <c r="EG20" s="8">
        <v>1000</v>
      </c>
      <c r="EH20" s="8">
        <v>60</v>
      </c>
      <c r="EI20" s="8">
        <v>60</v>
      </c>
      <c r="EJ20" s="8">
        <v>4</v>
      </c>
      <c r="EK20" s="8" t="s">
        <v>2624</v>
      </c>
      <c r="EL20" s="8">
        <v>69</v>
      </c>
      <c r="EM20" s="8">
        <v>241.5</v>
      </c>
      <c r="EN20" s="8">
        <v>1212</v>
      </c>
      <c r="EO20" s="8">
        <v>-228</v>
      </c>
      <c r="EP20" s="8">
        <v>-228</v>
      </c>
      <c r="EQ20" s="8">
        <v>-228</v>
      </c>
      <c r="ER20" s="8">
        <v>-228</v>
      </c>
      <c r="ES20" s="8">
        <v>-228</v>
      </c>
      <c r="ET20" s="8">
        <v>712</v>
      </c>
      <c r="EU20" s="8">
        <v>-228</v>
      </c>
      <c r="EV20" s="8">
        <v>-228</v>
      </c>
    </row>
    <row r="21" spans="1:152" x14ac:dyDescent="0.15">
      <c r="A21" s="8">
        <f>ROW([2]!tbl_DPSAC[[#This Row],[Sl. No.]])-1</f>
        <v>20</v>
      </c>
      <c r="B21" s="9" t="s">
        <v>196</v>
      </c>
      <c r="C21" s="9" t="s">
        <v>230</v>
      </c>
      <c r="D21" s="9" t="s">
        <v>198</v>
      </c>
      <c r="E21" s="9" t="s">
        <v>199</v>
      </c>
      <c r="F21" s="9" t="s">
        <v>161</v>
      </c>
      <c r="G21" s="10" t="s">
        <v>218</v>
      </c>
      <c r="H21" s="10" t="str">
        <f>_xlfn.XLOOKUP(C21,'[1]E&amp;DPSAC'!$K:$K,'[1]E&amp;DPSAC'!$E:$E,,0)</f>
        <v>BIHAR</v>
      </c>
      <c r="I21" s="10" t="s">
        <v>219</v>
      </c>
      <c r="J21" s="10" t="s">
        <v>143</v>
      </c>
      <c r="K21" s="10">
        <f>_xlfn.XLOOKUP(C21,'[1]E&amp;DPSAC'!$K:$K,'[1]E&amp;DPSAC'!$G:$G,"",0)</f>
        <v>6206626694</v>
      </c>
      <c r="L21" s="9" t="str">
        <f t="shared" ca="1" si="0"/>
        <v>Non - Warranty</v>
      </c>
      <c r="M21" s="11">
        <v>44200.708333333299</v>
      </c>
      <c r="N21" s="12">
        <v>24</v>
      </c>
      <c r="O21" s="11">
        <f t="shared" si="1"/>
        <v>44957</v>
      </c>
      <c r="P21" s="8" t="s">
        <v>142</v>
      </c>
      <c r="Q21" s="16" t="s">
        <v>233</v>
      </c>
      <c r="R21" s="15">
        <v>45266.488344907397</v>
      </c>
      <c r="S21" s="14">
        <v>2245</v>
      </c>
      <c r="T21" s="15">
        <v>45266</v>
      </c>
      <c r="U21" s="14">
        <v>2245</v>
      </c>
      <c r="V21" s="14">
        <v>3070</v>
      </c>
      <c r="W21" s="17">
        <v>45938.529166666667</v>
      </c>
      <c r="X21" s="14" t="s">
        <v>2707</v>
      </c>
      <c r="Y21" s="14">
        <v>-75</v>
      </c>
      <c r="Z21" s="14" t="s">
        <v>2697</v>
      </c>
      <c r="AA21" s="18">
        <v>846.51165509260318</v>
      </c>
      <c r="AB21" s="18" t="s">
        <v>2697</v>
      </c>
      <c r="AC21" s="8">
        <f>tbl_DPSAC[[#This Row],[Current Month Due Count]]</f>
        <v>0</v>
      </c>
      <c r="AD21" s="8">
        <f>tbl_DPSAC[[#This Row],[Next Month Due2]]</f>
        <v>0</v>
      </c>
      <c r="AE21" s="8">
        <f t="shared" si="2"/>
        <v>1</v>
      </c>
      <c r="AF21" s="8">
        <v>0</v>
      </c>
      <c r="AG21" s="14">
        <f t="shared" ca="1" si="3"/>
        <v>3070</v>
      </c>
      <c r="AH21" s="8" t="s">
        <v>231</v>
      </c>
      <c r="AI21" s="8" t="s">
        <v>232</v>
      </c>
      <c r="AJ21" s="8" t="s">
        <v>231</v>
      </c>
      <c r="AK21" s="8" t="s">
        <v>231</v>
      </c>
      <c r="AL21" s="8">
        <v>0</v>
      </c>
      <c r="AM21" s="8">
        <v>0</v>
      </c>
      <c r="AN21" s="8">
        <v>0</v>
      </c>
      <c r="AO21" s="8">
        <v>0</v>
      </c>
      <c r="AP21" s="8">
        <v>0</v>
      </c>
      <c r="AQ21" s="8">
        <v>0</v>
      </c>
      <c r="AR21" s="8">
        <v>0</v>
      </c>
      <c r="AS21" s="8">
        <v>0</v>
      </c>
      <c r="AT21" s="8">
        <v>0</v>
      </c>
      <c r="AU21" s="8">
        <v>0</v>
      </c>
      <c r="AV21" s="8">
        <v>0</v>
      </c>
      <c r="AW21" s="8">
        <v>0</v>
      </c>
      <c r="AX21" s="8" t="s">
        <v>2980</v>
      </c>
      <c r="AY21" s="14">
        <v>2245</v>
      </c>
      <c r="AZ21" s="19">
        <v>45266</v>
      </c>
      <c r="BA21" s="14" t="s">
        <v>233</v>
      </c>
      <c r="BB21" s="14">
        <v>2245</v>
      </c>
      <c r="BC21" s="19">
        <v>45266</v>
      </c>
      <c r="BD21" s="14" t="s">
        <v>233</v>
      </c>
      <c r="BE21" s="14">
        <v>2245</v>
      </c>
      <c r="BF21" s="19">
        <v>45266</v>
      </c>
      <c r="BG21" s="14" t="s">
        <v>233</v>
      </c>
      <c r="BH21" s="14">
        <v>2245</v>
      </c>
      <c r="BI21" s="19">
        <v>45266</v>
      </c>
      <c r="BJ21" s="14" t="s">
        <v>233</v>
      </c>
      <c r="BK21" s="14">
        <v>2245</v>
      </c>
      <c r="BL21" s="19">
        <v>45266</v>
      </c>
      <c r="BM21" s="14" t="s">
        <v>233</v>
      </c>
      <c r="BN21" s="27">
        <v>45446</v>
      </c>
      <c r="BO21" s="27">
        <v>45446</v>
      </c>
      <c r="BP21" s="27">
        <v>45446</v>
      </c>
      <c r="BQ21" s="27">
        <v>45446</v>
      </c>
      <c r="BR21" s="27">
        <v>45631</v>
      </c>
      <c r="BS21" s="28">
        <v>-75</v>
      </c>
      <c r="BT21" s="29">
        <v>675</v>
      </c>
      <c r="BU21" s="29">
        <v>-75</v>
      </c>
      <c r="BV21" s="29">
        <v>-75</v>
      </c>
      <c r="BW21" s="29">
        <v>675</v>
      </c>
      <c r="BX21" s="30" t="s">
        <v>152</v>
      </c>
      <c r="BY21" s="8">
        <v>5</v>
      </c>
      <c r="BZ21" s="8">
        <v>0</v>
      </c>
      <c r="CA21" s="8">
        <v>0</v>
      </c>
      <c r="CB21" s="21">
        <v>45265.770833333299</v>
      </c>
      <c r="CC21" s="21">
        <v>45265.770833333299</v>
      </c>
      <c r="CD21" s="21">
        <v>45265.770833333299</v>
      </c>
      <c r="CE21" s="21">
        <v>45265.770833333299</v>
      </c>
      <c r="CF21" s="21">
        <v>45265.770833333299</v>
      </c>
      <c r="CG21" s="21">
        <v>45265.770833333299</v>
      </c>
      <c r="CH21" s="21">
        <v>45265.770833333299</v>
      </c>
      <c r="CI21" s="21">
        <v>45265.770833333299</v>
      </c>
      <c r="CJ21" s="21">
        <v>45265.770833333299</v>
      </c>
      <c r="CK21" s="22" t="s">
        <v>2983</v>
      </c>
      <c r="CL21" s="22" t="s">
        <v>2983</v>
      </c>
      <c r="CM21" s="22" t="s">
        <v>2983</v>
      </c>
      <c r="CN21" s="22" t="s">
        <v>2983</v>
      </c>
      <c r="CO21" s="22" t="s">
        <v>2983</v>
      </c>
      <c r="CP21" s="22" t="s">
        <v>2984</v>
      </c>
      <c r="CQ21" s="22" t="s">
        <v>2953</v>
      </c>
      <c r="CR21" s="22" t="s">
        <v>2984</v>
      </c>
      <c r="CS21" s="22" t="s">
        <v>2984</v>
      </c>
      <c r="CT21" s="22">
        <v>0</v>
      </c>
      <c r="CU21" s="21">
        <v>0</v>
      </c>
      <c r="CV21" s="21">
        <v>0</v>
      </c>
      <c r="CW21" s="21">
        <v>0</v>
      </c>
      <c r="CX21" s="21">
        <v>0</v>
      </c>
      <c r="CY21" s="21">
        <v>0</v>
      </c>
      <c r="CZ21" s="21">
        <v>0</v>
      </c>
      <c r="DA21" s="21">
        <v>0</v>
      </c>
      <c r="DB21" s="21">
        <v>0</v>
      </c>
      <c r="DC21" s="21">
        <v>0</v>
      </c>
      <c r="DD21" s="8">
        <v>0</v>
      </c>
      <c r="DE21" s="8">
        <v>0</v>
      </c>
      <c r="DF21" s="8">
        <v>0</v>
      </c>
      <c r="DG21" s="8">
        <v>9</v>
      </c>
      <c r="DH21" s="8">
        <v>0</v>
      </c>
      <c r="DI21" s="8">
        <v>0</v>
      </c>
      <c r="DJ21" s="8" t="s">
        <v>2954</v>
      </c>
      <c r="DK21" s="21">
        <v>44200</v>
      </c>
      <c r="DL21" s="21">
        <v>44146.229166666664</v>
      </c>
      <c r="DM21" s="21">
        <v>45938</v>
      </c>
      <c r="DN21" s="18">
        <v>3070</v>
      </c>
      <c r="DO21" s="21">
        <v>0</v>
      </c>
      <c r="DP21" s="21">
        <v>0</v>
      </c>
      <c r="DQ21" s="21" t="s">
        <v>2955</v>
      </c>
      <c r="DR21" s="21">
        <v>45266</v>
      </c>
      <c r="DS21" s="21">
        <v>45266</v>
      </c>
      <c r="DT21" s="21">
        <v>45266</v>
      </c>
      <c r="DU21" s="21">
        <v>45266</v>
      </c>
      <c r="DV21" s="21">
        <v>45266</v>
      </c>
      <c r="DW21" s="21">
        <v>45266</v>
      </c>
      <c r="DX21" s="21">
        <v>45266</v>
      </c>
      <c r="DY21" s="21">
        <v>45266</v>
      </c>
      <c r="DZ21" s="21">
        <v>45266</v>
      </c>
      <c r="EA21" s="8">
        <v>375</v>
      </c>
      <c r="EB21" s="8">
        <v>375</v>
      </c>
      <c r="EC21" s="8">
        <v>375</v>
      </c>
      <c r="ED21" s="8">
        <v>375</v>
      </c>
      <c r="EE21" s="8">
        <v>375</v>
      </c>
      <c r="EF21" s="8">
        <v>675</v>
      </c>
      <c r="EG21" s="8">
        <v>1000</v>
      </c>
      <c r="EH21" s="8">
        <v>675</v>
      </c>
      <c r="EI21" s="8">
        <v>675</v>
      </c>
      <c r="EJ21" s="8">
        <v>0</v>
      </c>
      <c r="EK21" s="8" t="s">
        <v>2624</v>
      </c>
      <c r="EL21" s="8">
        <v>174</v>
      </c>
      <c r="EM21" s="8">
        <v>0</v>
      </c>
      <c r="EN21" s="8">
        <v>87</v>
      </c>
      <c r="EO21" s="8">
        <v>87</v>
      </c>
      <c r="EP21" s="8">
        <v>87</v>
      </c>
      <c r="EQ21" s="8">
        <v>87</v>
      </c>
      <c r="ER21" s="8">
        <v>87</v>
      </c>
      <c r="ES21" s="8">
        <v>387</v>
      </c>
      <c r="ET21" s="8">
        <v>712</v>
      </c>
      <c r="EU21" s="8">
        <v>387</v>
      </c>
      <c r="EV21" s="8">
        <v>387</v>
      </c>
    </row>
    <row r="22" spans="1:152" x14ac:dyDescent="0.15">
      <c r="A22" s="8">
        <f>ROW([2]!tbl_DPSAC[[#This Row],[Sl. No.]])-1</f>
        <v>21</v>
      </c>
      <c r="B22" s="9" t="s">
        <v>136</v>
      </c>
      <c r="C22" s="9" t="s">
        <v>234</v>
      </c>
      <c r="D22" s="9" t="s">
        <v>175</v>
      </c>
      <c r="E22" s="9" t="s">
        <v>176</v>
      </c>
      <c r="F22" s="9" t="s">
        <v>161</v>
      </c>
      <c r="G22" s="10" t="s">
        <v>235</v>
      </c>
      <c r="H22" s="10" t="str">
        <f>_xlfn.XLOOKUP(C22,'[1]E&amp;DPSAC'!$K:$K,'[1]E&amp;DPSAC'!$E:$E,,0)</f>
        <v>CHATTARPUR, DALTAINGANJ</v>
      </c>
      <c r="I22" s="10"/>
      <c r="J22" s="10">
        <v>9835111213</v>
      </c>
      <c r="K22" s="10">
        <f>_xlfn.XLOOKUP(C22,'[1]E&amp;DPSAC'!$K:$K,'[1]E&amp;DPSAC'!$G:$G,"",0)</f>
        <v>9835111213</v>
      </c>
      <c r="L22" s="9" t="str">
        <f t="shared" ca="1" si="0"/>
        <v>Non - Warranty</v>
      </c>
      <c r="M22" s="11">
        <v>44202.8</v>
      </c>
      <c r="N22" s="12">
        <v>24</v>
      </c>
      <c r="O22" s="11">
        <f t="shared" si="1"/>
        <v>44957</v>
      </c>
      <c r="P22" s="8" t="s">
        <v>142</v>
      </c>
      <c r="Q22" s="16" t="s">
        <v>238</v>
      </c>
      <c r="R22" s="15">
        <v>45265.568391203698</v>
      </c>
      <c r="S22" s="14">
        <v>2400</v>
      </c>
      <c r="T22" s="15">
        <v>45265</v>
      </c>
      <c r="U22" s="14">
        <v>2400</v>
      </c>
      <c r="V22" s="14">
        <v>3560</v>
      </c>
      <c r="W22" s="17">
        <v>45962.484722222223</v>
      </c>
      <c r="X22" s="14" t="s">
        <v>2708</v>
      </c>
      <c r="Y22" s="14">
        <v>-410</v>
      </c>
      <c r="Z22" s="14" t="s">
        <v>2697</v>
      </c>
      <c r="AA22" s="18">
        <v>847.43160879630159</v>
      </c>
      <c r="AB22" s="18" t="s">
        <v>2697</v>
      </c>
      <c r="AC22" s="8">
        <f>tbl_DPSAC[[#This Row],[Current Month Due Count]]</f>
        <v>0</v>
      </c>
      <c r="AD22" s="8">
        <f>tbl_DPSAC[[#This Row],[Next Month Due2]]</f>
        <v>0</v>
      </c>
      <c r="AE22" s="8">
        <f t="shared" si="2"/>
        <v>1</v>
      </c>
      <c r="AF22" s="8">
        <v>1</v>
      </c>
      <c r="AG22" s="14">
        <f t="shared" ca="1" si="3"/>
        <v>3711</v>
      </c>
      <c r="AH22" s="8" t="s">
        <v>236</v>
      </c>
      <c r="AI22" s="8" t="s">
        <v>237</v>
      </c>
      <c r="AJ22" s="8">
        <v>0</v>
      </c>
      <c r="AK22" s="8">
        <v>0</v>
      </c>
      <c r="AL22" s="8">
        <v>0</v>
      </c>
      <c r="AM22" s="8">
        <v>0</v>
      </c>
      <c r="AN22" s="8">
        <v>0</v>
      </c>
      <c r="AO22" s="8">
        <v>0</v>
      </c>
      <c r="AP22" s="8">
        <v>0</v>
      </c>
      <c r="AQ22" s="8">
        <v>0</v>
      </c>
      <c r="AR22" s="8">
        <v>0</v>
      </c>
      <c r="AS22" s="8">
        <v>0</v>
      </c>
      <c r="AT22" s="8">
        <v>0</v>
      </c>
      <c r="AU22" s="8">
        <v>0</v>
      </c>
      <c r="AV22" s="8">
        <v>0</v>
      </c>
      <c r="AW22" s="8">
        <v>0</v>
      </c>
      <c r="AX22" s="8" t="s">
        <v>2961</v>
      </c>
      <c r="AY22" s="14">
        <v>2400</v>
      </c>
      <c r="AZ22" s="19">
        <v>45265</v>
      </c>
      <c r="BA22" s="14" t="s">
        <v>238</v>
      </c>
      <c r="BB22" s="14">
        <v>1680</v>
      </c>
      <c r="BC22" s="19">
        <v>45113</v>
      </c>
      <c r="BD22" s="14" t="s">
        <v>239</v>
      </c>
      <c r="BE22" s="14">
        <v>2400</v>
      </c>
      <c r="BF22" s="19">
        <v>45265</v>
      </c>
      <c r="BG22" s="14" t="s">
        <v>238</v>
      </c>
      <c r="BH22" s="14">
        <v>2400</v>
      </c>
      <c r="BI22" s="19">
        <v>45265</v>
      </c>
      <c r="BJ22" s="14" t="s">
        <v>238</v>
      </c>
      <c r="BK22" s="14">
        <v>1680</v>
      </c>
      <c r="BL22" s="19">
        <v>45113</v>
      </c>
      <c r="BM22" s="14" t="s">
        <v>239</v>
      </c>
      <c r="BN22" s="27">
        <v>45445</v>
      </c>
      <c r="BO22" s="27">
        <v>45293</v>
      </c>
      <c r="BP22" s="27">
        <v>45445</v>
      </c>
      <c r="BQ22" s="27">
        <v>45445</v>
      </c>
      <c r="BR22" s="27">
        <v>45478</v>
      </c>
      <c r="BS22" s="28">
        <v>-561</v>
      </c>
      <c r="BT22" s="29">
        <v>-531</v>
      </c>
      <c r="BU22" s="29">
        <v>-561</v>
      </c>
      <c r="BV22" s="29">
        <v>-561</v>
      </c>
      <c r="BW22" s="29">
        <v>-531</v>
      </c>
      <c r="BX22" s="30" t="s">
        <v>173</v>
      </c>
      <c r="BY22" s="8">
        <v>5</v>
      </c>
      <c r="BZ22" s="8">
        <v>0</v>
      </c>
      <c r="CA22" s="8">
        <v>0</v>
      </c>
      <c r="CB22" s="21">
        <v>45264.770833333299</v>
      </c>
      <c r="CC22" s="21">
        <v>45264.770833333299</v>
      </c>
      <c r="CD22" s="21">
        <v>45264.770833333299</v>
      </c>
      <c r="CE22" s="21">
        <v>45264.770833333299</v>
      </c>
      <c r="CF22" s="21">
        <v>45264.770833333299</v>
      </c>
      <c r="CG22" s="21">
        <v>45112.770833333299</v>
      </c>
      <c r="CH22" s="21">
        <v>45112.770833333299</v>
      </c>
      <c r="CI22" s="21">
        <v>45112.770833333299</v>
      </c>
      <c r="CJ22" s="21">
        <v>45112.770833333299</v>
      </c>
      <c r="CK22" s="22" t="s">
        <v>2985</v>
      </c>
      <c r="CL22" s="22" t="s">
        <v>2985</v>
      </c>
      <c r="CM22" s="22" t="s">
        <v>2985</v>
      </c>
      <c r="CN22" s="22" t="s">
        <v>2985</v>
      </c>
      <c r="CO22" s="22" t="s">
        <v>2985</v>
      </c>
      <c r="CP22" s="22" t="s">
        <v>2985</v>
      </c>
      <c r="CQ22" s="22" t="s">
        <v>2953</v>
      </c>
      <c r="CR22" s="22" t="s">
        <v>2985</v>
      </c>
      <c r="CS22" s="22" t="s">
        <v>2985</v>
      </c>
      <c r="CT22" s="22">
        <v>1</v>
      </c>
      <c r="CU22" s="21">
        <v>45444</v>
      </c>
      <c r="CV22" s="21">
        <v>45444</v>
      </c>
      <c r="CW22" s="21">
        <v>45444</v>
      </c>
      <c r="CX22" s="21">
        <v>45444</v>
      </c>
      <c r="CY22" s="21">
        <v>45444</v>
      </c>
      <c r="CZ22" s="21">
        <v>45382</v>
      </c>
      <c r="DA22" s="21">
        <v>45477</v>
      </c>
      <c r="DB22" s="21">
        <v>45292</v>
      </c>
      <c r="DC22" s="21">
        <v>45477</v>
      </c>
      <c r="DD22" s="8">
        <v>1</v>
      </c>
      <c r="DE22" s="8">
        <v>0</v>
      </c>
      <c r="DF22" s="8">
        <v>0</v>
      </c>
      <c r="DG22" s="8">
        <v>9</v>
      </c>
      <c r="DH22" s="8">
        <v>0</v>
      </c>
      <c r="DI22" s="8">
        <v>0</v>
      </c>
      <c r="DJ22" s="8" t="s">
        <v>2954</v>
      </c>
      <c r="DK22" s="21">
        <v>44202</v>
      </c>
      <c r="DL22" s="21">
        <v>44186.229166666664</v>
      </c>
      <c r="DM22" s="21">
        <v>45962</v>
      </c>
      <c r="DN22" s="18">
        <v>3560</v>
      </c>
      <c r="DO22" s="21">
        <v>0</v>
      </c>
      <c r="DP22" s="21">
        <v>0</v>
      </c>
      <c r="DQ22" s="21" t="s">
        <v>2955</v>
      </c>
      <c r="DR22" s="21">
        <v>45265</v>
      </c>
      <c r="DS22" s="21">
        <v>45265</v>
      </c>
      <c r="DT22" s="21">
        <v>45265</v>
      </c>
      <c r="DU22" s="21">
        <v>45265</v>
      </c>
      <c r="DV22" s="21">
        <v>45265</v>
      </c>
      <c r="DW22" s="21">
        <v>45113</v>
      </c>
      <c r="DX22" s="21">
        <v>45113</v>
      </c>
      <c r="DY22" s="21">
        <v>45113</v>
      </c>
      <c r="DZ22" s="21">
        <v>45113</v>
      </c>
      <c r="EA22" s="8">
        <v>410</v>
      </c>
      <c r="EB22" s="8">
        <v>410</v>
      </c>
      <c r="EC22" s="8">
        <v>410</v>
      </c>
      <c r="ED22" s="8">
        <v>410</v>
      </c>
      <c r="EE22" s="8">
        <v>410</v>
      </c>
      <c r="EF22" s="8">
        <v>410</v>
      </c>
      <c r="EG22" s="8">
        <v>1000</v>
      </c>
      <c r="EH22" s="8">
        <v>410</v>
      </c>
      <c r="EI22" s="8">
        <v>410</v>
      </c>
      <c r="EJ22" s="8">
        <v>1</v>
      </c>
      <c r="EK22" s="8" t="s">
        <v>2624</v>
      </c>
      <c r="EL22" s="8">
        <v>151</v>
      </c>
      <c r="EM22" s="8">
        <v>151</v>
      </c>
      <c r="EN22" s="8">
        <v>122</v>
      </c>
      <c r="EO22" s="8">
        <v>122</v>
      </c>
      <c r="EP22" s="8">
        <v>122</v>
      </c>
      <c r="EQ22" s="8">
        <v>122</v>
      </c>
      <c r="ER22" s="8">
        <v>122</v>
      </c>
      <c r="ES22" s="8">
        <v>122</v>
      </c>
      <c r="ET22" s="8">
        <v>712</v>
      </c>
      <c r="EU22" s="8">
        <v>122</v>
      </c>
      <c r="EV22" s="8">
        <v>122</v>
      </c>
    </row>
    <row r="23" spans="1:152" x14ac:dyDescent="0.15">
      <c r="A23" s="8">
        <f>ROW([2]!tbl_DPSAC[[#This Row],[Sl. No.]])-1</f>
        <v>22</v>
      </c>
      <c r="B23" s="9" t="s">
        <v>136</v>
      </c>
      <c r="C23" s="9" t="s">
        <v>240</v>
      </c>
      <c r="D23" s="9" t="s">
        <v>138</v>
      </c>
      <c r="E23" s="9" t="s">
        <v>139</v>
      </c>
      <c r="F23" s="9" t="s">
        <v>161</v>
      </c>
      <c r="G23" s="10" t="s">
        <v>241</v>
      </c>
      <c r="H23" s="10" t="str">
        <f>_xlfn.XLOOKUP(C23,'[1]E&amp;DPSAC'!$K:$K,'[1]E&amp;DPSAC'!$E:$E,,0)</f>
        <v>Chiturdih, Dhanbad.</v>
      </c>
      <c r="I23" s="10"/>
      <c r="J23" s="10">
        <v>9931519401</v>
      </c>
      <c r="K23" s="10">
        <f>_xlfn.XLOOKUP(C23,'[1]E&amp;DPSAC'!$K:$K,'[1]E&amp;DPSAC'!$G:$G,"",0)</f>
        <v>9931519401</v>
      </c>
      <c r="L23" s="9" t="str">
        <f t="shared" ca="1" si="0"/>
        <v>Non - Warranty</v>
      </c>
      <c r="M23" s="11">
        <v>44076.461805555598</v>
      </c>
      <c r="N23" s="12">
        <v>24</v>
      </c>
      <c r="O23" s="11">
        <f t="shared" si="1"/>
        <v>44834</v>
      </c>
      <c r="P23" s="8" t="s">
        <v>142</v>
      </c>
      <c r="Q23" s="16" t="s">
        <v>242</v>
      </c>
      <c r="R23" s="15">
        <v>46043.520752314798</v>
      </c>
      <c r="S23" s="14">
        <v>9720</v>
      </c>
      <c r="T23" s="15">
        <v>45289</v>
      </c>
      <c r="U23" s="14">
        <v>7160</v>
      </c>
      <c r="V23" s="14">
        <v>9720</v>
      </c>
      <c r="W23" s="17">
        <v>46043.520752314798</v>
      </c>
      <c r="X23" s="14" t="s">
        <v>2709</v>
      </c>
      <c r="Y23" s="14">
        <v>750</v>
      </c>
      <c r="Z23" s="14" t="s">
        <v>2692</v>
      </c>
      <c r="AA23" s="18">
        <v>69.479247685201699</v>
      </c>
      <c r="AB23" s="18" t="s">
        <v>2692</v>
      </c>
      <c r="AC23" s="8">
        <f>tbl_DPSAC[[#This Row],[Current Month Due Count]]</f>
        <v>0</v>
      </c>
      <c r="AD23" s="8">
        <f>tbl_DPSAC[[#This Row],[Next Month Due2]]</f>
        <v>0</v>
      </c>
      <c r="AE23" s="8">
        <f t="shared" si="2"/>
        <v>0</v>
      </c>
      <c r="AF23" s="8">
        <v>4</v>
      </c>
      <c r="AG23" s="14">
        <f t="shared" ca="1" si="3"/>
        <v>9998</v>
      </c>
      <c r="AH23" s="8">
        <v>0</v>
      </c>
      <c r="AI23" s="8">
        <v>0</v>
      </c>
      <c r="AJ23" s="8">
        <v>0</v>
      </c>
      <c r="AK23" s="8">
        <v>0</v>
      </c>
      <c r="AL23" s="8">
        <v>0</v>
      </c>
      <c r="AM23" s="8">
        <v>0</v>
      </c>
      <c r="AN23" s="8">
        <v>0</v>
      </c>
      <c r="AO23" s="8">
        <v>0</v>
      </c>
      <c r="AP23" s="8">
        <v>0</v>
      </c>
      <c r="AQ23" s="8">
        <v>0</v>
      </c>
      <c r="AR23" s="8">
        <v>0</v>
      </c>
      <c r="AS23" s="8">
        <v>0</v>
      </c>
      <c r="AT23" s="8">
        <v>0</v>
      </c>
      <c r="AU23" s="8">
        <v>0</v>
      </c>
      <c r="AV23" s="8">
        <v>0</v>
      </c>
      <c r="AW23" s="8">
        <v>0</v>
      </c>
      <c r="AX23" s="8" t="s">
        <v>2007</v>
      </c>
      <c r="AY23" s="14">
        <v>9720</v>
      </c>
      <c r="AZ23" s="19">
        <v>46043</v>
      </c>
      <c r="BA23" s="14" t="s">
        <v>242</v>
      </c>
      <c r="BB23" s="14">
        <v>9720</v>
      </c>
      <c r="BC23" s="19">
        <v>46043</v>
      </c>
      <c r="BD23" s="14" t="s">
        <v>242</v>
      </c>
      <c r="BE23" s="14">
        <v>9720</v>
      </c>
      <c r="BF23" s="19">
        <v>46043</v>
      </c>
      <c r="BG23" s="14" t="s">
        <v>242</v>
      </c>
      <c r="BH23" s="14">
        <v>9720</v>
      </c>
      <c r="BI23" s="19">
        <v>46043</v>
      </c>
      <c r="BJ23" s="14" t="s">
        <v>242</v>
      </c>
      <c r="BK23" s="14">
        <v>9720</v>
      </c>
      <c r="BL23" s="19">
        <v>46043</v>
      </c>
      <c r="BM23" s="14" t="s">
        <v>242</v>
      </c>
      <c r="BN23" s="27">
        <v>46223</v>
      </c>
      <c r="BO23" s="27">
        <v>46223</v>
      </c>
      <c r="BP23" s="27">
        <v>46223</v>
      </c>
      <c r="BQ23" s="27">
        <v>46223</v>
      </c>
      <c r="BR23" s="27">
        <v>46408</v>
      </c>
      <c r="BS23" s="28">
        <v>472</v>
      </c>
      <c r="BT23" s="29">
        <v>1222</v>
      </c>
      <c r="BU23" s="29">
        <v>472</v>
      </c>
      <c r="BV23" s="29">
        <v>472</v>
      </c>
      <c r="BW23" s="29">
        <v>1222</v>
      </c>
      <c r="BX23" s="30" t="e">
        <v>#N/A</v>
      </c>
      <c r="BY23" s="8">
        <v>0</v>
      </c>
      <c r="BZ23" s="8">
        <v>0</v>
      </c>
      <c r="CA23" s="8">
        <v>0</v>
      </c>
      <c r="CB23" s="21">
        <v>46042.770833333299</v>
      </c>
      <c r="CC23" s="21">
        <v>46042.770833333299</v>
      </c>
      <c r="CD23" s="21">
        <v>46042.770833333299</v>
      </c>
      <c r="CE23" s="21">
        <v>46042.770833333299</v>
      </c>
      <c r="CF23" s="21">
        <v>46042.770833333299</v>
      </c>
      <c r="CG23" s="21">
        <v>46042.770833333299</v>
      </c>
      <c r="CH23" s="21">
        <v>46042.770833333299</v>
      </c>
      <c r="CI23" s="21">
        <v>46042.770833333299</v>
      </c>
      <c r="CJ23" s="21">
        <v>46042.770833333299</v>
      </c>
      <c r="CK23" s="22" t="s">
        <v>2956</v>
      </c>
      <c r="CL23" s="22" t="s">
        <v>2957</v>
      </c>
      <c r="CM23" s="22" t="s">
        <v>2959</v>
      </c>
      <c r="CN23" s="22" t="s">
        <v>2957</v>
      </c>
      <c r="CO23" s="22" t="s">
        <v>2957</v>
      </c>
      <c r="CP23" s="22" t="s">
        <v>2956</v>
      </c>
      <c r="CQ23" s="22" t="s">
        <v>2953</v>
      </c>
      <c r="CR23" s="22" t="s">
        <v>2956</v>
      </c>
      <c r="CS23" s="22" t="s">
        <v>2960</v>
      </c>
      <c r="CT23" s="22">
        <v>5</v>
      </c>
      <c r="CU23" s="21">
        <v>46222</v>
      </c>
      <c r="CV23" s="21">
        <v>46193</v>
      </c>
      <c r="CW23" s="21">
        <v>46143</v>
      </c>
      <c r="CX23" s="21">
        <v>46193</v>
      </c>
      <c r="CY23" s="21">
        <v>46193</v>
      </c>
      <c r="CZ23" s="21">
        <v>46312</v>
      </c>
      <c r="DA23" s="21">
        <v>46243</v>
      </c>
      <c r="DB23" s="21">
        <v>46222</v>
      </c>
      <c r="DC23" s="21">
        <v>46407</v>
      </c>
      <c r="DD23" s="8">
        <v>0</v>
      </c>
      <c r="DE23" s="8">
        <v>0</v>
      </c>
      <c r="DF23" s="8">
        <v>0</v>
      </c>
      <c r="DG23" s="8">
        <v>0</v>
      </c>
      <c r="DH23" s="8">
        <v>0</v>
      </c>
      <c r="DI23" s="8">
        <v>1</v>
      </c>
      <c r="DJ23" s="8" t="s">
        <v>2954</v>
      </c>
      <c r="DK23" s="21">
        <v>44076</v>
      </c>
      <c r="DL23" s="21">
        <v>44036.229166666664</v>
      </c>
      <c r="DM23" s="21">
        <v>46043</v>
      </c>
      <c r="DN23" s="18">
        <v>9720</v>
      </c>
      <c r="DO23" s="21">
        <v>0</v>
      </c>
      <c r="DP23" s="21">
        <v>0</v>
      </c>
      <c r="DQ23" s="21" t="s">
        <v>2955</v>
      </c>
      <c r="DR23" s="21">
        <v>46043</v>
      </c>
      <c r="DS23" s="21">
        <v>46043</v>
      </c>
      <c r="DT23" s="21">
        <v>46043</v>
      </c>
      <c r="DU23" s="21">
        <v>46043</v>
      </c>
      <c r="DV23" s="21">
        <v>46043</v>
      </c>
      <c r="DW23" s="21">
        <v>46043</v>
      </c>
      <c r="DX23" s="21">
        <v>46043</v>
      </c>
      <c r="DY23" s="21">
        <v>46043</v>
      </c>
      <c r="DZ23" s="21">
        <v>46043</v>
      </c>
      <c r="EA23" s="8">
        <v>1500</v>
      </c>
      <c r="EB23" s="8">
        <v>750</v>
      </c>
      <c r="EC23" s="8">
        <v>500</v>
      </c>
      <c r="ED23" s="8">
        <v>750</v>
      </c>
      <c r="EE23" s="8">
        <v>750</v>
      </c>
      <c r="EF23" s="8">
        <v>1500</v>
      </c>
      <c r="EG23" s="8">
        <v>1000</v>
      </c>
      <c r="EH23" s="8">
        <v>1500</v>
      </c>
      <c r="EI23" s="8">
        <v>3000</v>
      </c>
      <c r="EJ23" s="8">
        <v>5</v>
      </c>
      <c r="EK23" s="8" t="s">
        <v>2624</v>
      </c>
      <c r="EL23" s="8">
        <v>69</v>
      </c>
      <c r="EM23" s="8">
        <v>276</v>
      </c>
      <c r="EN23" s="8">
        <v>1212</v>
      </c>
      <c r="EO23" s="8">
        <v>462</v>
      </c>
      <c r="EP23" s="8">
        <v>212</v>
      </c>
      <c r="EQ23" s="8">
        <v>462</v>
      </c>
      <c r="ER23" s="8">
        <v>462</v>
      </c>
      <c r="ES23" s="8">
        <v>1212</v>
      </c>
      <c r="ET23" s="8">
        <v>712</v>
      </c>
      <c r="EU23" s="8">
        <v>1212</v>
      </c>
      <c r="EV23" s="8">
        <v>2712</v>
      </c>
    </row>
    <row r="24" spans="1:152" x14ac:dyDescent="0.15">
      <c r="A24" s="8">
        <f>ROW([2]!tbl_DPSAC[[#This Row],[Sl. No.]])-1</f>
        <v>23</v>
      </c>
      <c r="B24" s="9" t="s">
        <v>136</v>
      </c>
      <c r="C24" s="9" t="s">
        <v>243</v>
      </c>
      <c r="D24" s="9" t="s">
        <v>138</v>
      </c>
      <c r="E24" s="9" t="s">
        <v>139</v>
      </c>
      <c r="F24" s="9" t="s">
        <v>161</v>
      </c>
      <c r="G24" s="10" t="s">
        <v>184</v>
      </c>
      <c r="H24" s="10" t="str">
        <f>_xlfn.XLOOKUP(C24,'[1]E&amp;DPSAC'!$K:$K,'[1]E&amp;DPSAC'!$E:$E,,0)</f>
        <v>BASTCOLA</v>
      </c>
      <c r="I24" s="10"/>
      <c r="J24" s="10">
        <v>7489823544</v>
      </c>
      <c r="K24" s="10">
        <f>_xlfn.XLOOKUP(C24,'[1]E&amp;DPSAC'!$K:$K,'[1]E&amp;DPSAC'!$G:$G,"",0)</f>
        <v>8521311810</v>
      </c>
      <c r="L24" s="9" t="str">
        <f t="shared" ca="1" si="0"/>
        <v>Non - Warranty</v>
      </c>
      <c r="M24" s="11">
        <v>44076.534722222197</v>
      </c>
      <c r="N24" s="12">
        <v>24</v>
      </c>
      <c r="O24" s="11">
        <f t="shared" si="1"/>
        <v>44834</v>
      </c>
      <c r="P24" s="8" t="s">
        <v>142</v>
      </c>
      <c r="Q24" s="16" t="s">
        <v>244</v>
      </c>
      <c r="R24" s="15">
        <v>45954.538888888892</v>
      </c>
      <c r="S24" s="14">
        <v>9505</v>
      </c>
      <c r="T24" s="15">
        <v>45868</v>
      </c>
      <c r="U24" s="14">
        <v>8730</v>
      </c>
      <c r="V24" s="14">
        <v>9680</v>
      </c>
      <c r="W24" s="17">
        <v>46041.529108796298</v>
      </c>
      <c r="X24" s="14" t="s">
        <v>2700</v>
      </c>
      <c r="Y24" s="14">
        <v>575</v>
      </c>
      <c r="Z24" s="14" t="s">
        <v>2692</v>
      </c>
      <c r="AA24" s="18">
        <v>158.46111111110804</v>
      </c>
      <c r="AB24" s="18" t="s">
        <v>2692</v>
      </c>
      <c r="AC24" s="8">
        <f>tbl_DPSAC[[#This Row],[Current Month Due Count]]</f>
        <v>4</v>
      </c>
      <c r="AD24" s="8">
        <f>tbl_DPSAC[[#This Row],[Next Month Due2]]</f>
        <v>0</v>
      </c>
      <c r="AE24" s="8">
        <f t="shared" si="2"/>
        <v>0</v>
      </c>
      <c r="AF24" s="8">
        <v>2</v>
      </c>
      <c r="AG24" s="14">
        <f t="shared" ca="1" si="3"/>
        <v>9823</v>
      </c>
      <c r="AH24" s="8">
        <v>0</v>
      </c>
      <c r="AI24" s="8">
        <v>0</v>
      </c>
      <c r="AJ24" s="8">
        <v>0</v>
      </c>
      <c r="AK24" s="8">
        <v>0</v>
      </c>
      <c r="AL24" s="8">
        <v>0</v>
      </c>
      <c r="AM24" s="8">
        <v>0</v>
      </c>
      <c r="AN24" s="8">
        <v>0</v>
      </c>
      <c r="AO24" s="8">
        <v>0</v>
      </c>
      <c r="AP24" s="8">
        <v>0</v>
      </c>
      <c r="AQ24" s="8">
        <v>0</v>
      </c>
      <c r="AR24" s="8">
        <v>0</v>
      </c>
      <c r="AS24" s="8">
        <v>0</v>
      </c>
      <c r="AT24" s="8">
        <v>0</v>
      </c>
      <c r="AU24" s="8">
        <v>0</v>
      </c>
      <c r="AV24" s="8">
        <v>0</v>
      </c>
      <c r="AW24" s="8">
        <v>0</v>
      </c>
      <c r="AX24" s="8" t="s">
        <v>2007</v>
      </c>
      <c r="AY24" s="14">
        <v>9505</v>
      </c>
      <c r="AZ24" s="19">
        <v>45954</v>
      </c>
      <c r="BA24" s="14" t="s">
        <v>244</v>
      </c>
      <c r="BB24" s="14">
        <v>9505</v>
      </c>
      <c r="BC24" s="19">
        <v>45954</v>
      </c>
      <c r="BD24" s="14" t="s">
        <v>244</v>
      </c>
      <c r="BE24" s="14">
        <v>9505</v>
      </c>
      <c r="BF24" s="19">
        <v>45954</v>
      </c>
      <c r="BG24" s="14" t="s">
        <v>244</v>
      </c>
      <c r="BH24" s="14">
        <v>9505</v>
      </c>
      <c r="BI24" s="19">
        <v>45954</v>
      </c>
      <c r="BJ24" s="14" t="s">
        <v>244</v>
      </c>
      <c r="BK24" s="14">
        <v>9505</v>
      </c>
      <c r="BL24" s="19">
        <v>45954</v>
      </c>
      <c r="BM24" s="14" t="s">
        <v>244</v>
      </c>
      <c r="BN24" s="27">
        <v>46134</v>
      </c>
      <c r="BO24" s="27">
        <v>46134</v>
      </c>
      <c r="BP24" s="27">
        <v>46134</v>
      </c>
      <c r="BQ24" s="27">
        <v>46134</v>
      </c>
      <c r="BR24" s="27">
        <v>46319</v>
      </c>
      <c r="BS24" s="28">
        <v>432</v>
      </c>
      <c r="BT24" s="29">
        <v>1182</v>
      </c>
      <c r="BU24" s="29">
        <v>432</v>
      </c>
      <c r="BV24" s="29">
        <v>432</v>
      </c>
      <c r="BW24" s="29">
        <v>1182</v>
      </c>
      <c r="BX24" s="30" t="s">
        <v>152</v>
      </c>
      <c r="BY24" s="8">
        <v>0</v>
      </c>
      <c r="BZ24" s="8">
        <v>4</v>
      </c>
      <c r="CA24" s="8">
        <v>0</v>
      </c>
      <c r="CB24" s="21">
        <v>45953.770833333299</v>
      </c>
      <c r="CC24" s="21">
        <v>45953.770833333299</v>
      </c>
      <c r="CD24" s="21">
        <v>45953.770833333299</v>
      </c>
      <c r="CE24" s="21">
        <v>45953.770833333299</v>
      </c>
      <c r="CF24" s="21">
        <v>45953.770833333299</v>
      </c>
      <c r="CG24" s="21">
        <v>45953.770833333299</v>
      </c>
      <c r="CH24" s="21">
        <v>45953.770833333299</v>
      </c>
      <c r="CI24" s="21">
        <v>45953.770833333299</v>
      </c>
      <c r="CJ24" s="21">
        <v>45953.770833333299</v>
      </c>
      <c r="CK24" s="22" t="s">
        <v>2986</v>
      </c>
      <c r="CL24" s="22" t="s">
        <v>2986</v>
      </c>
      <c r="CM24" s="22" t="s">
        <v>2986</v>
      </c>
      <c r="CN24" s="22" t="s">
        <v>2986</v>
      </c>
      <c r="CO24" s="22" t="s">
        <v>2986</v>
      </c>
      <c r="CP24" s="22" t="s">
        <v>2987</v>
      </c>
      <c r="CQ24" s="22" t="s">
        <v>2953</v>
      </c>
      <c r="CR24" s="22" t="s">
        <v>2987</v>
      </c>
      <c r="CS24" s="22" t="s">
        <v>2987</v>
      </c>
      <c r="CT24" s="22">
        <v>3</v>
      </c>
      <c r="CU24" s="21">
        <v>46133</v>
      </c>
      <c r="CV24" s="21">
        <v>46133</v>
      </c>
      <c r="CW24" s="21">
        <v>46133</v>
      </c>
      <c r="CX24" s="21">
        <v>46133</v>
      </c>
      <c r="CY24" s="21">
        <v>46133</v>
      </c>
      <c r="CZ24" s="21">
        <v>46223</v>
      </c>
      <c r="DA24" s="21">
        <v>46318</v>
      </c>
      <c r="DB24" s="21">
        <v>46133</v>
      </c>
      <c r="DC24" s="21">
        <v>46318</v>
      </c>
      <c r="DD24" s="8">
        <v>0</v>
      </c>
      <c r="DE24" s="8">
        <v>0</v>
      </c>
      <c r="DF24" s="8">
        <v>0</v>
      </c>
      <c r="DG24" s="8">
        <v>0</v>
      </c>
      <c r="DH24" s="8">
        <v>6</v>
      </c>
      <c r="DI24" s="8">
        <v>0</v>
      </c>
      <c r="DJ24" s="8" t="s">
        <v>2954</v>
      </c>
      <c r="DK24" s="21">
        <v>44076</v>
      </c>
      <c r="DL24" s="21">
        <v>44033.229166666664</v>
      </c>
      <c r="DM24" s="21">
        <v>46041</v>
      </c>
      <c r="DN24" s="18">
        <v>9680</v>
      </c>
      <c r="DO24" s="21">
        <v>0</v>
      </c>
      <c r="DP24" s="21">
        <v>0</v>
      </c>
      <c r="DQ24" s="21" t="s">
        <v>2955</v>
      </c>
      <c r="DR24" s="21">
        <v>45954</v>
      </c>
      <c r="DS24" s="21">
        <v>45954</v>
      </c>
      <c r="DT24" s="21">
        <v>45954</v>
      </c>
      <c r="DU24" s="21">
        <v>45954</v>
      </c>
      <c r="DV24" s="21">
        <v>45954</v>
      </c>
      <c r="DW24" s="21">
        <v>45954</v>
      </c>
      <c r="DX24" s="21">
        <v>45954</v>
      </c>
      <c r="DY24" s="21">
        <v>45954</v>
      </c>
      <c r="DZ24" s="21">
        <v>45954</v>
      </c>
      <c r="EA24" s="8">
        <v>580</v>
      </c>
      <c r="EB24" s="8">
        <v>580</v>
      </c>
      <c r="EC24" s="8">
        <v>580</v>
      </c>
      <c r="ED24" s="8">
        <v>580</v>
      </c>
      <c r="EE24" s="8">
        <v>580</v>
      </c>
      <c r="EF24" s="8">
        <v>1330</v>
      </c>
      <c r="EG24" s="8">
        <v>1000</v>
      </c>
      <c r="EH24" s="8">
        <v>1330</v>
      </c>
      <c r="EI24" s="8">
        <v>1330</v>
      </c>
      <c r="EJ24" s="8">
        <v>3</v>
      </c>
      <c r="EK24" s="8" t="s">
        <v>2624</v>
      </c>
      <c r="EL24" s="8">
        <v>71</v>
      </c>
      <c r="EM24" s="8">
        <v>142</v>
      </c>
      <c r="EN24" s="8">
        <v>292</v>
      </c>
      <c r="EO24" s="8">
        <v>292</v>
      </c>
      <c r="EP24" s="8">
        <v>292</v>
      </c>
      <c r="EQ24" s="8">
        <v>292</v>
      </c>
      <c r="ER24" s="8">
        <v>292</v>
      </c>
      <c r="ES24" s="8">
        <v>1042</v>
      </c>
      <c r="ET24" s="8">
        <v>712</v>
      </c>
      <c r="EU24" s="8">
        <v>1042</v>
      </c>
      <c r="EV24" s="8">
        <v>1042</v>
      </c>
    </row>
    <row r="25" spans="1:152" x14ac:dyDescent="0.15">
      <c r="A25" s="8">
        <f>ROW([2]!tbl_DPSAC[[#This Row],[Sl. No.]])-1</f>
        <v>24</v>
      </c>
      <c r="B25" s="9" t="s">
        <v>136</v>
      </c>
      <c r="C25" s="9" t="s">
        <v>245</v>
      </c>
      <c r="D25" s="9" t="s">
        <v>246</v>
      </c>
      <c r="E25" s="9" t="s">
        <v>247</v>
      </c>
      <c r="F25" s="9" t="s">
        <v>161</v>
      </c>
      <c r="G25" s="10" t="s">
        <v>248</v>
      </c>
      <c r="H25" s="10" t="str">
        <f>_xlfn.XLOOKUP(C25,'[1]E&amp;DPSAC'!$K:$K,'[1]E&amp;DPSAC'!$E:$E,,0)</f>
        <v>RAMGARH</v>
      </c>
      <c r="I25" s="10"/>
      <c r="J25" s="10">
        <v>7488795484</v>
      </c>
      <c r="K25" s="10">
        <f>_xlfn.XLOOKUP(C25,'[1]E&amp;DPSAC'!$K:$K,'[1]E&amp;DPSAC'!$G:$G,"",0)</f>
        <v>7488795484</v>
      </c>
      <c r="L25" s="9" t="str">
        <f t="shared" ca="1" si="0"/>
        <v>Non - Warranty</v>
      </c>
      <c r="M25" s="11">
        <v>44201</v>
      </c>
      <c r="N25" s="12">
        <v>24</v>
      </c>
      <c r="O25" s="11">
        <f t="shared" si="1"/>
        <v>44957</v>
      </c>
      <c r="P25" s="8" t="s">
        <v>142</v>
      </c>
      <c r="Q25" s="16" t="s">
        <v>143</v>
      </c>
      <c r="R25" s="15" t="s">
        <v>143</v>
      </c>
      <c r="S25" s="14" t="s">
        <v>143</v>
      </c>
      <c r="T25" s="15">
        <v>44231</v>
      </c>
      <c r="U25" s="14">
        <v>117</v>
      </c>
      <c r="V25" s="14">
        <v>2020</v>
      </c>
      <c r="W25" s="17">
        <v>45962.488194444442</v>
      </c>
      <c r="X25" s="14" t="s">
        <v>143</v>
      </c>
      <c r="Y25" s="14">
        <v>0</v>
      </c>
      <c r="Z25" s="14" t="s">
        <v>2692</v>
      </c>
      <c r="AA25" s="18">
        <v>1912</v>
      </c>
      <c r="AB25" s="18" t="s">
        <v>2697</v>
      </c>
      <c r="AC25" s="8">
        <f>tbl_DPSAC[[#This Row],[Current Month Due Count]]</f>
        <v>0</v>
      </c>
      <c r="AD25" s="8">
        <f>tbl_DPSAC[[#This Row],[Next Month Due2]]</f>
        <v>0</v>
      </c>
      <c r="AE25" s="8">
        <f t="shared" si="2"/>
        <v>1</v>
      </c>
      <c r="AF25" s="8">
        <v>0</v>
      </c>
      <c r="AG25" s="14">
        <f t="shared" ca="1" si="3"/>
        <v>2020</v>
      </c>
      <c r="AH25" s="8">
        <v>0</v>
      </c>
      <c r="AI25" s="8">
        <v>0</v>
      </c>
      <c r="AJ25" s="8">
        <v>0</v>
      </c>
      <c r="AK25" s="8">
        <v>0</v>
      </c>
      <c r="AL25" s="8">
        <v>0</v>
      </c>
      <c r="AM25" s="8">
        <v>0</v>
      </c>
      <c r="AN25" s="8">
        <v>0</v>
      </c>
      <c r="AO25" s="8">
        <v>0</v>
      </c>
      <c r="AP25" s="8">
        <v>0</v>
      </c>
      <c r="AQ25" s="8">
        <v>0</v>
      </c>
      <c r="AR25" s="8">
        <v>0</v>
      </c>
      <c r="AS25" s="8">
        <v>0</v>
      </c>
      <c r="AT25" s="8">
        <v>0</v>
      </c>
      <c r="AU25" s="8">
        <v>0</v>
      </c>
      <c r="AV25" s="8" t="s">
        <v>249</v>
      </c>
      <c r="AW25" s="8">
        <v>0</v>
      </c>
      <c r="AX25" s="8" t="s">
        <v>2961</v>
      </c>
      <c r="AY25" s="14">
        <v>500</v>
      </c>
      <c r="AZ25" s="19">
        <v>44417</v>
      </c>
      <c r="BA25" s="14"/>
      <c r="BB25" s="14">
        <v>500</v>
      </c>
      <c r="BC25" s="19">
        <v>44417</v>
      </c>
      <c r="BD25" s="14"/>
      <c r="BE25" s="14">
        <v>500</v>
      </c>
      <c r="BF25" s="19">
        <v>44417</v>
      </c>
      <c r="BG25" s="14"/>
      <c r="BH25" s="14">
        <v>500</v>
      </c>
      <c r="BI25" s="19">
        <v>44417</v>
      </c>
      <c r="BJ25" s="14"/>
      <c r="BK25" s="14">
        <v>500</v>
      </c>
      <c r="BL25" s="19">
        <v>44417</v>
      </c>
      <c r="BM25" s="14"/>
      <c r="BN25" s="27">
        <v>44597</v>
      </c>
      <c r="BO25" s="27">
        <v>44597</v>
      </c>
      <c r="BP25" s="27">
        <v>44597</v>
      </c>
      <c r="BQ25" s="27">
        <v>44597</v>
      </c>
      <c r="BR25" s="27">
        <v>44782</v>
      </c>
      <c r="BS25" s="28">
        <v>-770</v>
      </c>
      <c r="BT25" s="29">
        <v>-20</v>
      </c>
      <c r="BU25" s="29">
        <v>-770</v>
      </c>
      <c r="BV25" s="29">
        <v>-770</v>
      </c>
      <c r="BW25" s="29">
        <v>-20</v>
      </c>
      <c r="BX25" s="30" t="s">
        <v>173</v>
      </c>
      <c r="BY25" s="8">
        <v>5</v>
      </c>
      <c r="BZ25" s="8">
        <v>0</v>
      </c>
      <c r="CA25" s="8">
        <v>0</v>
      </c>
      <c r="CB25" s="21">
        <v>0</v>
      </c>
      <c r="CC25" s="21">
        <v>0</v>
      </c>
      <c r="CD25" s="21">
        <v>0</v>
      </c>
      <c r="CE25" s="21">
        <v>0</v>
      </c>
      <c r="CF25" s="21">
        <v>0</v>
      </c>
      <c r="CG25" s="21">
        <v>0</v>
      </c>
      <c r="CH25" s="21">
        <v>0</v>
      </c>
      <c r="CI25" s="21">
        <v>0</v>
      </c>
      <c r="CJ25" s="21">
        <v>0</v>
      </c>
      <c r="CK25" s="22" t="s">
        <v>2988</v>
      </c>
      <c r="CL25" s="22" t="s">
        <v>2988</v>
      </c>
      <c r="CM25" s="22" t="s">
        <v>2988</v>
      </c>
      <c r="CN25" s="22" t="s">
        <v>2988</v>
      </c>
      <c r="CO25" s="22" t="s">
        <v>2988</v>
      </c>
      <c r="CP25" s="22" t="s">
        <v>2988</v>
      </c>
      <c r="CQ25" s="22" t="s">
        <v>2953</v>
      </c>
      <c r="CR25" s="22" t="s">
        <v>2988</v>
      </c>
      <c r="CS25" s="22" t="s">
        <v>2988</v>
      </c>
      <c r="CT25" s="22">
        <v>0</v>
      </c>
      <c r="CU25" s="21">
        <v>0</v>
      </c>
      <c r="CV25" s="21">
        <v>0</v>
      </c>
      <c r="CW25" s="21">
        <v>0</v>
      </c>
      <c r="CX25" s="21">
        <v>0</v>
      </c>
      <c r="CY25" s="21">
        <v>0</v>
      </c>
      <c r="CZ25" s="21">
        <v>0</v>
      </c>
      <c r="DA25" s="21">
        <v>0</v>
      </c>
      <c r="DB25" s="21">
        <v>0</v>
      </c>
      <c r="DC25" s="21">
        <v>0</v>
      </c>
      <c r="DD25" s="8">
        <v>0</v>
      </c>
      <c r="DE25" s="8">
        <v>0</v>
      </c>
      <c r="DF25" s="8">
        <v>0</v>
      </c>
      <c r="DG25" s="8">
        <v>9</v>
      </c>
      <c r="DH25" s="8">
        <v>0</v>
      </c>
      <c r="DI25" s="8">
        <v>0</v>
      </c>
      <c r="DJ25" s="8" t="s">
        <v>2954</v>
      </c>
      <c r="DK25" s="21">
        <v>44223</v>
      </c>
      <c r="DL25" s="21">
        <v>44191.229166666664</v>
      </c>
      <c r="DM25" s="21">
        <v>45962</v>
      </c>
      <c r="DN25" s="18">
        <v>2020</v>
      </c>
      <c r="DO25" s="21">
        <v>0</v>
      </c>
      <c r="DP25" s="21">
        <v>0</v>
      </c>
      <c r="DQ25" s="21">
        <v>0</v>
      </c>
      <c r="DR25" s="21">
        <v>0</v>
      </c>
      <c r="DS25" s="21">
        <v>0</v>
      </c>
      <c r="DT25" s="21">
        <v>0</v>
      </c>
      <c r="DU25" s="21">
        <v>0</v>
      </c>
      <c r="DV25" s="21">
        <v>0</v>
      </c>
      <c r="DW25" s="21">
        <v>0</v>
      </c>
      <c r="DX25" s="21">
        <v>0</v>
      </c>
      <c r="DY25" s="21">
        <v>0</v>
      </c>
      <c r="DZ25" s="21">
        <v>0</v>
      </c>
      <c r="EA25" s="8">
        <v>70</v>
      </c>
      <c r="EB25" s="8">
        <v>70</v>
      </c>
      <c r="EC25" s="8">
        <v>70</v>
      </c>
      <c r="ED25" s="8">
        <v>70</v>
      </c>
      <c r="EE25" s="8">
        <v>70</v>
      </c>
      <c r="EF25" s="8">
        <v>70</v>
      </c>
      <c r="EG25" s="8">
        <v>1000</v>
      </c>
      <c r="EH25" s="8">
        <v>70</v>
      </c>
      <c r="EI25" s="8">
        <v>70</v>
      </c>
      <c r="EJ25" s="8">
        <v>0</v>
      </c>
      <c r="EK25" s="8" t="s">
        <v>2624</v>
      </c>
      <c r="EL25" s="8">
        <v>151</v>
      </c>
      <c r="EM25" s="8">
        <v>0</v>
      </c>
      <c r="EN25" s="8">
        <v>-218</v>
      </c>
      <c r="EO25" s="8">
        <v>-218</v>
      </c>
      <c r="EP25" s="8">
        <v>-218</v>
      </c>
      <c r="EQ25" s="8">
        <v>-218</v>
      </c>
      <c r="ER25" s="8">
        <v>-218</v>
      </c>
      <c r="ES25" s="8">
        <v>-218</v>
      </c>
      <c r="ET25" s="8">
        <v>712</v>
      </c>
      <c r="EU25" s="8">
        <v>-218</v>
      </c>
      <c r="EV25" s="8">
        <v>-218</v>
      </c>
    </row>
    <row r="26" spans="1:152" x14ac:dyDescent="0.15">
      <c r="A26" s="8">
        <f>ROW([2]!tbl_DPSAC[[#This Row],[Sl. No.]])-1</f>
        <v>25</v>
      </c>
      <c r="B26" s="9" t="s">
        <v>136</v>
      </c>
      <c r="C26" s="9" t="s">
        <v>250</v>
      </c>
      <c r="D26" s="9" t="s">
        <v>251</v>
      </c>
      <c r="E26" s="9" t="s">
        <v>147</v>
      </c>
      <c r="F26" s="9" t="s">
        <v>161</v>
      </c>
      <c r="G26" s="10" t="s">
        <v>252</v>
      </c>
      <c r="H26" s="10" t="str">
        <f>_xlfn.XLOOKUP(C26,'[1]E&amp;DPSAC'!$K:$K,'[1]E&amp;DPSAC'!$E:$E,,0)</f>
        <v>C/O - SUJIT KUMAR, SAHAJANAND NAGAR, H. NO. -121, RANI ROAD, BHUDA, BARMASIA,, DHANBAD</v>
      </c>
      <c r="I26" s="10" t="s">
        <v>253</v>
      </c>
      <c r="J26" s="10">
        <v>9334537849</v>
      </c>
      <c r="K26" s="10">
        <f>_xlfn.XLOOKUP(C26,'[1]E&amp;DPSAC'!$K:$K,'[1]E&amp;DPSAC'!$G:$G,"",0)</f>
        <v>9334537849</v>
      </c>
      <c r="L26" s="9" t="str">
        <f t="shared" ca="1" si="0"/>
        <v>Non - Warranty</v>
      </c>
      <c r="M26" s="11">
        <v>44133</v>
      </c>
      <c r="N26" s="12">
        <v>24</v>
      </c>
      <c r="O26" s="11">
        <f t="shared" si="1"/>
        <v>44865</v>
      </c>
      <c r="P26" s="8" t="s">
        <v>157</v>
      </c>
      <c r="Q26" s="16" t="s">
        <v>254</v>
      </c>
      <c r="R26" s="15">
        <v>44831.665023148104</v>
      </c>
      <c r="S26" s="14">
        <v>4550</v>
      </c>
      <c r="T26" s="15">
        <v>45035</v>
      </c>
      <c r="U26" s="14">
        <v>5450</v>
      </c>
      <c r="V26" s="14">
        <v>5450</v>
      </c>
      <c r="W26" s="17">
        <v>45033.5562615741</v>
      </c>
      <c r="X26" s="14" t="s">
        <v>2710</v>
      </c>
      <c r="Y26" s="14">
        <v>-150</v>
      </c>
      <c r="Z26" s="14" t="s">
        <v>2697</v>
      </c>
      <c r="AA26" s="18">
        <v>1281.3349768518965</v>
      </c>
      <c r="AB26" s="18" t="s">
        <v>2697</v>
      </c>
      <c r="AC26" s="8">
        <f>tbl_DPSAC[[#This Row],[Current Month Due Count]]</f>
        <v>0</v>
      </c>
      <c r="AD26" s="8">
        <f>tbl_DPSAC[[#This Row],[Next Month Due2]]</f>
        <v>0</v>
      </c>
      <c r="AE26" s="8">
        <f t="shared" si="2"/>
        <v>1</v>
      </c>
      <c r="AF26" s="8">
        <v>2</v>
      </c>
      <c r="AG26" s="14">
        <f t="shared" ca="1" si="3"/>
        <v>7609</v>
      </c>
      <c r="AH26" s="8">
        <v>0</v>
      </c>
      <c r="AI26" s="8">
        <v>0</v>
      </c>
      <c r="AJ26" s="8">
        <v>0</v>
      </c>
      <c r="AK26" s="8">
        <v>0</v>
      </c>
      <c r="AL26" s="8">
        <v>0</v>
      </c>
      <c r="AM26" s="8">
        <v>0</v>
      </c>
      <c r="AN26" s="8">
        <v>0</v>
      </c>
      <c r="AO26" s="8">
        <v>0</v>
      </c>
      <c r="AP26" s="8">
        <v>0</v>
      </c>
      <c r="AQ26" s="8">
        <v>0</v>
      </c>
      <c r="AR26" s="8">
        <v>0</v>
      </c>
      <c r="AS26" s="8">
        <v>0</v>
      </c>
      <c r="AT26" s="8">
        <v>0</v>
      </c>
      <c r="AU26" s="8">
        <v>0</v>
      </c>
      <c r="AV26" s="8">
        <v>0</v>
      </c>
      <c r="AW26" s="8">
        <v>0</v>
      </c>
      <c r="AX26" s="8" t="s">
        <v>2961</v>
      </c>
      <c r="AY26" s="14">
        <v>4550</v>
      </c>
      <c r="AZ26" s="19">
        <v>44831</v>
      </c>
      <c r="BA26" s="14" t="s">
        <v>254</v>
      </c>
      <c r="BB26" s="14">
        <v>3600</v>
      </c>
      <c r="BC26" s="19">
        <v>44732</v>
      </c>
      <c r="BD26" s="14"/>
      <c r="BE26" s="14">
        <v>4550</v>
      </c>
      <c r="BF26" s="19">
        <v>44831</v>
      </c>
      <c r="BG26" s="14" t="s">
        <v>254</v>
      </c>
      <c r="BH26" s="14">
        <v>4550</v>
      </c>
      <c r="BI26" s="19">
        <v>44831</v>
      </c>
      <c r="BJ26" s="14" t="s">
        <v>254</v>
      </c>
      <c r="BK26" s="14">
        <v>3600</v>
      </c>
      <c r="BL26" s="19">
        <v>44732</v>
      </c>
      <c r="BM26" s="14"/>
      <c r="BN26" s="27">
        <v>45011</v>
      </c>
      <c r="BO26" s="27">
        <v>44912</v>
      </c>
      <c r="BP26" s="27">
        <v>45011</v>
      </c>
      <c r="BQ26" s="27">
        <v>45011</v>
      </c>
      <c r="BR26" s="27">
        <v>45097</v>
      </c>
      <c r="BS26" s="28">
        <v>-2309</v>
      </c>
      <c r="BT26" s="29">
        <v>-2509</v>
      </c>
      <c r="BU26" s="29">
        <v>-2309</v>
      </c>
      <c r="BV26" s="29">
        <v>-2309</v>
      </c>
      <c r="BW26" s="29">
        <v>-2509</v>
      </c>
      <c r="BX26" s="30" t="s">
        <v>255</v>
      </c>
      <c r="BY26" s="8">
        <v>5</v>
      </c>
      <c r="BZ26" s="8">
        <v>0</v>
      </c>
      <c r="CA26" s="8">
        <v>0</v>
      </c>
      <c r="CB26" s="21" t="s">
        <v>143</v>
      </c>
      <c r="CC26" s="21" t="s">
        <v>143</v>
      </c>
      <c r="CD26" s="21" t="s">
        <v>143</v>
      </c>
      <c r="CE26" s="21" t="s">
        <v>143</v>
      </c>
      <c r="CF26" s="21" t="s">
        <v>143</v>
      </c>
      <c r="CG26" s="21" t="s">
        <v>143</v>
      </c>
      <c r="CH26" s="21" t="s">
        <v>143</v>
      </c>
      <c r="CI26" s="21" t="s">
        <v>143</v>
      </c>
      <c r="CJ26" s="21" t="s">
        <v>143</v>
      </c>
      <c r="CK26" s="22" t="s">
        <v>143</v>
      </c>
      <c r="CL26" s="22" t="s">
        <v>143</v>
      </c>
      <c r="CM26" s="22" t="s">
        <v>143</v>
      </c>
      <c r="CN26" s="22" t="s">
        <v>143</v>
      </c>
      <c r="CO26" s="22" t="s">
        <v>143</v>
      </c>
      <c r="CP26" s="22" t="s">
        <v>143</v>
      </c>
      <c r="CQ26" s="22" t="s">
        <v>143</v>
      </c>
      <c r="CR26" s="22" t="s">
        <v>143</v>
      </c>
      <c r="CS26" s="22" t="s">
        <v>143</v>
      </c>
      <c r="CT26" s="22" t="s">
        <v>143</v>
      </c>
      <c r="CU26" s="21" t="s">
        <v>143</v>
      </c>
      <c r="CV26" s="21" t="s">
        <v>143</v>
      </c>
      <c r="CW26" s="21" t="s">
        <v>143</v>
      </c>
      <c r="CX26" s="21" t="s">
        <v>143</v>
      </c>
      <c r="CY26" s="21" t="s">
        <v>143</v>
      </c>
      <c r="CZ26" s="21" t="s">
        <v>143</v>
      </c>
      <c r="DA26" s="21" t="s">
        <v>143</v>
      </c>
      <c r="DB26" s="21" t="s">
        <v>143</v>
      </c>
      <c r="DC26" s="21" t="s">
        <v>143</v>
      </c>
      <c r="DD26" s="8" t="s">
        <v>143</v>
      </c>
      <c r="DE26" s="8" t="s">
        <v>143</v>
      </c>
      <c r="DF26" s="8" t="s">
        <v>143</v>
      </c>
      <c r="DG26" s="8">
        <v>0</v>
      </c>
      <c r="DH26" s="8">
        <v>0</v>
      </c>
      <c r="DI26" s="8">
        <v>0</v>
      </c>
      <c r="DJ26" s="8" t="s">
        <v>143</v>
      </c>
      <c r="DK26" s="21" t="s">
        <v>143</v>
      </c>
      <c r="DL26" s="21" t="s">
        <v>143</v>
      </c>
      <c r="DM26" s="21" t="s">
        <v>143</v>
      </c>
      <c r="DN26" s="18" t="s">
        <v>143</v>
      </c>
      <c r="DO26" s="21" t="s">
        <v>143</v>
      </c>
      <c r="DP26" s="21" t="s">
        <v>143</v>
      </c>
      <c r="DQ26" s="21" t="s">
        <v>143</v>
      </c>
      <c r="DR26" s="21" t="s">
        <v>143</v>
      </c>
      <c r="DS26" s="21" t="s">
        <v>143</v>
      </c>
      <c r="DT26" s="21" t="s">
        <v>143</v>
      </c>
      <c r="DU26" s="21" t="s">
        <v>143</v>
      </c>
      <c r="DV26" s="21" t="s">
        <v>143</v>
      </c>
      <c r="DW26" s="21" t="s">
        <v>143</v>
      </c>
      <c r="DX26" s="21" t="s">
        <v>143</v>
      </c>
      <c r="DY26" s="21" t="s">
        <v>143</v>
      </c>
      <c r="DZ26" s="21" t="s">
        <v>143</v>
      </c>
      <c r="EA26" s="8" t="s">
        <v>143</v>
      </c>
      <c r="EB26" s="8" t="s">
        <v>143</v>
      </c>
      <c r="EC26" s="8" t="s">
        <v>143</v>
      </c>
      <c r="ED26" s="8" t="s">
        <v>143</v>
      </c>
      <c r="EE26" s="8" t="s">
        <v>143</v>
      </c>
      <c r="EF26" s="8" t="s">
        <v>143</v>
      </c>
      <c r="EG26" s="8" t="s">
        <v>143</v>
      </c>
      <c r="EH26" s="8" t="s">
        <v>143</v>
      </c>
      <c r="EI26" s="8" t="s">
        <v>143</v>
      </c>
      <c r="EJ26" s="8" t="s">
        <v>143</v>
      </c>
      <c r="EK26" s="8" t="s">
        <v>157</v>
      </c>
      <c r="EL26" s="8">
        <v>1079</v>
      </c>
      <c r="EM26" s="8">
        <v>2158</v>
      </c>
      <c r="EN26" s="8" t="s">
        <v>143</v>
      </c>
      <c r="EO26" s="8" t="s">
        <v>143</v>
      </c>
      <c r="EP26" s="8" t="s">
        <v>143</v>
      </c>
      <c r="EQ26" s="8" t="s">
        <v>143</v>
      </c>
      <c r="ER26" s="8" t="s">
        <v>143</v>
      </c>
      <c r="ES26" s="8" t="s">
        <v>143</v>
      </c>
      <c r="ET26" s="8" t="s">
        <v>143</v>
      </c>
      <c r="EU26" s="8" t="s">
        <v>143</v>
      </c>
      <c r="EV26" s="8" t="s">
        <v>143</v>
      </c>
    </row>
    <row r="27" spans="1:152" x14ac:dyDescent="0.15">
      <c r="A27" s="8">
        <f>ROW([2]!tbl_DPSAC[[#This Row],[Sl. No.]])-1</f>
        <v>26</v>
      </c>
      <c r="B27" s="9" t="s">
        <v>196</v>
      </c>
      <c r="C27" s="9" t="s">
        <v>256</v>
      </c>
      <c r="D27" s="9" t="s">
        <v>198</v>
      </c>
      <c r="E27" s="9" t="s">
        <v>199</v>
      </c>
      <c r="F27" s="9" t="s">
        <v>161</v>
      </c>
      <c r="G27" s="10" t="s">
        <v>200</v>
      </c>
      <c r="H27" s="10" t="str">
        <f>_xlfn.XLOOKUP(C27,'[1]E&amp;DPSAC'!$K:$K,'[1]E&amp;DPSAC'!$E:$E,,0)</f>
        <v>GANGA BRIDGE, BAKHTIYARPUR, PATNA</v>
      </c>
      <c r="I27" s="10"/>
      <c r="J27" s="10">
        <v>8544557188</v>
      </c>
      <c r="K27" s="10">
        <f>_xlfn.XLOOKUP(C27,'[1]E&amp;DPSAC'!$K:$K,'[1]E&amp;DPSAC'!$G:$G,"",0)</f>
        <v>8544557188</v>
      </c>
      <c r="L27" s="9" t="str">
        <f t="shared" ca="1" si="0"/>
        <v>Non - Warranty</v>
      </c>
      <c r="M27" s="11">
        <v>44288</v>
      </c>
      <c r="N27" s="12">
        <v>24</v>
      </c>
      <c r="O27" s="11">
        <f t="shared" si="1"/>
        <v>45046</v>
      </c>
      <c r="P27" s="8" t="s">
        <v>142</v>
      </c>
      <c r="Q27" s="16" t="s">
        <v>260</v>
      </c>
      <c r="R27" s="15">
        <v>46052.513090277796</v>
      </c>
      <c r="S27" s="14">
        <v>3050</v>
      </c>
      <c r="T27" s="15">
        <v>46053</v>
      </c>
      <c r="U27" s="14">
        <v>3050</v>
      </c>
      <c r="V27" s="14">
        <v>3050</v>
      </c>
      <c r="W27" s="17">
        <v>46052.513090277796</v>
      </c>
      <c r="X27" s="14" t="s">
        <v>2705</v>
      </c>
      <c r="Y27" s="14">
        <v>750</v>
      </c>
      <c r="Z27" s="14" t="s">
        <v>2692</v>
      </c>
      <c r="AA27" s="18">
        <v>60.486909722203563</v>
      </c>
      <c r="AB27" s="18" t="s">
        <v>2692</v>
      </c>
      <c r="AC27" s="8">
        <f>tbl_DPSAC[[#This Row],[Current Month Due Count]]</f>
        <v>0</v>
      </c>
      <c r="AD27" s="8">
        <f>tbl_DPSAC[[#This Row],[Next Month Due2]]</f>
        <v>0</v>
      </c>
      <c r="AE27" s="8">
        <f t="shared" si="2"/>
        <v>0</v>
      </c>
      <c r="AF27" s="8">
        <v>5</v>
      </c>
      <c r="AG27" s="14">
        <f t="shared" ca="1" si="3"/>
        <v>3352</v>
      </c>
      <c r="AH27" s="8" t="s">
        <v>257</v>
      </c>
      <c r="AI27" s="8" t="s">
        <v>258</v>
      </c>
      <c r="AJ27" s="8">
        <v>0</v>
      </c>
      <c r="AK27" s="8">
        <v>0</v>
      </c>
      <c r="AL27" s="8">
        <v>0</v>
      </c>
      <c r="AM27" s="8">
        <v>0</v>
      </c>
      <c r="AN27" s="8">
        <v>0</v>
      </c>
      <c r="AO27" s="8">
        <v>0</v>
      </c>
      <c r="AP27" s="8">
        <v>0</v>
      </c>
      <c r="AQ27" s="8">
        <v>0</v>
      </c>
      <c r="AR27" s="8">
        <v>0</v>
      </c>
      <c r="AS27" s="8">
        <v>0</v>
      </c>
      <c r="AT27" s="8">
        <v>0</v>
      </c>
      <c r="AU27" s="8">
        <v>0</v>
      </c>
      <c r="AV27" s="8" t="s">
        <v>259</v>
      </c>
      <c r="AW27" s="8">
        <v>0</v>
      </c>
      <c r="AX27" s="8" t="s">
        <v>2007</v>
      </c>
      <c r="AY27" s="14">
        <v>3050</v>
      </c>
      <c r="AZ27" s="19">
        <v>46052</v>
      </c>
      <c r="BA27" s="14" t="s">
        <v>260</v>
      </c>
      <c r="BB27" s="14">
        <v>3050</v>
      </c>
      <c r="BC27" s="19">
        <v>46052</v>
      </c>
      <c r="BD27" s="14" t="s">
        <v>260</v>
      </c>
      <c r="BE27" s="14">
        <v>3050</v>
      </c>
      <c r="BF27" s="19">
        <v>46052</v>
      </c>
      <c r="BG27" s="14" t="s">
        <v>260</v>
      </c>
      <c r="BH27" s="14">
        <v>3050</v>
      </c>
      <c r="BI27" s="19">
        <v>46052</v>
      </c>
      <c r="BJ27" s="14" t="s">
        <v>260</v>
      </c>
      <c r="BK27" s="14">
        <v>3050</v>
      </c>
      <c r="BL27" s="19">
        <v>46052</v>
      </c>
      <c r="BM27" s="14" t="s">
        <v>260</v>
      </c>
      <c r="BN27" s="27">
        <v>46232</v>
      </c>
      <c r="BO27" s="27">
        <v>46232</v>
      </c>
      <c r="BP27" s="27">
        <v>46232</v>
      </c>
      <c r="BQ27" s="27">
        <v>46232</v>
      </c>
      <c r="BR27" s="27">
        <v>46417</v>
      </c>
      <c r="BS27" s="28">
        <v>448</v>
      </c>
      <c r="BT27" s="29">
        <v>1198</v>
      </c>
      <c r="BU27" s="29">
        <v>448</v>
      </c>
      <c r="BV27" s="29">
        <v>448</v>
      </c>
      <c r="BW27" s="29">
        <v>1198</v>
      </c>
      <c r="BX27" s="30" t="s">
        <v>152</v>
      </c>
      <c r="BY27" s="8">
        <v>0</v>
      </c>
      <c r="BZ27" s="8">
        <v>0</v>
      </c>
      <c r="CA27" s="8">
        <v>0</v>
      </c>
      <c r="CB27" s="21">
        <v>46051.770833333299</v>
      </c>
      <c r="CC27" s="21">
        <v>46051.770833333299</v>
      </c>
      <c r="CD27" s="21">
        <v>46051.770833333299</v>
      </c>
      <c r="CE27" s="21">
        <v>46051.770833333299</v>
      </c>
      <c r="CF27" s="21">
        <v>46051.770833333299</v>
      </c>
      <c r="CG27" s="21">
        <v>46051.770833333299</v>
      </c>
      <c r="CH27" s="21">
        <v>46051.770833333299</v>
      </c>
      <c r="CI27" s="21">
        <v>46051.770833333299</v>
      </c>
      <c r="CJ27" s="21">
        <v>46051.770833333299</v>
      </c>
      <c r="CK27" s="22" t="s">
        <v>2956</v>
      </c>
      <c r="CL27" s="22" t="s">
        <v>2957</v>
      </c>
      <c r="CM27" s="22" t="s">
        <v>2959</v>
      </c>
      <c r="CN27" s="22" t="s">
        <v>2957</v>
      </c>
      <c r="CO27" s="22" t="s">
        <v>2957</v>
      </c>
      <c r="CP27" s="22" t="s">
        <v>2956</v>
      </c>
      <c r="CQ27" s="22" t="s">
        <v>2953</v>
      </c>
      <c r="CR27" s="22" t="s">
        <v>2956</v>
      </c>
      <c r="CS27" s="22" t="s">
        <v>2960</v>
      </c>
      <c r="CT27" s="22">
        <v>4</v>
      </c>
      <c r="CU27" s="21">
        <v>46231</v>
      </c>
      <c r="CV27" s="21">
        <v>46231</v>
      </c>
      <c r="CW27" s="21">
        <v>46178</v>
      </c>
      <c r="CX27" s="21">
        <v>46231</v>
      </c>
      <c r="CY27" s="21">
        <v>46231</v>
      </c>
      <c r="CZ27" s="21">
        <v>46321</v>
      </c>
      <c r="DA27" s="21">
        <v>46303</v>
      </c>
      <c r="DB27" s="21">
        <v>46231</v>
      </c>
      <c r="DC27" s="21">
        <v>46416</v>
      </c>
      <c r="DD27" s="8">
        <v>0</v>
      </c>
      <c r="DE27" s="8">
        <v>0</v>
      </c>
      <c r="DF27" s="8">
        <v>0</v>
      </c>
      <c r="DG27" s="8">
        <v>0</v>
      </c>
      <c r="DH27" s="8">
        <v>0</v>
      </c>
      <c r="DI27" s="8">
        <v>0</v>
      </c>
      <c r="DJ27" s="8" t="s">
        <v>2954</v>
      </c>
      <c r="DK27" s="21">
        <v>44288</v>
      </c>
      <c r="DL27" s="21">
        <v>44271.229166666664</v>
      </c>
      <c r="DM27" s="21">
        <v>46053</v>
      </c>
      <c r="DN27" s="18">
        <v>3050</v>
      </c>
      <c r="DO27" s="21">
        <v>0</v>
      </c>
      <c r="DP27" s="21">
        <v>0</v>
      </c>
      <c r="DQ27" s="21" t="s">
        <v>2955</v>
      </c>
      <c r="DR27" s="21">
        <v>46052</v>
      </c>
      <c r="DS27" s="21">
        <v>46052</v>
      </c>
      <c r="DT27" s="21">
        <v>46052</v>
      </c>
      <c r="DU27" s="21">
        <v>46052</v>
      </c>
      <c r="DV27" s="21">
        <v>46052</v>
      </c>
      <c r="DW27" s="21">
        <v>46052</v>
      </c>
      <c r="DX27" s="21">
        <v>46052</v>
      </c>
      <c r="DY27" s="21">
        <v>46052</v>
      </c>
      <c r="DZ27" s="21">
        <v>46052</v>
      </c>
      <c r="EA27" s="8">
        <v>1500</v>
      </c>
      <c r="EB27" s="8">
        <v>750</v>
      </c>
      <c r="EC27" s="8">
        <v>500</v>
      </c>
      <c r="ED27" s="8">
        <v>750</v>
      </c>
      <c r="EE27" s="8">
        <v>750</v>
      </c>
      <c r="EF27" s="8">
        <v>1500</v>
      </c>
      <c r="EG27" s="8">
        <v>1000</v>
      </c>
      <c r="EH27" s="8">
        <v>1500</v>
      </c>
      <c r="EI27" s="8">
        <v>3000</v>
      </c>
      <c r="EJ27" s="8">
        <v>4</v>
      </c>
      <c r="EK27" s="8" t="s">
        <v>2624</v>
      </c>
      <c r="EL27" s="8">
        <v>60</v>
      </c>
      <c r="EM27" s="8">
        <v>300</v>
      </c>
      <c r="EN27" s="8">
        <v>1212</v>
      </c>
      <c r="EO27" s="8">
        <v>462</v>
      </c>
      <c r="EP27" s="8">
        <v>212</v>
      </c>
      <c r="EQ27" s="8">
        <v>462</v>
      </c>
      <c r="ER27" s="8">
        <v>462</v>
      </c>
      <c r="ES27" s="8">
        <v>1212</v>
      </c>
      <c r="ET27" s="8">
        <v>712</v>
      </c>
      <c r="EU27" s="8">
        <v>1212</v>
      </c>
      <c r="EV27" s="8">
        <v>2712</v>
      </c>
    </row>
    <row r="28" spans="1:152" x14ac:dyDescent="0.15">
      <c r="A28" s="8">
        <f>ROW([2]!tbl_DPSAC[[#This Row],[Sl. No.]])-1</f>
        <v>27</v>
      </c>
      <c r="B28" s="9" t="s">
        <v>196</v>
      </c>
      <c r="C28" s="9" t="s">
        <v>261</v>
      </c>
      <c r="D28" s="9" t="s">
        <v>262</v>
      </c>
      <c r="E28" s="9" t="s">
        <v>176</v>
      </c>
      <c r="F28" s="9" t="s">
        <v>161</v>
      </c>
      <c r="G28" s="10" t="s">
        <v>263</v>
      </c>
      <c r="H28" s="10" t="str">
        <f>_xlfn.XLOOKUP(C28,'[1]E&amp;DPSAC'!$K:$K,'[1]E&amp;DPSAC'!$E:$E,,0)</f>
        <v>GAYA</v>
      </c>
      <c r="I28" s="10"/>
      <c r="J28" s="10">
        <v>8210812409</v>
      </c>
      <c r="K28" s="10">
        <f>_xlfn.XLOOKUP(C28,'[1]E&amp;DPSAC'!$K:$K,'[1]E&amp;DPSAC'!$G:$G,"",0)</f>
        <v>8210812409</v>
      </c>
      <c r="L28" s="9" t="str">
        <f t="shared" ca="1" si="0"/>
        <v>Non - Warranty</v>
      </c>
      <c r="M28" s="11">
        <v>44265.708333333299</v>
      </c>
      <c r="N28" s="12">
        <v>24</v>
      </c>
      <c r="O28" s="11">
        <f t="shared" si="1"/>
        <v>45016</v>
      </c>
      <c r="P28" s="8" t="s">
        <v>142</v>
      </c>
      <c r="Q28" s="16" t="s">
        <v>268</v>
      </c>
      <c r="R28" s="15">
        <v>46078.468738425901</v>
      </c>
      <c r="S28" s="14">
        <v>5170</v>
      </c>
      <c r="T28" s="15">
        <v>45339</v>
      </c>
      <c r="U28" s="14">
        <v>3270</v>
      </c>
      <c r="V28" s="14">
        <v>5170</v>
      </c>
      <c r="W28" s="17">
        <v>46078.468738425901</v>
      </c>
      <c r="X28" s="14" t="s">
        <v>2711</v>
      </c>
      <c r="Y28" s="14">
        <v>750</v>
      </c>
      <c r="Z28" s="14" t="s">
        <v>2692</v>
      </c>
      <c r="AA28" s="18">
        <v>34.531261574098608</v>
      </c>
      <c r="AB28" s="18" t="s">
        <v>2692</v>
      </c>
      <c r="AC28" s="8">
        <f>tbl_DPSAC[[#This Row],[Current Month Due Count]]</f>
        <v>0</v>
      </c>
      <c r="AD28" s="8">
        <f>tbl_DPSAC[[#This Row],[Next Month Due2]]</f>
        <v>0</v>
      </c>
      <c r="AE28" s="8">
        <f t="shared" si="2"/>
        <v>0</v>
      </c>
      <c r="AF28" s="8">
        <v>5</v>
      </c>
      <c r="AG28" s="14">
        <f t="shared" ca="1" si="3"/>
        <v>5343</v>
      </c>
      <c r="AH28" s="8" t="s">
        <v>264</v>
      </c>
      <c r="AI28" s="8" t="s">
        <v>265</v>
      </c>
      <c r="AJ28" s="8" t="s">
        <v>266</v>
      </c>
      <c r="AK28" s="8" t="s">
        <v>267</v>
      </c>
      <c r="AL28" s="8">
        <v>0</v>
      </c>
      <c r="AM28" s="8">
        <v>0</v>
      </c>
      <c r="AN28" s="8">
        <v>0</v>
      </c>
      <c r="AO28" s="8">
        <v>0</v>
      </c>
      <c r="AP28" s="8">
        <v>0</v>
      </c>
      <c r="AQ28" s="8">
        <v>0</v>
      </c>
      <c r="AR28" s="8">
        <v>0</v>
      </c>
      <c r="AS28" s="8">
        <v>0</v>
      </c>
      <c r="AT28" s="8">
        <v>0</v>
      </c>
      <c r="AU28" s="8">
        <v>0</v>
      </c>
      <c r="AV28" s="8">
        <v>0</v>
      </c>
      <c r="AW28" s="8">
        <v>0</v>
      </c>
      <c r="AX28" s="8" t="s">
        <v>2007</v>
      </c>
      <c r="AY28" s="14">
        <v>5170</v>
      </c>
      <c r="AZ28" s="19">
        <v>46078</v>
      </c>
      <c r="BA28" s="14" t="s">
        <v>268</v>
      </c>
      <c r="BB28" s="14">
        <v>5170</v>
      </c>
      <c r="BC28" s="19">
        <v>46078</v>
      </c>
      <c r="BD28" s="14" t="s">
        <v>268</v>
      </c>
      <c r="BE28" s="14">
        <v>5170</v>
      </c>
      <c r="BF28" s="19">
        <v>46078</v>
      </c>
      <c r="BG28" s="14" t="s">
        <v>268</v>
      </c>
      <c r="BH28" s="14">
        <v>5170</v>
      </c>
      <c r="BI28" s="19">
        <v>46078</v>
      </c>
      <c r="BJ28" s="14" t="s">
        <v>268</v>
      </c>
      <c r="BK28" s="14">
        <v>5170</v>
      </c>
      <c r="BL28" s="19">
        <v>46078</v>
      </c>
      <c r="BM28" s="14" t="s">
        <v>268</v>
      </c>
      <c r="BN28" s="27">
        <v>46258</v>
      </c>
      <c r="BO28" s="27">
        <v>46258</v>
      </c>
      <c r="BP28" s="27">
        <v>46258</v>
      </c>
      <c r="BQ28" s="27">
        <v>46258</v>
      </c>
      <c r="BR28" s="27">
        <v>46443</v>
      </c>
      <c r="BS28" s="28">
        <v>577</v>
      </c>
      <c r="BT28" s="29">
        <v>1327</v>
      </c>
      <c r="BU28" s="29">
        <v>577</v>
      </c>
      <c r="BV28" s="29">
        <v>577</v>
      </c>
      <c r="BW28" s="29">
        <v>1327</v>
      </c>
      <c r="BX28" s="30">
        <v>0</v>
      </c>
      <c r="BY28" s="8">
        <v>0</v>
      </c>
      <c r="BZ28" s="8">
        <v>0</v>
      </c>
      <c r="CA28" s="8">
        <v>0</v>
      </c>
      <c r="CB28" s="21">
        <v>46077.770833333299</v>
      </c>
      <c r="CC28" s="21">
        <v>46077.770833333299</v>
      </c>
      <c r="CD28" s="21">
        <v>46077.770833333299</v>
      </c>
      <c r="CE28" s="21">
        <v>46077.770833333299</v>
      </c>
      <c r="CF28" s="21">
        <v>46077.770833333299</v>
      </c>
      <c r="CG28" s="21">
        <v>46077.770833333299</v>
      </c>
      <c r="CH28" s="21">
        <v>46077.770833333299</v>
      </c>
      <c r="CI28" s="21">
        <v>46077.770833333299</v>
      </c>
      <c r="CJ28" s="21">
        <v>46077.770833333299</v>
      </c>
      <c r="CK28" s="22" t="s">
        <v>2956</v>
      </c>
      <c r="CL28" s="22" t="s">
        <v>2957</v>
      </c>
      <c r="CM28" s="22" t="s">
        <v>2959</v>
      </c>
      <c r="CN28" s="22" t="s">
        <v>2957</v>
      </c>
      <c r="CO28" s="22" t="s">
        <v>2957</v>
      </c>
      <c r="CP28" s="22" t="s">
        <v>2956</v>
      </c>
      <c r="CQ28" s="22" t="s">
        <v>2953</v>
      </c>
      <c r="CR28" s="22" t="s">
        <v>2956</v>
      </c>
      <c r="CS28" s="22" t="s">
        <v>2960</v>
      </c>
      <c r="CT28" s="22">
        <v>4</v>
      </c>
      <c r="CU28" s="21">
        <v>46257</v>
      </c>
      <c r="CV28" s="21">
        <v>46257</v>
      </c>
      <c r="CW28" s="21">
        <v>46203</v>
      </c>
      <c r="CX28" s="21">
        <v>46257</v>
      </c>
      <c r="CY28" s="21">
        <v>46257</v>
      </c>
      <c r="CZ28" s="21">
        <v>46347</v>
      </c>
      <c r="DA28" s="21">
        <v>46328</v>
      </c>
      <c r="DB28" s="21">
        <v>46257</v>
      </c>
      <c r="DC28" s="21">
        <v>46442</v>
      </c>
      <c r="DD28" s="8">
        <v>0</v>
      </c>
      <c r="DE28" s="8">
        <v>0</v>
      </c>
      <c r="DF28" s="8">
        <v>0</v>
      </c>
      <c r="DG28" s="8">
        <v>0</v>
      </c>
      <c r="DH28" s="8">
        <v>0</v>
      </c>
      <c r="DI28" s="8">
        <v>0</v>
      </c>
      <c r="DJ28" s="8" t="s">
        <v>2954</v>
      </c>
      <c r="DK28" s="21">
        <v>44265</v>
      </c>
      <c r="DL28" s="21">
        <v>44238.229166666664</v>
      </c>
      <c r="DM28" s="21">
        <v>46078</v>
      </c>
      <c r="DN28" s="18">
        <v>5170</v>
      </c>
      <c r="DO28" s="21">
        <v>0</v>
      </c>
      <c r="DP28" s="21">
        <v>0</v>
      </c>
      <c r="DQ28" s="21" t="s">
        <v>2955</v>
      </c>
      <c r="DR28" s="21">
        <v>46078</v>
      </c>
      <c r="DS28" s="21">
        <v>46078</v>
      </c>
      <c r="DT28" s="21">
        <v>46078</v>
      </c>
      <c r="DU28" s="21">
        <v>46078</v>
      </c>
      <c r="DV28" s="21">
        <v>46078</v>
      </c>
      <c r="DW28" s="21">
        <v>46078</v>
      </c>
      <c r="DX28" s="21">
        <v>46078</v>
      </c>
      <c r="DY28" s="21">
        <v>46078</v>
      </c>
      <c r="DZ28" s="21">
        <v>46078</v>
      </c>
      <c r="EA28" s="8">
        <v>1500</v>
      </c>
      <c r="EB28" s="8">
        <v>750</v>
      </c>
      <c r="EC28" s="8">
        <v>500</v>
      </c>
      <c r="ED28" s="8">
        <v>750</v>
      </c>
      <c r="EE28" s="8">
        <v>750</v>
      </c>
      <c r="EF28" s="8">
        <v>1500</v>
      </c>
      <c r="EG28" s="8">
        <v>1000</v>
      </c>
      <c r="EH28" s="8">
        <v>1500</v>
      </c>
      <c r="EI28" s="8">
        <v>3000</v>
      </c>
      <c r="EJ28" s="8">
        <v>4</v>
      </c>
      <c r="EK28" s="8" t="s">
        <v>2624</v>
      </c>
      <c r="EL28" s="8">
        <v>35</v>
      </c>
      <c r="EM28" s="8">
        <v>175</v>
      </c>
      <c r="EN28" s="8">
        <v>1212</v>
      </c>
      <c r="EO28" s="8">
        <v>462</v>
      </c>
      <c r="EP28" s="8">
        <v>212</v>
      </c>
      <c r="EQ28" s="8">
        <v>462</v>
      </c>
      <c r="ER28" s="8">
        <v>462</v>
      </c>
      <c r="ES28" s="8">
        <v>1212</v>
      </c>
      <c r="ET28" s="8">
        <v>712</v>
      </c>
      <c r="EU28" s="8">
        <v>1212</v>
      </c>
      <c r="EV28" s="8">
        <v>2712</v>
      </c>
    </row>
    <row r="29" spans="1:152" x14ac:dyDescent="0.15">
      <c r="A29" s="8">
        <f>ROW([2]!tbl_DPSAC[[#This Row],[Sl. No.]])-1</f>
        <v>28</v>
      </c>
      <c r="B29" s="9" t="s">
        <v>196</v>
      </c>
      <c r="C29" s="9" t="s">
        <v>269</v>
      </c>
      <c r="D29" s="9" t="s">
        <v>198</v>
      </c>
      <c r="E29" s="9" t="s">
        <v>199</v>
      </c>
      <c r="F29" s="9" t="s">
        <v>161</v>
      </c>
      <c r="G29" s="10" t="s">
        <v>270</v>
      </c>
      <c r="H29" s="10" t="str">
        <f>_xlfn.XLOOKUP(C29,'[1]E&amp;DPSAC'!$K:$K,'[1]E&amp;DPSAC'!$E:$E,,0)</f>
        <v>PATNA</v>
      </c>
      <c r="I29" s="10"/>
      <c r="J29" s="10" t="s">
        <v>143</v>
      </c>
      <c r="K29" s="10">
        <f>_xlfn.XLOOKUP(C29,'[1]E&amp;DPSAC'!$K:$K,'[1]E&amp;DPSAC'!$G:$G,"",0)</f>
        <v>9836681133</v>
      </c>
      <c r="L29" s="9" t="str">
        <f t="shared" ca="1" si="0"/>
        <v>Non - Warranty</v>
      </c>
      <c r="M29" s="11">
        <v>44252.583333333299</v>
      </c>
      <c r="N29" s="12">
        <v>24</v>
      </c>
      <c r="O29" s="11">
        <f t="shared" si="1"/>
        <v>44985</v>
      </c>
      <c r="P29" s="8" t="s">
        <v>142</v>
      </c>
      <c r="Q29" s="16" t="s">
        <v>271</v>
      </c>
      <c r="R29" s="15">
        <v>45289.4581944444</v>
      </c>
      <c r="S29" s="14">
        <v>1697</v>
      </c>
      <c r="T29" s="15">
        <v>45289</v>
      </c>
      <c r="U29" s="14">
        <v>1697</v>
      </c>
      <c r="V29" s="14">
        <v>3945</v>
      </c>
      <c r="W29" s="17">
        <v>45938.543749999997</v>
      </c>
      <c r="X29" s="14" t="s">
        <v>2712</v>
      </c>
      <c r="Y29" s="14">
        <v>-1498</v>
      </c>
      <c r="Z29" s="14" t="s">
        <v>2697</v>
      </c>
      <c r="AA29" s="18">
        <v>823.54180555560015</v>
      </c>
      <c r="AB29" s="18" t="s">
        <v>2697</v>
      </c>
      <c r="AC29" s="8">
        <f>tbl_DPSAC[[#This Row],[Current Month Due Count]]</f>
        <v>0</v>
      </c>
      <c r="AD29" s="8">
        <f>tbl_DPSAC[[#This Row],[Next Month Due2]]</f>
        <v>0</v>
      </c>
      <c r="AE29" s="8">
        <f t="shared" si="2"/>
        <v>1</v>
      </c>
      <c r="AF29" s="8">
        <v>6</v>
      </c>
      <c r="AG29" s="14">
        <f t="shared" ca="1" si="3"/>
        <v>4992</v>
      </c>
      <c r="AH29" s="8">
        <v>0</v>
      </c>
      <c r="AI29" s="8">
        <v>0</v>
      </c>
      <c r="AJ29" s="8">
        <v>0</v>
      </c>
      <c r="AK29" s="8">
        <v>0</v>
      </c>
      <c r="AL29" s="8">
        <v>0</v>
      </c>
      <c r="AM29" s="8">
        <v>0</v>
      </c>
      <c r="AN29" s="8">
        <v>0</v>
      </c>
      <c r="AO29" s="8">
        <v>0</v>
      </c>
      <c r="AP29" s="8">
        <v>0</v>
      </c>
      <c r="AQ29" s="8">
        <v>0</v>
      </c>
      <c r="AR29" s="8">
        <v>0</v>
      </c>
      <c r="AS29" s="8">
        <v>0</v>
      </c>
      <c r="AT29" s="8">
        <v>0</v>
      </c>
      <c r="AU29" s="8">
        <v>0</v>
      </c>
      <c r="AV29" s="8">
        <v>0</v>
      </c>
      <c r="AW29" s="8">
        <v>0</v>
      </c>
      <c r="AX29" s="8" t="s">
        <v>2961</v>
      </c>
      <c r="AY29" s="14">
        <v>1697</v>
      </c>
      <c r="AZ29" s="19">
        <v>45289</v>
      </c>
      <c r="BA29" s="14" t="s">
        <v>271</v>
      </c>
      <c r="BB29" s="14">
        <v>1697</v>
      </c>
      <c r="BC29" s="19">
        <v>45289</v>
      </c>
      <c r="BD29" s="14" t="s">
        <v>271</v>
      </c>
      <c r="BE29" s="14">
        <v>1697</v>
      </c>
      <c r="BF29" s="19">
        <v>45289</v>
      </c>
      <c r="BG29" s="14" t="s">
        <v>271</v>
      </c>
      <c r="BH29" s="14">
        <v>1697</v>
      </c>
      <c r="BI29" s="19">
        <v>45289</v>
      </c>
      <c r="BJ29" s="14" t="s">
        <v>271</v>
      </c>
      <c r="BK29" s="14">
        <v>1697</v>
      </c>
      <c r="BL29" s="19">
        <v>45289</v>
      </c>
      <c r="BM29" s="14" t="s">
        <v>271</v>
      </c>
      <c r="BN29" s="27">
        <v>45469</v>
      </c>
      <c r="BO29" s="27">
        <v>45469</v>
      </c>
      <c r="BP29" s="27">
        <v>45469</v>
      </c>
      <c r="BQ29" s="27">
        <v>45469</v>
      </c>
      <c r="BR29" s="27">
        <v>45654</v>
      </c>
      <c r="BS29" s="28">
        <v>-2545</v>
      </c>
      <c r="BT29" s="29">
        <v>-1795</v>
      </c>
      <c r="BU29" s="29">
        <v>-2545</v>
      </c>
      <c r="BV29" s="29">
        <v>-2545</v>
      </c>
      <c r="BW29" s="29">
        <v>-1795</v>
      </c>
      <c r="BX29" s="30" t="s">
        <v>173</v>
      </c>
      <c r="BY29" s="8">
        <v>5</v>
      </c>
      <c r="BZ29" s="8">
        <v>0</v>
      </c>
      <c r="CA29" s="8">
        <v>0</v>
      </c>
      <c r="CB29" s="21">
        <v>45288.770833333299</v>
      </c>
      <c r="CC29" s="21">
        <v>45288.770833333299</v>
      </c>
      <c r="CD29" s="21">
        <v>45288.770833333299</v>
      </c>
      <c r="CE29" s="21">
        <v>45288.770833333299</v>
      </c>
      <c r="CF29" s="21">
        <v>45288.770833333299</v>
      </c>
      <c r="CG29" s="21">
        <v>45288.770833333299</v>
      </c>
      <c r="CH29" s="21">
        <v>45288.770833333299</v>
      </c>
      <c r="CI29" s="21">
        <v>45288.770833333299</v>
      </c>
      <c r="CJ29" s="21">
        <v>45288.770833333299</v>
      </c>
      <c r="CK29" s="22" t="s">
        <v>2959</v>
      </c>
      <c r="CL29" s="22" t="s">
        <v>2959</v>
      </c>
      <c r="CM29" s="22" t="s">
        <v>2959</v>
      </c>
      <c r="CN29" s="22" t="s">
        <v>2959</v>
      </c>
      <c r="CO29" s="22" t="s">
        <v>2959</v>
      </c>
      <c r="CP29" s="22" t="s">
        <v>2957</v>
      </c>
      <c r="CQ29" s="22" t="s">
        <v>2953</v>
      </c>
      <c r="CR29" s="22" t="s">
        <v>2957</v>
      </c>
      <c r="CS29" s="22" t="s">
        <v>2957</v>
      </c>
      <c r="CT29" s="22">
        <v>3</v>
      </c>
      <c r="CU29" s="21">
        <v>45468</v>
      </c>
      <c r="CV29" s="21">
        <v>45468</v>
      </c>
      <c r="CW29" s="21">
        <v>45468</v>
      </c>
      <c r="CX29" s="21">
        <v>45468</v>
      </c>
      <c r="CY29" s="21">
        <v>45468</v>
      </c>
      <c r="CZ29" s="21">
        <v>45558</v>
      </c>
      <c r="DA29" s="21">
        <v>45653</v>
      </c>
      <c r="DB29" s="21">
        <v>45468</v>
      </c>
      <c r="DC29" s="21">
        <v>45653</v>
      </c>
      <c r="DD29" s="8">
        <v>1</v>
      </c>
      <c r="DE29" s="8">
        <v>0</v>
      </c>
      <c r="DF29" s="8">
        <v>0</v>
      </c>
      <c r="DG29" s="8">
        <v>9</v>
      </c>
      <c r="DH29" s="8">
        <v>0</v>
      </c>
      <c r="DI29" s="8">
        <v>0</v>
      </c>
      <c r="DJ29" s="8" t="s">
        <v>2954</v>
      </c>
      <c r="DK29" s="21">
        <v>44252</v>
      </c>
      <c r="DL29" s="21">
        <v>44225.229166666664</v>
      </c>
      <c r="DM29" s="21">
        <v>45938</v>
      </c>
      <c r="DN29" s="18">
        <v>3945</v>
      </c>
      <c r="DO29" s="21">
        <v>0</v>
      </c>
      <c r="DP29" s="21">
        <v>0</v>
      </c>
      <c r="DQ29" s="21" t="s">
        <v>2955</v>
      </c>
      <c r="DR29" s="21">
        <v>45289</v>
      </c>
      <c r="DS29" s="21">
        <v>45289</v>
      </c>
      <c r="DT29" s="21">
        <v>45289</v>
      </c>
      <c r="DU29" s="21">
        <v>45289</v>
      </c>
      <c r="DV29" s="21">
        <v>45289</v>
      </c>
      <c r="DW29" s="21">
        <v>45289</v>
      </c>
      <c r="DX29" s="21">
        <v>45289</v>
      </c>
      <c r="DY29" s="21">
        <v>45289</v>
      </c>
      <c r="DZ29" s="21">
        <v>45289</v>
      </c>
      <c r="EA29" s="8">
        <v>500</v>
      </c>
      <c r="EB29" s="8">
        <v>500</v>
      </c>
      <c r="EC29" s="8">
        <v>500</v>
      </c>
      <c r="ED29" s="8">
        <v>500</v>
      </c>
      <c r="EE29" s="8">
        <v>500</v>
      </c>
      <c r="EF29" s="8">
        <v>750</v>
      </c>
      <c r="EG29" s="8">
        <v>1000</v>
      </c>
      <c r="EH29" s="8">
        <v>750</v>
      </c>
      <c r="EI29" s="8">
        <v>750</v>
      </c>
      <c r="EJ29" s="8">
        <v>3</v>
      </c>
      <c r="EK29" s="8" t="s">
        <v>2624</v>
      </c>
      <c r="EL29" s="8">
        <v>174</v>
      </c>
      <c r="EM29" s="8">
        <v>1044</v>
      </c>
      <c r="EN29" s="8">
        <v>212</v>
      </c>
      <c r="EO29" s="8">
        <v>212</v>
      </c>
      <c r="EP29" s="8">
        <v>212</v>
      </c>
      <c r="EQ29" s="8">
        <v>212</v>
      </c>
      <c r="ER29" s="8">
        <v>212</v>
      </c>
      <c r="ES29" s="8">
        <v>462</v>
      </c>
      <c r="ET29" s="8">
        <v>712</v>
      </c>
      <c r="EU29" s="8">
        <v>462</v>
      </c>
      <c r="EV29" s="8">
        <v>462</v>
      </c>
    </row>
    <row r="30" spans="1:152" x14ac:dyDescent="0.15">
      <c r="A30" s="8">
        <f>ROW([2]!tbl_DPSAC[[#This Row],[Sl. No.]])-1</f>
        <v>29</v>
      </c>
      <c r="B30" s="9" t="s">
        <v>196</v>
      </c>
      <c r="C30" s="9" t="s">
        <v>272</v>
      </c>
      <c r="D30" s="9" t="s">
        <v>273</v>
      </c>
      <c r="E30" s="9" t="s">
        <v>274</v>
      </c>
      <c r="F30" s="9" t="s">
        <v>161</v>
      </c>
      <c r="G30" s="10" t="s">
        <v>275</v>
      </c>
      <c r="H30" s="10" t="str">
        <f>_xlfn.XLOOKUP(C30,'[1]E&amp;DPSAC'!$K:$K,'[1]E&amp;DPSAC'!$E:$E,,0)</f>
        <v>MOKAMA, BIHAR</v>
      </c>
      <c r="I30" s="10" t="s">
        <v>276</v>
      </c>
      <c r="J30" s="10">
        <v>9279265464</v>
      </c>
      <c r="K30" s="10">
        <f>_xlfn.XLOOKUP(C30,'[1]E&amp;DPSAC'!$K:$K,'[1]E&amp;DPSAC'!$G:$G,"",0)</f>
        <v>9279265464</v>
      </c>
      <c r="L30" s="9" t="str">
        <f t="shared" ca="1" si="0"/>
        <v>Non - Warranty</v>
      </c>
      <c r="M30" s="11">
        <v>44254.611111111102</v>
      </c>
      <c r="N30" s="12">
        <v>24</v>
      </c>
      <c r="O30" s="11">
        <f t="shared" si="1"/>
        <v>44985</v>
      </c>
      <c r="P30" s="8" t="s">
        <v>142</v>
      </c>
      <c r="Q30" s="16" t="s">
        <v>280</v>
      </c>
      <c r="R30" s="15">
        <v>45954.742361111108</v>
      </c>
      <c r="S30" s="14">
        <v>6500</v>
      </c>
      <c r="T30" s="15">
        <v>45199</v>
      </c>
      <c r="U30" s="14">
        <v>1409</v>
      </c>
      <c r="V30" s="14">
        <v>6713</v>
      </c>
      <c r="W30" s="17">
        <v>45965.5708564815</v>
      </c>
      <c r="X30" s="14" t="s">
        <v>2699</v>
      </c>
      <c r="Y30" s="14">
        <v>537</v>
      </c>
      <c r="Z30" s="14" t="s">
        <v>2692</v>
      </c>
      <c r="AA30" s="18">
        <v>158.25763888889196</v>
      </c>
      <c r="AB30" s="18" t="s">
        <v>2692</v>
      </c>
      <c r="AC30" s="8">
        <f>tbl_DPSAC[[#This Row],[Current Month Due Count]]</f>
        <v>4</v>
      </c>
      <c r="AD30" s="8">
        <f>tbl_DPSAC[[#This Row],[Next Month Due2]]</f>
        <v>0</v>
      </c>
      <c r="AE30" s="8">
        <f t="shared" si="2"/>
        <v>0</v>
      </c>
      <c r="AF30" s="8">
        <v>3</v>
      </c>
      <c r="AG30" s="14">
        <f t="shared" ca="1" si="3"/>
        <v>7155</v>
      </c>
      <c r="AH30" s="8" t="s">
        <v>277</v>
      </c>
      <c r="AI30" s="8" t="s">
        <v>278</v>
      </c>
      <c r="AJ30" s="8" t="s">
        <v>279</v>
      </c>
      <c r="AK30" s="8">
        <v>0</v>
      </c>
      <c r="AL30" s="8">
        <v>0</v>
      </c>
      <c r="AM30" s="8">
        <v>0</v>
      </c>
      <c r="AN30" s="8">
        <v>0</v>
      </c>
      <c r="AO30" s="8">
        <v>0</v>
      </c>
      <c r="AP30" s="8">
        <v>0</v>
      </c>
      <c r="AQ30" s="8">
        <v>0</v>
      </c>
      <c r="AR30" s="8">
        <v>0</v>
      </c>
      <c r="AS30" s="8">
        <v>0</v>
      </c>
      <c r="AT30" s="8">
        <v>0</v>
      </c>
      <c r="AU30" s="8">
        <v>0</v>
      </c>
      <c r="AV30" s="8">
        <v>0</v>
      </c>
      <c r="AW30" s="8">
        <v>0</v>
      </c>
      <c r="AX30" s="8" t="s">
        <v>2007</v>
      </c>
      <c r="AY30" s="14">
        <v>6500</v>
      </c>
      <c r="AZ30" s="19">
        <v>45954</v>
      </c>
      <c r="BA30" s="14" t="s">
        <v>280</v>
      </c>
      <c r="BB30" s="14">
        <v>6500</v>
      </c>
      <c r="BC30" s="19">
        <v>45954</v>
      </c>
      <c r="BD30" s="14" t="s">
        <v>280</v>
      </c>
      <c r="BE30" s="14">
        <v>6500</v>
      </c>
      <c r="BF30" s="19">
        <v>45954</v>
      </c>
      <c r="BG30" s="14" t="s">
        <v>280</v>
      </c>
      <c r="BH30" s="14">
        <v>6500</v>
      </c>
      <c r="BI30" s="19">
        <v>45954</v>
      </c>
      <c r="BJ30" s="14" t="s">
        <v>280</v>
      </c>
      <c r="BK30" s="14">
        <v>6500</v>
      </c>
      <c r="BL30" s="19">
        <v>45954</v>
      </c>
      <c r="BM30" s="14" t="s">
        <v>280</v>
      </c>
      <c r="BN30" s="27">
        <v>46134</v>
      </c>
      <c r="BO30" s="27">
        <v>46134</v>
      </c>
      <c r="BP30" s="27">
        <v>46134</v>
      </c>
      <c r="BQ30" s="27">
        <v>46134</v>
      </c>
      <c r="BR30" s="27">
        <v>46319</v>
      </c>
      <c r="BS30" s="28">
        <v>95</v>
      </c>
      <c r="BT30" s="29">
        <v>845</v>
      </c>
      <c r="BU30" s="29">
        <v>95</v>
      </c>
      <c r="BV30" s="29">
        <v>95</v>
      </c>
      <c r="BW30" s="29">
        <v>845</v>
      </c>
      <c r="BX30" s="30" t="s">
        <v>281</v>
      </c>
      <c r="BY30" s="8">
        <v>0</v>
      </c>
      <c r="BZ30" s="8">
        <v>4</v>
      </c>
      <c r="CA30" s="8">
        <v>0</v>
      </c>
      <c r="CB30" s="21">
        <v>45954.770833333299</v>
      </c>
      <c r="CC30" s="21">
        <v>45954.770833333299</v>
      </c>
      <c r="CD30" s="21">
        <v>45954.770833333299</v>
      </c>
      <c r="CE30" s="21">
        <v>45954.770833333299</v>
      </c>
      <c r="CF30" s="21">
        <v>45954.770833333299</v>
      </c>
      <c r="CG30" s="21">
        <v>45954.770833333299</v>
      </c>
      <c r="CH30" s="21">
        <v>45954.770833333299</v>
      </c>
      <c r="CI30" s="21">
        <v>45954.770833333299</v>
      </c>
      <c r="CJ30" s="21">
        <v>45954.770833333299</v>
      </c>
      <c r="CK30" s="22" t="s">
        <v>2978</v>
      </c>
      <c r="CL30" s="22" t="s">
        <v>2978</v>
      </c>
      <c r="CM30" s="22" t="s">
        <v>2978</v>
      </c>
      <c r="CN30" s="22" t="s">
        <v>2978</v>
      </c>
      <c r="CO30" s="22" t="s">
        <v>2978</v>
      </c>
      <c r="CP30" s="22" t="s">
        <v>2978</v>
      </c>
      <c r="CQ30" s="22" t="s">
        <v>2953</v>
      </c>
      <c r="CR30" s="22" t="s">
        <v>2978</v>
      </c>
      <c r="CS30" s="22" t="s">
        <v>2978</v>
      </c>
      <c r="CT30" s="22">
        <v>4</v>
      </c>
      <c r="CU30" s="21">
        <v>46134</v>
      </c>
      <c r="CV30" s="21">
        <v>46134</v>
      </c>
      <c r="CW30" s="21">
        <v>46134</v>
      </c>
      <c r="CX30" s="21">
        <v>46134</v>
      </c>
      <c r="CY30" s="21">
        <v>46134</v>
      </c>
      <c r="CZ30" s="21">
        <v>46144</v>
      </c>
      <c r="DA30" s="21">
        <v>46307</v>
      </c>
      <c r="DB30" s="21">
        <v>46134</v>
      </c>
      <c r="DC30" s="21">
        <v>46144</v>
      </c>
      <c r="DD30" s="8">
        <v>0</v>
      </c>
      <c r="DE30" s="8">
        <v>0</v>
      </c>
      <c r="DF30" s="8">
        <v>0</v>
      </c>
      <c r="DG30" s="8">
        <v>0</v>
      </c>
      <c r="DH30" s="8">
        <v>6</v>
      </c>
      <c r="DI30" s="8">
        <v>2</v>
      </c>
      <c r="DJ30" s="8" t="s">
        <v>2954</v>
      </c>
      <c r="DK30" s="21">
        <v>44254</v>
      </c>
      <c r="DL30" s="21">
        <v>44239.229166666664</v>
      </c>
      <c r="DM30" s="21">
        <v>46057</v>
      </c>
      <c r="DN30" s="18">
        <v>6713</v>
      </c>
      <c r="DO30" s="21">
        <v>0</v>
      </c>
      <c r="DP30" s="21">
        <v>0</v>
      </c>
      <c r="DQ30" s="21" t="s">
        <v>2955</v>
      </c>
      <c r="DR30" s="21">
        <v>45955</v>
      </c>
      <c r="DS30" s="21">
        <v>45955</v>
      </c>
      <c r="DT30" s="21">
        <v>45955</v>
      </c>
      <c r="DU30" s="21">
        <v>45955</v>
      </c>
      <c r="DV30" s="21">
        <v>45955</v>
      </c>
      <c r="DW30" s="21">
        <v>45955</v>
      </c>
      <c r="DX30" s="21">
        <v>45955</v>
      </c>
      <c r="DY30" s="21">
        <v>45955</v>
      </c>
      <c r="DZ30" s="21">
        <v>45955</v>
      </c>
      <c r="EA30" s="8">
        <v>350</v>
      </c>
      <c r="EB30" s="8">
        <v>350</v>
      </c>
      <c r="EC30" s="8">
        <v>350</v>
      </c>
      <c r="ED30" s="8">
        <v>350</v>
      </c>
      <c r="EE30" s="8">
        <v>350</v>
      </c>
      <c r="EF30" s="8">
        <v>350</v>
      </c>
      <c r="EG30" s="8">
        <v>1000</v>
      </c>
      <c r="EH30" s="8">
        <v>350</v>
      </c>
      <c r="EI30" s="8">
        <v>350</v>
      </c>
      <c r="EJ30" s="8">
        <v>4</v>
      </c>
      <c r="EK30" s="8" t="s">
        <v>2624</v>
      </c>
      <c r="EL30" s="8">
        <v>147</v>
      </c>
      <c r="EM30" s="8">
        <v>441</v>
      </c>
      <c r="EN30" s="8">
        <v>62</v>
      </c>
      <c r="EO30" s="8">
        <v>62</v>
      </c>
      <c r="EP30" s="8">
        <v>62</v>
      </c>
      <c r="EQ30" s="8">
        <v>62</v>
      </c>
      <c r="ER30" s="8">
        <v>62</v>
      </c>
      <c r="ES30" s="8">
        <v>62</v>
      </c>
      <c r="ET30" s="8">
        <v>712</v>
      </c>
      <c r="EU30" s="8">
        <v>62</v>
      </c>
      <c r="EV30" s="8">
        <v>62</v>
      </c>
    </row>
    <row r="31" spans="1:152" x14ac:dyDescent="0.15">
      <c r="A31" s="8">
        <f>ROW([2]!tbl_DPSAC[[#This Row],[Sl. No.]])-1</f>
        <v>30</v>
      </c>
      <c r="B31" s="9" t="s">
        <v>196</v>
      </c>
      <c r="C31" s="9" t="s">
        <v>282</v>
      </c>
      <c r="D31" s="9" t="s">
        <v>198</v>
      </c>
      <c r="E31" s="9" t="s">
        <v>199</v>
      </c>
      <c r="F31" s="9" t="s">
        <v>161</v>
      </c>
      <c r="G31" s="10" t="s">
        <v>218</v>
      </c>
      <c r="H31" s="10" t="str">
        <f>_xlfn.XLOOKUP(C31,'[1]E&amp;DPSAC'!$K:$K,'[1]E&amp;DPSAC'!$E:$E,,0)</f>
        <v>BIHAR, BEGUSARAI</v>
      </c>
      <c r="I31" s="10" t="s">
        <v>219</v>
      </c>
      <c r="J31" s="10">
        <v>8877841639</v>
      </c>
      <c r="K31" s="10">
        <f>_xlfn.XLOOKUP(C31,'[1]E&amp;DPSAC'!$K:$K,'[1]E&amp;DPSAC'!$G:$G,"",0)</f>
        <v>8877841639</v>
      </c>
      <c r="L31" s="9" t="str">
        <f t="shared" ca="1" si="0"/>
        <v>Non - Warranty</v>
      </c>
      <c r="M31" s="11">
        <v>44246.708333333299</v>
      </c>
      <c r="N31" s="12">
        <v>24</v>
      </c>
      <c r="O31" s="11">
        <f t="shared" si="1"/>
        <v>44985</v>
      </c>
      <c r="P31" s="8" t="s">
        <v>142</v>
      </c>
      <c r="Q31" s="16" t="s">
        <v>286</v>
      </c>
      <c r="R31" s="15">
        <v>45289.459016203698</v>
      </c>
      <c r="S31" s="14">
        <v>2499</v>
      </c>
      <c r="T31" s="15">
        <v>45289</v>
      </c>
      <c r="U31" s="14">
        <v>2499</v>
      </c>
      <c r="V31" s="14">
        <v>4450</v>
      </c>
      <c r="W31" s="17">
        <v>45938.55</v>
      </c>
      <c r="X31" s="14" t="s">
        <v>2712</v>
      </c>
      <c r="Y31" s="14">
        <v>-1201</v>
      </c>
      <c r="Z31" s="14" t="s">
        <v>2697</v>
      </c>
      <c r="AA31" s="18">
        <v>823.54098379630159</v>
      </c>
      <c r="AB31" s="18" t="s">
        <v>2697</v>
      </c>
      <c r="AC31" s="8">
        <f>tbl_DPSAC[[#This Row],[Current Month Due Count]]</f>
        <v>0</v>
      </c>
      <c r="AD31" s="8">
        <f>tbl_DPSAC[[#This Row],[Next Month Due2]]</f>
        <v>0</v>
      </c>
      <c r="AE31" s="8">
        <f t="shared" si="2"/>
        <v>1</v>
      </c>
      <c r="AF31" s="8">
        <v>2</v>
      </c>
      <c r="AG31" s="14">
        <f t="shared" ca="1" si="3"/>
        <v>4799</v>
      </c>
      <c r="AH31" s="8" t="s">
        <v>283</v>
      </c>
      <c r="AI31" s="8" t="s">
        <v>284</v>
      </c>
      <c r="AJ31" s="8">
        <v>0</v>
      </c>
      <c r="AK31" s="8" t="s">
        <v>285</v>
      </c>
      <c r="AL31" s="8">
        <v>0</v>
      </c>
      <c r="AM31" s="8">
        <v>0</v>
      </c>
      <c r="AN31" s="8">
        <v>0</v>
      </c>
      <c r="AO31" s="8">
        <v>0</v>
      </c>
      <c r="AP31" s="8">
        <v>0</v>
      </c>
      <c r="AQ31" s="8">
        <v>0</v>
      </c>
      <c r="AR31" s="8">
        <v>0</v>
      </c>
      <c r="AS31" s="8">
        <v>0</v>
      </c>
      <c r="AT31" s="8">
        <v>0</v>
      </c>
      <c r="AU31" s="8">
        <v>0</v>
      </c>
      <c r="AV31" s="8">
        <v>0</v>
      </c>
      <c r="AW31" s="8">
        <v>0</v>
      </c>
      <c r="AX31" s="8" t="s">
        <v>2961</v>
      </c>
      <c r="AY31" s="14">
        <v>2499</v>
      </c>
      <c r="AZ31" s="19">
        <v>45289</v>
      </c>
      <c r="BA31" s="14" t="s">
        <v>286</v>
      </c>
      <c r="BB31" s="14">
        <v>2499</v>
      </c>
      <c r="BC31" s="19">
        <v>45289</v>
      </c>
      <c r="BD31" s="14" t="s">
        <v>286</v>
      </c>
      <c r="BE31" s="14">
        <v>2499</v>
      </c>
      <c r="BF31" s="19">
        <v>45289</v>
      </c>
      <c r="BG31" s="14" t="s">
        <v>286</v>
      </c>
      <c r="BH31" s="14">
        <v>2499</v>
      </c>
      <c r="BI31" s="19">
        <v>45289</v>
      </c>
      <c r="BJ31" s="14" t="s">
        <v>286</v>
      </c>
      <c r="BK31" s="14">
        <v>2499</v>
      </c>
      <c r="BL31" s="19">
        <v>45289</v>
      </c>
      <c r="BM31" s="14" t="s">
        <v>286</v>
      </c>
      <c r="BN31" s="27">
        <v>45469</v>
      </c>
      <c r="BO31" s="27">
        <v>45469</v>
      </c>
      <c r="BP31" s="27">
        <v>45469</v>
      </c>
      <c r="BQ31" s="27">
        <v>45469</v>
      </c>
      <c r="BR31" s="27">
        <v>45654</v>
      </c>
      <c r="BS31" s="28">
        <v>-1550</v>
      </c>
      <c r="BT31" s="29">
        <v>-800</v>
      </c>
      <c r="BU31" s="29">
        <v>-1550</v>
      </c>
      <c r="BV31" s="29">
        <v>-1550</v>
      </c>
      <c r="BW31" s="29">
        <v>-800</v>
      </c>
      <c r="BX31" s="30" t="s">
        <v>173</v>
      </c>
      <c r="BY31" s="8">
        <v>5</v>
      </c>
      <c r="BZ31" s="8">
        <v>0</v>
      </c>
      <c r="CA31" s="8">
        <v>0</v>
      </c>
      <c r="CB31" s="21">
        <v>45288.770833333299</v>
      </c>
      <c r="CC31" s="21">
        <v>45288.770833333299</v>
      </c>
      <c r="CD31" s="21">
        <v>45288.770833333299</v>
      </c>
      <c r="CE31" s="21">
        <v>45288.770833333299</v>
      </c>
      <c r="CF31" s="21">
        <v>45288.770833333299</v>
      </c>
      <c r="CG31" s="21">
        <v>45288.770833333299</v>
      </c>
      <c r="CH31" s="21">
        <v>45288.770833333299</v>
      </c>
      <c r="CI31" s="21">
        <v>45288.770833333299</v>
      </c>
      <c r="CJ31" s="21">
        <v>45288.770833333299</v>
      </c>
      <c r="CK31" s="22" t="s">
        <v>2989</v>
      </c>
      <c r="CL31" s="22" t="s">
        <v>2989</v>
      </c>
      <c r="CM31" s="22" t="s">
        <v>2989</v>
      </c>
      <c r="CN31" s="22" t="s">
        <v>2989</v>
      </c>
      <c r="CO31" s="22" t="s">
        <v>2989</v>
      </c>
      <c r="CP31" s="22" t="s">
        <v>2990</v>
      </c>
      <c r="CQ31" s="22" t="s">
        <v>2953</v>
      </c>
      <c r="CR31" s="22" t="s">
        <v>2990</v>
      </c>
      <c r="CS31" s="22" t="s">
        <v>2990</v>
      </c>
      <c r="CT31" s="22">
        <v>3</v>
      </c>
      <c r="CU31" s="21">
        <v>45468</v>
      </c>
      <c r="CV31" s="21">
        <v>45468</v>
      </c>
      <c r="CW31" s="21">
        <v>45468</v>
      </c>
      <c r="CX31" s="21">
        <v>45468</v>
      </c>
      <c r="CY31" s="21">
        <v>45468</v>
      </c>
      <c r="CZ31" s="21">
        <v>45558</v>
      </c>
      <c r="DA31" s="21">
        <v>45653</v>
      </c>
      <c r="DB31" s="21">
        <v>45468</v>
      </c>
      <c r="DC31" s="21">
        <v>45653</v>
      </c>
      <c r="DD31" s="8">
        <v>1</v>
      </c>
      <c r="DE31" s="8">
        <v>0</v>
      </c>
      <c r="DF31" s="8">
        <v>0</v>
      </c>
      <c r="DG31" s="8">
        <v>9</v>
      </c>
      <c r="DH31" s="8">
        <v>0</v>
      </c>
      <c r="DI31" s="8">
        <v>0</v>
      </c>
      <c r="DJ31" s="8" t="s">
        <v>2954</v>
      </c>
      <c r="DK31" s="21">
        <v>44246</v>
      </c>
      <c r="DL31" s="21">
        <v>44203.229166666664</v>
      </c>
      <c r="DM31" s="21">
        <v>45938</v>
      </c>
      <c r="DN31" s="18">
        <v>4450</v>
      </c>
      <c r="DO31" s="21">
        <v>0</v>
      </c>
      <c r="DP31" s="21">
        <v>0</v>
      </c>
      <c r="DQ31" s="21" t="s">
        <v>2955</v>
      </c>
      <c r="DR31" s="21">
        <v>45289</v>
      </c>
      <c r="DS31" s="21">
        <v>45289</v>
      </c>
      <c r="DT31" s="21">
        <v>45289</v>
      </c>
      <c r="DU31" s="21">
        <v>45289</v>
      </c>
      <c r="DV31" s="21">
        <v>45289</v>
      </c>
      <c r="DW31" s="21">
        <v>45289</v>
      </c>
      <c r="DX31" s="21">
        <v>45289</v>
      </c>
      <c r="DY31" s="21">
        <v>45289</v>
      </c>
      <c r="DZ31" s="21">
        <v>45289</v>
      </c>
      <c r="EA31" s="8">
        <v>450</v>
      </c>
      <c r="EB31" s="8">
        <v>450</v>
      </c>
      <c r="EC31" s="8">
        <v>450</v>
      </c>
      <c r="ED31" s="8">
        <v>450</v>
      </c>
      <c r="EE31" s="8">
        <v>450</v>
      </c>
      <c r="EF31" s="8">
        <v>1210</v>
      </c>
      <c r="EG31" s="8">
        <v>1000</v>
      </c>
      <c r="EH31" s="8">
        <v>1210</v>
      </c>
      <c r="EI31" s="8">
        <v>1210</v>
      </c>
      <c r="EJ31" s="8">
        <v>3</v>
      </c>
      <c r="EK31" s="8" t="s">
        <v>2624</v>
      </c>
      <c r="EL31" s="8">
        <v>174</v>
      </c>
      <c r="EM31" s="8">
        <v>348</v>
      </c>
      <c r="EN31" s="8">
        <v>162</v>
      </c>
      <c r="EO31" s="8">
        <v>162</v>
      </c>
      <c r="EP31" s="8">
        <v>162</v>
      </c>
      <c r="EQ31" s="8">
        <v>162</v>
      </c>
      <c r="ER31" s="8">
        <v>162</v>
      </c>
      <c r="ES31" s="8">
        <v>922</v>
      </c>
      <c r="ET31" s="8">
        <v>712</v>
      </c>
      <c r="EU31" s="8">
        <v>922</v>
      </c>
      <c r="EV31" s="8">
        <v>922</v>
      </c>
    </row>
    <row r="32" spans="1:152" x14ac:dyDescent="0.15">
      <c r="A32" s="8">
        <f>ROW([2]!tbl_DPSAC[[#This Row],[Sl. No.]])-1</f>
        <v>31</v>
      </c>
      <c r="B32" s="9" t="s">
        <v>196</v>
      </c>
      <c r="C32" s="9" t="s">
        <v>287</v>
      </c>
      <c r="D32" s="9" t="s">
        <v>198</v>
      </c>
      <c r="E32" s="9" t="s">
        <v>199</v>
      </c>
      <c r="F32" s="9" t="s">
        <v>161</v>
      </c>
      <c r="G32" s="10" t="s">
        <v>200</v>
      </c>
      <c r="H32" s="10" t="str">
        <f>_xlfn.XLOOKUP(C32,'[1]E&amp;DPSAC'!$K:$K,'[1]E&amp;DPSAC'!$E:$E,,0)</f>
        <v>PATNA</v>
      </c>
      <c r="I32" s="10"/>
      <c r="J32" s="10" t="s">
        <v>143</v>
      </c>
      <c r="K32" s="10">
        <f>_xlfn.XLOOKUP(C32,'[1]E&amp;DPSAC'!$K:$K,'[1]E&amp;DPSAC'!$G:$G,"",0)</f>
        <v>9958703467</v>
      </c>
      <c r="L32" s="9" t="str">
        <f t="shared" ca="1" si="0"/>
        <v>Non - Warranty</v>
      </c>
      <c r="M32" s="11">
        <v>44225.458333333299</v>
      </c>
      <c r="N32" s="12">
        <v>24</v>
      </c>
      <c r="O32" s="11">
        <f t="shared" si="1"/>
        <v>44957</v>
      </c>
      <c r="P32" s="8" t="s">
        <v>142</v>
      </c>
      <c r="Q32" s="16" t="s">
        <v>289</v>
      </c>
      <c r="R32" s="15">
        <v>45266.515752314801</v>
      </c>
      <c r="S32" s="14">
        <v>955</v>
      </c>
      <c r="T32" s="15">
        <v>45266</v>
      </c>
      <c r="U32" s="14">
        <v>955</v>
      </c>
      <c r="V32" s="14">
        <v>4825</v>
      </c>
      <c r="W32" s="17">
        <v>45962.494444444441</v>
      </c>
      <c r="X32" s="14" t="s">
        <v>2713</v>
      </c>
      <c r="Y32" s="14">
        <v>-3120</v>
      </c>
      <c r="Z32" s="14" t="s">
        <v>2697</v>
      </c>
      <c r="AA32" s="18">
        <v>846.48424768519908</v>
      </c>
      <c r="AB32" s="18" t="s">
        <v>2697</v>
      </c>
      <c r="AC32" s="8">
        <f>tbl_DPSAC[[#This Row],[Current Month Due Count]]</f>
        <v>0</v>
      </c>
      <c r="AD32" s="8">
        <f>tbl_DPSAC[[#This Row],[Next Month Due2]]</f>
        <v>0</v>
      </c>
      <c r="AE32" s="8">
        <f t="shared" si="2"/>
        <v>1</v>
      </c>
      <c r="AF32" s="8">
        <v>2</v>
      </c>
      <c r="AG32" s="14">
        <f t="shared" ca="1" si="3"/>
        <v>5126</v>
      </c>
      <c r="AH32" s="8">
        <v>0</v>
      </c>
      <c r="AI32" s="8">
        <v>0</v>
      </c>
      <c r="AJ32" s="8">
        <v>0</v>
      </c>
      <c r="AK32" s="8">
        <v>0</v>
      </c>
      <c r="AL32" s="8">
        <v>0</v>
      </c>
      <c r="AM32" s="8">
        <v>0</v>
      </c>
      <c r="AN32" s="8">
        <v>0</v>
      </c>
      <c r="AO32" s="8">
        <v>0</v>
      </c>
      <c r="AP32" s="8">
        <v>0</v>
      </c>
      <c r="AQ32" s="8">
        <v>0</v>
      </c>
      <c r="AR32" s="8">
        <v>0</v>
      </c>
      <c r="AS32" s="8">
        <v>0</v>
      </c>
      <c r="AT32" s="8">
        <v>0</v>
      </c>
      <c r="AU32" s="8">
        <v>0</v>
      </c>
      <c r="AV32" s="8" t="s">
        <v>288</v>
      </c>
      <c r="AW32" s="8">
        <v>0</v>
      </c>
      <c r="AX32" s="8" t="s">
        <v>2961</v>
      </c>
      <c r="AY32" s="14">
        <v>955</v>
      </c>
      <c r="AZ32" s="19">
        <v>45266</v>
      </c>
      <c r="BA32" s="14" t="s">
        <v>289</v>
      </c>
      <c r="BB32" s="14">
        <v>955</v>
      </c>
      <c r="BC32" s="19">
        <v>45266</v>
      </c>
      <c r="BD32" s="14" t="s">
        <v>289</v>
      </c>
      <c r="BE32" s="14">
        <v>955</v>
      </c>
      <c r="BF32" s="19">
        <v>45266</v>
      </c>
      <c r="BG32" s="14" t="s">
        <v>289</v>
      </c>
      <c r="BH32" s="14">
        <v>955</v>
      </c>
      <c r="BI32" s="19">
        <v>45266</v>
      </c>
      <c r="BJ32" s="14" t="s">
        <v>289</v>
      </c>
      <c r="BK32" s="14">
        <v>955</v>
      </c>
      <c r="BL32" s="19">
        <v>45266</v>
      </c>
      <c r="BM32" s="14" t="s">
        <v>289</v>
      </c>
      <c r="BN32" s="27">
        <v>45446</v>
      </c>
      <c r="BO32" s="27">
        <v>45446</v>
      </c>
      <c r="BP32" s="27">
        <v>45446</v>
      </c>
      <c r="BQ32" s="27">
        <v>45446</v>
      </c>
      <c r="BR32" s="27">
        <v>45631</v>
      </c>
      <c r="BS32" s="28">
        <v>-3421</v>
      </c>
      <c r="BT32" s="29">
        <v>-2671</v>
      </c>
      <c r="BU32" s="29">
        <v>-3421</v>
      </c>
      <c r="BV32" s="29">
        <v>-3421</v>
      </c>
      <c r="BW32" s="29">
        <v>-2671</v>
      </c>
      <c r="BX32" s="30" t="e">
        <v>#N/A</v>
      </c>
      <c r="BY32" s="8">
        <v>5</v>
      </c>
      <c r="BZ32" s="8">
        <v>0</v>
      </c>
      <c r="CA32" s="8">
        <v>0</v>
      </c>
      <c r="CB32" s="21">
        <v>45265.770833333299</v>
      </c>
      <c r="CC32" s="21">
        <v>45089.770833333299</v>
      </c>
      <c r="CD32" s="21">
        <v>45089.770833333299</v>
      </c>
      <c r="CE32" s="21">
        <v>45089.770833333299</v>
      </c>
      <c r="CF32" s="21">
        <v>45089.770833333299</v>
      </c>
      <c r="CG32" s="21">
        <v>45265.770833333299</v>
      </c>
      <c r="CH32" s="21">
        <v>45265.770833333299</v>
      </c>
      <c r="CI32" s="21">
        <v>45265.770833333299</v>
      </c>
      <c r="CJ32" s="21">
        <v>45265.770833333299</v>
      </c>
      <c r="CK32" s="22" t="s">
        <v>2963</v>
      </c>
      <c r="CL32" s="22" t="s">
        <v>2963</v>
      </c>
      <c r="CM32" s="22" t="s">
        <v>2963</v>
      </c>
      <c r="CN32" s="22" t="s">
        <v>2963</v>
      </c>
      <c r="CO32" s="22" t="s">
        <v>2963</v>
      </c>
      <c r="CP32" s="22" t="s">
        <v>2963</v>
      </c>
      <c r="CQ32" s="22" t="s">
        <v>2953</v>
      </c>
      <c r="CR32" s="22" t="s">
        <v>2963</v>
      </c>
      <c r="CS32" s="22" t="s">
        <v>2963</v>
      </c>
      <c r="CT32" s="22">
        <v>1</v>
      </c>
      <c r="CU32" s="21">
        <v>45445</v>
      </c>
      <c r="CV32" s="21">
        <v>45269</v>
      </c>
      <c r="CW32" s="21">
        <v>45269</v>
      </c>
      <c r="CX32" s="21">
        <v>45269</v>
      </c>
      <c r="CY32" s="21">
        <v>45269</v>
      </c>
      <c r="CZ32" s="21">
        <v>45535</v>
      </c>
      <c r="DA32" s="21">
        <v>45630</v>
      </c>
      <c r="DB32" s="21">
        <v>45445</v>
      </c>
      <c r="DC32" s="21">
        <v>45630</v>
      </c>
      <c r="DD32" s="8">
        <v>1</v>
      </c>
      <c r="DE32" s="8">
        <v>0</v>
      </c>
      <c r="DF32" s="8">
        <v>0</v>
      </c>
      <c r="DG32" s="8">
        <v>9</v>
      </c>
      <c r="DH32" s="8">
        <v>0</v>
      </c>
      <c r="DI32" s="8">
        <v>0</v>
      </c>
      <c r="DJ32" s="8" t="s">
        <v>2954</v>
      </c>
      <c r="DK32" s="21">
        <v>44225</v>
      </c>
      <c r="DL32" s="21">
        <v>44201.229166666664</v>
      </c>
      <c r="DM32" s="21">
        <v>45962</v>
      </c>
      <c r="DN32" s="18">
        <v>4825</v>
      </c>
      <c r="DO32" s="21">
        <v>0</v>
      </c>
      <c r="DP32" s="21">
        <v>0</v>
      </c>
      <c r="DQ32" s="21" t="s">
        <v>2955</v>
      </c>
      <c r="DR32" s="21">
        <v>45266</v>
      </c>
      <c r="DS32" s="21">
        <v>45090</v>
      </c>
      <c r="DT32" s="21">
        <v>45090</v>
      </c>
      <c r="DU32" s="21">
        <v>45090</v>
      </c>
      <c r="DV32" s="21">
        <v>45090</v>
      </c>
      <c r="DW32" s="21">
        <v>45266</v>
      </c>
      <c r="DX32" s="21">
        <v>45266</v>
      </c>
      <c r="DY32" s="21">
        <v>45266</v>
      </c>
      <c r="DZ32" s="21">
        <v>45266</v>
      </c>
      <c r="EA32" s="8">
        <v>125</v>
      </c>
      <c r="EB32" s="8">
        <v>125</v>
      </c>
      <c r="EC32" s="8">
        <v>125</v>
      </c>
      <c r="ED32" s="8">
        <v>125</v>
      </c>
      <c r="EE32" s="8">
        <v>125</v>
      </c>
      <c r="EF32" s="8">
        <v>125</v>
      </c>
      <c r="EG32" s="8">
        <v>1000</v>
      </c>
      <c r="EH32" s="8">
        <v>125</v>
      </c>
      <c r="EI32" s="8">
        <v>125</v>
      </c>
      <c r="EJ32" s="8">
        <v>1</v>
      </c>
      <c r="EK32" s="8" t="s">
        <v>2624</v>
      </c>
      <c r="EL32" s="8">
        <v>151</v>
      </c>
      <c r="EM32" s="8">
        <v>302</v>
      </c>
      <c r="EN32" s="8">
        <v>-163</v>
      </c>
      <c r="EO32" s="8">
        <v>-163</v>
      </c>
      <c r="EP32" s="8">
        <v>-163</v>
      </c>
      <c r="EQ32" s="8">
        <v>-163</v>
      </c>
      <c r="ER32" s="8">
        <v>-163</v>
      </c>
      <c r="ES32" s="8">
        <v>-163</v>
      </c>
      <c r="ET32" s="8">
        <v>712</v>
      </c>
      <c r="EU32" s="8">
        <v>-163</v>
      </c>
      <c r="EV32" s="8">
        <v>-163</v>
      </c>
    </row>
    <row r="33" spans="1:152" x14ac:dyDescent="0.15">
      <c r="A33" s="8">
        <f>ROW([2]!tbl_DPSAC[[#This Row],[Sl. No.]])-1</f>
        <v>32</v>
      </c>
      <c r="B33" s="9" t="s">
        <v>136</v>
      </c>
      <c r="C33" s="9" t="s">
        <v>290</v>
      </c>
      <c r="D33" s="9" t="s">
        <v>138</v>
      </c>
      <c r="E33" s="9" t="s">
        <v>139</v>
      </c>
      <c r="F33" s="9" t="s">
        <v>161</v>
      </c>
      <c r="G33" s="10" t="s">
        <v>291</v>
      </c>
      <c r="H33" s="10" t="str">
        <f>_xlfn.XLOOKUP(C33,'[1]E&amp;DPSAC'!$K:$K,'[1]E&amp;DPSAC'!$E:$E,,0)</f>
        <v>NIRSA</v>
      </c>
      <c r="I33" s="10"/>
      <c r="J33" s="10">
        <v>8210106692</v>
      </c>
      <c r="K33" s="10">
        <f>_xlfn.XLOOKUP(C33,'[1]E&amp;DPSAC'!$K:$K,'[1]E&amp;DPSAC'!$G:$G,"",0)</f>
        <v>9348331797</v>
      </c>
      <c r="L33" s="9" t="str">
        <f t="shared" ca="1" si="0"/>
        <v>Non - Warranty</v>
      </c>
      <c r="M33" s="11">
        <v>44288.772916666698</v>
      </c>
      <c r="N33" s="12">
        <v>24</v>
      </c>
      <c r="O33" s="11">
        <f t="shared" si="1"/>
        <v>45046</v>
      </c>
      <c r="P33" s="8" t="s">
        <v>157</v>
      </c>
      <c r="Q33" s="16" t="s">
        <v>300</v>
      </c>
      <c r="R33" s="15">
        <v>45002.627719907403</v>
      </c>
      <c r="S33" s="14">
        <v>3880</v>
      </c>
      <c r="T33" s="15">
        <v>45941</v>
      </c>
      <c r="U33" s="14">
        <v>4000</v>
      </c>
      <c r="V33" s="14">
        <v>4500</v>
      </c>
      <c r="W33" s="17">
        <v>45176.520914351902</v>
      </c>
      <c r="X33" s="14" t="s">
        <v>2714</v>
      </c>
      <c r="Y33" s="14">
        <v>130</v>
      </c>
      <c r="Z33" s="14" t="s">
        <v>2692</v>
      </c>
      <c r="AA33" s="18">
        <v>1110.3722800925971</v>
      </c>
      <c r="AB33" s="18" t="s">
        <v>2697</v>
      </c>
      <c r="AC33" s="8">
        <f>tbl_DPSAC[[#This Row],[Current Month Due Count]]</f>
        <v>0</v>
      </c>
      <c r="AD33" s="8">
        <f>tbl_DPSAC[[#This Row],[Next Month Due2]]</f>
        <v>0</v>
      </c>
      <c r="AE33" s="8">
        <f t="shared" si="2"/>
        <v>1</v>
      </c>
      <c r="AF33" s="8">
        <v>6</v>
      </c>
      <c r="AG33" s="14">
        <f t="shared" ca="1" si="3"/>
        <v>10119</v>
      </c>
      <c r="AH33" s="8" t="s">
        <v>292</v>
      </c>
      <c r="AI33" s="8" t="s">
        <v>293</v>
      </c>
      <c r="AJ33" s="8" t="s">
        <v>294</v>
      </c>
      <c r="AK33" s="8" t="s">
        <v>295</v>
      </c>
      <c r="AL33" s="8" t="s">
        <v>296</v>
      </c>
      <c r="AM33" s="8" t="s">
        <v>297</v>
      </c>
      <c r="AN33" s="8" t="s">
        <v>298</v>
      </c>
      <c r="AO33" s="8" t="s">
        <v>299</v>
      </c>
      <c r="AP33" s="8">
        <v>0</v>
      </c>
      <c r="AQ33" s="8">
        <v>0</v>
      </c>
      <c r="AR33" s="8">
        <v>0</v>
      </c>
      <c r="AS33" s="8">
        <v>0</v>
      </c>
      <c r="AT33" s="8">
        <v>0</v>
      </c>
      <c r="AU33" s="8">
        <v>0</v>
      </c>
      <c r="AV33" s="8">
        <v>0</v>
      </c>
      <c r="AW33" s="8">
        <v>0</v>
      </c>
      <c r="AX33" s="8" t="s">
        <v>2961</v>
      </c>
      <c r="AY33" s="14">
        <v>3880</v>
      </c>
      <c r="AZ33" s="19">
        <v>45002</v>
      </c>
      <c r="BA33" s="14" t="s">
        <v>300</v>
      </c>
      <c r="BB33" s="14">
        <v>1</v>
      </c>
      <c r="BC33" s="19">
        <v>44288.772916666698</v>
      </c>
      <c r="BD33" s="14" t="s">
        <v>301</v>
      </c>
      <c r="BE33" s="14">
        <v>3880</v>
      </c>
      <c r="BF33" s="19">
        <v>45002</v>
      </c>
      <c r="BG33" s="14" t="s">
        <v>300</v>
      </c>
      <c r="BH33" s="14">
        <v>3880</v>
      </c>
      <c r="BI33" s="19">
        <v>45002</v>
      </c>
      <c r="BJ33" s="14" t="s">
        <v>300</v>
      </c>
      <c r="BK33" s="14">
        <v>1</v>
      </c>
      <c r="BL33" s="19">
        <v>44288.772916666698</v>
      </c>
      <c r="BM33" s="14" t="s">
        <v>301</v>
      </c>
      <c r="BN33" s="27">
        <v>45182</v>
      </c>
      <c r="BO33" s="27">
        <v>44468.772916666698</v>
      </c>
      <c r="BP33" s="27">
        <v>45182</v>
      </c>
      <c r="BQ33" s="27">
        <v>45182</v>
      </c>
      <c r="BR33" s="27">
        <v>44653.772916666698</v>
      </c>
      <c r="BS33" s="28">
        <v>-5489</v>
      </c>
      <c r="BT33" s="29">
        <v>-8618</v>
      </c>
      <c r="BU33" s="29">
        <v>-5489</v>
      </c>
      <c r="BV33" s="29">
        <v>-5489</v>
      </c>
      <c r="BW33" s="29">
        <v>-8618</v>
      </c>
      <c r="BX33" s="30" t="s">
        <v>255</v>
      </c>
      <c r="BY33" s="8">
        <v>5</v>
      </c>
      <c r="BZ33" s="8">
        <v>0</v>
      </c>
      <c r="CA33" s="8">
        <v>0</v>
      </c>
      <c r="CB33" s="21" t="s">
        <v>143</v>
      </c>
      <c r="CC33" s="21" t="s">
        <v>143</v>
      </c>
      <c r="CD33" s="21" t="s">
        <v>143</v>
      </c>
      <c r="CE33" s="21" t="s">
        <v>143</v>
      </c>
      <c r="CF33" s="21" t="s">
        <v>143</v>
      </c>
      <c r="CG33" s="21" t="s">
        <v>143</v>
      </c>
      <c r="CH33" s="21" t="s">
        <v>143</v>
      </c>
      <c r="CI33" s="21" t="s">
        <v>143</v>
      </c>
      <c r="CJ33" s="21" t="s">
        <v>143</v>
      </c>
      <c r="CK33" s="22" t="s">
        <v>143</v>
      </c>
      <c r="CL33" s="22" t="s">
        <v>143</v>
      </c>
      <c r="CM33" s="22" t="s">
        <v>143</v>
      </c>
      <c r="CN33" s="22" t="s">
        <v>143</v>
      </c>
      <c r="CO33" s="22" t="s">
        <v>143</v>
      </c>
      <c r="CP33" s="22" t="s">
        <v>143</v>
      </c>
      <c r="CQ33" s="22" t="s">
        <v>143</v>
      </c>
      <c r="CR33" s="22" t="s">
        <v>143</v>
      </c>
      <c r="CS33" s="22" t="s">
        <v>143</v>
      </c>
      <c r="CT33" s="22" t="s">
        <v>143</v>
      </c>
      <c r="CU33" s="21" t="s">
        <v>143</v>
      </c>
      <c r="CV33" s="21" t="s">
        <v>143</v>
      </c>
      <c r="CW33" s="21" t="s">
        <v>143</v>
      </c>
      <c r="CX33" s="21" t="s">
        <v>143</v>
      </c>
      <c r="CY33" s="21" t="s">
        <v>143</v>
      </c>
      <c r="CZ33" s="21" t="s">
        <v>143</v>
      </c>
      <c r="DA33" s="21" t="s">
        <v>143</v>
      </c>
      <c r="DB33" s="21" t="s">
        <v>143</v>
      </c>
      <c r="DC33" s="21" t="s">
        <v>143</v>
      </c>
      <c r="DD33" s="8" t="s">
        <v>143</v>
      </c>
      <c r="DE33" s="8" t="s">
        <v>143</v>
      </c>
      <c r="DF33" s="8" t="s">
        <v>143</v>
      </c>
      <c r="DG33" s="8">
        <v>0</v>
      </c>
      <c r="DH33" s="8">
        <v>0</v>
      </c>
      <c r="DI33" s="8">
        <v>0</v>
      </c>
      <c r="DJ33" s="8" t="s">
        <v>143</v>
      </c>
      <c r="DK33" s="21" t="s">
        <v>143</v>
      </c>
      <c r="DL33" s="21" t="s">
        <v>143</v>
      </c>
      <c r="DM33" s="21" t="s">
        <v>143</v>
      </c>
      <c r="DN33" s="18" t="s">
        <v>143</v>
      </c>
      <c r="DO33" s="21" t="s">
        <v>143</v>
      </c>
      <c r="DP33" s="21" t="s">
        <v>143</v>
      </c>
      <c r="DQ33" s="21" t="s">
        <v>143</v>
      </c>
      <c r="DR33" s="21" t="s">
        <v>143</v>
      </c>
      <c r="DS33" s="21" t="s">
        <v>143</v>
      </c>
      <c r="DT33" s="21" t="s">
        <v>143</v>
      </c>
      <c r="DU33" s="21" t="s">
        <v>143</v>
      </c>
      <c r="DV33" s="21" t="s">
        <v>143</v>
      </c>
      <c r="DW33" s="21" t="s">
        <v>143</v>
      </c>
      <c r="DX33" s="21" t="s">
        <v>143</v>
      </c>
      <c r="DY33" s="21" t="s">
        <v>143</v>
      </c>
      <c r="DZ33" s="21" t="s">
        <v>143</v>
      </c>
      <c r="EA33" s="8" t="s">
        <v>143</v>
      </c>
      <c r="EB33" s="8" t="s">
        <v>143</v>
      </c>
      <c r="EC33" s="8" t="s">
        <v>143</v>
      </c>
      <c r="ED33" s="8" t="s">
        <v>143</v>
      </c>
      <c r="EE33" s="8" t="s">
        <v>143</v>
      </c>
      <c r="EF33" s="8" t="s">
        <v>143</v>
      </c>
      <c r="EG33" s="8" t="s">
        <v>143</v>
      </c>
      <c r="EH33" s="8" t="s">
        <v>143</v>
      </c>
      <c r="EI33" s="8" t="s">
        <v>143</v>
      </c>
      <c r="EJ33" s="8" t="s">
        <v>143</v>
      </c>
      <c r="EK33" s="8" t="s">
        <v>157</v>
      </c>
      <c r="EL33" s="8">
        <v>936</v>
      </c>
      <c r="EM33" s="8">
        <v>5616</v>
      </c>
      <c r="EN33" s="8" t="s">
        <v>143</v>
      </c>
      <c r="EO33" s="8" t="s">
        <v>143</v>
      </c>
      <c r="EP33" s="8" t="s">
        <v>143</v>
      </c>
      <c r="EQ33" s="8" t="s">
        <v>143</v>
      </c>
      <c r="ER33" s="8" t="s">
        <v>143</v>
      </c>
      <c r="ES33" s="8" t="s">
        <v>143</v>
      </c>
      <c r="ET33" s="8" t="s">
        <v>143</v>
      </c>
      <c r="EU33" s="8" t="s">
        <v>143</v>
      </c>
      <c r="EV33" s="8" t="s">
        <v>143</v>
      </c>
    </row>
    <row r="34" spans="1:152" x14ac:dyDescent="0.15">
      <c r="A34" s="8">
        <f>ROW([2]!tbl_DPSAC[[#This Row],[Sl. No.]])-1</f>
        <v>33</v>
      </c>
      <c r="B34" s="9" t="s">
        <v>136</v>
      </c>
      <c r="C34" s="9" t="s">
        <v>302</v>
      </c>
      <c r="D34" s="9" t="s">
        <v>138</v>
      </c>
      <c r="E34" s="9" t="s">
        <v>139</v>
      </c>
      <c r="F34" s="9" t="s">
        <v>161</v>
      </c>
      <c r="G34" s="10" t="s">
        <v>303</v>
      </c>
      <c r="H34" s="10" t="str">
        <f>_xlfn.XLOOKUP(C34,'[1]E&amp;DPSAC'!$K:$K,'[1]E&amp;DPSAC'!$E:$E,,0)</f>
        <v>JINAGORA, JHARIA</v>
      </c>
      <c r="I34" s="10"/>
      <c r="J34" s="10">
        <v>7644045555</v>
      </c>
      <c r="K34" s="10">
        <f>_xlfn.XLOOKUP(C34,'[1]E&amp;DPSAC'!$K:$K,'[1]E&amp;DPSAC'!$G:$G,"",0)</f>
        <v>7644045555</v>
      </c>
      <c r="L34" s="9" t="str">
        <f t="shared" ca="1" si="0"/>
        <v>Non - Warranty</v>
      </c>
      <c r="M34" s="11">
        <v>44302</v>
      </c>
      <c r="N34" s="12">
        <v>24</v>
      </c>
      <c r="O34" s="11">
        <f t="shared" si="1"/>
        <v>45046</v>
      </c>
      <c r="P34" s="8" t="s">
        <v>142</v>
      </c>
      <c r="Q34" s="16" t="s">
        <v>317</v>
      </c>
      <c r="R34" s="15">
        <v>46042.630196759303</v>
      </c>
      <c r="S34" s="14">
        <v>12000</v>
      </c>
      <c r="T34" s="15">
        <v>45981</v>
      </c>
      <c r="U34" s="14">
        <v>11750</v>
      </c>
      <c r="V34" s="14">
        <v>12000</v>
      </c>
      <c r="W34" s="17">
        <v>46042.630196759303</v>
      </c>
      <c r="X34" s="14" t="s">
        <v>2715</v>
      </c>
      <c r="Y34" s="14">
        <v>750</v>
      </c>
      <c r="Z34" s="14" t="s">
        <v>2692</v>
      </c>
      <c r="AA34" s="18">
        <v>70.369803240697365</v>
      </c>
      <c r="AB34" s="18" t="s">
        <v>2692</v>
      </c>
      <c r="AC34" s="8">
        <f>tbl_DPSAC[[#This Row],[Current Month Due Count]]</f>
        <v>0</v>
      </c>
      <c r="AD34" s="8">
        <f>tbl_DPSAC[[#This Row],[Next Month Due2]]</f>
        <v>0</v>
      </c>
      <c r="AE34" s="8">
        <f t="shared" si="2"/>
        <v>0</v>
      </c>
      <c r="AF34" s="8">
        <v>4</v>
      </c>
      <c r="AG34" s="14">
        <f t="shared" ca="1" si="3"/>
        <v>12281</v>
      </c>
      <c r="AH34" s="8" t="s">
        <v>304</v>
      </c>
      <c r="AI34" s="8" t="s">
        <v>305</v>
      </c>
      <c r="AJ34" s="8" t="s">
        <v>306</v>
      </c>
      <c r="AK34" s="8" t="s">
        <v>307</v>
      </c>
      <c r="AL34" s="8" t="s">
        <v>308</v>
      </c>
      <c r="AM34" s="8" t="s">
        <v>309</v>
      </c>
      <c r="AN34" s="8" t="s">
        <v>310</v>
      </c>
      <c r="AO34" s="8" t="s">
        <v>311</v>
      </c>
      <c r="AP34" s="8" t="s">
        <v>312</v>
      </c>
      <c r="AQ34" s="8" t="s">
        <v>313</v>
      </c>
      <c r="AR34" s="8" t="s">
        <v>314</v>
      </c>
      <c r="AS34" s="8" t="s">
        <v>315</v>
      </c>
      <c r="AT34" s="8" t="s">
        <v>316</v>
      </c>
      <c r="AU34" s="8">
        <v>0</v>
      </c>
      <c r="AV34" s="8">
        <v>0</v>
      </c>
      <c r="AW34" s="8">
        <v>0</v>
      </c>
      <c r="AX34" s="8" t="s">
        <v>2007</v>
      </c>
      <c r="AY34" s="14">
        <v>12000</v>
      </c>
      <c r="AZ34" s="19">
        <v>46042</v>
      </c>
      <c r="BA34" s="14" t="s">
        <v>317</v>
      </c>
      <c r="BB34" s="14">
        <v>12000</v>
      </c>
      <c r="BC34" s="19">
        <v>46042</v>
      </c>
      <c r="BD34" s="14" t="s">
        <v>317</v>
      </c>
      <c r="BE34" s="14">
        <v>12000</v>
      </c>
      <c r="BF34" s="19">
        <v>46042</v>
      </c>
      <c r="BG34" s="14" t="s">
        <v>317</v>
      </c>
      <c r="BH34" s="14">
        <v>12000</v>
      </c>
      <c r="BI34" s="19">
        <v>46042</v>
      </c>
      <c r="BJ34" s="14" t="s">
        <v>317</v>
      </c>
      <c r="BK34" s="14">
        <v>12000</v>
      </c>
      <c r="BL34" s="19">
        <v>46042</v>
      </c>
      <c r="BM34" s="14" t="s">
        <v>317</v>
      </c>
      <c r="BN34" s="27">
        <v>46222</v>
      </c>
      <c r="BO34" s="27">
        <v>46222</v>
      </c>
      <c r="BP34" s="27">
        <v>46222</v>
      </c>
      <c r="BQ34" s="27">
        <v>46222</v>
      </c>
      <c r="BR34" s="27">
        <v>46407</v>
      </c>
      <c r="BS34" s="28">
        <v>469</v>
      </c>
      <c r="BT34" s="29">
        <v>1219</v>
      </c>
      <c r="BU34" s="29">
        <v>469</v>
      </c>
      <c r="BV34" s="29">
        <v>469</v>
      </c>
      <c r="BW34" s="29">
        <v>1219</v>
      </c>
      <c r="BX34" s="30">
        <v>0</v>
      </c>
      <c r="BY34" s="8">
        <v>0</v>
      </c>
      <c r="BZ34" s="8">
        <v>0</v>
      </c>
      <c r="CA34" s="8">
        <v>0</v>
      </c>
      <c r="CB34" s="21">
        <v>46041.770833333299</v>
      </c>
      <c r="CC34" s="21">
        <v>46041.770833333299</v>
      </c>
      <c r="CD34" s="21">
        <v>46041.770833333299</v>
      </c>
      <c r="CE34" s="21">
        <v>46041.770833333299</v>
      </c>
      <c r="CF34" s="21">
        <v>46041.770833333299</v>
      </c>
      <c r="CG34" s="21">
        <v>45980.770833333299</v>
      </c>
      <c r="CH34" s="21">
        <v>45980.770833333299</v>
      </c>
      <c r="CI34" s="21">
        <v>45980.770833333299</v>
      </c>
      <c r="CJ34" s="21">
        <v>45980.770833333299</v>
      </c>
      <c r="CK34" s="22" t="s">
        <v>2956</v>
      </c>
      <c r="CL34" s="22" t="s">
        <v>2957</v>
      </c>
      <c r="CM34" s="22" t="s">
        <v>2959</v>
      </c>
      <c r="CN34" s="22" t="s">
        <v>2957</v>
      </c>
      <c r="CO34" s="22" t="s">
        <v>2957</v>
      </c>
      <c r="CP34" s="22" t="s">
        <v>2991</v>
      </c>
      <c r="CQ34" s="22" t="s">
        <v>2953</v>
      </c>
      <c r="CR34" s="22" t="s">
        <v>2991</v>
      </c>
      <c r="CS34" s="22" t="s">
        <v>2991</v>
      </c>
      <c r="CT34" s="22">
        <v>5</v>
      </c>
      <c r="CU34" s="21">
        <v>46221</v>
      </c>
      <c r="CV34" s="21">
        <v>46192</v>
      </c>
      <c r="CW34" s="21">
        <v>46142</v>
      </c>
      <c r="CX34" s="21">
        <v>46192</v>
      </c>
      <c r="CY34" s="21">
        <v>46192</v>
      </c>
      <c r="CZ34" s="21">
        <v>46250</v>
      </c>
      <c r="DA34" s="21">
        <v>46242</v>
      </c>
      <c r="DB34" s="21">
        <v>46160</v>
      </c>
      <c r="DC34" s="21">
        <v>46272</v>
      </c>
      <c r="DD34" s="8">
        <v>0</v>
      </c>
      <c r="DE34" s="8">
        <v>0</v>
      </c>
      <c r="DF34" s="8">
        <v>0</v>
      </c>
      <c r="DG34" s="8">
        <v>0</v>
      </c>
      <c r="DH34" s="8">
        <v>1</v>
      </c>
      <c r="DI34" s="8">
        <v>1</v>
      </c>
      <c r="DJ34" s="8" t="s">
        <v>2954</v>
      </c>
      <c r="DK34" s="21">
        <v>44302</v>
      </c>
      <c r="DL34" s="21">
        <v>44271.229166666664</v>
      </c>
      <c r="DM34" s="21">
        <v>46042</v>
      </c>
      <c r="DN34" s="18">
        <v>12000</v>
      </c>
      <c r="DO34" s="21">
        <v>0</v>
      </c>
      <c r="DP34" s="21">
        <v>0</v>
      </c>
      <c r="DQ34" s="21" t="s">
        <v>2955</v>
      </c>
      <c r="DR34" s="21">
        <v>46042</v>
      </c>
      <c r="DS34" s="21">
        <v>46042</v>
      </c>
      <c r="DT34" s="21">
        <v>46042</v>
      </c>
      <c r="DU34" s="21">
        <v>46042</v>
      </c>
      <c r="DV34" s="21">
        <v>46042</v>
      </c>
      <c r="DW34" s="21">
        <v>45981</v>
      </c>
      <c r="DX34" s="21">
        <v>45981</v>
      </c>
      <c r="DY34" s="21">
        <v>45981</v>
      </c>
      <c r="DZ34" s="21">
        <v>45981</v>
      </c>
      <c r="EA34" s="8">
        <v>1500</v>
      </c>
      <c r="EB34" s="8">
        <v>750</v>
      </c>
      <c r="EC34" s="8">
        <v>500</v>
      </c>
      <c r="ED34" s="8">
        <v>750</v>
      </c>
      <c r="EE34" s="8">
        <v>750</v>
      </c>
      <c r="EF34" s="8">
        <v>1150</v>
      </c>
      <c r="EG34" s="8">
        <v>1000</v>
      </c>
      <c r="EH34" s="8">
        <v>1150</v>
      </c>
      <c r="EI34" s="8">
        <v>1150</v>
      </c>
      <c r="EJ34" s="8">
        <v>5</v>
      </c>
      <c r="EK34" s="8" t="s">
        <v>2624</v>
      </c>
      <c r="EL34" s="8">
        <v>70</v>
      </c>
      <c r="EM34" s="8">
        <v>280</v>
      </c>
      <c r="EN34" s="8">
        <v>1212</v>
      </c>
      <c r="EO34" s="8">
        <v>462</v>
      </c>
      <c r="EP34" s="8">
        <v>212</v>
      </c>
      <c r="EQ34" s="8">
        <v>462</v>
      </c>
      <c r="ER34" s="8">
        <v>462</v>
      </c>
      <c r="ES34" s="8">
        <v>862</v>
      </c>
      <c r="ET34" s="8">
        <v>712</v>
      </c>
      <c r="EU34" s="8">
        <v>862</v>
      </c>
      <c r="EV34" s="8">
        <v>862</v>
      </c>
    </row>
    <row r="35" spans="1:152" x14ac:dyDescent="0.15">
      <c r="A35" s="8">
        <f>ROW([2]!tbl_DPSAC[[#This Row],[Sl. No.]])-1</f>
        <v>34</v>
      </c>
      <c r="B35" s="9" t="s">
        <v>196</v>
      </c>
      <c r="C35" s="9" t="s">
        <v>318</v>
      </c>
      <c r="D35" s="9" t="s">
        <v>204</v>
      </c>
      <c r="E35" s="9" t="s">
        <v>205</v>
      </c>
      <c r="F35" s="9" t="s">
        <v>161</v>
      </c>
      <c r="G35" s="10" t="s">
        <v>319</v>
      </c>
      <c r="H35" s="10" t="str">
        <f>_xlfn.XLOOKUP(C35,'[1]E&amp;DPSAC'!$K:$K,'[1]E&amp;DPSAC'!$E:$E,,0)</f>
        <v>SHEIKHPURA, BIHAR</v>
      </c>
      <c r="I35" s="10"/>
      <c r="J35" s="10">
        <v>9234638430</v>
      </c>
      <c r="K35" s="10">
        <f>_xlfn.XLOOKUP(C35,'[1]E&amp;DPSAC'!$K:$K,'[1]E&amp;DPSAC'!$G:$G,"",0)</f>
        <v>7004265492</v>
      </c>
      <c r="L35" s="9" t="str">
        <f t="shared" ca="1" si="0"/>
        <v>Non - Warranty</v>
      </c>
      <c r="M35" s="11">
        <v>44336.708333333299</v>
      </c>
      <c r="N35" s="12">
        <v>24</v>
      </c>
      <c r="O35" s="11">
        <f t="shared" si="1"/>
        <v>45077</v>
      </c>
      <c r="P35" s="8" t="s">
        <v>142</v>
      </c>
      <c r="Q35" s="16" t="s">
        <v>330</v>
      </c>
      <c r="R35" s="15">
        <v>45933.51666666667</v>
      </c>
      <c r="S35" s="14">
        <v>16504</v>
      </c>
      <c r="T35" s="15">
        <v>45563</v>
      </c>
      <c r="U35" s="14">
        <v>14130</v>
      </c>
      <c r="V35" s="14">
        <v>16520</v>
      </c>
      <c r="W35" s="17">
        <v>45938.555555555555</v>
      </c>
      <c r="X35" s="14" t="s">
        <v>2716</v>
      </c>
      <c r="Y35" s="14">
        <v>734</v>
      </c>
      <c r="Z35" s="14" t="s">
        <v>2692</v>
      </c>
      <c r="AA35" s="18">
        <v>179.48333333332994</v>
      </c>
      <c r="AB35" s="18" t="s">
        <v>2692</v>
      </c>
      <c r="AC35" s="8">
        <f>tbl_DPSAC[[#This Row],[Current Month Due Count]]</f>
        <v>4</v>
      </c>
      <c r="AD35" s="8">
        <f>tbl_DPSAC[[#This Row],[Next Month Due2]]</f>
        <v>0</v>
      </c>
      <c r="AE35" s="8">
        <f t="shared" si="2"/>
        <v>0</v>
      </c>
      <c r="AF35" s="8">
        <v>24</v>
      </c>
      <c r="AG35" s="14">
        <f t="shared" ca="1" si="3"/>
        <v>20707</v>
      </c>
      <c r="AH35" s="8" t="s">
        <v>320</v>
      </c>
      <c r="AI35" s="8" t="s">
        <v>321</v>
      </c>
      <c r="AJ35" s="8">
        <v>0</v>
      </c>
      <c r="AK35" s="8">
        <v>0</v>
      </c>
      <c r="AL35" s="8">
        <v>0</v>
      </c>
      <c r="AM35" s="8" t="s">
        <v>322</v>
      </c>
      <c r="AN35" s="8" t="s">
        <v>323</v>
      </c>
      <c r="AO35" s="8" t="s">
        <v>324</v>
      </c>
      <c r="AP35" s="8" t="s">
        <v>325</v>
      </c>
      <c r="AQ35" s="8" t="s">
        <v>326</v>
      </c>
      <c r="AR35" s="8" t="s">
        <v>326</v>
      </c>
      <c r="AS35" s="8" t="s">
        <v>327</v>
      </c>
      <c r="AT35" s="8" t="s">
        <v>328</v>
      </c>
      <c r="AU35" s="8" t="s">
        <v>329</v>
      </c>
      <c r="AV35" s="8">
        <v>0</v>
      </c>
      <c r="AW35" s="8">
        <v>0</v>
      </c>
      <c r="AX35" s="8" t="s">
        <v>2961</v>
      </c>
      <c r="AY35" s="14">
        <v>16504</v>
      </c>
      <c r="AZ35" s="19">
        <v>45933</v>
      </c>
      <c r="BA35" s="14" t="s">
        <v>330</v>
      </c>
      <c r="BB35" s="14">
        <v>16504</v>
      </c>
      <c r="BC35" s="19">
        <v>45933</v>
      </c>
      <c r="BD35" s="14" t="s">
        <v>330</v>
      </c>
      <c r="BE35" s="14">
        <v>16504</v>
      </c>
      <c r="BF35" s="19">
        <v>45933</v>
      </c>
      <c r="BG35" s="14" t="s">
        <v>330</v>
      </c>
      <c r="BH35" s="14">
        <v>16504</v>
      </c>
      <c r="BI35" s="19">
        <v>45933</v>
      </c>
      <c r="BJ35" s="14" t="s">
        <v>330</v>
      </c>
      <c r="BK35" s="14">
        <v>16504</v>
      </c>
      <c r="BL35" s="19">
        <v>45933</v>
      </c>
      <c r="BM35" s="14" t="s">
        <v>330</v>
      </c>
      <c r="BN35" s="27">
        <v>46113</v>
      </c>
      <c r="BO35" s="27">
        <v>46113</v>
      </c>
      <c r="BP35" s="27">
        <v>46113</v>
      </c>
      <c r="BQ35" s="27">
        <v>46113</v>
      </c>
      <c r="BR35" s="27">
        <v>46298</v>
      </c>
      <c r="BS35" s="28">
        <v>-3453</v>
      </c>
      <c r="BT35" s="29">
        <v>-2703</v>
      </c>
      <c r="BU35" s="29">
        <v>-3453</v>
      </c>
      <c r="BV35" s="29">
        <v>-3453</v>
      </c>
      <c r="BW35" s="29">
        <v>-2703</v>
      </c>
      <c r="BX35" s="30">
        <v>0</v>
      </c>
      <c r="BY35" s="8">
        <v>0</v>
      </c>
      <c r="BZ35" s="8">
        <v>4</v>
      </c>
      <c r="CA35" s="8">
        <v>0</v>
      </c>
      <c r="CB35" s="21">
        <v>45932.770833333299</v>
      </c>
      <c r="CC35" s="21">
        <v>45932.770833333299</v>
      </c>
      <c r="CD35" s="21">
        <v>45932.770833333299</v>
      </c>
      <c r="CE35" s="21">
        <v>45932.770833333299</v>
      </c>
      <c r="CF35" s="21">
        <v>45932.770833333299</v>
      </c>
      <c r="CG35" s="21">
        <v>45562.770833333299</v>
      </c>
      <c r="CH35" s="21">
        <v>45932.770833333299</v>
      </c>
      <c r="CI35" s="21">
        <v>45932.770833333299</v>
      </c>
      <c r="CJ35" s="21">
        <v>45932.770833333299</v>
      </c>
      <c r="CK35" s="22" t="s">
        <v>2992</v>
      </c>
      <c r="CL35" s="22" t="s">
        <v>2992</v>
      </c>
      <c r="CM35" s="22" t="s">
        <v>2992</v>
      </c>
      <c r="CN35" s="22" t="s">
        <v>2992</v>
      </c>
      <c r="CO35" s="22" t="s">
        <v>2992</v>
      </c>
      <c r="CP35" s="22" t="s">
        <v>2993</v>
      </c>
      <c r="CQ35" s="22" t="s">
        <v>2953</v>
      </c>
      <c r="CR35" s="22" t="s">
        <v>2993</v>
      </c>
      <c r="CS35" s="22" t="s">
        <v>2993</v>
      </c>
      <c r="CT35" s="22">
        <v>3</v>
      </c>
      <c r="CU35" s="21">
        <v>46112</v>
      </c>
      <c r="CV35" s="21">
        <v>46112</v>
      </c>
      <c r="CW35" s="21">
        <v>46112</v>
      </c>
      <c r="CX35" s="21">
        <v>46112</v>
      </c>
      <c r="CY35" s="21">
        <v>46112</v>
      </c>
      <c r="CZ35" s="21">
        <v>45832</v>
      </c>
      <c r="DA35" s="21">
        <v>46271</v>
      </c>
      <c r="DB35" s="21">
        <v>46112</v>
      </c>
      <c r="DC35" s="21">
        <v>46297</v>
      </c>
      <c r="DD35" s="8">
        <v>1</v>
      </c>
      <c r="DE35" s="8">
        <v>0</v>
      </c>
      <c r="DF35" s="8">
        <v>1</v>
      </c>
      <c r="DG35" s="8">
        <v>7</v>
      </c>
      <c r="DH35" s="8">
        <v>0</v>
      </c>
      <c r="DI35" s="8">
        <v>0</v>
      </c>
      <c r="DJ35" s="8" t="s">
        <v>2954</v>
      </c>
      <c r="DK35" s="21">
        <v>44336</v>
      </c>
      <c r="DL35" s="21">
        <v>44279.229166666664</v>
      </c>
      <c r="DM35" s="21">
        <v>45938</v>
      </c>
      <c r="DN35" s="18">
        <v>16520</v>
      </c>
      <c r="DO35" s="21">
        <v>0</v>
      </c>
      <c r="DP35" s="21">
        <v>0</v>
      </c>
      <c r="DQ35" s="21" t="s">
        <v>2955</v>
      </c>
      <c r="DR35" s="21">
        <v>45933</v>
      </c>
      <c r="DS35" s="21">
        <v>45933</v>
      </c>
      <c r="DT35" s="21">
        <v>45933</v>
      </c>
      <c r="DU35" s="21">
        <v>45933</v>
      </c>
      <c r="DV35" s="21">
        <v>45933</v>
      </c>
      <c r="DW35" s="21">
        <v>45563</v>
      </c>
      <c r="DX35" s="21">
        <v>45933</v>
      </c>
      <c r="DY35" s="21">
        <v>45933</v>
      </c>
      <c r="DZ35" s="21">
        <v>45933</v>
      </c>
      <c r="EA35" s="8">
        <v>740</v>
      </c>
      <c r="EB35" s="8">
        <v>740</v>
      </c>
      <c r="EC35" s="8">
        <v>740</v>
      </c>
      <c r="ED35" s="8">
        <v>740</v>
      </c>
      <c r="EE35" s="8">
        <v>740</v>
      </c>
      <c r="EF35" s="8">
        <v>1490</v>
      </c>
      <c r="EG35" s="8">
        <v>1000</v>
      </c>
      <c r="EH35" s="8">
        <v>1490</v>
      </c>
      <c r="EI35" s="8">
        <v>1490</v>
      </c>
      <c r="EJ35" s="8">
        <v>3</v>
      </c>
      <c r="EK35" s="8" t="s">
        <v>2624</v>
      </c>
      <c r="EL35" s="8">
        <v>174</v>
      </c>
      <c r="EM35" s="8">
        <v>4176</v>
      </c>
      <c r="EN35" s="8">
        <v>452</v>
      </c>
      <c r="EO35" s="8">
        <v>452</v>
      </c>
      <c r="EP35" s="8">
        <v>452</v>
      </c>
      <c r="EQ35" s="8">
        <v>452</v>
      </c>
      <c r="ER35" s="8">
        <v>452</v>
      </c>
      <c r="ES35" s="8">
        <v>1202</v>
      </c>
      <c r="ET35" s="8">
        <v>712</v>
      </c>
      <c r="EU35" s="8">
        <v>1202</v>
      </c>
      <c r="EV35" s="8">
        <v>1202</v>
      </c>
    </row>
    <row r="36" spans="1:152" x14ac:dyDescent="0.15">
      <c r="A36" s="8">
        <f>ROW([2]!tbl_DPSAC[[#This Row],[Sl. No.]])-1</f>
        <v>35</v>
      </c>
      <c r="B36" s="9" t="s">
        <v>196</v>
      </c>
      <c r="C36" s="9" t="s">
        <v>331</v>
      </c>
      <c r="D36" s="9" t="s">
        <v>332</v>
      </c>
      <c r="E36" s="9" t="s">
        <v>333</v>
      </c>
      <c r="F36" s="9" t="s">
        <v>161</v>
      </c>
      <c r="G36" s="10" t="s">
        <v>334</v>
      </c>
      <c r="H36" s="10" t="str">
        <f>_xlfn.XLOOKUP(C36,'[1]E&amp;DPSAC'!$K:$K,'[1]E&amp;DPSAC'!$E:$E,,0)</f>
        <v>CHAKAY, LAKHISARAI</v>
      </c>
      <c r="I36" s="10" t="s">
        <v>335</v>
      </c>
      <c r="J36" s="10">
        <v>7486815310</v>
      </c>
      <c r="K36" s="10">
        <f>_xlfn.XLOOKUP(C36,'[1]E&amp;DPSAC'!$K:$K,'[1]E&amp;DPSAC'!$G:$G,"",0)</f>
        <v>7486815310</v>
      </c>
      <c r="L36" s="9" t="str">
        <f t="shared" ca="1" si="0"/>
        <v>Non - Warranty</v>
      </c>
      <c r="M36" s="11">
        <v>44327</v>
      </c>
      <c r="N36" s="12">
        <v>24</v>
      </c>
      <c r="O36" s="11">
        <f t="shared" si="1"/>
        <v>45077</v>
      </c>
      <c r="P36" s="8" t="s">
        <v>157</v>
      </c>
      <c r="Q36" s="16" t="s">
        <v>2629</v>
      </c>
      <c r="R36" s="15">
        <v>44688.465057870402</v>
      </c>
      <c r="S36" s="14">
        <v>541</v>
      </c>
      <c r="T36" s="15">
        <v>44742</v>
      </c>
      <c r="U36" s="14">
        <v>701</v>
      </c>
      <c r="V36" s="14">
        <v>998</v>
      </c>
      <c r="W36" s="17">
        <v>45029.458946759303</v>
      </c>
      <c r="X36" s="14" t="s">
        <v>2717</v>
      </c>
      <c r="Y36" s="14">
        <v>293</v>
      </c>
      <c r="Z36" s="14" t="s">
        <v>2692</v>
      </c>
      <c r="AA36" s="18">
        <v>1424.5349421295978</v>
      </c>
      <c r="AB36" s="18" t="s">
        <v>2697</v>
      </c>
      <c r="AC36" s="8">
        <f>tbl_DPSAC[[#This Row],[Current Month Due Count]]</f>
        <v>0</v>
      </c>
      <c r="AD36" s="8">
        <f>tbl_DPSAC[[#This Row],[Next Month Due2]]</f>
        <v>0</v>
      </c>
      <c r="AE36" s="8">
        <f t="shared" si="2"/>
        <v>1</v>
      </c>
      <c r="AF36" s="8">
        <v>6</v>
      </c>
      <c r="AG36" s="14">
        <f t="shared" ca="1" si="3"/>
        <v>7499</v>
      </c>
      <c r="AH36" s="8" t="s">
        <v>336</v>
      </c>
      <c r="AI36" s="8" t="s">
        <v>337</v>
      </c>
      <c r="AJ36" s="8">
        <v>0</v>
      </c>
      <c r="AK36" s="8">
        <v>0</v>
      </c>
      <c r="AL36" s="8">
        <v>0</v>
      </c>
      <c r="AM36" s="8">
        <v>0</v>
      </c>
      <c r="AN36" s="8">
        <v>0</v>
      </c>
      <c r="AO36" s="8">
        <v>0</v>
      </c>
      <c r="AP36" s="8">
        <v>0</v>
      </c>
      <c r="AQ36" s="8">
        <v>0</v>
      </c>
      <c r="AR36" s="8">
        <v>0</v>
      </c>
      <c r="AS36" s="8">
        <v>0</v>
      </c>
      <c r="AT36" s="8">
        <v>0</v>
      </c>
      <c r="AU36" s="8">
        <v>0</v>
      </c>
      <c r="AV36" s="8">
        <v>0</v>
      </c>
      <c r="AW36" s="8">
        <v>0</v>
      </c>
      <c r="AX36" s="8" t="s">
        <v>2961</v>
      </c>
      <c r="AY36" s="14">
        <v>1</v>
      </c>
      <c r="AZ36" s="19">
        <v>44327</v>
      </c>
      <c r="BA36" s="14"/>
      <c r="BB36" s="14">
        <v>1</v>
      </c>
      <c r="BC36" s="19">
        <v>44327</v>
      </c>
      <c r="BD36" s="14"/>
      <c r="BE36" s="14">
        <v>1</v>
      </c>
      <c r="BF36" s="19">
        <v>44327</v>
      </c>
      <c r="BG36" s="14"/>
      <c r="BH36" s="14">
        <v>1</v>
      </c>
      <c r="BI36" s="19">
        <v>44327</v>
      </c>
      <c r="BJ36" s="14"/>
      <c r="BK36" s="14">
        <v>1</v>
      </c>
      <c r="BL36" s="19">
        <v>44327</v>
      </c>
      <c r="BM36" s="14"/>
      <c r="BN36" s="27">
        <v>44507</v>
      </c>
      <c r="BO36" s="27">
        <v>44507</v>
      </c>
      <c r="BP36" s="27">
        <v>44507</v>
      </c>
      <c r="BQ36" s="27">
        <v>44507</v>
      </c>
      <c r="BR36" s="27">
        <v>44692</v>
      </c>
      <c r="BS36" s="28">
        <v>-6748</v>
      </c>
      <c r="BT36" s="29">
        <v>-5998</v>
      </c>
      <c r="BU36" s="29">
        <v>-6748</v>
      </c>
      <c r="BV36" s="29">
        <v>-6748</v>
      </c>
      <c r="BW36" s="29">
        <v>-5998</v>
      </c>
      <c r="BX36" s="30" t="s">
        <v>159</v>
      </c>
      <c r="BY36" s="8">
        <v>5</v>
      </c>
      <c r="BZ36" s="8">
        <v>0</v>
      </c>
      <c r="CA36" s="8">
        <v>0</v>
      </c>
      <c r="CB36" s="21" t="s">
        <v>143</v>
      </c>
      <c r="CC36" s="21" t="s">
        <v>143</v>
      </c>
      <c r="CD36" s="21" t="s">
        <v>143</v>
      </c>
      <c r="CE36" s="21" t="s">
        <v>143</v>
      </c>
      <c r="CF36" s="21" t="s">
        <v>143</v>
      </c>
      <c r="CG36" s="21" t="s">
        <v>143</v>
      </c>
      <c r="CH36" s="21" t="s">
        <v>143</v>
      </c>
      <c r="CI36" s="21" t="s">
        <v>143</v>
      </c>
      <c r="CJ36" s="21" t="s">
        <v>143</v>
      </c>
      <c r="CK36" s="22" t="s">
        <v>143</v>
      </c>
      <c r="CL36" s="22" t="s">
        <v>143</v>
      </c>
      <c r="CM36" s="22" t="s">
        <v>143</v>
      </c>
      <c r="CN36" s="22" t="s">
        <v>143</v>
      </c>
      <c r="CO36" s="22" t="s">
        <v>143</v>
      </c>
      <c r="CP36" s="22" t="s">
        <v>143</v>
      </c>
      <c r="CQ36" s="22" t="s">
        <v>143</v>
      </c>
      <c r="CR36" s="22" t="s">
        <v>143</v>
      </c>
      <c r="CS36" s="22" t="s">
        <v>143</v>
      </c>
      <c r="CT36" s="22" t="s">
        <v>143</v>
      </c>
      <c r="CU36" s="21" t="s">
        <v>143</v>
      </c>
      <c r="CV36" s="21" t="s">
        <v>143</v>
      </c>
      <c r="CW36" s="21" t="s">
        <v>143</v>
      </c>
      <c r="CX36" s="21" t="s">
        <v>143</v>
      </c>
      <c r="CY36" s="21" t="s">
        <v>143</v>
      </c>
      <c r="CZ36" s="21" t="s">
        <v>143</v>
      </c>
      <c r="DA36" s="21" t="s">
        <v>143</v>
      </c>
      <c r="DB36" s="21" t="s">
        <v>143</v>
      </c>
      <c r="DC36" s="21" t="s">
        <v>143</v>
      </c>
      <c r="DD36" s="8" t="s">
        <v>143</v>
      </c>
      <c r="DE36" s="8" t="s">
        <v>143</v>
      </c>
      <c r="DF36" s="8" t="s">
        <v>143</v>
      </c>
      <c r="DG36" s="8">
        <v>0</v>
      </c>
      <c r="DH36" s="8">
        <v>0</v>
      </c>
      <c r="DI36" s="8">
        <v>0</v>
      </c>
      <c r="DJ36" s="8" t="s">
        <v>143</v>
      </c>
      <c r="DK36" s="21" t="s">
        <v>143</v>
      </c>
      <c r="DL36" s="21" t="s">
        <v>143</v>
      </c>
      <c r="DM36" s="21" t="s">
        <v>143</v>
      </c>
      <c r="DN36" s="18" t="s">
        <v>143</v>
      </c>
      <c r="DO36" s="21" t="s">
        <v>143</v>
      </c>
      <c r="DP36" s="21" t="s">
        <v>143</v>
      </c>
      <c r="DQ36" s="21" t="s">
        <v>143</v>
      </c>
      <c r="DR36" s="21" t="s">
        <v>143</v>
      </c>
      <c r="DS36" s="21" t="s">
        <v>143</v>
      </c>
      <c r="DT36" s="21" t="s">
        <v>143</v>
      </c>
      <c r="DU36" s="21" t="s">
        <v>143</v>
      </c>
      <c r="DV36" s="21" t="s">
        <v>143</v>
      </c>
      <c r="DW36" s="21" t="s">
        <v>143</v>
      </c>
      <c r="DX36" s="21" t="s">
        <v>143</v>
      </c>
      <c r="DY36" s="21" t="s">
        <v>143</v>
      </c>
      <c r="DZ36" s="21" t="s">
        <v>143</v>
      </c>
      <c r="EA36" s="8" t="s">
        <v>143</v>
      </c>
      <c r="EB36" s="8" t="s">
        <v>143</v>
      </c>
      <c r="EC36" s="8" t="s">
        <v>143</v>
      </c>
      <c r="ED36" s="8" t="s">
        <v>143</v>
      </c>
      <c r="EE36" s="8" t="s">
        <v>143</v>
      </c>
      <c r="EF36" s="8" t="s">
        <v>143</v>
      </c>
      <c r="EG36" s="8" t="s">
        <v>143</v>
      </c>
      <c r="EH36" s="8" t="s">
        <v>143</v>
      </c>
      <c r="EI36" s="8" t="s">
        <v>143</v>
      </c>
      <c r="EJ36" s="8" t="s">
        <v>143</v>
      </c>
      <c r="EK36" s="8" t="s">
        <v>157</v>
      </c>
      <c r="EL36" s="8">
        <v>1084</v>
      </c>
      <c r="EM36" s="8">
        <v>6504</v>
      </c>
      <c r="EN36" s="8" t="s">
        <v>143</v>
      </c>
      <c r="EO36" s="8" t="s">
        <v>143</v>
      </c>
      <c r="EP36" s="8" t="s">
        <v>143</v>
      </c>
      <c r="EQ36" s="8" t="s">
        <v>143</v>
      </c>
      <c r="ER36" s="8" t="s">
        <v>143</v>
      </c>
      <c r="ES36" s="8" t="s">
        <v>143</v>
      </c>
      <c r="ET36" s="8" t="s">
        <v>143</v>
      </c>
      <c r="EU36" s="8" t="s">
        <v>143</v>
      </c>
      <c r="EV36" s="8" t="s">
        <v>143</v>
      </c>
    </row>
    <row r="37" spans="1:152" x14ac:dyDescent="0.15">
      <c r="A37" s="8">
        <f>ROW([2]!tbl_DPSAC[[#This Row],[Sl. No.]])-1</f>
        <v>36</v>
      </c>
      <c r="B37" s="9" t="s">
        <v>136</v>
      </c>
      <c r="C37" s="9" t="s">
        <v>338</v>
      </c>
      <c r="D37" s="9" t="s">
        <v>169</v>
      </c>
      <c r="E37" s="9" t="s">
        <v>170</v>
      </c>
      <c r="F37" s="9" t="s">
        <v>161</v>
      </c>
      <c r="G37" s="10" t="s">
        <v>339</v>
      </c>
      <c r="H37" s="10" t="str">
        <f>_xlfn.XLOOKUP(C37,'[1]E&amp;DPSAC'!$K:$K,'[1]E&amp;DPSAC'!$E:$E,,0)</f>
        <v>CHANDAN KAYARI, DHANBAD</v>
      </c>
      <c r="I37" s="10" t="s">
        <v>340</v>
      </c>
      <c r="J37" s="10">
        <v>6203240174</v>
      </c>
      <c r="K37" s="10">
        <f>_xlfn.XLOOKUP(C37,'[1]E&amp;DPSAC'!$K:$K,'[1]E&amp;DPSAC'!$G:$G,"",0)</f>
        <v>6203240174</v>
      </c>
      <c r="L37" s="9" t="str">
        <f t="shared" ca="1" si="0"/>
        <v>Non - Warranty</v>
      </c>
      <c r="M37" s="11">
        <v>44341</v>
      </c>
      <c r="N37" s="12">
        <v>24</v>
      </c>
      <c r="O37" s="11">
        <f t="shared" si="1"/>
        <v>45077</v>
      </c>
      <c r="P37" s="8" t="s">
        <v>142</v>
      </c>
      <c r="Q37" s="16" t="s">
        <v>2630</v>
      </c>
      <c r="R37" s="15">
        <v>44351.831064814804</v>
      </c>
      <c r="S37" s="14">
        <v>0</v>
      </c>
      <c r="T37" s="15">
        <v>45338</v>
      </c>
      <c r="U37" s="14">
        <v>2687</v>
      </c>
      <c r="V37" s="14">
        <v>3030</v>
      </c>
      <c r="W37" s="17">
        <v>45962.496527777781</v>
      </c>
      <c r="X37" s="14" t="s">
        <v>2718</v>
      </c>
      <c r="Y37" s="14">
        <v>-2280</v>
      </c>
      <c r="Z37" s="14" t="s">
        <v>2697</v>
      </c>
      <c r="AA37" s="18">
        <v>1761.1689351851965</v>
      </c>
      <c r="AB37" s="18" t="s">
        <v>2697</v>
      </c>
      <c r="AC37" s="8">
        <f>tbl_DPSAC[[#This Row],[Current Month Due Count]]</f>
        <v>0</v>
      </c>
      <c r="AD37" s="8">
        <f>tbl_DPSAC[[#This Row],[Next Month Due2]]</f>
        <v>0</v>
      </c>
      <c r="AE37" s="8">
        <f t="shared" si="2"/>
        <v>1</v>
      </c>
      <c r="AF37" s="8">
        <v>2</v>
      </c>
      <c r="AG37" s="14">
        <f t="shared" ca="1" si="3"/>
        <v>3331</v>
      </c>
      <c r="AH37" s="8">
        <v>0</v>
      </c>
      <c r="AI37" s="8">
        <v>0</v>
      </c>
      <c r="AJ37" s="8">
        <v>0</v>
      </c>
      <c r="AK37" s="8">
        <v>0</v>
      </c>
      <c r="AL37" s="8">
        <v>0</v>
      </c>
      <c r="AM37" s="8">
        <v>0</v>
      </c>
      <c r="AN37" s="8">
        <v>0</v>
      </c>
      <c r="AO37" s="8">
        <v>0</v>
      </c>
      <c r="AP37" s="8">
        <v>0</v>
      </c>
      <c r="AQ37" s="8">
        <v>0</v>
      </c>
      <c r="AR37" s="8">
        <v>0</v>
      </c>
      <c r="AS37" s="8">
        <v>0</v>
      </c>
      <c r="AT37" s="8">
        <v>0</v>
      </c>
      <c r="AU37" s="8">
        <v>0</v>
      </c>
      <c r="AV37" s="8" t="s">
        <v>249</v>
      </c>
      <c r="AW37" s="8">
        <v>0</v>
      </c>
      <c r="AX37" s="8" t="s">
        <v>2961</v>
      </c>
      <c r="AY37" s="14">
        <v>1</v>
      </c>
      <c r="AZ37" s="19">
        <v>44341</v>
      </c>
      <c r="BA37" s="14" t="s">
        <v>341</v>
      </c>
      <c r="BB37" s="14">
        <v>1</v>
      </c>
      <c r="BC37" s="19">
        <v>44341</v>
      </c>
      <c r="BD37" s="14" t="s">
        <v>341</v>
      </c>
      <c r="BE37" s="14">
        <v>1</v>
      </c>
      <c r="BF37" s="19">
        <v>44341</v>
      </c>
      <c r="BG37" s="14" t="s">
        <v>341</v>
      </c>
      <c r="BH37" s="14">
        <v>1</v>
      </c>
      <c r="BI37" s="19">
        <v>44341</v>
      </c>
      <c r="BJ37" s="14" t="s">
        <v>341</v>
      </c>
      <c r="BK37" s="14">
        <v>1</v>
      </c>
      <c r="BL37" s="19">
        <v>44341</v>
      </c>
      <c r="BM37" s="14" t="s">
        <v>341</v>
      </c>
      <c r="BN37" s="27">
        <v>44521</v>
      </c>
      <c r="BO37" s="27">
        <v>44521</v>
      </c>
      <c r="BP37" s="27">
        <v>44521</v>
      </c>
      <c r="BQ37" s="27">
        <v>44521</v>
      </c>
      <c r="BR37" s="27">
        <v>44706</v>
      </c>
      <c r="BS37" s="28">
        <v>-2580</v>
      </c>
      <c r="BT37" s="29">
        <v>-1830</v>
      </c>
      <c r="BU37" s="29">
        <v>-2580</v>
      </c>
      <c r="BV37" s="29">
        <v>-2580</v>
      </c>
      <c r="BW37" s="29">
        <v>-1830</v>
      </c>
      <c r="BX37" s="30" t="s">
        <v>173</v>
      </c>
      <c r="BY37" s="8">
        <v>5</v>
      </c>
      <c r="BZ37" s="8">
        <v>0</v>
      </c>
      <c r="CA37" s="8">
        <v>0</v>
      </c>
      <c r="CB37" s="21">
        <v>0</v>
      </c>
      <c r="CC37" s="21">
        <v>0</v>
      </c>
      <c r="CD37" s="21">
        <v>0</v>
      </c>
      <c r="CE37" s="21">
        <v>0</v>
      </c>
      <c r="CF37" s="21">
        <v>0</v>
      </c>
      <c r="CG37" s="21">
        <v>0</v>
      </c>
      <c r="CH37" s="21">
        <v>0</v>
      </c>
      <c r="CI37" s="21">
        <v>0</v>
      </c>
      <c r="CJ37" s="21">
        <v>0</v>
      </c>
      <c r="CK37" s="22" t="s">
        <v>2994</v>
      </c>
      <c r="CL37" s="22" t="s">
        <v>2994</v>
      </c>
      <c r="CM37" s="22" t="s">
        <v>2994</v>
      </c>
      <c r="CN37" s="22" t="s">
        <v>2994</v>
      </c>
      <c r="CO37" s="22" t="s">
        <v>2994</v>
      </c>
      <c r="CP37" s="22" t="s">
        <v>2994</v>
      </c>
      <c r="CQ37" s="22" t="s">
        <v>2953</v>
      </c>
      <c r="CR37" s="22" t="s">
        <v>2994</v>
      </c>
      <c r="CS37" s="22" t="s">
        <v>2994</v>
      </c>
      <c r="CT37" s="22">
        <v>0</v>
      </c>
      <c r="CU37" s="21">
        <v>0</v>
      </c>
      <c r="CV37" s="21">
        <v>0</v>
      </c>
      <c r="CW37" s="21">
        <v>0</v>
      </c>
      <c r="CX37" s="21">
        <v>0</v>
      </c>
      <c r="CY37" s="21">
        <v>0</v>
      </c>
      <c r="CZ37" s="21">
        <v>0</v>
      </c>
      <c r="DA37" s="21">
        <v>0</v>
      </c>
      <c r="DB37" s="21">
        <v>0</v>
      </c>
      <c r="DC37" s="21">
        <v>0</v>
      </c>
      <c r="DD37" s="8">
        <v>0</v>
      </c>
      <c r="DE37" s="8">
        <v>0</v>
      </c>
      <c r="DF37" s="8">
        <v>0</v>
      </c>
      <c r="DG37" s="8">
        <v>9</v>
      </c>
      <c r="DH37" s="8">
        <v>0</v>
      </c>
      <c r="DI37" s="8">
        <v>0</v>
      </c>
      <c r="DJ37" s="8" t="s">
        <v>2954</v>
      </c>
      <c r="DK37" s="21">
        <v>44341</v>
      </c>
      <c r="DL37" s="21">
        <v>44281.229166666664</v>
      </c>
      <c r="DM37" s="21">
        <v>45962</v>
      </c>
      <c r="DN37" s="18">
        <v>3030</v>
      </c>
      <c r="DO37" s="21">
        <v>0</v>
      </c>
      <c r="DP37" s="21">
        <v>0</v>
      </c>
      <c r="DQ37" s="21">
        <v>0</v>
      </c>
      <c r="DR37" s="21">
        <v>0</v>
      </c>
      <c r="DS37" s="21">
        <v>0</v>
      </c>
      <c r="DT37" s="21">
        <v>0</v>
      </c>
      <c r="DU37" s="21">
        <v>0</v>
      </c>
      <c r="DV37" s="21">
        <v>0</v>
      </c>
      <c r="DW37" s="21">
        <v>0</v>
      </c>
      <c r="DX37" s="21">
        <v>0</v>
      </c>
      <c r="DY37" s="21">
        <v>0</v>
      </c>
      <c r="DZ37" s="21">
        <v>0</v>
      </c>
      <c r="EA37" s="8">
        <v>15</v>
      </c>
      <c r="EB37" s="8">
        <v>15</v>
      </c>
      <c r="EC37" s="8">
        <v>15</v>
      </c>
      <c r="ED37" s="8">
        <v>15</v>
      </c>
      <c r="EE37" s="8">
        <v>15</v>
      </c>
      <c r="EF37" s="8">
        <v>15</v>
      </c>
      <c r="EG37" s="8">
        <v>1000</v>
      </c>
      <c r="EH37" s="8">
        <v>15</v>
      </c>
      <c r="EI37" s="8">
        <v>15</v>
      </c>
      <c r="EJ37" s="8">
        <v>0</v>
      </c>
      <c r="EK37" s="8" t="s">
        <v>2624</v>
      </c>
      <c r="EL37" s="8">
        <v>151</v>
      </c>
      <c r="EM37" s="8">
        <v>302</v>
      </c>
      <c r="EN37" s="8">
        <v>-273</v>
      </c>
      <c r="EO37" s="8">
        <v>-273</v>
      </c>
      <c r="EP37" s="8">
        <v>-273</v>
      </c>
      <c r="EQ37" s="8">
        <v>-273</v>
      </c>
      <c r="ER37" s="8">
        <v>-273</v>
      </c>
      <c r="ES37" s="8">
        <v>-273</v>
      </c>
      <c r="ET37" s="8">
        <v>712</v>
      </c>
      <c r="EU37" s="8">
        <v>-273</v>
      </c>
      <c r="EV37" s="8">
        <v>-273</v>
      </c>
    </row>
    <row r="38" spans="1:152" x14ac:dyDescent="0.15">
      <c r="A38" s="8">
        <f>ROW([2]!tbl_DPSAC[[#This Row],[Sl. No.]])-1</f>
        <v>37</v>
      </c>
      <c r="B38" s="9" t="s">
        <v>136</v>
      </c>
      <c r="C38" s="9" t="s">
        <v>342</v>
      </c>
      <c r="D38" s="9" t="s">
        <v>169</v>
      </c>
      <c r="E38" s="9" t="s">
        <v>170</v>
      </c>
      <c r="F38" s="9" t="s">
        <v>161</v>
      </c>
      <c r="G38" s="10" t="s">
        <v>339</v>
      </c>
      <c r="H38" s="10" t="str">
        <f>_xlfn.XLOOKUP(C38,'[1]E&amp;DPSAC'!$K:$K,'[1]E&amp;DPSAC'!$E:$E,,0)</f>
        <v>CHHARTARPUR, PALAMU</v>
      </c>
      <c r="I38" s="10" t="s">
        <v>340</v>
      </c>
      <c r="J38" s="10">
        <v>6203240174</v>
      </c>
      <c r="K38" s="10">
        <f>_xlfn.XLOOKUP(C38,'[1]E&amp;DPSAC'!$K:$K,'[1]E&amp;DPSAC'!$G:$G,"",0)</f>
        <v>6203240174</v>
      </c>
      <c r="L38" s="9" t="str">
        <f t="shared" ca="1" si="0"/>
        <v>Non - Warranty</v>
      </c>
      <c r="M38" s="11">
        <v>44324</v>
      </c>
      <c r="N38" s="12">
        <v>24</v>
      </c>
      <c r="O38" s="11">
        <f t="shared" si="1"/>
        <v>45077</v>
      </c>
      <c r="P38" s="8" t="s">
        <v>142</v>
      </c>
      <c r="Q38" s="16" t="s">
        <v>2631</v>
      </c>
      <c r="R38" s="15">
        <v>44351.832870370403</v>
      </c>
      <c r="S38" s="14">
        <v>337</v>
      </c>
      <c r="T38" s="15">
        <v>44883</v>
      </c>
      <c r="U38" s="14">
        <v>715</v>
      </c>
      <c r="V38" s="14">
        <v>2670</v>
      </c>
      <c r="W38" s="17">
        <v>45962.499305555553</v>
      </c>
      <c r="X38" s="14" t="s">
        <v>2719</v>
      </c>
      <c r="Y38" s="14">
        <v>-1583</v>
      </c>
      <c r="Z38" s="14" t="s">
        <v>2697</v>
      </c>
      <c r="AA38" s="18">
        <v>1761.1671296295972</v>
      </c>
      <c r="AB38" s="18" t="s">
        <v>2697</v>
      </c>
      <c r="AC38" s="8">
        <f>tbl_DPSAC[[#This Row],[Current Month Due Count]]</f>
        <v>0</v>
      </c>
      <c r="AD38" s="8">
        <f>tbl_DPSAC[[#This Row],[Next Month Due2]]</f>
        <v>0</v>
      </c>
      <c r="AE38" s="8">
        <f t="shared" si="2"/>
        <v>1</v>
      </c>
      <c r="AF38" s="8">
        <v>1</v>
      </c>
      <c r="AG38" s="14">
        <f t="shared" ca="1" si="3"/>
        <v>2821</v>
      </c>
      <c r="AH38" s="8">
        <v>0</v>
      </c>
      <c r="AI38" s="8">
        <v>0</v>
      </c>
      <c r="AJ38" s="8">
        <v>0</v>
      </c>
      <c r="AK38" s="8">
        <v>0</v>
      </c>
      <c r="AL38" s="8">
        <v>0</v>
      </c>
      <c r="AM38" s="8">
        <v>0</v>
      </c>
      <c r="AN38" s="8">
        <v>0</v>
      </c>
      <c r="AO38" s="8">
        <v>0</v>
      </c>
      <c r="AP38" s="8">
        <v>0</v>
      </c>
      <c r="AQ38" s="8">
        <v>0</v>
      </c>
      <c r="AR38" s="8">
        <v>0</v>
      </c>
      <c r="AS38" s="8">
        <v>0</v>
      </c>
      <c r="AT38" s="8">
        <v>0</v>
      </c>
      <c r="AU38" s="8">
        <v>0</v>
      </c>
      <c r="AV38" s="8" t="s">
        <v>249</v>
      </c>
      <c r="AW38" s="8">
        <v>0</v>
      </c>
      <c r="AX38" s="8" t="s">
        <v>2961</v>
      </c>
      <c r="AY38" s="14">
        <v>1</v>
      </c>
      <c r="AZ38" s="19">
        <v>44324</v>
      </c>
      <c r="BA38" s="14" t="s">
        <v>343</v>
      </c>
      <c r="BB38" s="14">
        <v>1</v>
      </c>
      <c r="BC38" s="19">
        <v>44324</v>
      </c>
      <c r="BD38" s="14" t="s">
        <v>343</v>
      </c>
      <c r="BE38" s="14">
        <v>1</v>
      </c>
      <c r="BF38" s="19">
        <v>44324</v>
      </c>
      <c r="BG38" s="14" t="s">
        <v>343</v>
      </c>
      <c r="BH38" s="14">
        <v>1</v>
      </c>
      <c r="BI38" s="19">
        <v>44324</v>
      </c>
      <c r="BJ38" s="14" t="s">
        <v>343</v>
      </c>
      <c r="BK38" s="14">
        <v>1</v>
      </c>
      <c r="BL38" s="19">
        <v>44324</v>
      </c>
      <c r="BM38" s="14" t="s">
        <v>343</v>
      </c>
      <c r="BN38" s="27">
        <v>44504</v>
      </c>
      <c r="BO38" s="27">
        <v>44504</v>
      </c>
      <c r="BP38" s="27">
        <v>44504</v>
      </c>
      <c r="BQ38" s="27">
        <v>44504</v>
      </c>
      <c r="BR38" s="27">
        <v>44689</v>
      </c>
      <c r="BS38" s="28">
        <v>-2070</v>
      </c>
      <c r="BT38" s="29">
        <v>-1320</v>
      </c>
      <c r="BU38" s="29">
        <v>-2070</v>
      </c>
      <c r="BV38" s="29">
        <v>-2070</v>
      </c>
      <c r="BW38" s="29">
        <v>-1320</v>
      </c>
      <c r="BX38" s="30" t="s">
        <v>173</v>
      </c>
      <c r="BY38" s="8">
        <v>5</v>
      </c>
      <c r="BZ38" s="8">
        <v>0</v>
      </c>
      <c r="CA38" s="8">
        <v>0</v>
      </c>
      <c r="CB38" s="21">
        <v>0</v>
      </c>
      <c r="CC38" s="21">
        <v>0</v>
      </c>
      <c r="CD38" s="21">
        <v>0</v>
      </c>
      <c r="CE38" s="21">
        <v>0</v>
      </c>
      <c r="CF38" s="21">
        <v>0</v>
      </c>
      <c r="CG38" s="21">
        <v>0</v>
      </c>
      <c r="CH38" s="21">
        <v>0</v>
      </c>
      <c r="CI38" s="21">
        <v>0</v>
      </c>
      <c r="CJ38" s="21">
        <v>0</v>
      </c>
      <c r="CK38" s="22" t="s">
        <v>2995</v>
      </c>
      <c r="CL38" s="22" t="s">
        <v>2995</v>
      </c>
      <c r="CM38" s="22" t="s">
        <v>2995</v>
      </c>
      <c r="CN38" s="22" t="s">
        <v>2995</v>
      </c>
      <c r="CO38" s="22" t="s">
        <v>2995</v>
      </c>
      <c r="CP38" s="22" t="s">
        <v>2995</v>
      </c>
      <c r="CQ38" s="22" t="s">
        <v>2996</v>
      </c>
      <c r="CR38" s="22" t="s">
        <v>2995</v>
      </c>
      <c r="CS38" s="22" t="s">
        <v>2995</v>
      </c>
      <c r="CT38" s="22">
        <v>3</v>
      </c>
      <c r="CU38" s="21">
        <v>45972</v>
      </c>
      <c r="CV38" s="21">
        <v>45972</v>
      </c>
      <c r="CW38" s="21">
        <v>45972</v>
      </c>
      <c r="CX38" s="21">
        <v>45972</v>
      </c>
      <c r="CY38" s="21">
        <v>45972</v>
      </c>
      <c r="CZ38" s="21">
        <v>45972</v>
      </c>
      <c r="DA38" s="21">
        <v>45994</v>
      </c>
      <c r="DB38" s="21">
        <v>45972</v>
      </c>
      <c r="DC38" s="21">
        <v>45972</v>
      </c>
      <c r="DD38" s="8">
        <v>1</v>
      </c>
      <c r="DE38" s="8">
        <v>0</v>
      </c>
      <c r="DF38" s="8">
        <v>0</v>
      </c>
      <c r="DG38" s="8">
        <v>9</v>
      </c>
      <c r="DH38" s="8">
        <v>0</v>
      </c>
      <c r="DI38" s="8">
        <v>0</v>
      </c>
      <c r="DJ38" s="8" t="s">
        <v>2954</v>
      </c>
      <c r="DK38" s="21">
        <v>44324</v>
      </c>
      <c r="DL38" s="21">
        <v>44294.229166666664</v>
      </c>
      <c r="DM38" s="21">
        <v>45962</v>
      </c>
      <c r="DN38" s="18">
        <v>2670</v>
      </c>
      <c r="DO38" s="21">
        <v>0</v>
      </c>
      <c r="DP38" s="21">
        <v>0</v>
      </c>
      <c r="DQ38" s="21" t="s">
        <v>2955</v>
      </c>
      <c r="DR38" s="21">
        <v>0</v>
      </c>
      <c r="DS38" s="21">
        <v>0</v>
      </c>
      <c r="DT38" s="21">
        <v>0</v>
      </c>
      <c r="DU38" s="21">
        <v>0</v>
      </c>
      <c r="DV38" s="21">
        <v>0</v>
      </c>
      <c r="DW38" s="21">
        <v>0</v>
      </c>
      <c r="DX38" s="21">
        <v>0</v>
      </c>
      <c r="DY38" s="21">
        <v>0</v>
      </c>
      <c r="DZ38" s="21">
        <v>0</v>
      </c>
      <c r="EA38" s="8">
        <v>30</v>
      </c>
      <c r="EB38" s="8">
        <v>30</v>
      </c>
      <c r="EC38" s="8">
        <v>30</v>
      </c>
      <c r="ED38" s="8">
        <v>30</v>
      </c>
      <c r="EE38" s="8">
        <v>30</v>
      </c>
      <c r="EF38" s="8">
        <v>30</v>
      </c>
      <c r="EG38" s="8">
        <v>330</v>
      </c>
      <c r="EH38" s="8">
        <v>30</v>
      </c>
      <c r="EI38" s="8">
        <v>30</v>
      </c>
      <c r="EJ38" s="8">
        <v>3</v>
      </c>
      <c r="EK38" s="8" t="s">
        <v>2624</v>
      </c>
      <c r="EL38" s="8">
        <v>151</v>
      </c>
      <c r="EM38" s="8">
        <v>151</v>
      </c>
      <c r="EN38" s="8">
        <v>-258</v>
      </c>
      <c r="EO38" s="8">
        <v>-258</v>
      </c>
      <c r="EP38" s="8">
        <v>-258</v>
      </c>
      <c r="EQ38" s="8">
        <v>-258</v>
      </c>
      <c r="ER38" s="8">
        <v>-258</v>
      </c>
      <c r="ES38" s="8">
        <v>-258</v>
      </c>
      <c r="ET38" s="8">
        <v>42</v>
      </c>
      <c r="EU38" s="8">
        <v>-258</v>
      </c>
      <c r="EV38" s="8">
        <v>-258</v>
      </c>
    </row>
    <row r="39" spans="1:152" x14ac:dyDescent="0.15">
      <c r="A39" s="8">
        <f>ROW([2]!tbl_DPSAC[[#This Row],[Sl. No.]])-1</f>
        <v>38</v>
      </c>
      <c r="B39" s="9" t="s">
        <v>136</v>
      </c>
      <c r="C39" s="9" t="s">
        <v>344</v>
      </c>
      <c r="D39" s="9" t="s">
        <v>345</v>
      </c>
      <c r="E39" s="9" t="s">
        <v>346</v>
      </c>
      <c r="F39" s="9" t="s">
        <v>161</v>
      </c>
      <c r="G39" s="10" t="s">
        <v>347</v>
      </c>
      <c r="H39" s="10" t="str">
        <f>_xlfn.XLOOKUP(C39,'[1]E&amp;DPSAC'!$K:$K,'[1]E&amp;DPSAC'!$E:$E,,0)</f>
        <v>C/O URANIUM CORPORATION OF INDIA LIMITED, MOHULDIH MINES, SARAIKELA, KHARSAWAN</v>
      </c>
      <c r="I39" s="10" t="s">
        <v>348</v>
      </c>
      <c r="J39" s="10">
        <v>8367674492</v>
      </c>
      <c r="K39" s="10">
        <f>_xlfn.XLOOKUP(C39,'[1]E&amp;DPSAC'!$K:$K,'[1]E&amp;DPSAC'!$G:$G,"",0)</f>
        <v>8367674492</v>
      </c>
      <c r="L39" s="9" t="str">
        <f t="shared" ca="1" si="0"/>
        <v>Non - Warranty</v>
      </c>
      <c r="M39" s="11">
        <v>44350</v>
      </c>
      <c r="N39" s="12">
        <v>24</v>
      </c>
      <c r="O39" s="11">
        <f t="shared" si="1"/>
        <v>45107</v>
      </c>
      <c r="P39" s="8" t="s">
        <v>142</v>
      </c>
      <c r="Q39" s="16" t="s">
        <v>352</v>
      </c>
      <c r="R39" s="15">
        <v>45372.623275462996</v>
      </c>
      <c r="S39" s="14">
        <v>4623</v>
      </c>
      <c r="T39" s="15">
        <v>45372</v>
      </c>
      <c r="U39" s="14">
        <v>4623</v>
      </c>
      <c r="V39" s="14">
        <v>6266</v>
      </c>
      <c r="W39" s="17">
        <v>46041.536909722199</v>
      </c>
      <c r="X39" s="14" t="s">
        <v>2720</v>
      </c>
      <c r="Y39" s="14">
        <v>-893</v>
      </c>
      <c r="Z39" s="14" t="s">
        <v>2697</v>
      </c>
      <c r="AA39" s="18">
        <v>740.37672453700361</v>
      </c>
      <c r="AB39" s="18" t="s">
        <v>2697</v>
      </c>
      <c r="AC39" s="8">
        <f>tbl_DPSAC[[#This Row],[Current Month Due Count]]</f>
        <v>0</v>
      </c>
      <c r="AD39" s="8">
        <f>tbl_DPSAC[[#This Row],[Next Month Due2]]</f>
        <v>0</v>
      </c>
      <c r="AE39" s="8">
        <f t="shared" si="2"/>
        <v>1</v>
      </c>
      <c r="AF39" s="8">
        <v>3</v>
      </c>
      <c r="AG39" s="14">
        <f t="shared" ca="1" si="3"/>
        <v>6480</v>
      </c>
      <c r="AH39" s="8" t="s">
        <v>349</v>
      </c>
      <c r="AI39" s="8" t="s">
        <v>350</v>
      </c>
      <c r="AJ39" s="8" t="s">
        <v>351</v>
      </c>
      <c r="AK39" s="8">
        <v>0</v>
      </c>
      <c r="AL39" s="8">
        <v>0</v>
      </c>
      <c r="AM39" s="8">
        <v>0</v>
      </c>
      <c r="AN39" s="8">
        <v>0</v>
      </c>
      <c r="AO39" s="8">
        <v>0</v>
      </c>
      <c r="AP39" s="8">
        <v>0</v>
      </c>
      <c r="AQ39" s="8">
        <v>0</v>
      </c>
      <c r="AR39" s="8">
        <v>0</v>
      </c>
      <c r="AS39" s="8">
        <v>0</v>
      </c>
      <c r="AT39" s="8">
        <v>0</v>
      </c>
      <c r="AU39" s="8">
        <v>0</v>
      </c>
      <c r="AV39" s="8">
        <v>0</v>
      </c>
      <c r="AW39" s="8">
        <v>0</v>
      </c>
      <c r="AX39" s="8" t="s">
        <v>2961</v>
      </c>
      <c r="AY39" s="14">
        <v>4623</v>
      </c>
      <c r="AZ39" s="19">
        <v>45372</v>
      </c>
      <c r="BA39" s="14" t="s">
        <v>352</v>
      </c>
      <c r="BB39" s="14">
        <v>3000</v>
      </c>
      <c r="BC39" s="19">
        <v>45167</v>
      </c>
      <c r="BD39" s="14" t="s">
        <v>353</v>
      </c>
      <c r="BE39" s="14">
        <v>4623</v>
      </c>
      <c r="BF39" s="19">
        <v>45372</v>
      </c>
      <c r="BG39" s="14" t="s">
        <v>352</v>
      </c>
      <c r="BH39" s="14">
        <v>3000</v>
      </c>
      <c r="BI39" s="19">
        <v>45167</v>
      </c>
      <c r="BJ39" s="14" t="s">
        <v>353</v>
      </c>
      <c r="BK39" s="14">
        <v>3000</v>
      </c>
      <c r="BL39" s="19">
        <v>45167</v>
      </c>
      <c r="BM39" s="14" t="s">
        <v>353</v>
      </c>
      <c r="BN39" s="27">
        <v>45552</v>
      </c>
      <c r="BO39" s="27">
        <v>45347</v>
      </c>
      <c r="BP39" s="27">
        <v>45552</v>
      </c>
      <c r="BQ39" s="27">
        <v>45347</v>
      </c>
      <c r="BR39" s="27">
        <v>45532</v>
      </c>
      <c r="BS39" s="28">
        <v>-1107</v>
      </c>
      <c r="BT39" s="29">
        <v>-1980</v>
      </c>
      <c r="BU39" s="29">
        <v>-1107</v>
      </c>
      <c r="BV39" s="29">
        <v>-2730</v>
      </c>
      <c r="BW39" s="29">
        <v>-1980</v>
      </c>
      <c r="BX39" s="30" t="s">
        <v>173</v>
      </c>
      <c r="BY39" s="8">
        <v>5</v>
      </c>
      <c r="BZ39" s="8">
        <v>0</v>
      </c>
      <c r="CA39" s="8">
        <v>0</v>
      </c>
      <c r="CB39" s="21">
        <v>45371.770833333299</v>
      </c>
      <c r="CC39" s="21">
        <v>45371.770833333299</v>
      </c>
      <c r="CD39" s="21">
        <v>0</v>
      </c>
      <c r="CE39" s="21">
        <v>45371.770833333299</v>
      </c>
      <c r="CF39" s="21">
        <v>45371.770833333299</v>
      </c>
      <c r="CG39" s="21">
        <v>45166.770833333299</v>
      </c>
      <c r="CH39" s="21">
        <v>45166.770833333299</v>
      </c>
      <c r="CI39" s="21">
        <v>45166.770833333299</v>
      </c>
      <c r="CJ39" s="21">
        <v>45166.770833333299</v>
      </c>
      <c r="CK39" s="22" t="s">
        <v>2997</v>
      </c>
      <c r="CL39" s="22" t="s">
        <v>2998</v>
      </c>
      <c r="CM39" s="22" t="s">
        <v>2998</v>
      </c>
      <c r="CN39" s="22" t="s">
        <v>2998</v>
      </c>
      <c r="CO39" s="22" t="s">
        <v>2998</v>
      </c>
      <c r="CP39" s="22" t="s">
        <v>2997</v>
      </c>
      <c r="CQ39" s="22" t="s">
        <v>2953</v>
      </c>
      <c r="CR39" s="22" t="s">
        <v>2997</v>
      </c>
      <c r="CS39" s="22" t="s">
        <v>2997</v>
      </c>
      <c r="CT39" s="22">
        <v>3</v>
      </c>
      <c r="CU39" s="21">
        <v>45551</v>
      </c>
      <c r="CV39" s="21">
        <v>45551</v>
      </c>
      <c r="CW39" s="21">
        <v>46211</v>
      </c>
      <c r="CX39" s="21">
        <v>45551</v>
      </c>
      <c r="CY39" s="21">
        <v>45551</v>
      </c>
      <c r="CZ39" s="21">
        <v>45436</v>
      </c>
      <c r="DA39" s="21">
        <v>45531</v>
      </c>
      <c r="DB39" s="21">
        <v>45346</v>
      </c>
      <c r="DC39" s="21">
        <v>45531</v>
      </c>
      <c r="DD39" s="8">
        <v>1</v>
      </c>
      <c r="DE39" s="8">
        <v>0</v>
      </c>
      <c r="DF39" s="8">
        <v>0</v>
      </c>
      <c r="DG39" s="8">
        <v>8</v>
      </c>
      <c r="DH39" s="8">
        <v>0</v>
      </c>
      <c r="DI39" s="8">
        <v>0</v>
      </c>
      <c r="DJ39" s="8" t="s">
        <v>2954</v>
      </c>
      <c r="DK39" s="21">
        <v>44350</v>
      </c>
      <c r="DL39" s="21">
        <v>44323.229166666664</v>
      </c>
      <c r="DM39" s="21">
        <v>46041</v>
      </c>
      <c r="DN39" s="18">
        <v>6266</v>
      </c>
      <c r="DO39" s="21">
        <v>0</v>
      </c>
      <c r="DP39" s="21">
        <v>0</v>
      </c>
      <c r="DQ39" s="21" t="s">
        <v>2955</v>
      </c>
      <c r="DR39" s="21">
        <v>45372</v>
      </c>
      <c r="DS39" s="21">
        <v>45372</v>
      </c>
      <c r="DT39" s="21">
        <v>0</v>
      </c>
      <c r="DU39" s="21">
        <v>45372</v>
      </c>
      <c r="DV39" s="21">
        <v>45372</v>
      </c>
      <c r="DW39" s="21">
        <v>45167</v>
      </c>
      <c r="DX39" s="21">
        <v>45167</v>
      </c>
      <c r="DY39" s="21">
        <v>45167</v>
      </c>
      <c r="DZ39" s="21">
        <v>45167</v>
      </c>
      <c r="EA39" s="8">
        <v>1260</v>
      </c>
      <c r="EB39" s="8">
        <v>890</v>
      </c>
      <c r="EC39" s="8">
        <v>890</v>
      </c>
      <c r="ED39" s="8">
        <v>890</v>
      </c>
      <c r="EE39" s="8">
        <v>890</v>
      </c>
      <c r="EF39" s="8">
        <v>1260</v>
      </c>
      <c r="EG39" s="8">
        <v>1000</v>
      </c>
      <c r="EH39" s="8">
        <v>1260</v>
      </c>
      <c r="EI39" s="8">
        <v>1260</v>
      </c>
      <c r="EJ39" s="8">
        <v>3</v>
      </c>
      <c r="EK39" s="8" t="s">
        <v>2624</v>
      </c>
      <c r="EL39" s="8">
        <v>71</v>
      </c>
      <c r="EM39" s="8">
        <v>213</v>
      </c>
      <c r="EN39" s="8">
        <v>972</v>
      </c>
      <c r="EO39" s="8">
        <v>602</v>
      </c>
      <c r="EP39" s="8">
        <v>602</v>
      </c>
      <c r="EQ39" s="8">
        <v>602</v>
      </c>
      <c r="ER39" s="8">
        <v>602</v>
      </c>
      <c r="ES39" s="8">
        <v>972</v>
      </c>
      <c r="ET39" s="8">
        <v>712</v>
      </c>
      <c r="EU39" s="8">
        <v>972</v>
      </c>
      <c r="EV39" s="8">
        <v>972</v>
      </c>
    </row>
    <row r="40" spans="1:152" x14ac:dyDescent="0.15">
      <c r="A40" s="8">
        <f>ROW([2]!tbl_DPSAC[[#This Row],[Sl. No.]])-1</f>
        <v>39</v>
      </c>
      <c r="B40" s="9" t="s">
        <v>196</v>
      </c>
      <c r="C40" s="9" t="s">
        <v>354</v>
      </c>
      <c r="D40" s="9" t="s">
        <v>204</v>
      </c>
      <c r="E40" s="9" t="s">
        <v>205</v>
      </c>
      <c r="F40" s="9" t="s">
        <v>161</v>
      </c>
      <c r="G40" s="10" t="s">
        <v>319</v>
      </c>
      <c r="H40" s="10" t="str">
        <f>_xlfn.XLOOKUP(C40,'[1]E&amp;DPSAC'!$K:$K,'[1]E&amp;DPSAC'!$E:$E,,0)</f>
        <v>SHEIKHPURA, BIHAR</v>
      </c>
      <c r="I40" s="10"/>
      <c r="J40" s="10">
        <v>6202016835</v>
      </c>
      <c r="K40" s="10">
        <f>_xlfn.XLOOKUP(C40,'[1]E&amp;DPSAC'!$K:$K,'[1]E&amp;DPSAC'!$G:$G,"",0)</f>
        <v>9523096957</v>
      </c>
      <c r="L40" s="9" t="str">
        <f t="shared" ca="1" si="0"/>
        <v>Non - Warranty</v>
      </c>
      <c r="M40" s="11">
        <v>44352</v>
      </c>
      <c r="N40" s="12">
        <v>24</v>
      </c>
      <c r="O40" s="11">
        <f t="shared" si="1"/>
        <v>45107</v>
      </c>
      <c r="P40" s="8" t="s">
        <v>142</v>
      </c>
      <c r="Q40" s="16" t="s">
        <v>363</v>
      </c>
      <c r="R40" s="15">
        <v>45933.515972222223</v>
      </c>
      <c r="S40" s="14">
        <v>12869</v>
      </c>
      <c r="T40" s="15">
        <v>45496</v>
      </c>
      <c r="U40" s="14">
        <v>8210</v>
      </c>
      <c r="V40" s="14">
        <v>12890</v>
      </c>
      <c r="W40" s="17">
        <v>45938.5625</v>
      </c>
      <c r="X40" s="14" t="s">
        <v>2721</v>
      </c>
      <c r="Y40" s="14">
        <v>729</v>
      </c>
      <c r="Z40" s="14" t="s">
        <v>2692</v>
      </c>
      <c r="AA40" s="18">
        <v>179.48402777777665</v>
      </c>
      <c r="AB40" s="18" t="s">
        <v>2692</v>
      </c>
      <c r="AC40" s="8">
        <f>tbl_DPSAC[[#This Row],[Current Month Due Count]]</f>
        <v>4</v>
      </c>
      <c r="AD40" s="8">
        <f>tbl_DPSAC[[#This Row],[Next Month Due2]]</f>
        <v>0</v>
      </c>
      <c r="AE40" s="8">
        <f t="shared" si="2"/>
        <v>0</v>
      </c>
      <c r="AF40" s="8">
        <v>24</v>
      </c>
      <c r="AG40" s="14">
        <f t="shared" ca="1" si="3"/>
        <v>17077</v>
      </c>
      <c r="AH40" s="8" t="s">
        <v>355</v>
      </c>
      <c r="AI40" s="8" t="s">
        <v>356</v>
      </c>
      <c r="AJ40" s="8" t="s">
        <v>357</v>
      </c>
      <c r="AK40" s="8" t="s">
        <v>358</v>
      </c>
      <c r="AL40" s="8" t="s">
        <v>359</v>
      </c>
      <c r="AM40" s="8" t="s">
        <v>360</v>
      </c>
      <c r="AN40" s="8" t="s">
        <v>361</v>
      </c>
      <c r="AO40" s="8" t="s">
        <v>362</v>
      </c>
      <c r="AP40" s="8">
        <v>0</v>
      </c>
      <c r="AQ40" s="8">
        <v>0</v>
      </c>
      <c r="AR40" s="8">
        <v>0</v>
      </c>
      <c r="AS40" s="8">
        <v>0</v>
      </c>
      <c r="AT40" s="8">
        <v>0</v>
      </c>
      <c r="AU40" s="8">
        <v>0</v>
      </c>
      <c r="AV40" s="8">
        <v>0</v>
      </c>
      <c r="AW40" s="8">
        <v>0</v>
      </c>
      <c r="AX40" s="8" t="s">
        <v>2961</v>
      </c>
      <c r="AY40" s="14">
        <v>12869</v>
      </c>
      <c r="AZ40" s="19">
        <v>45933</v>
      </c>
      <c r="BA40" s="14" t="s">
        <v>363</v>
      </c>
      <c r="BB40" s="14">
        <v>12869</v>
      </c>
      <c r="BC40" s="19">
        <v>45933</v>
      </c>
      <c r="BD40" s="14" t="s">
        <v>363</v>
      </c>
      <c r="BE40" s="14">
        <v>12869</v>
      </c>
      <c r="BF40" s="19">
        <v>45933</v>
      </c>
      <c r="BG40" s="14" t="s">
        <v>363</v>
      </c>
      <c r="BH40" s="14">
        <v>12869</v>
      </c>
      <c r="BI40" s="19">
        <v>45933</v>
      </c>
      <c r="BJ40" s="14" t="s">
        <v>363</v>
      </c>
      <c r="BK40" s="14">
        <v>12869</v>
      </c>
      <c r="BL40" s="19">
        <v>45933</v>
      </c>
      <c r="BM40" s="14" t="s">
        <v>363</v>
      </c>
      <c r="BN40" s="27">
        <v>46113</v>
      </c>
      <c r="BO40" s="27">
        <v>46113</v>
      </c>
      <c r="BP40" s="27">
        <v>46113</v>
      </c>
      <c r="BQ40" s="27">
        <v>46113</v>
      </c>
      <c r="BR40" s="27">
        <v>46298</v>
      </c>
      <c r="BS40" s="28">
        <v>-3458</v>
      </c>
      <c r="BT40" s="29">
        <v>-2708</v>
      </c>
      <c r="BU40" s="29">
        <v>-3458</v>
      </c>
      <c r="BV40" s="29">
        <v>-3458</v>
      </c>
      <c r="BW40" s="29">
        <v>-2708</v>
      </c>
      <c r="BX40" s="30">
        <v>0</v>
      </c>
      <c r="BY40" s="8">
        <v>0</v>
      </c>
      <c r="BZ40" s="8">
        <v>4</v>
      </c>
      <c r="CA40" s="8">
        <v>0</v>
      </c>
      <c r="CB40" s="21">
        <v>45932.770833333299</v>
      </c>
      <c r="CC40" s="21">
        <v>45932.770833333299</v>
      </c>
      <c r="CD40" s="21">
        <v>45499.770833333299</v>
      </c>
      <c r="CE40" s="21">
        <v>45932.770833333299</v>
      </c>
      <c r="CF40" s="21">
        <v>45932.770833333299</v>
      </c>
      <c r="CG40" s="21">
        <v>45499.770833333299</v>
      </c>
      <c r="CH40" s="21">
        <v>45499.770833333299</v>
      </c>
      <c r="CI40" s="21">
        <v>45499.770833333299</v>
      </c>
      <c r="CJ40" s="21">
        <v>45499.770833333299</v>
      </c>
      <c r="CK40" s="22" t="s">
        <v>2999</v>
      </c>
      <c r="CL40" s="22" t="s">
        <v>2999</v>
      </c>
      <c r="CM40" s="22" t="s">
        <v>2999</v>
      </c>
      <c r="CN40" s="22" t="s">
        <v>2999</v>
      </c>
      <c r="CO40" s="22" t="s">
        <v>2999</v>
      </c>
      <c r="CP40" s="22" t="s">
        <v>3000</v>
      </c>
      <c r="CQ40" s="22" t="s">
        <v>2953</v>
      </c>
      <c r="CR40" s="22" t="s">
        <v>3000</v>
      </c>
      <c r="CS40" s="22" t="s">
        <v>3000</v>
      </c>
      <c r="CT40" s="22">
        <v>6</v>
      </c>
      <c r="CU40" s="21">
        <v>46059</v>
      </c>
      <c r="CV40" s="21">
        <v>46059</v>
      </c>
      <c r="CW40" s="21">
        <v>45679</v>
      </c>
      <c r="CX40" s="21">
        <v>46059</v>
      </c>
      <c r="CY40" s="21">
        <v>46059</v>
      </c>
      <c r="CZ40" s="21">
        <v>45769</v>
      </c>
      <c r="DA40" s="21">
        <v>45864</v>
      </c>
      <c r="DB40" s="21">
        <v>45679</v>
      </c>
      <c r="DC40" s="21">
        <v>45864</v>
      </c>
      <c r="DD40" s="8">
        <v>1</v>
      </c>
      <c r="DE40" s="8">
        <v>1</v>
      </c>
      <c r="DF40" s="8">
        <v>0</v>
      </c>
      <c r="DG40" s="8">
        <v>9</v>
      </c>
      <c r="DH40" s="8">
        <v>0</v>
      </c>
      <c r="DI40" s="8">
        <v>0</v>
      </c>
      <c r="DJ40" s="8" t="s">
        <v>2954</v>
      </c>
      <c r="DK40" s="21">
        <v>44352</v>
      </c>
      <c r="DL40" s="21">
        <v>44322.229166666664</v>
      </c>
      <c r="DM40" s="21">
        <v>45938</v>
      </c>
      <c r="DN40" s="18">
        <v>12890</v>
      </c>
      <c r="DO40" s="21">
        <v>0</v>
      </c>
      <c r="DP40" s="21">
        <v>0</v>
      </c>
      <c r="DQ40" s="21" t="s">
        <v>2955</v>
      </c>
      <c r="DR40" s="21">
        <v>45933</v>
      </c>
      <c r="DS40" s="21">
        <v>45933</v>
      </c>
      <c r="DT40" s="21">
        <v>45500</v>
      </c>
      <c r="DU40" s="21">
        <v>45933</v>
      </c>
      <c r="DV40" s="21">
        <v>45933</v>
      </c>
      <c r="DW40" s="21">
        <v>45500</v>
      </c>
      <c r="DX40" s="21">
        <v>45500</v>
      </c>
      <c r="DY40" s="21">
        <v>45500</v>
      </c>
      <c r="DZ40" s="21">
        <v>45500</v>
      </c>
      <c r="EA40" s="8">
        <v>730</v>
      </c>
      <c r="EB40" s="8">
        <v>730</v>
      </c>
      <c r="EC40" s="8">
        <v>730</v>
      </c>
      <c r="ED40" s="8">
        <v>730</v>
      </c>
      <c r="EE40" s="8">
        <v>730</v>
      </c>
      <c r="EF40" s="8">
        <v>1470</v>
      </c>
      <c r="EG40" s="8">
        <v>1000</v>
      </c>
      <c r="EH40" s="8">
        <v>1470</v>
      </c>
      <c r="EI40" s="8">
        <v>1470</v>
      </c>
      <c r="EJ40" s="8">
        <v>6</v>
      </c>
      <c r="EK40" s="8" t="s">
        <v>2624</v>
      </c>
      <c r="EL40" s="8">
        <v>174</v>
      </c>
      <c r="EM40" s="8">
        <v>4176</v>
      </c>
      <c r="EN40" s="8">
        <v>442</v>
      </c>
      <c r="EO40" s="8">
        <v>442</v>
      </c>
      <c r="EP40" s="8">
        <v>442</v>
      </c>
      <c r="EQ40" s="8">
        <v>442</v>
      </c>
      <c r="ER40" s="8">
        <v>442</v>
      </c>
      <c r="ES40" s="8">
        <v>1182</v>
      </c>
      <c r="ET40" s="8">
        <v>712</v>
      </c>
      <c r="EU40" s="8">
        <v>1182</v>
      </c>
      <c r="EV40" s="8">
        <v>1182</v>
      </c>
    </row>
    <row r="41" spans="1:152" x14ac:dyDescent="0.15">
      <c r="A41" s="8">
        <f>ROW([2]!tbl_DPSAC[[#This Row],[Sl. No.]])-1</f>
        <v>40</v>
      </c>
      <c r="B41" s="9" t="s">
        <v>136</v>
      </c>
      <c r="C41" s="9" t="s">
        <v>364</v>
      </c>
      <c r="D41" s="9" t="s">
        <v>204</v>
      </c>
      <c r="E41" s="9" t="s">
        <v>205</v>
      </c>
      <c r="F41" s="9" t="s">
        <v>161</v>
      </c>
      <c r="G41" s="10" t="s">
        <v>206</v>
      </c>
      <c r="H41" s="10" t="str">
        <f>_xlfn.XLOOKUP(C41,'[1]E&amp;DPSAC'!$K:$K,'[1]E&amp;DPSAC'!$E:$E,,0)</f>
        <v>SHEKHPURA, BIHAR</v>
      </c>
      <c r="I41" s="10" t="s">
        <v>207</v>
      </c>
      <c r="J41" s="10">
        <v>8002716601</v>
      </c>
      <c r="K41" s="10">
        <f>_xlfn.XLOOKUP(C41,'[1]E&amp;DPSAC'!$K:$K,'[1]E&amp;DPSAC'!$G:$G,"",0)</f>
        <v>9304172201</v>
      </c>
      <c r="L41" s="9" t="str">
        <f t="shared" ca="1" si="0"/>
        <v>Non - Warranty</v>
      </c>
      <c r="M41" s="11">
        <v>44373</v>
      </c>
      <c r="N41" s="12">
        <v>24</v>
      </c>
      <c r="O41" s="11">
        <f t="shared" si="1"/>
        <v>45107</v>
      </c>
      <c r="P41" s="8" t="s">
        <v>142</v>
      </c>
      <c r="Q41" s="16" t="s">
        <v>370</v>
      </c>
      <c r="R41" s="15">
        <v>45266.489317129599</v>
      </c>
      <c r="S41" s="14">
        <v>4715</v>
      </c>
      <c r="T41" s="15">
        <v>45266</v>
      </c>
      <c r="U41" s="14">
        <v>4715</v>
      </c>
      <c r="V41" s="14">
        <v>6800</v>
      </c>
      <c r="W41" s="17">
        <v>46041.539675925902</v>
      </c>
      <c r="X41" s="14" t="s">
        <v>2704</v>
      </c>
      <c r="Y41" s="14">
        <v>-1335</v>
      </c>
      <c r="Z41" s="14" t="s">
        <v>2697</v>
      </c>
      <c r="AA41" s="18">
        <v>846.51068287040107</v>
      </c>
      <c r="AB41" s="18" t="s">
        <v>2697</v>
      </c>
      <c r="AC41" s="8">
        <f>tbl_DPSAC[[#This Row],[Current Month Due Count]]</f>
        <v>0</v>
      </c>
      <c r="AD41" s="8">
        <f>tbl_DPSAC[[#This Row],[Next Month Due2]]</f>
        <v>0</v>
      </c>
      <c r="AE41" s="8">
        <f t="shared" si="2"/>
        <v>1</v>
      </c>
      <c r="AF41" s="8">
        <v>3</v>
      </c>
      <c r="AG41" s="14">
        <f t="shared" ca="1" si="3"/>
        <v>7014</v>
      </c>
      <c r="AH41" s="8" t="s">
        <v>365</v>
      </c>
      <c r="AI41" s="8" t="s">
        <v>366</v>
      </c>
      <c r="AJ41" s="8">
        <v>0</v>
      </c>
      <c r="AK41" s="8" t="s">
        <v>367</v>
      </c>
      <c r="AL41" s="8">
        <v>0</v>
      </c>
      <c r="AM41" s="8" t="s">
        <v>368</v>
      </c>
      <c r="AN41" s="8">
        <v>0</v>
      </c>
      <c r="AO41" s="8" t="s">
        <v>369</v>
      </c>
      <c r="AP41" s="8">
        <v>0</v>
      </c>
      <c r="AQ41" s="8">
        <v>0</v>
      </c>
      <c r="AR41" s="8">
        <v>0</v>
      </c>
      <c r="AS41" s="8">
        <v>0</v>
      </c>
      <c r="AT41" s="8">
        <v>0</v>
      </c>
      <c r="AU41" s="8">
        <v>0</v>
      </c>
      <c r="AV41" s="8">
        <v>0</v>
      </c>
      <c r="AW41" s="8">
        <v>0</v>
      </c>
      <c r="AX41" s="8" t="s">
        <v>2961</v>
      </c>
      <c r="AY41" s="14">
        <v>4715</v>
      </c>
      <c r="AZ41" s="19">
        <v>45266</v>
      </c>
      <c r="BA41" s="14" t="s">
        <v>370</v>
      </c>
      <c r="BB41" s="14">
        <v>4715</v>
      </c>
      <c r="BC41" s="19">
        <v>45266</v>
      </c>
      <c r="BD41" s="14" t="s">
        <v>370</v>
      </c>
      <c r="BE41" s="14">
        <v>4715</v>
      </c>
      <c r="BF41" s="19">
        <v>45266</v>
      </c>
      <c r="BG41" s="14" t="s">
        <v>370</v>
      </c>
      <c r="BH41" s="14">
        <v>3419</v>
      </c>
      <c r="BI41" s="19">
        <v>44651</v>
      </c>
      <c r="BJ41" s="14" t="s">
        <v>371</v>
      </c>
      <c r="BK41" s="14">
        <v>4715</v>
      </c>
      <c r="BL41" s="19">
        <v>45266</v>
      </c>
      <c r="BM41" s="14" t="s">
        <v>370</v>
      </c>
      <c r="BN41" s="27">
        <v>45446</v>
      </c>
      <c r="BO41" s="27">
        <v>45446</v>
      </c>
      <c r="BP41" s="27">
        <v>45446</v>
      </c>
      <c r="BQ41" s="27">
        <v>44831</v>
      </c>
      <c r="BR41" s="27">
        <v>45631</v>
      </c>
      <c r="BS41" s="28">
        <v>-1549</v>
      </c>
      <c r="BT41" s="29">
        <v>-799</v>
      </c>
      <c r="BU41" s="29">
        <v>-1549</v>
      </c>
      <c r="BV41" s="29">
        <v>-2845</v>
      </c>
      <c r="BW41" s="29">
        <v>-799</v>
      </c>
      <c r="BX41" s="30" t="s">
        <v>152</v>
      </c>
      <c r="BY41" s="8">
        <v>5</v>
      </c>
      <c r="BZ41" s="8">
        <v>0</v>
      </c>
      <c r="CA41" s="8">
        <v>0</v>
      </c>
      <c r="CB41" s="21">
        <v>45265.770833333299</v>
      </c>
      <c r="CC41" s="21">
        <v>45265.770833333299</v>
      </c>
      <c r="CD41" s="21">
        <v>0</v>
      </c>
      <c r="CE41" s="21">
        <v>45265.770833333299</v>
      </c>
      <c r="CF41" s="21">
        <v>45265.770833333299</v>
      </c>
      <c r="CG41" s="21">
        <v>45265.770833333299</v>
      </c>
      <c r="CH41" s="21">
        <v>45265.770833333299</v>
      </c>
      <c r="CI41" s="21">
        <v>45265.770833333299</v>
      </c>
      <c r="CJ41" s="21">
        <v>45265.770833333299</v>
      </c>
      <c r="CK41" s="22" t="s">
        <v>2974</v>
      </c>
      <c r="CL41" s="22" t="s">
        <v>2974</v>
      </c>
      <c r="CM41" s="22" t="s">
        <v>2974</v>
      </c>
      <c r="CN41" s="22" t="s">
        <v>2974</v>
      </c>
      <c r="CO41" s="22" t="s">
        <v>2974</v>
      </c>
      <c r="CP41" s="22" t="s">
        <v>3001</v>
      </c>
      <c r="CQ41" s="22" t="s">
        <v>2953</v>
      </c>
      <c r="CR41" s="22" t="s">
        <v>3001</v>
      </c>
      <c r="CS41" s="22" t="s">
        <v>3001</v>
      </c>
      <c r="CT41" s="22">
        <v>2</v>
      </c>
      <c r="CU41" s="21">
        <v>45445</v>
      </c>
      <c r="CV41" s="21">
        <v>45445</v>
      </c>
      <c r="CW41" s="21">
        <v>46161</v>
      </c>
      <c r="CX41" s="21">
        <v>45445</v>
      </c>
      <c r="CY41" s="21">
        <v>45445</v>
      </c>
      <c r="CZ41" s="21">
        <v>45535</v>
      </c>
      <c r="DA41" s="21">
        <v>45630</v>
      </c>
      <c r="DB41" s="21">
        <v>45445</v>
      </c>
      <c r="DC41" s="21">
        <v>45630</v>
      </c>
      <c r="DD41" s="8">
        <v>1</v>
      </c>
      <c r="DE41" s="8">
        <v>0</v>
      </c>
      <c r="DF41" s="8">
        <v>0</v>
      </c>
      <c r="DG41" s="8">
        <v>8</v>
      </c>
      <c r="DH41" s="8">
        <v>0</v>
      </c>
      <c r="DI41" s="8">
        <v>1</v>
      </c>
      <c r="DJ41" s="8" t="s">
        <v>2954</v>
      </c>
      <c r="DK41" s="21">
        <v>44373</v>
      </c>
      <c r="DL41" s="21">
        <v>44284.229166666664</v>
      </c>
      <c r="DM41" s="21">
        <v>46041</v>
      </c>
      <c r="DN41" s="18">
        <v>6800</v>
      </c>
      <c r="DO41" s="21">
        <v>0</v>
      </c>
      <c r="DP41" s="21">
        <v>0</v>
      </c>
      <c r="DQ41" s="21" t="s">
        <v>2955</v>
      </c>
      <c r="DR41" s="21">
        <v>45266</v>
      </c>
      <c r="DS41" s="21">
        <v>45266</v>
      </c>
      <c r="DT41" s="21">
        <v>0</v>
      </c>
      <c r="DU41" s="21">
        <v>45266</v>
      </c>
      <c r="DV41" s="21">
        <v>45266</v>
      </c>
      <c r="DW41" s="21">
        <v>45266</v>
      </c>
      <c r="DX41" s="21">
        <v>45266</v>
      </c>
      <c r="DY41" s="21">
        <v>45266</v>
      </c>
      <c r="DZ41" s="21">
        <v>45266</v>
      </c>
      <c r="EA41" s="8">
        <v>340</v>
      </c>
      <c r="EB41" s="8">
        <v>340</v>
      </c>
      <c r="EC41" s="8">
        <v>340</v>
      </c>
      <c r="ED41" s="8">
        <v>340</v>
      </c>
      <c r="EE41" s="8">
        <v>340</v>
      </c>
      <c r="EF41" s="8">
        <v>1340</v>
      </c>
      <c r="EG41" s="8">
        <v>1000</v>
      </c>
      <c r="EH41" s="8">
        <v>1340</v>
      </c>
      <c r="EI41" s="8">
        <v>1340</v>
      </c>
      <c r="EJ41" s="8">
        <v>2</v>
      </c>
      <c r="EK41" s="8" t="s">
        <v>2624</v>
      </c>
      <c r="EL41" s="8">
        <v>71</v>
      </c>
      <c r="EM41" s="8">
        <v>213</v>
      </c>
      <c r="EN41" s="8">
        <v>52</v>
      </c>
      <c r="EO41" s="8">
        <v>52</v>
      </c>
      <c r="EP41" s="8">
        <v>52</v>
      </c>
      <c r="EQ41" s="8">
        <v>52</v>
      </c>
      <c r="ER41" s="8">
        <v>52</v>
      </c>
      <c r="ES41" s="8">
        <v>1052</v>
      </c>
      <c r="ET41" s="8">
        <v>712</v>
      </c>
      <c r="EU41" s="8">
        <v>1052</v>
      </c>
      <c r="EV41" s="8">
        <v>1052</v>
      </c>
    </row>
    <row r="42" spans="1:152" x14ac:dyDescent="0.15">
      <c r="A42" s="8">
        <f>ROW([2]!tbl_DPSAC[[#This Row],[Sl. No.]])-1</f>
        <v>41</v>
      </c>
      <c r="B42" s="9" t="s">
        <v>136</v>
      </c>
      <c r="C42" s="9" t="s">
        <v>372</v>
      </c>
      <c r="D42" s="9" t="s">
        <v>138</v>
      </c>
      <c r="E42" s="9" t="s">
        <v>139</v>
      </c>
      <c r="F42" s="9" t="s">
        <v>161</v>
      </c>
      <c r="G42" s="10" t="s">
        <v>184</v>
      </c>
      <c r="H42" s="10" t="str">
        <f>_xlfn.XLOOKUP(C42,'[1]E&amp;DPSAC'!$K:$K,'[1]E&amp;DPSAC'!$E:$E,,0)</f>
        <v>BASTAKOLA, DHANBAD</v>
      </c>
      <c r="I42" s="10"/>
      <c r="J42" s="10">
        <v>7489823544</v>
      </c>
      <c r="K42" s="10">
        <f>_xlfn.XLOOKUP(C42,'[1]E&amp;DPSAC'!$K:$K,'[1]E&amp;DPSAC'!$G:$G,"",0)</f>
        <v>8521311810</v>
      </c>
      <c r="L42" s="9" t="str">
        <f t="shared" ca="1" si="0"/>
        <v>Non - Warranty</v>
      </c>
      <c r="M42" s="11">
        <v>44277</v>
      </c>
      <c r="N42" s="12">
        <v>24</v>
      </c>
      <c r="O42" s="11">
        <f t="shared" si="1"/>
        <v>45016</v>
      </c>
      <c r="P42" s="8" t="s">
        <v>142</v>
      </c>
      <c r="Q42" s="16" t="s">
        <v>383</v>
      </c>
      <c r="R42" s="15">
        <v>45954.540277777778</v>
      </c>
      <c r="S42" s="14">
        <v>12415</v>
      </c>
      <c r="T42" s="15">
        <v>45701</v>
      </c>
      <c r="U42" s="14">
        <v>10500</v>
      </c>
      <c r="V42" s="14">
        <v>12440</v>
      </c>
      <c r="W42" s="17">
        <v>45962.561111111114</v>
      </c>
      <c r="X42" s="14" t="s">
        <v>2700</v>
      </c>
      <c r="Y42" s="14">
        <v>725</v>
      </c>
      <c r="Z42" s="14" t="s">
        <v>2692</v>
      </c>
      <c r="AA42" s="18">
        <v>158.4597222222219</v>
      </c>
      <c r="AB42" s="18" t="s">
        <v>2692</v>
      </c>
      <c r="AC42" s="8">
        <f>tbl_DPSAC[[#This Row],[Current Month Due Count]]</f>
        <v>4</v>
      </c>
      <c r="AD42" s="8">
        <f>tbl_DPSAC[[#This Row],[Next Month Due2]]</f>
        <v>0</v>
      </c>
      <c r="AE42" s="8">
        <f t="shared" si="2"/>
        <v>0</v>
      </c>
      <c r="AF42" s="8">
        <v>3</v>
      </c>
      <c r="AG42" s="14">
        <f t="shared" ca="1" si="3"/>
        <v>12891</v>
      </c>
      <c r="AH42" s="8" t="s">
        <v>373</v>
      </c>
      <c r="AI42" s="8" t="s">
        <v>374</v>
      </c>
      <c r="AJ42" s="8" t="s">
        <v>375</v>
      </c>
      <c r="AK42" s="8" t="s">
        <v>376</v>
      </c>
      <c r="AL42" s="8" t="s">
        <v>377</v>
      </c>
      <c r="AM42" s="8" t="s">
        <v>378</v>
      </c>
      <c r="AN42" s="8" t="s">
        <v>379</v>
      </c>
      <c r="AO42" s="8" t="s">
        <v>380</v>
      </c>
      <c r="AP42" s="8" t="s">
        <v>381</v>
      </c>
      <c r="AQ42" s="8" t="s">
        <v>382</v>
      </c>
      <c r="AR42" s="8">
        <v>0</v>
      </c>
      <c r="AS42" s="8">
        <v>0</v>
      </c>
      <c r="AT42" s="8">
        <v>0</v>
      </c>
      <c r="AU42" s="8">
        <v>0</v>
      </c>
      <c r="AV42" s="8">
        <v>0</v>
      </c>
      <c r="AW42" s="8">
        <v>0</v>
      </c>
      <c r="AX42" s="8" t="s">
        <v>2007</v>
      </c>
      <c r="AY42" s="14">
        <v>12415</v>
      </c>
      <c r="AZ42" s="19">
        <v>45954</v>
      </c>
      <c r="BA42" s="14" t="s">
        <v>383</v>
      </c>
      <c r="BB42" s="14">
        <v>12415</v>
      </c>
      <c r="BC42" s="19">
        <v>45954</v>
      </c>
      <c r="BD42" s="14" t="s">
        <v>383</v>
      </c>
      <c r="BE42" s="14">
        <v>12415</v>
      </c>
      <c r="BF42" s="19">
        <v>45954</v>
      </c>
      <c r="BG42" s="14" t="s">
        <v>383</v>
      </c>
      <c r="BH42" s="14">
        <v>12415</v>
      </c>
      <c r="BI42" s="19">
        <v>45954</v>
      </c>
      <c r="BJ42" s="14" t="s">
        <v>383</v>
      </c>
      <c r="BK42" s="14">
        <v>12415</v>
      </c>
      <c r="BL42" s="19">
        <v>45954</v>
      </c>
      <c r="BM42" s="14" t="s">
        <v>383</v>
      </c>
      <c r="BN42" s="27">
        <v>46134</v>
      </c>
      <c r="BO42" s="27">
        <v>46134</v>
      </c>
      <c r="BP42" s="27">
        <v>46134</v>
      </c>
      <c r="BQ42" s="27">
        <v>46134</v>
      </c>
      <c r="BR42" s="27">
        <v>46319</v>
      </c>
      <c r="BS42" s="28">
        <v>274</v>
      </c>
      <c r="BT42" s="29">
        <v>1024</v>
      </c>
      <c r="BU42" s="29">
        <v>274</v>
      </c>
      <c r="BV42" s="29">
        <v>274</v>
      </c>
      <c r="BW42" s="29">
        <v>1024</v>
      </c>
      <c r="BX42" s="30" t="s">
        <v>384</v>
      </c>
      <c r="BY42" s="8">
        <v>0</v>
      </c>
      <c r="BZ42" s="8">
        <v>4</v>
      </c>
      <c r="CA42" s="8">
        <v>0</v>
      </c>
      <c r="CB42" s="21">
        <v>45953.770833333299</v>
      </c>
      <c r="CC42" s="21">
        <v>45953.770833333299</v>
      </c>
      <c r="CD42" s="21">
        <v>45953.770833333299</v>
      </c>
      <c r="CE42" s="21">
        <v>45953.770833333299</v>
      </c>
      <c r="CF42" s="21">
        <v>45953.770833333299</v>
      </c>
      <c r="CG42" s="21">
        <v>45953.770833333299</v>
      </c>
      <c r="CH42" s="21">
        <v>45953.770833333299</v>
      </c>
      <c r="CI42" s="21">
        <v>45953.770833333299</v>
      </c>
      <c r="CJ42" s="21">
        <v>45953.770833333299</v>
      </c>
      <c r="CK42" s="22" t="s">
        <v>3002</v>
      </c>
      <c r="CL42" s="22" t="s">
        <v>3003</v>
      </c>
      <c r="CM42" s="22" t="s">
        <v>3003</v>
      </c>
      <c r="CN42" s="22" t="s">
        <v>3003</v>
      </c>
      <c r="CO42" s="22" t="s">
        <v>3003</v>
      </c>
      <c r="CP42" s="22" t="s">
        <v>3002</v>
      </c>
      <c r="CQ42" s="22" t="s">
        <v>2953</v>
      </c>
      <c r="CR42" s="22" t="s">
        <v>3002</v>
      </c>
      <c r="CS42" s="22" t="s">
        <v>3002</v>
      </c>
      <c r="CT42" s="22">
        <v>3</v>
      </c>
      <c r="CU42" s="21">
        <v>46133</v>
      </c>
      <c r="CV42" s="21">
        <v>46133</v>
      </c>
      <c r="CW42" s="21">
        <v>46133</v>
      </c>
      <c r="CX42" s="21">
        <v>46133</v>
      </c>
      <c r="CY42" s="21">
        <v>46133</v>
      </c>
      <c r="CZ42" s="21">
        <v>46223</v>
      </c>
      <c r="DA42" s="21">
        <v>46295</v>
      </c>
      <c r="DB42" s="21">
        <v>46133</v>
      </c>
      <c r="DC42" s="21">
        <v>46318</v>
      </c>
      <c r="DD42" s="8">
        <v>0</v>
      </c>
      <c r="DE42" s="8">
        <v>0</v>
      </c>
      <c r="DF42" s="8">
        <v>0</v>
      </c>
      <c r="DG42" s="8">
        <v>0</v>
      </c>
      <c r="DH42" s="8">
        <v>6</v>
      </c>
      <c r="DI42" s="8">
        <v>0</v>
      </c>
      <c r="DJ42" s="8" t="s">
        <v>2954</v>
      </c>
      <c r="DK42" s="21">
        <v>44277</v>
      </c>
      <c r="DL42" s="21">
        <v>44253.229166666664</v>
      </c>
      <c r="DM42" s="21">
        <v>45962</v>
      </c>
      <c r="DN42" s="18">
        <v>12440</v>
      </c>
      <c r="DO42" s="21">
        <v>0</v>
      </c>
      <c r="DP42" s="21">
        <v>0</v>
      </c>
      <c r="DQ42" s="21" t="s">
        <v>2955</v>
      </c>
      <c r="DR42" s="21">
        <v>45954</v>
      </c>
      <c r="DS42" s="21">
        <v>45954</v>
      </c>
      <c r="DT42" s="21">
        <v>45954</v>
      </c>
      <c r="DU42" s="21">
        <v>45954</v>
      </c>
      <c r="DV42" s="21">
        <v>45954</v>
      </c>
      <c r="DW42" s="21">
        <v>45954</v>
      </c>
      <c r="DX42" s="21">
        <v>45954</v>
      </c>
      <c r="DY42" s="21">
        <v>45954</v>
      </c>
      <c r="DZ42" s="21">
        <v>45954</v>
      </c>
      <c r="EA42" s="8">
        <v>1475</v>
      </c>
      <c r="EB42" s="8">
        <v>725</v>
      </c>
      <c r="EC42" s="8">
        <v>725</v>
      </c>
      <c r="ED42" s="8">
        <v>725</v>
      </c>
      <c r="EE42" s="8">
        <v>725</v>
      </c>
      <c r="EF42" s="8">
        <v>1475</v>
      </c>
      <c r="EG42" s="8">
        <v>1000</v>
      </c>
      <c r="EH42" s="8">
        <v>1475</v>
      </c>
      <c r="EI42" s="8">
        <v>1475</v>
      </c>
      <c r="EJ42" s="8">
        <v>3</v>
      </c>
      <c r="EK42" s="8" t="s">
        <v>2624</v>
      </c>
      <c r="EL42" s="8">
        <v>150</v>
      </c>
      <c r="EM42" s="8">
        <v>450</v>
      </c>
      <c r="EN42" s="8">
        <v>1187</v>
      </c>
      <c r="EO42" s="8">
        <v>437</v>
      </c>
      <c r="EP42" s="8">
        <v>437</v>
      </c>
      <c r="EQ42" s="8">
        <v>437</v>
      </c>
      <c r="ER42" s="8">
        <v>437</v>
      </c>
      <c r="ES42" s="8">
        <v>1187</v>
      </c>
      <c r="ET42" s="8">
        <v>712</v>
      </c>
      <c r="EU42" s="8">
        <v>1187</v>
      </c>
      <c r="EV42" s="8">
        <v>1187</v>
      </c>
    </row>
    <row r="43" spans="1:152" x14ac:dyDescent="0.15">
      <c r="A43" s="8">
        <f>ROW([2]!tbl_DPSAC[[#This Row],[Sl. No.]])-1</f>
        <v>42</v>
      </c>
      <c r="B43" s="9" t="s">
        <v>136</v>
      </c>
      <c r="C43" s="9" t="s">
        <v>385</v>
      </c>
      <c r="D43" s="9" t="s">
        <v>138</v>
      </c>
      <c r="E43" s="9" t="s">
        <v>139</v>
      </c>
      <c r="F43" s="9" t="s">
        <v>161</v>
      </c>
      <c r="G43" s="10" t="s">
        <v>386</v>
      </c>
      <c r="H43" s="10" t="str">
        <f>_xlfn.XLOOKUP(C43,'[1]E&amp;DPSAC'!$K:$K,'[1]E&amp;DPSAC'!$E:$E,,0)</f>
        <v>SUNDAR NAGAR, JAMSHEDPUR</v>
      </c>
      <c r="I43" s="10" t="s">
        <v>387</v>
      </c>
      <c r="J43" s="10">
        <v>9556546094</v>
      </c>
      <c r="K43" s="10">
        <f>_xlfn.XLOOKUP(C43,'[1]E&amp;DPSAC'!$K:$K,'[1]E&amp;DPSAC'!$G:$G,"",0)</f>
        <v>7908183052</v>
      </c>
      <c r="L43" s="9" t="str">
        <f t="shared" ca="1" si="0"/>
        <v>Non - Warranty</v>
      </c>
      <c r="M43" s="11">
        <v>44352</v>
      </c>
      <c r="N43" s="12">
        <v>24</v>
      </c>
      <c r="O43" s="11">
        <f t="shared" si="1"/>
        <v>45107</v>
      </c>
      <c r="P43" s="8" t="s">
        <v>142</v>
      </c>
      <c r="Q43" s="16" t="s">
        <v>393</v>
      </c>
      <c r="R43" s="15">
        <v>45372.533206018503</v>
      </c>
      <c r="S43" s="14">
        <v>6954</v>
      </c>
      <c r="T43" s="15">
        <v>45372</v>
      </c>
      <c r="U43" s="14">
        <v>6954</v>
      </c>
      <c r="V43" s="14">
        <v>10595</v>
      </c>
      <c r="W43" s="17">
        <v>46041.542222222197</v>
      </c>
      <c r="X43" s="14" t="s">
        <v>2722</v>
      </c>
      <c r="Y43" s="14">
        <v>-2891</v>
      </c>
      <c r="Z43" s="14" t="s">
        <v>2697</v>
      </c>
      <c r="AA43" s="18">
        <v>740.46679398149718</v>
      </c>
      <c r="AB43" s="18" t="s">
        <v>2697</v>
      </c>
      <c r="AC43" s="8">
        <f>tbl_DPSAC[[#This Row],[Current Month Due Count]]</f>
        <v>0</v>
      </c>
      <c r="AD43" s="8">
        <f>tbl_DPSAC[[#This Row],[Next Month Due2]]</f>
        <v>0</v>
      </c>
      <c r="AE43" s="8">
        <f t="shared" si="2"/>
        <v>1</v>
      </c>
      <c r="AF43" s="8">
        <v>6</v>
      </c>
      <c r="AG43" s="14">
        <f t="shared" ca="1" si="3"/>
        <v>11024</v>
      </c>
      <c r="AH43" s="8" t="s">
        <v>388</v>
      </c>
      <c r="AI43" s="8" t="s">
        <v>389</v>
      </c>
      <c r="AJ43" s="8" t="s">
        <v>390</v>
      </c>
      <c r="AK43" s="8" t="s">
        <v>391</v>
      </c>
      <c r="AL43" s="8" t="s">
        <v>392</v>
      </c>
      <c r="AM43" s="8">
        <v>0</v>
      </c>
      <c r="AN43" s="8">
        <v>0</v>
      </c>
      <c r="AO43" s="8">
        <v>0</v>
      </c>
      <c r="AP43" s="8">
        <v>0</v>
      </c>
      <c r="AQ43" s="8">
        <v>0</v>
      </c>
      <c r="AR43" s="8">
        <v>0</v>
      </c>
      <c r="AS43" s="8">
        <v>0</v>
      </c>
      <c r="AT43" s="8">
        <v>0</v>
      </c>
      <c r="AU43" s="8">
        <v>0</v>
      </c>
      <c r="AV43" s="8">
        <v>0</v>
      </c>
      <c r="AW43" s="8">
        <v>0</v>
      </c>
      <c r="AX43" s="8" t="s">
        <v>2961</v>
      </c>
      <c r="AY43" s="14">
        <v>6954</v>
      </c>
      <c r="AZ43" s="19">
        <v>45372</v>
      </c>
      <c r="BA43" s="14" t="s">
        <v>393</v>
      </c>
      <c r="BB43" s="14">
        <v>5565</v>
      </c>
      <c r="BC43" s="19">
        <v>45138</v>
      </c>
      <c r="BD43" s="14" t="s">
        <v>394</v>
      </c>
      <c r="BE43" s="14">
        <v>6954</v>
      </c>
      <c r="BF43" s="19">
        <v>45372</v>
      </c>
      <c r="BG43" s="14" t="s">
        <v>393</v>
      </c>
      <c r="BH43" s="14">
        <v>6954</v>
      </c>
      <c r="BI43" s="19">
        <v>45372</v>
      </c>
      <c r="BJ43" s="14" t="s">
        <v>393</v>
      </c>
      <c r="BK43" s="14">
        <v>5565</v>
      </c>
      <c r="BL43" s="19">
        <v>45138</v>
      </c>
      <c r="BM43" s="14" t="s">
        <v>394</v>
      </c>
      <c r="BN43" s="27">
        <v>45552</v>
      </c>
      <c r="BO43" s="27">
        <v>45318</v>
      </c>
      <c r="BP43" s="27">
        <v>45552</v>
      </c>
      <c r="BQ43" s="27">
        <v>45552</v>
      </c>
      <c r="BR43" s="27">
        <v>45503</v>
      </c>
      <c r="BS43" s="28">
        <v>-3320</v>
      </c>
      <c r="BT43" s="29">
        <v>-3959</v>
      </c>
      <c r="BU43" s="29">
        <v>-3320</v>
      </c>
      <c r="BV43" s="29">
        <v>-3320</v>
      </c>
      <c r="BW43" s="29">
        <v>-3959</v>
      </c>
      <c r="BX43" s="30" t="s">
        <v>395</v>
      </c>
      <c r="BY43" s="8">
        <v>5</v>
      </c>
      <c r="BZ43" s="8">
        <v>0</v>
      </c>
      <c r="CA43" s="8">
        <v>0</v>
      </c>
      <c r="CB43" s="21">
        <v>45371.770833333299</v>
      </c>
      <c r="CC43" s="21">
        <v>45371.770833333299</v>
      </c>
      <c r="CD43" s="21">
        <v>45371.770833333299</v>
      </c>
      <c r="CE43" s="21">
        <v>45371.770833333299</v>
      </c>
      <c r="CF43" s="21">
        <v>45371.770833333299</v>
      </c>
      <c r="CG43" s="21">
        <v>45137.770833333299</v>
      </c>
      <c r="CH43" s="21">
        <v>45137.770833333299</v>
      </c>
      <c r="CI43" s="21">
        <v>45137.770833333299</v>
      </c>
      <c r="CJ43" s="21">
        <v>45137.770833333299</v>
      </c>
      <c r="CK43" s="22" t="s">
        <v>3004</v>
      </c>
      <c r="CL43" s="22" t="s">
        <v>3004</v>
      </c>
      <c r="CM43" s="22" t="s">
        <v>3004</v>
      </c>
      <c r="CN43" s="22" t="s">
        <v>3004</v>
      </c>
      <c r="CO43" s="22" t="s">
        <v>3004</v>
      </c>
      <c r="CP43" s="22" t="s">
        <v>3004</v>
      </c>
      <c r="CQ43" s="22" t="s">
        <v>2953</v>
      </c>
      <c r="CR43" s="22" t="s">
        <v>3004</v>
      </c>
      <c r="CS43" s="22" t="s">
        <v>3004</v>
      </c>
      <c r="CT43" s="22">
        <v>3</v>
      </c>
      <c r="CU43" s="21">
        <v>45551</v>
      </c>
      <c r="CV43" s="21">
        <v>45551</v>
      </c>
      <c r="CW43" s="21">
        <v>45551</v>
      </c>
      <c r="CX43" s="21">
        <v>45551</v>
      </c>
      <c r="CY43" s="21">
        <v>45551</v>
      </c>
      <c r="CZ43" s="21">
        <v>45407</v>
      </c>
      <c r="DA43" s="21">
        <v>45502</v>
      </c>
      <c r="DB43" s="21">
        <v>45317</v>
      </c>
      <c r="DC43" s="21">
        <v>45502</v>
      </c>
      <c r="DD43" s="8">
        <v>1</v>
      </c>
      <c r="DE43" s="8">
        <v>0</v>
      </c>
      <c r="DF43" s="8">
        <v>0</v>
      </c>
      <c r="DG43" s="8">
        <v>9</v>
      </c>
      <c r="DH43" s="8">
        <v>0</v>
      </c>
      <c r="DI43" s="8">
        <v>0</v>
      </c>
      <c r="DJ43" s="8" t="s">
        <v>2954</v>
      </c>
      <c r="DK43" s="21">
        <v>44352</v>
      </c>
      <c r="DL43" s="21">
        <v>44313.229166666664</v>
      </c>
      <c r="DM43" s="21">
        <v>46041</v>
      </c>
      <c r="DN43" s="18">
        <v>10595</v>
      </c>
      <c r="DO43" s="21">
        <v>0</v>
      </c>
      <c r="DP43" s="21">
        <v>0</v>
      </c>
      <c r="DQ43" s="21" t="s">
        <v>2955</v>
      </c>
      <c r="DR43" s="21">
        <v>45372</v>
      </c>
      <c r="DS43" s="21">
        <v>45372</v>
      </c>
      <c r="DT43" s="21">
        <v>45372</v>
      </c>
      <c r="DU43" s="21">
        <v>45372</v>
      </c>
      <c r="DV43" s="21">
        <v>45372</v>
      </c>
      <c r="DW43" s="21">
        <v>45138</v>
      </c>
      <c r="DX43" s="21">
        <v>45138</v>
      </c>
      <c r="DY43" s="21">
        <v>45138</v>
      </c>
      <c r="DZ43" s="21">
        <v>45138</v>
      </c>
      <c r="EA43" s="8">
        <v>680</v>
      </c>
      <c r="EB43" s="8">
        <v>680</v>
      </c>
      <c r="EC43" s="8">
        <v>680</v>
      </c>
      <c r="ED43" s="8">
        <v>680</v>
      </c>
      <c r="EE43" s="8">
        <v>680</v>
      </c>
      <c r="EF43" s="8">
        <v>680</v>
      </c>
      <c r="EG43" s="8">
        <v>1000</v>
      </c>
      <c r="EH43" s="8">
        <v>680</v>
      </c>
      <c r="EI43" s="8">
        <v>680</v>
      </c>
      <c r="EJ43" s="8">
        <v>3</v>
      </c>
      <c r="EK43" s="8" t="s">
        <v>2624</v>
      </c>
      <c r="EL43" s="8">
        <v>71</v>
      </c>
      <c r="EM43" s="8">
        <v>426</v>
      </c>
      <c r="EN43" s="8">
        <v>392</v>
      </c>
      <c r="EO43" s="8">
        <v>392</v>
      </c>
      <c r="EP43" s="8">
        <v>392</v>
      </c>
      <c r="EQ43" s="8">
        <v>392</v>
      </c>
      <c r="ER43" s="8">
        <v>392</v>
      </c>
      <c r="ES43" s="8">
        <v>392</v>
      </c>
      <c r="ET43" s="8">
        <v>712</v>
      </c>
      <c r="EU43" s="8">
        <v>392</v>
      </c>
      <c r="EV43" s="8">
        <v>392</v>
      </c>
    </row>
    <row r="44" spans="1:152" x14ac:dyDescent="0.15">
      <c r="A44" s="8">
        <f>ROW([2]!tbl_DPSAC[[#This Row],[Sl. No.]])-1</f>
        <v>43</v>
      </c>
      <c r="B44" s="9" t="s">
        <v>136</v>
      </c>
      <c r="C44" s="9" t="s">
        <v>396</v>
      </c>
      <c r="D44" s="9" t="s">
        <v>138</v>
      </c>
      <c r="E44" s="9" t="s">
        <v>139</v>
      </c>
      <c r="F44" s="9" t="s">
        <v>161</v>
      </c>
      <c r="G44" s="10" t="s">
        <v>291</v>
      </c>
      <c r="H44" s="10" t="str">
        <f>_xlfn.XLOOKUP(C44,'[1]E&amp;DPSAC'!$K:$K,'[1]E&amp;DPSAC'!$E:$E,,0)</f>
        <v>KATRAS, DHANBAD</v>
      </c>
      <c r="I44" s="10"/>
      <c r="J44" s="10">
        <v>8210106692</v>
      </c>
      <c r="K44" s="10">
        <f>_xlfn.XLOOKUP(C44,'[1]E&amp;DPSAC'!$K:$K,'[1]E&amp;DPSAC'!$G:$G,"",0)</f>
        <v>8210106692</v>
      </c>
      <c r="L44" s="9" t="str">
        <f t="shared" ca="1" si="0"/>
        <v>Non - Warranty</v>
      </c>
      <c r="M44" s="11">
        <v>44221</v>
      </c>
      <c r="N44" s="12">
        <v>24</v>
      </c>
      <c r="O44" s="11">
        <f t="shared" si="1"/>
        <v>44957</v>
      </c>
      <c r="P44" s="8" t="s">
        <v>157</v>
      </c>
      <c r="Q44" s="16" t="s">
        <v>400</v>
      </c>
      <c r="R44" s="15">
        <v>44758.444317129601</v>
      </c>
      <c r="S44" s="14">
        <v>1146</v>
      </c>
      <c r="T44" s="15">
        <v>45665</v>
      </c>
      <c r="U44" s="14">
        <v>1468</v>
      </c>
      <c r="V44" s="14">
        <v>1700</v>
      </c>
      <c r="W44" s="17">
        <v>45006.477893518502</v>
      </c>
      <c r="X44" s="14" t="s">
        <v>2723</v>
      </c>
      <c r="Y44" s="14">
        <v>196</v>
      </c>
      <c r="Z44" s="14" t="s">
        <v>2692</v>
      </c>
      <c r="AA44" s="18">
        <v>1354.5556828703993</v>
      </c>
      <c r="AB44" s="18" t="s">
        <v>2697</v>
      </c>
      <c r="AC44" s="8">
        <f>tbl_DPSAC[[#This Row],[Current Month Due Count]]</f>
        <v>0</v>
      </c>
      <c r="AD44" s="8">
        <f>tbl_DPSAC[[#This Row],[Next Month Due2]]</f>
        <v>0</v>
      </c>
      <c r="AE44" s="8">
        <f t="shared" si="2"/>
        <v>1</v>
      </c>
      <c r="AF44" s="8">
        <v>3</v>
      </c>
      <c r="AG44" s="14">
        <f t="shared" ca="1" si="3"/>
        <v>5020</v>
      </c>
      <c r="AH44" s="8" t="s">
        <v>397</v>
      </c>
      <c r="AI44" s="8" t="s">
        <v>398</v>
      </c>
      <c r="AJ44" s="8" t="s">
        <v>399</v>
      </c>
      <c r="AK44" s="8">
        <v>0</v>
      </c>
      <c r="AL44" s="8">
        <v>0</v>
      </c>
      <c r="AM44" s="8">
        <v>0</v>
      </c>
      <c r="AN44" s="8">
        <v>0</v>
      </c>
      <c r="AO44" s="8">
        <v>0</v>
      </c>
      <c r="AP44" s="8">
        <v>0</v>
      </c>
      <c r="AQ44" s="8">
        <v>0</v>
      </c>
      <c r="AR44" s="8">
        <v>0</v>
      </c>
      <c r="AS44" s="8">
        <v>0</v>
      </c>
      <c r="AT44" s="8">
        <v>0</v>
      </c>
      <c r="AU44" s="8">
        <v>0</v>
      </c>
      <c r="AV44" s="8">
        <v>0</v>
      </c>
      <c r="AW44" s="8">
        <v>0</v>
      </c>
      <c r="AX44" s="8" t="s">
        <v>2961</v>
      </c>
      <c r="AY44" s="14">
        <v>1146</v>
      </c>
      <c r="AZ44" s="19">
        <v>44758</v>
      </c>
      <c r="BA44" s="14" t="s">
        <v>400</v>
      </c>
      <c r="BB44" s="14">
        <v>1</v>
      </c>
      <c r="BC44" s="19">
        <v>44221</v>
      </c>
      <c r="BD44" s="14" t="s">
        <v>401</v>
      </c>
      <c r="BE44" s="14">
        <v>1146</v>
      </c>
      <c r="BF44" s="19">
        <v>44758</v>
      </c>
      <c r="BG44" s="14" t="s">
        <v>400</v>
      </c>
      <c r="BH44" s="14">
        <v>1146</v>
      </c>
      <c r="BI44" s="19">
        <v>44758</v>
      </c>
      <c r="BJ44" s="14" t="s">
        <v>400</v>
      </c>
      <c r="BK44" s="14">
        <v>1</v>
      </c>
      <c r="BL44" s="19">
        <v>44221</v>
      </c>
      <c r="BM44" s="14" t="s">
        <v>401</v>
      </c>
      <c r="BN44" s="27">
        <v>44938</v>
      </c>
      <c r="BO44" s="27">
        <v>44401</v>
      </c>
      <c r="BP44" s="27">
        <v>44938</v>
      </c>
      <c r="BQ44" s="27">
        <v>44938</v>
      </c>
      <c r="BR44" s="27">
        <v>44586</v>
      </c>
      <c r="BS44" s="28">
        <v>-3124</v>
      </c>
      <c r="BT44" s="29">
        <v>-3519</v>
      </c>
      <c r="BU44" s="29">
        <v>-3124</v>
      </c>
      <c r="BV44" s="29">
        <v>-3124</v>
      </c>
      <c r="BW44" s="29">
        <v>-3519</v>
      </c>
      <c r="BX44" s="30" t="s">
        <v>255</v>
      </c>
      <c r="BY44" s="8">
        <v>5</v>
      </c>
      <c r="BZ44" s="8">
        <v>0</v>
      </c>
      <c r="CA44" s="8">
        <v>0</v>
      </c>
      <c r="CB44" s="21" t="s">
        <v>143</v>
      </c>
      <c r="CC44" s="21" t="s">
        <v>143</v>
      </c>
      <c r="CD44" s="21" t="s">
        <v>143</v>
      </c>
      <c r="CE44" s="21" t="s">
        <v>143</v>
      </c>
      <c r="CF44" s="21" t="s">
        <v>143</v>
      </c>
      <c r="CG44" s="21" t="s">
        <v>143</v>
      </c>
      <c r="CH44" s="21" t="s">
        <v>143</v>
      </c>
      <c r="CI44" s="21" t="s">
        <v>143</v>
      </c>
      <c r="CJ44" s="21" t="s">
        <v>143</v>
      </c>
      <c r="CK44" s="22" t="s">
        <v>143</v>
      </c>
      <c r="CL44" s="22" t="s">
        <v>143</v>
      </c>
      <c r="CM44" s="22" t="s">
        <v>143</v>
      </c>
      <c r="CN44" s="22" t="s">
        <v>143</v>
      </c>
      <c r="CO44" s="22" t="s">
        <v>143</v>
      </c>
      <c r="CP44" s="22" t="s">
        <v>143</v>
      </c>
      <c r="CQ44" s="22" t="s">
        <v>143</v>
      </c>
      <c r="CR44" s="22" t="s">
        <v>143</v>
      </c>
      <c r="CS44" s="22" t="s">
        <v>143</v>
      </c>
      <c r="CT44" s="22" t="s">
        <v>143</v>
      </c>
      <c r="CU44" s="21" t="s">
        <v>143</v>
      </c>
      <c r="CV44" s="21" t="s">
        <v>143</v>
      </c>
      <c r="CW44" s="21" t="s">
        <v>143</v>
      </c>
      <c r="CX44" s="21" t="s">
        <v>143</v>
      </c>
      <c r="CY44" s="21" t="s">
        <v>143</v>
      </c>
      <c r="CZ44" s="21" t="s">
        <v>143</v>
      </c>
      <c r="DA44" s="21" t="s">
        <v>143</v>
      </c>
      <c r="DB44" s="21" t="s">
        <v>143</v>
      </c>
      <c r="DC44" s="21" t="s">
        <v>143</v>
      </c>
      <c r="DD44" s="8" t="s">
        <v>143</v>
      </c>
      <c r="DE44" s="8" t="s">
        <v>143</v>
      </c>
      <c r="DF44" s="8" t="s">
        <v>143</v>
      </c>
      <c r="DG44" s="8">
        <v>0</v>
      </c>
      <c r="DH44" s="8">
        <v>0</v>
      </c>
      <c r="DI44" s="8">
        <v>0</v>
      </c>
      <c r="DJ44" s="8" t="s">
        <v>143</v>
      </c>
      <c r="DK44" s="21" t="s">
        <v>143</v>
      </c>
      <c r="DL44" s="21" t="s">
        <v>143</v>
      </c>
      <c r="DM44" s="21" t="s">
        <v>143</v>
      </c>
      <c r="DN44" s="18" t="s">
        <v>143</v>
      </c>
      <c r="DO44" s="21" t="s">
        <v>143</v>
      </c>
      <c r="DP44" s="21" t="s">
        <v>143</v>
      </c>
      <c r="DQ44" s="21" t="s">
        <v>143</v>
      </c>
      <c r="DR44" s="21" t="s">
        <v>143</v>
      </c>
      <c r="DS44" s="21" t="s">
        <v>143</v>
      </c>
      <c r="DT44" s="21" t="s">
        <v>143</v>
      </c>
      <c r="DU44" s="21" t="s">
        <v>143</v>
      </c>
      <c r="DV44" s="21" t="s">
        <v>143</v>
      </c>
      <c r="DW44" s="21" t="s">
        <v>143</v>
      </c>
      <c r="DX44" s="21" t="s">
        <v>143</v>
      </c>
      <c r="DY44" s="21" t="s">
        <v>143</v>
      </c>
      <c r="DZ44" s="21" t="s">
        <v>143</v>
      </c>
      <c r="EA44" s="8" t="s">
        <v>143</v>
      </c>
      <c r="EB44" s="8" t="s">
        <v>143</v>
      </c>
      <c r="EC44" s="8" t="s">
        <v>143</v>
      </c>
      <c r="ED44" s="8" t="s">
        <v>143</v>
      </c>
      <c r="EE44" s="8" t="s">
        <v>143</v>
      </c>
      <c r="EF44" s="8" t="s">
        <v>143</v>
      </c>
      <c r="EG44" s="8" t="s">
        <v>143</v>
      </c>
      <c r="EH44" s="8" t="s">
        <v>143</v>
      </c>
      <c r="EI44" s="8" t="s">
        <v>143</v>
      </c>
      <c r="EJ44" s="8" t="s">
        <v>143</v>
      </c>
      <c r="EK44" s="8" t="s">
        <v>157</v>
      </c>
      <c r="EL44" s="8">
        <v>1107</v>
      </c>
      <c r="EM44" s="8">
        <v>3321</v>
      </c>
      <c r="EN44" s="8" t="s">
        <v>143</v>
      </c>
      <c r="EO44" s="8" t="s">
        <v>143</v>
      </c>
      <c r="EP44" s="8" t="s">
        <v>143</v>
      </c>
      <c r="EQ44" s="8" t="s">
        <v>143</v>
      </c>
      <c r="ER44" s="8" t="s">
        <v>143</v>
      </c>
      <c r="ES44" s="8" t="s">
        <v>143</v>
      </c>
      <c r="ET44" s="8" t="s">
        <v>143</v>
      </c>
      <c r="EU44" s="8" t="s">
        <v>143</v>
      </c>
      <c r="EV44" s="8" t="s">
        <v>143</v>
      </c>
    </row>
    <row r="45" spans="1:152" x14ac:dyDescent="0.15">
      <c r="A45" s="8">
        <f>ROW([2]!tbl_DPSAC[[#This Row],[Sl. No.]])-1</f>
        <v>44</v>
      </c>
      <c r="B45" s="9" t="s">
        <v>136</v>
      </c>
      <c r="C45" s="9" t="s">
        <v>402</v>
      </c>
      <c r="D45" s="9" t="s">
        <v>204</v>
      </c>
      <c r="E45" s="9" t="s">
        <v>205</v>
      </c>
      <c r="F45" s="9" t="s">
        <v>161</v>
      </c>
      <c r="G45" s="10" t="s">
        <v>206</v>
      </c>
      <c r="H45" s="10" t="str">
        <f>_xlfn.XLOOKUP(C45,'[1]E&amp;DPSAC'!$K:$K,'[1]E&amp;DPSAC'!$E:$E,,0)</f>
        <v>NAWADA, BIHAR</v>
      </c>
      <c r="I45" s="10" t="s">
        <v>207</v>
      </c>
      <c r="J45" s="10">
        <v>8002716601</v>
      </c>
      <c r="K45" s="10">
        <f>_xlfn.XLOOKUP(C45,'[1]E&amp;DPSAC'!$K:$K,'[1]E&amp;DPSAC'!$G:$G,"",0)</f>
        <v>9304172201</v>
      </c>
      <c r="L45" s="9" t="str">
        <f t="shared" ca="1" si="0"/>
        <v>Non - Warranty</v>
      </c>
      <c r="M45" s="11">
        <v>44397</v>
      </c>
      <c r="N45" s="12">
        <v>24</v>
      </c>
      <c r="O45" s="11">
        <f t="shared" si="1"/>
        <v>45138</v>
      </c>
      <c r="P45" s="8" t="s">
        <v>142</v>
      </c>
      <c r="Q45" s="16" t="s">
        <v>407</v>
      </c>
      <c r="R45" s="15">
        <v>45289.459837962997</v>
      </c>
      <c r="S45" s="14">
        <v>3000</v>
      </c>
      <c r="T45" s="15">
        <v>45289</v>
      </c>
      <c r="U45" s="14">
        <v>3000</v>
      </c>
      <c r="V45" s="14">
        <v>5615</v>
      </c>
      <c r="W45" s="17">
        <v>45962.572916666664</v>
      </c>
      <c r="X45" s="14" t="s">
        <v>2724</v>
      </c>
      <c r="Y45" s="14">
        <v>-1865</v>
      </c>
      <c r="Z45" s="14" t="s">
        <v>2697</v>
      </c>
      <c r="AA45" s="18">
        <v>823.54016203700303</v>
      </c>
      <c r="AB45" s="18" t="s">
        <v>2697</v>
      </c>
      <c r="AC45" s="8">
        <f>tbl_DPSAC[[#This Row],[Current Month Due Count]]</f>
        <v>0</v>
      </c>
      <c r="AD45" s="8">
        <f>tbl_DPSAC[[#This Row],[Next Month Due2]]</f>
        <v>0</v>
      </c>
      <c r="AE45" s="8">
        <f t="shared" si="2"/>
        <v>1</v>
      </c>
      <c r="AF45" s="8">
        <v>4</v>
      </c>
      <c r="AG45" s="14">
        <f t="shared" ca="1" si="3"/>
        <v>6217</v>
      </c>
      <c r="AH45" s="8" t="s">
        <v>403</v>
      </c>
      <c r="AI45" s="8">
        <v>0</v>
      </c>
      <c r="AJ45" s="8" t="s">
        <v>404</v>
      </c>
      <c r="AK45" s="8" t="s">
        <v>405</v>
      </c>
      <c r="AL45" s="8" t="s">
        <v>406</v>
      </c>
      <c r="AM45" s="8">
        <v>0</v>
      </c>
      <c r="AN45" s="8">
        <v>0</v>
      </c>
      <c r="AO45" s="8">
        <v>0</v>
      </c>
      <c r="AP45" s="8">
        <v>0</v>
      </c>
      <c r="AQ45" s="8">
        <v>0</v>
      </c>
      <c r="AR45" s="8">
        <v>0</v>
      </c>
      <c r="AS45" s="8">
        <v>0</v>
      </c>
      <c r="AT45" s="8">
        <v>0</v>
      </c>
      <c r="AU45" s="8">
        <v>0</v>
      </c>
      <c r="AV45" s="8">
        <v>0</v>
      </c>
      <c r="AW45" s="8">
        <v>0</v>
      </c>
      <c r="AX45" s="8" t="s">
        <v>2961</v>
      </c>
      <c r="AY45" s="14">
        <v>3000</v>
      </c>
      <c r="AZ45" s="19">
        <v>45289</v>
      </c>
      <c r="BA45" s="14" t="s">
        <v>407</v>
      </c>
      <c r="BB45" s="14">
        <v>3000</v>
      </c>
      <c r="BC45" s="19">
        <v>45289</v>
      </c>
      <c r="BD45" s="14" t="s">
        <v>407</v>
      </c>
      <c r="BE45" s="14">
        <v>3000</v>
      </c>
      <c r="BF45" s="19">
        <v>45289</v>
      </c>
      <c r="BG45" s="14" t="s">
        <v>407</v>
      </c>
      <c r="BH45" s="14">
        <v>2474</v>
      </c>
      <c r="BI45" s="19">
        <v>44716</v>
      </c>
      <c r="BJ45" s="14" t="s">
        <v>408</v>
      </c>
      <c r="BK45" s="14">
        <v>3000</v>
      </c>
      <c r="BL45" s="19">
        <v>45289</v>
      </c>
      <c r="BM45" s="14" t="s">
        <v>407</v>
      </c>
      <c r="BN45" s="27">
        <v>45469</v>
      </c>
      <c r="BO45" s="27">
        <v>45469</v>
      </c>
      <c r="BP45" s="27">
        <v>45469</v>
      </c>
      <c r="BQ45" s="27">
        <v>44896</v>
      </c>
      <c r="BR45" s="27">
        <v>45654</v>
      </c>
      <c r="BS45" s="28">
        <v>-2467</v>
      </c>
      <c r="BT45" s="29">
        <v>-1717</v>
      </c>
      <c r="BU45" s="29">
        <v>-2467</v>
      </c>
      <c r="BV45" s="29">
        <v>-2993</v>
      </c>
      <c r="BW45" s="29">
        <v>-1717</v>
      </c>
      <c r="BX45" s="30">
        <v>0</v>
      </c>
      <c r="BY45" s="8">
        <v>5</v>
      </c>
      <c r="BZ45" s="8">
        <v>0</v>
      </c>
      <c r="CA45" s="8">
        <v>0</v>
      </c>
      <c r="CB45" s="21">
        <v>45288.770833333299</v>
      </c>
      <c r="CC45" s="21">
        <v>45288.770833333299</v>
      </c>
      <c r="CD45" s="21">
        <v>44715.770833333299</v>
      </c>
      <c r="CE45" s="21">
        <v>45288.770833333299</v>
      </c>
      <c r="CF45" s="21">
        <v>45288.770833333299</v>
      </c>
      <c r="CG45" s="21">
        <v>45288.770833333299</v>
      </c>
      <c r="CH45" s="21">
        <v>45288.770833333299</v>
      </c>
      <c r="CI45" s="21">
        <v>45288.770833333299</v>
      </c>
      <c r="CJ45" s="21">
        <v>45288.770833333299</v>
      </c>
      <c r="CK45" s="22" t="s">
        <v>2982</v>
      </c>
      <c r="CL45" s="22" t="s">
        <v>2982</v>
      </c>
      <c r="CM45" s="22" t="s">
        <v>2982</v>
      </c>
      <c r="CN45" s="22" t="s">
        <v>2982</v>
      </c>
      <c r="CO45" s="22" t="s">
        <v>2982</v>
      </c>
      <c r="CP45" s="22" t="s">
        <v>2982</v>
      </c>
      <c r="CQ45" s="22" t="s">
        <v>2953</v>
      </c>
      <c r="CR45" s="22" t="s">
        <v>2982</v>
      </c>
      <c r="CS45" s="22" t="s">
        <v>2982</v>
      </c>
      <c r="CT45" s="22">
        <v>2</v>
      </c>
      <c r="CU45" s="21">
        <v>45468</v>
      </c>
      <c r="CV45" s="21">
        <v>45468</v>
      </c>
      <c r="CW45" s="21">
        <v>44895</v>
      </c>
      <c r="CX45" s="21">
        <v>45468</v>
      </c>
      <c r="CY45" s="21">
        <v>45468</v>
      </c>
      <c r="CZ45" s="21">
        <v>45558</v>
      </c>
      <c r="DA45" s="21">
        <v>45653</v>
      </c>
      <c r="DB45" s="21">
        <v>45468</v>
      </c>
      <c r="DC45" s="21">
        <v>45653</v>
      </c>
      <c r="DD45" s="8">
        <v>1</v>
      </c>
      <c r="DE45" s="8">
        <v>0</v>
      </c>
      <c r="DF45" s="8">
        <v>0</v>
      </c>
      <c r="DG45" s="8">
        <v>9</v>
      </c>
      <c r="DH45" s="8">
        <v>0</v>
      </c>
      <c r="DI45" s="8">
        <v>0</v>
      </c>
      <c r="DJ45" s="8" t="s">
        <v>2954</v>
      </c>
      <c r="DK45" s="21">
        <v>44397</v>
      </c>
      <c r="DL45" s="21">
        <v>44312.229166666664</v>
      </c>
      <c r="DM45" s="21">
        <v>45962</v>
      </c>
      <c r="DN45" s="18">
        <v>5615</v>
      </c>
      <c r="DO45" s="21">
        <v>0</v>
      </c>
      <c r="DP45" s="21">
        <v>0</v>
      </c>
      <c r="DQ45" s="21" t="s">
        <v>2955</v>
      </c>
      <c r="DR45" s="21">
        <v>45289</v>
      </c>
      <c r="DS45" s="21">
        <v>45289</v>
      </c>
      <c r="DT45" s="21">
        <v>44716</v>
      </c>
      <c r="DU45" s="21">
        <v>45289</v>
      </c>
      <c r="DV45" s="21">
        <v>45289</v>
      </c>
      <c r="DW45" s="21">
        <v>45289</v>
      </c>
      <c r="DX45" s="21">
        <v>45289</v>
      </c>
      <c r="DY45" s="21">
        <v>45289</v>
      </c>
      <c r="DZ45" s="21">
        <v>45289</v>
      </c>
      <c r="EA45" s="8">
        <v>60</v>
      </c>
      <c r="EB45" s="8">
        <v>60</v>
      </c>
      <c r="EC45" s="8">
        <v>60</v>
      </c>
      <c r="ED45" s="8">
        <v>60</v>
      </c>
      <c r="EE45" s="8">
        <v>60</v>
      </c>
      <c r="EF45" s="8">
        <v>60</v>
      </c>
      <c r="EG45" s="8">
        <v>1000</v>
      </c>
      <c r="EH45" s="8">
        <v>60</v>
      </c>
      <c r="EI45" s="8">
        <v>60</v>
      </c>
      <c r="EJ45" s="8">
        <v>2</v>
      </c>
      <c r="EK45" s="8" t="s">
        <v>2624</v>
      </c>
      <c r="EL45" s="8">
        <v>150</v>
      </c>
      <c r="EM45" s="8">
        <v>600</v>
      </c>
      <c r="EN45" s="8">
        <v>-228</v>
      </c>
      <c r="EO45" s="8">
        <v>-228</v>
      </c>
      <c r="EP45" s="8">
        <v>-228</v>
      </c>
      <c r="EQ45" s="8">
        <v>-228</v>
      </c>
      <c r="ER45" s="8">
        <v>-228</v>
      </c>
      <c r="ES45" s="8">
        <v>-228</v>
      </c>
      <c r="ET45" s="8">
        <v>712</v>
      </c>
      <c r="EU45" s="8">
        <v>-228</v>
      </c>
      <c r="EV45" s="8">
        <v>-228</v>
      </c>
    </row>
    <row r="46" spans="1:152" x14ac:dyDescent="0.15">
      <c r="A46" s="8">
        <f>ROW([2]!tbl_DPSAC[[#This Row],[Sl. No.]])-1</f>
        <v>45</v>
      </c>
      <c r="B46" s="9" t="s">
        <v>196</v>
      </c>
      <c r="C46" s="9" t="s">
        <v>409</v>
      </c>
      <c r="D46" s="9" t="s">
        <v>332</v>
      </c>
      <c r="E46" s="9" t="s">
        <v>333</v>
      </c>
      <c r="F46" s="9" t="s">
        <v>161</v>
      </c>
      <c r="G46" s="10" t="s">
        <v>410</v>
      </c>
      <c r="H46" s="10" t="str">
        <f>_xlfn.XLOOKUP(C46,'[1]E&amp;DPSAC'!$K:$K,'[1]E&amp;DPSAC'!$E:$E,,0)</f>
        <v>BAKHTIYARPUR, BIHAR</v>
      </c>
      <c r="I46" s="10" t="s">
        <v>411</v>
      </c>
      <c r="J46" s="10">
        <v>8695642191</v>
      </c>
      <c r="K46" s="10">
        <f>_xlfn.XLOOKUP(C46,'[1]E&amp;DPSAC'!$K:$K,'[1]E&amp;DPSAC'!$G:$G,"",0)</f>
        <v>8695642191</v>
      </c>
      <c r="L46" s="9" t="str">
        <f t="shared" ca="1" si="0"/>
        <v>Non - Warranty</v>
      </c>
      <c r="M46" s="11">
        <v>44383</v>
      </c>
      <c r="N46" s="12">
        <v>24</v>
      </c>
      <c r="O46" s="11">
        <f t="shared" si="1"/>
        <v>45138</v>
      </c>
      <c r="P46" s="8" t="s">
        <v>157</v>
      </c>
      <c r="Q46" s="16" t="s">
        <v>414</v>
      </c>
      <c r="R46" s="15">
        <v>44736.603865740697</v>
      </c>
      <c r="S46" s="14">
        <v>564</v>
      </c>
      <c r="T46" s="15">
        <v>44737</v>
      </c>
      <c r="U46" s="14">
        <v>564</v>
      </c>
      <c r="V46" s="14">
        <v>785</v>
      </c>
      <c r="W46" s="17">
        <v>44991.518460648098</v>
      </c>
      <c r="X46" s="14" t="s">
        <v>2725</v>
      </c>
      <c r="Y46" s="14">
        <v>529</v>
      </c>
      <c r="Z46" s="14" t="s">
        <v>2692</v>
      </c>
      <c r="AA46" s="18">
        <v>1376.3961342593029</v>
      </c>
      <c r="AB46" s="18" t="s">
        <v>2697</v>
      </c>
      <c r="AC46" s="8">
        <f>tbl_DPSAC[[#This Row],[Current Month Due Count]]</f>
        <v>0</v>
      </c>
      <c r="AD46" s="8">
        <f>tbl_DPSAC[[#This Row],[Next Month Due2]]</f>
        <v>0</v>
      </c>
      <c r="AE46" s="8">
        <f t="shared" si="2"/>
        <v>1</v>
      </c>
      <c r="AF46" s="8">
        <v>8</v>
      </c>
      <c r="AG46" s="14">
        <f t="shared" ca="1" si="3"/>
        <v>9757</v>
      </c>
      <c r="AH46" s="8" t="s">
        <v>412</v>
      </c>
      <c r="AI46" s="8" t="s">
        <v>413</v>
      </c>
      <c r="AJ46" s="8">
        <v>0</v>
      </c>
      <c r="AK46" s="8">
        <v>0</v>
      </c>
      <c r="AL46" s="8">
        <v>0</v>
      </c>
      <c r="AM46" s="8">
        <v>0</v>
      </c>
      <c r="AN46" s="8">
        <v>0</v>
      </c>
      <c r="AO46" s="8">
        <v>0</v>
      </c>
      <c r="AP46" s="8">
        <v>0</v>
      </c>
      <c r="AQ46" s="8">
        <v>0</v>
      </c>
      <c r="AR46" s="8">
        <v>0</v>
      </c>
      <c r="AS46" s="8">
        <v>0</v>
      </c>
      <c r="AT46" s="8">
        <v>0</v>
      </c>
      <c r="AU46" s="8">
        <v>0</v>
      </c>
      <c r="AV46" s="8">
        <v>0</v>
      </c>
      <c r="AW46" s="8">
        <v>0</v>
      </c>
      <c r="AX46" s="8" t="s">
        <v>2961</v>
      </c>
      <c r="AY46" s="14">
        <v>564</v>
      </c>
      <c r="AZ46" s="19">
        <v>44736</v>
      </c>
      <c r="BA46" s="14" t="s">
        <v>414</v>
      </c>
      <c r="BB46" s="14">
        <v>1</v>
      </c>
      <c r="BC46" s="19">
        <v>44383</v>
      </c>
      <c r="BD46" s="14" t="s">
        <v>415</v>
      </c>
      <c r="BE46" s="14">
        <v>564</v>
      </c>
      <c r="BF46" s="19">
        <v>44736</v>
      </c>
      <c r="BG46" s="14" t="s">
        <v>414</v>
      </c>
      <c r="BH46" s="14">
        <v>564</v>
      </c>
      <c r="BI46" s="19">
        <v>44736</v>
      </c>
      <c r="BJ46" s="14" t="s">
        <v>414</v>
      </c>
      <c r="BK46" s="14">
        <v>1</v>
      </c>
      <c r="BL46" s="19">
        <v>44383</v>
      </c>
      <c r="BM46" s="14" t="s">
        <v>415</v>
      </c>
      <c r="BN46" s="27">
        <v>44916</v>
      </c>
      <c r="BO46" s="27">
        <v>44563</v>
      </c>
      <c r="BP46" s="27">
        <v>44916</v>
      </c>
      <c r="BQ46" s="27">
        <v>44916</v>
      </c>
      <c r="BR46" s="27">
        <v>44748</v>
      </c>
      <c r="BS46" s="28">
        <v>-8443</v>
      </c>
      <c r="BT46" s="29">
        <v>-8256</v>
      </c>
      <c r="BU46" s="29">
        <v>-8443</v>
      </c>
      <c r="BV46" s="29">
        <v>-8443</v>
      </c>
      <c r="BW46" s="29">
        <v>-8256</v>
      </c>
      <c r="BX46" s="30" t="s">
        <v>416</v>
      </c>
      <c r="BY46" s="8">
        <v>5</v>
      </c>
      <c r="BZ46" s="8">
        <v>0</v>
      </c>
      <c r="CA46" s="8">
        <v>0</v>
      </c>
      <c r="CB46" s="21" t="s">
        <v>143</v>
      </c>
      <c r="CC46" s="21" t="s">
        <v>143</v>
      </c>
      <c r="CD46" s="21" t="s">
        <v>143</v>
      </c>
      <c r="CE46" s="21" t="s">
        <v>143</v>
      </c>
      <c r="CF46" s="21" t="s">
        <v>143</v>
      </c>
      <c r="CG46" s="21" t="s">
        <v>143</v>
      </c>
      <c r="CH46" s="21" t="s">
        <v>143</v>
      </c>
      <c r="CI46" s="21" t="s">
        <v>143</v>
      </c>
      <c r="CJ46" s="21" t="s">
        <v>143</v>
      </c>
      <c r="CK46" s="22" t="s">
        <v>143</v>
      </c>
      <c r="CL46" s="22" t="s">
        <v>143</v>
      </c>
      <c r="CM46" s="22" t="s">
        <v>143</v>
      </c>
      <c r="CN46" s="22" t="s">
        <v>143</v>
      </c>
      <c r="CO46" s="22" t="s">
        <v>143</v>
      </c>
      <c r="CP46" s="22" t="s">
        <v>143</v>
      </c>
      <c r="CQ46" s="22" t="s">
        <v>143</v>
      </c>
      <c r="CR46" s="22" t="s">
        <v>143</v>
      </c>
      <c r="CS46" s="22" t="s">
        <v>143</v>
      </c>
      <c r="CT46" s="22" t="s">
        <v>143</v>
      </c>
      <c r="CU46" s="21" t="s">
        <v>143</v>
      </c>
      <c r="CV46" s="21" t="s">
        <v>143</v>
      </c>
      <c r="CW46" s="21" t="s">
        <v>143</v>
      </c>
      <c r="CX46" s="21" t="s">
        <v>143</v>
      </c>
      <c r="CY46" s="21" t="s">
        <v>143</v>
      </c>
      <c r="CZ46" s="21" t="s">
        <v>143</v>
      </c>
      <c r="DA46" s="21" t="s">
        <v>143</v>
      </c>
      <c r="DB46" s="21" t="s">
        <v>143</v>
      </c>
      <c r="DC46" s="21" t="s">
        <v>143</v>
      </c>
      <c r="DD46" s="8" t="s">
        <v>143</v>
      </c>
      <c r="DE46" s="8" t="s">
        <v>143</v>
      </c>
      <c r="DF46" s="8" t="s">
        <v>143</v>
      </c>
      <c r="DG46" s="8">
        <v>0</v>
      </c>
      <c r="DH46" s="8">
        <v>0</v>
      </c>
      <c r="DI46" s="8">
        <v>0</v>
      </c>
      <c r="DJ46" s="8" t="s">
        <v>143</v>
      </c>
      <c r="DK46" s="21" t="s">
        <v>143</v>
      </c>
      <c r="DL46" s="21" t="s">
        <v>143</v>
      </c>
      <c r="DM46" s="21" t="s">
        <v>143</v>
      </c>
      <c r="DN46" s="18" t="s">
        <v>143</v>
      </c>
      <c r="DO46" s="21" t="s">
        <v>143</v>
      </c>
      <c r="DP46" s="21" t="s">
        <v>143</v>
      </c>
      <c r="DQ46" s="21" t="s">
        <v>143</v>
      </c>
      <c r="DR46" s="21" t="s">
        <v>143</v>
      </c>
      <c r="DS46" s="21" t="s">
        <v>143</v>
      </c>
      <c r="DT46" s="21" t="s">
        <v>143</v>
      </c>
      <c r="DU46" s="21" t="s">
        <v>143</v>
      </c>
      <c r="DV46" s="21" t="s">
        <v>143</v>
      </c>
      <c r="DW46" s="21" t="s">
        <v>143</v>
      </c>
      <c r="DX46" s="21" t="s">
        <v>143</v>
      </c>
      <c r="DY46" s="21" t="s">
        <v>143</v>
      </c>
      <c r="DZ46" s="21" t="s">
        <v>143</v>
      </c>
      <c r="EA46" s="8" t="s">
        <v>143</v>
      </c>
      <c r="EB46" s="8" t="s">
        <v>143</v>
      </c>
      <c r="EC46" s="8" t="s">
        <v>143</v>
      </c>
      <c r="ED46" s="8" t="s">
        <v>143</v>
      </c>
      <c r="EE46" s="8" t="s">
        <v>143</v>
      </c>
      <c r="EF46" s="8" t="s">
        <v>143</v>
      </c>
      <c r="EG46" s="8" t="s">
        <v>143</v>
      </c>
      <c r="EH46" s="8" t="s">
        <v>143</v>
      </c>
      <c r="EI46" s="8" t="s">
        <v>143</v>
      </c>
      <c r="EJ46" s="8" t="s">
        <v>143</v>
      </c>
      <c r="EK46" s="8" t="s">
        <v>157</v>
      </c>
      <c r="EL46" s="8">
        <v>1121</v>
      </c>
      <c r="EM46" s="8">
        <v>8968</v>
      </c>
      <c r="EN46" s="8" t="s">
        <v>143</v>
      </c>
      <c r="EO46" s="8" t="s">
        <v>143</v>
      </c>
      <c r="EP46" s="8" t="s">
        <v>143</v>
      </c>
      <c r="EQ46" s="8" t="s">
        <v>143</v>
      </c>
      <c r="ER46" s="8" t="s">
        <v>143</v>
      </c>
      <c r="ES46" s="8" t="s">
        <v>143</v>
      </c>
      <c r="ET46" s="8" t="s">
        <v>143</v>
      </c>
      <c r="EU46" s="8" t="s">
        <v>143</v>
      </c>
      <c r="EV46" s="8" t="s">
        <v>143</v>
      </c>
    </row>
    <row r="47" spans="1:152" x14ac:dyDescent="0.15">
      <c r="A47" s="8">
        <f>ROW([2]!tbl_DPSAC[[#This Row],[Sl. No.]])-1</f>
        <v>46</v>
      </c>
      <c r="B47" s="9" t="s">
        <v>136</v>
      </c>
      <c r="C47" s="9" t="s">
        <v>417</v>
      </c>
      <c r="D47" s="9" t="s">
        <v>138</v>
      </c>
      <c r="E47" s="9" t="s">
        <v>139</v>
      </c>
      <c r="F47" s="9" t="s">
        <v>161</v>
      </c>
      <c r="G47" s="10" t="s">
        <v>184</v>
      </c>
      <c r="H47" s="10" t="str">
        <f>_xlfn.XLOOKUP(C47,'[1]E&amp;DPSAC'!$K:$K,'[1]E&amp;DPSAC'!$E:$E,,0)</f>
        <v>BHOWRA</v>
      </c>
      <c r="I47" s="10"/>
      <c r="J47" s="10">
        <v>7488119074</v>
      </c>
      <c r="K47" s="10">
        <f>_xlfn.XLOOKUP(C47,'[1]E&amp;DPSAC'!$K:$K,'[1]E&amp;DPSAC'!$G:$G,"",0)</f>
        <v>7488119074</v>
      </c>
      <c r="L47" s="9" t="str">
        <f t="shared" ca="1" si="0"/>
        <v>Non - Warranty</v>
      </c>
      <c r="M47" s="11">
        <v>44334</v>
      </c>
      <c r="N47" s="12">
        <v>24</v>
      </c>
      <c r="O47" s="11">
        <f t="shared" si="1"/>
        <v>45077</v>
      </c>
      <c r="P47" s="8" t="s">
        <v>142</v>
      </c>
      <c r="Q47" s="16" t="s">
        <v>427</v>
      </c>
      <c r="R47" s="15">
        <v>45266.506539351903</v>
      </c>
      <c r="S47" s="14">
        <v>7100</v>
      </c>
      <c r="T47" s="15">
        <v>46002</v>
      </c>
      <c r="U47" s="14">
        <v>6987</v>
      </c>
      <c r="V47" s="14">
        <v>10780</v>
      </c>
      <c r="W47" s="17">
        <v>45962.575694444444</v>
      </c>
      <c r="X47" s="14" t="s">
        <v>2726</v>
      </c>
      <c r="Y47" s="14">
        <v>-2930</v>
      </c>
      <c r="Z47" s="14" t="s">
        <v>2697</v>
      </c>
      <c r="AA47" s="18">
        <v>846.49346064809652</v>
      </c>
      <c r="AB47" s="18" t="s">
        <v>2697</v>
      </c>
      <c r="AC47" s="8">
        <f>tbl_DPSAC[[#This Row],[Current Month Due Count]]</f>
        <v>0</v>
      </c>
      <c r="AD47" s="8">
        <f>tbl_DPSAC[[#This Row],[Next Month Due2]]</f>
        <v>0</v>
      </c>
      <c r="AE47" s="8">
        <f t="shared" si="2"/>
        <v>1</v>
      </c>
      <c r="AF47" s="8">
        <v>6</v>
      </c>
      <c r="AG47" s="14">
        <f t="shared" ca="1" si="3"/>
        <v>11683</v>
      </c>
      <c r="AH47" s="8" t="s">
        <v>418</v>
      </c>
      <c r="AI47" s="8" t="s">
        <v>419</v>
      </c>
      <c r="AJ47" s="8" t="s">
        <v>420</v>
      </c>
      <c r="AK47" s="8" t="s">
        <v>421</v>
      </c>
      <c r="AL47" s="8" t="s">
        <v>422</v>
      </c>
      <c r="AM47" s="8" t="s">
        <v>423</v>
      </c>
      <c r="AN47" s="8" t="s">
        <v>424</v>
      </c>
      <c r="AO47" s="8" t="s">
        <v>425</v>
      </c>
      <c r="AP47" s="8" t="s">
        <v>426</v>
      </c>
      <c r="AQ47" s="8">
        <v>0</v>
      </c>
      <c r="AR47" s="8">
        <v>0</v>
      </c>
      <c r="AS47" s="8">
        <v>0</v>
      </c>
      <c r="AT47" s="8">
        <v>0</v>
      </c>
      <c r="AU47" s="8">
        <v>0</v>
      </c>
      <c r="AV47" s="8">
        <v>0</v>
      </c>
      <c r="AW47" s="8">
        <v>0</v>
      </c>
      <c r="AX47" s="8" t="s">
        <v>2961</v>
      </c>
      <c r="AY47" s="14">
        <v>7100</v>
      </c>
      <c r="AZ47" s="19">
        <v>45266</v>
      </c>
      <c r="BA47" s="14" t="s">
        <v>427</v>
      </c>
      <c r="BB47" s="14">
        <v>3127</v>
      </c>
      <c r="BC47" s="19">
        <v>44823</v>
      </c>
      <c r="BD47" s="14" t="s">
        <v>428</v>
      </c>
      <c r="BE47" s="14">
        <v>7100</v>
      </c>
      <c r="BF47" s="19">
        <v>45266</v>
      </c>
      <c r="BG47" s="14" t="s">
        <v>427</v>
      </c>
      <c r="BH47" s="14">
        <v>7100</v>
      </c>
      <c r="BI47" s="19">
        <v>45266</v>
      </c>
      <c r="BJ47" s="14" t="s">
        <v>427</v>
      </c>
      <c r="BK47" s="14">
        <v>1</v>
      </c>
      <c r="BL47" s="19">
        <v>44334</v>
      </c>
      <c r="BM47" s="14"/>
      <c r="BN47" s="27">
        <v>45446</v>
      </c>
      <c r="BO47" s="27">
        <v>45003</v>
      </c>
      <c r="BP47" s="27">
        <v>45446</v>
      </c>
      <c r="BQ47" s="27">
        <v>45446</v>
      </c>
      <c r="BR47" s="27">
        <v>44699</v>
      </c>
      <c r="BS47" s="28">
        <v>-3833</v>
      </c>
      <c r="BT47" s="29">
        <v>-7056</v>
      </c>
      <c r="BU47" s="29">
        <v>-3833</v>
      </c>
      <c r="BV47" s="29">
        <v>-3833</v>
      </c>
      <c r="BW47" s="29">
        <v>-10182</v>
      </c>
      <c r="BX47" s="30" t="s">
        <v>384</v>
      </c>
      <c r="BY47" s="8">
        <v>5</v>
      </c>
      <c r="BZ47" s="8">
        <v>0</v>
      </c>
      <c r="CA47" s="8">
        <v>0</v>
      </c>
      <c r="CB47" s="21">
        <v>45265.770833333299</v>
      </c>
      <c r="CC47" s="21">
        <v>45265.770833333299</v>
      </c>
      <c r="CD47" s="21">
        <v>45265.770833333299</v>
      </c>
      <c r="CE47" s="21">
        <v>45265.770833333299</v>
      </c>
      <c r="CF47" s="21">
        <v>45265.770833333299</v>
      </c>
      <c r="CG47" s="21">
        <v>45137.770833333299</v>
      </c>
      <c r="CH47" s="21">
        <v>45137.770833333299</v>
      </c>
      <c r="CI47" s="21">
        <v>45137.770833333299</v>
      </c>
      <c r="CJ47" s="21">
        <v>45137.770833333299</v>
      </c>
      <c r="CK47" s="22" t="s">
        <v>2995</v>
      </c>
      <c r="CL47" s="22" t="s">
        <v>2995</v>
      </c>
      <c r="CM47" s="22" t="s">
        <v>2995</v>
      </c>
      <c r="CN47" s="22" t="s">
        <v>2995</v>
      </c>
      <c r="CO47" s="22" t="s">
        <v>2995</v>
      </c>
      <c r="CP47" s="22" t="s">
        <v>2995</v>
      </c>
      <c r="CQ47" s="22" t="s">
        <v>2953</v>
      </c>
      <c r="CR47" s="22" t="s">
        <v>2995</v>
      </c>
      <c r="CS47" s="22" t="s">
        <v>2995</v>
      </c>
      <c r="CT47" s="22">
        <v>6</v>
      </c>
      <c r="CU47" s="21">
        <v>45445</v>
      </c>
      <c r="CV47" s="21">
        <v>45445</v>
      </c>
      <c r="CW47" s="21">
        <v>45445</v>
      </c>
      <c r="CX47" s="21">
        <v>45445</v>
      </c>
      <c r="CY47" s="21">
        <v>45445</v>
      </c>
      <c r="CZ47" s="21">
        <v>45407</v>
      </c>
      <c r="DA47" s="21">
        <v>45502</v>
      </c>
      <c r="DB47" s="21">
        <v>45317</v>
      </c>
      <c r="DC47" s="21">
        <v>45502</v>
      </c>
      <c r="DD47" s="8">
        <v>1</v>
      </c>
      <c r="DE47" s="8">
        <v>0</v>
      </c>
      <c r="DF47" s="8">
        <v>0</v>
      </c>
      <c r="DG47" s="8">
        <v>9</v>
      </c>
      <c r="DH47" s="8">
        <v>0</v>
      </c>
      <c r="DI47" s="8">
        <v>0</v>
      </c>
      <c r="DJ47" s="8" t="s">
        <v>2954</v>
      </c>
      <c r="DK47" s="21">
        <v>44334</v>
      </c>
      <c r="DL47" s="21">
        <v>44281.229166666664</v>
      </c>
      <c r="DM47" s="21">
        <v>45962</v>
      </c>
      <c r="DN47" s="18">
        <v>10780</v>
      </c>
      <c r="DO47" s="21">
        <v>0</v>
      </c>
      <c r="DP47" s="21">
        <v>0</v>
      </c>
      <c r="DQ47" s="21" t="s">
        <v>2955</v>
      </c>
      <c r="DR47" s="21">
        <v>45266</v>
      </c>
      <c r="DS47" s="21">
        <v>45266</v>
      </c>
      <c r="DT47" s="21">
        <v>45266</v>
      </c>
      <c r="DU47" s="21">
        <v>45266</v>
      </c>
      <c r="DV47" s="21">
        <v>45266</v>
      </c>
      <c r="DW47" s="21">
        <v>45138</v>
      </c>
      <c r="DX47" s="21">
        <v>45138</v>
      </c>
      <c r="DY47" s="21">
        <v>45138</v>
      </c>
      <c r="DZ47" s="21">
        <v>45138</v>
      </c>
      <c r="EA47" s="8">
        <v>30</v>
      </c>
      <c r="EB47" s="8">
        <v>30</v>
      </c>
      <c r="EC47" s="8">
        <v>30</v>
      </c>
      <c r="ED47" s="8">
        <v>30</v>
      </c>
      <c r="EE47" s="8">
        <v>30</v>
      </c>
      <c r="EF47" s="8">
        <v>30</v>
      </c>
      <c r="EG47" s="8">
        <v>1000</v>
      </c>
      <c r="EH47" s="8">
        <v>30</v>
      </c>
      <c r="EI47" s="8">
        <v>30</v>
      </c>
      <c r="EJ47" s="8">
        <v>6</v>
      </c>
      <c r="EK47" s="8" t="s">
        <v>2624</v>
      </c>
      <c r="EL47" s="8">
        <v>150</v>
      </c>
      <c r="EM47" s="8">
        <v>900</v>
      </c>
      <c r="EN47" s="8">
        <v>-258</v>
      </c>
      <c r="EO47" s="8">
        <v>-258</v>
      </c>
      <c r="EP47" s="8">
        <v>-258</v>
      </c>
      <c r="EQ47" s="8">
        <v>-258</v>
      </c>
      <c r="ER47" s="8">
        <v>-258</v>
      </c>
      <c r="ES47" s="8">
        <v>-258</v>
      </c>
      <c r="ET47" s="8">
        <v>712</v>
      </c>
      <c r="EU47" s="8">
        <v>-258</v>
      </c>
      <c r="EV47" s="8">
        <v>-258</v>
      </c>
    </row>
    <row r="48" spans="1:152" x14ac:dyDescent="0.15">
      <c r="A48" s="8">
        <f>ROW([2]!tbl_DPSAC[[#This Row],[Sl. No.]])-1</f>
        <v>47</v>
      </c>
      <c r="B48" s="9" t="s">
        <v>136</v>
      </c>
      <c r="C48" s="9" t="s">
        <v>429</v>
      </c>
      <c r="D48" s="9" t="s">
        <v>138</v>
      </c>
      <c r="E48" s="9" t="s">
        <v>139</v>
      </c>
      <c r="F48" s="9" t="s">
        <v>161</v>
      </c>
      <c r="G48" s="10" t="s">
        <v>222</v>
      </c>
      <c r="H48" s="10" t="str">
        <f>_xlfn.XLOOKUP(C48,'[1]E&amp;DPSAC'!$K:$K,'[1]E&amp;DPSAC'!$E:$E,,0)</f>
        <v>NICHITPUR</v>
      </c>
      <c r="I48" s="10"/>
      <c r="J48" s="10">
        <v>6200250979</v>
      </c>
      <c r="K48" s="10">
        <f>_xlfn.XLOOKUP(C48,'[1]E&amp;DPSAC'!$K:$K,'[1]E&amp;DPSAC'!$G:$G,"",0)</f>
        <v>7903412157</v>
      </c>
      <c r="L48" s="9" t="str">
        <f t="shared" ca="1" si="0"/>
        <v>Non - Warranty</v>
      </c>
      <c r="M48" s="11">
        <v>44389</v>
      </c>
      <c r="N48" s="12">
        <v>24</v>
      </c>
      <c r="O48" s="11">
        <f t="shared" si="1"/>
        <v>45138</v>
      </c>
      <c r="P48" s="8" t="s">
        <v>142</v>
      </c>
      <c r="Q48" s="16" t="s">
        <v>436</v>
      </c>
      <c r="R48" s="15">
        <v>46073.639826388899</v>
      </c>
      <c r="S48" s="14">
        <v>7815</v>
      </c>
      <c r="T48" s="15">
        <v>46073</v>
      </c>
      <c r="U48" s="14">
        <v>7815</v>
      </c>
      <c r="V48" s="14">
        <v>7815</v>
      </c>
      <c r="W48" s="17">
        <v>46073.639826388899</v>
      </c>
      <c r="X48" s="14" t="s">
        <v>2727</v>
      </c>
      <c r="Y48" s="14">
        <v>750</v>
      </c>
      <c r="Z48" s="14" t="s">
        <v>2692</v>
      </c>
      <c r="AA48" s="18">
        <v>39.360173611101345</v>
      </c>
      <c r="AB48" s="18" t="s">
        <v>2692</v>
      </c>
      <c r="AC48" s="8">
        <f>tbl_DPSAC[[#This Row],[Current Month Due Count]]</f>
        <v>0</v>
      </c>
      <c r="AD48" s="8">
        <f>tbl_DPSAC[[#This Row],[Next Month Due2]]</f>
        <v>0</v>
      </c>
      <c r="AE48" s="8">
        <f t="shared" si="2"/>
        <v>0</v>
      </c>
      <c r="AF48" s="8">
        <v>3</v>
      </c>
      <c r="AG48" s="14">
        <f t="shared" ca="1" si="3"/>
        <v>7933</v>
      </c>
      <c r="AH48" s="8" t="s">
        <v>403</v>
      </c>
      <c r="AI48" s="8">
        <v>0</v>
      </c>
      <c r="AJ48" s="8" t="s">
        <v>430</v>
      </c>
      <c r="AK48" s="8" t="s">
        <v>431</v>
      </c>
      <c r="AL48" s="8">
        <v>0</v>
      </c>
      <c r="AM48" s="8" t="s">
        <v>432</v>
      </c>
      <c r="AN48" s="8" t="s">
        <v>433</v>
      </c>
      <c r="AO48" s="8" t="s">
        <v>434</v>
      </c>
      <c r="AP48" s="8" t="s">
        <v>435</v>
      </c>
      <c r="AQ48" s="8">
        <v>0</v>
      </c>
      <c r="AR48" s="8">
        <v>0</v>
      </c>
      <c r="AS48" s="8">
        <v>0</v>
      </c>
      <c r="AT48" s="8">
        <v>0</v>
      </c>
      <c r="AU48" s="8">
        <v>0</v>
      </c>
      <c r="AV48" s="8">
        <v>0</v>
      </c>
      <c r="AW48" s="8">
        <v>0</v>
      </c>
      <c r="AX48" s="8" t="s">
        <v>2007</v>
      </c>
      <c r="AY48" s="14">
        <v>7815</v>
      </c>
      <c r="AZ48" s="19">
        <v>46073</v>
      </c>
      <c r="BA48" s="14" t="s">
        <v>436</v>
      </c>
      <c r="BB48" s="14">
        <v>7815</v>
      </c>
      <c r="BC48" s="19">
        <v>46073</v>
      </c>
      <c r="BD48" s="14" t="s">
        <v>436</v>
      </c>
      <c r="BE48" s="14">
        <v>7815</v>
      </c>
      <c r="BF48" s="19">
        <v>46073</v>
      </c>
      <c r="BG48" s="14" t="s">
        <v>436</v>
      </c>
      <c r="BH48" s="14">
        <v>7815</v>
      </c>
      <c r="BI48" s="19">
        <v>46073</v>
      </c>
      <c r="BJ48" s="14" t="s">
        <v>436</v>
      </c>
      <c r="BK48" s="14">
        <v>7815</v>
      </c>
      <c r="BL48" s="19">
        <v>46073</v>
      </c>
      <c r="BM48" s="14" t="s">
        <v>436</v>
      </c>
      <c r="BN48" s="27">
        <v>46253</v>
      </c>
      <c r="BO48" s="27">
        <v>46253</v>
      </c>
      <c r="BP48" s="27">
        <v>46253</v>
      </c>
      <c r="BQ48" s="27">
        <v>46253</v>
      </c>
      <c r="BR48" s="27">
        <v>46438</v>
      </c>
      <c r="BS48" s="28">
        <v>632</v>
      </c>
      <c r="BT48" s="29">
        <v>1382</v>
      </c>
      <c r="BU48" s="29">
        <v>632</v>
      </c>
      <c r="BV48" s="29">
        <v>632</v>
      </c>
      <c r="BW48" s="29">
        <v>1382</v>
      </c>
      <c r="BX48" s="30">
        <v>0</v>
      </c>
      <c r="BY48" s="8">
        <v>0</v>
      </c>
      <c r="BZ48" s="8">
        <v>0</v>
      </c>
      <c r="CA48" s="8">
        <v>0</v>
      </c>
      <c r="CB48" s="21">
        <v>46072.770833333299</v>
      </c>
      <c r="CC48" s="21">
        <v>46072.770833333299</v>
      </c>
      <c r="CD48" s="21">
        <v>46072.770833333299</v>
      </c>
      <c r="CE48" s="21">
        <v>46072.770833333299</v>
      </c>
      <c r="CF48" s="21">
        <v>46072.770833333299</v>
      </c>
      <c r="CG48" s="21">
        <v>46072.770833333299</v>
      </c>
      <c r="CH48" s="21">
        <v>46072.770833333299</v>
      </c>
      <c r="CI48" s="21">
        <v>46072.770833333299</v>
      </c>
      <c r="CJ48" s="21">
        <v>46072.770833333299</v>
      </c>
      <c r="CK48" s="22" t="s">
        <v>2956</v>
      </c>
      <c r="CL48" s="22" t="s">
        <v>2957</v>
      </c>
      <c r="CM48" s="22" t="s">
        <v>2959</v>
      </c>
      <c r="CN48" s="22" t="s">
        <v>2957</v>
      </c>
      <c r="CO48" s="22" t="s">
        <v>2957</v>
      </c>
      <c r="CP48" s="22" t="s">
        <v>2956</v>
      </c>
      <c r="CQ48" s="22" t="s">
        <v>2953</v>
      </c>
      <c r="CR48" s="22" t="s">
        <v>2956</v>
      </c>
      <c r="CS48" s="22" t="s">
        <v>2960</v>
      </c>
      <c r="CT48" s="22">
        <v>9</v>
      </c>
      <c r="CU48" s="21">
        <v>46239</v>
      </c>
      <c r="CV48" s="21">
        <v>46156</v>
      </c>
      <c r="CW48" s="21">
        <v>46128</v>
      </c>
      <c r="CX48" s="21">
        <v>46156</v>
      </c>
      <c r="CY48" s="21">
        <v>46156</v>
      </c>
      <c r="CZ48" s="21">
        <v>46239</v>
      </c>
      <c r="DA48" s="21">
        <v>46184</v>
      </c>
      <c r="DB48" s="21">
        <v>46240</v>
      </c>
      <c r="DC48" s="21">
        <v>46406</v>
      </c>
      <c r="DD48" s="8">
        <v>0</v>
      </c>
      <c r="DE48" s="8">
        <v>0</v>
      </c>
      <c r="DF48" s="8">
        <v>0</v>
      </c>
      <c r="DG48" s="8">
        <v>0</v>
      </c>
      <c r="DH48" s="8">
        <v>1</v>
      </c>
      <c r="DI48" s="8">
        <v>3</v>
      </c>
      <c r="DJ48" s="8" t="s">
        <v>2954</v>
      </c>
      <c r="DK48" s="21">
        <v>44389</v>
      </c>
      <c r="DL48" s="21">
        <v>44372.229166666664</v>
      </c>
      <c r="DM48" s="21">
        <v>46073</v>
      </c>
      <c r="DN48" s="18">
        <v>7815</v>
      </c>
      <c r="DO48" s="21">
        <v>0</v>
      </c>
      <c r="DP48" s="21">
        <v>0</v>
      </c>
      <c r="DQ48" s="21" t="s">
        <v>2955</v>
      </c>
      <c r="DR48" s="21">
        <v>46073</v>
      </c>
      <c r="DS48" s="21">
        <v>46073</v>
      </c>
      <c r="DT48" s="21">
        <v>46073</v>
      </c>
      <c r="DU48" s="21">
        <v>46073</v>
      </c>
      <c r="DV48" s="21">
        <v>46073</v>
      </c>
      <c r="DW48" s="21">
        <v>46073</v>
      </c>
      <c r="DX48" s="21">
        <v>46073</v>
      </c>
      <c r="DY48" s="21">
        <v>46073</v>
      </c>
      <c r="DZ48" s="21">
        <v>46073</v>
      </c>
      <c r="EA48" s="8">
        <v>1500</v>
      </c>
      <c r="EB48" s="8">
        <v>750</v>
      </c>
      <c r="EC48" s="8">
        <v>500</v>
      </c>
      <c r="ED48" s="8">
        <v>750</v>
      </c>
      <c r="EE48" s="8">
        <v>750</v>
      </c>
      <c r="EF48" s="8">
        <v>1500</v>
      </c>
      <c r="EG48" s="8">
        <v>1000</v>
      </c>
      <c r="EH48" s="8">
        <v>1500</v>
      </c>
      <c r="EI48" s="8">
        <v>3000</v>
      </c>
      <c r="EJ48" s="8">
        <v>9</v>
      </c>
      <c r="EK48" s="8" t="s">
        <v>2624</v>
      </c>
      <c r="EL48" s="8">
        <v>39</v>
      </c>
      <c r="EM48" s="8">
        <v>117</v>
      </c>
      <c r="EN48" s="8">
        <v>1212</v>
      </c>
      <c r="EO48" s="8">
        <v>462</v>
      </c>
      <c r="EP48" s="8">
        <v>212</v>
      </c>
      <c r="EQ48" s="8">
        <v>462</v>
      </c>
      <c r="ER48" s="8">
        <v>462</v>
      </c>
      <c r="ES48" s="8">
        <v>1212</v>
      </c>
      <c r="ET48" s="8">
        <v>712</v>
      </c>
      <c r="EU48" s="8">
        <v>1212</v>
      </c>
      <c r="EV48" s="8">
        <v>2712</v>
      </c>
    </row>
    <row r="49" spans="1:152" x14ac:dyDescent="0.15">
      <c r="A49" s="8">
        <f>ROW([2]!tbl_DPSAC[[#This Row],[Sl. No.]])-1</f>
        <v>48</v>
      </c>
      <c r="B49" s="9" t="s">
        <v>136</v>
      </c>
      <c r="C49" s="9" t="s">
        <v>437</v>
      </c>
      <c r="D49" s="9" t="s">
        <v>138</v>
      </c>
      <c r="E49" s="9" t="s">
        <v>139</v>
      </c>
      <c r="F49" s="9" t="s">
        <v>161</v>
      </c>
      <c r="G49" s="10" t="s">
        <v>184</v>
      </c>
      <c r="H49" s="10" t="str">
        <f>_xlfn.XLOOKUP(C49,'[1]E&amp;DPSAC'!$K:$K,'[1]E&amp;DPSAC'!$E:$E,,0)</f>
        <v>BASKATOLA</v>
      </c>
      <c r="I49" s="10"/>
      <c r="J49" s="10">
        <v>7489823544</v>
      </c>
      <c r="K49" s="10">
        <f>_xlfn.XLOOKUP(C49,'[1]E&amp;DPSAC'!$K:$K,'[1]E&amp;DPSAC'!$G:$G,"",0)</f>
        <v>8521311810</v>
      </c>
      <c r="L49" s="9" t="str">
        <f t="shared" ca="1" si="0"/>
        <v>Non - Warranty</v>
      </c>
      <c r="M49" s="11">
        <v>44319</v>
      </c>
      <c r="N49" s="12">
        <v>24</v>
      </c>
      <c r="O49" s="11">
        <f t="shared" si="1"/>
        <v>45077</v>
      </c>
      <c r="P49" s="8" t="s">
        <v>142</v>
      </c>
      <c r="Q49" s="16" t="s">
        <v>450</v>
      </c>
      <c r="R49" s="15">
        <v>45954.541666666664</v>
      </c>
      <c r="S49" s="14">
        <v>13725</v>
      </c>
      <c r="T49" s="15">
        <v>45868</v>
      </c>
      <c r="U49" s="14">
        <v>13579</v>
      </c>
      <c r="V49" s="14">
        <v>13750</v>
      </c>
      <c r="W49" s="17">
        <v>45962.580555555556</v>
      </c>
      <c r="X49" s="14" t="s">
        <v>2700</v>
      </c>
      <c r="Y49" s="14">
        <v>725</v>
      </c>
      <c r="Z49" s="14" t="s">
        <v>2692</v>
      </c>
      <c r="AA49" s="18">
        <v>158.45833333333576</v>
      </c>
      <c r="AB49" s="18" t="s">
        <v>2692</v>
      </c>
      <c r="AC49" s="8">
        <f>tbl_DPSAC[[#This Row],[Current Month Due Count]]</f>
        <v>4</v>
      </c>
      <c r="AD49" s="8">
        <f>tbl_DPSAC[[#This Row],[Next Month Due2]]</f>
        <v>0</v>
      </c>
      <c r="AE49" s="8">
        <f t="shared" si="2"/>
        <v>0</v>
      </c>
      <c r="AF49" s="8">
        <v>3</v>
      </c>
      <c r="AG49" s="14">
        <f t="shared" ca="1" si="3"/>
        <v>14201</v>
      </c>
      <c r="AH49" s="8" t="s">
        <v>438</v>
      </c>
      <c r="AI49" s="8" t="s">
        <v>439</v>
      </c>
      <c r="AJ49" s="8" t="s">
        <v>440</v>
      </c>
      <c r="AK49" s="8" t="s">
        <v>441</v>
      </c>
      <c r="AL49" s="8" t="s">
        <v>442</v>
      </c>
      <c r="AM49" s="8" t="s">
        <v>443</v>
      </c>
      <c r="AN49" s="8" t="s">
        <v>444</v>
      </c>
      <c r="AO49" s="8" t="s">
        <v>445</v>
      </c>
      <c r="AP49" s="8" t="s">
        <v>446</v>
      </c>
      <c r="AQ49" s="8" t="s">
        <v>447</v>
      </c>
      <c r="AR49" s="8" t="s">
        <v>448</v>
      </c>
      <c r="AS49" s="8" t="s">
        <v>449</v>
      </c>
      <c r="AT49" s="8">
        <v>0</v>
      </c>
      <c r="AU49" s="8">
        <v>0</v>
      </c>
      <c r="AV49" s="8">
        <v>0</v>
      </c>
      <c r="AW49" s="8">
        <v>0</v>
      </c>
      <c r="AX49" s="8" t="s">
        <v>2007</v>
      </c>
      <c r="AY49" s="14">
        <v>13725</v>
      </c>
      <c r="AZ49" s="19">
        <v>45954</v>
      </c>
      <c r="BA49" s="14" t="s">
        <v>450</v>
      </c>
      <c r="BB49" s="14">
        <v>13725</v>
      </c>
      <c r="BC49" s="19">
        <v>45954</v>
      </c>
      <c r="BD49" s="14" t="s">
        <v>450</v>
      </c>
      <c r="BE49" s="14">
        <v>13725</v>
      </c>
      <c r="BF49" s="19">
        <v>45954</v>
      </c>
      <c r="BG49" s="14" t="s">
        <v>450</v>
      </c>
      <c r="BH49" s="14">
        <v>13725</v>
      </c>
      <c r="BI49" s="19">
        <v>45954</v>
      </c>
      <c r="BJ49" s="14" t="s">
        <v>450</v>
      </c>
      <c r="BK49" s="14">
        <v>13725</v>
      </c>
      <c r="BL49" s="19">
        <v>45954</v>
      </c>
      <c r="BM49" s="14" t="s">
        <v>450</v>
      </c>
      <c r="BN49" s="27">
        <v>46134</v>
      </c>
      <c r="BO49" s="27">
        <v>46134</v>
      </c>
      <c r="BP49" s="27">
        <v>46134</v>
      </c>
      <c r="BQ49" s="27">
        <v>46134</v>
      </c>
      <c r="BR49" s="27">
        <v>46319</v>
      </c>
      <c r="BS49" s="28">
        <v>274</v>
      </c>
      <c r="BT49" s="29">
        <v>1024</v>
      </c>
      <c r="BU49" s="29">
        <v>274</v>
      </c>
      <c r="BV49" s="29">
        <v>274</v>
      </c>
      <c r="BW49" s="29">
        <v>1024</v>
      </c>
      <c r="BX49" s="30" t="s">
        <v>384</v>
      </c>
      <c r="BY49" s="8">
        <v>0</v>
      </c>
      <c r="BZ49" s="8">
        <v>4</v>
      </c>
      <c r="CA49" s="8">
        <v>0</v>
      </c>
      <c r="CB49" s="21">
        <v>45953.770833333299</v>
      </c>
      <c r="CC49" s="21">
        <v>45953.770833333299</v>
      </c>
      <c r="CD49" s="21">
        <v>45953.770833333299</v>
      </c>
      <c r="CE49" s="21">
        <v>45953.770833333299</v>
      </c>
      <c r="CF49" s="21">
        <v>45953.770833333299</v>
      </c>
      <c r="CG49" s="21">
        <v>45953.770833333299</v>
      </c>
      <c r="CH49" s="21">
        <v>45953.770833333299</v>
      </c>
      <c r="CI49" s="21">
        <v>45953.770833333299</v>
      </c>
      <c r="CJ49" s="21">
        <v>45953.770833333299</v>
      </c>
      <c r="CK49" s="22" t="s">
        <v>3002</v>
      </c>
      <c r="CL49" s="22" t="s">
        <v>3003</v>
      </c>
      <c r="CM49" s="22" t="s">
        <v>3003</v>
      </c>
      <c r="CN49" s="22" t="s">
        <v>3003</v>
      </c>
      <c r="CO49" s="22" t="s">
        <v>3003</v>
      </c>
      <c r="CP49" s="22" t="s">
        <v>3002</v>
      </c>
      <c r="CQ49" s="22" t="s">
        <v>2953</v>
      </c>
      <c r="CR49" s="22" t="s">
        <v>3002</v>
      </c>
      <c r="CS49" s="22" t="s">
        <v>3002</v>
      </c>
      <c r="CT49" s="22">
        <v>2</v>
      </c>
      <c r="CU49" s="21">
        <v>46133</v>
      </c>
      <c r="CV49" s="21">
        <v>46133</v>
      </c>
      <c r="CW49" s="21">
        <v>46133</v>
      </c>
      <c r="CX49" s="21">
        <v>46133</v>
      </c>
      <c r="CY49" s="21">
        <v>46133</v>
      </c>
      <c r="CZ49" s="21">
        <v>46223</v>
      </c>
      <c r="DA49" s="21">
        <v>46318</v>
      </c>
      <c r="DB49" s="21">
        <v>46133</v>
      </c>
      <c r="DC49" s="21">
        <v>46318</v>
      </c>
      <c r="DD49" s="8">
        <v>0</v>
      </c>
      <c r="DE49" s="8">
        <v>0</v>
      </c>
      <c r="DF49" s="8">
        <v>0</v>
      </c>
      <c r="DG49" s="8">
        <v>0</v>
      </c>
      <c r="DH49" s="8">
        <v>6</v>
      </c>
      <c r="DI49" s="8">
        <v>0</v>
      </c>
      <c r="DJ49" s="8" t="s">
        <v>2954</v>
      </c>
      <c r="DK49" s="21">
        <v>44319</v>
      </c>
      <c r="DL49" s="21">
        <v>44281.229166666664</v>
      </c>
      <c r="DM49" s="21">
        <v>45962</v>
      </c>
      <c r="DN49" s="18">
        <v>13750</v>
      </c>
      <c r="DO49" s="21">
        <v>0</v>
      </c>
      <c r="DP49" s="21">
        <v>0</v>
      </c>
      <c r="DQ49" s="21" t="s">
        <v>2955</v>
      </c>
      <c r="DR49" s="21">
        <v>45954</v>
      </c>
      <c r="DS49" s="21">
        <v>45954</v>
      </c>
      <c r="DT49" s="21">
        <v>45954</v>
      </c>
      <c r="DU49" s="21">
        <v>45954</v>
      </c>
      <c r="DV49" s="21">
        <v>45954</v>
      </c>
      <c r="DW49" s="21">
        <v>45954</v>
      </c>
      <c r="DX49" s="21">
        <v>45954</v>
      </c>
      <c r="DY49" s="21">
        <v>45954</v>
      </c>
      <c r="DZ49" s="21">
        <v>45954</v>
      </c>
      <c r="EA49" s="8">
        <v>1475</v>
      </c>
      <c r="EB49" s="8">
        <v>725</v>
      </c>
      <c r="EC49" s="8">
        <v>725</v>
      </c>
      <c r="ED49" s="8">
        <v>725</v>
      </c>
      <c r="EE49" s="8">
        <v>725</v>
      </c>
      <c r="EF49" s="8">
        <v>1475</v>
      </c>
      <c r="EG49" s="8">
        <v>1000</v>
      </c>
      <c r="EH49" s="8">
        <v>1475</v>
      </c>
      <c r="EI49" s="8">
        <v>1475</v>
      </c>
      <c r="EJ49" s="8">
        <v>2</v>
      </c>
      <c r="EK49" s="8" t="s">
        <v>2624</v>
      </c>
      <c r="EL49" s="8">
        <v>150</v>
      </c>
      <c r="EM49" s="8">
        <v>450</v>
      </c>
      <c r="EN49" s="8">
        <v>1187</v>
      </c>
      <c r="EO49" s="8">
        <v>437</v>
      </c>
      <c r="EP49" s="8">
        <v>437</v>
      </c>
      <c r="EQ49" s="8">
        <v>437</v>
      </c>
      <c r="ER49" s="8">
        <v>437</v>
      </c>
      <c r="ES49" s="8">
        <v>1187</v>
      </c>
      <c r="ET49" s="8">
        <v>712</v>
      </c>
      <c r="EU49" s="8">
        <v>1187</v>
      </c>
      <c r="EV49" s="8">
        <v>1187</v>
      </c>
    </row>
    <row r="50" spans="1:152" x14ac:dyDescent="0.15">
      <c r="A50" s="8">
        <f>ROW([2]!tbl_DPSAC[[#This Row],[Sl. No.]])-1</f>
        <v>49</v>
      </c>
      <c r="B50" s="9" t="s">
        <v>136</v>
      </c>
      <c r="C50" s="9" t="s">
        <v>451</v>
      </c>
      <c r="D50" s="9" t="s">
        <v>452</v>
      </c>
      <c r="E50" s="9" t="s">
        <v>176</v>
      </c>
      <c r="F50" s="9" t="s">
        <v>161</v>
      </c>
      <c r="G50" s="10" t="s">
        <v>453</v>
      </c>
      <c r="H50" s="10" t="str">
        <f>_xlfn.XLOOKUP(C50,'[1]E&amp;DPSAC'!$K:$K,'[1]E&amp;DPSAC'!$E:$E,,0)</f>
        <v>MIRZA CHOUKI, SAHEBGANJ</v>
      </c>
      <c r="I50" s="10"/>
      <c r="J50" s="10">
        <v>7544958524</v>
      </c>
      <c r="K50" s="10">
        <f>_xlfn.XLOOKUP(C50,'[1]E&amp;DPSAC'!$K:$K,'[1]E&amp;DPSAC'!$G:$G,"",0)</f>
        <v>7544958524</v>
      </c>
      <c r="L50" s="9" t="str">
        <f t="shared" ca="1" si="0"/>
        <v>Non - Warranty</v>
      </c>
      <c r="M50" s="11">
        <v>44421</v>
      </c>
      <c r="N50" s="12">
        <v>24</v>
      </c>
      <c r="O50" s="11">
        <f t="shared" si="1"/>
        <v>45169</v>
      </c>
      <c r="P50" s="8" t="s">
        <v>142</v>
      </c>
      <c r="Q50" s="16" t="s">
        <v>456</v>
      </c>
      <c r="R50" s="15">
        <v>45265.570706018501</v>
      </c>
      <c r="S50" s="14">
        <v>1600</v>
      </c>
      <c r="T50" s="15">
        <v>45661</v>
      </c>
      <c r="U50" s="14">
        <v>3363</v>
      </c>
      <c r="V50" s="14">
        <v>2280</v>
      </c>
      <c r="W50" s="17">
        <v>45962.585416666669</v>
      </c>
      <c r="X50" s="14" t="s">
        <v>2728</v>
      </c>
      <c r="Y50" s="14">
        <v>70</v>
      </c>
      <c r="Z50" s="14" t="s">
        <v>2692</v>
      </c>
      <c r="AA50" s="18">
        <v>847.42929398149863</v>
      </c>
      <c r="AB50" s="18" t="s">
        <v>2697</v>
      </c>
      <c r="AC50" s="8">
        <f>tbl_DPSAC[[#This Row],[Current Month Due Count]]</f>
        <v>0</v>
      </c>
      <c r="AD50" s="8">
        <f>tbl_DPSAC[[#This Row],[Next Month Due2]]</f>
        <v>0</v>
      </c>
      <c r="AE50" s="8">
        <f t="shared" si="2"/>
        <v>1</v>
      </c>
      <c r="AF50" s="8">
        <v>1</v>
      </c>
      <c r="AG50" s="14">
        <f t="shared" ca="1" si="3"/>
        <v>2430</v>
      </c>
      <c r="AH50" s="8" t="s">
        <v>454</v>
      </c>
      <c r="AI50" s="8" t="s">
        <v>455</v>
      </c>
      <c r="AJ50" s="8">
        <v>0</v>
      </c>
      <c r="AK50" s="8">
        <v>0</v>
      </c>
      <c r="AL50" s="8">
        <v>0</v>
      </c>
      <c r="AM50" s="8">
        <v>0</v>
      </c>
      <c r="AN50" s="8">
        <v>0</v>
      </c>
      <c r="AO50" s="8">
        <v>0</v>
      </c>
      <c r="AP50" s="8">
        <v>0</v>
      </c>
      <c r="AQ50" s="8">
        <v>0</v>
      </c>
      <c r="AR50" s="8">
        <v>0</v>
      </c>
      <c r="AS50" s="8">
        <v>0</v>
      </c>
      <c r="AT50" s="8">
        <v>0</v>
      </c>
      <c r="AU50" s="8">
        <v>0</v>
      </c>
      <c r="AV50" s="8">
        <v>0</v>
      </c>
      <c r="AW50" s="8">
        <v>0</v>
      </c>
      <c r="AX50" s="8" t="s">
        <v>2961</v>
      </c>
      <c r="AY50" s="14">
        <v>1600</v>
      </c>
      <c r="AZ50" s="19">
        <v>45265</v>
      </c>
      <c r="BA50" s="14" t="s">
        <v>456</v>
      </c>
      <c r="BB50" s="14">
        <v>1</v>
      </c>
      <c r="BC50" s="19">
        <v>44421</v>
      </c>
      <c r="BD50" s="14" t="s">
        <v>457</v>
      </c>
      <c r="BE50" s="14">
        <v>1600</v>
      </c>
      <c r="BF50" s="19">
        <v>45265</v>
      </c>
      <c r="BG50" s="14" t="s">
        <v>456</v>
      </c>
      <c r="BH50" s="14">
        <v>963</v>
      </c>
      <c r="BI50" s="19">
        <v>44676</v>
      </c>
      <c r="BJ50" s="14" t="s">
        <v>458</v>
      </c>
      <c r="BK50" s="14">
        <v>1</v>
      </c>
      <c r="BL50" s="19">
        <v>44421</v>
      </c>
      <c r="BM50" s="14" t="s">
        <v>457</v>
      </c>
      <c r="BN50" s="27">
        <v>45445</v>
      </c>
      <c r="BO50" s="27">
        <v>44601</v>
      </c>
      <c r="BP50" s="27">
        <v>45445</v>
      </c>
      <c r="BQ50" s="27">
        <v>44856</v>
      </c>
      <c r="BR50" s="27">
        <v>44786</v>
      </c>
      <c r="BS50" s="28">
        <v>-80</v>
      </c>
      <c r="BT50" s="29">
        <v>-929</v>
      </c>
      <c r="BU50" s="29">
        <v>-80</v>
      </c>
      <c r="BV50" s="29">
        <v>-717</v>
      </c>
      <c r="BW50" s="29">
        <v>-929</v>
      </c>
      <c r="BX50" s="30" t="s">
        <v>173</v>
      </c>
      <c r="BY50" s="8">
        <v>5</v>
      </c>
      <c r="BZ50" s="8">
        <v>0</v>
      </c>
      <c r="CA50" s="8">
        <v>0</v>
      </c>
      <c r="CB50" s="21">
        <v>45264.770833333299</v>
      </c>
      <c r="CC50" s="21">
        <v>45264.770833333299</v>
      </c>
      <c r="CD50" s="21">
        <v>0</v>
      </c>
      <c r="CE50" s="21">
        <v>45264.770833333299</v>
      </c>
      <c r="CF50" s="21">
        <v>45264.770833333299</v>
      </c>
      <c r="CG50" s="21">
        <v>0</v>
      </c>
      <c r="CH50" s="21">
        <v>0</v>
      </c>
      <c r="CI50" s="21">
        <v>0</v>
      </c>
      <c r="CJ50" s="21">
        <v>0</v>
      </c>
      <c r="CK50" s="22" t="s">
        <v>2988</v>
      </c>
      <c r="CL50" s="22" t="s">
        <v>2988</v>
      </c>
      <c r="CM50" s="22" t="s">
        <v>2988</v>
      </c>
      <c r="CN50" s="22" t="s">
        <v>2988</v>
      </c>
      <c r="CO50" s="22" t="s">
        <v>2988</v>
      </c>
      <c r="CP50" s="22" t="s">
        <v>3005</v>
      </c>
      <c r="CQ50" s="22" t="s">
        <v>2953</v>
      </c>
      <c r="CR50" s="22" t="s">
        <v>3005</v>
      </c>
      <c r="CS50" s="22" t="s">
        <v>3005</v>
      </c>
      <c r="CT50" s="22">
        <v>2</v>
      </c>
      <c r="CU50" s="21">
        <v>45444</v>
      </c>
      <c r="CV50" s="21">
        <v>45444</v>
      </c>
      <c r="CW50" s="21">
        <v>45997</v>
      </c>
      <c r="CX50" s="21">
        <v>45444</v>
      </c>
      <c r="CY50" s="21">
        <v>45444</v>
      </c>
      <c r="CZ50" s="21">
        <v>46175</v>
      </c>
      <c r="DA50" s="21">
        <v>46055</v>
      </c>
      <c r="DB50" s="21">
        <v>46085</v>
      </c>
      <c r="DC50" s="21">
        <v>46134</v>
      </c>
      <c r="DD50" s="8">
        <v>1</v>
      </c>
      <c r="DE50" s="8">
        <v>1</v>
      </c>
      <c r="DF50" s="8">
        <v>1</v>
      </c>
      <c r="DG50" s="8">
        <v>7</v>
      </c>
      <c r="DH50" s="8">
        <v>1</v>
      </c>
      <c r="DI50" s="8">
        <v>0</v>
      </c>
      <c r="DJ50" s="8" t="s">
        <v>2954</v>
      </c>
      <c r="DK50" s="21">
        <v>44421</v>
      </c>
      <c r="DL50" s="21">
        <v>44407.229166666664</v>
      </c>
      <c r="DM50" s="21">
        <v>45962</v>
      </c>
      <c r="DN50" s="18">
        <v>2280</v>
      </c>
      <c r="DO50" s="21">
        <v>0</v>
      </c>
      <c r="DP50" s="21">
        <v>0</v>
      </c>
      <c r="DQ50" s="21" t="s">
        <v>2955</v>
      </c>
      <c r="DR50" s="21">
        <v>45265</v>
      </c>
      <c r="DS50" s="21">
        <v>45265</v>
      </c>
      <c r="DT50" s="21">
        <v>0</v>
      </c>
      <c r="DU50" s="21">
        <v>45265</v>
      </c>
      <c r="DV50" s="21">
        <v>45265</v>
      </c>
      <c r="DW50" s="21">
        <v>0</v>
      </c>
      <c r="DX50" s="21">
        <v>0</v>
      </c>
      <c r="DY50" s="21">
        <v>0</v>
      </c>
      <c r="DZ50" s="21">
        <v>0</v>
      </c>
      <c r="EA50" s="8">
        <v>70</v>
      </c>
      <c r="EB50" s="8">
        <v>70</v>
      </c>
      <c r="EC50" s="8">
        <v>70</v>
      </c>
      <c r="ED50" s="8">
        <v>70</v>
      </c>
      <c r="EE50" s="8">
        <v>70</v>
      </c>
      <c r="EF50" s="8">
        <v>870</v>
      </c>
      <c r="EG50" s="8">
        <v>1000</v>
      </c>
      <c r="EH50" s="8">
        <v>870</v>
      </c>
      <c r="EI50" s="8">
        <v>870</v>
      </c>
      <c r="EJ50" s="8">
        <v>2</v>
      </c>
      <c r="EK50" s="8" t="s">
        <v>2624</v>
      </c>
      <c r="EL50" s="8">
        <v>150</v>
      </c>
      <c r="EM50" s="8">
        <v>150</v>
      </c>
      <c r="EN50" s="8">
        <v>-218</v>
      </c>
      <c r="EO50" s="8">
        <v>-218</v>
      </c>
      <c r="EP50" s="8">
        <v>-218</v>
      </c>
      <c r="EQ50" s="8">
        <v>-218</v>
      </c>
      <c r="ER50" s="8">
        <v>-218</v>
      </c>
      <c r="ES50" s="8">
        <v>582</v>
      </c>
      <c r="ET50" s="8">
        <v>712</v>
      </c>
      <c r="EU50" s="8">
        <v>582</v>
      </c>
      <c r="EV50" s="8">
        <v>582</v>
      </c>
    </row>
    <row r="51" spans="1:152" x14ac:dyDescent="0.15">
      <c r="A51" s="8">
        <f>ROW([2]!tbl_DPSAC[[#This Row],[Sl. No.]])-1</f>
        <v>50</v>
      </c>
      <c r="B51" s="9" t="s">
        <v>136</v>
      </c>
      <c r="C51" s="9" t="s">
        <v>459</v>
      </c>
      <c r="D51" s="9" t="s">
        <v>460</v>
      </c>
      <c r="E51" s="9" t="s">
        <v>170</v>
      </c>
      <c r="F51" s="9" t="s">
        <v>161</v>
      </c>
      <c r="G51" s="10" t="s">
        <v>461</v>
      </c>
      <c r="H51" s="10" t="str">
        <f>_xlfn.XLOOKUP(C51,'[1]E&amp;DPSAC'!$K:$K,'[1]E&amp;DPSAC'!$E:$E,,0)</f>
        <v>PAKURA, DUMKA</v>
      </c>
      <c r="I51" s="10" t="s">
        <v>462</v>
      </c>
      <c r="J51" s="10">
        <v>8235542790</v>
      </c>
      <c r="K51" s="10">
        <f>_xlfn.XLOOKUP(C51,'[1]E&amp;DPSAC'!$K:$K,'[1]E&amp;DPSAC'!$G:$G,"",0)</f>
        <v>8235542790</v>
      </c>
      <c r="L51" s="9" t="str">
        <f t="shared" ca="1" si="0"/>
        <v>Non - Warranty</v>
      </c>
      <c r="M51" s="11">
        <v>44457</v>
      </c>
      <c r="N51" s="12">
        <v>24</v>
      </c>
      <c r="O51" s="11">
        <f t="shared" si="1"/>
        <v>45199</v>
      </c>
      <c r="P51" s="8" t="s">
        <v>157</v>
      </c>
      <c r="Q51" s="16" t="s">
        <v>2632</v>
      </c>
      <c r="R51" s="15">
        <v>44585.636759259301</v>
      </c>
      <c r="S51" s="14">
        <v>675</v>
      </c>
      <c r="T51" s="15">
        <v>44585</v>
      </c>
      <c r="U51" s="14">
        <v>675</v>
      </c>
      <c r="V51" s="14">
        <v>1118</v>
      </c>
      <c r="W51" s="17">
        <v>45033.632881944402</v>
      </c>
      <c r="X51" s="14" t="s">
        <v>2729</v>
      </c>
      <c r="Y51" s="14">
        <v>307</v>
      </c>
      <c r="Z51" s="14" t="s">
        <v>2692</v>
      </c>
      <c r="AA51" s="18">
        <v>1527.3632407406985</v>
      </c>
      <c r="AB51" s="18" t="s">
        <v>2697</v>
      </c>
      <c r="AC51" s="8">
        <f>tbl_DPSAC[[#This Row],[Current Month Due Count]]</f>
        <v>0</v>
      </c>
      <c r="AD51" s="8">
        <f>tbl_DPSAC[[#This Row],[Next Month Due2]]</f>
        <v>0</v>
      </c>
      <c r="AE51" s="8">
        <f t="shared" si="2"/>
        <v>1</v>
      </c>
      <c r="AF51" s="8">
        <v>1</v>
      </c>
      <c r="AG51" s="14">
        <f t="shared" ca="1" si="3"/>
        <v>2197</v>
      </c>
      <c r="AH51" s="8" t="s">
        <v>463</v>
      </c>
      <c r="AI51" s="8" t="s">
        <v>464</v>
      </c>
      <c r="AJ51" s="8">
        <v>0</v>
      </c>
      <c r="AK51" s="8">
        <v>0</v>
      </c>
      <c r="AL51" s="8">
        <v>0</v>
      </c>
      <c r="AM51" s="8">
        <v>0</v>
      </c>
      <c r="AN51" s="8">
        <v>0</v>
      </c>
      <c r="AO51" s="8">
        <v>0</v>
      </c>
      <c r="AP51" s="8">
        <v>0</v>
      </c>
      <c r="AQ51" s="8">
        <v>0</v>
      </c>
      <c r="AR51" s="8">
        <v>0</v>
      </c>
      <c r="AS51" s="8">
        <v>0</v>
      </c>
      <c r="AT51" s="8">
        <v>0</v>
      </c>
      <c r="AU51" s="8">
        <v>0</v>
      </c>
      <c r="AV51" s="8">
        <v>0</v>
      </c>
      <c r="AW51" s="8">
        <v>0</v>
      </c>
      <c r="AX51" s="8" t="s">
        <v>2961</v>
      </c>
      <c r="AY51" s="14">
        <v>675</v>
      </c>
      <c r="AZ51" s="19">
        <v>44585</v>
      </c>
      <c r="BA51" s="14" t="s">
        <v>465</v>
      </c>
      <c r="BB51" s="14">
        <v>1</v>
      </c>
      <c r="BC51" s="19">
        <v>44457</v>
      </c>
      <c r="BD51" s="14" t="s">
        <v>466</v>
      </c>
      <c r="BE51" s="14">
        <v>675</v>
      </c>
      <c r="BF51" s="19">
        <v>44585</v>
      </c>
      <c r="BG51" s="14" t="s">
        <v>465</v>
      </c>
      <c r="BH51" s="14">
        <v>675</v>
      </c>
      <c r="BI51" s="19">
        <v>44585</v>
      </c>
      <c r="BJ51" s="14" t="s">
        <v>465</v>
      </c>
      <c r="BK51" s="14">
        <v>1</v>
      </c>
      <c r="BL51" s="19">
        <v>44457</v>
      </c>
      <c r="BM51" s="14" t="s">
        <v>466</v>
      </c>
      <c r="BN51" s="27">
        <v>44765</v>
      </c>
      <c r="BO51" s="27">
        <v>44637</v>
      </c>
      <c r="BP51" s="27">
        <v>44765</v>
      </c>
      <c r="BQ51" s="27">
        <v>44765</v>
      </c>
      <c r="BR51" s="27">
        <v>44822</v>
      </c>
      <c r="BS51" s="28">
        <v>-772</v>
      </c>
      <c r="BT51" s="29">
        <v>-696</v>
      </c>
      <c r="BU51" s="29">
        <v>-772</v>
      </c>
      <c r="BV51" s="29">
        <v>-772</v>
      </c>
      <c r="BW51" s="29">
        <v>-696</v>
      </c>
      <c r="BX51" s="30" t="s">
        <v>467</v>
      </c>
      <c r="BY51" s="8">
        <v>5</v>
      </c>
      <c r="BZ51" s="8">
        <v>0</v>
      </c>
      <c r="CA51" s="8">
        <v>0</v>
      </c>
      <c r="CB51" s="21" t="s">
        <v>143</v>
      </c>
      <c r="CC51" s="21" t="s">
        <v>143</v>
      </c>
      <c r="CD51" s="21" t="s">
        <v>143</v>
      </c>
      <c r="CE51" s="21" t="s">
        <v>143</v>
      </c>
      <c r="CF51" s="21" t="s">
        <v>143</v>
      </c>
      <c r="CG51" s="21" t="s">
        <v>143</v>
      </c>
      <c r="CH51" s="21" t="s">
        <v>143</v>
      </c>
      <c r="CI51" s="21" t="s">
        <v>143</v>
      </c>
      <c r="CJ51" s="21" t="s">
        <v>143</v>
      </c>
      <c r="CK51" s="22" t="s">
        <v>143</v>
      </c>
      <c r="CL51" s="22" t="s">
        <v>143</v>
      </c>
      <c r="CM51" s="22" t="s">
        <v>143</v>
      </c>
      <c r="CN51" s="22" t="s">
        <v>143</v>
      </c>
      <c r="CO51" s="22" t="s">
        <v>143</v>
      </c>
      <c r="CP51" s="22" t="s">
        <v>143</v>
      </c>
      <c r="CQ51" s="22" t="s">
        <v>143</v>
      </c>
      <c r="CR51" s="22" t="s">
        <v>143</v>
      </c>
      <c r="CS51" s="22" t="s">
        <v>143</v>
      </c>
      <c r="CT51" s="22" t="s">
        <v>143</v>
      </c>
      <c r="CU51" s="21" t="s">
        <v>143</v>
      </c>
      <c r="CV51" s="21" t="s">
        <v>143</v>
      </c>
      <c r="CW51" s="21" t="s">
        <v>143</v>
      </c>
      <c r="CX51" s="21" t="s">
        <v>143</v>
      </c>
      <c r="CY51" s="21" t="s">
        <v>143</v>
      </c>
      <c r="CZ51" s="21" t="s">
        <v>143</v>
      </c>
      <c r="DA51" s="21" t="s">
        <v>143</v>
      </c>
      <c r="DB51" s="21" t="s">
        <v>143</v>
      </c>
      <c r="DC51" s="21" t="s">
        <v>143</v>
      </c>
      <c r="DD51" s="8" t="s">
        <v>143</v>
      </c>
      <c r="DE51" s="8" t="s">
        <v>143</v>
      </c>
      <c r="DF51" s="8" t="s">
        <v>143</v>
      </c>
      <c r="DG51" s="8">
        <v>0</v>
      </c>
      <c r="DH51" s="8">
        <v>0</v>
      </c>
      <c r="DI51" s="8">
        <v>0</v>
      </c>
      <c r="DJ51" s="8" t="s">
        <v>143</v>
      </c>
      <c r="DK51" s="21" t="s">
        <v>143</v>
      </c>
      <c r="DL51" s="21" t="s">
        <v>143</v>
      </c>
      <c r="DM51" s="21" t="s">
        <v>143</v>
      </c>
      <c r="DN51" s="18" t="s">
        <v>143</v>
      </c>
      <c r="DO51" s="21" t="s">
        <v>143</v>
      </c>
      <c r="DP51" s="21" t="s">
        <v>143</v>
      </c>
      <c r="DQ51" s="21" t="s">
        <v>143</v>
      </c>
      <c r="DR51" s="21" t="s">
        <v>143</v>
      </c>
      <c r="DS51" s="21" t="s">
        <v>143</v>
      </c>
      <c r="DT51" s="21" t="s">
        <v>143</v>
      </c>
      <c r="DU51" s="21" t="s">
        <v>143</v>
      </c>
      <c r="DV51" s="21" t="s">
        <v>143</v>
      </c>
      <c r="DW51" s="21" t="s">
        <v>143</v>
      </c>
      <c r="DX51" s="21" t="s">
        <v>143</v>
      </c>
      <c r="DY51" s="21" t="s">
        <v>143</v>
      </c>
      <c r="DZ51" s="21" t="s">
        <v>143</v>
      </c>
      <c r="EA51" s="8" t="s">
        <v>143</v>
      </c>
      <c r="EB51" s="8" t="s">
        <v>143</v>
      </c>
      <c r="EC51" s="8" t="s">
        <v>143</v>
      </c>
      <c r="ED51" s="8" t="s">
        <v>143</v>
      </c>
      <c r="EE51" s="8" t="s">
        <v>143</v>
      </c>
      <c r="EF51" s="8" t="s">
        <v>143</v>
      </c>
      <c r="EG51" s="8" t="s">
        <v>143</v>
      </c>
      <c r="EH51" s="8" t="s">
        <v>143</v>
      </c>
      <c r="EI51" s="8" t="s">
        <v>143</v>
      </c>
      <c r="EJ51" s="8" t="s">
        <v>143</v>
      </c>
      <c r="EK51" s="8" t="s">
        <v>157</v>
      </c>
      <c r="EL51" s="8">
        <v>1079</v>
      </c>
      <c r="EM51" s="8">
        <v>1079</v>
      </c>
      <c r="EN51" s="8" t="s">
        <v>143</v>
      </c>
      <c r="EO51" s="8" t="s">
        <v>143</v>
      </c>
      <c r="EP51" s="8" t="s">
        <v>143</v>
      </c>
      <c r="EQ51" s="8" t="s">
        <v>143</v>
      </c>
      <c r="ER51" s="8" t="s">
        <v>143</v>
      </c>
      <c r="ES51" s="8" t="s">
        <v>143</v>
      </c>
      <c r="ET51" s="8" t="s">
        <v>143</v>
      </c>
      <c r="EU51" s="8" t="s">
        <v>143</v>
      </c>
      <c r="EV51" s="8" t="s">
        <v>143</v>
      </c>
    </row>
    <row r="52" spans="1:152" x14ac:dyDescent="0.15">
      <c r="A52" s="8">
        <f>ROW([2]!tbl_DPSAC[[#This Row],[Sl. No.]])-1</f>
        <v>51</v>
      </c>
      <c r="B52" s="9" t="s">
        <v>136</v>
      </c>
      <c r="C52" s="9" t="s">
        <v>468</v>
      </c>
      <c r="D52" s="9" t="s">
        <v>138</v>
      </c>
      <c r="E52" s="9" t="s">
        <v>139</v>
      </c>
      <c r="F52" s="9" t="s">
        <v>161</v>
      </c>
      <c r="G52" s="10" t="s">
        <v>469</v>
      </c>
      <c r="H52" s="10" t="str">
        <f>_xlfn.XLOOKUP(C52,'[1]E&amp;DPSAC'!$K:$K,'[1]E&amp;DPSAC'!$E:$E,,0)</f>
        <v>KHURPANIA, KHASHMAHAL, PHUSHRO</v>
      </c>
      <c r="I52" s="10"/>
      <c r="J52" s="10">
        <v>9031496711</v>
      </c>
      <c r="K52" s="10">
        <f>_xlfn.XLOOKUP(C52,'[1]E&amp;DPSAC'!$K:$K,'[1]E&amp;DPSAC'!$G:$G,"",0)</f>
        <v>8797943594</v>
      </c>
      <c r="L52" s="9" t="str">
        <f t="shared" ca="1" si="0"/>
        <v>Non - Warranty</v>
      </c>
      <c r="M52" s="11">
        <v>44534</v>
      </c>
      <c r="N52" s="12">
        <v>24</v>
      </c>
      <c r="O52" s="11">
        <f t="shared" si="1"/>
        <v>45291</v>
      </c>
      <c r="P52" s="8" t="s">
        <v>142</v>
      </c>
      <c r="Q52" s="16" t="s">
        <v>476</v>
      </c>
      <c r="R52" s="15">
        <v>45370.731493055602</v>
      </c>
      <c r="S52" s="14">
        <v>4165</v>
      </c>
      <c r="T52" s="15">
        <v>45456</v>
      </c>
      <c r="U52" s="14">
        <v>4595</v>
      </c>
      <c r="V52" s="14">
        <v>5850</v>
      </c>
      <c r="W52" s="17">
        <v>46041.547870370399</v>
      </c>
      <c r="X52" s="14" t="s">
        <v>2730</v>
      </c>
      <c r="Y52" s="14">
        <v>-935</v>
      </c>
      <c r="Z52" s="14" t="s">
        <v>2697</v>
      </c>
      <c r="AA52" s="18">
        <v>742.26850694439781</v>
      </c>
      <c r="AB52" s="18" t="s">
        <v>2697</v>
      </c>
      <c r="AC52" s="8">
        <f>tbl_DPSAC[[#This Row],[Current Month Due Count]]</f>
        <v>0</v>
      </c>
      <c r="AD52" s="8">
        <f>tbl_DPSAC[[#This Row],[Next Month Due2]]</f>
        <v>0</v>
      </c>
      <c r="AE52" s="8">
        <f t="shared" si="2"/>
        <v>1</v>
      </c>
      <c r="AF52" s="8">
        <v>4</v>
      </c>
      <c r="AG52" s="14">
        <f t="shared" ca="1" si="3"/>
        <v>6136</v>
      </c>
      <c r="AH52" s="8" t="s">
        <v>470</v>
      </c>
      <c r="AI52" s="8" t="s">
        <v>471</v>
      </c>
      <c r="AJ52" s="8" t="s">
        <v>472</v>
      </c>
      <c r="AK52" s="8" t="s">
        <v>473</v>
      </c>
      <c r="AL52" s="8" t="s">
        <v>474</v>
      </c>
      <c r="AM52" s="8">
        <v>0</v>
      </c>
      <c r="AN52" s="8" t="s">
        <v>475</v>
      </c>
      <c r="AO52" s="8">
        <v>0</v>
      </c>
      <c r="AP52" s="8">
        <v>0</v>
      </c>
      <c r="AQ52" s="8">
        <v>0</v>
      </c>
      <c r="AR52" s="8">
        <v>0</v>
      </c>
      <c r="AS52" s="8">
        <v>0</v>
      </c>
      <c r="AT52" s="8">
        <v>0</v>
      </c>
      <c r="AU52" s="8">
        <v>0</v>
      </c>
      <c r="AV52" s="8">
        <v>0</v>
      </c>
      <c r="AW52" s="8">
        <v>0</v>
      </c>
      <c r="AX52" s="8" t="s">
        <v>2961</v>
      </c>
      <c r="AY52" s="14">
        <v>4165</v>
      </c>
      <c r="AZ52" s="19">
        <v>45370</v>
      </c>
      <c r="BA52" s="14" t="s">
        <v>476</v>
      </c>
      <c r="BB52" s="14">
        <v>3095</v>
      </c>
      <c r="BC52" s="19">
        <v>45141</v>
      </c>
      <c r="BD52" s="14" t="s">
        <v>477</v>
      </c>
      <c r="BE52" s="14">
        <v>4165</v>
      </c>
      <c r="BF52" s="19">
        <v>45370</v>
      </c>
      <c r="BG52" s="14" t="s">
        <v>476</v>
      </c>
      <c r="BH52" s="14">
        <v>4165</v>
      </c>
      <c r="BI52" s="19">
        <v>45370</v>
      </c>
      <c r="BJ52" s="14" t="s">
        <v>476</v>
      </c>
      <c r="BK52" s="14">
        <v>3095</v>
      </c>
      <c r="BL52" s="19">
        <v>45141</v>
      </c>
      <c r="BM52" s="14" t="s">
        <v>477</v>
      </c>
      <c r="BN52" s="27">
        <v>45550</v>
      </c>
      <c r="BO52" s="27">
        <v>45321</v>
      </c>
      <c r="BP52" s="27">
        <v>45550</v>
      </c>
      <c r="BQ52" s="27">
        <v>45550</v>
      </c>
      <c r="BR52" s="27">
        <v>45506</v>
      </c>
      <c r="BS52" s="28">
        <v>-1221</v>
      </c>
      <c r="BT52" s="29">
        <v>-1541</v>
      </c>
      <c r="BU52" s="29">
        <v>-1221</v>
      </c>
      <c r="BV52" s="29">
        <v>-1221</v>
      </c>
      <c r="BW52" s="29">
        <v>-1541</v>
      </c>
      <c r="BX52" s="30">
        <v>0</v>
      </c>
      <c r="BY52" s="8">
        <v>5</v>
      </c>
      <c r="BZ52" s="8">
        <v>0</v>
      </c>
      <c r="CA52" s="8">
        <v>0</v>
      </c>
      <c r="CB52" s="21">
        <v>45369.770833333299</v>
      </c>
      <c r="CC52" s="21">
        <v>45369.770833333299</v>
      </c>
      <c r="CD52" s="21">
        <v>45369.770833333299</v>
      </c>
      <c r="CE52" s="21">
        <v>45369.770833333299</v>
      </c>
      <c r="CF52" s="21">
        <v>45141.770833333299</v>
      </c>
      <c r="CG52" s="21">
        <v>45141.770833333299</v>
      </c>
      <c r="CH52" s="21">
        <v>45141.770833333299</v>
      </c>
      <c r="CI52" s="21">
        <v>45141.770833333299</v>
      </c>
      <c r="CJ52" s="21">
        <v>45141.770833333299</v>
      </c>
      <c r="CK52" s="22" t="s">
        <v>3006</v>
      </c>
      <c r="CL52" s="22" t="s">
        <v>2962</v>
      </c>
      <c r="CM52" s="22" t="s">
        <v>2962</v>
      </c>
      <c r="CN52" s="22" t="s">
        <v>2962</v>
      </c>
      <c r="CO52" s="22" t="s">
        <v>2962</v>
      </c>
      <c r="CP52" s="22" t="s">
        <v>3006</v>
      </c>
      <c r="CQ52" s="22" t="s">
        <v>2953</v>
      </c>
      <c r="CR52" s="22" t="s">
        <v>3006</v>
      </c>
      <c r="CS52" s="22" t="s">
        <v>3006</v>
      </c>
      <c r="CT52" s="22">
        <v>3</v>
      </c>
      <c r="CU52" s="21">
        <v>45549</v>
      </c>
      <c r="CV52" s="21">
        <v>45549</v>
      </c>
      <c r="CW52" s="21">
        <v>45549</v>
      </c>
      <c r="CX52" s="21">
        <v>45549</v>
      </c>
      <c r="CY52" s="21">
        <v>45321</v>
      </c>
      <c r="CZ52" s="21">
        <v>45411</v>
      </c>
      <c r="DA52" s="21">
        <v>45506</v>
      </c>
      <c r="DB52" s="21">
        <v>45321</v>
      </c>
      <c r="DC52" s="21">
        <v>45506</v>
      </c>
      <c r="DD52" s="8">
        <v>1</v>
      </c>
      <c r="DE52" s="8">
        <v>0</v>
      </c>
      <c r="DF52" s="8">
        <v>0</v>
      </c>
      <c r="DG52" s="8">
        <v>9</v>
      </c>
      <c r="DH52" s="8">
        <v>0</v>
      </c>
      <c r="DI52" s="8">
        <v>0</v>
      </c>
      <c r="DJ52" s="8" t="s">
        <v>2954</v>
      </c>
      <c r="DK52" s="21">
        <v>44534</v>
      </c>
      <c r="DL52" s="21">
        <v>44160.229166666664</v>
      </c>
      <c r="DM52" s="21">
        <v>46041</v>
      </c>
      <c r="DN52" s="18">
        <v>5850</v>
      </c>
      <c r="DO52" s="21">
        <v>0</v>
      </c>
      <c r="DP52" s="21">
        <v>0</v>
      </c>
      <c r="DQ52" s="21" t="s">
        <v>2955</v>
      </c>
      <c r="DR52" s="21">
        <v>45370</v>
      </c>
      <c r="DS52" s="21">
        <v>45370</v>
      </c>
      <c r="DT52" s="21">
        <v>45370</v>
      </c>
      <c r="DU52" s="21">
        <v>45370</v>
      </c>
      <c r="DV52" s="21">
        <v>45142</v>
      </c>
      <c r="DW52" s="21">
        <v>45142</v>
      </c>
      <c r="DX52" s="21">
        <v>45142</v>
      </c>
      <c r="DY52" s="21">
        <v>45142</v>
      </c>
      <c r="DZ52" s="21">
        <v>45142</v>
      </c>
      <c r="EA52" s="8">
        <v>540</v>
      </c>
      <c r="EB52" s="8">
        <v>40</v>
      </c>
      <c r="EC52" s="8">
        <v>40</v>
      </c>
      <c r="ED52" s="8">
        <v>40</v>
      </c>
      <c r="EE52" s="8">
        <v>40</v>
      </c>
      <c r="EF52" s="8">
        <v>540</v>
      </c>
      <c r="EG52" s="8">
        <v>1000</v>
      </c>
      <c r="EH52" s="8">
        <v>540</v>
      </c>
      <c r="EI52" s="8">
        <v>540</v>
      </c>
      <c r="EJ52" s="8">
        <v>3</v>
      </c>
      <c r="EK52" s="8" t="s">
        <v>2624</v>
      </c>
      <c r="EL52" s="8">
        <v>71</v>
      </c>
      <c r="EM52" s="8">
        <v>284</v>
      </c>
      <c r="EN52" s="8">
        <v>252</v>
      </c>
      <c r="EO52" s="8">
        <v>-248</v>
      </c>
      <c r="EP52" s="8">
        <v>-248</v>
      </c>
      <c r="EQ52" s="8">
        <v>-248</v>
      </c>
      <c r="ER52" s="8">
        <v>-248</v>
      </c>
      <c r="ES52" s="8">
        <v>252</v>
      </c>
      <c r="ET52" s="8">
        <v>712</v>
      </c>
      <c r="EU52" s="8">
        <v>252</v>
      </c>
      <c r="EV52" s="8">
        <v>252</v>
      </c>
    </row>
    <row r="53" spans="1:152" x14ac:dyDescent="0.15">
      <c r="A53" s="8">
        <f>ROW([2]!tbl_DPSAC[[#This Row],[Sl. No.]])-1</f>
        <v>52</v>
      </c>
      <c r="B53" s="9" t="s">
        <v>136</v>
      </c>
      <c r="C53" s="9" t="s">
        <v>478</v>
      </c>
      <c r="D53" s="9" t="s">
        <v>479</v>
      </c>
      <c r="E53" s="9" t="s">
        <v>139</v>
      </c>
      <c r="F53" s="9" t="s">
        <v>140</v>
      </c>
      <c r="G53" s="10" t="s">
        <v>480</v>
      </c>
      <c r="H53" s="10" t="str">
        <f>_xlfn.XLOOKUP(C53,'[1]E&amp;DPSAC'!$K:$K,'[1]E&amp;DPSAC'!$E:$E,,0)</f>
        <v>CHUTIA, RANCHI</v>
      </c>
      <c r="I53" s="10"/>
      <c r="J53" s="10">
        <v>9939622140</v>
      </c>
      <c r="K53" s="10">
        <f>_xlfn.XLOOKUP(C53,'[1]E&amp;DPSAC'!$K:$K,'[1]E&amp;DPSAC'!$G:$G,"",0)</f>
        <v>9060975013</v>
      </c>
      <c r="L53" s="9" t="str">
        <f t="shared" ca="1" si="0"/>
        <v>Non - Warranty</v>
      </c>
      <c r="M53" s="11">
        <v>44543.742361111101</v>
      </c>
      <c r="N53" s="12">
        <v>36</v>
      </c>
      <c r="O53" s="11">
        <f t="shared" si="1"/>
        <v>45657</v>
      </c>
      <c r="P53" s="8" t="s">
        <v>142</v>
      </c>
      <c r="Q53" s="16" t="s">
        <v>489</v>
      </c>
      <c r="R53" s="15">
        <v>45993.639930555597</v>
      </c>
      <c r="S53" s="14">
        <v>9860</v>
      </c>
      <c r="T53" s="15">
        <v>45848</v>
      </c>
      <c r="U53" s="14">
        <v>9316</v>
      </c>
      <c r="V53" s="14">
        <v>9860</v>
      </c>
      <c r="W53" s="17">
        <v>45993.639930555597</v>
      </c>
      <c r="X53" s="14" t="s">
        <v>2731</v>
      </c>
      <c r="Y53" s="14">
        <v>750</v>
      </c>
      <c r="Z53" s="14" t="s">
        <v>2692</v>
      </c>
      <c r="AA53" s="18">
        <v>119.36006944440305</v>
      </c>
      <c r="AB53" s="18" t="s">
        <v>2692</v>
      </c>
      <c r="AC53" s="8">
        <f>tbl_DPSAC[[#This Row],[Current Month Due Count]]</f>
        <v>0</v>
      </c>
      <c r="AD53" s="8">
        <f>tbl_DPSAC[[#This Row],[Next Month Due2]]</f>
        <v>4</v>
      </c>
      <c r="AE53" s="8">
        <f t="shared" si="2"/>
        <v>0</v>
      </c>
      <c r="AF53" s="8">
        <v>4</v>
      </c>
      <c r="AG53" s="14">
        <f t="shared" ca="1" si="3"/>
        <v>10337</v>
      </c>
      <c r="AH53" s="8" t="s">
        <v>403</v>
      </c>
      <c r="AI53" s="8">
        <v>0</v>
      </c>
      <c r="AJ53" s="8">
        <v>0</v>
      </c>
      <c r="AK53" s="8" t="s">
        <v>481</v>
      </c>
      <c r="AL53" s="8" t="s">
        <v>482</v>
      </c>
      <c r="AM53" s="8" t="s">
        <v>483</v>
      </c>
      <c r="AN53" s="8" t="s">
        <v>484</v>
      </c>
      <c r="AO53" s="8" t="s">
        <v>485</v>
      </c>
      <c r="AP53" s="8" t="s">
        <v>486</v>
      </c>
      <c r="AQ53" s="8" t="s">
        <v>487</v>
      </c>
      <c r="AR53" s="8">
        <v>0</v>
      </c>
      <c r="AS53" s="8">
        <v>0</v>
      </c>
      <c r="AT53" s="8" t="s">
        <v>488</v>
      </c>
      <c r="AU53" s="8">
        <v>0</v>
      </c>
      <c r="AV53" s="8">
        <v>0</v>
      </c>
      <c r="AW53" s="8">
        <v>0</v>
      </c>
      <c r="AX53" s="8" t="s">
        <v>2007</v>
      </c>
      <c r="AY53" s="14">
        <v>9860</v>
      </c>
      <c r="AZ53" s="19">
        <v>45993</v>
      </c>
      <c r="BA53" s="14" t="s">
        <v>489</v>
      </c>
      <c r="BB53" s="14">
        <v>9860</v>
      </c>
      <c r="BC53" s="19">
        <v>45993</v>
      </c>
      <c r="BD53" s="14" t="s">
        <v>489</v>
      </c>
      <c r="BE53" s="14">
        <v>9860</v>
      </c>
      <c r="BF53" s="19">
        <v>45993</v>
      </c>
      <c r="BG53" s="14" t="s">
        <v>489</v>
      </c>
      <c r="BH53" s="14">
        <v>9860</v>
      </c>
      <c r="BI53" s="19">
        <v>45993</v>
      </c>
      <c r="BJ53" s="14" t="s">
        <v>489</v>
      </c>
      <c r="BK53" s="14">
        <v>9860</v>
      </c>
      <c r="BL53" s="19">
        <v>45993</v>
      </c>
      <c r="BM53" s="14" t="s">
        <v>489</v>
      </c>
      <c r="BN53" s="27">
        <v>46173</v>
      </c>
      <c r="BO53" s="27">
        <v>46173</v>
      </c>
      <c r="BP53" s="27">
        <v>46173</v>
      </c>
      <c r="BQ53" s="27">
        <v>46173</v>
      </c>
      <c r="BR53" s="27">
        <v>46358</v>
      </c>
      <c r="BS53" s="28">
        <v>273</v>
      </c>
      <c r="BT53" s="29">
        <v>1023</v>
      </c>
      <c r="BU53" s="29">
        <v>273</v>
      </c>
      <c r="BV53" s="29">
        <v>273</v>
      </c>
      <c r="BW53" s="29">
        <v>1023</v>
      </c>
      <c r="BX53" s="30">
        <v>0</v>
      </c>
      <c r="BY53" s="8">
        <v>0</v>
      </c>
      <c r="BZ53" s="8">
        <v>0</v>
      </c>
      <c r="CA53" s="8">
        <v>4</v>
      </c>
      <c r="CB53" s="21">
        <v>45992.770833333299</v>
      </c>
      <c r="CC53" s="21">
        <v>45992.770833333299</v>
      </c>
      <c r="CD53" s="21">
        <v>45992.770833333299</v>
      </c>
      <c r="CE53" s="21">
        <v>45992.770833333299</v>
      </c>
      <c r="CF53" s="21">
        <v>45992.770833333299</v>
      </c>
      <c r="CG53" s="21">
        <v>45992.770833333299</v>
      </c>
      <c r="CH53" s="21">
        <v>45443.770833333299</v>
      </c>
      <c r="CI53" s="21">
        <v>45443.770833333299</v>
      </c>
      <c r="CJ53" s="21">
        <v>45278.770833333299</v>
      </c>
      <c r="CK53" s="22" t="s">
        <v>2956</v>
      </c>
      <c r="CL53" s="22" t="s">
        <v>2957</v>
      </c>
      <c r="CM53" s="22" t="s">
        <v>2959</v>
      </c>
      <c r="CN53" s="22" t="s">
        <v>3007</v>
      </c>
      <c r="CO53" s="22" t="s">
        <v>2957</v>
      </c>
      <c r="CP53" s="22" t="s">
        <v>2956</v>
      </c>
      <c r="CQ53" s="22" t="s">
        <v>2953</v>
      </c>
      <c r="CR53" s="22" t="s">
        <v>2959</v>
      </c>
      <c r="CS53" s="22" t="s">
        <v>2959</v>
      </c>
      <c r="CT53" s="22">
        <v>8</v>
      </c>
      <c r="CU53" s="21">
        <v>46172</v>
      </c>
      <c r="CV53" s="21">
        <v>46086</v>
      </c>
      <c r="CW53" s="21">
        <v>46055</v>
      </c>
      <c r="CX53" s="21">
        <v>46074</v>
      </c>
      <c r="CY53" s="21">
        <v>46086</v>
      </c>
      <c r="CZ53" s="21">
        <v>46180</v>
      </c>
      <c r="DA53" s="21">
        <v>45808</v>
      </c>
      <c r="DB53" s="21">
        <v>45623</v>
      </c>
      <c r="DC53" s="21">
        <v>45643</v>
      </c>
      <c r="DD53" s="8">
        <v>1</v>
      </c>
      <c r="DE53" s="8">
        <v>1</v>
      </c>
      <c r="DF53" s="8">
        <v>1</v>
      </c>
      <c r="DG53" s="8">
        <v>7</v>
      </c>
      <c r="DH53" s="8">
        <v>0</v>
      </c>
      <c r="DI53" s="8">
        <v>1</v>
      </c>
      <c r="DJ53" s="8" t="s">
        <v>2954</v>
      </c>
      <c r="DK53" s="21">
        <v>44543</v>
      </c>
      <c r="DL53" s="21">
        <v>44469.229166666664</v>
      </c>
      <c r="DM53" s="21">
        <v>45993</v>
      </c>
      <c r="DN53" s="18">
        <v>9860</v>
      </c>
      <c r="DO53" s="21">
        <v>0</v>
      </c>
      <c r="DP53" s="21">
        <v>0</v>
      </c>
      <c r="DQ53" s="21" t="s">
        <v>2955</v>
      </c>
      <c r="DR53" s="21">
        <v>45993</v>
      </c>
      <c r="DS53" s="21">
        <v>45993</v>
      </c>
      <c r="DT53" s="21">
        <v>45993</v>
      </c>
      <c r="DU53" s="21">
        <v>45993</v>
      </c>
      <c r="DV53" s="21">
        <v>45993</v>
      </c>
      <c r="DW53" s="21">
        <v>45993</v>
      </c>
      <c r="DX53" s="21">
        <v>45444</v>
      </c>
      <c r="DY53" s="21">
        <v>45444</v>
      </c>
      <c r="DZ53" s="21">
        <v>45279</v>
      </c>
      <c r="EA53" s="8">
        <v>1500</v>
      </c>
      <c r="EB53" s="8">
        <v>750</v>
      </c>
      <c r="EC53" s="8">
        <v>500</v>
      </c>
      <c r="ED53" s="8">
        <v>650</v>
      </c>
      <c r="EE53" s="8">
        <v>750</v>
      </c>
      <c r="EF53" s="8">
        <v>1500</v>
      </c>
      <c r="EG53" s="8">
        <v>1000</v>
      </c>
      <c r="EH53" s="8">
        <v>500</v>
      </c>
      <c r="EI53" s="8">
        <v>500</v>
      </c>
      <c r="EJ53" s="8">
        <v>8</v>
      </c>
      <c r="EK53" s="8" t="s">
        <v>2624</v>
      </c>
      <c r="EL53" s="8">
        <v>119</v>
      </c>
      <c r="EM53" s="8">
        <v>476</v>
      </c>
      <c r="EN53" s="8">
        <v>1212</v>
      </c>
      <c r="EO53" s="8">
        <v>462</v>
      </c>
      <c r="EP53" s="8">
        <v>212</v>
      </c>
      <c r="EQ53" s="8">
        <v>362</v>
      </c>
      <c r="ER53" s="8">
        <v>462</v>
      </c>
      <c r="ES53" s="8">
        <v>1212</v>
      </c>
      <c r="ET53" s="8">
        <v>712</v>
      </c>
      <c r="EU53" s="8">
        <v>212</v>
      </c>
      <c r="EV53" s="8">
        <v>212</v>
      </c>
    </row>
    <row r="54" spans="1:152" x14ac:dyDescent="0.15">
      <c r="A54" s="8">
        <f>ROW([2]!tbl_DPSAC[[#This Row],[Sl. No.]])-1</f>
        <v>53</v>
      </c>
      <c r="B54" s="9" t="s">
        <v>196</v>
      </c>
      <c r="C54" s="9" t="s">
        <v>490</v>
      </c>
      <c r="D54" s="9" t="s">
        <v>491</v>
      </c>
      <c r="E54" s="9" t="s">
        <v>199</v>
      </c>
      <c r="F54" s="9" t="s">
        <v>161</v>
      </c>
      <c r="G54" s="10" t="s">
        <v>492</v>
      </c>
      <c r="H54" s="10" t="str">
        <f>_xlfn.XLOOKUP(C54,'[1]E&amp;DPSAC'!$K:$K,'[1]E&amp;DPSAC'!$E:$E,,0)</f>
        <v xml:space="preserve">Post Office Bihpur, District Bhagalpur, Job No 1332-Kosi Bridge Project, Bihar-853201
</v>
      </c>
      <c r="I54" s="10" t="s">
        <v>493</v>
      </c>
      <c r="J54" s="10">
        <v>9617831594</v>
      </c>
      <c r="K54" s="10">
        <f>_xlfn.XLOOKUP(C54,'[1]E&amp;DPSAC'!$K:$K,'[1]E&amp;DPSAC'!$G:$G,"",0)</f>
        <v>9617831594</v>
      </c>
      <c r="L54" s="9" t="str">
        <f t="shared" ca="1" si="0"/>
        <v>Non - Warranty</v>
      </c>
      <c r="M54" s="11">
        <v>44560</v>
      </c>
      <c r="N54" s="12">
        <v>24</v>
      </c>
      <c r="O54" s="11">
        <f t="shared" si="1"/>
        <v>45291</v>
      </c>
      <c r="P54" s="8" t="s">
        <v>142</v>
      </c>
      <c r="Q54" s="16" t="s">
        <v>143</v>
      </c>
      <c r="R54" s="15" t="s">
        <v>143</v>
      </c>
      <c r="S54" s="14" t="s">
        <v>143</v>
      </c>
      <c r="T54" s="15">
        <v>44560</v>
      </c>
      <c r="U54" s="14">
        <v>1</v>
      </c>
      <c r="V54" s="14">
        <v>1416</v>
      </c>
      <c r="W54" s="17">
        <v>45327.584930555597</v>
      </c>
      <c r="X54" s="14" t="s">
        <v>143</v>
      </c>
      <c r="Y54" s="14">
        <v>0</v>
      </c>
      <c r="Z54" s="14" t="s">
        <v>2692</v>
      </c>
      <c r="AA54" s="18">
        <v>1553</v>
      </c>
      <c r="AB54" s="18" t="s">
        <v>2697</v>
      </c>
      <c r="AC54" s="8">
        <f>tbl_DPSAC[[#This Row],[Current Month Due Count]]</f>
        <v>0</v>
      </c>
      <c r="AD54" s="8">
        <f>tbl_DPSAC[[#This Row],[Next Month Due2]]</f>
        <v>0</v>
      </c>
      <c r="AE54" s="8">
        <f t="shared" si="2"/>
        <v>1</v>
      </c>
      <c r="AF54" s="8">
        <v>2</v>
      </c>
      <c r="AG54" s="14">
        <f t="shared" ca="1" si="3"/>
        <v>2987</v>
      </c>
      <c r="AH54" s="8">
        <v>0</v>
      </c>
      <c r="AI54" s="8">
        <v>0</v>
      </c>
      <c r="AJ54" s="8">
        <v>0</v>
      </c>
      <c r="AK54" s="8">
        <v>0</v>
      </c>
      <c r="AL54" s="8">
        <v>0</v>
      </c>
      <c r="AM54" s="8">
        <v>0</v>
      </c>
      <c r="AN54" s="8">
        <v>0</v>
      </c>
      <c r="AO54" s="8">
        <v>0</v>
      </c>
      <c r="AP54" s="8">
        <v>0</v>
      </c>
      <c r="AQ54" s="8">
        <v>0</v>
      </c>
      <c r="AR54" s="8">
        <v>0</v>
      </c>
      <c r="AS54" s="8">
        <v>0</v>
      </c>
      <c r="AT54" s="8">
        <v>0</v>
      </c>
      <c r="AU54" s="8">
        <v>0</v>
      </c>
      <c r="AV54" s="8" t="s">
        <v>288</v>
      </c>
      <c r="AW54" s="8">
        <v>0</v>
      </c>
      <c r="AX54" s="8" t="s">
        <v>2961</v>
      </c>
      <c r="AY54" s="14">
        <v>1</v>
      </c>
      <c r="AZ54" s="19">
        <v>44560</v>
      </c>
      <c r="BA54" s="14" t="s">
        <v>494</v>
      </c>
      <c r="BB54" s="14">
        <v>1</v>
      </c>
      <c r="BC54" s="19">
        <v>44560</v>
      </c>
      <c r="BD54" s="14" t="s">
        <v>494</v>
      </c>
      <c r="BE54" s="14">
        <v>1</v>
      </c>
      <c r="BF54" s="19">
        <v>44560</v>
      </c>
      <c r="BG54" s="14" t="s">
        <v>494</v>
      </c>
      <c r="BH54" s="14">
        <v>1</v>
      </c>
      <c r="BI54" s="19">
        <v>44560</v>
      </c>
      <c r="BJ54" s="14" t="s">
        <v>494</v>
      </c>
      <c r="BK54" s="14">
        <v>1</v>
      </c>
      <c r="BL54" s="19">
        <v>44560</v>
      </c>
      <c r="BM54" s="14" t="s">
        <v>494</v>
      </c>
      <c r="BN54" s="27">
        <v>44740</v>
      </c>
      <c r="BO54" s="27">
        <v>44740</v>
      </c>
      <c r="BP54" s="27">
        <v>44740</v>
      </c>
      <c r="BQ54" s="27">
        <v>44740</v>
      </c>
      <c r="BR54" s="27">
        <v>44925</v>
      </c>
      <c r="BS54" s="28">
        <v>-2236</v>
      </c>
      <c r="BT54" s="29">
        <v>-1486</v>
      </c>
      <c r="BU54" s="29">
        <v>-2236</v>
      </c>
      <c r="BV54" s="29">
        <v>-2236</v>
      </c>
      <c r="BW54" s="29">
        <v>-1486</v>
      </c>
      <c r="BX54" s="30" t="s">
        <v>395</v>
      </c>
      <c r="BY54" s="8">
        <v>5</v>
      </c>
      <c r="BZ54" s="8">
        <v>0</v>
      </c>
      <c r="CA54" s="8">
        <v>0</v>
      </c>
      <c r="CB54" s="21">
        <v>0</v>
      </c>
      <c r="CC54" s="21">
        <v>0</v>
      </c>
      <c r="CD54" s="21">
        <v>0</v>
      </c>
      <c r="CE54" s="21">
        <v>0</v>
      </c>
      <c r="CF54" s="21">
        <v>0</v>
      </c>
      <c r="CG54" s="21">
        <v>0</v>
      </c>
      <c r="CH54" s="21">
        <v>0</v>
      </c>
      <c r="CI54" s="21">
        <v>0</v>
      </c>
      <c r="CJ54" s="21">
        <v>0</v>
      </c>
      <c r="CK54" s="22" t="s">
        <v>3008</v>
      </c>
      <c r="CL54" s="22" t="s">
        <v>3008</v>
      </c>
      <c r="CM54" s="22" t="s">
        <v>3008</v>
      </c>
      <c r="CN54" s="22" t="s">
        <v>3008</v>
      </c>
      <c r="CO54" s="22" t="s">
        <v>3008</v>
      </c>
      <c r="CP54" s="22" t="s">
        <v>3008</v>
      </c>
      <c r="CQ54" s="22" t="s">
        <v>3008</v>
      </c>
      <c r="CR54" s="22" t="s">
        <v>3008</v>
      </c>
      <c r="CS54" s="22" t="s">
        <v>3008</v>
      </c>
      <c r="CT54" s="22">
        <v>4</v>
      </c>
      <c r="CU54" s="21">
        <v>45398</v>
      </c>
      <c r="CV54" s="21">
        <v>45398</v>
      </c>
      <c r="CW54" s="21">
        <v>45398</v>
      </c>
      <c r="CX54" s="21">
        <v>45398</v>
      </c>
      <c r="CY54" s="21">
        <v>45398</v>
      </c>
      <c r="CZ54" s="21">
        <v>45398</v>
      </c>
      <c r="DA54" s="21">
        <v>45355</v>
      </c>
      <c r="DB54" s="21">
        <v>45397</v>
      </c>
      <c r="DC54" s="21">
        <v>45398</v>
      </c>
      <c r="DD54" s="8">
        <v>1</v>
      </c>
      <c r="DE54" s="8">
        <v>0</v>
      </c>
      <c r="DF54" s="8">
        <v>0</v>
      </c>
      <c r="DG54" s="8">
        <v>9</v>
      </c>
      <c r="DH54" s="8">
        <v>0</v>
      </c>
      <c r="DI54" s="8">
        <v>0</v>
      </c>
      <c r="DJ54" s="8" t="s">
        <v>2954</v>
      </c>
      <c r="DK54" s="21">
        <v>44560</v>
      </c>
      <c r="DL54" s="21">
        <v>44538.229166666664</v>
      </c>
      <c r="DM54" s="21">
        <v>45327</v>
      </c>
      <c r="DN54" s="18">
        <v>1416</v>
      </c>
      <c r="DO54" s="21">
        <v>0</v>
      </c>
      <c r="DP54" s="21">
        <v>0</v>
      </c>
      <c r="DQ54" s="21">
        <v>0</v>
      </c>
      <c r="DR54" s="21">
        <v>0</v>
      </c>
      <c r="DS54" s="21">
        <v>0</v>
      </c>
      <c r="DT54" s="21">
        <v>0</v>
      </c>
      <c r="DU54" s="21">
        <v>0</v>
      </c>
      <c r="DV54" s="21">
        <v>0</v>
      </c>
      <c r="DW54" s="21">
        <v>0</v>
      </c>
      <c r="DX54" s="21">
        <v>0</v>
      </c>
      <c r="DY54" s="21">
        <v>0</v>
      </c>
      <c r="DZ54" s="21">
        <v>0</v>
      </c>
      <c r="EA54" s="8">
        <v>285</v>
      </c>
      <c r="EB54" s="8">
        <v>285</v>
      </c>
      <c r="EC54" s="8">
        <v>285</v>
      </c>
      <c r="ED54" s="8">
        <v>285</v>
      </c>
      <c r="EE54" s="8">
        <v>285</v>
      </c>
      <c r="EF54" s="8">
        <v>285</v>
      </c>
      <c r="EG54" s="8">
        <v>285</v>
      </c>
      <c r="EH54" s="8">
        <v>285</v>
      </c>
      <c r="EI54" s="8">
        <v>285</v>
      </c>
      <c r="EJ54" s="8">
        <v>4</v>
      </c>
      <c r="EK54" s="8" t="s">
        <v>2624</v>
      </c>
      <c r="EL54" s="8">
        <v>785</v>
      </c>
      <c r="EM54" s="8">
        <v>1570</v>
      </c>
      <c r="EN54" s="8">
        <v>-3</v>
      </c>
      <c r="EO54" s="8">
        <v>-3</v>
      </c>
      <c r="EP54" s="8">
        <v>-3</v>
      </c>
      <c r="EQ54" s="8">
        <v>-3</v>
      </c>
      <c r="ER54" s="8">
        <v>-3</v>
      </c>
      <c r="ES54" s="8">
        <v>-3</v>
      </c>
      <c r="ET54" s="8">
        <v>-3</v>
      </c>
      <c r="EU54" s="8">
        <v>-3</v>
      </c>
      <c r="EV54" s="8">
        <v>-3</v>
      </c>
    </row>
    <row r="55" spans="1:152" x14ac:dyDescent="0.15">
      <c r="A55" s="8">
        <f>ROW([2]!tbl_DPSAC[[#This Row],[Sl. No.]])-1</f>
        <v>54</v>
      </c>
      <c r="B55" s="9" t="s">
        <v>196</v>
      </c>
      <c r="C55" s="9" t="s">
        <v>495</v>
      </c>
      <c r="D55" s="9" t="s">
        <v>491</v>
      </c>
      <c r="E55" s="9" t="s">
        <v>199</v>
      </c>
      <c r="F55" s="9" t="s">
        <v>161</v>
      </c>
      <c r="G55" s="10" t="s">
        <v>492</v>
      </c>
      <c r="H55" s="10" t="str">
        <f>_xlfn.XLOOKUP(C55,'[1]E&amp;DPSAC'!$K:$K,'[1]E&amp;DPSAC'!$E:$E,,0)</f>
        <v xml:space="preserve">Post Office Bihpur, District Bhagalpur, Job No 1332-Kosi Bridge Project, Bihar-853201
</v>
      </c>
      <c r="I55" s="10" t="s">
        <v>493</v>
      </c>
      <c r="J55" s="10">
        <v>9617831594</v>
      </c>
      <c r="K55" s="10">
        <f>_xlfn.XLOOKUP(C55,'[1]E&amp;DPSAC'!$K:$K,'[1]E&amp;DPSAC'!$G:$G,"",0)</f>
        <v>9617831594</v>
      </c>
      <c r="L55" s="9" t="str">
        <f t="shared" ca="1" si="0"/>
        <v>Non - Warranty</v>
      </c>
      <c r="M55" s="11">
        <v>44560</v>
      </c>
      <c r="N55" s="12">
        <v>24</v>
      </c>
      <c r="O55" s="11">
        <f t="shared" si="1"/>
        <v>45291</v>
      </c>
      <c r="P55" s="8" t="s">
        <v>142</v>
      </c>
      <c r="Q55" s="16" t="s">
        <v>143</v>
      </c>
      <c r="R55" s="15" t="s">
        <v>143</v>
      </c>
      <c r="S55" s="14" t="s">
        <v>143</v>
      </c>
      <c r="T55" s="15">
        <v>44560</v>
      </c>
      <c r="U55" s="14">
        <v>1</v>
      </c>
      <c r="V55" s="14">
        <v>1336</v>
      </c>
      <c r="W55" s="17">
        <v>45327.587037037003</v>
      </c>
      <c r="X55" s="14" t="s">
        <v>143</v>
      </c>
      <c r="Y55" s="14">
        <v>0</v>
      </c>
      <c r="Z55" s="14" t="s">
        <v>2692</v>
      </c>
      <c r="AA55" s="18">
        <v>1553</v>
      </c>
      <c r="AB55" s="18" t="s">
        <v>2697</v>
      </c>
      <c r="AC55" s="8">
        <f>tbl_DPSAC[[#This Row],[Current Month Due Count]]</f>
        <v>0</v>
      </c>
      <c r="AD55" s="8">
        <f>tbl_DPSAC[[#This Row],[Next Month Due2]]</f>
        <v>0</v>
      </c>
      <c r="AE55" s="8">
        <f t="shared" si="2"/>
        <v>1</v>
      </c>
      <c r="AF55" s="8">
        <v>0</v>
      </c>
      <c r="AG55" s="14">
        <f t="shared" ca="1" si="3"/>
        <v>1336</v>
      </c>
      <c r="AH55" s="8">
        <v>0</v>
      </c>
      <c r="AI55" s="8">
        <v>0</v>
      </c>
      <c r="AJ55" s="8">
        <v>0</v>
      </c>
      <c r="AK55" s="8">
        <v>0</v>
      </c>
      <c r="AL55" s="8">
        <v>0</v>
      </c>
      <c r="AM55" s="8">
        <v>0</v>
      </c>
      <c r="AN55" s="8">
        <v>0</v>
      </c>
      <c r="AO55" s="8">
        <v>0</v>
      </c>
      <c r="AP55" s="8">
        <v>0</v>
      </c>
      <c r="AQ55" s="8">
        <v>0</v>
      </c>
      <c r="AR55" s="8">
        <v>0</v>
      </c>
      <c r="AS55" s="8">
        <v>0</v>
      </c>
      <c r="AT55" s="8">
        <v>0</v>
      </c>
      <c r="AU55" s="8">
        <v>0</v>
      </c>
      <c r="AV55" s="8" t="s">
        <v>288</v>
      </c>
      <c r="AW55" s="8">
        <v>0</v>
      </c>
      <c r="AX55" s="8" t="s">
        <v>2980</v>
      </c>
      <c r="AY55" s="14">
        <v>1</v>
      </c>
      <c r="AZ55" s="19">
        <v>44560</v>
      </c>
      <c r="BA55" s="14" t="s">
        <v>496</v>
      </c>
      <c r="BB55" s="14">
        <v>1</v>
      </c>
      <c r="BC55" s="19">
        <v>44560</v>
      </c>
      <c r="BD55" s="14" t="s">
        <v>496</v>
      </c>
      <c r="BE55" s="14">
        <v>1</v>
      </c>
      <c r="BF55" s="19">
        <v>44560</v>
      </c>
      <c r="BG55" s="14" t="s">
        <v>496</v>
      </c>
      <c r="BH55" s="14">
        <v>1</v>
      </c>
      <c r="BI55" s="19">
        <v>44560</v>
      </c>
      <c r="BJ55" s="14" t="s">
        <v>496</v>
      </c>
      <c r="BK55" s="14">
        <v>1</v>
      </c>
      <c r="BL55" s="19">
        <v>44560</v>
      </c>
      <c r="BM55" s="14" t="s">
        <v>496</v>
      </c>
      <c r="BN55" s="27">
        <v>44740</v>
      </c>
      <c r="BO55" s="27">
        <v>44740</v>
      </c>
      <c r="BP55" s="27">
        <v>44740</v>
      </c>
      <c r="BQ55" s="27">
        <v>44740</v>
      </c>
      <c r="BR55" s="27">
        <v>44925</v>
      </c>
      <c r="BS55" s="28">
        <v>-585</v>
      </c>
      <c r="BT55" s="29">
        <v>165</v>
      </c>
      <c r="BU55" s="29">
        <v>-585</v>
      </c>
      <c r="BV55" s="29">
        <v>-585</v>
      </c>
      <c r="BW55" s="29">
        <v>165</v>
      </c>
      <c r="BX55" s="30" t="s">
        <v>395</v>
      </c>
      <c r="BY55" s="8">
        <v>5</v>
      </c>
      <c r="BZ55" s="8">
        <v>0</v>
      </c>
      <c r="CA55" s="8">
        <v>0</v>
      </c>
      <c r="CB55" s="21">
        <v>0</v>
      </c>
      <c r="CC55" s="21">
        <v>0</v>
      </c>
      <c r="CD55" s="21">
        <v>0</v>
      </c>
      <c r="CE55" s="21">
        <v>0</v>
      </c>
      <c r="CF55" s="21">
        <v>0</v>
      </c>
      <c r="CG55" s="21">
        <v>0</v>
      </c>
      <c r="CH55" s="21">
        <v>0</v>
      </c>
      <c r="CI55" s="21">
        <v>0</v>
      </c>
      <c r="CJ55" s="21">
        <v>0</v>
      </c>
      <c r="CK55" s="22" t="s">
        <v>3009</v>
      </c>
      <c r="CL55" s="22" t="s">
        <v>3009</v>
      </c>
      <c r="CM55" s="22" t="s">
        <v>3009</v>
      </c>
      <c r="CN55" s="22" t="s">
        <v>3009</v>
      </c>
      <c r="CO55" s="22" t="s">
        <v>3009</v>
      </c>
      <c r="CP55" s="22" t="s">
        <v>3009</v>
      </c>
      <c r="CQ55" s="22" t="s">
        <v>3009</v>
      </c>
      <c r="CR55" s="22" t="s">
        <v>3009</v>
      </c>
      <c r="CS55" s="22" t="s">
        <v>3009</v>
      </c>
      <c r="CT55" s="22">
        <v>5</v>
      </c>
      <c r="CU55" s="21">
        <v>45360</v>
      </c>
      <c r="CV55" s="21">
        <v>45360</v>
      </c>
      <c r="CW55" s="21">
        <v>45360</v>
      </c>
      <c r="CX55" s="21">
        <v>45360</v>
      </c>
      <c r="CY55" s="21">
        <v>45360</v>
      </c>
      <c r="CZ55" s="21">
        <v>45360</v>
      </c>
      <c r="DA55" s="21">
        <v>45344</v>
      </c>
      <c r="DB55" s="21">
        <v>45360</v>
      </c>
      <c r="DC55" s="21">
        <v>45360</v>
      </c>
      <c r="DD55" s="8">
        <v>1</v>
      </c>
      <c r="DE55" s="8">
        <v>0</v>
      </c>
      <c r="DF55" s="8">
        <v>0</v>
      </c>
      <c r="DG55" s="8">
        <v>9</v>
      </c>
      <c r="DH55" s="8">
        <v>0</v>
      </c>
      <c r="DI55" s="8">
        <v>0</v>
      </c>
      <c r="DJ55" s="8" t="s">
        <v>2954</v>
      </c>
      <c r="DK55" s="21">
        <v>44560</v>
      </c>
      <c r="DL55" s="21">
        <v>44538.229166666664</v>
      </c>
      <c r="DM55" s="21">
        <v>45327</v>
      </c>
      <c r="DN55" s="18">
        <v>1336</v>
      </c>
      <c r="DO55" s="21">
        <v>0</v>
      </c>
      <c r="DP55" s="21">
        <v>0</v>
      </c>
      <c r="DQ55" s="21">
        <v>0</v>
      </c>
      <c r="DR55" s="21">
        <v>0</v>
      </c>
      <c r="DS55" s="21">
        <v>0</v>
      </c>
      <c r="DT55" s="21">
        <v>0</v>
      </c>
      <c r="DU55" s="21">
        <v>0</v>
      </c>
      <c r="DV55" s="21">
        <v>0</v>
      </c>
      <c r="DW55" s="21">
        <v>0</v>
      </c>
      <c r="DX55" s="21">
        <v>0</v>
      </c>
      <c r="DY55" s="21">
        <v>0</v>
      </c>
      <c r="DZ55" s="21">
        <v>0</v>
      </c>
      <c r="EA55" s="8">
        <v>165</v>
      </c>
      <c r="EB55" s="8">
        <v>165</v>
      </c>
      <c r="EC55" s="8">
        <v>165</v>
      </c>
      <c r="ED55" s="8">
        <v>165</v>
      </c>
      <c r="EE55" s="8">
        <v>165</v>
      </c>
      <c r="EF55" s="8">
        <v>165</v>
      </c>
      <c r="EG55" s="8">
        <v>165</v>
      </c>
      <c r="EH55" s="8">
        <v>165</v>
      </c>
      <c r="EI55" s="8">
        <v>165</v>
      </c>
      <c r="EJ55" s="8">
        <v>5</v>
      </c>
      <c r="EK55" s="8" t="s">
        <v>2624</v>
      </c>
      <c r="EL55" s="8">
        <v>785</v>
      </c>
      <c r="EM55" s="8">
        <v>0</v>
      </c>
      <c r="EN55" s="8">
        <v>-123</v>
      </c>
      <c r="EO55" s="8">
        <v>-123</v>
      </c>
      <c r="EP55" s="8">
        <v>-123</v>
      </c>
      <c r="EQ55" s="8">
        <v>-123</v>
      </c>
      <c r="ER55" s="8">
        <v>-123</v>
      </c>
      <c r="ES55" s="8">
        <v>-123</v>
      </c>
      <c r="ET55" s="8">
        <v>-123</v>
      </c>
      <c r="EU55" s="8">
        <v>-123</v>
      </c>
      <c r="EV55" s="8">
        <v>-123</v>
      </c>
    </row>
    <row r="56" spans="1:152" x14ac:dyDescent="0.15">
      <c r="A56" s="8">
        <f>ROW([2]!tbl_DPSAC[[#This Row],[Sl. No.]])-1</f>
        <v>55</v>
      </c>
      <c r="B56" s="9" t="s">
        <v>136</v>
      </c>
      <c r="C56" s="9" t="s">
        <v>497</v>
      </c>
      <c r="D56" s="9" t="s">
        <v>498</v>
      </c>
      <c r="E56" s="9" t="s">
        <v>176</v>
      </c>
      <c r="F56" s="9" t="s">
        <v>161</v>
      </c>
      <c r="G56" s="10" t="s">
        <v>499</v>
      </c>
      <c r="H56" s="10" t="str">
        <f>_xlfn.XLOOKUP(C56,'[1]E&amp;DPSAC'!$K:$K,'[1]E&amp;DPSAC'!$E:$E,,0)</f>
        <v>KHAKHSA PAHAR, PAKURIYA, PAKUR</v>
      </c>
      <c r="I56" s="10"/>
      <c r="J56" s="10">
        <v>8789667246</v>
      </c>
      <c r="K56" s="10">
        <f>_xlfn.XLOOKUP(C56,'[1]E&amp;DPSAC'!$K:$K,'[1]E&amp;DPSAC'!$G:$G,"",0)</f>
        <v>8789667246</v>
      </c>
      <c r="L56" s="9" t="str">
        <f t="shared" ca="1" si="0"/>
        <v>Non - Warranty</v>
      </c>
      <c r="M56" s="11">
        <v>44550</v>
      </c>
      <c r="N56" s="12">
        <v>24</v>
      </c>
      <c r="O56" s="11">
        <f t="shared" si="1"/>
        <v>45291</v>
      </c>
      <c r="P56" s="8" t="s">
        <v>142</v>
      </c>
      <c r="Q56" s="16" t="s">
        <v>507</v>
      </c>
      <c r="R56" s="15">
        <v>45245.495162036997</v>
      </c>
      <c r="S56" s="14">
        <v>5388</v>
      </c>
      <c r="T56" s="15">
        <v>45662</v>
      </c>
      <c r="U56" s="14">
        <v>8700</v>
      </c>
      <c r="V56" s="14">
        <v>10030</v>
      </c>
      <c r="W56" s="17">
        <v>45962.634722222225</v>
      </c>
      <c r="X56" s="14" t="s">
        <v>2732</v>
      </c>
      <c r="Y56" s="14">
        <v>-3892</v>
      </c>
      <c r="Z56" s="14" t="s">
        <v>2697</v>
      </c>
      <c r="AA56" s="18">
        <v>867.5048379630025</v>
      </c>
      <c r="AB56" s="18" t="s">
        <v>2697</v>
      </c>
      <c r="AC56" s="8">
        <f>tbl_DPSAC[[#This Row],[Current Month Due Count]]</f>
        <v>0</v>
      </c>
      <c r="AD56" s="8">
        <f>tbl_DPSAC[[#This Row],[Next Month Due2]]</f>
        <v>0</v>
      </c>
      <c r="AE56" s="8">
        <f t="shared" si="2"/>
        <v>1</v>
      </c>
      <c r="AF56" s="8">
        <v>2</v>
      </c>
      <c r="AG56" s="14">
        <f t="shared" ca="1" si="3"/>
        <v>10331</v>
      </c>
      <c r="AH56" s="8" t="s">
        <v>500</v>
      </c>
      <c r="AI56" s="8" t="s">
        <v>501</v>
      </c>
      <c r="AJ56" s="8" t="s">
        <v>502</v>
      </c>
      <c r="AK56" s="8" t="s">
        <v>503</v>
      </c>
      <c r="AL56" s="8">
        <v>0</v>
      </c>
      <c r="AM56" s="8">
        <v>0</v>
      </c>
      <c r="AN56" s="8" t="s">
        <v>504</v>
      </c>
      <c r="AO56" s="8">
        <v>0</v>
      </c>
      <c r="AP56" s="8" t="s">
        <v>505</v>
      </c>
      <c r="AQ56" s="8">
        <v>0</v>
      </c>
      <c r="AR56" s="8" t="s">
        <v>506</v>
      </c>
      <c r="AS56" s="8">
        <v>0</v>
      </c>
      <c r="AT56" s="8">
        <v>0</v>
      </c>
      <c r="AU56" s="8">
        <v>0</v>
      </c>
      <c r="AV56" s="8">
        <v>0</v>
      </c>
      <c r="AW56" s="8">
        <v>0</v>
      </c>
      <c r="AX56" s="8" t="s">
        <v>2961</v>
      </c>
      <c r="AY56" s="14">
        <v>5388</v>
      </c>
      <c r="AZ56" s="19">
        <v>45245</v>
      </c>
      <c r="BA56" s="14" t="s">
        <v>507</v>
      </c>
      <c r="BB56" s="14">
        <v>5388</v>
      </c>
      <c r="BC56" s="19">
        <v>45245</v>
      </c>
      <c r="BD56" s="14" t="s">
        <v>507</v>
      </c>
      <c r="BE56" s="14">
        <v>5388</v>
      </c>
      <c r="BF56" s="19">
        <v>45245</v>
      </c>
      <c r="BG56" s="14" t="s">
        <v>507</v>
      </c>
      <c r="BH56" s="14">
        <v>5388</v>
      </c>
      <c r="BI56" s="19">
        <v>45245</v>
      </c>
      <c r="BJ56" s="14" t="s">
        <v>507</v>
      </c>
      <c r="BK56" s="14">
        <v>5388</v>
      </c>
      <c r="BL56" s="19">
        <v>45245</v>
      </c>
      <c r="BM56" s="14" t="s">
        <v>507</v>
      </c>
      <c r="BN56" s="27">
        <v>45425</v>
      </c>
      <c r="BO56" s="27">
        <v>45425</v>
      </c>
      <c r="BP56" s="27">
        <v>45425</v>
      </c>
      <c r="BQ56" s="27">
        <v>45425</v>
      </c>
      <c r="BR56" s="27">
        <v>45610</v>
      </c>
      <c r="BS56" s="28">
        <v>-4193</v>
      </c>
      <c r="BT56" s="29">
        <v>-3443</v>
      </c>
      <c r="BU56" s="29">
        <v>-4193</v>
      </c>
      <c r="BV56" s="29">
        <v>-4193</v>
      </c>
      <c r="BW56" s="29">
        <v>-3443</v>
      </c>
      <c r="BX56" s="30">
        <v>0</v>
      </c>
      <c r="BY56" s="8">
        <v>5</v>
      </c>
      <c r="BZ56" s="8">
        <v>0</v>
      </c>
      <c r="CA56" s="8">
        <v>0</v>
      </c>
      <c r="CB56" s="21">
        <v>45244.770833333299</v>
      </c>
      <c r="CC56" s="21">
        <v>45244.770833333299</v>
      </c>
      <c r="CD56" s="21">
        <v>45244.770833333299</v>
      </c>
      <c r="CE56" s="21">
        <v>45244.770833333299</v>
      </c>
      <c r="CF56" s="21">
        <v>45244.770833333299</v>
      </c>
      <c r="CG56" s="21">
        <v>45244.770833333299</v>
      </c>
      <c r="CH56" s="21">
        <v>45244.770833333299</v>
      </c>
      <c r="CI56" s="21">
        <v>45244.770833333299</v>
      </c>
      <c r="CJ56" s="21">
        <v>45244.770833333299</v>
      </c>
      <c r="CK56" s="22" t="s">
        <v>3010</v>
      </c>
      <c r="CL56" s="22" t="s">
        <v>3010</v>
      </c>
      <c r="CM56" s="22" t="s">
        <v>3010</v>
      </c>
      <c r="CN56" s="22" t="s">
        <v>3010</v>
      </c>
      <c r="CO56" s="22" t="s">
        <v>3010</v>
      </c>
      <c r="CP56" s="22" t="s">
        <v>3010</v>
      </c>
      <c r="CQ56" s="22" t="s">
        <v>2953</v>
      </c>
      <c r="CR56" s="22" t="s">
        <v>3010</v>
      </c>
      <c r="CS56" s="22" t="s">
        <v>3010</v>
      </c>
      <c r="CT56" s="22">
        <v>2</v>
      </c>
      <c r="CU56" s="21">
        <v>45424</v>
      </c>
      <c r="CV56" s="21">
        <v>45424</v>
      </c>
      <c r="CW56" s="21">
        <v>45424</v>
      </c>
      <c r="CX56" s="21">
        <v>45424</v>
      </c>
      <c r="CY56" s="21">
        <v>45424</v>
      </c>
      <c r="CZ56" s="21">
        <v>45514</v>
      </c>
      <c r="DA56" s="21">
        <v>45609</v>
      </c>
      <c r="DB56" s="21">
        <v>45424</v>
      </c>
      <c r="DC56" s="21">
        <v>45609</v>
      </c>
      <c r="DD56" s="8">
        <v>1</v>
      </c>
      <c r="DE56" s="8">
        <v>0</v>
      </c>
      <c r="DF56" s="8">
        <v>0</v>
      </c>
      <c r="DG56" s="8">
        <v>9</v>
      </c>
      <c r="DH56" s="8">
        <v>0</v>
      </c>
      <c r="DI56" s="8">
        <v>0</v>
      </c>
      <c r="DJ56" s="8" t="s">
        <v>2954</v>
      </c>
      <c r="DK56" s="21">
        <v>44550</v>
      </c>
      <c r="DL56" s="21">
        <v>44475.229166666664</v>
      </c>
      <c r="DM56" s="21">
        <v>45962</v>
      </c>
      <c r="DN56" s="18">
        <v>10030</v>
      </c>
      <c r="DO56" s="21">
        <v>0</v>
      </c>
      <c r="DP56" s="21">
        <v>0</v>
      </c>
      <c r="DQ56" s="21" t="s">
        <v>2955</v>
      </c>
      <c r="DR56" s="21">
        <v>45245</v>
      </c>
      <c r="DS56" s="21">
        <v>45245</v>
      </c>
      <c r="DT56" s="21">
        <v>45245</v>
      </c>
      <c r="DU56" s="21">
        <v>45245</v>
      </c>
      <c r="DV56" s="21">
        <v>45245</v>
      </c>
      <c r="DW56" s="21">
        <v>45245</v>
      </c>
      <c r="DX56" s="21">
        <v>45245</v>
      </c>
      <c r="DY56" s="21">
        <v>45245</v>
      </c>
      <c r="DZ56" s="21">
        <v>45245</v>
      </c>
      <c r="EA56" s="8">
        <v>90</v>
      </c>
      <c r="EB56" s="8">
        <v>90</v>
      </c>
      <c r="EC56" s="8">
        <v>90</v>
      </c>
      <c r="ED56" s="8">
        <v>90</v>
      </c>
      <c r="EE56" s="8">
        <v>90</v>
      </c>
      <c r="EF56" s="8">
        <v>90</v>
      </c>
      <c r="EG56" s="8">
        <v>1000</v>
      </c>
      <c r="EH56" s="8">
        <v>90</v>
      </c>
      <c r="EI56" s="8">
        <v>90</v>
      </c>
      <c r="EJ56" s="8">
        <v>2</v>
      </c>
      <c r="EK56" s="8" t="s">
        <v>2624</v>
      </c>
      <c r="EL56" s="8">
        <v>150</v>
      </c>
      <c r="EM56" s="8">
        <v>300</v>
      </c>
      <c r="EN56" s="8">
        <v>-198</v>
      </c>
      <c r="EO56" s="8">
        <v>-198</v>
      </c>
      <c r="EP56" s="8">
        <v>-198</v>
      </c>
      <c r="EQ56" s="8">
        <v>-198</v>
      </c>
      <c r="ER56" s="8">
        <v>-198</v>
      </c>
      <c r="ES56" s="8">
        <v>-198</v>
      </c>
      <c r="ET56" s="8">
        <v>712</v>
      </c>
      <c r="EU56" s="8">
        <v>-198</v>
      </c>
      <c r="EV56" s="8">
        <v>-198</v>
      </c>
    </row>
    <row r="57" spans="1:152" x14ac:dyDescent="0.15">
      <c r="A57" s="8">
        <f>ROW([2]!tbl_DPSAC[[#This Row],[Sl. No.]])-1</f>
        <v>56</v>
      </c>
      <c r="B57" s="9" t="s">
        <v>196</v>
      </c>
      <c r="C57" s="9" t="s">
        <v>508</v>
      </c>
      <c r="D57" s="9" t="s">
        <v>491</v>
      </c>
      <c r="E57" s="9" t="s">
        <v>199</v>
      </c>
      <c r="F57" s="9" t="s">
        <v>161</v>
      </c>
      <c r="G57" s="10" t="s">
        <v>509</v>
      </c>
      <c r="H57" s="10" t="str">
        <f>_xlfn.XLOOKUP(C57,'[1]E&amp;DPSAC'!$K:$K,'[1]E&amp;DPSAC'!$E:$E,,0)</f>
        <v>SIMRAHI, SUPOL, BIHAR</v>
      </c>
      <c r="I57" s="10"/>
      <c r="J57" s="10">
        <v>8825332077</v>
      </c>
      <c r="K57" s="10">
        <f>_xlfn.XLOOKUP(C57,'[1]E&amp;DPSAC'!$K:$K,'[1]E&amp;DPSAC'!$G:$G,"",0)</f>
        <v>9752654141</v>
      </c>
      <c r="L57" s="9" t="str">
        <f t="shared" ca="1" si="0"/>
        <v>Non - Warranty</v>
      </c>
      <c r="M57" s="11">
        <v>44560</v>
      </c>
      <c r="N57" s="12">
        <v>24</v>
      </c>
      <c r="O57" s="11">
        <f t="shared" si="1"/>
        <v>45291</v>
      </c>
      <c r="P57" s="8" t="s">
        <v>142</v>
      </c>
      <c r="Q57" s="16" t="s">
        <v>512</v>
      </c>
      <c r="R57" s="15">
        <v>45768.560173611098</v>
      </c>
      <c r="S57" s="14">
        <v>3300</v>
      </c>
      <c r="T57" s="15">
        <v>46057</v>
      </c>
      <c r="U57" s="14">
        <v>6250</v>
      </c>
      <c r="V57" s="14">
        <v>6250</v>
      </c>
      <c r="W57" s="17">
        <v>46017.466874999998</v>
      </c>
      <c r="X57" s="14" t="s">
        <v>2733</v>
      </c>
      <c r="Y57" s="14">
        <v>-2200</v>
      </c>
      <c r="Z57" s="14" t="s">
        <v>2697</v>
      </c>
      <c r="AA57" s="18">
        <v>344.43982638890157</v>
      </c>
      <c r="AB57" s="18" t="s">
        <v>2697</v>
      </c>
      <c r="AC57" s="8">
        <f>tbl_DPSAC[[#This Row],[Current Month Due Count]]</f>
        <v>0</v>
      </c>
      <c r="AD57" s="8">
        <f>tbl_DPSAC[[#This Row],[Next Month Due2]]</f>
        <v>0</v>
      </c>
      <c r="AE57" s="8">
        <f t="shared" si="2"/>
        <v>1</v>
      </c>
      <c r="AF57" s="8">
        <v>0</v>
      </c>
      <c r="AG57" s="14">
        <f t="shared" ca="1" si="3"/>
        <v>6250</v>
      </c>
      <c r="AH57" s="8" t="s">
        <v>510</v>
      </c>
      <c r="AI57" s="8" t="s">
        <v>511</v>
      </c>
      <c r="AJ57" s="8">
        <v>0</v>
      </c>
      <c r="AK57" s="8">
        <v>0</v>
      </c>
      <c r="AL57" s="8">
        <v>0</v>
      </c>
      <c r="AM57" s="8">
        <v>0</v>
      </c>
      <c r="AN57" s="8">
        <v>0</v>
      </c>
      <c r="AO57" s="8">
        <v>0</v>
      </c>
      <c r="AP57" s="8">
        <v>0</v>
      </c>
      <c r="AQ57" s="8">
        <v>0</v>
      </c>
      <c r="AR57" s="8">
        <v>0</v>
      </c>
      <c r="AS57" s="8">
        <v>0</v>
      </c>
      <c r="AT57" s="8">
        <v>0</v>
      </c>
      <c r="AU57" s="8">
        <v>0</v>
      </c>
      <c r="AV57" s="8">
        <v>0</v>
      </c>
      <c r="AW57" s="8">
        <v>0</v>
      </c>
      <c r="AX57" s="8" t="s">
        <v>2961</v>
      </c>
      <c r="AY57" s="14">
        <v>3300</v>
      </c>
      <c r="AZ57" s="19">
        <v>45768</v>
      </c>
      <c r="BA57" s="14" t="s">
        <v>512</v>
      </c>
      <c r="BB57" s="14">
        <v>3300</v>
      </c>
      <c r="BC57" s="19">
        <v>45768</v>
      </c>
      <c r="BD57" s="14" t="s">
        <v>512</v>
      </c>
      <c r="BE57" s="14">
        <v>3300</v>
      </c>
      <c r="BF57" s="19">
        <v>45768</v>
      </c>
      <c r="BG57" s="14" t="s">
        <v>512</v>
      </c>
      <c r="BH57" s="14">
        <v>3300</v>
      </c>
      <c r="BI57" s="19">
        <v>45768</v>
      </c>
      <c r="BJ57" s="14" t="s">
        <v>512</v>
      </c>
      <c r="BK57" s="14">
        <v>1</v>
      </c>
      <c r="BL57" s="19">
        <v>44560</v>
      </c>
      <c r="BM57" s="14" t="s">
        <v>513</v>
      </c>
      <c r="BN57" s="27">
        <v>45948</v>
      </c>
      <c r="BO57" s="27">
        <v>45948</v>
      </c>
      <c r="BP57" s="27">
        <v>45948</v>
      </c>
      <c r="BQ57" s="27">
        <v>45948</v>
      </c>
      <c r="BR57" s="27">
        <v>44925</v>
      </c>
      <c r="BS57" s="28">
        <v>-2200</v>
      </c>
      <c r="BT57" s="29">
        <v>-1450</v>
      </c>
      <c r="BU57" s="29">
        <v>-2200</v>
      </c>
      <c r="BV57" s="29">
        <v>-2200</v>
      </c>
      <c r="BW57" s="29">
        <v>-4749</v>
      </c>
      <c r="BX57" s="30" t="s">
        <v>152</v>
      </c>
      <c r="BY57" s="8">
        <v>5</v>
      </c>
      <c r="BZ57" s="8">
        <v>0</v>
      </c>
      <c r="CA57" s="8">
        <v>0</v>
      </c>
      <c r="CB57" s="21">
        <v>45338.770833333299</v>
      </c>
      <c r="CC57" s="21">
        <v>45338.770833333299</v>
      </c>
      <c r="CD57" s="21">
        <v>45338.770833333299</v>
      </c>
      <c r="CE57" s="21">
        <v>45338.770833333299</v>
      </c>
      <c r="CF57" s="21">
        <v>45338.770833333299</v>
      </c>
      <c r="CG57" s="21">
        <v>0</v>
      </c>
      <c r="CH57" s="21">
        <v>0</v>
      </c>
      <c r="CI57" s="21">
        <v>0</v>
      </c>
      <c r="CJ57" s="21">
        <v>0</v>
      </c>
      <c r="CK57" s="22" t="s">
        <v>3011</v>
      </c>
      <c r="CL57" s="22" t="s">
        <v>3011</v>
      </c>
      <c r="CM57" s="22" t="s">
        <v>3011</v>
      </c>
      <c r="CN57" s="22" t="s">
        <v>3011</v>
      </c>
      <c r="CO57" s="22" t="s">
        <v>3011</v>
      </c>
      <c r="CP57" s="22" t="s">
        <v>3011</v>
      </c>
      <c r="CQ57" s="22" t="s">
        <v>2953</v>
      </c>
      <c r="CR57" s="22" t="s">
        <v>3011</v>
      </c>
      <c r="CS57" s="22" t="s">
        <v>3012</v>
      </c>
      <c r="CT57" s="22">
        <v>6</v>
      </c>
      <c r="CU57" s="21">
        <v>45518</v>
      </c>
      <c r="CV57" s="21">
        <v>45518</v>
      </c>
      <c r="CW57" s="21">
        <v>45518</v>
      </c>
      <c r="CX57" s="21">
        <v>45518</v>
      </c>
      <c r="CY57" s="21">
        <v>45518</v>
      </c>
      <c r="CZ57" s="21">
        <v>46082</v>
      </c>
      <c r="DA57" s="21">
        <v>46150</v>
      </c>
      <c r="DB57" s="21">
        <v>46082</v>
      </c>
      <c r="DC57" s="21">
        <v>46083</v>
      </c>
      <c r="DD57" s="8">
        <v>1</v>
      </c>
      <c r="DE57" s="8">
        <v>0</v>
      </c>
      <c r="DF57" s="8">
        <v>1</v>
      </c>
      <c r="DG57" s="8">
        <v>8</v>
      </c>
      <c r="DH57" s="8">
        <v>0</v>
      </c>
      <c r="DI57" s="8">
        <v>1</v>
      </c>
      <c r="DJ57" s="8" t="s">
        <v>2954</v>
      </c>
      <c r="DK57" s="21">
        <v>44560</v>
      </c>
      <c r="DL57" s="21">
        <v>44376.229166666664</v>
      </c>
      <c r="DM57" s="21">
        <v>46057</v>
      </c>
      <c r="DN57" s="18">
        <v>6250</v>
      </c>
      <c r="DO57" s="21">
        <v>0</v>
      </c>
      <c r="DP57" s="21">
        <v>0</v>
      </c>
      <c r="DQ57" s="21" t="s">
        <v>2955</v>
      </c>
      <c r="DR57" s="21">
        <v>45339</v>
      </c>
      <c r="DS57" s="21">
        <v>45339</v>
      </c>
      <c r="DT57" s="21">
        <v>45339</v>
      </c>
      <c r="DU57" s="21">
        <v>45339</v>
      </c>
      <c r="DV57" s="21">
        <v>45339</v>
      </c>
      <c r="DW57" s="21">
        <v>0</v>
      </c>
      <c r="DX57" s="21">
        <v>0</v>
      </c>
      <c r="DY57" s="21">
        <v>0</v>
      </c>
      <c r="DZ57" s="21">
        <v>0</v>
      </c>
      <c r="EA57" s="8">
        <v>150</v>
      </c>
      <c r="EB57" s="8">
        <v>150</v>
      </c>
      <c r="EC57" s="8">
        <v>150</v>
      </c>
      <c r="ED57" s="8">
        <v>150</v>
      </c>
      <c r="EE57" s="8">
        <v>150</v>
      </c>
      <c r="EF57" s="8">
        <v>150</v>
      </c>
      <c r="EG57" s="8">
        <v>1000</v>
      </c>
      <c r="EH57" s="8">
        <v>150</v>
      </c>
      <c r="EI57" s="8">
        <v>159</v>
      </c>
      <c r="EJ57" s="8">
        <v>6</v>
      </c>
      <c r="EK57" s="8" t="s">
        <v>2624</v>
      </c>
      <c r="EL57" s="8">
        <v>96</v>
      </c>
      <c r="EM57" s="8">
        <v>0</v>
      </c>
      <c r="EN57" s="8">
        <v>-138</v>
      </c>
      <c r="EO57" s="8">
        <v>-138</v>
      </c>
      <c r="EP57" s="8">
        <v>-138</v>
      </c>
      <c r="EQ57" s="8">
        <v>-138</v>
      </c>
      <c r="ER57" s="8">
        <v>-138</v>
      </c>
      <c r="ES57" s="8">
        <v>-138</v>
      </c>
      <c r="ET57" s="8">
        <v>712</v>
      </c>
      <c r="EU57" s="8">
        <v>-138</v>
      </c>
      <c r="EV57" s="8">
        <v>-129</v>
      </c>
    </row>
    <row r="58" spans="1:152" x14ac:dyDescent="0.15">
      <c r="A58" s="8">
        <f>ROW([2]!tbl_DPSAC[[#This Row],[Sl. No.]])-1</f>
        <v>57</v>
      </c>
      <c r="B58" s="9" t="s">
        <v>196</v>
      </c>
      <c r="C58" s="9" t="s">
        <v>514</v>
      </c>
      <c r="D58" s="9" t="s">
        <v>515</v>
      </c>
      <c r="E58" s="9" t="s">
        <v>217</v>
      </c>
      <c r="F58" s="9" t="s">
        <v>161</v>
      </c>
      <c r="G58" s="10" t="s">
        <v>516</v>
      </c>
      <c r="H58" s="10" t="str">
        <f>_xlfn.XLOOKUP(C58,'[1]E&amp;DPSAC'!$K:$K,'[1]E&amp;DPSAC'!$E:$E,,0)</f>
        <v>CHOUSA, BUXER, BIHAR</v>
      </c>
      <c r="I58" s="10" t="s">
        <v>517</v>
      </c>
      <c r="J58" s="10">
        <v>9472275611</v>
      </c>
      <c r="K58" s="10">
        <f>_xlfn.XLOOKUP(C58,'[1]E&amp;DPSAC'!$K:$K,'[1]E&amp;DPSAC'!$G:$G,"",0)</f>
        <v>6391527243</v>
      </c>
      <c r="L58" s="9" t="str">
        <f t="shared" ca="1" si="0"/>
        <v>Non - Warranty</v>
      </c>
      <c r="M58" s="11">
        <v>44568</v>
      </c>
      <c r="N58" s="12">
        <v>24</v>
      </c>
      <c r="O58" s="11">
        <f t="shared" si="1"/>
        <v>45322</v>
      </c>
      <c r="P58" s="8" t="s">
        <v>142</v>
      </c>
      <c r="Q58" s="16" t="s">
        <v>518</v>
      </c>
      <c r="R58" s="15">
        <v>45372.624571759297</v>
      </c>
      <c r="S58" s="14">
        <v>2749</v>
      </c>
      <c r="T58" s="15">
        <v>45372</v>
      </c>
      <c r="U58" s="14">
        <v>2749</v>
      </c>
      <c r="V58" s="14">
        <v>4930</v>
      </c>
      <c r="W58" s="17">
        <v>45938.642361111109</v>
      </c>
      <c r="X58" s="14" t="s">
        <v>2720</v>
      </c>
      <c r="Y58" s="14">
        <v>-1431</v>
      </c>
      <c r="Z58" s="14" t="s">
        <v>2697</v>
      </c>
      <c r="AA58" s="18">
        <v>740.3754282407026</v>
      </c>
      <c r="AB58" s="18" t="s">
        <v>2697</v>
      </c>
      <c r="AC58" s="8">
        <f>tbl_DPSAC[[#This Row],[Current Month Due Count]]</f>
        <v>0</v>
      </c>
      <c r="AD58" s="8">
        <f>tbl_DPSAC[[#This Row],[Next Month Due2]]</f>
        <v>0</v>
      </c>
      <c r="AE58" s="8">
        <f t="shared" si="2"/>
        <v>1</v>
      </c>
      <c r="AF58" s="8">
        <v>3</v>
      </c>
      <c r="AG58" s="14">
        <f t="shared" ca="1" si="3"/>
        <v>5453</v>
      </c>
      <c r="AH58" s="8">
        <v>0</v>
      </c>
      <c r="AI58" s="8">
        <v>0</v>
      </c>
      <c r="AJ58" s="8">
        <v>0</v>
      </c>
      <c r="AK58" s="8">
        <v>0</v>
      </c>
      <c r="AL58" s="8">
        <v>0</v>
      </c>
      <c r="AM58" s="8">
        <v>0</v>
      </c>
      <c r="AN58" s="8">
        <v>0</v>
      </c>
      <c r="AO58" s="8">
        <v>0</v>
      </c>
      <c r="AP58" s="8">
        <v>0</v>
      </c>
      <c r="AQ58" s="8">
        <v>0</v>
      </c>
      <c r="AR58" s="8">
        <v>0</v>
      </c>
      <c r="AS58" s="8">
        <v>0</v>
      </c>
      <c r="AT58" s="8">
        <v>0</v>
      </c>
      <c r="AU58" s="8">
        <v>0</v>
      </c>
      <c r="AV58" s="8">
        <v>0</v>
      </c>
      <c r="AW58" s="8">
        <v>0</v>
      </c>
      <c r="AX58" s="8" t="s">
        <v>2961</v>
      </c>
      <c r="AY58" s="14">
        <v>2749</v>
      </c>
      <c r="AZ58" s="19">
        <v>45372</v>
      </c>
      <c r="BA58" s="14" t="s">
        <v>518</v>
      </c>
      <c r="BB58" s="14">
        <v>1</v>
      </c>
      <c r="BC58" s="19">
        <v>44568</v>
      </c>
      <c r="BD58" s="14" t="s">
        <v>519</v>
      </c>
      <c r="BE58" s="14">
        <v>2749</v>
      </c>
      <c r="BF58" s="19">
        <v>45372</v>
      </c>
      <c r="BG58" s="14" t="s">
        <v>518</v>
      </c>
      <c r="BH58" s="14">
        <v>724</v>
      </c>
      <c r="BI58" s="19">
        <v>44971.440034722204</v>
      </c>
      <c r="BJ58" s="14" t="s">
        <v>520</v>
      </c>
      <c r="BK58" s="14">
        <v>1</v>
      </c>
      <c r="BL58" s="19">
        <v>44568</v>
      </c>
      <c r="BM58" s="14" t="s">
        <v>519</v>
      </c>
      <c r="BN58" s="27">
        <v>45552</v>
      </c>
      <c r="BO58" s="27">
        <v>44748</v>
      </c>
      <c r="BP58" s="27">
        <v>45552</v>
      </c>
      <c r="BQ58" s="27">
        <v>45151.440034722204</v>
      </c>
      <c r="BR58" s="27">
        <v>44933</v>
      </c>
      <c r="BS58" s="28">
        <v>-1954</v>
      </c>
      <c r="BT58" s="29">
        <v>-3952</v>
      </c>
      <c r="BU58" s="29">
        <v>-1954</v>
      </c>
      <c r="BV58" s="29">
        <v>-3979</v>
      </c>
      <c r="BW58" s="29">
        <v>-3952</v>
      </c>
      <c r="BX58" s="30">
        <v>0</v>
      </c>
      <c r="BY58" s="8">
        <v>5</v>
      </c>
      <c r="BZ58" s="8">
        <v>0</v>
      </c>
      <c r="CA58" s="8">
        <v>0</v>
      </c>
      <c r="CB58" s="21">
        <v>45371.770833333299</v>
      </c>
      <c r="CC58" s="21">
        <v>45371.770833333299</v>
      </c>
      <c r="CD58" s="21">
        <v>0</v>
      </c>
      <c r="CE58" s="21">
        <v>45371.770833333299</v>
      </c>
      <c r="CF58" s="21">
        <v>45371.770833333299</v>
      </c>
      <c r="CG58" s="21">
        <v>44568</v>
      </c>
      <c r="CH58" s="21">
        <v>0</v>
      </c>
      <c r="CI58" s="21">
        <v>0</v>
      </c>
      <c r="CJ58" s="21">
        <v>0</v>
      </c>
      <c r="CK58" s="22" t="s">
        <v>3013</v>
      </c>
      <c r="CL58" s="22" t="s">
        <v>3013</v>
      </c>
      <c r="CM58" s="22" t="s">
        <v>3013</v>
      </c>
      <c r="CN58" s="22" t="s">
        <v>3013</v>
      </c>
      <c r="CO58" s="22" t="s">
        <v>3013</v>
      </c>
      <c r="CP58" s="22" t="s">
        <v>3013</v>
      </c>
      <c r="CQ58" s="22" t="s">
        <v>2953</v>
      </c>
      <c r="CR58" s="22" t="s">
        <v>3013</v>
      </c>
      <c r="CS58" s="22" t="s">
        <v>3013</v>
      </c>
      <c r="CT58" s="22">
        <v>3</v>
      </c>
      <c r="CU58" s="21">
        <v>45551</v>
      </c>
      <c r="CV58" s="21">
        <v>45551</v>
      </c>
      <c r="CW58" s="21">
        <v>46067</v>
      </c>
      <c r="CX58" s="21">
        <v>45551</v>
      </c>
      <c r="CY58" s="21">
        <v>45551</v>
      </c>
      <c r="CZ58" s="21">
        <v>44838</v>
      </c>
      <c r="DA58" s="21">
        <v>46031</v>
      </c>
      <c r="DB58" s="21">
        <v>46021</v>
      </c>
      <c r="DC58" s="21">
        <v>46070</v>
      </c>
      <c r="DD58" s="8">
        <v>1</v>
      </c>
      <c r="DE58" s="8">
        <v>1</v>
      </c>
      <c r="DF58" s="8">
        <v>0</v>
      </c>
      <c r="DG58" s="8">
        <v>9</v>
      </c>
      <c r="DH58" s="8">
        <v>0</v>
      </c>
      <c r="DI58" s="8">
        <v>0</v>
      </c>
      <c r="DJ58" s="8" t="s">
        <v>2954</v>
      </c>
      <c r="DK58" s="21">
        <v>44568</v>
      </c>
      <c r="DL58" s="21">
        <v>44543.229166666664</v>
      </c>
      <c r="DM58" s="21">
        <v>45938</v>
      </c>
      <c r="DN58" s="18">
        <v>4930</v>
      </c>
      <c r="DO58" s="21">
        <v>0</v>
      </c>
      <c r="DP58" s="21">
        <v>0</v>
      </c>
      <c r="DQ58" s="21" t="s">
        <v>2955</v>
      </c>
      <c r="DR58" s="21">
        <v>45372</v>
      </c>
      <c r="DS58" s="21">
        <v>45372</v>
      </c>
      <c r="DT58" s="21">
        <v>0</v>
      </c>
      <c r="DU58" s="21">
        <v>45372</v>
      </c>
      <c r="DV58" s="21">
        <v>45372</v>
      </c>
      <c r="DW58" s="21">
        <v>44568</v>
      </c>
      <c r="DX58" s="21">
        <v>0</v>
      </c>
      <c r="DY58" s="21">
        <v>0</v>
      </c>
      <c r="DZ58" s="21">
        <v>0</v>
      </c>
      <c r="EA58" s="8">
        <v>430</v>
      </c>
      <c r="EB58" s="8">
        <v>430</v>
      </c>
      <c r="EC58" s="8">
        <v>430</v>
      </c>
      <c r="ED58" s="8">
        <v>430</v>
      </c>
      <c r="EE58" s="8">
        <v>430</v>
      </c>
      <c r="EF58" s="8">
        <v>430</v>
      </c>
      <c r="EG58" s="8">
        <v>1000</v>
      </c>
      <c r="EH58" s="8">
        <v>430</v>
      </c>
      <c r="EI58" s="8">
        <v>430</v>
      </c>
      <c r="EJ58" s="8">
        <v>3</v>
      </c>
      <c r="EK58" s="8" t="s">
        <v>2624</v>
      </c>
      <c r="EL58" s="8">
        <v>174</v>
      </c>
      <c r="EM58" s="8">
        <v>522</v>
      </c>
      <c r="EN58" s="8">
        <v>142</v>
      </c>
      <c r="EO58" s="8">
        <v>142</v>
      </c>
      <c r="EP58" s="8">
        <v>142</v>
      </c>
      <c r="EQ58" s="8">
        <v>142</v>
      </c>
      <c r="ER58" s="8">
        <v>142</v>
      </c>
      <c r="ES58" s="8">
        <v>142</v>
      </c>
      <c r="ET58" s="8">
        <v>712</v>
      </c>
      <c r="EU58" s="8">
        <v>142</v>
      </c>
      <c r="EV58" s="8">
        <v>142</v>
      </c>
    </row>
    <row r="59" spans="1:152" x14ac:dyDescent="0.15">
      <c r="A59" s="8">
        <f>ROW([2]!tbl_DPSAC[[#This Row],[Sl. No.]])-1</f>
        <v>58</v>
      </c>
      <c r="B59" s="9" t="s">
        <v>136</v>
      </c>
      <c r="C59" s="9" t="s">
        <v>521</v>
      </c>
      <c r="D59" s="9" t="s">
        <v>138</v>
      </c>
      <c r="E59" s="9" t="s">
        <v>139</v>
      </c>
      <c r="F59" s="9" t="s">
        <v>161</v>
      </c>
      <c r="G59" s="10" t="s">
        <v>522</v>
      </c>
      <c r="H59" s="10" t="str">
        <f>_xlfn.XLOOKUP(C59,'[1]E&amp;DPSAC'!$K:$K,'[1]E&amp;DPSAC'!$E:$E,,0)</f>
        <v>TATULMURI, DHANBAD</v>
      </c>
      <c r="I59" s="10"/>
      <c r="J59" s="10">
        <v>9113788032</v>
      </c>
      <c r="K59" s="10">
        <f>_xlfn.XLOOKUP(C59,'[1]E&amp;DPSAC'!$K:$K,'[1]E&amp;DPSAC'!$G:$G,"",0)</f>
        <v>9931519401</v>
      </c>
      <c r="L59" s="9" t="str">
        <f t="shared" ca="1" si="0"/>
        <v>Non - Warranty</v>
      </c>
      <c r="M59" s="11">
        <v>44558</v>
      </c>
      <c r="N59" s="12">
        <v>24</v>
      </c>
      <c r="O59" s="11">
        <f t="shared" si="1"/>
        <v>45291</v>
      </c>
      <c r="P59" s="8" t="s">
        <v>142</v>
      </c>
      <c r="Q59" s="16" t="s">
        <v>530</v>
      </c>
      <c r="R59" s="15">
        <v>45265.563009259298</v>
      </c>
      <c r="S59" s="14">
        <v>3490</v>
      </c>
      <c r="T59" s="15">
        <v>45654</v>
      </c>
      <c r="U59" s="14">
        <v>6439</v>
      </c>
      <c r="V59" s="14">
        <v>7100</v>
      </c>
      <c r="W59" s="17">
        <v>46041.550891203697</v>
      </c>
      <c r="X59" s="14" t="s">
        <v>2734</v>
      </c>
      <c r="Y59" s="14">
        <v>-2860</v>
      </c>
      <c r="Z59" s="14" t="s">
        <v>2697</v>
      </c>
      <c r="AA59" s="18">
        <v>847.43699074070173</v>
      </c>
      <c r="AB59" s="18" t="s">
        <v>2697</v>
      </c>
      <c r="AC59" s="8">
        <f>tbl_DPSAC[[#This Row],[Current Month Due Count]]</f>
        <v>0</v>
      </c>
      <c r="AD59" s="8">
        <f>tbl_DPSAC[[#This Row],[Next Month Due2]]</f>
        <v>0</v>
      </c>
      <c r="AE59" s="8">
        <f t="shared" si="2"/>
        <v>1</v>
      </c>
      <c r="AF59" s="8">
        <v>4</v>
      </c>
      <c r="AG59" s="14">
        <f t="shared" ca="1" si="3"/>
        <v>7386</v>
      </c>
      <c r="AH59" s="8" t="s">
        <v>523</v>
      </c>
      <c r="AI59" s="8" t="s">
        <v>524</v>
      </c>
      <c r="AJ59" s="8" t="s">
        <v>525</v>
      </c>
      <c r="AK59" s="8" t="s">
        <v>526</v>
      </c>
      <c r="AL59" s="8" t="s">
        <v>527</v>
      </c>
      <c r="AM59" s="8" t="s">
        <v>528</v>
      </c>
      <c r="AN59" s="8" t="s">
        <v>529</v>
      </c>
      <c r="AO59" s="8">
        <v>0</v>
      </c>
      <c r="AP59" s="8">
        <v>0</v>
      </c>
      <c r="AQ59" s="8">
        <v>0</v>
      </c>
      <c r="AR59" s="8">
        <v>0</v>
      </c>
      <c r="AS59" s="8">
        <v>0</v>
      </c>
      <c r="AT59" s="8">
        <v>0</v>
      </c>
      <c r="AU59" s="8">
        <v>0</v>
      </c>
      <c r="AV59" s="8">
        <v>0</v>
      </c>
      <c r="AW59" s="8">
        <v>0</v>
      </c>
      <c r="AX59" s="8" t="s">
        <v>2961</v>
      </c>
      <c r="AY59" s="14">
        <v>3490</v>
      </c>
      <c r="AZ59" s="19">
        <v>45265</v>
      </c>
      <c r="BA59" s="14" t="s">
        <v>530</v>
      </c>
      <c r="BB59" s="14">
        <v>3490</v>
      </c>
      <c r="BC59" s="19">
        <v>45265</v>
      </c>
      <c r="BD59" s="14" t="s">
        <v>530</v>
      </c>
      <c r="BE59" s="14">
        <v>3490</v>
      </c>
      <c r="BF59" s="19">
        <v>45265</v>
      </c>
      <c r="BG59" s="14" t="s">
        <v>530</v>
      </c>
      <c r="BH59" s="14">
        <v>3490</v>
      </c>
      <c r="BI59" s="19">
        <v>45265</v>
      </c>
      <c r="BJ59" s="14" t="s">
        <v>530</v>
      </c>
      <c r="BK59" s="14">
        <v>3490</v>
      </c>
      <c r="BL59" s="19">
        <v>45265</v>
      </c>
      <c r="BM59" s="14" t="s">
        <v>530</v>
      </c>
      <c r="BN59" s="27">
        <v>45445</v>
      </c>
      <c r="BO59" s="27">
        <v>45445</v>
      </c>
      <c r="BP59" s="27">
        <v>45445</v>
      </c>
      <c r="BQ59" s="27">
        <v>45445</v>
      </c>
      <c r="BR59" s="27">
        <v>45630</v>
      </c>
      <c r="BS59" s="28">
        <v>-3146</v>
      </c>
      <c r="BT59" s="29">
        <v>-2396</v>
      </c>
      <c r="BU59" s="29">
        <v>-3146</v>
      </c>
      <c r="BV59" s="29">
        <v>-3146</v>
      </c>
      <c r="BW59" s="29">
        <v>-2396</v>
      </c>
      <c r="BX59" s="30">
        <v>0</v>
      </c>
      <c r="BY59" s="8">
        <v>5</v>
      </c>
      <c r="BZ59" s="8">
        <v>0</v>
      </c>
      <c r="CA59" s="8">
        <v>0</v>
      </c>
      <c r="CB59" s="21">
        <v>45264.770833333299</v>
      </c>
      <c r="CC59" s="21">
        <v>45264.770833333299</v>
      </c>
      <c r="CD59" s="21">
        <v>45264.770833333299</v>
      </c>
      <c r="CE59" s="21">
        <v>45264.770833333299</v>
      </c>
      <c r="CF59" s="21">
        <v>44899.770833333299</v>
      </c>
      <c r="CG59" s="21">
        <v>45264.770833333299</v>
      </c>
      <c r="CH59" s="21">
        <v>0</v>
      </c>
      <c r="CI59" s="21">
        <v>44810.770833333299</v>
      </c>
      <c r="CJ59" s="21">
        <v>45264.770833333299</v>
      </c>
      <c r="CK59" s="22" t="s">
        <v>2959</v>
      </c>
      <c r="CL59" s="22" t="s">
        <v>3014</v>
      </c>
      <c r="CM59" s="22" t="s">
        <v>3014</v>
      </c>
      <c r="CN59" s="22" t="s">
        <v>3014</v>
      </c>
      <c r="CO59" s="22" t="s">
        <v>2959</v>
      </c>
      <c r="CP59" s="22" t="s">
        <v>2959</v>
      </c>
      <c r="CQ59" s="22" t="s">
        <v>2953</v>
      </c>
      <c r="CR59" s="22" t="s">
        <v>2959</v>
      </c>
      <c r="CS59" s="22" t="s">
        <v>2959</v>
      </c>
      <c r="CT59" s="22">
        <v>3</v>
      </c>
      <c r="CU59" s="21">
        <v>45444</v>
      </c>
      <c r="CV59" s="21">
        <v>45444</v>
      </c>
      <c r="CW59" s="21">
        <v>45444</v>
      </c>
      <c r="CX59" s="21">
        <v>45444</v>
      </c>
      <c r="CY59" s="21">
        <v>45079</v>
      </c>
      <c r="CZ59" s="21">
        <v>45534</v>
      </c>
      <c r="DA59" s="21">
        <v>46134</v>
      </c>
      <c r="DB59" s="21">
        <v>44990</v>
      </c>
      <c r="DC59" s="21">
        <v>45629</v>
      </c>
      <c r="DD59" s="8">
        <v>1</v>
      </c>
      <c r="DE59" s="8">
        <v>0</v>
      </c>
      <c r="DF59" s="8">
        <v>0</v>
      </c>
      <c r="DG59" s="8">
        <v>8</v>
      </c>
      <c r="DH59" s="8">
        <v>1</v>
      </c>
      <c r="DI59" s="8">
        <v>0</v>
      </c>
      <c r="DJ59" s="8" t="s">
        <v>2954</v>
      </c>
      <c r="DK59" s="21">
        <v>44558</v>
      </c>
      <c r="DL59" s="21">
        <v>44517.229166666664</v>
      </c>
      <c r="DM59" s="21">
        <v>46041</v>
      </c>
      <c r="DN59" s="18">
        <v>7100</v>
      </c>
      <c r="DO59" s="21">
        <v>0</v>
      </c>
      <c r="DP59" s="21">
        <v>0</v>
      </c>
      <c r="DQ59" s="21" t="s">
        <v>2955</v>
      </c>
      <c r="DR59" s="21">
        <v>45265</v>
      </c>
      <c r="DS59" s="21">
        <v>45265</v>
      </c>
      <c r="DT59" s="21">
        <v>45265</v>
      </c>
      <c r="DU59" s="21">
        <v>45265</v>
      </c>
      <c r="DV59" s="21">
        <v>44900</v>
      </c>
      <c r="DW59" s="21">
        <v>45265</v>
      </c>
      <c r="DX59" s="21">
        <v>0</v>
      </c>
      <c r="DY59" s="21">
        <v>44811</v>
      </c>
      <c r="DZ59" s="21">
        <v>45265</v>
      </c>
      <c r="EA59" s="8">
        <v>500</v>
      </c>
      <c r="EB59" s="8">
        <v>550</v>
      </c>
      <c r="EC59" s="8">
        <v>550</v>
      </c>
      <c r="ED59" s="8">
        <v>550</v>
      </c>
      <c r="EE59" s="8">
        <v>500</v>
      </c>
      <c r="EF59" s="8">
        <v>500</v>
      </c>
      <c r="EG59" s="8">
        <v>1000</v>
      </c>
      <c r="EH59" s="8">
        <v>500</v>
      </c>
      <c r="EI59" s="8">
        <v>500</v>
      </c>
      <c r="EJ59" s="8">
        <v>3</v>
      </c>
      <c r="EK59" s="8" t="s">
        <v>2624</v>
      </c>
      <c r="EL59" s="8">
        <v>71</v>
      </c>
      <c r="EM59" s="8">
        <v>284</v>
      </c>
      <c r="EN59" s="8">
        <v>212</v>
      </c>
      <c r="EO59" s="8">
        <v>262</v>
      </c>
      <c r="EP59" s="8">
        <v>262</v>
      </c>
      <c r="EQ59" s="8">
        <v>262</v>
      </c>
      <c r="ER59" s="8">
        <v>212</v>
      </c>
      <c r="ES59" s="8">
        <v>212</v>
      </c>
      <c r="ET59" s="8">
        <v>712</v>
      </c>
      <c r="EU59" s="8">
        <v>212</v>
      </c>
      <c r="EV59" s="8">
        <v>212</v>
      </c>
    </row>
    <row r="60" spans="1:152" x14ac:dyDescent="0.15">
      <c r="A60" s="8">
        <f>ROW([2]!tbl_DPSAC[[#This Row],[Sl. No.]])-1</f>
        <v>59</v>
      </c>
      <c r="B60" s="9" t="s">
        <v>136</v>
      </c>
      <c r="C60" s="9" t="s">
        <v>531</v>
      </c>
      <c r="D60" s="9" t="s">
        <v>532</v>
      </c>
      <c r="E60" s="9" t="s">
        <v>217</v>
      </c>
      <c r="F60" s="9" t="s">
        <v>161</v>
      </c>
      <c r="G60" s="10" t="s">
        <v>533</v>
      </c>
      <c r="H60" s="10" t="str">
        <f>_xlfn.XLOOKUP(C60,'[1]E&amp;DPSAC'!$K:$K,'[1]E&amp;DPSAC'!$E:$E,,0)</f>
        <v>NTPC, TANDWA</v>
      </c>
      <c r="I60" s="10" t="s">
        <v>534</v>
      </c>
      <c r="J60" s="10">
        <v>9339942424</v>
      </c>
      <c r="K60" s="10">
        <f>_xlfn.XLOOKUP(C60,'[1]E&amp;DPSAC'!$K:$K,'[1]E&amp;DPSAC'!$G:$G,"",0)</f>
        <v>9572289274</v>
      </c>
      <c r="L60" s="9" t="str">
        <f t="shared" ca="1" si="0"/>
        <v>Non - Warranty</v>
      </c>
      <c r="M60" s="11">
        <v>44568</v>
      </c>
      <c r="N60" s="12">
        <v>24</v>
      </c>
      <c r="O60" s="11">
        <f t="shared" si="1"/>
        <v>45322</v>
      </c>
      <c r="P60" s="8" t="s">
        <v>142</v>
      </c>
      <c r="Q60" s="16" t="s">
        <v>537</v>
      </c>
      <c r="R60" s="15">
        <v>45054.456782407397</v>
      </c>
      <c r="S60" s="14">
        <v>513</v>
      </c>
      <c r="T60" s="15">
        <v>45054</v>
      </c>
      <c r="U60" s="14">
        <v>173</v>
      </c>
      <c r="V60" s="14">
        <v>3090</v>
      </c>
      <c r="W60" s="17">
        <v>45962.637499999997</v>
      </c>
      <c r="X60" s="14" t="s">
        <v>2735</v>
      </c>
      <c r="Y60" s="14">
        <v>-1827</v>
      </c>
      <c r="Z60" s="14" t="s">
        <v>2697</v>
      </c>
      <c r="AA60" s="18">
        <v>1058.5432175926035</v>
      </c>
      <c r="AB60" s="18" t="s">
        <v>2697</v>
      </c>
      <c r="AC60" s="8">
        <f>tbl_DPSAC[[#This Row],[Current Month Due Count]]</f>
        <v>0</v>
      </c>
      <c r="AD60" s="8">
        <f>tbl_DPSAC[[#This Row],[Next Month Due2]]</f>
        <v>0</v>
      </c>
      <c r="AE60" s="8">
        <f t="shared" si="2"/>
        <v>1</v>
      </c>
      <c r="AF60" s="8">
        <v>3</v>
      </c>
      <c r="AG60" s="14">
        <f t="shared" ca="1" si="3"/>
        <v>3541</v>
      </c>
      <c r="AH60" s="8" t="s">
        <v>535</v>
      </c>
      <c r="AI60" s="8" t="s">
        <v>536</v>
      </c>
      <c r="AJ60" s="8">
        <v>0</v>
      </c>
      <c r="AK60" s="8">
        <v>0</v>
      </c>
      <c r="AL60" s="8">
        <v>0</v>
      </c>
      <c r="AM60" s="8">
        <v>0</v>
      </c>
      <c r="AN60" s="8">
        <v>0</v>
      </c>
      <c r="AO60" s="8">
        <v>0</v>
      </c>
      <c r="AP60" s="8">
        <v>0</v>
      </c>
      <c r="AQ60" s="8">
        <v>0</v>
      </c>
      <c r="AR60" s="8">
        <v>0</v>
      </c>
      <c r="AS60" s="8">
        <v>0</v>
      </c>
      <c r="AT60" s="8">
        <v>0</v>
      </c>
      <c r="AU60" s="8">
        <v>0</v>
      </c>
      <c r="AV60" s="8">
        <v>0</v>
      </c>
      <c r="AW60" s="8">
        <v>0</v>
      </c>
      <c r="AX60" s="8" t="s">
        <v>2961</v>
      </c>
      <c r="AY60" s="14">
        <v>513</v>
      </c>
      <c r="AZ60" s="19">
        <v>45054</v>
      </c>
      <c r="BA60" s="14" t="s">
        <v>537</v>
      </c>
      <c r="BB60" s="14">
        <v>1</v>
      </c>
      <c r="BC60" s="19">
        <v>44568</v>
      </c>
      <c r="BD60" s="14" t="s">
        <v>538</v>
      </c>
      <c r="BE60" s="14">
        <v>513</v>
      </c>
      <c r="BF60" s="19">
        <v>45054</v>
      </c>
      <c r="BG60" s="14" t="s">
        <v>537</v>
      </c>
      <c r="BH60" s="14">
        <v>513</v>
      </c>
      <c r="BI60" s="19">
        <v>45054</v>
      </c>
      <c r="BJ60" s="14" t="s">
        <v>537</v>
      </c>
      <c r="BK60" s="14">
        <v>1</v>
      </c>
      <c r="BL60" s="19">
        <v>44568</v>
      </c>
      <c r="BM60" s="14" t="s">
        <v>538</v>
      </c>
      <c r="BN60" s="27">
        <v>45234</v>
      </c>
      <c r="BO60" s="27">
        <v>44748</v>
      </c>
      <c r="BP60" s="27">
        <v>45234</v>
      </c>
      <c r="BQ60" s="27">
        <v>45234</v>
      </c>
      <c r="BR60" s="27">
        <v>44933</v>
      </c>
      <c r="BS60" s="28">
        <v>-2278</v>
      </c>
      <c r="BT60" s="29">
        <v>-2040</v>
      </c>
      <c r="BU60" s="29">
        <v>-2278</v>
      </c>
      <c r="BV60" s="29">
        <v>-2278</v>
      </c>
      <c r="BW60" s="29">
        <v>-2040</v>
      </c>
      <c r="BX60" s="30">
        <v>0</v>
      </c>
      <c r="BY60" s="8">
        <v>5</v>
      </c>
      <c r="BZ60" s="8">
        <v>0</v>
      </c>
      <c r="CA60" s="8">
        <v>0</v>
      </c>
      <c r="CB60" s="21">
        <v>45053.770833333299</v>
      </c>
      <c r="CC60" s="21">
        <v>45053.770833333299</v>
      </c>
      <c r="CD60" s="21">
        <v>0</v>
      </c>
      <c r="CE60" s="21">
        <v>0</v>
      </c>
      <c r="CF60" s="21">
        <v>45053.770833333299</v>
      </c>
      <c r="CG60" s="21">
        <v>45053.770833333299</v>
      </c>
      <c r="CH60" s="21">
        <v>0</v>
      </c>
      <c r="CI60" s="21">
        <v>0</v>
      </c>
      <c r="CJ60" s="21">
        <v>0</v>
      </c>
      <c r="CK60" s="22" t="s">
        <v>2995</v>
      </c>
      <c r="CL60" s="22" t="s">
        <v>2995</v>
      </c>
      <c r="CM60" s="22" t="s">
        <v>2995</v>
      </c>
      <c r="CN60" s="22" t="s">
        <v>2995</v>
      </c>
      <c r="CO60" s="22" t="s">
        <v>2995</v>
      </c>
      <c r="CP60" s="22" t="s">
        <v>2995</v>
      </c>
      <c r="CQ60" s="22" t="s">
        <v>2953</v>
      </c>
      <c r="CR60" s="22" t="s">
        <v>2995</v>
      </c>
      <c r="CS60" s="22" t="s">
        <v>2995</v>
      </c>
      <c r="CT60" s="22">
        <v>2</v>
      </c>
      <c r="CU60" s="21">
        <v>45233</v>
      </c>
      <c r="CV60" s="21">
        <v>45233</v>
      </c>
      <c r="CW60" s="21">
        <v>45977</v>
      </c>
      <c r="CX60" s="21">
        <v>45977</v>
      </c>
      <c r="CY60" s="21">
        <v>45233</v>
      </c>
      <c r="CZ60" s="21">
        <v>45323</v>
      </c>
      <c r="DA60" s="21">
        <v>46055</v>
      </c>
      <c r="DB60" s="21">
        <v>45977</v>
      </c>
      <c r="DC60" s="21">
        <v>45977</v>
      </c>
      <c r="DD60" s="8">
        <v>1</v>
      </c>
      <c r="DE60" s="8">
        <v>1</v>
      </c>
      <c r="DF60" s="8">
        <v>0</v>
      </c>
      <c r="DG60" s="8">
        <v>9</v>
      </c>
      <c r="DH60" s="8">
        <v>0</v>
      </c>
      <c r="DI60" s="8">
        <v>0</v>
      </c>
      <c r="DJ60" s="8" t="s">
        <v>2954</v>
      </c>
      <c r="DK60" s="21">
        <v>44568</v>
      </c>
      <c r="DL60" s="21">
        <v>44453.229166666664</v>
      </c>
      <c r="DM60" s="21">
        <v>45962</v>
      </c>
      <c r="DN60" s="18">
        <v>3090</v>
      </c>
      <c r="DO60" s="21">
        <v>0</v>
      </c>
      <c r="DP60" s="21">
        <v>0</v>
      </c>
      <c r="DQ60" s="21" t="s">
        <v>2955</v>
      </c>
      <c r="DR60" s="21">
        <v>45054</v>
      </c>
      <c r="DS60" s="21">
        <v>45054</v>
      </c>
      <c r="DT60" s="21">
        <v>0</v>
      </c>
      <c r="DU60" s="21">
        <v>0</v>
      </c>
      <c r="DV60" s="21">
        <v>45054</v>
      </c>
      <c r="DW60" s="21">
        <v>45054</v>
      </c>
      <c r="DX60" s="21">
        <v>0</v>
      </c>
      <c r="DY60" s="21">
        <v>0</v>
      </c>
      <c r="DZ60" s="21">
        <v>0</v>
      </c>
      <c r="EA60" s="8">
        <v>30</v>
      </c>
      <c r="EB60" s="8">
        <v>30</v>
      </c>
      <c r="EC60" s="8">
        <v>30</v>
      </c>
      <c r="ED60" s="8">
        <v>30</v>
      </c>
      <c r="EE60" s="8">
        <v>30</v>
      </c>
      <c r="EF60" s="8">
        <v>30</v>
      </c>
      <c r="EG60" s="8">
        <v>1000</v>
      </c>
      <c r="EH60" s="8">
        <v>30</v>
      </c>
      <c r="EI60" s="8">
        <v>30</v>
      </c>
      <c r="EJ60" s="8">
        <v>2</v>
      </c>
      <c r="EK60" s="8" t="s">
        <v>2624</v>
      </c>
      <c r="EL60" s="8">
        <v>150</v>
      </c>
      <c r="EM60" s="8">
        <v>450</v>
      </c>
      <c r="EN60" s="8">
        <v>-258</v>
      </c>
      <c r="EO60" s="8">
        <v>-258</v>
      </c>
      <c r="EP60" s="8">
        <v>-258</v>
      </c>
      <c r="EQ60" s="8">
        <v>-258</v>
      </c>
      <c r="ER60" s="8">
        <v>-258</v>
      </c>
      <c r="ES60" s="8">
        <v>-258</v>
      </c>
      <c r="ET60" s="8">
        <v>712</v>
      </c>
      <c r="EU60" s="8">
        <v>-258</v>
      </c>
      <c r="EV60" s="8">
        <v>-258</v>
      </c>
    </row>
    <row r="61" spans="1:152" x14ac:dyDescent="0.15">
      <c r="A61" s="8">
        <f>ROW([2]!tbl_DPSAC[[#This Row],[Sl. No.]])-1</f>
        <v>60</v>
      </c>
      <c r="B61" s="9" t="s">
        <v>136</v>
      </c>
      <c r="C61" s="9" t="s">
        <v>539</v>
      </c>
      <c r="D61" s="9" t="s">
        <v>262</v>
      </c>
      <c r="E61" s="9" t="s">
        <v>176</v>
      </c>
      <c r="F61" s="9" t="s">
        <v>161</v>
      </c>
      <c r="G61" s="10" t="s">
        <v>499</v>
      </c>
      <c r="H61" s="10" t="str">
        <f>_xlfn.XLOOKUP(C61,'[1]E&amp;DPSAC'!$K:$K,'[1]E&amp;DPSAC'!$E:$E,,0)</f>
        <v>GOPI KANDHAR, DUMKA</v>
      </c>
      <c r="I61" s="10"/>
      <c r="J61" s="10">
        <v>9263193314</v>
      </c>
      <c r="K61" s="10">
        <f>_xlfn.XLOOKUP(C61,'[1]E&amp;DPSAC'!$K:$K,'[1]E&amp;DPSAC'!$G:$G,"",0)</f>
        <v>6206959324</v>
      </c>
      <c r="L61" s="9" t="str">
        <f t="shared" ca="1" si="0"/>
        <v>Non - Warranty</v>
      </c>
      <c r="M61" s="11">
        <v>44596.714583333298</v>
      </c>
      <c r="N61" s="12">
        <v>24</v>
      </c>
      <c r="O61" s="11">
        <f t="shared" si="1"/>
        <v>45351</v>
      </c>
      <c r="P61" s="8" t="s">
        <v>142</v>
      </c>
      <c r="Q61" s="16" t="s">
        <v>546</v>
      </c>
      <c r="R61" s="15">
        <v>46043.521608796298</v>
      </c>
      <c r="S61" s="14">
        <v>5840</v>
      </c>
      <c r="T61" s="15">
        <v>45350</v>
      </c>
      <c r="U61" s="14">
        <v>3190</v>
      </c>
      <c r="V61" s="14">
        <v>5840</v>
      </c>
      <c r="W61" s="17">
        <v>46043.521608796298</v>
      </c>
      <c r="X61" s="14" t="s">
        <v>2698</v>
      </c>
      <c r="Y61" s="14">
        <v>750</v>
      </c>
      <c r="Z61" s="14" t="s">
        <v>2692</v>
      </c>
      <c r="AA61" s="18">
        <v>69.478391203701904</v>
      </c>
      <c r="AB61" s="18" t="s">
        <v>2692</v>
      </c>
      <c r="AC61" s="8">
        <f>tbl_DPSAC[[#This Row],[Current Month Due Count]]</f>
        <v>0</v>
      </c>
      <c r="AD61" s="8">
        <f>tbl_DPSAC[[#This Row],[Next Month Due2]]</f>
        <v>0</v>
      </c>
      <c r="AE61" s="8">
        <f t="shared" si="2"/>
        <v>0</v>
      </c>
      <c r="AF61" s="8">
        <v>4</v>
      </c>
      <c r="AG61" s="14">
        <f t="shared" ca="1" si="3"/>
        <v>6118</v>
      </c>
      <c r="AH61" s="8" t="s">
        <v>540</v>
      </c>
      <c r="AI61" s="8" t="s">
        <v>541</v>
      </c>
      <c r="AJ61" s="8" t="s">
        <v>542</v>
      </c>
      <c r="AK61" s="8" t="s">
        <v>543</v>
      </c>
      <c r="AL61" s="8" t="s">
        <v>544</v>
      </c>
      <c r="AM61" s="8">
        <v>0</v>
      </c>
      <c r="AN61" s="8" t="s">
        <v>545</v>
      </c>
      <c r="AO61" s="8">
        <v>0</v>
      </c>
      <c r="AP61" s="8">
        <v>0</v>
      </c>
      <c r="AQ61" s="8">
        <v>0</v>
      </c>
      <c r="AR61" s="8">
        <v>0</v>
      </c>
      <c r="AS61" s="8">
        <v>0</v>
      </c>
      <c r="AT61" s="8">
        <v>0</v>
      </c>
      <c r="AU61" s="8">
        <v>0</v>
      </c>
      <c r="AV61" s="8">
        <v>0</v>
      </c>
      <c r="AW61" s="8">
        <v>0</v>
      </c>
      <c r="AX61" s="8" t="s">
        <v>2007</v>
      </c>
      <c r="AY61" s="14">
        <v>5840</v>
      </c>
      <c r="AZ61" s="19">
        <v>46043</v>
      </c>
      <c r="BA61" s="14" t="s">
        <v>546</v>
      </c>
      <c r="BB61" s="14">
        <v>5840</v>
      </c>
      <c r="BC61" s="19">
        <v>46043</v>
      </c>
      <c r="BD61" s="14" t="s">
        <v>546</v>
      </c>
      <c r="BE61" s="14">
        <v>5840</v>
      </c>
      <c r="BF61" s="19">
        <v>46043</v>
      </c>
      <c r="BG61" s="14" t="s">
        <v>546</v>
      </c>
      <c r="BH61" s="14">
        <v>5840</v>
      </c>
      <c r="BI61" s="19">
        <v>46043</v>
      </c>
      <c r="BJ61" s="14" t="s">
        <v>546</v>
      </c>
      <c r="BK61" s="14">
        <v>5840</v>
      </c>
      <c r="BL61" s="19">
        <v>46043</v>
      </c>
      <c r="BM61" s="14" t="s">
        <v>546</v>
      </c>
      <c r="BN61" s="27">
        <v>46223</v>
      </c>
      <c r="BO61" s="27">
        <v>46223</v>
      </c>
      <c r="BP61" s="27">
        <v>46223</v>
      </c>
      <c r="BQ61" s="27">
        <v>46223</v>
      </c>
      <c r="BR61" s="27">
        <v>46408</v>
      </c>
      <c r="BS61" s="28">
        <v>472</v>
      </c>
      <c r="BT61" s="29">
        <v>1222</v>
      </c>
      <c r="BU61" s="29">
        <v>472</v>
      </c>
      <c r="BV61" s="29">
        <v>472</v>
      </c>
      <c r="BW61" s="29">
        <v>1222</v>
      </c>
      <c r="BX61" s="30">
        <v>0</v>
      </c>
      <c r="BY61" s="8">
        <v>0</v>
      </c>
      <c r="BZ61" s="8">
        <v>0</v>
      </c>
      <c r="CA61" s="8">
        <v>0</v>
      </c>
      <c r="CB61" s="21">
        <v>46042.770833333299</v>
      </c>
      <c r="CC61" s="21">
        <v>46042.770833333299</v>
      </c>
      <c r="CD61" s="21">
        <v>46042.770833333299</v>
      </c>
      <c r="CE61" s="21">
        <v>46042.770833333299</v>
      </c>
      <c r="CF61" s="21">
        <v>46042.770833333299</v>
      </c>
      <c r="CG61" s="21">
        <v>46042.770833333299</v>
      </c>
      <c r="CH61" s="21">
        <v>46042.770833333299</v>
      </c>
      <c r="CI61" s="21">
        <v>46042.770833333299</v>
      </c>
      <c r="CJ61" s="21">
        <v>46042.770833333299</v>
      </c>
      <c r="CK61" s="22" t="s">
        <v>2956</v>
      </c>
      <c r="CL61" s="22" t="s">
        <v>2957</v>
      </c>
      <c r="CM61" s="22" t="s">
        <v>2959</v>
      </c>
      <c r="CN61" s="22" t="s">
        <v>2957</v>
      </c>
      <c r="CO61" s="22" t="s">
        <v>2957</v>
      </c>
      <c r="CP61" s="22" t="s">
        <v>2956</v>
      </c>
      <c r="CQ61" s="22" t="s">
        <v>2953</v>
      </c>
      <c r="CR61" s="22" t="s">
        <v>2956</v>
      </c>
      <c r="CS61" s="22" t="s">
        <v>2960</v>
      </c>
      <c r="CT61" s="22">
        <v>6</v>
      </c>
      <c r="CU61" s="21">
        <v>46222</v>
      </c>
      <c r="CV61" s="21">
        <v>46168</v>
      </c>
      <c r="CW61" s="21">
        <v>46126</v>
      </c>
      <c r="CX61" s="21">
        <v>46168</v>
      </c>
      <c r="CY61" s="21">
        <v>46168</v>
      </c>
      <c r="CZ61" s="21">
        <v>46293</v>
      </c>
      <c r="DA61" s="21">
        <v>46209</v>
      </c>
      <c r="DB61" s="21">
        <v>46222</v>
      </c>
      <c r="DC61" s="21">
        <v>46407</v>
      </c>
      <c r="DD61" s="8">
        <v>0</v>
      </c>
      <c r="DE61" s="8">
        <v>0</v>
      </c>
      <c r="DF61" s="8">
        <v>0</v>
      </c>
      <c r="DG61" s="8">
        <v>0</v>
      </c>
      <c r="DH61" s="8">
        <v>1</v>
      </c>
      <c r="DI61" s="8">
        <v>3</v>
      </c>
      <c r="DJ61" s="8" t="s">
        <v>2954</v>
      </c>
      <c r="DK61" s="21">
        <v>44596</v>
      </c>
      <c r="DL61" s="21">
        <v>44561.229166666664</v>
      </c>
      <c r="DM61" s="21">
        <v>46043</v>
      </c>
      <c r="DN61" s="18">
        <v>5840</v>
      </c>
      <c r="DO61" s="21">
        <v>0</v>
      </c>
      <c r="DP61" s="21">
        <v>0</v>
      </c>
      <c r="DQ61" s="21" t="s">
        <v>2955</v>
      </c>
      <c r="DR61" s="21">
        <v>46043</v>
      </c>
      <c r="DS61" s="21">
        <v>46043</v>
      </c>
      <c r="DT61" s="21">
        <v>46043</v>
      </c>
      <c r="DU61" s="21">
        <v>46043</v>
      </c>
      <c r="DV61" s="21">
        <v>46043</v>
      </c>
      <c r="DW61" s="21">
        <v>46043</v>
      </c>
      <c r="DX61" s="21">
        <v>46043</v>
      </c>
      <c r="DY61" s="21">
        <v>46043</v>
      </c>
      <c r="DZ61" s="21">
        <v>46043</v>
      </c>
      <c r="EA61" s="8">
        <v>1500</v>
      </c>
      <c r="EB61" s="8">
        <v>750</v>
      </c>
      <c r="EC61" s="8">
        <v>500</v>
      </c>
      <c r="ED61" s="8">
        <v>750</v>
      </c>
      <c r="EE61" s="8">
        <v>750</v>
      </c>
      <c r="EF61" s="8">
        <v>1500</v>
      </c>
      <c r="EG61" s="8">
        <v>1000</v>
      </c>
      <c r="EH61" s="8">
        <v>1500</v>
      </c>
      <c r="EI61" s="8">
        <v>3000</v>
      </c>
      <c r="EJ61" s="8">
        <v>6</v>
      </c>
      <c r="EK61" s="8" t="s">
        <v>2624</v>
      </c>
      <c r="EL61" s="8">
        <v>69</v>
      </c>
      <c r="EM61" s="8">
        <v>276</v>
      </c>
      <c r="EN61" s="8">
        <v>1212</v>
      </c>
      <c r="EO61" s="8">
        <v>462</v>
      </c>
      <c r="EP61" s="8">
        <v>212</v>
      </c>
      <c r="EQ61" s="8">
        <v>462</v>
      </c>
      <c r="ER61" s="8">
        <v>462</v>
      </c>
      <c r="ES61" s="8">
        <v>1212</v>
      </c>
      <c r="ET61" s="8">
        <v>712</v>
      </c>
      <c r="EU61" s="8">
        <v>1212</v>
      </c>
      <c r="EV61" s="8">
        <v>2712</v>
      </c>
    </row>
    <row r="62" spans="1:152" x14ac:dyDescent="0.15">
      <c r="A62" s="8">
        <f>ROW([2]!tbl_DPSAC[[#This Row],[Sl. No.]])-1</f>
        <v>61</v>
      </c>
      <c r="B62" s="9" t="s">
        <v>136</v>
      </c>
      <c r="C62" s="9" t="s">
        <v>547</v>
      </c>
      <c r="D62" s="9" t="s">
        <v>460</v>
      </c>
      <c r="E62" s="9" t="s">
        <v>170</v>
      </c>
      <c r="F62" s="9" t="s">
        <v>161</v>
      </c>
      <c r="G62" s="10" t="s">
        <v>548</v>
      </c>
      <c r="H62" s="10" t="str">
        <f>_xlfn.XLOOKUP(C62,'[1]E&amp;DPSAC'!$K:$K,'[1]E&amp;DPSAC'!$E:$E,,0)</f>
        <v>CHATTARPUR, DALTAINGANJ</v>
      </c>
      <c r="I62" s="10"/>
      <c r="J62" s="10">
        <v>9416185862</v>
      </c>
      <c r="K62" s="10">
        <f>_xlfn.XLOOKUP(C62,'[1]E&amp;DPSAC'!$K:$K,'[1]E&amp;DPSAC'!$G:$G,"",0)</f>
        <v>9416185862</v>
      </c>
      <c r="L62" s="9" t="str">
        <f t="shared" ca="1" si="0"/>
        <v>Non - Warranty</v>
      </c>
      <c r="M62" s="11">
        <v>44469</v>
      </c>
      <c r="N62" s="12">
        <v>24</v>
      </c>
      <c r="O62" s="11">
        <f t="shared" si="1"/>
        <v>45199</v>
      </c>
      <c r="P62" s="8" t="s">
        <v>157</v>
      </c>
      <c r="Q62" s="16" t="s">
        <v>552</v>
      </c>
      <c r="R62" s="15">
        <v>44694.812743055598</v>
      </c>
      <c r="S62" s="14">
        <v>970</v>
      </c>
      <c r="T62" s="15">
        <v>44695</v>
      </c>
      <c r="U62" s="14">
        <v>970</v>
      </c>
      <c r="V62" s="14">
        <v>1410</v>
      </c>
      <c r="W62" s="17">
        <v>44903.671643518501</v>
      </c>
      <c r="X62" s="14" t="s">
        <v>2736</v>
      </c>
      <c r="Y62" s="14">
        <v>310</v>
      </c>
      <c r="Z62" s="14" t="s">
        <v>2692</v>
      </c>
      <c r="AA62" s="18">
        <v>1418.1872569444022</v>
      </c>
      <c r="AB62" s="18" t="s">
        <v>2697</v>
      </c>
      <c r="AC62" s="8">
        <f>tbl_DPSAC[[#This Row],[Current Month Due Count]]</f>
        <v>0</v>
      </c>
      <c r="AD62" s="8">
        <f>tbl_DPSAC[[#This Row],[Next Month Due2]]</f>
        <v>0</v>
      </c>
      <c r="AE62" s="8">
        <f t="shared" si="2"/>
        <v>1</v>
      </c>
      <c r="AF62" s="8">
        <v>3</v>
      </c>
      <c r="AG62" s="14">
        <f t="shared" ca="1" si="3"/>
        <v>5038</v>
      </c>
      <c r="AH62" s="8" t="s">
        <v>549</v>
      </c>
      <c r="AI62" s="8" t="s">
        <v>550</v>
      </c>
      <c r="AJ62" s="8" t="s">
        <v>551</v>
      </c>
      <c r="AK62" s="8">
        <v>0</v>
      </c>
      <c r="AL62" s="8">
        <v>0</v>
      </c>
      <c r="AM62" s="8">
        <v>0</v>
      </c>
      <c r="AN62" s="8">
        <v>0</v>
      </c>
      <c r="AO62" s="8">
        <v>0</v>
      </c>
      <c r="AP62" s="8">
        <v>0</v>
      </c>
      <c r="AQ62" s="8">
        <v>0</v>
      </c>
      <c r="AR62" s="8">
        <v>0</v>
      </c>
      <c r="AS62" s="8">
        <v>0</v>
      </c>
      <c r="AT62" s="8">
        <v>0</v>
      </c>
      <c r="AU62" s="8">
        <v>0</v>
      </c>
      <c r="AV62" s="8">
        <v>0</v>
      </c>
      <c r="AW62" s="8">
        <v>0</v>
      </c>
      <c r="AX62" s="8" t="s">
        <v>2961</v>
      </c>
      <c r="AY62" s="14">
        <v>970</v>
      </c>
      <c r="AZ62" s="19">
        <v>44694</v>
      </c>
      <c r="BA62" s="14" t="s">
        <v>552</v>
      </c>
      <c r="BB62" s="14">
        <v>1</v>
      </c>
      <c r="BC62" s="19">
        <v>44469</v>
      </c>
      <c r="BD62" s="14"/>
      <c r="BE62" s="14">
        <v>970</v>
      </c>
      <c r="BF62" s="19">
        <v>44694</v>
      </c>
      <c r="BG62" s="14" t="s">
        <v>552</v>
      </c>
      <c r="BH62" s="14">
        <v>970</v>
      </c>
      <c r="BI62" s="19">
        <v>44694</v>
      </c>
      <c r="BJ62" s="14" t="s">
        <v>552</v>
      </c>
      <c r="BK62" s="14">
        <v>1</v>
      </c>
      <c r="BL62" s="19">
        <v>44469</v>
      </c>
      <c r="BM62" s="14"/>
      <c r="BN62" s="27">
        <v>44874</v>
      </c>
      <c r="BO62" s="27">
        <v>44649</v>
      </c>
      <c r="BP62" s="27">
        <v>44874</v>
      </c>
      <c r="BQ62" s="27">
        <v>44874</v>
      </c>
      <c r="BR62" s="27">
        <v>44834</v>
      </c>
      <c r="BS62" s="28">
        <v>-3318</v>
      </c>
      <c r="BT62" s="29">
        <v>-3537</v>
      </c>
      <c r="BU62" s="29">
        <v>-3318</v>
      </c>
      <c r="BV62" s="29">
        <v>-3318</v>
      </c>
      <c r="BW62" s="29">
        <v>-3537</v>
      </c>
      <c r="BX62" s="30" t="s">
        <v>159</v>
      </c>
      <c r="BY62" s="8">
        <v>5</v>
      </c>
      <c r="BZ62" s="8">
        <v>0</v>
      </c>
      <c r="CA62" s="8">
        <v>0</v>
      </c>
      <c r="CB62" s="21" t="s">
        <v>143</v>
      </c>
      <c r="CC62" s="21" t="s">
        <v>143</v>
      </c>
      <c r="CD62" s="21" t="s">
        <v>143</v>
      </c>
      <c r="CE62" s="21" t="s">
        <v>143</v>
      </c>
      <c r="CF62" s="21" t="s">
        <v>143</v>
      </c>
      <c r="CG62" s="21" t="s">
        <v>143</v>
      </c>
      <c r="CH62" s="21" t="s">
        <v>143</v>
      </c>
      <c r="CI62" s="21" t="s">
        <v>143</v>
      </c>
      <c r="CJ62" s="21" t="s">
        <v>143</v>
      </c>
      <c r="CK62" s="22" t="s">
        <v>143</v>
      </c>
      <c r="CL62" s="22" t="s">
        <v>143</v>
      </c>
      <c r="CM62" s="22" t="s">
        <v>143</v>
      </c>
      <c r="CN62" s="22" t="s">
        <v>143</v>
      </c>
      <c r="CO62" s="22" t="s">
        <v>143</v>
      </c>
      <c r="CP62" s="22" t="s">
        <v>143</v>
      </c>
      <c r="CQ62" s="22" t="s">
        <v>143</v>
      </c>
      <c r="CR62" s="22" t="s">
        <v>143</v>
      </c>
      <c r="CS62" s="22" t="s">
        <v>143</v>
      </c>
      <c r="CT62" s="22" t="s">
        <v>143</v>
      </c>
      <c r="CU62" s="21" t="s">
        <v>143</v>
      </c>
      <c r="CV62" s="21" t="s">
        <v>143</v>
      </c>
      <c r="CW62" s="21" t="s">
        <v>143</v>
      </c>
      <c r="CX62" s="21" t="s">
        <v>143</v>
      </c>
      <c r="CY62" s="21" t="s">
        <v>143</v>
      </c>
      <c r="CZ62" s="21" t="s">
        <v>143</v>
      </c>
      <c r="DA62" s="21" t="s">
        <v>143</v>
      </c>
      <c r="DB62" s="21" t="s">
        <v>143</v>
      </c>
      <c r="DC62" s="21" t="s">
        <v>143</v>
      </c>
      <c r="DD62" s="8" t="s">
        <v>143</v>
      </c>
      <c r="DE62" s="8" t="s">
        <v>143</v>
      </c>
      <c r="DF62" s="8" t="s">
        <v>143</v>
      </c>
      <c r="DG62" s="8">
        <v>0</v>
      </c>
      <c r="DH62" s="8">
        <v>0</v>
      </c>
      <c r="DI62" s="8">
        <v>0</v>
      </c>
      <c r="DJ62" s="8" t="s">
        <v>143</v>
      </c>
      <c r="DK62" s="21" t="s">
        <v>143</v>
      </c>
      <c r="DL62" s="21" t="s">
        <v>143</v>
      </c>
      <c r="DM62" s="21" t="s">
        <v>143</v>
      </c>
      <c r="DN62" s="18" t="s">
        <v>143</v>
      </c>
      <c r="DO62" s="21" t="s">
        <v>143</v>
      </c>
      <c r="DP62" s="21" t="s">
        <v>143</v>
      </c>
      <c r="DQ62" s="21" t="s">
        <v>143</v>
      </c>
      <c r="DR62" s="21" t="s">
        <v>143</v>
      </c>
      <c r="DS62" s="21" t="s">
        <v>143</v>
      </c>
      <c r="DT62" s="21" t="s">
        <v>143</v>
      </c>
      <c r="DU62" s="21" t="s">
        <v>143</v>
      </c>
      <c r="DV62" s="21" t="s">
        <v>143</v>
      </c>
      <c r="DW62" s="21" t="s">
        <v>143</v>
      </c>
      <c r="DX62" s="21" t="s">
        <v>143</v>
      </c>
      <c r="DY62" s="21" t="s">
        <v>143</v>
      </c>
      <c r="DZ62" s="21" t="s">
        <v>143</v>
      </c>
      <c r="EA62" s="8" t="s">
        <v>143</v>
      </c>
      <c r="EB62" s="8" t="s">
        <v>143</v>
      </c>
      <c r="EC62" s="8" t="s">
        <v>143</v>
      </c>
      <c r="ED62" s="8" t="s">
        <v>143</v>
      </c>
      <c r="EE62" s="8" t="s">
        <v>143</v>
      </c>
      <c r="EF62" s="8" t="s">
        <v>143</v>
      </c>
      <c r="EG62" s="8" t="s">
        <v>143</v>
      </c>
      <c r="EH62" s="8" t="s">
        <v>143</v>
      </c>
      <c r="EI62" s="8" t="s">
        <v>143</v>
      </c>
      <c r="EJ62" s="8" t="s">
        <v>143</v>
      </c>
      <c r="EK62" s="8" t="s">
        <v>157</v>
      </c>
      <c r="EL62" s="8">
        <v>1209</v>
      </c>
      <c r="EM62" s="8">
        <v>3627</v>
      </c>
      <c r="EN62" s="8" t="s">
        <v>143</v>
      </c>
      <c r="EO62" s="8" t="s">
        <v>143</v>
      </c>
      <c r="EP62" s="8" t="s">
        <v>143</v>
      </c>
      <c r="EQ62" s="8" t="s">
        <v>143</v>
      </c>
      <c r="ER62" s="8" t="s">
        <v>143</v>
      </c>
      <c r="ES62" s="8" t="s">
        <v>143</v>
      </c>
      <c r="ET62" s="8" t="s">
        <v>143</v>
      </c>
      <c r="EU62" s="8" t="s">
        <v>143</v>
      </c>
      <c r="EV62" s="8" t="s">
        <v>143</v>
      </c>
    </row>
    <row r="63" spans="1:152" x14ac:dyDescent="0.15">
      <c r="A63" s="8">
        <f>ROW([2]!tbl_DPSAC[[#This Row],[Sl. No.]])-1</f>
        <v>62</v>
      </c>
      <c r="B63" s="9" t="s">
        <v>136</v>
      </c>
      <c r="C63" s="9" t="s">
        <v>553</v>
      </c>
      <c r="D63" s="9" t="s">
        <v>262</v>
      </c>
      <c r="E63" s="9" t="s">
        <v>176</v>
      </c>
      <c r="F63" s="9" t="s">
        <v>161</v>
      </c>
      <c r="G63" s="10" t="s">
        <v>554</v>
      </c>
      <c r="H63" s="10" t="str">
        <f>_xlfn.XLOOKUP(C63,'[1]E&amp;DPSAC'!$K:$K,'[1]E&amp;DPSAC'!$E:$E,,0)</f>
        <v>NEAR HUTAR, KHUNTI</v>
      </c>
      <c r="I63" s="10" t="s">
        <v>555</v>
      </c>
      <c r="J63" s="10">
        <v>9308122122</v>
      </c>
      <c r="K63" s="10">
        <f>_xlfn.XLOOKUP(C63,'[1]E&amp;DPSAC'!$K:$K,'[1]E&amp;DPSAC'!$G:$G,"",0)</f>
        <v>9308112212</v>
      </c>
      <c r="L63" s="9" t="str">
        <f t="shared" ca="1" si="0"/>
        <v>Non - Warranty</v>
      </c>
      <c r="M63" s="11">
        <v>44623</v>
      </c>
      <c r="N63" s="12">
        <v>24</v>
      </c>
      <c r="O63" s="11">
        <f t="shared" si="1"/>
        <v>45382</v>
      </c>
      <c r="P63" s="8" t="s">
        <v>142</v>
      </c>
      <c r="Q63" s="16" t="s">
        <v>560</v>
      </c>
      <c r="R63" s="15">
        <v>46072.547719907401</v>
      </c>
      <c r="S63" s="14">
        <v>5090</v>
      </c>
      <c r="T63" s="15">
        <v>46072</v>
      </c>
      <c r="U63" s="14">
        <v>5090</v>
      </c>
      <c r="V63" s="14">
        <v>5090</v>
      </c>
      <c r="W63" s="17">
        <v>46072.547719907401</v>
      </c>
      <c r="X63" s="14" t="s">
        <v>2695</v>
      </c>
      <c r="Y63" s="14">
        <v>750</v>
      </c>
      <c r="Z63" s="14" t="s">
        <v>2692</v>
      </c>
      <c r="AA63" s="18">
        <v>40.452280092598812</v>
      </c>
      <c r="AB63" s="18" t="s">
        <v>2692</v>
      </c>
      <c r="AC63" s="8">
        <f>tbl_DPSAC[[#This Row],[Current Month Due Count]]</f>
        <v>0</v>
      </c>
      <c r="AD63" s="8">
        <f>tbl_DPSAC[[#This Row],[Next Month Due2]]</f>
        <v>0</v>
      </c>
      <c r="AE63" s="8">
        <f t="shared" si="2"/>
        <v>0</v>
      </c>
      <c r="AF63" s="8">
        <v>1</v>
      </c>
      <c r="AG63" s="14">
        <f t="shared" ca="1" si="3"/>
        <v>5130</v>
      </c>
      <c r="AH63" s="8" t="s">
        <v>556</v>
      </c>
      <c r="AI63" s="8" t="s">
        <v>557</v>
      </c>
      <c r="AJ63" s="8">
        <v>0</v>
      </c>
      <c r="AK63" s="8" t="s">
        <v>558</v>
      </c>
      <c r="AL63" s="8" t="s">
        <v>559</v>
      </c>
      <c r="AM63" s="8">
        <v>0</v>
      </c>
      <c r="AN63" s="8">
        <v>0</v>
      </c>
      <c r="AO63" s="8">
        <v>0</v>
      </c>
      <c r="AP63" s="8">
        <v>0</v>
      </c>
      <c r="AQ63" s="8">
        <v>0</v>
      </c>
      <c r="AR63" s="8">
        <v>0</v>
      </c>
      <c r="AS63" s="8">
        <v>0</v>
      </c>
      <c r="AT63" s="8">
        <v>0</v>
      </c>
      <c r="AU63" s="8">
        <v>0</v>
      </c>
      <c r="AV63" s="8">
        <v>0</v>
      </c>
      <c r="AW63" s="8">
        <v>0</v>
      </c>
      <c r="AX63" s="8" t="s">
        <v>2007</v>
      </c>
      <c r="AY63" s="14">
        <v>5090</v>
      </c>
      <c r="AZ63" s="19">
        <v>46072</v>
      </c>
      <c r="BA63" s="14" t="s">
        <v>560</v>
      </c>
      <c r="BB63" s="14">
        <v>5090</v>
      </c>
      <c r="BC63" s="19">
        <v>46072</v>
      </c>
      <c r="BD63" s="14" t="s">
        <v>560</v>
      </c>
      <c r="BE63" s="14">
        <v>5090</v>
      </c>
      <c r="BF63" s="19">
        <v>46072</v>
      </c>
      <c r="BG63" s="14" t="s">
        <v>560</v>
      </c>
      <c r="BH63" s="14">
        <v>5090</v>
      </c>
      <c r="BI63" s="19">
        <v>46072</v>
      </c>
      <c r="BJ63" s="14" t="s">
        <v>560</v>
      </c>
      <c r="BK63" s="14">
        <v>5090</v>
      </c>
      <c r="BL63" s="19">
        <v>46072</v>
      </c>
      <c r="BM63" s="14" t="s">
        <v>560</v>
      </c>
      <c r="BN63" s="27">
        <v>46252</v>
      </c>
      <c r="BO63" s="27">
        <v>46252</v>
      </c>
      <c r="BP63" s="27">
        <v>46252</v>
      </c>
      <c r="BQ63" s="27">
        <v>46252</v>
      </c>
      <c r="BR63" s="27">
        <v>46437</v>
      </c>
      <c r="BS63" s="28">
        <v>710</v>
      </c>
      <c r="BT63" s="29">
        <v>1460</v>
      </c>
      <c r="BU63" s="29">
        <v>710</v>
      </c>
      <c r="BV63" s="29">
        <v>710</v>
      </c>
      <c r="BW63" s="29">
        <v>1460</v>
      </c>
      <c r="BX63" s="30">
        <v>0</v>
      </c>
      <c r="BY63" s="8">
        <v>0</v>
      </c>
      <c r="BZ63" s="8">
        <v>0</v>
      </c>
      <c r="CA63" s="8">
        <v>0</v>
      </c>
      <c r="CB63" s="21">
        <v>46071.770833333299</v>
      </c>
      <c r="CC63" s="21">
        <v>46071.770833333299</v>
      </c>
      <c r="CD63" s="21">
        <v>46071.770833333299</v>
      </c>
      <c r="CE63" s="21">
        <v>46071.770833333299</v>
      </c>
      <c r="CF63" s="21">
        <v>46071.770833333299</v>
      </c>
      <c r="CG63" s="21">
        <v>46071.770833333299</v>
      </c>
      <c r="CH63" s="21">
        <v>46071.770833333299</v>
      </c>
      <c r="CI63" s="21">
        <v>46071.770833333299</v>
      </c>
      <c r="CJ63" s="21">
        <v>46071.770833333299</v>
      </c>
      <c r="CK63" s="22" t="s">
        <v>2956</v>
      </c>
      <c r="CL63" s="22" t="s">
        <v>2957</v>
      </c>
      <c r="CM63" s="22" t="s">
        <v>2959</v>
      </c>
      <c r="CN63" s="22" t="s">
        <v>2957</v>
      </c>
      <c r="CO63" s="22" t="s">
        <v>2957</v>
      </c>
      <c r="CP63" s="22" t="s">
        <v>2956</v>
      </c>
      <c r="CQ63" s="22" t="s">
        <v>2953</v>
      </c>
      <c r="CR63" s="22" t="s">
        <v>2956</v>
      </c>
      <c r="CS63" s="22" t="s">
        <v>2960</v>
      </c>
      <c r="CT63" s="22">
        <v>10</v>
      </c>
      <c r="CU63" s="21">
        <v>46222</v>
      </c>
      <c r="CV63" s="21">
        <v>46147</v>
      </c>
      <c r="CW63" s="21">
        <v>46122</v>
      </c>
      <c r="CX63" s="21">
        <v>46147</v>
      </c>
      <c r="CY63" s="21">
        <v>46147</v>
      </c>
      <c r="CZ63" s="21">
        <v>46222</v>
      </c>
      <c r="DA63" s="21">
        <v>46172</v>
      </c>
      <c r="DB63" s="21">
        <v>46222</v>
      </c>
      <c r="DC63" s="21">
        <v>46372</v>
      </c>
      <c r="DD63" s="8">
        <v>0</v>
      </c>
      <c r="DE63" s="8">
        <v>0</v>
      </c>
      <c r="DF63" s="8">
        <v>0</v>
      </c>
      <c r="DG63" s="8">
        <v>0</v>
      </c>
      <c r="DH63" s="8">
        <v>1</v>
      </c>
      <c r="DI63" s="8">
        <v>4</v>
      </c>
      <c r="DJ63" s="8" t="s">
        <v>2954</v>
      </c>
      <c r="DK63" s="21">
        <v>44623</v>
      </c>
      <c r="DL63" s="21">
        <v>44426.229166666664</v>
      </c>
      <c r="DM63" s="21">
        <v>46072</v>
      </c>
      <c r="DN63" s="18">
        <v>5090</v>
      </c>
      <c r="DO63" s="21">
        <v>0</v>
      </c>
      <c r="DP63" s="21">
        <v>0</v>
      </c>
      <c r="DQ63" s="21" t="s">
        <v>2955</v>
      </c>
      <c r="DR63" s="21">
        <v>46072</v>
      </c>
      <c r="DS63" s="21">
        <v>46072</v>
      </c>
      <c r="DT63" s="21">
        <v>46072</v>
      </c>
      <c r="DU63" s="21">
        <v>46072</v>
      </c>
      <c r="DV63" s="21">
        <v>46072</v>
      </c>
      <c r="DW63" s="21">
        <v>46072</v>
      </c>
      <c r="DX63" s="21">
        <v>46072</v>
      </c>
      <c r="DY63" s="21">
        <v>46072</v>
      </c>
      <c r="DZ63" s="21">
        <v>46072</v>
      </c>
      <c r="EA63" s="8">
        <v>1500</v>
      </c>
      <c r="EB63" s="8">
        <v>750</v>
      </c>
      <c r="EC63" s="8">
        <v>500</v>
      </c>
      <c r="ED63" s="8">
        <v>750</v>
      </c>
      <c r="EE63" s="8">
        <v>750</v>
      </c>
      <c r="EF63" s="8">
        <v>1500</v>
      </c>
      <c r="EG63" s="8">
        <v>1000</v>
      </c>
      <c r="EH63" s="8">
        <v>1500</v>
      </c>
      <c r="EI63" s="8">
        <v>3000</v>
      </c>
      <c r="EJ63" s="8">
        <v>10</v>
      </c>
      <c r="EK63" s="8" t="s">
        <v>2624</v>
      </c>
      <c r="EL63" s="8">
        <v>40</v>
      </c>
      <c r="EM63" s="8">
        <v>40</v>
      </c>
      <c r="EN63" s="8">
        <v>1212</v>
      </c>
      <c r="EO63" s="8">
        <v>462</v>
      </c>
      <c r="EP63" s="8">
        <v>212</v>
      </c>
      <c r="EQ63" s="8">
        <v>462</v>
      </c>
      <c r="ER63" s="8">
        <v>462</v>
      </c>
      <c r="ES63" s="8">
        <v>1212</v>
      </c>
      <c r="ET63" s="8">
        <v>712</v>
      </c>
      <c r="EU63" s="8">
        <v>1212</v>
      </c>
      <c r="EV63" s="8">
        <v>2712</v>
      </c>
    </row>
    <row r="64" spans="1:152" x14ac:dyDescent="0.15">
      <c r="A64" s="8">
        <f>ROW([2]!tbl_DPSAC[[#This Row],[Sl. No.]])-1</f>
        <v>63</v>
      </c>
      <c r="B64" s="9" t="s">
        <v>136</v>
      </c>
      <c r="C64" s="9" t="s">
        <v>561</v>
      </c>
      <c r="D64" s="9" t="s">
        <v>138</v>
      </c>
      <c r="E64" s="9" t="s">
        <v>139</v>
      </c>
      <c r="F64" s="9" t="s">
        <v>161</v>
      </c>
      <c r="G64" s="10" t="s">
        <v>184</v>
      </c>
      <c r="H64" s="10" t="str">
        <f>_xlfn.XLOOKUP(C64,'[1]E&amp;DPSAC'!$K:$K,'[1]E&amp;DPSAC'!$E:$E,,0)</f>
        <v>BASTAWLA DHANBAD</v>
      </c>
      <c r="I64" s="10"/>
      <c r="J64" s="10">
        <v>9424744640</v>
      </c>
      <c r="K64" s="10">
        <f>_xlfn.XLOOKUP(C64,'[1]E&amp;DPSAC'!$K:$K,'[1]E&amp;DPSAC'!$G:$G,"",0)</f>
        <v>8658834483</v>
      </c>
      <c r="L64" s="9" t="str">
        <f t="shared" ca="1" si="0"/>
        <v>Non - Warranty</v>
      </c>
      <c r="M64" s="11">
        <v>44357</v>
      </c>
      <c r="N64" s="12">
        <v>24</v>
      </c>
      <c r="O64" s="11">
        <f t="shared" si="1"/>
        <v>45107</v>
      </c>
      <c r="P64" s="8" t="s">
        <v>142</v>
      </c>
      <c r="Q64" s="16" t="s">
        <v>570</v>
      </c>
      <c r="R64" s="15">
        <v>45265.573969907397</v>
      </c>
      <c r="S64" s="14">
        <v>5350</v>
      </c>
      <c r="T64" s="15">
        <v>45645</v>
      </c>
      <c r="U64" s="14">
        <v>6992</v>
      </c>
      <c r="V64" s="14">
        <v>7705</v>
      </c>
      <c r="W64" s="17">
        <v>46041.557627314804</v>
      </c>
      <c r="X64" s="14" t="s">
        <v>2737</v>
      </c>
      <c r="Y64" s="14">
        <v>-1605</v>
      </c>
      <c r="Z64" s="14" t="s">
        <v>2697</v>
      </c>
      <c r="AA64" s="18">
        <v>847.42603009260347</v>
      </c>
      <c r="AB64" s="18" t="s">
        <v>2697</v>
      </c>
      <c r="AC64" s="8">
        <f>tbl_DPSAC[[#This Row],[Current Month Due Count]]</f>
        <v>0</v>
      </c>
      <c r="AD64" s="8">
        <f>tbl_DPSAC[[#This Row],[Next Month Due2]]</f>
        <v>0</v>
      </c>
      <c r="AE64" s="8">
        <f t="shared" si="2"/>
        <v>1</v>
      </c>
      <c r="AF64" s="8">
        <v>2</v>
      </c>
      <c r="AG64" s="14">
        <f t="shared" ca="1" si="3"/>
        <v>7848</v>
      </c>
      <c r="AH64" s="8" t="s">
        <v>562</v>
      </c>
      <c r="AI64" s="8" t="s">
        <v>563</v>
      </c>
      <c r="AJ64" s="8" t="s">
        <v>564</v>
      </c>
      <c r="AK64" s="8" t="s">
        <v>565</v>
      </c>
      <c r="AL64" s="8" t="s">
        <v>566</v>
      </c>
      <c r="AM64" s="8" t="s">
        <v>567</v>
      </c>
      <c r="AN64" s="8" t="s">
        <v>568</v>
      </c>
      <c r="AO64" s="8" t="s">
        <v>569</v>
      </c>
      <c r="AP64" s="8">
        <v>0</v>
      </c>
      <c r="AQ64" s="8">
        <v>0</v>
      </c>
      <c r="AR64" s="8">
        <v>0</v>
      </c>
      <c r="AS64" s="8">
        <v>0</v>
      </c>
      <c r="AT64" s="8">
        <v>0</v>
      </c>
      <c r="AU64" s="8">
        <v>0</v>
      </c>
      <c r="AV64" s="8">
        <v>0</v>
      </c>
      <c r="AW64" s="8">
        <v>0</v>
      </c>
      <c r="AX64" s="8" t="s">
        <v>2961</v>
      </c>
      <c r="AY64" s="14">
        <v>5350</v>
      </c>
      <c r="AZ64" s="19">
        <v>45265</v>
      </c>
      <c r="BA64" s="14" t="s">
        <v>570</v>
      </c>
      <c r="BB64" s="14">
        <v>5350</v>
      </c>
      <c r="BC64" s="19">
        <v>45265</v>
      </c>
      <c r="BD64" s="14" t="s">
        <v>570</v>
      </c>
      <c r="BE64" s="14">
        <v>4500</v>
      </c>
      <c r="BF64" s="19">
        <v>11535</v>
      </c>
      <c r="BG64" s="14" t="s">
        <v>571</v>
      </c>
      <c r="BH64" s="14">
        <v>4500</v>
      </c>
      <c r="BI64" s="19">
        <v>45138</v>
      </c>
      <c r="BJ64" s="14" t="s">
        <v>571</v>
      </c>
      <c r="BK64" s="14">
        <v>5350</v>
      </c>
      <c r="BL64" s="19">
        <v>45265</v>
      </c>
      <c r="BM64" s="14" t="s">
        <v>570</v>
      </c>
      <c r="BN64" s="27">
        <v>45445</v>
      </c>
      <c r="BO64" s="27">
        <v>45445</v>
      </c>
      <c r="BP64" s="27">
        <v>11715</v>
      </c>
      <c r="BQ64" s="27">
        <v>45318</v>
      </c>
      <c r="BR64" s="27">
        <v>45630</v>
      </c>
      <c r="BS64" s="28">
        <v>-1748</v>
      </c>
      <c r="BT64" s="29">
        <v>-998</v>
      </c>
      <c r="BU64" s="29">
        <v>-2598</v>
      </c>
      <c r="BV64" s="29">
        <v>-2598</v>
      </c>
      <c r="BW64" s="29">
        <v>-998</v>
      </c>
      <c r="BX64" s="30" t="s">
        <v>384</v>
      </c>
      <c r="BY64" s="8">
        <v>5</v>
      </c>
      <c r="BZ64" s="8">
        <v>0</v>
      </c>
      <c r="CA64" s="8">
        <v>0</v>
      </c>
      <c r="CB64" s="21">
        <v>45264.770833333299</v>
      </c>
      <c r="CC64" s="21">
        <v>45137.770833333299</v>
      </c>
      <c r="CD64" s="21">
        <v>45137.770833333299</v>
      </c>
      <c r="CE64" s="21">
        <v>45137.770833333299</v>
      </c>
      <c r="CF64" s="21">
        <v>45137.770833333299</v>
      </c>
      <c r="CG64" s="21">
        <v>45264.770833333299</v>
      </c>
      <c r="CH64" s="21">
        <v>45264.770833333299</v>
      </c>
      <c r="CI64" s="21">
        <v>45264.770833333299</v>
      </c>
      <c r="CJ64" s="21">
        <v>45264.770833333299</v>
      </c>
      <c r="CK64" s="22" t="s">
        <v>3015</v>
      </c>
      <c r="CL64" s="22" t="s">
        <v>3015</v>
      </c>
      <c r="CM64" s="22" t="s">
        <v>3015</v>
      </c>
      <c r="CN64" s="22" t="s">
        <v>3015</v>
      </c>
      <c r="CO64" s="22" t="s">
        <v>3015</v>
      </c>
      <c r="CP64" s="22" t="s">
        <v>3016</v>
      </c>
      <c r="CQ64" s="22" t="s">
        <v>2953</v>
      </c>
      <c r="CR64" s="22" t="s">
        <v>3016</v>
      </c>
      <c r="CS64" s="22" t="s">
        <v>3016</v>
      </c>
      <c r="CT64" s="22">
        <v>3</v>
      </c>
      <c r="CU64" s="21">
        <v>45444</v>
      </c>
      <c r="CV64" s="21">
        <v>45317</v>
      </c>
      <c r="CW64" s="21">
        <v>45317</v>
      </c>
      <c r="CX64" s="21">
        <v>45317</v>
      </c>
      <c r="CY64" s="21">
        <v>45317</v>
      </c>
      <c r="CZ64" s="21">
        <v>45534</v>
      </c>
      <c r="DA64" s="21">
        <v>45629</v>
      </c>
      <c r="DB64" s="21">
        <v>45444</v>
      </c>
      <c r="DC64" s="21">
        <v>45629</v>
      </c>
      <c r="DD64" s="8">
        <v>1</v>
      </c>
      <c r="DE64" s="8">
        <v>0</v>
      </c>
      <c r="DF64" s="8">
        <v>0</v>
      </c>
      <c r="DG64" s="8">
        <v>9</v>
      </c>
      <c r="DH64" s="8">
        <v>0</v>
      </c>
      <c r="DI64" s="8">
        <v>0</v>
      </c>
      <c r="DJ64" s="8" t="s">
        <v>2954</v>
      </c>
      <c r="DK64" s="21">
        <v>44357</v>
      </c>
      <c r="DL64" s="21">
        <v>44321.229166666664</v>
      </c>
      <c r="DM64" s="21">
        <v>46041</v>
      </c>
      <c r="DN64" s="18">
        <v>7705</v>
      </c>
      <c r="DO64" s="21">
        <v>0</v>
      </c>
      <c r="DP64" s="21">
        <v>0</v>
      </c>
      <c r="DQ64" s="21" t="s">
        <v>2955</v>
      </c>
      <c r="DR64" s="21">
        <v>45265</v>
      </c>
      <c r="DS64" s="21">
        <v>45138</v>
      </c>
      <c r="DT64" s="21">
        <v>45138</v>
      </c>
      <c r="DU64" s="21">
        <v>45138</v>
      </c>
      <c r="DV64" s="21">
        <v>45138</v>
      </c>
      <c r="DW64" s="21">
        <v>45265</v>
      </c>
      <c r="DX64" s="21">
        <v>45265</v>
      </c>
      <c r="DY64" s="21">
        <v>45265</v>
      </c>
      <c r="DZ64" s="21">
        <v>45265</v>
      </c>
      <c r="EA64" s="8">
        <v>605</v>
      </c>
      <c r="EB64" s="8">
        <v>605</v>
      </c>
      <c r="EC64" s="8">
        <v>605</v>
      </c>
      <c r="ED64" s="8">
        <v>605</v>
      </c>
      <c r="EE64" s="8">
        <v>605</v>
      </c>
      <c r="EF64" s="8">
        <v>855</v>
      </c>
      <c r="EG64" s="8">
        <v>1000</v>
      </c>
      <c r="EH64" s="8">
        <v>855</v>
      </c>
      <c r="EI64" s="8">
        <v>855</v>
      </c>
      <c r="EJ64" s="8">
        <v>3</v>
      </c>
      <c r="EK64" s="8" t="s">
        <v>2624</v>
      </c>
      <c r="EL64" s="8">
        <v>71</v>
      </c>
      <c r="EM64" s="8">
        <v>142</v>
      </c>
      <c r="EN64" s="8">
        <v>317</v>
      </c>
      <c r="EO64" s="8">
        <v>317</v>
      </c>
      <c r="EP64" s="8">
        <v>317</v>
      </c>
      <c r="EQ64" s="8">
        <v>317</v>
      </c>
      <c r="ER64" s="8">
        <v>317</v>
      </c>
      <c r="ES64" s="8">
        <v>567</v>
      </c>
      <c r="ET64" s="8">
        <v>712</v>
      </c>
      <c r="EU64" s="8">
        <v>567</v>
      </c>
      <c r="EV64" s="8">
        <v>567</v>
      </c>
    </row>
    <row r="65" spans="1:152" x14ac:dyDescent="0.15">
      <c r="A65" s="8">
        <f>ROW([2]!tbl_DPSAC[[#This Row],[Sl. No.]])-1</f>
        <v>64</v>
      </c>
      <c r="B65" s="9" t="s">
        <v>136</v>
      </c>
      <c r="C65" s="9" t="s">
        <v>572</v>
      </c>
      <c r="D65" s="9" t="s">
        <v>138</v>
      </c>
      <c r="E65" s="9" t="s">
        <v>139</v>
      </c>
      <c r="F65" s="9" t="s">
        <v>161</v>
      </c>
      <c r="G65" s="10" t="s">
        <v>303</v>
      </c>
      <c r="H65" s="10" t="str">
        <f>_xlfn.XLOOKUP(C65,'[1]E&amp;DPSAC'!$K:$K,'[1]E&amp;DPSAC'!$E:$E,,0)</f>
        <v>TAPIN PROJECT, TAPIN</v>
      </c>
      <c r="I65" s="10"/>
      <c r="J65" s="10">
        <v>8521064546</v>
      </c>
      <c r="K65" s="10">
        <f>_xlfn.XLOOKUP(C65,'[1]E&amp;DPSAC'!$K:$K,'[1]E&amp;DPSAC'!$G:$G,"",0)</f>
        <v>7644045555</v>
      </c>
      <c r="L65" s="9" t="str">
        <f t="shared" ca="1" si="0"/>
        <v>Non - Warranty</v>
      </c>
      <c r="M65" s="11">
        <v>44623</v>
      </c>
      <c r="N65" s="12">
        <v>24</v>
      </c>
      <c r="O65" s="11">
        <f t="shared" si="1"/>
        <v>45382</v>
      </c>
      <c r="P65" s="8" t="s">
        <v>142</v>
      </c>
      <c r="Q65" s="16" t="s">
        <v>582</v>
      </c>
      <c r="R65" s="15">
        <v>46072.5488541667</v>
      </c>
      <c r="S65" s="14">
        <v>7920</v>
      </c>
      <c r="T65" s="15">
        <v>46072</v>
      </c>
      <c r="U65" s="14">
        <v>7920</v>
      </c>
      <c r="V65" s="14">
        <v>7920</v>
      </c>
      <c r="W65" s="17">
        <v>46072.5488541667</v>
      </c>
      <c r="X65" s="14" t="s">
        <v>2695</v>
      </c>
      <c r="Y65" s="14">
        <v>750</v>
      </c>
      <c r="Z65" s="14" t="s">
        <v>2692</v>
      </c>
      <c r="AA65" s="18">
        <v>40.451145833299961</v>
      </c>
      <c r="AB65" s="18" t="s">
        <v>2692</v>
      </c>
      <c r="AC65" s="8">
        <f>tbl_DPSAC[[#This Row],[Current Month Due Count]]</f>
        <v>0</v>
      </c>
      <c r="AD65" s="8">
        <f>tbl_DPSAC[[#This Row],[Next Month Due2]]</f>
        <v>0</v>
      </c>
      <c r="AE65" s="8">
        <f t="shared" si="2"/>
        <v>0</v>
      </c>
      <c r="AF65" s="8">
        <v>2</v>
      </c>
      <c r="AG65" s="14">
        <f t="shared" ca="1" si="3"/>
        <v>8001</v>
      </c>
      <c r="AH65" s="8" t="s">
        <v>573</v>
      </c>
      <c r="AI65" s="8" t="s">
        <v>574</v>
      </c>
      <c r="AJ65" s="8" t="s">
        <v>575</v>
      </c>
      <c r="AK65" s="8" t="s">
        <v>576</v>
      </c>
      <c r="AL65" s="8" t="s">
        <v>577</v>
      </c>
      <c r="AM65" s="8" t="s">
        <v>578</v>
      </c>
      <c r="AN65" s="8" t="s">
        <v>579</v>
      </c>
      <c r="AO65" s="8" t="s">
        <v>580</v>
      </c>
      <c r="AP65" s="8" t="s">
        <v>581</v>
      </c>
      <c r="AQ65" s="8">
        <v>0</v>
      </c>
      <c r="AR65" s="8">
        <v>0</v>
      </c>
      <c r="AS65" s="8">
        <v>0</v>
      </c>
      <c r="AT65" s="8">
        <v>0</v>
      </c>
      <c r="AU65" s="8">
        <v>0</v>
      </c>
      <c r="AV65" s="8">
        <v>0</v>
      </c>
      <c r="AW65" s="8">
        <v>0</v>
      </c>
      <c r="AX65" s="8" t="s">
        <v>2007</v>
      </c>
      <c r="AY65" s="14">
        <v>7919</v>
      </c>
      <c r="AZ65" s="19">
        <v>46072</v>
      </c>
      <c r="BA65" s="14" t="s">
        <v>582</v>
      </c>
      <c r="BB65" s="14">
        <v>7919</v>
      </c>
      <c r="BC65" s="19">
        <v>46072</v>
      </c>
      <c r="BD65" s="14" t="s">
        <v>582</v>
      </c>
      <c r="BE65" s="14">
        <v>7919</v>
      </c>
      <c r="BF65" s="19">
        <v>46072</v>
      </c>
      <c r="BG65" s="14" t="s">
        <v>582</v>
      </c>
      <c r="BH65" s="14">
        <v>7919</v>
      </c>
      <c r="BI65" s="19">
        <v>46072</v>
      </c>
      <c r="BJ65" s="14" t="s">
        <v>582</v>
      </c>
      <c r="BK65" s="14">
        <v>7919</v>
      </c>
      <c r="BL65" s="19">
        <v>46072</v>
      </c>
      <c r="BM65" s="14" t="s">
        <v>582</v>
      </c>
      <c r="BN65" s="27">
        <v>46252</v>
      </c>
      <c r="BO65" s="27">
        <v>46252</v>
      </c>
      <c r="BP65" s="27">
        <v>46252</v>
      </c>
      <c r="BQ65" s="27">
        <v>46252</v>
      </c>
      <c r="BR65" s="27">
        <v>46437</v>
      </c>
      <c r="BS65" s="28">
        <v>668</v>
      </c>
      <c r="BT65" s="29">
        <v>1418</v>
      </c>
      <c r="BU65" s="29">
        <v>668</v>
      </c>
      <c r="BV65" s="29">
        <v>668</v>
      </c>
      <c r="BW65" s="29">
        <v>1418</v>
      </c>
      <c r="BX65" s="30">
        <v>0</v>
      </c>
      <c r="BY65" s="8">
        <v>0</v>
      </c>
      <c r="BZ65" s="8">
        <v>0</v>
      </c>
      <c r="CA65" s="8">
        <v>0</v>
      </c>
      <c r="CB65" s="21">
        <v>46071.770833333299</v>
      </c>
      <c r="CC65" s="21">
        <v>46071.770833333299</v>
      </c>
      <c r="CD65" s="21">
        <v>46071.770833333299</v>
      </c>
      <c r="CE65" s="21">
        <v>46071.770833333299</v>
      </c>
      <c r="CF65" s="21">
        <v>46071.770833333299</v>
      </c>
      <c r="CG65" s="21">
        <v>46071.770833333299</v>
      </c>
      <c r="CH65" s="21">
        <v>46071.770833333299</v>
      </c>
      <c r="CI65" s="21">
        <v>46071.770833333299</v>
      </c>
      <c r="CJ65" s="21">
        <v>46071.770833333299</v>
      </c>
      <c r="CK65" s="22" t="s">
        <v>2956</v>
      </c>
      <c r="CL65" s="22" t="s">
        <v>2957</v>
      </c>
      <c r="CM65" s="22" t="s">
        <v>2959</v>
      </c>
      <c r="CN65" s="22" t="s">
        <v>2957</v>
      </c>
      <c r="CO65" s="22" t="s">
        <v>2957</v>
      </c>
      <c r="CP65" s="22" t="s">
        <v>2956</v>
      </c>
      <c r="CQ65" s="22" t="s">
        <v>2953</v>
      </c>
      <c r="CR65" s="22" t="s">
        <v>2956</v>
      </c>
      <c r="CS65" s="22" t="s">
        <v>2960</v>
      </c>
      <c r="CT65" s="22">
        <v>6</v>
      </c>
      <c r="CU65" s="21">
        <v>46251</v>
      </c>
      <c r="CV65" s="21">
        <v>46197</v>
      </c>
      <c r="CW65" s="21">
        <v>46155</v>
      </c>
      <c r="CX65" s="21">
        <v>46197</v>
      </c>
      <c r="CY65" s="21">
        <v>46197</v>
      </c>
      <c r="CZ65" s="21">
        <v>46322</v>
      </c>
      <c r="DA65" s="21">
        <v>46238</v>
      </c>
      <c r="DB65" s="21">
        <v>46251</v>
      </c>
      <c r="DC65" s="21">
        <v>46436</v>
      </c>
      <c r="DD65" s="8">
        <v>0</v>
      </c>
      <c r="DE65" s="8">
        <v>0</v>
      </c>
      <c r="DF65" s="8">
        <v>0</v>
      </c>
      <c r="DG65" s="8">
        <v>0</v>
      </c>
      <c r="DH65" s="8">
        <v>0</v>
      </c>
      <c r="DI65" s="8">
        <v>1</v>
      </c>
      <c r="DJ65" s="8" t="s">
        <v>2954</v>
      </c>
      <c r="DK65" s="21">
        <v>44610</v>
      </c>
      <c r="DL65" s="21">
        <v>44560.229166666664</v>
      </c>
      <c r="DM65" s="21">
        <v>46072</v>
      </c>
      <c r="DN65" s="18">
        <v>7920</v>
      </c>
      <c r="DO65" s="21">
        <v>0</v>
      </c>
      <c r="DP65" s="21">
        <v>0</v>
      </c>
      <c r="DQ65" s="21" t="s">
        <v>2955</v>
      </c>
      <c r="DR65" s="21">
        <v>46072</v>
      </c>
      <c r="DS65" s="21">
        <v>46072</v>
      </c>
      <c r="DT65" s="21">
        <v>46072</v>
      </c>
      <c r="DU65" s="21">
        <v>46072</v>
      </c>
      <c r="DV65" s="21">
        <v>46072</v>
      </c>
      <c r="DW65" s="21">
        <v>46072</v>
      </c>
      <c r="DX65" s="21">
        <v>46072</v>
      </c>
      <c r="DY65" s="21">
        <v>46072</v>
      </c>
      <c r="DZ65" s="21">
        <v>46072</v>
      </c>
      <c r="EA65" s="8">
        <v>1500</v>
      </c>
      <c r="EB65" s="8">
        <v>750</v>
      </c>
      <c r="EC65" s="8">
        <v>500</v>
      </c>
      <c r="ED65" s="8">
        <v>750</v>
      </c>
      <c r="EE65" s="8">
        <v>750</v>
      </c>
      <c r="EF65" s="8">
        <v>1500</v>
      </c>
      <c r="EG65" s="8">
        <v>1000</v>
      </c>
      <c r="EH65" s="8">
        <v>1500</v>
      </c>
      <c r="EI65" s="8">
        <v>3000</v>
      </c>
      <c r="EJ65" s="8">
        <v>6</v>
      </c>
      <c r="EK65" s="8" t="s">
        <v>2624</v>
      </c>
      <c r="EL65" s="8">
        <v>40</v>
      </c>
      <c r="EM65" s="8">
        <v>80</v>
      </c>
      <c r="EN65" s="8">
        <v>1212</v>
      </c>
      <c r="EO65" s="8">
        <v>462</v>
      </c>
      <c r="EP65" s="8">
        <v>212</v>
      </c>
      <c r="EQ65" s="8">
        <v>462</v>
      </c>
      <c r="ER65" s="8">
        <v>462</v>
      </c>
      <c r="ES65" s="8">
        <v>1212</v>
      </c>
      <c r="ET65" s="8">
        <v>712</v>
      </c>
      <c r="EU65" s="8">
        <v>1212</v>
      </c>
      <c r="EV65" s="8">
        <v>2712</v>
      </c>
    </row>
    <row r="66" spans="1:152" x14ac:dyDescent="0.15">
      <c r="A66" s="8">
        <f>ROW([2]!tbl_DPSAC[[#This Row],[Sl. No.]])-1</f>
        <v>65</v>
      </c>
      <c r="B66" s="9" t="s">
        <v>136</v>
      </c>
      <c r="C66" s="9" t="s">
        <v>583</v>
      </c>
      <c r="D66" s="9" t="s">
        <v>138</v>
      </c>
      <c r="E66" s="9" t="s">
        <v>139</v>
      </c>
      <c r="F66" s="9" t="s">
        <v>161</v>
      </c>
      <c r="G66" s="10" t="s">
        <v>184</v>
      </c>
      <c r="H66" s="10" t="str">
        <f>_xlfn.XLOOKUP(C66,'[1]E&amp;DPSAC'!$K:$K,'[1]E&amp;DPSAC'!$E:$E,,0)</f>
        <v>JAI RAMPUR</v>
      </c>
      <c r="I66" s="10"/>
      <c r="J66" s="10">
        <v>9424764640</v>
      </c>
      <c r="K66" s="10">
        <f>_xlfn.XLOOKUP(C66,'[1]E&amp;DPSAC'!$K:$K,'[1]E&amp;DPSAC'!$G:$G,"",0)</f>
        <v>7623886938</v>
      </c>
      <c r="L66" s="9" t="str">
        <f t="shared" ref="L66:L129" ca="1" si="4">IF(O66&gt;=TODAY(),"Warranty","Non - Warranty")</f>
        <v>Non - Warranty</v>
      </c>
      <c r="M66" s="11">
        <v>44623</v>
      </c>
      <c r="N66" s="12">
        <v>24</v>
      </c>
      <c r="O66" s="11">
        <f t="shared" ref="O66:O129" si="5">EOMONTH(DATE(YEAR(M66)+SUM(N66/12),MONTH(M66),DAY(M66))-1,0)</f>
        <v>45382</v>
      </c>
      <c r="P66" s="8" t="s">
        <v>142</v>
      </c>
      <c r="Q66" s="16" t="s">
        <v>592</v>
      </c>
      <c r="R66" s="15">
        <v>45339.448391203703</v>
      </c>
      <c r="S66" s="14">
        <v>4184</v>
      </c>
      <c r="T66" s="15">
        <v>46002</v>
      </c>
      <c r="U66" s="14">
        <v>8498</v>
      </c>
      <c r="V66" s="14">
        <v>7560</v>
      </c>
      <c r="W66" s="17">
        <v>45962.646527777775</v>
      </c>
      <c r="X66" s="14" t="s">
        <v>2738</v>
      </c>
      <c r="Y66" s="14">
        <v>-2626</v>
      </c>
      <c r="Z66" s="14" t="s">
        <v>2697</v>
      </c>
      <c r="AA66" s="18">
        <v>773.55160879629693</v>
      </c>
      <c r="AB66" s="18" t="s">
        <v>2697</v>
      </c>
      <c r="AC66" s="8">
        <f>tbl_DPSAC[[#This Row],[Current Month Due Count]]</f>
        <v>0</v>
      </c>
      <c r="AD66" s="8">
        <f>tbl_DPSAC[[#This Row],[Next Month Due2]]</f>
        <v>0</v>
      </c>
      <c r="AE66" s="8">
        <f t="shared" ref="AE66:AE129" si="6">IF(AB66="Due",1,0)</f>
        <v>1</v>
      </c>
      <c r="AF66" s="8">
        <v>3</v>
      </c>
      <c r="AG66" s="14">
        <f t="shared" ref="AG66:AG129" ca="1" si="7">IFERROR(IF(V66&gt;=1,ROUND(SUM(SUM(TODAY()-W66)*AF66)+V66,0),""),"")</f>
        <v>8011</v>
      </c>
      <c r="AH66" s="8" t="s">
        <v>584</v>
      </c>
      <c r="AI66" s="8" t="s">
        <v>585</v>
      </c>
      <c r="AJ66" s="8" t="s">
        <v>586</v>
      </c>
      <c r="AK66" s="8" t="s">
        <v>587</v>
      </c>
      <c r="AL66" s="8" t="s">
        <v>588</v>
      </c>
      <c r="AM66" s="8" t="s">
        <v>589</v>
      </c>
      <c r="AN66" s="8" t="s">
        <v>590</v>
      </c>
      <c r="AO66" s="8">
        <v>0</v>
      </c>
      <c r="AP66" s="8" t="s">
        <v>591</v>
      </c>
      <c r="AQ66" s="8">
        <v>0</v>
      </c>
      <c r="AR66" s="8">
        <v>0</v>
      </c>
      <c r="AS66" s="8">
        <v>0</v>
      </c>
      <c r="AT66" s="8">
        <v>0</v>
      </c>
      <c r="AU66" s="8">
        <v>0</v>
      </c>
      <c r="AV66" s="8">
        <v>0</v>
      </c>
      <c r="AW66" s="8">
        <v>0</v>
      </c>
      <c r="AX66" s="8" t="s">
        <v>2961</v>
      </c>
      <c r="AY66" s="14">
        <v>4184</v>
      </c>
      <c r="AZ66" s="19">
        <v>45339</v>
      </c>
      <c r="BA66" s="14" t="s">
        <v>592</v>
      </c>
      <c r="BB66" s="14">
        <v>3060</v>
      </c>
      <c r="BC66" s="19">
        <v>45084</v>
      </c>
      <c r="BD66" s="14" t="s">
        <v>593</v>
      </c>
      <c r="BE66" s="14">
        <v>4184</v>
      </c>
      <c r="BF66" s="19">
        <v>45339</v>
      </c>
      <c r="BG66" s="14" t="s">
        <v>592</v>
      </c>
      <c r="BH66" s="14">
        <v>4184</v>
      </c>
      <c r="BI66" s="19">
        <v>45339</v>
      </c>
      <c r="BJ66" s="14" t="s">
        <v>592</v>
      </c>
      <c r="BK66" s="14">
        <v>1489</v>
      </c>
      <c r="BL66" s="19">
        <v>44854</v>
      </c>
      <c r="BM66" s="14" t="s">
        <v>594</v>
      </c>
      <c r="BN66" s="27">
        <v>45519</v>
      </c>
      <c r="BO66" s="27">
        <v>45264</v>
      </c>
      <c r="BP66" s="27">
        <v>45519</v>
      </c>
      <c r="BQ66" s="27">
        <v>45519</v>
      </c>
      <c r="BR66" s="27">
        <v>45219</v>
      </c>
      <c r="BS66" s="28">
        <v>-3077</v>
      </c>
      <c r="BT66" s="29">
        <v>-3451</v>
      </c>
      <c r="BU66" s="29">
        <v>-3077</v>
      </c>
      <c r="BV66" s="29">
        <v>-3077</v>
      </c>
      <c r="BW66" s="29">
        <v>-5022</v>
      </c>
      <c r="BX66" s="30" t="s">
        <v>152</v>
      </c>
      <c r="BY66" s="8">
        <v>5</v>
      </c>
      <c r="BZ66" s="8">
        <v>0</v>
      </c>
      <c r="CA66" s="8">
        <v>0</v>
      </c>
      <c r="CB66" s="21">
        <v>45338.770833333299</v>
      </c>
      <c r="CC66" s="21">
        <v>45338.770833333299</v>
      </c>
      <c r="CD66" s="21">
        <v>45338.770833333299</v>
      </c>
      <c r="CE66" s="21">
        <v>45338.770833333299</v>
      </c>
      <c r="CF66" s="21">
        <v>45338.770833333299</v>
      </c>
      <c r="CG66" s="21">
        <v>45084.770833333299</v>
      </c>
      <c r="CH66" s="21">
        <v>0</v>
      </c>
      <c r="CI66" s="21">
        <v>44853.770833333299</v>
      </c>
      <c r="CJ66" s="21">
        <v>0</v>
      </c>
      <c r="CK66" s="22" t="s">
        <v>3011</v>
      </c>
      <c r="CL66" s="22" t="s">
        <v>3011</v>
      </c>
      <c r="CM66" s="22" t="s">
        <v>3011</v>
      </c>
      <c r="CN66" s="22" t="s">
        <v>3011</v>
      </c>
      <c r="CO66" s="22" t="s">
        <v>3011</v>
      </c>
      <c r="CP66" s="22" t="s">
        <v>3007</v>
      </c>
      <c r="CQ66" s="22" t="s">
        <v>2953</v>
      </c>
      <c r="CR66" s="22" t="s">
        <v>3007</v>
      </c>
      <c r="CS66" s="22" t="s">
        <v>3007</v>
      </c>
      <c r="CT66" s="22">
        <v>2</v>
      </c>
      <c r="CU66" s="21">
        <v>45518</v>
      </c>
      <c r="CV66" s="21">
        <v>45518</v>
      </c>
      <c r="CW66" s="21">
        <v>45518</v>
      </c>
      <c r="CX66" s="21">
        <v>45518</v>
      </c>
      <c r="CY66" s="21">
        <v>45518</v>
      </c>
      <c r="CZ66" s="21">
        <v>45354</v>
      </c>
      <c r="DA66" s="21">
        <v>46055</v>
      </c>
      <c r="DB66" s="21">
        <v>45033</v>
      </c>
      <c r="DC66" s="21">
        <v>46114</v>
      </c>
      <c r="DD66" s="8">
        <v>1</v>
      </c>
      <c r="DE66" s="8">
        <v>1</v>
      </c>
      <c r="DF66" s="8">
        <v>0</v>
      </c>
      <c r="DG66" s="8">
        <v>8</v>
      </c>
      <c r="DH66" s="8">
        <v>1</v>
      </c>
      <c r="DI66" s="8">
        <v>0</v>
      </c>
      <c r="DJ66" s="8" t="s">
        <v>2954</v>
      </c>
      <c r="DK66" s="21">
        <v>44364</v>
      </c>
      <c r="DL66" s="21">
        <v>44321.229166666664</v>
      </c>
      <c r="DM66" s="21">
        <v>45962</v>
      </c>
      <c r="DN66" s="18">
        <v>7560</v>
      </c>
      <c r="DO66" s="21">
        <v>0</v>
      </c>
      <c r="DP66" s="21">
        <v>0</v>
      </c>
      <c r="DQ66" s="21" t="s">
        <v>2955</v>
      </c>
      <c r="DR66" s="21">
        <v>45339</v>
      </c>
      <c r="DS66" s="21">
        <v>45339</v>
      </c>
      <c r="DT66" s="21">
        <v>45339</v>
      </c>
      <c r="DU66" s="21">
        <v>45339</v>
      </c>
      <c r="DV66" s="21">
        <v>45339</v>
      </c>
      <c r="DW66" s="21">
        <v>45085</v>
      </c>
      <c r="DX66" s="21">
        <v>0</v>
      </c>
      <c r="DY66" s="21">
        <v>44854</v>
      </c>
      <c r="DZ66" s="21">
        <v>0</v>
      </c>
      <c r="EA66" s="8">
        <v>150</v>
      </c>
      <c r="EB66" s="8">
        <v>150</v>
      </c>
      <c r="EC66" s="8">
        <v>150</v>
      </c>
      <c r="ED66" s="8">
        <v>150</v>
      </c>
      <c r="EE66" s="8">
        <v>150</v>
      </c>
      <c r="EF66" s="8">
        <v>650</v>
      </c>
      <c r="EG66" s="8">
        <v>1000</v>
      </c>
      <c r="EH66" s="8">
        <v>650</v>
      </c>
      <c r="EI66" s="8">
        <v>650</v>
      </c>
      <c r="EJ66" s="8">
        <v>2</v>
      </c>
      <c r="EK66" s="8" t="s">
        <v>2624</v>
      </c>
      <c r="EL66" s="8">
        <v>150</v>
      </c>
      <c r="EM66" s="8">
        <v>450</v>
      </c>
      <c r="EN66" s="8">
        <v>-138</v>
      </c>
      <c r="EO66" s="8">
        <v>-138</v>
      </c>
      <c r="EP66" s="8">
        <v>-138</v>
      </c>
      <c r="EQ66" s="8">
        <v>-138</v>
      </c>
      <c r="ER66" s="8">
        <v>-138</v>
      </c>
      <c r="ES66" s="8">
        <v>362</v>
      </c>
      <c r="ET66" s="8">
        <v>712</v>
      </c>
      <c r="EU66" s="8">
        <v>362</v>
      </c>
      <c r="EV66" s="8">
        <v>362</v>
      </c>
    </row>
    <row r="67" spans="1:152" x14ac:dyDescent="0.15">
      <c r="A67" s="8">
        <f>ROW([2]!tbl_DPSAC[[#This Row],[Sl. No.]])-1</f>
        <v>66</v>
      </c>
      <c r="B67" s="9" t="s">
        <v>136</v>
      </c>
      <c r="C67" s="9" t="s">
        <v>595</v>
      </c>
      <c r="D67" s="9" t="s">
        <v>138</v>
      </c>
      <c r="E67" s="9" t="s">
        <v>139</v>
      </c>
      <c r="F67" s="9" t="s">
        <v>161</v>
      </c>
      <c r="G67" s="10" t="s">
        <v>596</v>
      </c>
      <c r="H67" s="10" t="str">
        <f>_xlfn.XLOOKUP(C67,'[1]E&amp;DPSAC'!$K:$K,'[1]E&amp;DPSAC'!$E:$E,,0)</f>
        <v>ASHOKA PROJECT PIPARWAR</v>
      </c>
      <c r="I67" s="10" t="s">
        <v>597</v>
      </c>
      <c r="J67" s="10">
        <v>9102400908</v>
      </c>
      <c r="K67" s="10">
        <f>_xlfn.XLOOKUP(C67,'[1]E&amp;DPSAC'!$K:$K,'[1]E&amp;DPSAC'!$G:$G,"",0)</f>
        <v>9102994454</v>
      </c>
      <c r="L67" s="9" t="str">
        <f t="shared" ca="1" si="4"/>
        <v>Non - Warranty</v>
      </c>
      <c r="M67" s="11">
        <v>44572.760416666701</v>
      </c>
      <c r="N67" s="12">
        <v>24</v>
      </c>
      <c r="O67" s="11">
        <f t="shared" si="5"/>
        <v>45322</v>
      </c>
      <c r="P67" s="8" t="s">
        <v>142</v>
      </c>
      <c r="Q67" s="16" t="s">
        <v>606</v>
      </c>
      <c r="R67" s="15">
        <v>46007.692025463002</v>
      </c>
      <c r="S67" s="14">
        <v>8735</v>
      </c>
      <c r="T67" s="15">
        <v>46007</v>
      </c>
      <c r="U67" s="14">
        <v>6651</v>
      </c>
      <c r="V67" s="14">
        <v>8735</v>
      </c>
      <c r="W67" s="17">
        <v>46007.692025463002</v>
      </c>
      <c r="X67" s="14" t="s">
        <v>2739</v>
      </c>
      <c r="Y67" s="14">
        <v>750</v>
      </c>
      <c r="Z67" s="14" t="s">
        <v>2692</v>
      </c>
      <c r="AA67" s="18">
        <v>105.30797453699779</v>
      </c>
      <c r="AB67" s="18" t="s">
        <v>2692</v>
      </c>
      <c r="AC67" s="8">
        <f>tbl_DPSAC[[#This Row],[Current Month Due Count]]</f>
        <v>0</v>
      </c>
      <c r="AD67" s="8">
        <f>tbl_DPSAC[[#This Row],[Next Month Due2]]</f>
        <v>0</v>
      </c>
      <c r="AE67" s="8">
        <f t="shared" si="6"/>
        <v>0</v>
      </c>
      <c r="AF67" s="8">
        <v>2</v>
      </c>
      <c r="AG67" s="14">
        <f t="shared" ca="1" si="7"/>
        <v>8946</v>
      </c>
      <c r="AH67" s="8" t="s">
        <v>598</v>
      </c>
      <c r="AI67" s="8" t="s">
        <v>188</v>
      </c>
      <c r="AJ67" s="8">
        <v>0</v>
      </c>
      <c r="AK67" s="8" t="s">
        <v>599</v>
      </c>
      <c r="AL67" s="8">
        <v>0</v>
      </c>
      <c r="AM67" s="8" t="s">
        <v>600</v>
      </c>
      <c r="AN67" s="8" t="s">
        <v>601</v>
      </c>
      <c r="AO67" s="8" t="s">
        <v>602</v>
      </c>
      <c r="AP67" s="8" t="s">
        <v>603</v>
      </c>
      <c r="AQ67" s="8" t="s">
        <v>604</v>
      </c>
      <c r="AR67" s="8" t="s">
        <v>605</v>
      </c>
      <c r="AS67" s="8">
        <v>0</v>
      </c>
      <c r="AT67" s="8">
        <v>0</v>
      </c>
      <c r="AU67" s="8">
        <v>0</v>
      </c>
      <c r="AV67" s="8">
        <v>0</v>
      </c>
      <c r="AW67" s="8">
        <v>0</v>
      </c>
      <c r="AX67" s="8" t="s">
        <v>2007</v>
      </c>
      <c r="AY67" s="14">
        <v>8735</v>
      </c>
      <c r="AZ67" s="19">
        <v>46007</v>
      </c>
      <c r="BA67" s="14" t="s">
        <v>606</v>
      </c>
      <c r="BB67" s="14">
        <v>8735</v>
      </c>
      <c r="BC67" s="19">
        <v>46007</v>
      </c>
      <c r="BD67" s="14" t="s">
        <v>606</v>
      </c>
      <c r="BE67" s="14">
        <v>8735</v>
      </c>
      <c r="BF67" s="19">
        <v>46007</v>
      </c>
      <c r="BG67" s="14" t="s">
        <v>606</v>
      </c>
      <c r="BH67" s="14">
        <v>8735</v>
      </c>
      <c r="BI67" s="19">
        <v>46007</v>
      </c>
      <c r="BJ67" s="14" t="s">
        <v>606</v>
      </c>
      <c r="BK67" s="14">
        <v>8735</v>
      </c>
      <c r="BL67" s="19">
        <v>46007</v>
      </c>
      <c r="BM67" s="14" t="s">
        <v>606</v>
      </c>
      <c r="BN67" s="27">
        <v>46187</v>
      </c>
      <c r="BO67" s="27">
        <v>46187</v>
      </c>
      <c r="BP67" s="27">
        <v>46187</v>
      </c>
      <c r="BQ67" s="27">
        <v>46187</v>
      </c>
      <c r="BR67" s="27">
        <v>46372</v>
      </c>
      <c r="BS67" s="28">
        <v>539</v>
      </c>
      <c r="BT67" s="29">
        <v>1289</v>
      </c>
      <c r="BU67" s="29">
        <v>539</v>
      </c>
      <c r="BV67" s="29">
        <v>539</v>
      </c>
      <c r="BW67" s="29">
        <v>1289</v>
      </c>
      <c r="BX67" s="30">
        <v>0</v>
      </c>
      <c r="BY67" s="8">
        <v>0</v>
      </c>
      <c r="BZ67" s="8">
        <v>0</v>
      </c>
      <c r="CA67" s="8">
        <v>0</v>
      </c>
      <c r="CB67" s="21">
        <v>46006.770833333299</v>
      </c>
      <c r="CC67" s="21">
        <v>46006.770833333299</v>
      </c>
      <c r="CD67" s="21">
        <v>46006.770833333299</v>
      </c>
      <c r="CE67" s="21">
        <v>46006.770833333299</v>
      </c>
      <c r="CF67" s="21">
        <v>46006.770833333299</v>
      </c>
      <c r="CG67" s="21">
        <v>46006.770833333299</v>
      </c>
      <c r="CH67" s="21">
        <v>46006.770833333299</v>
      </c>
      <c r="CI67" s="21">
        <v>46006.770833333299</v>
      </c>
      <c r="CJ67" s="21">
        <v>46006.770833333299</v>
      </c>
      <c r="CK67" s="22" t="s">
        <v>2956</v>
      </c>
      <c r="CL67" s="22" t="s">
        <v>2957</v>
      </c>
      <c r="CM67" s="22" t="s">
        <v>2957</v>
      </c>
      <c r="CN67" s="22" t="s">
        <v>2957</v>
      </c>
      <c r="CO67" s="22" t="s">
        <v>2957</v>
      </c>
      <c r="CP67" s="22" t="s">
        <v>2956</v>
      </c>
      <c r="CQ67" s="22" t="s">
        <v>2953</v>
      </c>
      <c r="CR67" s="22" t="s">
        <v>2956</v>
      </c>
      <c r="CS67" s="22" t="s">
        <v>2956</v>
      </c>
      <c r="CT67" s="22">
        <v>5</v>
      </c>
      <c r="CU67" s="21">
        <v>46186</v>
      </c>
      <c r="CV67" s="21">
        <v>46157</v>
      </c>
      <c r="CW67" s="21">
        <v>46157</v>
      </c>
      <c r="CX67" s="21">
        <v>46157</v>
      </c>
      <c r="CY67" s="21">
        <v>46157</v>
      </c>
      <c r="CZ67" s="21">
        <v>46276</v>
      </c>
      <c r="DA67" s="21">
        <v>46207</v>
      </c>
      <c r="DB67" s="21">
        <v>46186</v>
      </c>
      <c r="DC67" s="21">
        <v>46307</v>
      </c>
      <c r="DD67" s="8">
        <v>0</v>
      </c>
      <c r="DE67" s="8">
        <v>0</v>
      </c>
      <c r="DF67" s="8">
        <v>0</v>
      </c>
      <c r="DG67" s="8">
        <v>0</v>
      </c>
      <c r="DH67" s="8">
        <v>0</v>
      </c>
      <c r="DI67" s="8">
        <v>4</v>
      </c>
      <c r="DJ67" s="8" t="s">
        <v>2954</v>
      </c>
      <c r="DK67" s="21">
        <v>44572</v>
      </c>
      <c r="DL67" s="21">
        <v>44536.229166666664</v>
      </c>
      <c r="DM67" s="21">
        <v>46007</v>
      </c>
      <c r="DN67" s="18">
        <v>8735</v>
      </c>
      <c r="DO67" s="21">
        <v>0</v>
      </c>
      <c r="DP67" s="21">
        <v>0</v>
      </c>
      <c r="DQ67" s="21" t="s">
        <v>2955</v>
      </c>
      <c r="DR67" s="21">
        <v>46007</v>
      </c>
      <c r="DS67" s="21">
        <v>46007</v>
      </c>
      <c r="DT67" s="21">
        <v>46007</v>
      </c>
      <c r="DU67" s="21">
        <v>46007</v>
      </c>
      <c r="DV67" s="21">
        <v>46007</v>
      </c>
      <c r="DW67" s="21">
        <v>46007</v>
      </c>
      <c r="DX67" s="21">
        <v>46007</v>
      </c>
      <c r="DY67" s="21">
        <v>46007</v>
      </c>
      <c r="DZ67" s="21">
        <v>46007</v>
      </c>
      <c r="EA67" s="8">
        <v>1500</v>
      </c>
      <c r="EB67" s="8">
        <v>750</v>
      </c>
      <c r="EC67" s="8">
        <v>750</v>
      </c>
      <c r="ED67" s="8">
        <v>750</v>
      </c>
      <c r="EE67" s="8">
        <v>750</v>
      </c>
      <c r="EF67" s="8">
        <v>1500</v>
      </c>
      <c r="EG67" s="8">
        <v>1000</v>
      </c>
      <c r="EH67" s="8">
        <v>1500</v>
      </c>
      <c r="EI67" s="8">
        <v>1500</v>
      </c>
      <c r="EJ67" s="8">
        <v>5</v>
      </c>
      <c r="EK67" s="8" t="s">
        <v>2624</v>
      </c>
      <c r="EL67" s="8">
        <v>105</v>
      </c>
      <c r="EM67" s="8">
        <v>210</v>
      </c>
      <c r="EN67" s="8">
        <v>1212</v>
      </c>
      <c r="EO67" s="8">
        <v>462</v>
      </c>
      <c r="EP67" s="8">
        <v>462</v>
      </c>
      <c r="EQ67" s="8">
        <v>462</v>
      </c>
      <c r="ER67" s="8">
        <v>462</v>
      </c>
      <c r="ES67" s="8">
        <v>1212</v>
      </c>
      <c r="ET67" s="8">
        <v>712</v>
      </c>
      <c r="EU67" s="8">
        <v>1212</v>
      </c>
      <c r="EV67" s="8">
        <v>1212</v>
      </c>
    </row>
    <row r="68" spans="1:152" x14ac:dyDescent="0.15">
      <c r="A68" s="8">
        <f>ROW([2]!tbl_DPSAC[[#This Row],[Sl. No.]])-1</f>
        <v>67</v>
      </c>
      <c r="B68" s="9" t="s">
        <v>136</v>
      </c>
      <c r="C68" s="9" t="s">
        <v>607</v>
      </c>
      <c r="D68" s="9" t="s">
        <v>175</v>
      </c>
      <c r="E68" s="9" t="s">
        <v>176</v>
      </c>
      <c r="F68" s="9" t="s">
        <v>161</v>
      </c>
      <c r="G68" s="10" t="s">
        <v>608</v>
      </c>
      <c r="H68" s="10" t="str">
        <f>_xlfn.XLOOKUP(C68,'[1]E&amp;DPSAC'!$K:$K,'[1]E&amp;DPSAC'!$E:$E,,0)</f>
        <v>JAMSHEDPUR</v>
      </c>
      <c r="I68" s="10" t="s">
        <v>609</v>
      </c>
      <c r="J68" s="10">
        <v>8809697867</v>
      </c>
      <c r="K68" s="10">
        <f>_xlfn.XLOOKUP(C68,'[1]E&amp;DPSAC'!$K:$K,'[1]E&amp;DPSAC'!$G:$G,"",0)</f>
        <v>9431373731</v>
      </c>
      <c r="L68" s="9" t="str">
        <f t="shared" ca="1" si="4"/>
        <v>Non - Warranty</v>
      </c>
      <c r="M68" s="11">
        <v>44653.7368055556</v>
      </c>
      <c r="N68" s="12">
        <v>24</v>
      </c>
      <c r="O68" s="11">
        <f t="shared" si="5"/>
        <v>45412</v>
      </c>
      <c r="P68" s="8" t="s">
        <v>142</v>
      </c>
      <c r="Q68" s="16" t="s">
        <v>614</v>
      </c>
      <c r="R68" s="15">
        <v>46072.550138888902</v>
      </c>
      <c r="S68" s="14">
        <v>4700</v>
      </c>
      <c r="T68" s="15">
        <v>46072</v>
      </c>
      <c r="U68" s="14">
        <v>4700</v>
      </c>
      <c r="V68" s="14">
        <v>4700</v>
      </c>
      <c r="W68" s="17">
        <v>46072.550138888902</v>
      </c>
      <c r="X68" s="14" t="s">
        <v>2695</v>
      </c>
      <c r="Y68" s="14">
        <v>750</v>
      </c>
      <c r="Z68" s="14" t="s">
        <v>2692</v>
      </c>
      <c r="AA68" s="18">
        <v>40.449861111097562</v>
      </c>
      <c r="AB68" s="18" t="s">
        <v>2692</v>
      </c>
      <c r="AC68" s="8">
        <f>tbl_DPSAC[[#This Row],[Current Month Due Count]]</f>
        <v>0</v>
      </c>
      <c r="AD68" s="8">
        <f>tbl_DPSAC[[#This Row],[Next Month Due2]]</f>
        <v>0</v>
      </c>
      <c r="AE68" s="8">
        <f t="shared" si="6"/>
        <v>0</v>
      </c>
      <c r="AF68" s="8">
        <v>4</v>
      </c>
      <c r="AG68" s="14">
        <f t="shared" ca="1" si="7"/>
        <v>4862</v>
      </c>
      <c r="AH68" s="8" t="s">
        <v>610</v>
      </c>
      <c r="AI68" s="8" t="s">
        <v>611</v>
      </c>
      <c r="AJ68" s="8">
        <v>0</v>
      </c>
      <c r="AK68" s="8" t="s">
        <v>612</v>
      </c>
      <c r="AL68" s="8" t="s">
        <v>613</v>
      </c>
      <c r="AM68" s="8">
        <v>0</v>
      </c>
      <c r="AN68" s="8">
        <v>0</v>
      </c>
      <c r="AO68" s="8">
        <v>0</v>
      </c>
      <c r="AP68" s="8">
        <v>0</v>
      </c>
      <c r="AQ68" s="8">
        <v>0</v>
      </c>
      <c r="AR68" s="8">
        <v>0</v>
      </c>
      <c r="AS68" s="8">
        <v>0</v>
      </c>
      <c r="AT68" s="8">
        <v>0</v>
      </c>
      <c r="AU68" s="8">
        <v>0</v>
      </c>
      <c r="AV68" s="8">
        <v>0</v>
      </c>
      <c r="AW68" s="8">
        <v>0</v>
      </c>
      <c r="AX68" s="8" t="s">
        <v>2007</v>
      </c>
      <c r="AY68" s="14">
        <v>4700</v>
      </c>
      <c r="AZ68" s="19">
        <v>46072</v>
      </c>
      <c r="BA68" s="14" t="s">
        <v>614</v>
      </c>
      <c r="BB68" s="14">
        <v>4700</v>
      </c>
      <c r="BC68" s="19">
        <v>46072</v>
      </c>
      <c r="BD68" s="14" t="s">
        <v>614</v>
      </c>
      <c r="BE68" s="14">
        <v>4700</v>
      </c>
      <c r="BF68" s="19">
        <v>46072</v>
      </c>
      <c r="BG68" s="14" t="s">
        <v>614</v>
      </c>
      <c r="BH68" s="14">
        <v>4700</v>
      </c>
      <c r="BI68" s="19">
        <v>46072</v>
      </c>
      <c r="BJ68" s="14" t="s">
        <v>614</v>
      </c>
      <c r="BK68" s="14">
        <v>4700</v>
      </c>
      <c r="BL68" s="19">
        <v>46072</v>
      </c>
      <c r="BM68" s="14" t="s">
        <v>614</v>
      </c>
      <c r="BN68" s="27">
        <v>46252</v>
      </c>
      <c r="BO68" s="27">
        <v>46252</v>
      </c>
      <c r="BP68" s="27">
        <v>46252</v>
      </c>
      <c r="BQ68" s="27">
        <v>46252</v>
      </c>
      <c r="BR68" s="27">
        <v>46437</v>
      </c>
      <c r="BS68" s="28">
        <v>588</v>
      </c>
      <c r="BT68" s="29">
        <v>1338</v>
      </c>
      <c r="BU68" s="29">
        <v>588</v>
      </c>
      <c r="BV68" s="29">
        <v>588</v>
      </c>
      <c r="BW68" s="29">
        <v>1338</v>
      </c>
      <c r="BX68" s="30">
        <v>0</v>
      </c>
      <c r="BY68" s="8">
        <v>0</v>
      </c>
      <c r="BZ68" s="8">
        <v>0</v>
      </c>
      <c r="CA68" s="8">
        <v>0</v>
      </c>
      <c r="CB68" s="21">
        <v>46071.770833333299</v>
      </c>
      <c r="CC68" s="21">
        <v>46071.770833333299</v>
      </c>
      <c r="CD68" s="21">
        <v>46071.770833333299</v>
      </c>
      <c r="CE68" s="21">
        <v>46071.770833333299</v>
      </c>
      <c r="CF68" s="21">
        <v>46071.770833333299</v>
      </c>
      <c r="CG68" s="21">
        <v>46071.770833333299</v>
      </c>
      <c r="CH68" s="21">
        <v>46071.770833333299</v>
      </c>
      <c r="CI68" s="21">
        <v>46071.770833333299</v>
      </c>
      <c r="CJ68" s="21">
        <v>46071.770833333299</v>
      </c>
      <c r="CK68" s="22" t="s">
        <v>2956</v>
      </c>
      <c r="CL68" s="22" t="s">
        <v>2957</v>
      </c>
      <c r="CM68" s="22" t="s">
        <v>2959</v>
      </c>
      <c r="CN68" s="22" t="s">
        <v>2957</v>
      </c>
      <c r="CO68" s="22" t="s">
        <v>2957</v>
      </c>
      <c r="CP68" s="22" t="s">
        <v>2956</v>
      </c>
      <c r="CQ68" s="22" t="s">
        <v>2953</v>
      </c>
      <c r="CR68" s="22" t="s">
        <v>2956</v>
      </c>
      <c r="CS68" s="22" t="s">
        <v>2960</v>
      </c>
      <c r="CT68" s="22">
        <v>3</v>
      </c>
      <c r="CU68" s="21">
        <v>46251</v>
      </c>
      <c r="CV68" s="21">
        <v>46251</v>
      </c>
      <c r="CW68" s="21">
        <v>46238</v>
      </c>
      <c r="CX68" s="21">
        <v>46251</v>
      </c>
      <c r="CY68" s="21">
        <v>46251</v>
      </c>
      <c r="CZ68" s="21">
        <v>46341</v>
      </c>
      <c r="DA68" s="21">
        <v>46405</v>
      </c>
      <c r="DB68" s="21">
        <v>46251</v>
      </c>
      <c r="DC68" s="21">
        <v>46436</v>
      </c>
      <c r="DD68" s="8">
        <v>0</v>
      </c>
      <c r="DE68" s="8">
        <v>0</v>
      </c>
      <c r="DF68" s="8">
        <v>0</v>
      </c>
      <c r="DG68" s="8">
        <v>0</v>
      </c>
      <c r="DH68" s="8">
        <v>0</v>
      </c>
      <c r="DI68" s="8">
        <v>0</v>
      </c>
      <c r="DJ68" s="8" t="s">
        <v>2954</v>
      </c>
      <c r="DK68" s="21">
        <v>44653</v>
      </c>
      <c r="DL68" s="21">
        <v>44617.229166666664</v>
      </c>
      <c r="DM68" s="21">
        <v>46072</v>
      </c>
      <c r="DN68" s="18">
        <v>4700</v>
      </c>
      <c r="DO68" s="21">
        <v>0</v>
      </c>
      <c r="DP68" s="21">
        <v>0</v>
      </c>
      <c r="DQ68" s="21" t="s">
        <v>2955</v>
      </c>
      <c r="DR68" s="21">
        <v>46072</v>
      </c>
      <c r="DS68" s="21">
        <v>46072</v>
      </c>
      <c r="DT68" s="21">
        <v>46072</v>
      </c>
      <c r="DU68" s="21">
        <v>46072</v>
      </c>
      <c r="DV68" s="21">
        <v>46072</v>
      </c>
      <c r="DW68" s="21">
        <v>46072</v>
      </c>
      <c r="DX68" s="21">
        <v>46072</v>
      </c>
      <c r="DY68" s="21">
        <v>46072</v>
      </c>
      <c r="DZ68" s="21">
        <v>46072</v>
      </c>
      <c r="EA68" s="8">
        <v>1500</v>
      </c>
      <c r="EB68" s="8">
        <v>750</v>
      </c>
      <c r="EC68" s="8">
        <v>500</v>
      </c>
      <c r="ED68" s="8">
        <v>750</v>
      </c>
      <c r="EE68" s="8">
        <v>750</v>
      </c>
      <c r="EF68" s="8">
        <v>1500</v>
      </c>
      <c r="EG68" s="8">
        <v>1000</v>
      </c>
      <c r="EH68" s="8">
        <v>1500</v>
      </c>
      <c r="EI68" s="8">
        <v>3000</v>
      </c>
      <c r="EJ68" s="8">
        <v>3</v>
      </c>
      <c r="EK68" s="8" t="s">
        <v>2624</v>
      </c>
      <c r="EL68" s="8">
        <v>40</v>
      </c>
      <c r="EM68" s="8">
        <v>160</v>
      </c>
      <c r="EN68" s="8">
        <v>1212</v>
      </c>
      <c r="EO68" s="8">
        <v>462</v>
      </c>
      <c r="EP68" s="8">
        <v>212</v>
      </c>
      <c r="EQ68" s="8">
        <v>462</v>
      </c>
      <c r="ER68" s="8">
        <v>462</v>
      </c>
      <c r="ES68" s="8">
        <v>1212</v>
      </c>
      <c r="ET68" s="8">
        <v>712</v>
      </c>
      <c r="EU68" s="8">
        <v>1212</v>
      </c>
      <c r="EV68" s="8">
        <v>2712</v>
      </c>
    </row>
    <row r="69" spans="1:152" x14ac:dyDescent="0.15">
      <c r="A69" s="8">
        <f>ROW([2]!tbl_DPSAC[[#This Row],[Sl. No.]])-1</f>
        <v>68</v>
      </c>
      <c r="B69" s="9" t="s">
        <v>136</v>
      </c>
      <c r="C69" s="9" t="s">
        <v>615</v>
      </c>
      <c r="D69" s="9" t="s">
        <v>198</v>
      </c>
      <c r="E69" s="9" t="s">
        <v>199</v>
      </c>
      <c r="F69" s="9" t="s">
        <v>161</v>
      </c>
      <c r="G69" s="10" t="s">
        <v>616</v>
      </c>
      <c r="H69" s="10" t="str">
        <f>_xlfn.XLOOKUP(C69,'[1]E&amp;DPSAC'!$K:$K,'[1]E&amp;DPSAC'!$E:$E,,0)</f>
        <v>CHANDAREKHA, GALUDIH</v>
      </c>
      <c r="I69" s="10" t="s">
        <v>617</v>
      </c>
      <c r="J69" s="10">
        <v>8969121059</v>
      </c>
      <c r="K69" s="10">
        <f>_xlfn.XLOOKUP(C69,'[1]E&amp;DPSAC'!$K:$K,'[1]E&amp;DPSAC'!$G:$G,"",0)</f>
        <v>8969121059</v>
      </c>
      <c r="L69" s="9" t="str">
        <f t="shared" ca="1" si="4"/>
        <v>Non - Warranty</v>
      </c>
      <c r="M69" s="11">
        <v>44288.329166666699</v>
      </c>
      <c r="N69" s="12">
        <v>24</v>
      </c>
      <c r="O69" s="11">
        <f t="shared" si="5"/>
        <v>45046</v>
      </c>
      <c r="P69" s="8" t="s">
        <v>157</v>
      </c>
      <c r="Q69" s="16" t="s">
        <v>621</v>
      </c>
      <c r="R69" s="15">
        <v>44691.7339699074</v>
      </c>
      <c r="S69" s="14">
        <v>971</v>
      </c>
      <c r="T69" s="15">
        <v>44667</v>
      </c>
      <c r="U69" s="14">
        <v>1051</v>
      </c>
      <c r="V69" s="14">
        <v>1125</v>
      </c>
      <c r="W69" s="17">
        <v>44748.681898148097</v>
      </c>
      <c r="X69" s="14" t="s">
        <v>2740</v>
      </c>
      <c r="Y69" s="14">
        <v>596</v>
      </c>
      <c r="Z69" s="14" t="s">
        <v>2692</v>
      </c>
      <c r="AA69" s="18">
        <v>1421.2660300926</v>
      </c>
      <c r="AB69" s="18" t="s">
        <v>2697</v>
      </c>
      <c r="AC69" s="8">
        <f>tbl_DPSAC[[#This Row],[Current Month Due Count]]</f>
        <v>0</v>
      </c>
      <c r="AD69" s="8">
        <f>tbl_DPSAC[[#This Row],[Next Month Due2]]</f>
        <v>0</v>
      </c>
      <c r="AE69" s="8">
        <f t="shared" si="6"/>
        <v>1</v>
      </c>
      <c r="AF69" s="8">
        <v>3</v>
      </c>
      <c r="AG69" s="14">
        <f t="shared" ca="1" si="7"/>
        <v>5218</v>
      </c>
      <c r="AH69" s="8" t="s">
        <v>618</v>
      </c>
      <c r="AI69" s="8" t="s">
        <v>619</v>
      </c>
      <c r="AJ69" s="8" t="s">
        <v>620</v>
      </c>
      <c r="AK69" s="8">
        <v>0</v>
      </c>
      <c r="AL69" s="8">
        <v>0</v>
      </c>
      <c r="AM69" s="8">
        <v>0</v>
      </c>
      <c r="AN69" s="8">
        <v>0</v>
      </c>
      <c r="AO69" s="8">
        <v>0</v>
      </c>
      <c r="AP69" s="8">
        <v>0</v>
      </c>
      <c r="AQ69" s="8">
        <v>0</v>
      </c>
      <c r="AR69" s="8">
        <v>0</v>
      </c>
      <c r="AS69" s="8">
        <v>0</v>
      </c>
      <c r="AT69" s="8">
        <v>0</v>
      </c>
      <c r="AU69" s="8">
        <v>0</v>
      </c>
      <c r="AV69" s="8">
        <v>0</v>
      </c>
      <c r="AW69" s="8">
        <v>0</v>
      </c>
      <c r="AX69" s="8" t="s">
        <v>2961</v>
      </c>
      <c r="AY69" s="14">
        <v>971</v>
      </c>
      <c r="AZ69" s="19">
        <v>44691</v>
      </c>
      <c r="BA69" s="14" t="s">
        <v>621</v>
      </c>
      <c r="BB69" s="14">
        <v>1</v>
      </c>
      <c r="BC69" s="19">
        <v>44288.329166666699</v>
      </c>
      <c r="BD69" s="14"/>
      <c r="BE69" s="14">
        <v>971</v>
      </c>
      <c r="BF69" s="19">
        <v>44691</v>
      </c>
      <c r="BG69" s="14" t="s">
        <v>621</v>
      </c>
      <c r="BH69" s="14">
        <v>971</v>
      </c>
      <c r="BI69" s="19">
        <v>44691</v>
      </c>
      <c r="BJ69" s="14" t="s">
        <v>621</v>
      </c>
      <c r="BK69" s="14">
        <v>1</v>
      </c>
      <c r="BL69" s="19">
        <v>44288.329166666699</v>
      </c>
      <c r="BM69" s="14"/>
      <c r="BN69" s="27">
        <v>44871</v>
      </c>
      <c r="BO69" s="27">
        <v>44468.329166666699</v>
      </c>
      <c r="BP69" s="27">
        <v>44871</v>
      </c>
      <c r="BQ69" s="27">
        <v>44871</v>
      </c>
      <c r="BR69" s="27">
        <v>44653.329166666699</v>
      </c>
      <c r="BS69" s="28">
        <v>-3497</v>
      </c>
      <c r="BT69" s="29">
        <v>-3717</v>
      </c>
      <c r="BU69" s="29">
        <v>-3497</v>
      </c>
      <c r="BV69" s="29">
        <v>-3497</v>
      </c>
      <c r="BW69" s="29">
        <v>-3717</v>
      </c>
      <c r="BX69" s="30" t="s">
        <v>255</v>
      </c>
      <c r="BY69" s="8">
        <v>5</v>
      </c>
      <c r="BZ69" s="8">
        <v>0</v>
      </c>
      <c r="CA69" s="8">
        <v>0</v>
      </c>
      <c r="CB69" s="21" t="s">
        <v>143</v>
      </c>
      <c r="CC69" s="21" t="s">
        <v>143</v>
      </c>
      <c r="CD69" s="21" t="s">
        <v>143</v>
      </c>
      <c r="CE69" s="21" t="s">
        <v>143</v>
      </c>
      <c r="CF69" s="21" t="s">
        <v>143</v>
      </c>
      <c r="CG69" s="21" t="s">
        <v>143</v>
      </c>
      <c r="CH69" s="21" t="s">
        <v>143</v>
      </c>
      <c r="CI69" s="21" t="s">
        <v>143</v>
      </c>
      <c r="CJ69" s="21" t="s">
        <v>143</v>
      </c>
      <c r="CK69" s="22" t="s">
        <v>143</v>
      </c>
      <c r="CL69" s="22" t="s">
        <v>143</v>
      </c>
      <c r="CM69" s="22" t="s">
        <v>143</v>
      </c>
      <c r="CN69" s="22" t="s">
        <v>143</v>
      </c>
      <c r="CO69" s="22" t="s">
        <v>143</v>
      </c>
      <c r="CP69" s="22" t="s">
        <v>143</v>
      </c>
      <c r="CQ69" s="22" t="s">
        <v>143</v>
      </c>
      <c r="CR69" s="22" t="s">
        <v>143</v>
      </c>
      <c r="CS69" s="22" t="s">
        <v>143</v>
      </c>
      <c r="CT69" s="22" t="s">
        <v>143</v>
      </c>
      <c r="CU69" s="21" t="s">
        <v>143</v>
      </c>
      <c r="CV69" s="21" t="s">
        <v>143</v>
      </c>
      <c r="CW69" s="21" t="s">
        <v>143</v>
      </c>
      <c r="CX69" s="21" t="s">
        <v>143</v>
      </c>
      <c r="CY69" s="21" t="s">
        <v>143</v>
      </c>
      <c r="CZ69" s="21" t="s">
        <v>143</v>
      </c>
      <c r="DA69" s="21" t="s">
        <v>143</v>
      </c>
      <c r="DB69" s="21" t="s">
        <v>143</v>
      </c>
      <c r="DC69" s="21" t="s">
        <v>143</v>
      </c>
      <c r="DD69" s="8" t="s">
        <v>143</v>
      </c>
      <c r="DE69" s="8" t="s">
        <v>143</v>
      </c>
      <c r="DF69" s="8" t="s">
        <v>143</v>
      </c>
      <c r="DG69" s="8">
        <v>0</v>
      </c>
      <c r="DH69" s="8">
        <v>0</v>
      </c>
      <c r="DI69" s="8">
        <v>0</v>
      </c>
      <c r="DJ69" s="8" t="s">
        <v>143</v>
      </c>
      <c r="DK69" s="21" t="s">
        <v>143</v>
      </c>
      <c r="DL69" s="21" t="s">
        <v>143</v>
      </c>
      <c r="DM69" s="21" t="s">
        <v>143</v>
      </c>
      <c r="DN69" s="18" t="s">
        <v>143</v>
      </c>
      <c r="DO69" s="21" t="s">
        <v>143</v>
      </c>
      <c r="DP69" s="21" t="s">
        <v>143</v>
      </c>
      <c r="DQ69" s="21" t="s">
        <v>143</v>
      </c>
      <c r="DR69" s="21" t="s">
        <v>143</v>
      </c>
      <c r="DS69" s="21" t="s">
        <v>143</v>
      </c>
      <c r="DT69" s="21" t="s">
        <v>143</v>
      </c>
      <c r="DU69" s="21" t="s">
        <v>143</v>
      </c>
      <c r="DV69" s="21" t="s">
        <v>143</v>
      </c>
      <c r="DW69" s="21" t="s">
        <v>143</v>
      </c>
      <c r="DX69" s="21" t="s">
        <v>143</v>
      </c>
      <c r="DY69" s="21" t="s">
        <v>143</v>
      </c>
      <c r="DZ69" s="21" t="s">
        <v>143</v>
      </c>
      <c r="EA69" s="8" t="s">
        <v>143</v>
      </c>
      <c r="EB69" s="8" t="s">
        <v>143</v>
      </c>
      <c r="EC69" s="8" t="s">
        <v>143</v>
      </c>
      <c r="ED69" s="8" t="s">
        <v>143</v>
      </c>
      <c r="EE69" s="8" t="s">
        <v>143</v>
      </c>
      <c r="EF69" s="8" t="s">
        <v>143</v>
      </c>
      <c r="EG69" s="8" t="s">
        <v>143</v>
      </c>
      <c r="EH69" s="8" t="s">
        <v>143</v>
      </c>
      <c r="EI69" s="8" t="s">
        <v>143</v>
      </c>
      <c r="EJ69" s="8" t="s">
        <v>143</v>
      </c>
      <c r="EK69" s="8" t="s">
        <v>157</v>
      </c>
      <c r="EL69" s="8">
        <v>1364</v>
      </c>
      <c r="EM69" s="8">
        <v>4092</v>
      </c>
      <c r="EN69" s="8" t="s">
        <v>143</v>
      </c>
      <c r="EO69" s="8" t="s">
        <v>143</v>
      </c>
      <c r="EP69" s="8" t="s">
        <v>143</v>
      </c>
      <c r="EQ69" s="8" t="s">
        <v>143</v>
      </c>
      <c r="ER69" s="8" t="s">
        <v>143</v>
      </c>
      <c r="ES69" s="8" t="s">
        <v>143</v>
      </c>
      <c r="ET69" s="8" t="s">
        <v>143</v>
      </c>
      <c r="EU69" s="8" t="s">
        <v>143</v>
      </c>
      <c r="EV69" s="8" t="s">
        <v>143</v>
      </c>
    </row>
    <row r="70" spans="1:152" x14ac:dyDescent="0.15">
      <c r="A70" s="8">
        <f>ROW([2]!tbl_DPSAC[[#This Row],[Sl. No.]])-1</f>
        <v>69</v>
      </c>
      <c r="B70" s="9" t="s">
        <v>136</v>
      </c>
      <c r="C70" s="9" t="s">
        <v>622</v>
      </c>
      <c r="D70" s="9" t="s">
        <v>623</v>
      </c>
      <c r="E70" s="9" t="s">
        <v>199</v>
      </c>
      <c r="F70" s="9" t="s">
        <v>161</v>
      </c>
      <c r="G70" s="10" t="s">
        <v>624</v>
      </c>
      <c r="H70" s="10" t="str">
        <f>_xlfn.XLOOKUP(C70,'[1]E&amp;DPSAC'!$K:$K,'[1]E&amp;DPSAC'!$E:$E,,0)</f>
        <v>TRAFFIC DEPARTMENT BOKARO</v>
      </c>
      <c r="I70" s="10" t="s">
        <v>625</v>
      </c>
      <c r="J70" s="10">
        <v>8986874124</v>
      </c>
      <c r="K70" s="10">
        <f>_xlfn.XLOOKUP(C70,'[1]E&amp;DPSAC'!$K:$K,'[1]E&amp;DPSAC'!$G:$G,"",0)</f>
        <v>8986874124</v>
      </c>
      <c r="L70" s="9" t="str">
        <f t="shared" ca="1" si="4"/>
        <v>Non - Warranty</v>
      </c>
      <c r="M70" s="11">
        <v>44674</v>
      </c>
      <c r="N70" s="12">
        <v>24</v>
      </c>
      <c r="O70" s="11">
        <f t="shared" si="5"/>
        <v>45412</v>
      </c>
      <c r="P70" s="8" t="s">
        <v>142</v>
      </c>
      <c r="Q70" s="16" t="s">
        <v>143</v>
      </c>
      <c r="R70" s="15" t="s">
        <v>143</v>
      </c>
      <c r="S70" s="14" t="s">
        <v>143</v>
      </c>
      <c r="T70" s="15">
        <v>44674</v>
      </c>
      <c r="U70" s="14">
        <v>1</v>
      </c>
      <c r="V70" s="14">
        <v>590</v>
      </c>
      <c r="W70" s="17">
        <v>46041.564247685201</v>
      </c>
      <c r="X70" s="14" t="s">
        <v>143</v>
      </c>
      <c r="Y70" s="14">
        <v>0</v>
      </c>
      <c r="Z70" s="14" t="s">
        <v>2692</v>
      </c>
      <c r="AA70" s="18">
        <v>1439</v>
      </c>
      <c r="AB70" s="18" t="s">
        <v>2697</v>
      </c>
      <c r="AC70" s="8">
        <f>tbl_DPSAC[[#This Row],[Current Month Due Count]]</f>
        <v>0</v>
      </c>
      <c r="AD70" s="8">
        <f>tbl_DPSAC[[#This Row],[Next Month Due2]]</f>
        <v>0</v>
      </c>
      <c r="AE70" s="8">
        <f t="shared" si="6"/>
        <v>1</v>
      </c>
      <c r="AF70" s="8">
        <v>0</v>
      </c>
      <c r="AG70" s="14">
        <f t="shared" ca="1" si="7"/>
        <v>590</v>
      </c>
      <c r="AH70" s="8">
        <v>0</v>
      </c>
      <c r="AI70" s="8">
        <v>0</v>
      </c>
      <c r="AJ70" s="8">
        <v>0</v>
      </c>
      <c r="AK70" s="8">
        <v>0</v>
      </c>
      <c r="AL70" s="8">
        <v>0</v>
      </c>
      <c r="AM70" s="8">
        <v>0</v>
      </c>
      <c r="AN70" s="8">
        <v>0</v>
      </c>
      <c r="AO70" s="8">
        <v>0</v>
      </c>
      <c r="AP70" s="8">
        <v>0</v>
      </c>
      <c r="AQ70" s="8">
        <v>0</v>
      </c>
      <c r="AR70" s="8">
        <v>0</v>
      </c>
      <c r="AS70" s="8">
        <v>0</v>
      </c>
      <c r="AT70" s="8">
        <v>0</v>
      </c>
      <c r="AU70" s="8">
        <v>0</v>
      </c>
      <c r="AV70" s="8">
        <v>0</v>
      </c>
      <c r="AW70" s="8">
        <v>0</v>
      </c>
      <c r="AX70" s="8" t="s">
        <v>2007</v>
      </c>
      <c r="AY70" s="14">
        <v>1</v>
      </c>
      <c r="AZ70" s="19">
        <v>44674</v>
      </c>
      <c r="BA70" s="14" t="s">
        <v>626</v>
      </c>
      <c r="BB70" s="14">
        <v>1</v>
      </c>
      <c r="BC70" s="19">
        <v>44674</v>
      </c>
      <c r="BD70" s="14" t="s">
        <v>626</v>
      </c>
      <c r="BE70" s="14">
        <v>1</v>
      </c>
      <c r="BF70" s="19">
        <v>44674</v>
      </c>
      <c r="BG70" s="14" t="s">
        <v>626</v>
      </c>
      <c r="BH70" s="14">
        <v>1</v>
      </c>
      <c r="BI70" s="19">
        <v>44674</v>
      </c>
      <c r="BJ70" s="14" t="s">
        <v>626</v>
      </c>
      <c r="BK70" s="14">
        <v>1</v>
      </c>
      <c r="BL70" s="19">
        <v>44674</v>
      </c>
      <c r="BM70" s="14" t="s">
        <v>626</v>
      </c>
      <c r="BN70" s="27">
        <v>44854</v>
      </c>
      <c r="BO70" s="27">
        <v>44854</v>
      </c>
      <c r="BP70" s="27">
        <v>44854</v>
      </c>
      <c r="BQ70" s="27">
        <v>44854</v>
      </c>
      <c r="BR70" s="27">
        <v>45039</v>
      </c>
      <c r="BS70" s="28">
        <v>161</v>
      </c>
      <c r="BT70" s="29">
        <v>911</v>
      </c>
      <c r="BU70" s="29">
        <v>161</v>
      </c>
      <c r="BV70" s="29">
        <v>161</v>
      </c>
      <c r="BW70" s="29">
        <v>911</v>
      </c>
      <c r="BX70" s="30">
        <v>0</v>
      </c>
      <c r="BY70" s="8">
        <v>5</v>
      </c>
      <c r="BZ70" s="8">
        <v>0</v>
      </c>
      <c r="CA70" s="8">
        <v>0</v>
      </c>
      <c r="CB70" s="21">
        <v>0</v>
      </c>
      <c r="CC70" s="21">
        <v>0</v>
      </c>
      <c r="CD70" s="21">
        <v>0</v>
      </c>
      <c r="CE70" s="21">
        <v>0</v>
      </c>
      <c r="CF70" s="21">
        <v>0</v>
      </c>
      <c r="CG70" s="21">
        <v>0</v>
      </c>
      <c r="CH70" s="21">
        <v>0</v>
      </c>
      <c r="CI70" s="21">
        <v>0</v>
      </c>
      <c r="CJ70" s="21">
        <v>0</v>
      </c>
      <c r="CK70" s="22" t="s">
        <v>3017</v>
      </c>
      <c r="CL70" s="22" t="s">
        <v>3017</v>
      </c>
      <c r="CM70" s="22" t="s">
        <v>3017</v>
      </c>
      <c r="CN70" s="22" t="s">
        <v>3017</v>
      </c>
      <c r="CO70" s="22" t="s">
        <v>3017</v>
      </c>
      <c r="CP70" s="22" t="s">
        <v>3018</v>
      </c>
      <c r="CQ70" s="22" t="s">
        <v>2953</v>
      </c>
      <c r="CR70" s="22" t="s">
        <v>3018</v>
      </c>
      <c r="CS70" s="22" t="s">
        <v>3018</v>
      </c>
      <c r="CT70" s="22">
        <v>0</v>
      </c>
      <c r="CU70" s="21">
        <v>0</v>
      </c>
      <c r="CV70" s="21">
        <v>0</v>
      </c>
      <c r="CW70" s="21">
        <v>0</v>
      </c>
      <c r="CX70" s="21">
        <v>0</v>
      </c>
      <c r="CY70" s="21">
        <v>0</v>
      </c>
      <c r="CZ70" s="21">
        <v>0</v>
      </c>
      <c r="DA70" s="21">
        <v>0</v>
      </c>
      <c r="DB70" s="21">
        <v>0</v>
      </c>
      <c r="DC70" s="21">
        <v>0</v>
      </c>
      <c r="DD70" s="8">
        <v>0</v>
      </c>
      <c r="DE70" s="8">
        <v>0</v>
      </c>
      <c r="DF70" s="8">
        <v>0</v>
      </c>
      <c r="DG70" s="8">
        <v>9</v>
      </c>
      <c r="DH70" s="8">
        <v>0</v>
      </c>
      <c r="DI70" s="8">
        <v>0</v>
      </c>
      <c r="DJ70" s="8" t="s">
        <v>2954</v>
      </c>
      <c r="DK70" s="21">
        <v>44674</v>
      </c>
      <c r="DL70" s="21">
        <v>44305.229166666664</v>
      </c>
      <c r="DM70" s="21">
        <v>46041</v>
      </c>
      <c r="DN70" s="18">
        <v>590</v>
      </c>
      <c r="DO70" s="21">
        <v>0</v>
      </c>
      <c r="DP70" s="21">
        <v>0</v>
      </c>
      <c r="DQ70" s="21">
        <v>0</v>
      </c>
      <c r="DR70" s="21">
        <v>0</v>
      </c>
      <c r="DS70" s="21">
        <v>0</v>
      </c>
      <c r="DT70" s="21">
        <v>0</v>
      </c>
      <c r="DU70" s="21">
        <v>0</v>
      </c>
      <c r="DV70" s="21">
        <v>0</v>
      </c>
      <c r="DW70" s="21">
        <v>0</v>
      </c>
      <c r="DX70" s="21">
        <v>0</v>
      </c>
      <c r="DY70" s="21">
        <v>0</v>
      </c>
      <c r="DZ70" s="21">
        <v>0</v>
      </c>
      <c r="EA70" s="8">
        <v>160</v>
      </c>
      <c r="EB70" s="8">
        <v>160</v>
      </c>
      <c r="EC70" s="8">
        <v>160</v>
      </c>
      <c r="ED70" s="8">
        <v>160</v>
      </c>
      <c r="EE70" s="8">
        <v>160</v>
      </c>
      <c r="EF70" s="8">
        <v>1160</v>
      </c>
      <c r="EG70" s="8">
        <v>1000</v>
      </c>
      <c r="EH70" s="8">
        <v>1160</v>
      </c>
      <c r="EI70" s="8">
        <v>1160</v>
      </c>
      <c r="EJ70" s="8">
        <v>0</v>
      </c>
      <c r="EK70" s="8" t="s">
        <v>2624</v>
      </c>
      <c r="EL70" s="8">
        <v>71</v>
      </c>
      <c r="EM70" s="8">
        <v>0</v>
      </c>
      <c r="EN70" s="8">
        <v>-128</v>
      </c>
      <c r="EO70" s="8">
        <v>-128</v>
      </c>
      <c r="EP70" s="8">
        <v>-128</v>
      </c>
      <c r="EQ70" s="8">
        <v>-128</v>
      </c>
      <c r="ER70" s="8">
        <v>-128</v>
      </c>
      <c r="ES70" s="8">
        <v>872</v>
      </c>
      <c r="ET70" s="8">
        <v>712</v>
      </c>
      <c r="EU70" s="8">
        <v>872</v>
      </c>
      <c r="EV70" s="8">
        <v>872</v>
      </c>
    </row>
    <row r="71" spans="1:152" x14ac:dyDescent="0.15">
      <c r="A71" s="8">
        <f>ROW([2]!tbl_DPSAC[[#This Row],[Sl. No.]])-1</f>
        <v>70</v>
      </c>
      <c r="B71" s="9" t="s">
        <v>136</v>
      </c>
      <c r="C71" s="9" t="s">
        <v>627</v>
      </c>
      <c r="D71" s="9" t="s">
        <v>198</v>
      </c>
      <c r="E71" s="9" t="s">
        <v>199</v>
      </c>
      <c r="F71" s="9" t="s">
        <v>161</v>
      </c>
      <c r="G71" s="10" t="s">
        <v>628</v>
      </c>
      <c r="H71" s="10" t="str">
        <f>_xlfn.XLOOKUP(C71,'[1]E&amp;DPSAC'!$K:$K,'[1]E&amp;DPSAC'!$E:$E,,0)</f>
        <v>BARHI</v>
      </c>
      <c r="I71" s="10" t="s">
        <v>629</v>
      </c>
      <c r="J71" s="10">
        <v>8789683726</v>
      </c>
      <c r="K71" s="10">
        <f>_xlfn.XLOOKUP(C71,'[1]E&amp;DPSAC'!$K:$K,'[1]E&amp;DPSAC'!$G:$G,"",0)</f>
        <v>8789683726</v>
      </c>
      <c r="L71" s="9" t="str">
        <f t="shared" ca="1" si="4"/>
        <v>Non - Warranty</v>
      </c>
      <c r="M71" s="11">
        <v>44201.752083333296</v>
      </c>
      <c r="N71" s="12">
        <v>24</v>
      </c>
      <c r="O71" s="11">
        <f t="shared" si="5"/>
        <v>44957</v>
      </c>
      <c r="P71" s="8" t="s">
        <v>142</v>
      </c>
      <c r="Q71" s="16" t="s">
        <v>143</v>
      </c>
      <c r="R71" s="15" t="s">
        <v>143</v>
      </c>
      <c r="S71" s="14" t="s">
        <v>143</v>
      </c>
      <c r="T71" s="15">
        <v>44201</v>
      </c>
      <c r="U71" s="14">
        <v>10</v>
      </c>
      <c r="V71" s="14">
        <v>2700</v>
      </c>
      <c r="W71" s="17">
        <v>45962.651388888888</v>
      </c>
      <c r="X71" s="14" t="s">
        <v>143</v>
      </c>
      <c r="Y71" s="14">
        <v>0</v>
      </c>
      <c r="Z71" s="14" t="s">
        <v>2692</v>
      </c>
      <c r="AA71" s="18">
        <v>1911.2479166667035</v>
      </c>
      <c r="AB71" s="18" t="s">
        <v>2697</v>
      </c>
      <c r="AC71" s="8">
        <f>tbl_DPSAC[[#This Row],[Current Month Due Count]]</f>
        <v>0</v>
      </c>
      <c r="AD71" s="8">
        <f>tbl_DPSAC[[#This Row],[Next Month Due2]]</f>
        <v>0</v>
      </c>
      <c r="AE71" s="8">
        <f t="shared" si="6"/>
        <v>1</v>
      </c>
      <c r="AF71" s="8">
        <v>3</v>
      </c>
      <c r="AG71" s="14">
        <f t="shared" ca="1" si="7"/>
        <v>3151</v>
      </c>
      <c r="AH71" s="8">
        <v>0</v>
      </c>
      <c r="AI71" s="8">
        <v>0</v>
      </c>
      <c r="AJ71" s="8">
        <v>0</v>
      </c>
      <c r="AK71" s="8">
        <v>0</v>
      </c>
      <c r="AL71" s="8">
        <v>0</v>
      </c>
      <c r="AM71" s="8">
        <v>0</v>
      </c>
      <c r="AN71" s="8">
        <v>0</v>
      </c>
      <c r="AO71" s="8">
        <v>0</v>
      </c>
      <c r="AP71" s="8">
        <v>0</v>
      </c>
      <c r="AQ71" s="8">
        <v>0</v>
      </c>
      <c r="AR71" s="8">
        <v>0</v>
      </c>
      <c r="AS71" s="8">
        <v>0</v>
      </c>
      <c r="AT71" s="8">
        <v>0</v>
      </c>
      <c r="AU71" s="8">
        <v>0</v>
      </c>
      <c r="AV71" s="8">
        <v>0</v>
      </c>
      <c r="AW71" s="8">
        <v>0</v>
      </c>
      <c r="AX71" s="8" t="s">
        <v>2961</v>
      </c>
      <c r="AY71" s="14">
        <v>1</v>
      </c>
      <c r="AZ71" s="19">
        <v>44201</v>
      </c>
      <c r="BA71" s="14" t="s">
        <v>630</v>
      </c>
      <c r="BB71" s="14">
        <v>1</v>
      </c>
      <c r="BC71" s="19">
        <v>44201</v>
      </c>
      <c r="BD71" s="14" t="s">
        <v>630</v>
      </c>
      <c r="BE71" s="14">
        <v>1</v>
      </c>
      <c r="BF71" s="19">
        <v>44201</v>
      </c>
      <c r="BG71" s="14" t="s">
        <v>630</v>
      </c>
      <c r="BH71" s="14">
        <v>1</v>
      </c>
      <c r="BI71" s="19">
        <v>44201</v>
      </c>
      <c r="BJ71" s="14" t="s">
        <v>630</v>
      </c>
      <c r="BK71" s="14">
        <v>1</v>
      </c>
      <c r="BL71" s="19">
        <v>44201</v>
      </c>
      <c r="BM71" s="14" t="s">
        <v>630</v>
      </c>
      <c r="BN71" s="27">
        <v>44381</v>
      </c>
      <c r="BO71" s="27">
        <v>44381</v>
      </c>
      <c r="BP71" s="27">
        <v>44381</v>
      </c>
      <c r="BQ71" s="27">
        <v>44381</v>
      </c>
      <c r="BR71" s="27">
        <v>44566</v>
      </c>
      <c r="BS71" s="28">
        <v>-2400</v>
      </c>
      <c r="BT71" s="29">
        <v>-1650</v>
      </c>
      <c r="BU71" s="29">
        <v>-2400</v>
      </c>
      <c r="BV71" s="29">
        <v>-2400</v>
      </c>
      <c r="BW71" s="29">
        <v>-1650</v>
      </c>
      <c r="BX71" s="30" t="s">
        <v>173</v>
      </c>
      <c r="BY71" s="8">
        <v>5</v>
      </c>
      <c r="BZ71" s="8">
        <v>0</v>
      </c>
      <c r="CA71" s="8">
        <v>0</v>
      </c>
      <c r="CB71" s="21">
        <v>0</v>
      </c>
      <c r="CC71" s="21">
        <v>0</v>
      </c>
      <c r="CD71" s="21">
        <v>0</v>
      </c>
      <c r="CE71" s="21">
        <v>0</v>
      </c>
      <c r="CF71" s="21">
        <v>0</v>
      </c>
      <c r="CG71" s="21">
        <v>0</v>
      </c>
      <c r="CH71" s="21">
        <v>0</v>
      </c>
      <c r="CI71" s="21">
        <v>0</v>
      </c>
      <c r="CJ71" s="21">
        <v>0</v>
      </c>
      <c r="CK71" s="22" t="s">
        <v>3019</v>
      </c>
      <c r="CL71" s="22" t="s">
        <v>3019</v>
      </c>
      <c r="CM71" s="22" t="s">
        <v>3019</v>
      </c>
      <c r="CN71" s="22" t="s">
        <v>3019</v>
      </c>
      <c r="CO71" s="22" t="s">
        <v>3019</v>
      </c>
      <c r="CP71" s="22" t="s">
        <v>3019</v>
      </c>
      <c r="CQ71" s="22" t="s">
        <v>2953</v>
      </c>
      <c r="CR71" s="22" t="s">
        <v>3019</v>
      </c>
      <c r="CS71" s="22" t="s">
        <v>3019</v>
      </c>
      <c r="CT71" s="22">
        <v>3</v>
      </c>
      <c r="CU71" s="21">
        <v>46062</v>
      </c>
      <c r="CV71" s="21">
        <v>46062</v>
      </c>
      <c r="CW71" s="21">
        <v>46062</v>
      </c>
      <c r="CX71" s="21">
        <v>46062</v>
      </c>
      <c r="CY71" s="21">
        <v>46062</v>
      </c>
      <c r="CZ71" s="21">
        <v>46062</v>
      </c>
      <c r="DA71" s="21">
        <v>46055</v>
      </c>
      <c r="DB71" s="21">
        <v>46033</v>
      </c>
      <c r="DC71" s="21">
        <v>46062</v>
      </c>
      <c r="DD71" s="8">
        <v>1</v>
      </c>
      <c r="DE71" s="8">
        <v>1</v>
      </c>
      <c r="DF71" s="8">
        <v>0</v>
      </c>
      <c r="DG71" s="8">
        <v>9</v>
      </c>
      <c r="DH71" s="8">
        <v>0</v>
      </c>
      <c r="DI71" s="8">
        <v>0</v>
      </c>
      <c r="DJ71" s="8" t="s">
        <v>2954</v>
      </c>
      <c r="DK71" s="21">
        <v>44201</v>
      </c>
      <c r="DL71" s="21">
        <v>44124.229166666664</v>
      </c>
      <c r="DM71" s="21">
        <v>45962</v>
      </c>
      <c r="DN71" s="18">
        <v>2700</v>
      </c>
      <c r="DO71" s="21">
        <v>0</v>
      </c>
      <c r="DP71" s="21">
        <v>0</v>
      </c>
      <c r="DQ71" s="21">
        <v>0</v>
      </c>
      <c r="DR71" s="21">
        <v>0</v>
      </c>
      <c r="DS71" s="21">
        <v>0</v>
      </c>
      <c r="DT71" s="21">
        <v>0</v>
      </c>
      <c r="DU71" s="21">
        <v>0</v>
      </c>
      <c r="DV71" s="21">
        <v>0</v>
      </c>
      <c r="DW71" s="21">
        <v>0</v>
      </c>
      <c r="DX71" s="21">
        <v>0</v>
      </c>
      <c r="DY71" s="21">
        <v>0</v>
      </c>
      <c r="DZ71" s="21">
        <v>0</v>
      </c>
      <c r="EA71" s="8">
        <v>300</v>
      </c>
      <c r="EB71" s="8">
        <v>300</v>
      </c>
      <c r="EC71" s="8">
        <v>300</v>
      </c>
      <c r="ED71" s="8">
        <v>300</v>
      </c>
      <c r="EE71" s="8">
        <v>300</v>
      </c>
      <c r="EF71" s="8">
        <v>300</v>
      </c>
      <c r="EG71" s="8">
        <v>1000</v>
      </c>
      <c r="EH71" s="8">
        <v>300</v>
      </c>
      <c r="EI71" s="8">
        <v>300</v>
      </c>
      <c r="EJ71" s="8">
        <v>3</v>
      </c>
      <c r="EK71" s="8" t="s">
        <v>2624</v>
      </c>
      <c r="EL71" s="8">
        <v>150</v>
      </c>
      <c r="EM71" s="8">
        <v>450</v>
      </c>
      <c r="EN71" s="8">
        <v>12</v>
      </c>
      <c r="EO71" s="8">
        <v>12</v>
      </c>
      <c r="EP71" s="8">
        <v>12</v>
      </c>
      <c r="EQ71" s="8">
        <v>12</v>
      </c>
      <c r="ER71" s="8">
        <v>12</v>
      </c>
      <c r="ES71" s="8">
        <v>12</v>
      </c>
      <c r="ET71" s="8">
        <v>712</v>
      </c>
      <c r="EU71" s="8">
        <v>12</v>
      </c>
      <c r="EV71" s="8">
        <v>12</v>
      </c>
    </row>
    <row r="72" spans="1:152" x14ac:dyDescent="0.15">
      <c r="A72" s="8">
        <f>ROW([2]!tbl_DPSAC[[#This Row],[Sl. No.]])-1</f>
        <v>71</v>
      </c>
      <c r="B72" s="9" t="s">
        <v>136</v>
      </c>
      <c r="C72" s="9" t="s">
        <v>631</v>
      </c>
      <c r="D72" s="9" t="s">
        <v>138</v>
      </c>
      <c r="E72" s="9" t="s">
        <v>139</v>
      </c>
      <c r="F72" s="9" t="s">
        <v>161</v>
      </c>
      <c r="G72" s="10" t="s">
        <v>632</v>
      </c>
      <c r="H72" s="10" t="str">
        <f>_xlfn.XLOOKUP(C72,'[1]E&amp;DPSAC'!$K:$K,'[1]E&amp;DPSAC'!$E:$E,,0)</f>
        <v>BHOWRA</v>
      </c>
      <c r="I72" s="10"/>
      <c r="J72" s="10">
        <v>6207280765</v>
      </c>
      <c r="K72" s="10">
        <f>_xlfn.XLOOKUP(C72,'[1]E&amp;DPSAC'!$K:$K,'[1]E&amp;DPSAC'!$G:$G,"",0)</f>
        <v>9608246542</v>
      </c>
      <c r="L72" s="9" t="str">
        <f t="shared" ca="1" si="4"/>
        <v>Non - Warranty</v>
      </c>
      <c r="M72" s="11">
        <v>44428</v>
      </c>
      <c r="N72" s="12">
        <v>24</v>
      </c>
      <c r="O72" s="11">
        <f t="shared" si="5"/>
        <v>45169</v>
      </c>
      <c r="P72" s="8" t="s">
        <v>157</v>
      </c>
      <c r="Q72" s="16" t="s">
        <v>635</v>
      </c>
      <c r="R72" s="15">
        <v>44691.694305555597</v>
      </c>
      <c r="S72" s="14">
        <v>752</v>
      </c>
      <c r="T72" s="15">
        <v>45310</v>
      </c>
      <c r="U72" s="14">
        <v>3400</v>
      </c>
      <c r="V72" s="14">
        <v>3400</v>
      </c>
      <c r="W72" s="17">
        <v>45309.6252662037</v>
      </c>
      <c r="X72" s="14" t="s">
        <v>2741</v>
      </c>
      <c r="Y72" s="14">
        <v>-1898</v>
      </c>
      <c r="Z72" s="14" t="s">
        <v>2697</v>
      </c>
      <c r="AA72" s="18">
        <v>1421.3056944444033</v>
      </c>
      <c r="AB72" s="18" t="s">
        <v>2697</v>
      </c>
      <c r="AC72" s="8">
        <f>tbl_DPSAC[[#This Row],[Current Month Due Count]]</f>
        <v>0</v>
      </c>
      <c r="AD72" s="8">
        <f>tbl_DPSAC[[#This Row],[Next Month Due2]]</f>
        <v>0</v>
      </c>
      <c r="AE72" s="8">
        <f t="shared" si="6"/>
        <v>1</v>
      </c>
      <c r="AF72" s="8">
        <v>3</v>
      </c>
      <c r="AG72" s="14">
        <f t="shared" ca="1" si="7"/>
        <v>5810</v>
      </c>
      <c r="AH72" s="8" t="s">
        <v>633</v>
      </c>
      <c r="AI72" s="8" t="s">
        <v>634</v>
      </c>
      <c r="AJ72" s="8">
        <v>0</v>
      </c>
      <c r="AK72" s="8">
        <v>0</v>
      </c>
      <c r="AL72" s="8">
        <v>0</v>
      </c>
      <c r="AM72" s="8">
        <v>0</v>
      </c>
      <c r="AN72" s="8">
        <v>0</v>
      </c>
      <c r="AO72" s="8">
        <v>0</v>
      </c>
      <c r="AP72" s="8">
        <v>0</v>
      </c>
      <c r="AQ72" s="8">
        <v>0</v>
      </c>
      <c r="AR72" s="8">
        <v>0</v>
      </c>
      <c r="AS72" s="8">
        <v>0</v>
      </c>
      <c r="AT72" s="8">
        <v>0</v>
      </c>
      <c r="AU72" s="8">
        <v>0</v>
      </c>
      <c r="AV72" s="8">
        <v>0</v>
      </c>
      <c r="AW72" s="8">
        <v>0</v>
      </c>
      <c r="AX72" s="8" t="s">
        <v>2961</v>
      </c>
      <c r="AY72" s="14">
        <v>752</v>
      </c>
      <c r="AZ72" s="19">
        <v>44691</v>
      </c>
      <c r="BA72" s="14" t="s">
        <v>635</v>
      </c>
      <c r="BB72" s="14">
        <v>1</v>
      </c>
      <c r="BC72" s="19">
        <v>44428</v>
      </c>
      <c r="BD72" s="14"/>
      <c r="BE72" s="14">
        <v>752</v>
      </c>
      <c r="BF72" s="19">
        <v>44691</v>
      </c>
      <c r="BG72" s="14" t="s">
        <v>635</v>
      </c>
      <c r="BH72" s="14">
        <v>752</v>
      </c>
      <c r="BI72" s="19">
        <v>44691</v>
      </c>
      <c r="BJ72" s="14" t="s">
        <v>635</v>
      </c>
      <c r="BK72" s="14">
        <v>1</v>
      </c>
      <c r="BL72" s="19">
        <v>44428</v>
      </c>
      <c r="BM72" s="14"/>
      <c r="BN72" s="27">
        <v>44871</v>
      </c>
      <c r="BO72" s="27">
        <v>44608</v>
      </c>
      <c r="BP72" s="27">
        <v>44871</v>
      </c>
      <c r="BQ72" s="27">
        <v>44871</v>
      </c>
      <c r="BR72" s="27">
        <v>44793</v>
      </c>
      <c r="BS72" s="28">
        <v>-4308</v>
      </c>
      <c r="BT72" s="29">
        <v>-4309</v>
      </c>
      <c r="BU72" s="29">
        <v>-4308</v>
      </c>
      <c r="BV72" s="29">
        <v>-4308</v>
      </c>
      <c r="BW72" s="29">
        <v>-4309</v>
      </c>
      <c r="BX72" s="30" t="s">
        <v>636</v>
      </c>
      <c r="BY72" s="8">
        <v>5</v>
      </c>
      <c r="BZ72" s="8">
        <v>0</v>
      </c>
      <c r="CA72" s="8">
        <v>0</v>
      </c>
      <c r="CB72" s="21">
        <v>45127.770833333299</v>
      </c>
      <c r="CC72" s="21">
        <v>45127.770833333299</v>
      </c>
      <c r="CD72" s="21">
        <v>45127.770833333299</v>
      </c>
      <c r="CE72" s="21">
        <v>45127.770833333299</v>
      </c>
      <c r="CF72" s="21">
        <v>0</v>
      </c>
      <c r="CG72" s="21">
        <v>44942.770833333299</v>
      </c>
      <c r="CH72" s="21">
        <v>0</v>
      </c>
      <c r="CI72" s="21">
        <v>44942.770833333299</v>
      </c>
      <c r="CJ72" s="21">
        <v>0</v>
      </c>
      <c r="CK72" s="22" t="s">
        <v>3020</v>
      </c>
      <c r="CL72" s="22" t="s">
        <v>3020</v>
      </c>
      <c r="CM72" s="22" t="s">
        <v>3020</v>
      </c>
      <c r="CN72" s="22" t="s">
        <v>3020</v>
      </c>
      <c r="CO72" s="22" t="s">
        <v>2959</v>
      </c>
      <c r="CP72" s="22" t="s">
        <v>3021</v>
      </c>
      <c r="CQ72" s="22" t="s">
        <v>2953</v>
      </c>
      <c r="CR72" s="22" t="s">
        <v>3021</v>
      </c>
      <c r="CS72" s="22" t="s">
        <v>3022</v>
      </c>
      <c r="CT72" s="22">
        <v>6</v>
      </c>
      <c r="CU72" s="21">
        <v>45307</v>
      </c>
      <c r="CV72" s="21">
        <v>45307</v>
      </c>
      <c r="CW72" s="21">
        <v>45307</v>
      </c>
      <c r="CX72" s="21">
        <v>45307</v>
      </c>
      <c r="CY72" s="21">
        <v>45393</v>
      </c>
      <c r="CZ72" s="21">
        <v>45212</v>
      </c>
      <c r="DA72" s="21">
        <v>45403</v>
      </c>
      <c r="DB72" s="21">
        <v>45122</v>
      </c>
      <c r="DC72" s="21">
        <v>45639</v>
      </c>
      <c r="DD72" s="8">
        <v>1</v>
      </c>
      <c r="DE72" s="8">
        <v>0</v>
      </c>
      <c r="DF72" s="8">
        <v>0</v>
      </c>
      <c r="DG72" s="8">
        <v>9</v>
      </c>
      <c r="DH72" s="8">
        <v>0</v>
      </c>
      <c r="DI72" s="8">
        <v>0</v>
      </c>
      <c r="DJ72" s="8" t="s">
        <v>2954</v>
      </c>
      <c r="DK72" s="21">
        <v>44428</v>
      </c>
      <c r="DL72" s="21">
        <v>44396.229166666664</v>
      </c>
      <c r="DM72" s="21">
        <v>45310</v>
      </c>
      <c r="DN72" s="18">
        <v>3400</v>
      </c>
      <c r="DO72" s="21">
        <v>0</v>
      </c>
      <c r="DP72" s="21">
        <v>0</v>
      </c>
      <c r="DQ72" s="21" t="s">
        <v>2955</v>
      </c>
      <c r="DR72" s="21">
        <v>45128</v>
      </c>
      <c r="DS72" s="21">
        <v>45128</v>
      </c>
      <c r="DT72" s="21">
        <v>45128</v>
      </c>
      <c r="DU72" s="21">
        <v>45128</v>
      </c>
      <c r="DV72" s="21">
        <v>0</v>
      </c>
      <c r="DW72" s="21">
        <v>44943</v>
      </c>
      <c r="DX72" s="21">
        <v>0</v>
      </c>
      <c r="DY72" s="21">
        <v>44943</v>
      </c>
      <c r="DZ72" s="21">
        <v>0</v>
      </c>
      <c r="EA72" s="8">
        <v>600</v>
      </c>
      <c r="EB72" s="8">
        <v>600</v>
      </c>
      <c r="EC72" s="8">
        <v>600</v>
      </c>
      <c r="ED72" s="8">
        <v>600</v>
      </c>
      <c r="EE72" s="8">
        <v>500</v>
      </c>
      <c r="EF72" s="8">
        <v>1100</v>
      </c>
      <c r="EG72" s="8">
        <v>1000</v>
      </c>
      <c r="EH72" s="8">
        <v>1100</v>
      </c>
      <c r="EI72" s="8">
        <v>2600</v>
      </c>
      <c r="EJ72" s="8">
        <v>6</v>
      </c>
      <c r="EK72" s="8" t="s">
        <v>157</v>
      </c>
      <c r="EL72" s="8">
        <v>803</v>
      </c>
      <c r="EM72" s="8">
        <v>2409</v>
      </c>
      <c r="EN72" s="8">
        <v>312</v>
      </c>
      <c r="EO72" s="8">
        <v>312</v>
      </c>
      <c r="EP72" s="8">
        <v>312</v>
      </c>
      <c r="EQ72" s="8">
        <v>312</v>
      </c>
      <c r="ER72" s="8">
        <v>212</v>
      </c>
      <c r="ES72" s="8">
        <v>812</v>
      </c>
      <c r="ET72" s="8">
        <v>712</v>
      </c>
      <c r="EU72" s="8">
        <v>812</v>
      </c>
      <c r="EV72" s="8">
        <v>2312</v>
      </c>
    </row>
    <row r="73" spans="1:152" ht="31.5" x14ac:dyDescent="0.15">
      <c r="A73" s="8">
        <f>ROW([2]!tbl_DPSAC[[#This Row],[Sl. No.]])-1</f>
        <v>72</v>
      </c>
      <c r="B73" s="9" t="s">
        <v>136</v>
      </c>
      <c r="C73" s="9" t="s">
        <v>637</v>
      </c>
      <c r="D73" s="9" t="s">
        <v>638</v>
      </c>
      <c r="E73" s="8" t="s">
        <v>639</v>
      </c>
      <c r="F73" s="9" t="s">
        <v>140</v>
      </c>
      <c r="G73" s="10" t="s">
        <v>640</v>
      </c>
      <c r="H73" s="10" t="str">
        <f>_xlfn.XLOOKUP(C73,'[1]E&amp;DPSAC'!$K:$K,'[1]E&amp;DPSAC'!$E:$E,,0)</f>
        <v>KURU, LOHARDAGA</v>
      </c>
      <c r="I73" s="10"/>
      <c r="J73" s="10">
        <v>9199364073</v>
      </c>
      <c r="K73" s="10">
        <f>_xlfn.XLOOKUP(C73,'[1]E&amp;DPSAC'!$K:$K,'[1]E&amp;DPSAC'!$G:$G,"",0)</f>
        <v>8709133364</v>
      </c>
      <c r="L73" s="9" t="str">
        <f t="shared" ca="1" si="4"/>
        <v>Non - Warranty</v>
      </c>
      <c r="M73" s="11">
        <v>44687.724305555603</v>
      </c>
      <c r="N73" s="12">
        <v>36</v>
      </c>
      <c r="O73" s="11">
        <f t="shared" si="5"/>
        <v>45808</v>
      </c>
      <c r="P73" s="8" t="s">
        <v>142</v>
      </c>
      <c r="Q73" s="16" t="s">
        <v>648</v>
      </c>
      <c r="R73" s="15">
        <v>46062.4536226852</v>
      </c>
      <c r="S73" s="14">
        <v>8305</v>
      </c>
      <c r="T73" s="15">
        <v>46060</v>
      </c>
      <c r="U73" s="14">
        <v>5305</v>
      </c>
      <c r="V73" s="14">
        <v>8305</v>
      </c>
      <c r="W73" s="17">
        <v>46062.4536226852</v>
      </c>
      <c r="X73" s="14" t="s">
        <v>2742</v>
      </c>
      <c r="Y73" s="14">
        <v>750</v>
      </c>
      <c r="Z73" s="14" t="s">
        <v>2692</v>
      </c>
      <c r="AA73" s="18">
        <v>50.546377314800338</v>
      </c>
      <c r="AB73" s="18" t="s">
        <v>2692</v>
      </c>
      <c r="AC73" s="8">
        <f>tbl_DPSAC[[#This Row],[Current Month Due Count]]</f>
        <v>0</v>
      </c>
      <c r="AD73" s="8">
        <f>tbl_DPSAC[[#This Row],[Next Month Due2]]</f>
        <v>0</v>
      </c>
      <c r="AE73" s="8">
        <f t="shared" si="6"/>
        <v>0</v>
      </c>
      <c r="AF73" s="8">
        <v>6</v>
      </c>
      <c r="AG73" s="14">
        <f t="shared" ca="1" si="7"/>
        <v>8608</v>
      </c>
      <c r="AH73" s="8" t="s">
        <v>641</v>
      </c>
      <c r="AI73" s="8" t="s">
        <v>642</v>
      </c>
      <c r="AJ73" s="8" t="s">
        <v>643</v>
      </c>
      <c r="AK73" s="8" t="s">
        <v>644</v>
      </c>
      <c r="AL73" s="8" t="s">
        <v>645</v>
      </c>
      <c r="AM73" s="8">
        <v>0</v>
      </c>
      <c r="AN73" s="8" t="s">
        <v>646</v>
      </c>
      <c r="AO73" s="8">
        <v>0</v>
      </c>
      <c r="AP73" s="20" t="s">
        <v>647</v>
      </c>
      <c r="AQ73" s="8">
        <v>0</v>
      </c>
      <c r="AR73" s="8">
        <v>0</v>
      </c>
      <c r="AS73" s="8">
        <v>0</v>
      </c>
      <c r="AT73" s="8">
        <v>0</v>
      </c>
      <c r="AU73" s="8">
        <v>0</v>
      </c>
      <c r="AV73" s="8">
        <v>0</v>
      </c>
      <c r="AW73" s="8">
        <v>0</v>
      </c>
      <c r="AX73" s="8" t="s">
        <v>2007</v>
      </c>
      <c r="AY73" s="14">
        <v>8305</v>
      </c>
      <c r="AZ73" s="19">
        <v>46062</v>
      </c>
      <c r="BA73" s="14" t="s">
        <v>648</v>
      </c>
      <c r="BB73" s="14">
        <v>8305</v>
      </c>
      <c r="BC73" s="19">
        <v>46062</v>
      </c>
      <c r="BD73" s="14" t="s">
        <v>648</v>
      </c>
      <c r="BE73" s="14">
        <v>8305</v>
      </c>
      <c r="BF73" s="19">
        <v>46062</v>
      </c>
      <c r="BG73" s="14" t="s">
        <v>648</v>
      </c>
      <c r="BH73" s="14">
        <v>8305</v>
      </c>
      <c r="BI73" s="19">
        <v>46062</v>
      </c>
      <c r="BJ73" s="14" t="s">
        <v>648</v>
      </c>
      <c r="BK73" s="14">
        <v>8305</v>
      </c>
      <c r="BL73" s="19">
        <v>46062</v>
      </c>
      <c r="BM73" s="14" t="s">
        <v>648</v>
      </c>
      <c r="BN73" s="27">
        <v>46242</v>
      </c>
      <c r="BO73" s="27">
        <v>46242</v>
      </c>
      <c r="BP73" s="27">
        <v>46242</v>
      </c>
      <c r="BQ73" s="27">
        <v>46242</v>
      </c>
      <c r="BR73" s="27">
        <v>46427</v>
      </c>
      <c r="BS73" s="28">
        <v>447</v>
      </c>
      <c r="BT73" s="29">
        <v>1197</v>
      </c>
      <c r="BU73" s="29">
        <v>447</v>
      </c>
      <c r="BV73" s="29">
        <v>447</v>
      </c>
      <c r="BW73" s="29">
        <v>1197</v>
      </c>
      <c r="BX73" s="30">
        <v>0</v>
      </c>
      <c r="BY73" s="8">
        <v>0</v>
      </c>
      <c r="BZ73" s="8">
        <v>0</v>
      </c>
      <c r="CA73" s="8">
        <v>0</v>
      </c>
      <c r="CB73" s="21">
        <v>46061.770833333299</v>
      </c>
      <c r="CC73" s="21">
        <v>46061.770833333299</v>
      </c>
      <c r="CD73" s="21">
        <v>46061.770833333299</v>
      </c>
      <c r="CE73" s="21">
        <v>46061.770833333299</v>
      </c>
      <c r="CF73" s="21">
        <v>46061.770833333299</v>
      </c>
      <c r="CG73" s="21">
        <v>46061.770833333299</v>
      </c>
      <c r="CH73" s="21">
        <v>46061.770833333299</v>
      </c>
      <c r="CI73" s="21">
        <v>46061.770833333299</v>
      </c>
      <c r="CJ73" s="21">
        <v>46061.770833333299</v>
      </c>
      <c r="CK73" s="22" t="s">
        <v>2956</v>
      </c>
      <c r="CL73" s="22" t="s">
        <v>3023</v>
      </c>
      <c r="CM73" s="22" t="s">
        <v>2959</v>
      </c>
      <c r="CN73" s="22" t="s">
        <v>2957</v>
      </c>
      <c r="CO73" s="22" t="s">
        <v>2957</v>
      </c>
      <c r="CP73" s="22" t="s">
        <v>2956</v>
      </c>
      <c r="CQ73" s="22" t="s">
        <v>2953</v>
      </c>
      <c r="CR73" s="22" t="s">
        <v>2956</v>
      </c>
      <c r="CS73" s="22" t="s">
        <v>2960</v>
      </c>
      <c r="CT73" s="22">
        <v>5</v>
      </c>
      <c r="CU73" s="21">
        <v>46241</v>
      </c>
      <c r="CV73" s="21">
        <v>46214</v>
      </c>
      <c r="CW73" s="21">
        <v>46162</v>
      </c>
      <c r="CX73" s="21">
        <v>46212</v>
      </c>
      <c r="CY73" s="21">
        <v>46212</v>
      </c>
      <c r="CZ73" s="21">
        <v>46331</v>
      </c>
      <c r="DA73" s="21">
        <v>46262</v>
      </c>
      <c r="DB73" s="21">
        <v>46241</v>
      </c>
      <c r="DC73" s="21">
        <v>46426</v>
      </c>
      <c r="DD73" s="8">
        <v>0</v>
      </c>
      <c r="DE73" s="8">
        <v>0</v>
      </c>
      <c r="DF73" s="8">
        <v>0</v>
      </c>
      <c r="DG73" s="8">
        <v>0</v>
      </c>
      <c r="DH73" s="8">
        <v>0</v>
      </c>
      <c r="DI73" s="8">
        <v>1</v>
      </c>
      <c r="DJ73" s="8" t="s">
        <v>2954</v>
      </c>
      <c r="DK73" s="21">
        <v>44687</v>
      </c>
      <c r="DL73" s="21">
        <v>44624.229166666664</v>
      </c>
      <c r="DM73" s="21">
        <v>46062</v>
      </c>
      <c r="DN73" s="18">
        <v>8305</v>
      </c>
      <c r="DO73" s="21">
        <v>0</v>
      </c>
      <c r="DP73" s="21">
        <v>0</v>
      </c>
      <c r="DQ73" s="21" t="s">
        <v>2955</v>
      </c>
      <c r="DR73" s="21">
        <v>46062</v>
      </c>
      <c r="DS73" s="21">
        <v>46062</v>
      </c>
      <c r="DT73" s="21">
        <v>46062</v>
      </c>
      <c r="DU73" s="21">
        <v>46062</v>
      </c>
      <c r="DV73" s="21">
        <v>46062</v>
      </c>
      <c r="DW73" s="21">
        <v>46062</v>
      </c>
      <c r="DX73" s="21">
        <v>46062</v>
      </c>
      <c r="DY73" s="21">
        <v>46062</v>
      </c>
      <c r="DZ73" s="21">
        <v>46062</v>
      </c>
      <c r="EA73" s="8">
        <v>1500</v>
      </c>
      <c r="EB73" s="8">
        <v>760</v>
      </c>
      <c r="EC73" s="8">
        <v>500</v>
      </c>
      <c r="ED73" s="8">
        <v>750</v>
      </c>
      <c r="EE73" s="8">
        <v>750</v>
      </c>
      <c r="EF73" s="8">
        <v>1500</v>
      </c>
      <c r="EG73" s="8">
        <v>1000</v>
      </c>
      <c r="EH73" s="8">
        <v>1500</v>
      </c>
      <c r="EI73" s="8">
        <v>3000</v>
      </c>
      <c r="EJ73" s="8">
        <v>5</v>
      </c>
      <c r="EK73" s="8" t="s">
        <v>2624</v>
      </c>
      <c r="EL73" s="8">
        <v>51</v>
      </c>
      <c r="EM73" s="8">
        <v>306</v>
      </c>
      <c r="EN73" s="8">
        <v>1212</v>
      </c>
      <c r="EO73" s="8">
        <v>472</v>
      </c>
      <c r="EP73" s="8">
        <v>212</v>
      </c>
      <c r="EQ73" s="8">
        <v>462</v>
      </c>
      <c r="ER73" s="8">
        <v>462</v>
      </c>
      <c r="ES73" s="8">
        <v>1212</v>
      </c>
      <c r="ET73" s="8">
        <v>712</v>
      </c>
      <c r="EU73" s="8">
        <v>1212</v>
      </c>
      <c r="EV73" s="8">
        <v>2712</v>
      </c>
    </row>
    <row r="74" spans="1:152" x14ac:dyDescent="0.15">
      <c r="A74" s="8">
        <f>ROW([2]!tbl_DPSAC[[#This Row],[Sl. No.]])-1</f>
        <v>73</v>
      </c>
      <c r="B74" s="9" t="s">
        <v>136</v>
      </c>
      <c r="C74" s="9" t="s">
        <v>649</v>
      </c>
      <c r="D74" s="9" t="s">
        <v>638</v>
      </c>
      <c r="E74" s="8" t="s">
        <v>639</v>
      </c>
      <c r="F74" s="9" t="s">
        <v>161</v>
      </c>
      <c r="G74" s="10" t="s">
        <v>522</v>
      </c>
      <c r="H74" s="10" t="str">
        <f>_xlfn.XLOOKUP(C74,'[1]E&amp;DPSAC'!$K:$K,'[1]E&amp;DPSAC'!$E:$E,,0)</f>
        <v>TETULMARI, DHANBAD</v>
      </c>
      <c r="I74" s="10" t="s">
        <v>534</v>
      </c>
      <c r="J74" s="10">
        <v>9113788032</v>
      </c>
      <c r="K74" s="10">
        <f>_xlfn.XLOOKUP(C74,'[1]E&amp;DPSAC'!$K:$K,'[1]E&amp;DPSAC'!$G:$G,"",0)</f>
        <v>9113788032</v>
      </c>
      <c r="L74" s="9" t="str">
        <f t="shared" ca="1" si="4"/>
        <v>Non - Warranty</v>
      </c>
      <c r="M74" s="11">
        <v>44692.784722222197</v>
      </c>
      <c r="N74" s="12">
        <v>24</v>
      </c>
      <c r="O74" s="11">
        <f t="shared" si="5"/>
        <v>45443</v>
      </c>
      <c r="P74" s="8" t="s">
        <v>157</v>
      </c>
      <c r="Q74" s="16" t="s">
        <v>657</v>
      </c>
      <c r="R74" s="15">
        <v>45145.488657407397</v>
      </c>
      <c r="S74" s="14">
        <v>3000</v>
      </c>
      <c r="T74" s="15">
        <v>45147</v>
      </c>
      <c r="U74" s="14">
        <v>3000</v>
      </c>
      <c r="V74" s="14">
        <v>3581</v>
      </c>
      <c r="W74" s="17">
        <v>45264.649907407402</v>
      </c>
      <c r="X74" s="14" t="s">
        <v>2743</v>
      </c>
      <c r="Y74" s="14">
        <v>169</v>
      </c>
      <c r="Z74" s="14" t="s">
        <v>2692</v>
      </c>
      <c r="AA74" s="18">
        <v>967.51134259260289</v>
      </c>
      <c r="AB74" s="18" t="s">
        <v>2697</v>
      </c>
      <c r="AC74" s="8">
        <f>tbl_DPSAC[[#This Row],[Current Month Due Count]]</f>
        <v>0</v>
      </c>
      <c r="AD74" s="8">
        <f>tbl_DPSAC[[#This Row],[Next Month Due2]]</f>
        <v>0</v>
      </c>
      <c r="AE74" s="8">
        <f t="shared" si="6"/>
        <v>1</v>
      </c>
      <c r="AF74" s="8">
        <v>4</v>
      </c>
      <c r="AG74" s="14">
        <f t="shared" ca="1" si="7"/>
        <v>6974</v>
      </c>
      <c r="AH74" s="8" t="s">
        <v>650</v>
      </c>
      <c r="AI74" s="8" t="s">
        <v>651</v>
      </c>
      <c r="AJ74" s="8" t="s">
        <v>652</v>
      </c>
      <c r="AK74" s="8" t="s">
        <v>653</v>
      </c>
      <c r="AL74" s="8" t="s">
        <v>654</v>
      </c>
      <c r="AM74" s="8" t="s">
        <v>655</v>
      </c>
      <c r="AN74" s="8" t="s">
        <v>656</v>
      </c>
      <c r="AO74" s="8">
        <v>0</v>
      </c>
      <c r="AP74" s="8">
        <v>0</v>
      </c>
      <c r="AQ74" s="8">
        <v>0</v>
      </c>
      <c r="AR74" s="8">
        <v>0</v>
      </c>
      <c r="AS74" s="8">
        <v>0</v>
      </c>
      <c r="AT74" s="8">
        <v>0</v>
      </c>
      <c r="AU74" s="8">
        <v>0</v>
      </c>
      <c r="AV74" s="8">
        <v>0</v>
      </c>
      <c r="AW74" s="8">
        <v>0</v>
      </c>
      <c r="AX74" s="8" t="s">
        <v>2961</v>
      </c>
      <c r="AY74" s="14">
        <v>3000</v>
      </c>
      <c r="AZ74" s="19">
        <v>45145</v>
      </c>
      <c r="BA74" s="14" t="s">
        <v>657</v>
      </c>
      <c r="BB74" s="14">
        <v>3000</v>
      </c>
      <c r="BC74" s="19">
        <v>45145</v>
      </c>
      <c r="BD74" s="14" t="s">
        <v>657</v>
      </c>
      <c r="BE74" s="14">
        <v>3000</v>
      </c>
      <c r="BF74" s="19">
        <v>45145</v>
      </c>
      <c r="BG74" s="14" t="s">
        <v>657</v>
      </c>
      <c r="BH74" s="14">
        <v>3000</v>
      </c>
      <c r="BI74" s="19">
        <v>45145</v>
      </c>
      <c r="BJ74" s="14" t="s">
        <v>657</v>
      </c>
      <c r="BK74" s="14">
        <v>3000</v>
      </c>
      <c r="BL74" s="19">
        <v>45145</v>
      </c>
      <c r="BM74" s="14" t="s">
        <v>657</v>
      </c>
      <c r="BN74" s="27">
        <v>45325</v>
      </c>
      <c r="BO74" s="27">
        <v>45325</v>
      </c>
      <c r="BP74" s="27">
        <v>45325</v>
      </c>
      <c r="BQ74" s="27">
        <v>45325</v>
      </c>
      <c r="BR74" s="27">
        <v>45510</v>
      </c>
      <c r="BS74" s="28">
        <v>-3224</v>
      </c>
      <c r="BT74" s="29">
        <v>-2474</v>
      </c>
      <c r="BU74" s="29">
        <v>-3224</v>
      </c>
      <c r="BV74" s="29">
        <v>-3224</v>
      </c>
      <c r="BW74" s="29">
        <v>-2474</v>
      </c>
      <c r="BX74" s="30" t="s">
        <v>255</v>
      </c>
      <c r="BY74" s="8">
        <v>5</v>
      </c>
      <c r="BZ74" s="8">
        <v>0</v>
      </c>
      <c r="CA74" s="8">
        <v>0</v>
      </c>
      <c r="CB74" s="21" t="s">
        <v>143</v>
      </c>
      <c r="CC74" s="21" t="s">
        <v>143</v>
      </c>
      <c r="CD74" s="21" t="s">
        <v>143</v>
      </c>
      <c r="CE74" s="21" t="s">
        <v>143</v>
      </c>
      <c r="CF74" s="21" t="s">
        <v>143</v>
      </c>
      <c r="CG74" s="21" t="s">
        <v>143</v>
      </c>
      <c r="CH74" s="21" t="s">
        <v>143</v>
      </c>
      <c r="CI74" s="21" t="s">
        <v>143</v>
      </c>
      <c r="CJ74" s="21" t="s">
        <v>143</v>
      </c>
      <c r="CK74" s="22" t="s">
        <v>143</v>
      </c>
      <c r="CL74" s="22" t="s">
        <v>143</v>
      </c>
      <c r="CM74" s="22" t="s">
        <v>143</v>
      </c>
      <c r="CN74" s="22" t="s">
        <v>143</v>
      </c>
      <c r="CO74" s="22" t="s">
        <v>143</v>
      </c>
      <c r="CP74" s="22" t="s">
        <v>143</v>
      </c>
      <c r="CQ74" s="22" t="s">
        <v>143</v>
      </c>
      <c r="CR74" s="22" t="s">
        <v>143</v>
      </c>
      <c r="CS74" s="22" t="s">
        <v>143</v>
      </c>
      <c r="CT74" s="22" t="s">
        <v>143</v>
      </c>
      <c r="CU74" s="21" t="s">
        <v>143</v>
      </c>
      <c r="CV74" s="21" t="s">
        <v>143</v>
      </c>
      <c r="CW74" s="21" t="s">
        <v>143</v>
      </c>
      <c r="CX74" s="21" t="s">
        <v>143</v>
      </c>
      <c r="CY74" s="21" t="s">
        <v>143</v>
      </c>
      <c r="CZ74" s="21" t="s">
        <v>143</v>
      </c>
      <c r="DA74" s="21" t="s">
        <v>143</v>
      </c>
      <c r="DB74" s="21" t="s">
        <v>143</v>
      </c>
      <c r="DC74" s="21" t="s">
        <v>143</v>
      </c>
      <c r="DD74" s="8" t="s">
        <v>143</v>
      </c>
      <c r="DE74" s="8" t="s">
        <v>143</v>
      </c>
      <c r="DF74" s="8" t="s">
        <v>143</v>
      </c>
      <c r="DG74" s="8">
        <v>0</v>
      </c>
      <c r="DH74" s="8">
        <v>0</v>
      </c>
      <c r="DI74" s="8">
        <v>0</v>
      </c>
      <c r="DJ74" s="8" t="s">
        <v>143</v>
      </c>
      <c r="DK74" s="21" t="s">
        <v>143</v>
      </c>
      <c r="DL74" s="21" t="s">
        <v>143</v>
      </c>
      <c r="DM74" s="21" t="s">
        <v>143</v>
      </c>
      <c r="DN74" s="18" t="s">
        <v>143</v>
      </c>
      <c r="DO74" s="21" t="s">
        <v>143</v>
      </c>
      <c r="DP74" s="21" t="s">
        <v>143</v>
      </c>
      <c r="DQ74" s="21" t="s">
        <v>143</v>
      </c>
      <c r="DR74" s="21" t="s">
        <v>143</v>
      </c>
      <c r="DS74" s="21" t="s">
        <v>143</v>
      </c>
      <c r="DT74" s="21" t="s">
        <v>143</v>
      </c>
      <c r="DU74" s="21" t="s">
        <v>143</v>
      </c>
      <c r="DV74" s="21" t="s">
        <v>143</v>
      </c>
      <c r="DW74" s="21" t="s">
        <v>143</v>
      </c>
      <c r="DX74" s="21" t="s">
        <v>143</v>
      </c>
      <c r="DY74" s="21" t="s">
        <v>143</v>
      </c>
      <c r="DZ74" s="21" t="s">
        <v>143</v>
      </c>
      <c r="EA74" s="8" t="s">
        <v>143</v>
      </c>
      <c r="EB74" s="8" t="s">
        <v>143</v>
      </c>
      <c r="EC74" s="8" t="s">
        <v>143</v>
      </c>
      <c r="ED74" s="8" t="s">
        <v>143</v>
      </c>
      <c r="EE74" s="8" t="s">
        <v>143</v>
      </c>
      <c r="EF74" s="8" t="s">
        <v>143</v>
      </c>
      <c r="EG74" s="8" t="s">
        <v>143</v>
      </c>
      <c r="EH74" s="8" t="s">
        <v>143</v>
      </c>
      <c r="EI74" s="8" t="s">
        <v>143</v>
      </c>
      <c r="EJ74" s="8" t="s">
        <v>143</v>
      </c>
      <c r="EK74" s="8" t="s">
        <v>157</v>
      </c>
      <c r="EL74" s="8">
        <v>848</v>
      </c>
      <c r="EM74" s="8">
        <v>3392</v>
      </c>
      <c r="EN74" s="8" t="s">
        <v>143</v>
      </c>
      <c r="EO74" s="8" t="s">
        <v>143</v>
      </c>
      <c r="EP74" s="8" t="s">
        <v>143</v>
      </c>
      <c r="EQ74" s="8" t="s">
        <v>143</v>
      </c>
      <c r="ER74" s="8" t="s">
        <v>143</v>
      </c>
      <c r="ES74" s="8" t="s">
        <v>143</v>
      </c>
      <c r="ET74" s="8" t="s">
        <v>143</v>
      </c>
      <c r="EU74" s="8" t="s">
        <v>143</v>
      </c>
      <c r="EV74" s="8" t="s">
        <v>143</v>
      </c>
    </row>
    <row r="75" spans="1:152" x14ac:dyDescent="0.15">
      <c r="A75" s="8">
        <f>ROW([2]!tbl_DPSAC[[#This Row],[Sl. No.]])-1</f>
        <v>74</v>
      </c>
      <c r="B75" s="9" t="s">
        <v>136</v>
      </c>
      <c r="C75" s="9" t="s">
        <v>658</v>
      </c>
      <c r="D75" s="9" t="s">
        <v>138</v>
      </c>
      <c r="E75" s="9" t="s">
        <v>139</v>
      </c>
      <c r="F75" s="9" t="s">
        <v>161</v>
      </c>
      <c r="G75" s="10" t="s">
        <v>659</v>
      </c>
      <c r="H75" s="10" t="str">
        <f>_xlfn.XLOOKUP(C75,'[1]E&amp;DPSAC'!$K:$K,'[1]E&amp;DPSAC'!$E:$E,,0)</f>
        <v>TAPIN PROJECT, CHARHI</v>
      </c>
      <c r="I75" s="10"/>
      <c r="J75" s="10">
        <v>6204816691</v>
      </c>
      <c r="K75" s="10">
        <f>_xlfn.XLOOKUP(C75,'[1]E&amp;DPSAC'!$K:$K,'[1]E&amp;DPSAC'!$G:$G,"",0)</f>
        <v>6204816691</v>
      </c>
      <c r="L75" s="9" t="str">
        <f t="shared" ca="1" si="4"/>
        <v>Non - Warranty</v>
      </c>
      <c r="M75" s="11">
        <v>44692.805555555598</v>
      </c>
      <c r="N75" s="12">
        <v>24</v>
      </c>
      <c r="O75" s="11">
        <f t="shared" si="5"/>
        <v>45443</v>
      </c>
      <c r="P75" s="8" t="s">
        <v>157</v>
      </c>
      <c r="Q75" s="16" t="s">
        <v>667</v>
      </c>
      <c r="R75" s="15">
        <v>45583.702025462997</v>
      </c>
      <c r="S75" s="14">
        <v>5465</v>
      </c>
      <c r="T75" s="15">
        <v>45747</v>
      </c>
      <c r="U75" s="14">
        <v>6443</v>
      </c>
      <c r="V75" s="14">
        <v>5530</v>
      </c>
      <c r="W75" s="17">
        <v>45600.5631712963</v>
      </c>
      <c r="X75" s="14" t="s">
        <v>2744</v>
      </c>
      <c r="Y75" s="14">
        <v>685</v>
      </c>
      <c r="Z75" s="14" t="s">
        <v>2692</v>
      </c>
      <c r="AA75" s="18">
        <v>529.29797453700303</v>
      </c>
      <c r="AB75" s="18" t="s">
        <v>2697</v>
      </c>
      <c r="AC75" s="8">
        <f>tbl_DPSAC[[#This Row],[Current Month Due Count]]</f>
        <v>0</v>
      </c>
      <c r="AD75" s="8">
        <f>tbl_DPSAC[[#This Row],[Next Month Due2]]</f>
        <v>0</v>
      </c>
      <c r="AE75" s="8">
        <f t="shared" si="6"/>
        <v>1</v>
      </c>
      <c r="AF75" s="8">
        <v>7</v>
      </c>
      <c r="AG75" s="14">
        <f t="shared" ca="1" si="7"/>
        <v>9117</v>
      </c>
      <c r="AH75" s="8" t="s">
        <v>660</v>
      </c>
      <c r="AI75" s="8" t="s">
        <v>661</v>
      </c>
      <c r="AJ75" s="8" t="s">
        <v>662</v>
      </c>
      <c r="AK75" s="8" t="s">
        <v>663</v>
      </c>
      <c r="AL75" s="8" t="s">
        <v>664</v>
      </c>
      <c r="AM75" s="8" t="s">
        <v>665</v>
      </c>
      <c r="AN75" s="8" t="s">
        <v>666</v>
      </c>
      <c r="AO75" s="8">
        <v>0</v>
      </c>
      <c r="AP75" s="8">
        <v>0</v>
      </c>
      <c r="AQ75" s="8">
        <v>0</v>
      </c>
      <c r="AR75" s="8">
        <v>0</v>
      </c>
      <c r="AS75" s="8">
        <v>0</v>
      </c>
      <c r="AT75" s="8">
        <v>0</v>
      </c>
      <c r="AU75" s="8">
        <v>0</v>
      </c>
      <c r="AV75" s="8">
        <v>0</v>
      </c>
      <c r="AW75" s="8">
        <v>0</v>
      </c>
      <c r="AX75" s="8" t="s">
        <v>2961</v>
      </c>
      <c r="AY75" s="14">
        <v>5465</v>
      </c>
      <c r="AZ75" s="19">
        <v>45583</v>
      </c>
      <c r="BA75" s="14" t="s">
        <v>667</v>
      </c>
      <c r="BB75" s="14">
        <v>5465</v>
      </c>
      <c r="BC75" s="19">
        <v>45583</v>
      </c>
      <c r="BD75" s="14" t="s">
        <v>667</v>
      </c>
      <c r="BE75" s="14">
        <v>5465</v>
      </c>
      <c r="BF75" s="19">
        <v>45583</v>
      </c>
      <c r="BG75" s="14" t="s">
        <v>667</v>
      </c>
      <c r="BH75" s="14">
        <v>4825</v>
      </c>
      <c r="BI75" s="19">
        <v>45471</v>
      </c>
      <c r="BJ75" s="14" t="s">
        <v>668</v>
      </c>
      <c r="BK75" s="14">
        <v>4825</v>
      </c>
      <c r="BL75" s="19">
        <v>45471</v>
      </c>
      <c r="BM75" s="14" t="s">
        <v>668</v>
      </c>
      <c r="BN75" s="27">
        <v>45763</v>
      </c>
      <c r="BO75" s="27">
        <v>45763</v>
      </c>
      <c r="BP75" s="27">
        <v>45763</v>
      </c>
      <c r="BQ75" s="27">
        <v>45651</v>
      </c>
      <c r="BR75" s="27">
        <v>45836</v>
      </c>
      <c r="BS75" s="28">
        <v>-2902</v>
      </c>
      <c r="BT75" s="29">
        <v>-2152</v>
      </c>
      <c r="BU75" s="29">
        <v>-2902</v>
      </c>
      <c r="BV75" s="29">
        <v>-3542</v>
      </c>
      <c r="BW75" s="29">
        <v>-2792</v>
      </c>
      <c r="BX75" s="30" t="s">
        <v>159</v>
      </c>
      <c r="BY75" s="8">
        <v>5</v>
      </c>
      <c r="BZ75" s="8">
        <v>0</v>
      </c>
      <c r="CA75" s="8">
        <v>0</v>
      </c>
      <c r="CB75" s="21">
        <v>45663.770833333299</v>
      </c>
      <c r="CC75" s="21">
        <v>45663.770833333299</v>
      </c>
      <c r="CD75" s="21">
        <v>45663.770833333299</v>
      </c>
      <c r="CE75" s="21">
        <v>45663.770833333299</v>
      </c>
      <c r="CF75" s="21">
        <v>45470.770833333299</v>
      </c>
      <c r="CG75" s="21">
        <v>45663.770833333299</v>
      </c>
      <c r="CH75" s="21">
        <v>45470.770833333299</v>
      </c>
      <c r="CI75" s="21">
        <v>45663.770833333299</v>
      </c>
      <c r="CJ75" s="21">
        <v>45470.770833333299</v>
      </c>
      <c r="CK75" s="22" t="s">
        <v>2957</v>
      </c>
      <c r="CL75" s="22" t="s">
        <v>2953</v>
      </c>
      <c r="CM75" s="22" t="s">
        <v>2953</v>
      </c>
      <c r="CN75" s="22" t="s">
        <v>2957</v>
      </c>
      <c r="CO75" s="22" t="s">
        <v>2957</v>
      </c>
      <c r="CP75" s="22" t="s">
        <v>2956</v>
      </c>
      <c r="CQ75" s="22" t="s">
        <v>2960</v>
      </c>
      <c r="CR75" s="22" t="s">
        <v>2956</v>
      </c>
      <c r="CS75" s="22" t="s">
        <v>2960</v>
      </c>
      <c r="CT75" s="22">
        <v>3</v>
      </c>
      <c r="CU75" s="21">
        <v>45843</v>
      </c>
      <c r="CV75" s="21">
        <v>45843</v>
      </c>
      <c r="CW75" s="21">
        <v>45843</v>
      </c>
      <c r="CX75" s="21">
        <v>45843</v>
      </c>
      <c r="CY75" s="21">
        <v>45650</v>
      </c>
      <c r="CZ75" s="21">
        <v>45933</v>
      </c>
      <c r="DA75" s="21">
        <v>45835</v>
      </c>
      <c r="DB75" s="21">
        <v>45843</v>
      </c>
      <c r="DC75" s="21">
        <v>45835</v>
      </c>
      <c r="DD75" s="8">
        <v>1</v>
      </c>
      <c r="DE75" s="8">
        <v>0</v>
      </c>
      <c r="DF75" s="8">
        <v>0</v>
      </c>
      <c r="DG75" s="8">
        <v>9</v>
      </c>
      <c r="DH75" s="8">
        <v>0</v>
      </c>
      <c r="DI75" s="8">
        <v>0</v>
      </c>
      <c r="DJ75" s="8" t="s">
        <v>2954</v>
      </c>
      <c r="DK75" s="21">
        <v>44692</v>
      </c>
      <c r="DL75" s="21">
        <v>44651.229166666664</v>
      </c>
      <c r="DM75" s="21">
        <v>45664</v>
      </c>
      <c r="DN75" s="18">
        <v>5580</v>
      </c>
      <c r="DO75" s="21">
        <v>0</v>
      </c>
      <c r="DP75" s="21">
        <v>0</v>
      </c>
      <c r="DQ75" s="21" t="s">
        <v>2955</v>
      </c>
      <c r="DR75" s="21">
        <v>45664</v>
      </c>
      <c r="DS75" s="21">
        <v>45664</v>
      </c>
      <c r="DT75" s="21">
        <v>45664</v>
      </c>
      <c r="DU75" s="21">
        <v>45664</v>
      </c>
      <c r="DV75" s="21">
        <v>45471</v>
      </c>
      <c r="DW75" s="21">
        <v>45664</v>
      </c>
      <c r="DX75" s="21">
        <v>45471</v>
      </c>
      <c r="DY75" s="21">
        <v>45664</v>
      </c>
      <c r="DZ75" s="21">
        <v>45471</v>
      </c>
      <c r="EA75" s="8">
        <v>750</v>
      </c>
      <c r="EB75" s="8">
        <v>1000</v>
      </c>
      <c r="EC75" s="8">
        <v>1000</v>
      </c>
      <c r="ED75" s="8">
        <v>750</v>
      </c>
      <c r="EE75" s="8">
        <v>750</v>
      </c>
      <c r="EF75" s="8">
        <v>1500</v>
      </c>
      <c r="EG75" s="8">
        <v>3000</v>
      </c>
      <c r="EH75" s="8">
        <v>1500</v>
      </c>
      <c r="EI75" s="8">
        <v>3000</v>
      </c>
      <c r="EJ75" s="8">
        <v>3</v>
      </c>
      <c r="EK75" s="8" t="s">
        <v>157</v>
      </c>
      <c r="EL75" s="8">
        <v>512</v>
      </c>
      <c r="EM75" s="8">
        <v>3584</v>
      </c>
      <c r="EN75" s="8">
        <v>462</v>
      </c>
      <c r="EO75" s="8">
        <v>712</v>
      </c>
      <c r="EP75" s="8">
        <v>712</v>
      </c>
      <c r="EQ75" s="8">
        <v>462</v>
      </c>
      <c r="ER75" s="8">
        <v>462</v>
      </c>
      <c r="ES75" s="8">
        <v>1212</v>
      </c>
      <c r="ET75" s="8">
        <v>2712</v>
      </c>
      <c r="EU75" s="8">
        <v>1212</v>
      </c>
      <c r="EV75" s="8">
        <v>2712</v>
      </c>
    </row>
    <row r="76" spans="1:152" x14ac:dyDescent="0.15">
      <c r="A76" s="8">
        <f>ROW([2]!tbl_DPSAC[[#This Row],[Sl. No.]])-1</f>
        <v>75</v>
      </c>
      <c r="B76" s="9" t="s">
        <v>136</v>
      </c>
      <c r="C76" s="9" t="s">
        <v>669</v>
      </c>
      <c r="D76" s="9" t="s">
        <v>638</v>
      </c>
      <c r="E76" s="8" t="s">
        <v>639</v>
      </c>
      <c r="F76" s="9" t="s">
        <v>161</v>
      </c>
      <c r="G76" s="10" t="s">
        <v>670</v>
      </c>
      <c r="H76" s="10" t="str">
        <f>_xlfn.XLOOKUP(C76,'[1]E&amp;DPSAC'!$K:$K,'[1]E&amp;DPSAC'!$E:$E,,0)</f>
        <v>PHUSHRO</v>
      </c>
      <c r="I76" s="10" t="s">
        <v>671</v>
      </c>
      <c r="J76" s="10">
        <v>7847053297</v>
      </c>
      <c r="K76" s="10">
        <f>_xlfn.XLOOKUP(C76,'[1]E&amp;DPSAC'!$K:$K,'[1]E&amp;DPSAC'!$G:$G,"",0)</f>
        <v>7979946647</v>
      </c>
      <c r="L76" s="9" t="str">
        <f t="shared" ca="1" si="4"/>
        <v>Non - Warranty</v>
      </c>
      <c r="M76" s="11">
        <v>44692.8125</v>
      </c>
      <c r="N76" s="12">
        <v>24</v>
      </c>
      <c r="O76" s="11">
        <f t="shared" si="5"/>
        <v>45443</v>
      </c>
      <c r="P76" s="8" t="s">
        <v>142</v>
      </c>
      <c r="Q76" s="16" t="s">
        <v>2633</v>
      </c>
      <c r="R76" s="15">
        <v>45954.575694444444</v>
      </c>
      <c r="S76" s="14">
        <v>4890</v>
      </c>
      <c r="T76" s="15">
        <v>45461</v>
      </c>
      <c r="U76" s="14">
        <v>3949</v>
      </c>
      <c r="V76" s="14">
        <v>4905</v>
      </c>
      <c r="W76" s="17">
        <v>45962.659722222219</v>
      </c>
      <c r="X76" s="14" t="s">
        <v>2700</v>
      </c>
      <c r="Y76" s="14">
        <v>735</v>
      </c>
      <c r="Z76" s="14" t="s">
        <v>2692</v>
      </c>
      <c r="AA76" s="18">
        <v>158.4243055555562</v>
      </c>
      <c r="AB76" s="18" t="s">
        <v>2692</v>
      </c>
      <c r="AC76" s="8">
        <f>tbl_DPSAC[[#This Row],[Current Month Due Count]]</f>
        <v>4</v>
      </c>
      <c r="AD76" s="8">
        <f>tbl_DPSAC[[#This Row],[Next Month Due2]]</f>
        <v>0</v>
      </c>
      <c r="AE76" s="8">
        <f t="shared" si="6"/>
        <v>0</v>
      </c>
      <c r="AF76" s="8">
        <v>2</v>
      </c>
      <c r="AG76" s="14">
        <f t="shared" ca="1" si="7"/>
        <v>5206</v>
      </c>
      <c r="AH76" s="8" t="s">
        <v>672</v>
      </c>
      <c r="AI76" s="8" t="s">
        <v>673</v>
      </c>
      <c r="AJ76" s="8" t="s">
        <v>674</v>
      </c>
      <c r="AK76" s="8" t="s">
        <v>675</v>
      </c>
      <c r="AL76" s="8" t="s">
        <v>676</v>
      </c>
      <c r="AM76" s="8" t="s">
        <v>677</v>
      </c>
      <c r="AN76" s="8">
        <v>0</v>
      </c>
      <c r="AO76" s="8">
        <v>0</v>
      </c>
      <c r="AP76" s="8">
        <v>0</v>
      </c>
      <c r="AQ76" s="8">
        <v>0</v>
      </c>
      <c r="AR76" s="8">
        <v>0</v>
      </c>
      <c r="AS76" s="8">
        <v>0</v>
      </c>
      <c r="AT76" s="8">
        <v>0</v>
      </c>
      <c r="AU76" s="8">
        <v>0</v>
      </c>
      <c r="AV76" s="8">
        <v>0</v>
      </c>
      <c r="AW76" s="8">
        <v>0</v>
      </c>
      <c r="AX76" s="8" t="s">
        <v>2007</v>
      </c>
      <c r="AY76" s="14">
        <v>4890</v>
      </c>
      <c r="AZ76" s="19">
        <v>45954</v>
      </c>
      <c r="BA76" s="14" t="s">
        <v>678</v>
      </c>
      <c r="BB76" s="14">
        <v>4890</v>
      </c>
      <c r="BC76" s="19">
        <v>45954</v>
      </c>
      <c r="BD76" s="14" t="s">
        <v>678</v>
      </c>
      <c r="BE76" s="14">
        <v>4890</v>
      </c>
      <c r="BF76" s="19">
        <v>45954</v>
      </c>
      <c r="BG76" s="14" t="s">
        <v>678</v>
      </c>
      <c r="BH76" s="14">
        <v>4890</v>
      </c>
      <c r="BI76" s="19">
        <v>45954</v>
      </c>
      <c r="BJ76" s="14" t="s">
        <v>678</v>
      </c>
      <c r="BK76" s="14">
        <v>4890</v>
      </c>
      <c r="BL76" s="19">
        <v>45954</v>
      </c>
      <c r="BM76" s="14" t="s">
        <v>678</v>
      </c>
      <c r="BN76" s="27">
        <v>46134</v>
      </c>
      <c r="BO76" s="27">
        <v>46134</v>
      </c>
      <c r="BP76" s="27">
        <v>46134</v>
      </c>
      <c r="BQ76" s="27">
        <v>46134</v>
      </c>
      <c r="BR76" s="27">
        <v>46319</v>
      </c>
      <c r="BS76" s="28">
        <v>434</v>
      </c>
      <c r="BT76" s="29">
        <v>1184</v>
      </c>
      <c r="BU76" s="29">
        <v>434</v>
      </c>
      <c r="BV76" s="29">
        <v>434</v>
      </c>
      <c r="BW76" s="29">
        <v>1184</v>
      </c>
      <c r="BX76" s="30">
        <v>0</v>
      </c>
      <c r="BY76" s="8">
        <v>0</v>
      </c>
      <c r="BZ76" s="8">
        <v>4</v>
      </c>
      <c r="CA76" s="8">
        <v>0</v>
      </c>
      <c r="CB76" s="21">
        <v>45953.770833333299</v>
      </c>
      <c r="CC76" s="21">
        <v>45953.770833333299</v>
      </c>
      <c r="CD76" s="21">
        <v>45953.770833333299</v>
      </c>
      <c r="CE76" s="21">
        <v>45953.770833333299</v>
      </c>
      <c r="CF76" s="21">
        <v>45953.770833333299</v>
      </c>
      <c r="CG76" s="21">
        <v>45953.770833333299</v>
      </c>
      <c r="CH76" s="21">
        <v>45953.770833333299</v>
      </c>
      <c r="CI76" s="21">
        <v>45953.770833333299</v>
      </c>
      <c r="CJ76" s="21">
        <v>45953.770833333299</v>
      </c>
      <c r="CK76" s="22" t="s">
        <v>3024</v>
      </c>
      <c r="CL76" s="22" t="s">
        <v>2970</v>
      </c>
      <c r="CM76" s="22" t="s">
        <v>2970</v>
      </c>
      <c r="CN76" s="22" t="s">
        <v>2970</v>
      </c>
      <c r="CO76" s="22" t="s">
        <v>2970</v>
      </c>
      <c r="CP76" s="22" t="s">
        <v>3024</v>
      </c>
      <c r="CQ76" s="22" t="s">
        <v>2953</v>
      </c>
      <c r="CR76" s="22" t="s">
        <v>3024</v>
      </c>
      <c r="CS76" s="22" t="s">
        <v>3024</v>
      </c>
      <c r="CT76" s="22">
        <v>2</v>
      </c>
      <c r="CU76" s="21">
        <v>46133</v>
      </c>
      <c r="CV76" s="21">
        <v>46133</v>
      </c>
      <c r="CW76" s="21">
        <v>46133</v>
      </c>
      <c r="CX76" s="21">
        <v>46133</v>
      </c>
      <c r="CY76" s="21">
        <v>46133</v>
      </c>
      <c r="CZ76" s="21">
        <v>46223</v>
      </c>
      <c r="DA76" s="21">
        <v>46318</v>
      </c>
      <c r="DB76" s="21">
        <v>46133</v>
      </c>
      <c r="DC76" s="21">
        <v>46318</v>
      </c>
      <c r="DD76" s="8">
        <v>0</v>
      </c>
      <c r="DE76" s="8">
        <v>0</v>
      </c>
      <c r="DF76" s="8">
        <v>0</v>
      </c>
      <c r="DG76" s="8">
        <v>0</v>
      </c>
      <c r="DH76" s="8">
        <v>6</v>
      </c>
      <c r="DI76" s="8">
        <v>0</v>
      </c>
      <c r="DJ76" s="8" t="s">
        <v>2954</v>
      </c>
      <c r="DK76" s="21">
        <v>44692</v>
      </c>
      <c r="DL76" s="21">
        <v>44620.229166666664</v>
      </c>
      <c r="DM76" s="21">
        <v>45962</v>
      </c>
      <c r="DN76" s="18">
        <v>4905</v>
      </c>
      <c r="DO76" s="21">
        <v>0</v>
      </c>
      <c r="DP76" s="21">
        <v>0</v>
      </c>
      <c r="DQ76" s="21" t="s">
        <v>2955</v>
      </c>
      <c r="DR76" s="21">
        <v>45954</v>
      </c>
      <c r="DS76" s="21">
        <v>45954</v>
      </c>
      <c r="DT76" s="21">
        <v>45954</v>
      </c>
      <c r="DU76" s="21">
        <v>45954</v>
      </c>
      <c r="DV76" s="21">
        <v>45954</v>
      </c>
      <c r="DW76" s="21">
        <v>45954</v>
      </c>
      <c r="DX76" s="21">
        <v>45954</v>
      </c>
      <c r="DY76" s="21">
        <v>45954</v>
      </c>
      <c r="DZ76" s="21">
        <v>45954</v>
      </c>
      <c r="EA76" s="8">
        <v>1485</v>
      </c>
      <c r="EB76" s="8">
        <v>735</v>
      </c>
      <c r="EC76" s="8">
        <v>735</v>
      </c>
      <c r="ED76" s="8">
        <v>735</v>
      </c>
      <c r="EE76" s="8">
        <v>735</v>
      </c>
      <c r="EF76" s="8">
        <v>1485</v>
      </c>
      <c r="EG76" s="8">
        <v>1000</v>
      </c>
      <c r="EH76" s="8">
        <v>1485</v>
      </c>
      <c r="EI76" s="8">
        <v>1485</v>
      </c>
      <c r="EJ76" s="8">
        <v>2</v>
      </c>
      <c r="EK76" s="8" t="s">
        <v>2624</v>
      </c>
      <c r="EL76" s="8">
        <v>150</v>
      </c>
      <c r="EM76" s="8">
        <v>300</v>
      </c>
      <c r="EN76" s="8">
        <v>1197</v>
      </c>
      <c r="EO76" s="8">
        <v>447</v>
      </c>
      <c r="EP76" s="8">
        <v>447</v>
      </c>
      <c r="EQ76" s="8">
        <v>447</v>
      </c>
      <c r="ER76" s="8">
        <v>447</v>
      </c>
      <c r="ES76" s="8">
        <v>1197</v>
      </c>
      <c r="ET76" s="8">
        <v>712</v>
      </c>
      <c r="EU76" s="8">
        <v>1197</v>
      </c>
      <c r="EV76" s="8">
        <v>1197</v>
      </c>
    </row>
    <row r="77" spans="1:152" x14ac:dyDescent="0.15">
      <c r="A77" s="8">
        <f>ROW([2]!tbl_DPSAC[[#This Row],[Sl. No.]])-1</f>
        <v>76</v>
      </c>
      <c r="B77" s="9" t="s">
        <v>136</v>
      </c>
      <c r="C77" s="9" t="s">
        <v>679</v>
      </c>
      <c r="D77" s="9" t="s">
        <v>138</v>
      </c>
      <c r="E77" s="9" t="s">
        <v>139</v>
      </c>
      <c r="F77" s="9" t="s">
        <v>161</v>
      </c>
      <c r="G77" s="10" t="s">
        <v>680</v>
      </c>
      <c r="H77" s="10" t="str">
        <f>_xlfn.XLOOKUP(C77,'[1]E&amp;DPSAC'!$K:$K,'[1]E&amp;DPSAC'!$E:$E,,0)</f>
        <v>CHANDIL BAZAR</v>
      </c>
      <c r="I77" s="10"/>
      <c r="J77" s="10">
        <v>9123594446</v>
      </c>
      <c r="K77" s="10">
        <f>_xlfn.XLOOKUP(C77,'[1]E&amp;DPSAC'!$K:$K,'[1]E&amp;DPSAC'!$G:$G,"",0)</f>
        <v>9123594446</v>
      </c>
      <c r="L77" s="9" t="str">
        <f t="shared" ca="1" si="4"/>
        <v>Non - Warranty</v>
      </c>
      <c r="M77" s="11">
        <v>43159</v>
      </c>
      <c r="N77" s="12">
        <v>24</v>
      </c>
      <c r="O77" s="11">
        <f t="shared" si="5"/>
        <v>43890</v>
      </c>
      <c r="P77" s="8" t="s">
        <v>681</v>
      </c>
      <c r="Q77" s="16" t="s">
        <v>682</v>
      </c>
      <c r="R77" s="15">
        <v>45265.538425925901</v>
      </c>
      <c r="S77" s="14">
        <v>3880</v>
      </c>
      <c r="T77" s="15">
        <v>45799</v>
      </c>
      <c r="U77" s="14">
        <v>3677</v>
      </c>
      <c r="V77" s="14">
        <v>6700</v>
      </c>
      <c r="W77" s="17">
        <v>46041.567395833299</v>
      </c>
      <c r="X77" s="14" t="s">
        <v>2745</v>
      </c>
      <c r="Y77" s="14">
        <v>-2070</v>
      </c>
      <c r="Z77" s="14" t="s">
        <v>2697</v>
      </c>
      <c r="AA77" s="18">
        <v>847.46157407409919</v>
      </c>
      <c r="AB77" s="18" t="s">
        <v>2697</v>
      </c>
      <c r="AC77" s="8">
        <f>tbl_DPSAC[[#This Row],[Current Month Due Count]]</f>
        <v>0</v>
      </c>
      <c r="AD77" s="8">
        <f>tbl_DPSAC[[#This Row],[Next Month Due2]]</f>
        <v>0</v>
      </c>
      <c r="AE77" s="8">
        <f t="shared" si="6"/>
        <v>1</v>
      </c>
      <c r="AF77" s="8">
        <v>4</v>
      </c>
      <c r="AG77" s="14">
        <f t="shared" ca="1" si="7"/>
        <v>6986</v>
      </c>
      <c r="AH77" s="8">
        <v>0</v>
      </c>
      <c r="AI77" s="8">
        <v>0</v>
      </c>
      <c r="AJ77" s="8">
        <v>0</v>
      </c>
      <c r="AK77" s="8">
        <v>0</v>
      </c>
      <c r="AL77" s="8">
        <v>0</v>
      </c>
      <c r="AM77" s="8">
        <v>0</v>
      </c>
      <c r="AN77" s="8">
        <v>0</v>
      </c>
      <c r="AO77" s="8">
        <v>0</v>
      </c>
      <c r="AP77" s="8">
        <v>0</v>
      </c>
      <c r="AQ77" s="8">
        <v>0</v>
      </c>
      <c r="AR77" s="8">
        <v>0</v>
      </c>
      <c r="AS77" s="8">
        <v>0</v>
      </c>
      <c r="AT77" s="8">
        <v>0</v>
      </c>
      <c r="AU77" s="8">
        <v>0</v>
      </c>
      <c r="AV77" s="8">
        <v>0</v>
      </c>
      <c r="AW77" s="8">
        <v>0</v>
      </c>
      <c r="AX77" s="8" t="s">
        <v>2961</v>
      </c>
      <c r="AY77" s="14">
        <v>3380</v>
      </c>
      <c r="AZ77" s="19">
        <v>45265</v>
      </c>
      <c r="BA77" s="14" t="s">
        <v>682</v>
      </c>
      <c r="BB77" s="14">
        <v>2505</v>
      </c>
      <c r="BC77" s="19">
        <v>45000</v>
      </c>
      <c r="BD77" s="14" t="s">
        <v>683</v>
      </c>
      <c r="BE77" s="14">
        <v>3380</v>
      </c>
      <c r="BF77" s="19">
        <v>45265</v>
      </c>
      <c r="BG77" s="14" t="s">
        <v>682</v>
      </c>
      <c r="BH77" s="14">
        <v>3380</v>
      </c>
      <c r="BI77" s="19">
        <v>45265</v>
      </c>
      <c r="BJ77" s="14" t="s">
        <v>682</v>
      </c>
      <c r="BK77" s="14">
        <v>2505</v>
      </c>
      <c r="BL77" s="19">
        <v>45000</v>
      </c>
      <c r="BM77" s="14" t="s">
        <v>683</v>
      </c>
      <c r="BN77" s="27">
        <v>45445</v>
      </c>
      <c r="BO77" s="27">
        <v>45180</v>
      </c>
      <c r="BP77" s="27">
        <v>45445</v>
      </c>
      <c r="BQ77" s="27">
        <v>45445</v>
      </c>
      <c r="BR77" s="27">
        <v>45365</v>
      </c>
      <c r="BS77" s="28">
        <v>-2856</v>
      </c>
      <c r="BT77" s="29">
        <v>-2981</v>
      </c>
      <c r="BU77" s="29">
        <v>-2856</v>
      </c>
      <c r="BV77" s="29">
        <v>-2856</v>
      </c>
      <c r="BW77" s="29">
        <v>-2981</v>
      </c>
      <c r="BX77" s="30" t="s">
        <v>173</v>
      </c>
      <c r="BY77" s="8">
        <v>5</v>
      </c>
      <c r="BZ77" s="8">
        <v>0</v>
      </c>
      <c r="CA77" s="8">
        <v>0</v>
      </c>
      <c r="CB77" s="21">
        <v>45264.770833333299</v>
      </c>
      <c r="CC77" s="21">
        <v>45264.770833333299</v>
      </c>
      <c r="CD77" s="21">
        <v>45264.770833333299</v>
      </c>
      <c r="CE77" s="21">
        <v>45264.770833333299</v>
      </c>
      <c r="CF77" s="21">
        <v>45264.770833333299</v>
      </c>
      <c r="CG77" s="21">
        <v>44999.770833333299</v>
      </c>
      <c r="CH77" s="21">
        <v>0</v>
      </c>
      <c r="CI77" s="21">
        <v>44999.770833333299</v>
      </c>
      <c r="CJ77" s="21">
        <v>0</v>
      </c>
      <c r="CK77" s="22" t="s">
        <v>2986</v>
      </c>
      <c r="CL77" s="22" t="s">
        <v>2986</v>
      </c>
      <c r="CM77" s="22" t="s">
        <v>2986</v>
      </c>
      <c r="CN77" s="22" t="s">
        <v>2986</v>
      </c>
      <c r="CO77" s="22" t="s">
        <v>2986</v>
      </c>
      <c r="CP77" s="22" t="s">
        <v>2953</v>
      </c>
      <c r="CQ77" s="22" t="s">
        <v>2953</v>
      </c>
      <c r="CR77" s="22" t="s">
        <v>2953</v>
      </c>
      <c r="CS77" s="22" t="s">
        <v>2953</v>
      </c>
      <c r="CT77" s="22">
        <v>3</v>
      </c>
      <c r="CU77" s="21">
        <v>45444</v>
      </c>
      <c r="CV77" s="21">
        <v>45444</v>
      </c>
      <c r="CW77" s="21">
        <v>45444</v>
      </c>
      <c r="CX77" s="21">
        <v>45444</v>
      </c>
      <c r="CY77" s="21">
        <v>45444</v>
      </c>
      <c r="CZ77" s="21">
        <v>45269</v>
      </c>
      <c r="DA77" s="21">
        <v>46134</v>
      </c>
      <c r="DB77" s="21">
        <v>45179</v>
      </c>
      <c r="DC77" s="21">
        <v>46225</v>
      </c>
      <c r="DD77" s="8">
        <v>1</v>
      </c>
      <c r="DE77" s="8">
        <v>0</v>
      </c>
      <c r="DF77" s="8">
        <v>0</v>
      </c>
      <c r="DG77" s="8">
        <v>7</v>
      </c>
      <c r="DH77" s="8">
        <v>1</v>
      </c>
      <c r="DI77" s="8">
        <v>0</v>
      </c>
      <c r="DJ77" s="8" t="s">
        <v>3025</v>
      </c>
      <c r="DK77" s="21">
        <v>43159</v>
      </c>
      <c r="DL77" s="21">
        <v>43157</v>
      </c>
      <c r="DM77" s="21">
        <v>46041</v>
      </c>
      <c r="DN77" s="18">
        <v>6700</v>
      </c>
      <c r="DO77" s="21">
        <v>0</v>
      </c>
      <c r="DP77" s="21">
        <v>0</v>
      </c>
      <c r="DQ77" s="21" t="s">
        <v>2955</v>
      </c>
      <c r="DR77" s="21">
        <v>45265</v>
      </c>
      <c r="DS77" s="21">
        <v>45265</v>
      </c>
      <c r="DT77" s="21">
        <v>45265</v>
      </c>
      <c r="DU77" s="21">
        <v>45265</v>
      </c>
      <c r="DV77" s="21">
        <v>45265</v>
      </c>
      <c r="DW77" s="21">
        <v>45000</v>
      </c>
      <c r="DX77" s="21">
        <v>0</v>
      </c>
      <c r="DY77" s="21">
        <v>45000</v>
      </c>
      <c r="DZ77" s="21">
        <v>0</v>
      </c>
      <c r="EA77" s="8">
        <v>580</v>
      </c>
      <c r="EB77" s="8">
        <v>580</v>
      </c>
      <c r="EC77" s="8">
        <v>580</v>
      </c>
      <c r="ED77" s="8">
        <v>580</v>
      </c>
      <c r="EE77" s="8">
        <v>580</v>
      </c>
      <c r="EF77" s="8">
        <v>1000</v>
      </c>
      <c r="EG77" s="8">
        <v>1000</v>
      </c>
      <c r="EH77" s="8">
        <v>1000</v>
      </c>
      <c r="EI77" s="8">
        <v>1000</v>
      </c>
      <c r="EJ77" s="8">
        <v>3</v>
      </c>
      <c r="EK77" s="8" t="s">
        <v>2624</v>
      </c>
      <c r="EL77" s="8">
        <v>71</v>
      </c>
      <c r="EM77" s="8">
        <v>284</v>
      </c>
      <c r="EN77" s="8">
        <v>292</v>
      </c>
      <c r="EO77" s="8">
        <v>292</v>
      </c>
      <c r="EP77" s="8">
        <v>292</v>
      </c>
      <c r="EQ77" s="8">
        <v>292</v>
      </c>
      <c r="ER77" s="8">
        <v>292</v>
      </c>
      <c r="ES77" s="8">
        <v>712</v>
      </c>
      <c r="ET77" s="8">
        <v>712</v>
      </c>
      <c r="EU77" s="8">
        <v>712</v>
      </c>
      <c r="EV77" s="8">
        <v>712</v>
      </c>
    </row>
    <row r="78" spans="1:152" x14ac:dyDescent="0.15">
      <c r="A78" s="8">
        <f>ROW([2]!tbl_DPSAC[[#This Row],[Sl. No.]])-1</f>
        <v>77</v>
      </c>
      <c r="B78" s="9" t="s">
        <v>136</v>
      </c>
      <c r="C78" s="9" t="s">
        <v>684</v>
      </c>
      <c r="D78" s="9" t="s">
        <v>138</v>
      </c>
      <c r="E78" s="9" t="s">
        <v>139</v>
      </c>
      <c r="F78" s="9" t="s">
        <v>161</v>
      </c>
      <c r="G78" s="10" t="s">
        <v>162</v>
      </c>
      <c r="H78" s="10" t="str">
        <f>_xlfn.XLOOKUP(C78,'[1]E&amp;DPSAC'!$K:$K,'[1]E&amp;DPSAC'!$E:$E,,0)</f>
        <v>GIRIDIH</v>
      </c>
      <c r="I78" s="10" t="s">
        <v>163</v>
      </c>
      <c r="J78" s="10">
        <v>9931921808</v>
      </c>
      <c r="K78" s="10">
        <f>_xlfn.XLOOKUP(C78,'[1]E&amp;DPSAC'!$K:$K,'[1]E&amp;DPSAC'!$G:$G,"",0)</f>
        <v>9006617909</v>
      </c>
      <c r="L78" s="9" t="str">
        <f t="shared" ca="1" si="4"/>
        <v>Non - Warranty</v>
      </c>
      <c r="M78" s="11">
        <v>42982</v>
      </c>
      <c r="N78" s="12">
        <v>24</v>
      </c>
      <c r="O78" s="11">
        <f t="shared" si="5"/>
        <v>43738</v>
      </c>
      <c r="P78" s="8" t="s">
        <v>213</v>
      </c>
      <c r="Q78" s="16" t="s">
        <v>686</v>
      </c>
      <c r="R78" s="15">
        <v>46042.558877314797</v>
      </c>
      <c r="S78" s="14">
        <v>6180</v>
      </c>
      <c r="T78" s="15">
        <v>45941</v>
      </c>
      <c r="U78" s="14">
        <v>6000</v>
      </c>
      <c r="V78" s="14">
        <v>6180</v>
      </c>
      <c r="W78" s="17">
        <v>46042.558877314797</v>
      </c>
      <c r="X78" s="14" t="s">
        <v>2746</v>
      </c>
      <c r="Y78" s="14">
        <v>750</v>
      </c>
      <c r="Z78" s="14" t="s">
        <v>2692</v>
      </c>
      <c r="AA78" s="18">
        <v>70.441122685202572</v>
      </c>
      <c r="AB78" s="18" t="s">
        <v>2692</v>
      </c>
      <c r="AC78" s="8">
        <f>tbl_DPSAC[[#This Row],[Current Month Due Count]]</f>
        <v>0</v>
      </c>
      <c r="AD78" s="8">
        <f>tbl_DPSAC[[#This Row],[Next Month Due2]]</f>
        <v>0</v>
      </c>
      <c r="AE78" s="8">
        <f t="shared" si="6"/>
        <v>0</v>
      </c>
      <c r="AF78" s="8">
        <v>1.75</v>
      </c>
      <c r="AG78" s="14">
        <f t="shared" ca="1" si="7"/>
        <v>6303</v>
      </c>
      <c r="AH78" s="8">
        <v>0</v>
      </c>
      <c r="AI78" s="8">
        <v>0</v>
      </c>
      <c r="AJ78" s="8">
        <v>0</v>
      </c>
      <c r="AK78" s="8">
        <v>0</v>
      </c>
      <c r="AL78" s="8">
        <v>0</v>
      </c>
      <c r="AM78" s="8">
        <v>0</v>
      </c>
      <c r="AN78" s="8">
        <v>0</v>
      </c>
      <c r="AO78" s="8">
        <v>0</v>
      </c>
      <c r="AP78" s="8">
        <v>0</v>
      </c>
      <c r="AQ78" s="8">
        <v>0</v>
      </c>
      <c r="AR78" s="8" t="s">
        <v>685</v>
      </c>
      <c r="AS78" s="8">
        <v>0</v>
      </c>
      <c r="AT78" s="8">
        <v>0</v>
      </c>
      <c r="AU78" s="8">
        <v>0</v>
      </c>
      <c r="AV78" s="8">
        <v>0</v>
      </c>
      <c r="AW78" s="8">
        <v>0</v>
      </c>
      <c r="AX78" s="8" t="s">
        <v>2007</v>
      </c>
      <c r="AY78" s="14">
        <v>6180</v>
      </c>
      <c r="AZ78" s="19">
        <v>46042</v>
      </c>
      <c r="BA78" s="14" t="s">
        <v>686</v>
      </c>
      <c r="BB78" s="14">
        <v>6180</v>
      </c>
      <c r="BC78" s="19">
        <v>46042</v>
      </c>
      <c r="BD78" s="14" t="s">
        <v>686</v>
      </c>
      <c r="BE78" s="14">
        <v>6180</v>
      </c>
      <c r="BF78" s="19">
        <v>46042</v>
      </c>
      <c r="BG78" s="14" t="s">
        <v>686</v>
      </c>
      <c r="BH78" s="14">
        <v>6180</v>
      </c>
      <c r="BI78" s="19">
        <v>46042</v>
      </c>
      <c r="BJ78" s="14" t="s">
        <v>686</v>
      </c>
      <c r="BK78" s="14">
        <v>6180</v>
      </c>
      <c r="BL78" s="19">
        <v>46042</v>
      </c>
      <c r="BM78" s="14" t="s">
        <v>686</v>
      </c>
      <c r="BN78" s="27">
        <v>46222</v>
      </c>
      <c r="BO78" s="27">
        <v>46222</v>
      </c>
      <c r="BP78" s="27">
        <v>46222</v>
      </c>
      <c r="BQ78" s="27">
        <v>46222</v>
      </c>
      <c r="BR78" s="27">
        <v>46407</v>
      </c>
      <c r="BS78" s="28">
        <v>627</v>
      </c>
      <c r="BT78" s="29">
        <v>1377</v>
      </c>
      <c r="BU78" s="29">
        <v>627</v>
      </c>
      <c r="BV78" s="29">
        <v>627</v>
      </c>
      <c r="BW78" s="29">
        <v>1377</v>
      </c>
      <c r="BX78" s="30" t="e">
        <v>#N/A</v>
      </c>
      <c r="BY78" s="8">
        <v>0</v>
      </c>
      <c r="BZ78" s="8">
        <v>0</v>
      </c>
      <c r="CA78" s="8">
        <v>0</v>
      </c>
      <c r="CB78" s="21">
        <v>46041.770833333299</v>
      </c>
      <c r="CC78" s="21">
        <v>46041.770833333299</v>
      </c>
      <c r="CD78" s="21">
        <v>46041.770833333299</v>
      </c>
      <c r="CE78" s="21">
        <v>46041.770833333299</v>
      </c>
      <c r="CF78" s="21">
        <v>46041.770833333299</v>
      </c>
      <c r="CG78" s="21">
        <v>45940.770833333299</v>
      </c>
      <c r="CH78" s="21">
        <v>46041.770833333299</v>
      </c>
      <c r="CI78" s="21">
        <v>45940.770833333299</v>
      </c>
      <c r="CJ78" s="21">
        <v>45940.770833333299</v>
      </c>
      <c r="CK78" s="22" t="s">
        <v>2956</v>
      </c>
      <c r="CL78" s="22" t="s">
        <v>2957</v>
      </c>
      <c r="CM78" s="22" t="s">
        <v>2959</v>
      </c>
      <c r="CN78" s="22" t="s">
        <v>2957</v>
      </c>
      <c r="CO78" s="22" t="s">
        <v>2957</v>
      </c>
      <c r="CP78" s="22" t="s">
        <v>3026</v>
      </c>
      <c r="CQ78" s="22" t="s">
        <v>2953</v>
      </c>
      <c r="CR78" s="22" t="s">
        <v>3026</v>
      </c>
      <c r="CS78" s="22" t="s">
        <v>3026</v>
      </c>
      <c r="CT78" s="22">
        <v>9</v>
      </c>
      <c r="CU78" s="21">
        <v>46208</v>
      </c>
      <c r="CV78" s="21">
        <v>46125</v>
      </c>
      <c r="CW78" s="21">
        <v>46097</v>
      </c>
      <c r="CX78" s="21">
        <v>46125</v>
      </c>
      <c r="CY78" s="21">
        <v>46125</v>
      </c>
      <c r="CZ78" s="21">
        <v>46175</v>
      </c>
      <c r="DA78" s="21">
        <v>46153</v>
      </c>
      <c r="DB78" s="21">
        <v>46120</v>
      </c>
      <c r="DC78" s="21">
        <v>46175</v>
      </c>
      <c r="DD78" s="8">
        <v>0</v>
      </c>
      <c r="DE78" s="8">
        <v>0</v>
      </c>
      <c r="DF78" s="8">
        <v>1</v>
      </c>
      <c r="DG78" s="8">
        <v>1</v>
      </c>
      <c r="DH78" s="8">
        <v>4</v>
      </c>
      <c r="DI78" s="8">
        <v>1</v>
      </c>
      <c r="DJ78" s="8" t="s">
        <v>2976</v>
      </c>
      <c r="DK78" s="21">
        <v>42982</v>
      </c>
      <c r="DL78" s="21">
        <v>42970</v>
      </c>
      <c r="DM78" s="21">
        <v>46042</v>
      </c>
      <c r="DN78" s="18">
        <v>6180</v>
      </c>
      <c r="DO78" s="21">
        <v>0</v>
      </c>
      <c r="DP78" s="21">
        <v>0</v>
      </c>
      <c r="DQ78" s="21" t="s">
        <v>2955</v>
      </c>
      <c r="DR78" s="21">
        <v>46042</v>
      </c>
      <c r="DS78" s="21">
        <v>46042</v>
      </c>
      <c r="DT78" s="21">
        <v>46042</v>
      </c>
      <c r="DU78" s="21">
        <v>46042</v>
      </c>
      <c r="DV78" s="21">
        <v>46042</v>
      </c>
      <c r="DW78" s="21">
        <v>45941</v>
      </c>
      <c r="DX78" s="21">
        <v>46042</v>
      </c>
      <c r="DY78" s="21">
        <v>45941</v>
      </c>
      <c r="DZ78" s="21">
        <v>45941</v>
      </c>
      <c r="EA78" s="8">
        <v>1500</v>
      </c>
      <c r="EB78" s="8">
        <v>750</v>
      </c>
      <c r="EC78" s="8">
        <v>500</v>
      </c>
      <c r="ED78" s="8">
        <v>750</v>
      </c>
      <c r="EE78" s="8">
        <v>750</v>
      </c>
      <c r="EF78" s="8">
        <v>1200</v>
      </c>
      <c r="EG78" s="8">
        <v>1000</v>
      </c>
      <c r="EH78" s="8">
        <v>1200</v>
      </c>
      <c r="EI78" s="8">
        <v>1200</v>
      </c>
      <c r="EJ78" s="8">
        <v>9</v>
      </c>
      <c r="EK78" s="8" t="s">
        <v>2624</v>
      </c>
      <c r="EL78" s="8">
        <v>70</v>
      </c>
      <c r="EM78" s="8">
        <v>122.5</v>
      </c>
      <c r="EN78" s="8">
        <v>1212</v>
      </c>
      <c r="EO78" s="8">
        <v>462</v>
      </c>
      <c r="EP78" s="8">
        <v>212</v>
      </c>
      <c r="EQ78" s="8">
        <v>462</v>
      </c>
      <c r="ER78" s="8">
        <v>462</v>
      </c>
      <c r="ES78" s="8">
        <v>912</v>
      </c>
      <c r="ET78" s="8">
        <v>712</v>
      </c>
      <c r="EU78" s="8">
        <v>912</v>
      </c>
      <c r="EV78" s="8">
        <v>912</v>
      </c>
    </row>
    <row r="79" spans="1:152" x14ac:dyDescent="0.15">
      <c r="A79" s="8">
        <f>ROW([2]!tbl_DPSAC[[#This Row],[Sl. No.]])-1</f>
        <v>78</v>
      </c>
      <c r="B79" s="9" t="s">
        <v>136</v>
      </c>
      <c r="C79" s="9" t="s">
        <v>687</v>
      </c>
      <c r="D79" s="9" t="s">
        <v>688</v>
      </c>
      <c r="E79" s="9" t="s">
        <v>333</v>
      </c>
      <c r="F79" s="9" t="s">
        <v>161</v>
      </c>
      <c r="G79" s="10" t="s">
        <v>162</v>
      </c>
      <c r="H79" s="10" t="str">
        <f>_xlfn.XLOOKUP(C79,'[1]E&amp;DPSAC'!$K:$K,'[1]E&amp;DPSAC'!$E:$E,,0)</f>
        <v>AMLO PHUSHRO</v>
      </c>
      <c r="I79" s="10" t="s">
        <v>163</v>
      </c>
      <c r="J79" s="10">
        <v>9006617909</v>
      </c>
      <c r="K79" s="10">
        <f>_xlfn.XLOOKUP(C79,'[1]E&amp;DPSAC'!$K:$K,'[1]E&amp;DPSAC'!$G:$G,"",0)</f>
        <v>8757131605</v>
      </c>
      <c r="L79" s="9" t="str">
        <f t="shared" ca="1" si="4"/>
        <v>Non - Warranty</v>
      </c>
      <c r="M79" s="11">
        <v>43214</v>
      </c>
      <c r="N79" s="12">
        <v>24</v>
      </c>
      <c r="O79" s="11">
        <f t="shared" si="5"/>
        <v>43951</v>
      </c>
      <c r="P79" s="8" t="s">
        <v>689</v>
      </c>
      <c r="Q79" s="16" t="s">
        <v>692</v>
      </c>
      <c r="R79" s="15">
        <v>46042.631053240701</v>
      </c>
      <c r="S79" s="14">
        <v>9210</v>
      </c>
      <c r="T79" s="15">
        <v>45309</v>
      </c>
      <c r="U79" s="14">
        <v>5896</v>
      </c>
      <c r="V79" s="14">
        <v>9210</v>
      </c>
      <c r="W79" s="17">
        <v>46042.631053240701</v>
      </c>
      <c r="X79" s="14" t="s">
        <v>2747</v>
      </c>
      <c r="Y79" s="14">
        <v>750</v>
      </c>
      <c r="Z79" s="14" t="s">
        <v>2692</v>
      </c>
      <c r="AA79" s="18">
        <v>70.368946759299433</v>
      </c>
      <c r="AB79" s="18" t="s">
        <v>2692</v>
      </c>
      <c r="AC79" s="8">
        <f>tbl_DPSAC[[#This Row],[Current Month Due Count]]</f>
        <v>0</v>
      </c>
      <c r="AD79" s="8">
        <f>tbl_DPSAC[[#This Row],[Next Month Due2]]</f>
        <v>0</v>
      </c>
      <c r="AE79" s="8">
        <f t="shared" si="6"/>
        <v>0</v>
      </c>
      <c r="AF79" s="8">
        <v>3</v>
      </c>
      <c r="AG79" s="14">
        <f t="shared" ca="1" si="7"/>
        <v>9421</v>
      </c>
      <c r="AH79" s="8">
        <v>0</v>
      </c>
      <c r="AI79" s="8">
        <v>0</v>
      </c>
      <c r="AJ79" s="8">
        <v>0</v>
      </c>
      <c r="AK79" s="8">
        <v>0</v>
      </c>
      <c r="AL79" s="8">
        <v>0</v>
      </c>
      <c r="AM79" s="8" t="s">
        <v>690</v>
      </c>
      <c r="AN79" s="8">
        <v>0</v>
      </c>
      <c r="AO79" s="8">
        <v>0</v>
      </c>
      <c r="AP79" s="8">
        <v>0</v>
      </c>
      <c r="AQ79" s="8">
        <v>0</v>
      </c>
      <c r="AR79" s="8">
        <v>0</v>
      </c>
      <c r="AS79" s="8" t="s">
        <v>691</v>
      </c>
      <c r="AT79" s="8">
        <v>0</v>
      </c>
      <c r="AU79" s="8">
        <v>0</v>
      </c>
      <c r="AV79" s="8">
        <v>0</v>
      </c>
      <c r="AW79" s="8">
        <v>0</v>
      </c>
      <c r="AX79" s="8" t="s">
        <v>2007</v>
      </c>
      <c r="AY79" s="14">
        <v>9210</v>
      </c>
      <c r="AZ79" s="19">
        <v>46042</v>
      </c>
      <c r="BA79" s="14" t="s">
        <v>692</v>
      </c>
      <c r="BB79" s="14">
        <v>9210</v>
      </c>
      <c r="BC79" s="19">
        <v>46042</v>
      </c>
      <c r="BD79" s="14" t="s">
        <v>692</v>
      </c>
      <c r="BE79" s="14">
        <v>9210</v>
      </c>
      <c r="BF79" s="19">
        <v>46042</v>
      </c>
      <c r="BG79" s="14" t="s">
        <v>692</v>
      </c>
      <c r="BH79" s="14">
        <v>9210</v>
      </c>
      <c r="BI79" s="19">
        <v>46042</v>
      </c>
      <c r="BJ79" s="14" t="s">
        <v>692</v>
      </c>
      <c r="BK79" s="14">
        <v>9210</v>
      </c>
      <c r="BL79" s="19">
        <v>46042</v>
      </c>
      <c r="BM79" s="14" t="s">
        <v>692</v>
      </c>
      <c r="BN79" s="27">
        <v>46222</v>
      </c>
      <c r="BO79" s="27">
        <v>46222</v>
      </c>
      <c r="BP79" s="27">
        <v>46222</v>
      </c>
      <c r="BQ79" s="27">
        <v>46222</v>
      </c>
      <c r="BR79" s="27">
        <v>46407</v>
      </c>
      <c r="BS79" s="28">
        <v>539</v>
      </c>
      <c r="BT79" s="29">
        <v>1289</v>
      </c>
      <c r="BU79" s="29">
        <v>539</v>
      </c>
      <c r="BV79" s="29">
        <v>539</v>
      </c>
      <c r="BW79" s="29">
        <v>1289</v>
      </c>
      <c r="BX79" s="30" t="s">
        <v>693</v>
      </c>
      <c r="BY79" s="8">
        <v>0</v>
      </c>
      <c r="BZ79" s="8">
        <v>0</v>
      </c>
      <c r="CA79" s="8">
        <v>0</v>
      </c>
      <c r="CB79" s="21">
        <v>46041.770833333299</v>
      </c>
      <c r="CC79" s="21">
        <v>46041.770833333299</v>
      </c>
      <c r="CD79" s="21">
        <v>46041.770833333299</v>
      </c>
      <c r="CE79" s="21">
        <v>46041.770833333299</v>
      </c>
      <c r="CF79" s="21">
        <v>46041.770833333299</v>
      </c>
      <c r="CG79" s="21">
        <v>46041.770833333299</v>
      </c>
      <c r="CH79" s="21">
        <v>46041.770833333299</v>
      </c>
      <c r="CI79" s="21">
        <v>46041.770833333299</v>
      </c>
      <c r="CJ79" s="21">
        <v>46041.770833333299</v>
      </c>
      <c r="CK79" s="22" t="s">
        <v>2956</v>
      </c>
      <c r="CL79" s="22" t="s">
        <v>2957</v>
      </c>
      <c r="CM79" s="22" t="s">
        <v>2959</v>
      </c>
      <c r="CN79" s="22" t="s">
        <v>2957</v>
      </c>
      <c r="CO79" s="22" t="s">
        <v>2957</v>
      </c>
      <c r="CP79" s="22" t="s">
        <v>2956</v>
      </c>
      <c r="CQ79" s="22" t="s">
        <v>2953</v>
      </c>
      <c r="CR79" s="22" t="s">
        <v>2956</v>
      </c>
      <c r="CS79" s="22" t="s">
        <v>2960</v>
      </c>
      <c r="CT79" s="22">
        <v>10</v>
      </c>
      <c r="CU79" s="21">
        <v>46192</v>
      </c>
      <c r="CV79" s="21">
        <v>46117</v>
      </c>
      <c r="CW79" s="21">
        <v>46092</v>
      </c>
      <c r="CX79" s="21">
        <v>46117</v>
      </c>
      <c r="CY79" s="21">
        <v>46117</v>
      </c>
      <c r="CZ79" s="21">
        <v>46192</v>
      </c>
      <c r="DA79" s="21">
        <v>46142</v>
      </c>
      <c r="DB79" s="21">
        <v>46192</v>
      </c>
      <c r="DC79" s="21">
        <v>46342</v>
      </c>
      <c r="DD79" s="8">
        <v>0</v>
      </c>
      <c r="DE79" s="8">
        <v>0</v>
      </c>
      <c r="DF79" s="8">
        <v>1</v>
      </c>
      <c r="DG79" s="8">
        <v>1</v>
      </c>
      <c r="DH79" s="8">
        <v>4</v>
      </c>
      <c r="DI79" s="8">
        <v>0</v>
      </c>
      <c r="DJ79" s="8" t="s">
        <v>2976</v>
      </c>
      <c r="DK79" s="21">
        <v>43214</v>
      </c>
      <c r="DL79" s="21">
        <v>43201</v>
      </c>
      <c r="DM79" s="21">
        <v>46042</v>
      </c>
      <c r="DN79" s="18">
        <v>9210</v>
      </c>
      <c r="DO79" s="21">
        <v>0</v>
      </c>
      <c r="DP79" s="21">
        <v>0</v>
      </c>
      <c r="DQ79" s="21" t="s">
        <v>2955</v>
      </c>
      <c r="DR79" s="21">
        <v>46042</v>
      </c>
      <c r="DS79" s="21">
        <v>46042</v>
      </c>
      <c r="DT79" s="21">
        <v>46042</v>
      </c>
      <c r="DU79" s="21">
        <v>46042</v>
      </c>
      <c r="DV79" s="21">
        <v>46042</v>
      </c>
      <c r="DW79" s="21">
        <v>46042</v>
      </c>
      <c r="DX79" s="21">
        <v>46042</v>
      </c>
      <c r="DY79" s="21">
        <v>46042</v>
      </c>
      <c r="DZ79" s="21">
        <v>46042</v>
      </c>
      <c r="EA79" s="8">
        <v>1500</v>
      </c>
      <c r="EB79" s="8">
        <v>750</v>
      </c>
      <c r="EC79" s="8">
        <v>500</v>
      </c>
      <c r="ED79" s="8">
        <v>750</v>
      </c>
      <c r="EE79" s="8">
        <v>750</v>
      </c>
      <c r="EF79" s="8">
        <v>1500</v>
      </c>
      <c r="EG79" s="8">
        <v>1000</v>
      </c>
      <c r="EH79" s="8">
        <v>1500</v>
      </c>
      <c r="EI79" s="8">
        <v>3000</v>
      </c>
      <c r="EJ79" s="8">
        <v>10</v>
      </c>
      <c r="EK79" s="8" t="s">
        <v>689</v>
      </c>
      <c r="EL79" s="8">
        <v>70</v>
      </c>
      <c r="EM79" s="8">
        <v>210</v>
      </c>
      <c r="EN79" s="8">
        <v>1212</v>
      </c>
      <c r="EO79" s="8">
        <v>462</v>
      </c>
      <c r="EP79" s="8">
        <v>212</v>
      </c>
      <c r="EQ79" s="8">
        <v>462</v>
      </c>
      <c r="ER79" s="8">
        <v>462</v>
      </c>
      <c r="ES79" s="8">
        <v>1212</v>
      </c>
      <c r="ET79" s="8">
        <v>712</v>
      </c>
      <c r="EU79" s="8">
        <v>1212</v>
      </c>
      <c r="EV79" s="8">
        <v>2712</v>
      </c>
    </row>
    <row r="80" spans="1:152" x14ac:dyDescent="0.15">
      <c r="A80" s="8">
        <f>ROW([2]!tbl_DPSAC[[#This Row],[Sl. No.]])-1</f>
        <v>79</v>
      </c>
      <c r="B80" s="9" t="s">
        <v>136</v>
      </c>
      <c r="C80" s="9" t="s">
        <v>694</v>
      </c>
      <c r="D80" s="9" t="s">
        <v>688</v>
      </c>
      <c r="E80" s="9" t="s">
        <v>333</v>
      </c>
      <c r="F80" s="9" t="s">
        <v>161</v>
      </c>
      <c r="G80" s="10" t="s">
        <v>162</v>
      </c>
      <c r="H80" s="10" t="str">
        <f>_xlfn.XLOOKUP(C80,'[1]E&amp;DPSAC'!$K:$K,'[1]E&amp;DPSAC'!$E:$E,,0)</f>
        <v>BENIDIH</v>
      </c>
      <c r="I80" s="10" t="s">
        <v>163</v>
      </c>
      <c r="J80" s="10" t="s">
        <v>143</v>
      </c>
      <c r="K80" s="10">
        <f>_xlfn.XLOOKUP(C80,'[1]E&amp;DPSAC'!$K:$K,'[1]E&amp;DPSAC'!$G:$G,"",0)</f>
        <v>9006617909</v>
      </c>
      <c r="L80" s="9" t="str">
        <f t="shared" ca="1" si="4"/>
        <v>Non - Warranty</v>
      </c>
      <c r="M80" s="11">
        <v>42816</v>
      </c>
      <c r="N80" s="12">
        <v>24</v>
      </c>
      <c r="O80" s="11">
        <f t="shared" si="5"/>
        <v>43555</v>
      </c>
      <c r="P80" s="8" t="s">
        <v>689</v>
      </c>
      <c r="Q80" s="16" t="s">
        <v>695</v>
      </c>
      <c r="R80" s="15">
        <v>46042.632986111101</v>
      </c>
      <c r="S80" s="14">
        <v>5700</v>
      </c>
      <c r="T80" s="15">
        <v>45371</v>
      </c>
      <c r="U80" s="14">
        <v>3020</v>
      </c>
      <c r="V80" s="14">
        <v>5700</v>
      </c>
      <c r="W80" s="17">
        <v>46042.632986111101</v>
      </c>
      <c r="X80" s="14" t="s">
        <v>2748</v>
      </c>
      <c r="Y80" s="14">
        <v>750</v>
      </c>
      <c r="Z80" s="14" t="s">
        <v>2692</v>
      </c>
      <c r="AA80" s="18">
        <v>70.367013888899237</v>
      </c>
      <c r="AB80" s="18" t="s">
        <v>2692</v>
      </c>
      <c r="AC80" s="8">
        <f>tbl_DPSAC[[#This Row],[Current Month Due Count]]</f>
        <v>0</v>
      </c>
      <c r="AD80" s="8">
        <f>tbl_DPSAC[[#This Row],[Next Month Due2]]</f>
        <v>0</v>
      </c>
      <c r="AE80" s="8">
        <f t="shared" si="6"/>
        <v>0</v>
      </c>
      <c r="AF80" s="8">
        <v>4</v>
      </c>
      <c r="AG80" s="14">
        <f t="shared" ca="1" si="7"/>
        <v>5981</v>
      </c>
      <c r="AH80" s="8">
        <v>0</v>
      </c>
      <c r="AI80" s="8">
        <v>0</v>
      </c>
      <c r="AJ80" s="8">
        <v>0</v>
      </c>
      <c r="AK80" s="8">
        <v>0</v>
      </c>
      <c r="AL80" s="8">
        <v>0</v>
      </c>
      <c r="AM80" s="8">
        <v>0</v>
      </c>
      <c r="AN80" s="8">
        <v>0</v>
      </c>
      <c r="AO80" s="8">
        <v>0</v>
      </c>
      <c r="AP80" s="8">
        <v>0</v>
      </c>
      <c r="AQ80" s="8">
        <v>0</v>
      </c>
      <c r="AR80" s="8">
        <v>0</v>
      </c>
      <c r="AS80" s="8">
        <v>0</v>
      </c>
      <c r="AT80" s="8">
        <v>0</v>
      </c>
      <c r="AU80" s="8">
        <v>0</v>
      </c>
      <c r="AV80" s="8">
        <v>0</v>
      </c>
      <c r="AW80" s="8">
        <v>0</v>
      </c>
      <c r="AX80" s="8" t="s">
        <v>2007</v>
      </c>
      <c r="AY80" s="14">
        <v>5700</v>
      </c>
      <c r="AZ80" s="19">
        <v>46042</v>
      </c>
      <c r="BA80" s="14" t="s">
        <v>695</v>
      </c>
      <c r="BB80" s="14">
        <v>5700</v>
      </c>
      <c r="BC80" s="19">
        <v>46042</v>
      </c>
      <c r="BD80" s="14" t="s">
        <v>695</v>
      </c>
      <c r="BE80" s="14">
        <v>5700</v>
      </c>
      <c r="BF80" s="19">
        <v>46042</v>
      </c>
      <c r="BG80" s="14" t="s">
        <v>695</v>
      </c>
      <c r="BH80" s="14">
        <v>5700</v>
      </c>
      <c r="BI80" s="19">
        <v>46042</v>
      </c>
      <c r="BJ80" s="14" t="s">
        <v>695</v>
      </c>
      <c r="BK80" s="14">
        <v>5700</v>
      </c>
      <c r="BL80" s="19">
        <v>46042</v>
      </c>
      <c r="BM80" s="14" t="s">
        <v>695</v>
      </c>
      <c r="BN80" s="27">
        <v>46222</v>
      </c>
      <c r="BO80" s="27">
        <v>46222</v>
      </c>
      <c r="BP80" s="27">
        <v>46222</v>
      </c>
      <c r="BQ80" s="27">
        <v>46222</v>
      </c>
      <c r="BR80" s="27">
        <v>46407</v>
      </c>
      <c r="BS80" s="28">
        <v>469</v>
      </c>
      <c r="BT80" s="29">
        <v>1219</v>
      </c>
      <c r="BU80" s="29">
        <v>469</v>
      </c>
      <c r="BV80" s="29">
        <v>469</v>
      </c>
      <c r="BW80" s="29">
        <v>1219</v>
      </c>
      <c r="BX80" s="30" t="s">
        <v>693</v>
      </c>
      <c r="BY80" s="8">
        <v>0</v>
      </c>
      <c r="BZ80" s="8">
        <v>0</v>
      </c>
      <c r="CA80" s="8">
        <v>0</v>
      </c>
      <c r="CB80" s="21">
        <v>46041.770833333299</v>
      </c>
      <c r="CC80" s="21">
        <v>46041.770833333299</v>
      </c>
      <c r="CD80" s="21">
        <v>46041.770833333299</v>
      </c>
      <c r="CE80" s="21">
        <v>46041.770833333299</v>
      </c>
      <c r="CF80" s="21">
        <v>46041.770833333299</v>
      </c>
      <c r="CG80" s="21">
        <v>46041.770833333299</v>
      </c>
      <c r="CH80" s="21">
        <v>46041.770833333299</v>
      </c>
      <c r="CI80" s="21">
        <v>46041.770833333299</v>
      </c>
      <c r="CJ80" s="21">
        <v>46041.770833333299</v>
      </c>
      <c r="CK80" s="22" t="s">
        <v>2956</v>
      </c>
      <c r="CL80" s="22" t="s">
        <v>2957</v>
      </c>
      <c r="CM80" s="22" t="s">
        <v>2959</v>
      </c>
      <c r="CN80" s="22" t="s">
        <v>2957</v>
      </c>
      <c r="CO80" s="22" t="s">
        <v>2957</v>
      </c>
      <c r="CP80" s="22" t="s">
        <v>2956</v>
      </c>
      <c r="CQ80" s="22" t="s">
        <v>2953</v>
      </c>
      <c r="CR80" s="22" t="s">
        <v>2956</v>
      </c>
      <c r="CS80" s="22" t="s">
        <v>2960</v>
      </c>
      <c r="CT80" s="22">
        <v>10</v>
      </c>
      <c r="CU80" s="21">
        <v>46192</v>
      </c>
      <c r="CV80" s="21">
        <v>46117</v>
      </c>
      <c r="CW80" s="21">
        <v>46092</v>
      </c>
      <c r="CX80" s="21">
        <v>46117</v>
      </c>
      <c r="CY80" s="21">
        <v>46117</v>
      </c>
      <c r="CZ80" s="21">
        <v>46192</v>
      </c>
      <c r="DA80" s="21">
        <v>46142</v>
      </c>
      <c r="DB80" s="21">
        <v>46192</v>
      </c>
      <c r="DC80" s="21">
        <v>46342</v>
      </c>
      <c r="DD80" s="8">
        <v>0</v>
      </c>
      <c r="DE80" s="8">
        <v>0</v>
      </c>
      <c r="DF80" s="8">
        <v>1</v>
      </c>
      <c r="DG80" s="8">
        <v>1</v>
      </c>
      <c r="DH80" s="8">
        <v>4</v>
      </c>
      <c r="DI80" s="8">
        <v>0</v>
      </c>
      <c r="DJ80" s="8" t="s">
        <v>2976</v>
      </c>
      <c r="DK80" s="21">
        <v>42816</v>
      </c>
      <c r="DL80" s="21">
        <v>42654</v>
      </c>
      <c r="DM80" s="21">
        <v>46042</v>
      </c>
      <c r="DN80" s="18">
        <v>5700</v>
      </c>
      <c r="DO80" s="21">
        <v>0</v>
      </c>
      <c r="DP80" s="21">
        <v>0</v>
      </c>
      <c r="DQ80" s="21" t="s">
        <v>2955</v>
      </c>
      <c r="DR80" s="21">
        <v>46042</v>
      </c>
      <c r="DS80" s="21">
        <v>46042</v>
      </c>
      <c r="DT80" s="21">
        <v>46042</v>
      </c>
      <c r="DU80" s="21">
        <v>46042</v>
      </c>
      <c r="DV80" s="21">
        <v>46042</v>
      </c>
      <c r="DW80" s="21">
        <v>46042</v>
      </c>
      <c r="DX80" s="21">
        <v>46042</v>
      </c>
      <c r="DY80" s="21">
        <v>46042</v>
      </c>
      <c r="DZ80" s="21">
        <v>46042</v>
      </c>
      <c r="EA80" s="8">
        <v>1500</v>
      </c>
      <c r="EB80" s="8">
        <v>750</v>
      </c>
      <c r="EC80" s="8">
        <v>500</v>
      </c>
      <c r="ED80" s="8">
        <v>750</v>
      </c>
      <c r="EE80" s="8">
        <v>750</v>
      </c>
      <c r="EF80" s="8">
        <v>1500</v>
      </c>
      <c r="EG80" s="8">
        <v>1000</v>
      </c>
      <c r="EH80" s="8">
        <v>1500</v>
      </c>
      <c r="EI80" s="8">
        <v>3000</v>
      </c>
      <c r="EJ80" s="8">
        <v>10</v>
      </c>
      <c r="EK80" s="8" t="s">
        <v>689</v>
      </c>
      <c r="EL80" s="8">
        <v>70</v>
      </c>
      <c r="EM80" s="8">
        <v>280</v>
      </c>
      <c r="EN80" s="8">
        <v>1212</v>
      </c>
      <c r="EO80" s="8">
        <v>462</v>
      </c>
      <c r="EP80" s="8">
        <v>212</v>
      </c>
      <c r="EQ80" s="8">
        <v>462</v>
      </c>
      <c r="ER80" s="8">
        <v>462</v>
      </c>
      <c r="ES80" s="8">
        <v>1212</v>
      </c>
      <c r="ET80" s="8">
        <v>712</v>
      </c>
      <c r="EU80" s="8">
        <v>1212</v>
      </c>
      <c r="EV80" s="8">
        <v>2712</v>
      </c>
    </row>
    <row r="81" spans="1:152" x14ac:dyDescent="0.15">
      <c r="A81" s="8">
        <f>ROW([2]!tbl_DPSAC[[#This Row],[Sl. No.]])-1</f>
        <v>80</v>
      </c>
      <c r="B81" s="9" t="s">
        <v>196</v>
      </c>
      <c r="C81" s="9" t="s">
        <v>696</v>
      </c>
      <c r="D81" s="9" t="s">
        <v>697</v>
      </c>
      <c r="E81" s="9" t="s">
        <v>176</v>
      </c>
      <c r="F81" s="9" t="s">
        <v>140</v>
      </c>
      <c r="G81" s="10" t="s">
        <v>698</v>
      </c>
      <c r="H81" s="10" t="str">
        <f>_xlfn.XLOOKUP(C81,'[1]E&amp;DPSAC'!$K:$K,'[1]E&amp;DPSAC'!$E:$E,,0)</f>
        <v>P.O.+P.S. - GURPA, DIST- GAYA, BIHAR</v>
      </c>
      <c r="I81" s="10"/>
      <c r="J81" s="10">
        <v>9934799633</v>
      </c>
      <c r="K81" s="10">
        <f>_xlfn.XLOOKUP(C81,'[1]E&amp;DPSAC'!$K:$K,'[1]E&amp;DPSAC'!$G:$G,"",0)</f>
        <v>9934799633</v>
      </c>
      <c r="L81" s="9" t="str">
        <f t="shared" ca="1" si="4"/>
        <v>Non - Warranty</v>
      </c>
      <c r="M81" s="11">
        <v>43425</v>
      </c>
      <c r="N81" s="12">
        <v>36</v>
      </c>
      <c r="O81" s="11">
        <f t="shared" si="5"/>
        <v>44530</v>
      </c>
      <c r="P81" s="8" t="s">
        <v>681</v>
      </c>
      <c r="Q81" s="16" t="s">
        <v>699</v>
      </c>
      <c r="R81" s="15">
        <v>45265.547708333303</v>
      </c>
      <c r="S81" s="14">
        <v>4120</v>
      </c>
      <c r="T81" s="15">
        <v>45265</v>
      </c>
      <c r="U81" s="14">
        <v>4120</v>
      </c>
      <c r="V81" s="14">
        <v>5760</v>
      </c>
      <c r="W81" s="17">
        <v>45938.746527777781</v>
      </c>
      <c r="X81" s="14" t="s">
        <v>2749</v>
      </c>
      <c r="Y81" s="14">
        <v>-890</v>
      </c>
      <c r="Z81" s="14" t="s">
        <v>2697</v>
      </c>
      <c r="AA81" s="18">
        <v>847.45229166669742</v>
      </c>
      <c r="AB81" s="18" t="s">
        <v>2697</v>
      </c>
      <c r="AC81" s="8">
        <f>tbl_DPSAC[[#This Row],[Current Month Due Count]]</f>
        <v>0</v>
      </c>
      <c r="AD81" s="8">
        <f>tbl_DPSAC[[#This Row],[Next Month Due2]]</f>
        <v>0</v>
      </c>
      <c r="AE81" s="8">
        <f t="shared" si="6"/>
        <v>1</v>
      </c>
      <c r="AF81" s="8">
        <v>3</v>
      </c>
      <c r="AG81" s="14">
        <f t="shared" ca="1" si="7"/>
        <v>6283</v>
      </c>
      <c r="AH81" s="8">
        <v>0</v>
      </c>
      <c r="AI81" s="8">
        <v>0</v>
      </c>
      <c r="AJ81" s="8">
        <v>0</v>
      </c>
      <c r="AK81" s="8">
        <v>0</v>
      </c>
      <c r="AL81" s="8">
        <v>0</v>
      </c>
      <c r="AM81" s="8">
        <v>0</v>
      </c>
      <c r="AN81" s="8">
        <v>0</v>
      </c>
      <c r="AO81" s="8">
        <v>0</v>
      </c>
      <c r="AP81" s="8">
        <v>0</v>
      </c>
      <c r="AQ81" s="8">
        <v>0</v>
      </c>
      <c r="AR81" s="8">
        <v>0</v>
      </c>
      <c r="AS81" s="8">
        <v>0</v>
      </c>
      <c r="AT81" s="8">
        <v>0</v>
      </c>
      <c r="AU81" s="8">
        <v>0</v>
      </c>
      <c r="AV81" s="8">
        <v>0</v>
      </c>
      <c r="AW81" s="8">
        <v>0</v>
      </c>
      <c r="AX81" s="8" t="s">
        <v>2961</v>
      </c>
      <c r="AY81" s="14">
        <v>4120</v>
      </c>
      <c r="AZ81" s="19">
        <v>45265</v>
      </c>
      <c r="BA81" s="14" t="s">
        <v>699</v>
      </c>
      <c r="BB81" s="14">
        <v>2892</v>
      </c>
      <c r="BC81" s="19">
        <v>44511</v>
      </c>
      <c r="BD81" s="14"/>
      <c r="BE81" s="14">
        <v>2892</v>
      </c>
      <c r="BF81" s="19">
        <v>44511</v>
      </c>
      <c r="BG81" s="14"/>
      <c r="BH81" s="14">
        <v>2892</v>
      </c>
      <c r="BI81" s="19">
        <v>44511</v>
      </c>
      <c r="BJ81" s="14"/>
      <c r="BK81" s="14">
        <v>2892</v>
      </c>
      <c r="BL81" s="19">
        <v>44511</v>
      </c>
      <c r="BM81" s="14"/>
      <c r="BN81" s="27">
        <v>45445</v>
      </c>
      <c r="BO81" s="27">
        <v>44691</v>
      </c>
      <c r="BP81" s="27">
        <v>44691</v>
      </c>
      <c r="BQ81" s="27">
        <v>44691</v>
      </c>
      <c r="BR81" s="27">
        <v>44876</v>
      </c>
      <c r="BS81" s="28">
        <v>-1413</v>
      </c>
      <c r="BT81" s="29">
        <v>-1891</v>
      </c>
      <c r="BU81" s="29">
        <v>-2641</v>
      </c>
      <c r="BV81" s="29">
        <v>-2641</v>
      </c>
      <c r="BW81" s="29">
        <v>-1891</v>
      </c>
      <c r="BX81" s="30" t="s">
        <v>152</v>
      </c>
      <c r="BY81" s="8">
        <v>5</v>
      </c>
      <c r="BZ81" s="8">
        <v>0</v>
      </c>
      <c r="CA81" s="8">
        <v>0</v>
      </c>
      <c r="CB81" s="21">
        <v>45264.770833333299</v>
      </c>
      <c r="CC81" s="21">
        <v>0</v>
      </c>
      <c r="CD81" s="21">
        <v>0</v>
      </c>
      <c r="CE81" s="21">
        <v>45264.770833333299</v>
      </c>
      <c r="CF81" s="21">
        <v>45264.770833333299</v>
      </c>
      <c r="CG81" s="21">
        <v>0</v>
      </c>
      <c r="CH81" s="21">
        <v>0</v>
      </c>
      <c r="CI81" s="21">
        <v>0</v>
      </c>
      <c r="CJ81" s="21">
        <v>0</v>
      </c>
      <c r="CK81" s="22" t="s">
        <v>3027</v>
      </c>
      <c r="CL81" s="22" t="s">
        <v>3027</v>
      </c>
      <c r="CM81" s="22" t="s">
        <v>3027</v>
      </c>
      <c r="CN81" s="22" t="s">
        <v>3027</v>
      </c>
      <c r="CO81" s="22" t="s">
        <v>3027</v>
      </c>
      <c r="CP81" s="22" t="s">
        <v>3028</v>
      </c>
      <c r="CQ81" s="22" t="s">
        <v>2953</v>
      </c>
      <c r="CR81" s="22" t="s">
        <v>3028</v>
      </c>
      <c r="CS81" s="22" t="s">
        <v>3028</v>
      </c>
      <c r="CT81" s="22">
        <v>3</v>
      </c>
      <c r="CU81" s="21">
        <v>45444</v>
      </c>
      <c r="CV81" s="21">
        <v>46090</v>
      </c>
      <c r="CW81" s="21">
        <v>46090</v>
      </c>
      <c r="CX81" s="21">
        <v>45444</v>
      </c>
      <c r="CY81" s="21">
        <v>45444</v>
      </c>
      <c r="CZ81" s="21">
        <v>46189</v>
      </c>
      <c r="DA81" s="21">
        <v>46031</v>
      </c>
      <c r="DB81" s="21">
        <v>46099</v>
      </c>
      <c r="DC81" s="21">
        <v>46148</v>
      </c>
      <c r="DD81" s="8">
        <v>1</v>
      </c>
      <c r="DE81" s="8">
        <v>0</v>
      </c>
      <c r="DF81" s="8">
        <v>1</v>
      </c>
      <c r="DG81" s="8">
        <v>7</v>
      </c>
      <c r="DH81" s="8">
        <v>0</v>
      </c>
      <c r="DI81" s="8">
        <v>1</v>
      </c>
      <c r="DJ81" s="8" t="s">
        <v>3025</v>
      </c>
      <c r="DK81" s="21">
        <v>43425</v>
      </c>
      <c r="DL81" s="21">
        <v>43402</v>
      </c>
      <c r="DM81" s="21">
        <v>45938</v>
      </c>
      <c r="DN81" s="18">
        <v>5760</v>
      </c>
      <c r="DO81" s="21">
        <v>0</v>
      </c>
      <c r="DP81" s="21">
        <v>0</v>
      </c>
      <c r="DQ81" s="21" t="s">
        <v>2955</v>
      </c>
      <c r="DR81" s="21">
        <v>45265</v>
      </c>
      <c r="DS81" s="21">
        <v>0</v>
      </c>
      <c r="DT81" s="21">
        <v>0</v>
      </c>
      <c r="DU81" s="21">
        <v>45265</v>
      </c>
      <c r="DV81" s="21">
        <v>45265</v>
      </c>
      <c r="DW81" s="21">
        <v>0</v>
      </c>
      <c r="DX81" s="21">
        <v>0</v>
      </c>
      <c r="DY81" s="21">
        <v>0</v>
      </c>
      <c r="DZ81" s="21">
        <v>0</v>
      </c>
      <c r="EA81" s="8">
        <v>685</v>
      </c>
      <c r="EB81" s="8">
        <v>685</v>
      </c>
      <c r="EC81" s="8">
        <v>685</v>
      </c>
      <c r="ED81" s="8">
        <v>685</v>
      </c>
      <c r="EE81" s="8">
        <v>685</v>
      </c>
      <c r="EF81" s="8">
        <v>1285</v>
      </c>
      <c r="EG81" s="8">
        <v>1000</v>
      </c>
      <c r="EH81" s="8">
        <v>1285</v>
      </c>
      <c r="EI81" s="8">
        <v>1285</v>
      </c>
      <c r="EJ81" s="8">
        <v>3</v>
      </c>
      <c r="EK81" s="8" t="s">
        <v>2624</v>
      </c>
      <c r="EL81" s="8">
        <v>174</v>
      </c>
      <c r="EM81" s="8">
        <v>522</v>
      </c>
      <c r="EN81" s="8">
        <v>397</v>
      </c>
      <c r="EO81" s="8">
        <v>397</v>
      </c>
      <c r="EP81" s="8">
        <v>397</v>
      </c>
      <c r="EQ81" s="8">
        <v>397</v>
      </c>
      <c r="ER81" s="8">
        <v>397</v>
      </c>
      <c r="ES81" s="8">
        <v>997</v>
      </c>
      <c r="ET81" s="8">
        <v>712</v>
      </c>
      <c r="EU81" s="8">
        <v>997</v>
      </c>
      <c r="EV81" s="8">
        <v>997</v>
      </c>
    </row>
    <row r="82" spans="1:152" x14ac:dyDescent="0.15">
      <c r="A82" s="8">
        <f>ROW([2]!tbl_DPSAC[[#This Row],[Sl. No.]])-1</f>
        <v>81</v>
      </c>
      <c r="B82" s="9" t="s">
        <v>136</v>
      </c>
      <c r="C82" s="9" t="s">
        <v>700</v>
      </c>
      <c r="D82" s="9" t="s">
        <v>138</v>
      </c>
      <c r="E82" s="9" t="s">
        <v>139</v>
      </c>
      <c r="F82" s="9" t="s">
        <v>161</v>
      </c>
      <c r="G82" s="10" t="s">
        <v>701</v>
      </c>
      <c r="H82" s="10" t="str">
        <f>_xlfn.XLOOKUP(C82,'[1]E&amp;DPSAC'!$K:$K,'[1]E&amp;DPSAC'!$E:$E,,0)</f>
        <v>RAMPUR, LOHARDGA</v>
      </c>
      <c r="I82" s="10"/>
      <c r="J82" s="10">
        <v>9934198170</v>
      </c>
      <c r="K82" s="10">
        <f>_xlfn.XLOOKUP(C82,'[1]E&amp;DPSAC'!$K:$K,'[1]E&amp;DPSAC'!$G:$G,"",0)</f>
        <v>9934198170</v>
      </c>
      <c r="L82" s="9" t="str">
        <f t="shared" ca="1" si="4"/>
        <v>Non - Warranty</v>
      </c>
      <c r="M82" s="11">
        <v>43157</v>
      </c>
      <c r="N82" s="12">
        <v>24</v>
      </c>
      <c r="O82" s="11">
        <f t="shared" si="5"/>
        <v>43890</v>
      </c>
      <c r="P82" s="8" t="s">
        <v>681</v>
      </c>
      <c r="Q82" s="16" t="s">
        <v>702</v>
      </c>
      <c r="R82" s="15">
        <v>45371.491041666697</v>
      </c>
      <c r="S82" s="14">
        <v>4894</v>
      </c>
      <c r="T82" s="15">
        <v>45371</v>
      </c>
      <c r="U82" s="14">
        <v>4894</v>
      </c>
      <c r="V82" s="14">
        <v>6370</v>
      </c>
      <c r="W82" s="17">
        <v>45962.663194444445</v>
      </c>
      <c r="X82" s="14" t="s">
        <v>2750</v>
      </c>
      <c r="Y82" s="14">
        <v>-726</v>
      </c>
      <c r="Z82" s="14" t="s">
        <v>2697</v>
      </c>
      <c r="AA82" s="18">
        <v>741.50895833330287</v>
      </c>
      <c r="AB82" s="18" t="s">
        <v>2697</v>
      </c>
      <c r="AC82" s="8">
        <f>tbl_DPSAC[[#This Row],[Current Month Due Count]]</f>
        <v>0</v>
      </c>
      <c r="AD82" s="8">
        <f>tbl_DPSAC[[#This Row],[Next Month Due2]]</f>
        <v>0</v>
      </c>
      <c r="AE82" s="8">
        <f t="shared" si="6"/>
        <v>1</v>
      </c>
      <c r="AF82" s="8">
        <v>1</v>
      </c>
      <c r="AG82" s="14">
        <f t="shared" ca="1" si="7"/>
        <v>6520</v>
      </c>
      <c r="AH82" s="8">
        <v>0</v>
      </c>
      <c r="AI82" s="8">
        <v>0</v>
      </c>
      <c r="AJ82" s="8">
        <v>0</v>
      </c>
      <c r="AK82" s="8">
        <v>0</v>
      </c>
      <c r="AL82" s="8">
        <v>0</v>
      </c>
      <c r="AM82" s="8">
        <v>0</v>
      </c>
      <c r="AN82" s="8">
        <v>0</v>
      </c>
      <c r="AO82" s="8">
        <v>0</v>
      </c>
      <c r="AP82" s="8">
        <v>0</v>
      </c>
      <c r="AQ82" s="8">
        <v>0</v>
      </c>
      <c r="AR82" s="8">
        <v>0</v>
      </c>
      <c r="AS82" s="8">
        <v>0</v>
      </c>
      <c r="AT82" s="8">
        <v>0</v>
      </c>
      <c r="AU82" s="8">
        <v>0</v>
      </c>
      <c r="AV82" s="8">
        <v>0</v>
      </c>
      <c r="AW82" s="8">
        <v>0</v>
      </c>
      <c r="AX82" s="8" t="s">
        <v>2961</v>
      </c>
      <c r="AY82" s="14">
        <v>4894</v>
      </c>
      <c r="AZ82" s="19">
        <v>45371</v>
      </c>
      <c r="BA82" s="14" t="s">
        <v>702</v>
      </c>
      <c r="BB82" s="14">
        <v>4894</v>
      </c>
      <c r="BC82" s="19">
        <v>45371</v>
      </c>
      <c r="BD82" s="14" t="s">
        <v>702</v>
      </c>
      <c r="BE82" s="14">
        <v>4894</v>
      </c>
      <c r="BF82" s="19">
        <v>45371</v>
      </c>
      <c r="BG82" s="14" t="s">
        <v>702</v>
      </c>
      <c r="BH82" s="14">
        <v>4894</v>
      </c>
      <c r="BI82" s="19">
        <v>45371</v>
      </c>
      <c r="BJ82" s="14" t="s">
        <v>702</v>
      </c>
      <c r="BK82" s="14">
        <v>4894</v>
      </c>
      <c r="BL82" s="19">
        <v>45371</v>
      </c>
      <c r="BM82" s="14" t="s">
        <v>702</v>
      </c>
      <c r="BN82" s="27">
        <v>45551</v>
      </c>
      <c r="BO82" s="27">
        <v>45551</v>
      </c>
      <c r="BP82" s="27">
        <v>45551</v>
      </c>
      <c r="BQ82" s="27">
        <v>45551</v>
      </c>
      <c r="BR82" s="27">
        <v>45736</v>
      </c>
      <c r="BS82" s="28">
        <v>-876</v>
      </c>
      <c r="BT82" s="29">
        <v>-126</v>
      </c>
      <c r="BU82" s="29">
        <v>-876</v>
      </c>
      <c r="BV82" s="29">
        <v>-876</v>
      </c>
      <c r="BW82" s="29">
        <v>-126</v>
      </c>
      <c r="BX82" s="30" t="s">
        <v>173</v>
      </c>
      <c r="BY82" s="8">
        <v>5</v>
      </c>
      <c r="BZ82" s="8">
        <v>0</v>
      </c>
      <c r="CA82" s="8">
        <v>0</v>
      </c>
      <c r="CB82" s="21">
        <v>45370.770833333299</v>
      </c>
      <c r="CC82" s="21">
        <v>45370.770833333299</v>
      </c>
      <c r="CD82" s="21">
        <v>45370.770833333299</v>
      </c>
      <c r="CE82" s="21">
        <v>45370.770833333299</v>
      </c>
      <c r="CF82" s="21">
        <v>45370.770833333299</v>
      </c>
      <c r="CG82" s="21">
        <v>45370.770833333299</v>
      </c>
      <c r="CH82" s="21">
        <v>45370.770833333299</v>
      </c>
      <c r="CI82" s="21">
        <v>45370.770833333299</v>
      </c>
      <c r="CJ82" s="21">
        <v>45370.770833333299</v>
      </c>
      <c r="CK82" s="22" t="s">
        <v>3029</v>
      </c>
      <c r="CL82" s="22" t="s">
        <v>3029</v>
      </c>
      <c r="CM82" s="22" t="s">
        <v>3029</v>
      </c>
      <c r="CN82" s="22" t="s">
        <v>3029</v>
      </c>
      <c r="CO82" s="22" t="s">
        <v>3029</v>
      </c>
      <c r="CP82" s="22" t="s">
        <v>3029</v>
      </c>
      <c r="CQ82" s="22" t="s">
        <v>2953</v>
      </c>
      <c r="CR82" s="22" t="s">
        <v>3029</v>
      </c>
      <c r="CS82" s="22" t="s">
        <v>3029</v>
      </c>
      <c r="CT82" s="22">
        <v>1</v>
      </c>
      <c r="CU82" s="21">
        <v>45550</v>
      </c>
      <c r="CV82" s="21">
        <v>45550</v>
      </c>
      <c r="CW82" s="21">
        <v>45550</v>
      </c>
      <c r="CX82" s="21">
        <v>45550</v>
      </c>
      <c r="CY82" s="21">
        <v>45550</v>
      </c>
      <c r="CZ82" s="21">
        <v>45640</v>
      </c>
      <c r="DA82" s="21">
        <v>45735</v>
      </c>
      <c r="DB82" s="21">
        <v>45550</v>
      </c>
      <c r="DC82" s="21">
        <v>45735</v>
      </c>
      <c r="DD82" s="8">
        <v>1</v>
      </c>
      <c r="DE82" s="8">
        <v>0</v>
      </c>
      <c r="DF82" s="8">
        <v>0</v>
      </c>
      <c r="DG82" s="8">
        <v>9</v>
      </c>
      <c r="DH82" s="8">
        <v>0</v>
      </c>
      <c r="DI82" s="8">
        <v>0</v>
      </c>
      <c r="DJ82" s="8" t="s">
        <v>3025</v>
      </c>
      <c r="DK82" s="21">
        <v>43157</v>
      </c>
      <c r="DL82" s="21">
        <v>43144</v>
      </c>
      <c r="DM82" s="21">
        <v>45962</v>
      </c>
      <c r="DN82" s="18">
        <v>6370</v>
      </c>
      <c r="DO82" s="21">
        <v>0</v>
      </c>
      <c r="DP82" s="21">
        <v>0</v>
      </c>
      <c r="DQ82" s="21" t="s">
        <v>2955</v>
      </c>
      <c r="DR82" s="21">
        <v>45371</v>
      </c>
      <c r="DS82" s="21">
        <v>45371</v>
      </c>
      <c r="DT82" s="21">
        <v>45371</v>
      </c>
      <c r="DU82" s="21">
        <v>45371</v>
      </c>
      <c r="DV82" s="21">
        <v>45371</v>
      </c>
      <c r="DW82" s="21">
        <v>45371</v>
      </c>
      <c r="DX82" s="21">
        <v>45371</v>
      </c>
      <c r="DY82" s="21">
        <v>45371</v>
      </c>
      <c r="DZ82" s="21">
        <v>45371</v>
      </c>
      <c r="EA82" s="8">
        <v>25</v>
      </c>
      <c r="EB82" s="8">
        <v>25</v>
      </c>
      <c r="EC82" s="8">
        <v>25</v>
      </c>
      <c r="ED82" s="8">
        <v>25</v>
      </c>
      <c r="EE82" s="8">
        <v>25</v>
      </c>
      <c r="EF82" s="8">
        <v>25</v>
      </c>
      <c r="EG82" s="8">
        <v>1000</v>
      </c>
      <c r="EH82" s="8">
        <v>25</v>
      </c>
      <c r="EI82" s="8">
        <v>25</v>
      </c>
      <c r="EJ82" s="8">
        <v>1</v>
      </c>
      <c r="EK82" s="8" t="s">
        <v>2624</v>
      </c>
      <c r="EL82" s="8">
        <v>150</v>
      </c>
      <c r="EM82" s="8">
        <v>150</v>
      </c>
      <c r="EN82" s="8">
        <v>-263</v>
      </c>
      <c r="EO82" s="8">
        <v>-263</v>
      </c>
      <c r="EP82" s="8">
        <v>-263</v>
      </c>
      <c r="EQ82" s="8">
        <v>-263</v>
      </c>
      <c r="ER82" s="8">
        <v>-263</v>
      </c>
      <c r="ES82" s="8">
        <v>-263</v>
      </c>
      <c r="ET82" s="8">
        <v>712</v>
      </c>
      <c r="EU82" s="8">
        <v>-263</v>
      </c>
      <c r="EV82" s="8">
        <v>-263</v>
      </c>
    </row>
    <row r="83" spans="1:152" x14ac:dyDescent="0.15">
      <c r="A83" s="8">
        <f>ROW([2]!tbl_DPSAC[[#This Row],[Sl. No.]])-1</f>
        <v>82</v>
      </c>
      <c r="B83" s="9" t="s">
        <v>196</v>
      </c>
      <c r="C83" s="9" t="s">
        <v>703</v>
      </c>
      <c r="D83" s="9" t="s">
        <v>704</v>
      </c>
      <c r="E83" s="9" t="s">
        <v>247</v>
      </c>
      <c r="F83" s="9" t="s">
        <v>161</v>
      </c>
      <c r="G83" s="10" t="s">
        <v>705</v>
      </c>
      <c r="H83" s="10" t="str">
        <f>_xlfn.XLOOKUP(C83,'[1]E&amp;DPSAC'!$K:$K,'[1]E&amp;DPSAC'!$E:$E,,0)</f>
        <v>SAMASTIPUR,BIHAR</v>
      </c>
      <c r="I83" s="10"/>
      <c r="J83" s="10">
        <v>9310433337</v>
      </c>
      <c r="K83" s="10">
        <f>_xlfn.XLOOKUP(C83,'[1]E&amp;DPSAC'!$K:$K,'[1]E&amp;DPSAC'!$G:$G,"",0)</f>
        <v>9310433337</v>
      </c>
      <c r="L83" s="9" t="str">
        <f t="shared" ca="1" si="4"/>
        <v>Non - Warranty</v>
      </c>
      <c r="M83" s="11">
        <v>43742</v>
      </c>
      <c r="N83" s="12">
        <v>24</v>
      </c>
      <c r="O83" s="11">
        <f t="shared" si="5"/>
        <v>44500</v>
      </c>
      <c r="P83" s="8" t="s">
        <v>157</v>
      </c>
      <c r="Q83" s="16" t="s">
        <v>143</v>
      </c>
      <c r="R83" s="15" t="s">
        <v>143</v>
      </c>
      <c r="S83" s="14" t="s">
        <v>143</v>
      </c>
      <c r="T83" s="15">
        <v>43741</v>
      </c>
      <c r="U83" s="14">
        <v>1</v>
      </c>
      <c r="V83" s="14">
        <v>410</v>
      </c>
      <c r="W83" s="17">
        <v>45122.744236111103</v>
      </c>
      <c r="X83" s="14" t="s">
        <v>143</v>
      </c>
      <c r="Y83" s="14">
        <v>0</v>
      </c>
      <c r="Z83" s="14" t="s">
        <v>2692</v>
      </c>
      <c r="AA83" s="18">
        <v>2371</v>
      </c>
      <c r="AB83" s="18" t="s">
        <v>2697</v>
      </c>
      <c r="AC83" s="8">
        <f>tbl_DPSAC[[#This Row],[Current Month Due Count]]</f>
        <v>0</v>
      </c>
      <c r="AD83" s="8">
        <f>tbl_DPSAC[[#This Row],[Next Month Due2]]</f>
        <v>0</v>
      </c>
      <c r="AE83" s="8">
        <f t="shared" si="6"/>
        <v>1</v>
      </c>
      <c r="AF83" s="8" t="s">
        <v>143</v>
      </c>
      <c r="AG83" s="14" t="str">
        <f t="shared" ca="1" si="7"/>
        <v/>
      </c>
      <c r="AH83" s="8">
        <v>0</v>
      </c>
      <c r="AI83" s="8">
        <v>0</v>
      </c>
      <c r="AJ83" s="8">
        <v>0</v>
      </c>
      <c r="AK83" s="8">
        <v>0</v>
      </c>
      <c r="AL83" s="8">
        <v>0</v>
      </c>
      <c r="AM83" s="8">
        <v>0</v>
      </c>
      <c r="AN83" s="8">
        <v>0</v>
      </c>
      <c r="AO83" s="8">
        <v>0</v>
      </c>
      <c r="AP83" s="8">
        <v>0</v>
      </c>
      <c r="AQ83" s="8">
        <v>0</v>
      </c>
      <c r="AR83" s="8">
        <v>0</v>
      </c>
      <c r="AS83" s="8">
        <v>0</v>
      </c>
      <c r="AT83" s="8">
        <v>0</v>
      </c>
      <c r="AU83" s="8">
        <v>0</v>
      </c>
      <c r="AV83" s="8">
        <v>0</v>
      </c>
      <c r="AW83" s="8">
        <v>0</v>
      </c>
      <c r="AX83" s="8" t="s">
        <v>2007</v>
      </c>
      <c r="AY83" s="14">
        <v>100</v>
      </c>
      <c r="AZ83" s="19">
        <v>44583</v>
      </c>
      <c r="BA83" s="14"/>
      <c r="BB83" s="14">
        <v>100</v>
      </c>
      <c r="BC83" s="19">
        <v>44583</v>
      </c>
      <c r="BD83" s="14"/>
      <c r="BE83" s="14">
        <v>100</v>
      </c>
      <c r="BF83" s="19">
        <v>44583</v>
      </c>
      <c r="BG83" s="14"/>
      <c r="BH83" s="14"/>
      <c r="BI83" s="19"/>
      <c r="BJ83" s="14"/>
      <c r="BK83" s="14">
        <v>100</v>
      </c>
      <c r="BL83" s="19">
        <v>44583</v>
      </c>
      <c r="BM83" s="14"/>
      <c r="BN83" s="27">
        <v>44763</v>
      </c>
      <c r="BO83" s="27">
        <v>44763</v>
      </c>
      <c r="BP83" s="27">
        <v>44763</v>
      </c>
      <c r="BQ83" s="27" t="s">
        <v>143</v>
      </c>
      <c r="BR83" s="27">
        <v>44948</v>
      </c>
      <c r="BS83" s="28" t="s">
        <v>143</v>
      </c>
      <c r="BT83" s="29" t="s">
        <v>143</v>
      </c>
      <c r="BU83" s="29" t="s">
        <v>143</v>
      </c>
      <c r="BV83" s="29" t="s">
        <v>143</v>
      </c>
      <c r="BW83" s="29" t="s">
        <v>143</v>
      </c>
      <c r="BX83" s="30" t="s">
        <v>159</v>
      </c>
      <c r="BY83" s="8">
        <v>4</v>
      </c>
      <c r="BZ83" s="8">
        <v>0</v>
      </c>
      <c r="CA83" s="8">
        <v>0</v>
      </c>
      <c r="CB83" s="21">
        <v>0</v>
      </c>
      <c r="CC83" s="21">
        <v>0</v>
      </c>
      <c r="CD83" s="21">
        <v>0</v>
      </c>
      <c r="CE83" s="21">
        <v>0</v>
      </c>
      <c r="CF83" s="21">
        <v>0</v>
      </c>
      <c r="CG83" s="21">
        <v>0</v>
      </c>
      <c r="CH83" s="21">
        <v>0</v>
      </c>
      <c r="CI83" s="21">
        <v>0</v>
      </c>
      <c r="CJ83" s="21">
        <v>0</v>
      </c>
      <c r="CK83" s="22" t="s">
        <v>3010</v>
      </c>
      <c r="CL83" s="22" t="s">
        <v>3010</v>
      </c>
      <c r="CM83" s="22" t="s">
        <v>3010</v>
      </c>
      <c r="CN83" s="22" t="s">
        <v>3010</v>
      </c>
      <c r="CO83" s="22" t="s">
        <v>3010</v>
      </c>
      <c r="CP83" s="22" t="s">
        <v>3010</v>
      </c>
      <c r="CQ83" s="22" t="s">
        <v>3030</v>
      </c>
      <c r="CR83" s="22" t="s">
        <v>3030</v>
      </c>
      <c r="CS83" s="22" t="s">
        <v>3030</v>
      </c>
      <c r="CT83" s="22">
        <v>0</v>
      </c>
      <c r="CU83" s="21">
        <v>0</v>
      </c>
      <c r="CV83" s="21">
        <v>0</v>
      </c>
      <c r="CW83" s="21">
        <v>0</v>
      </c>
      <c r="CX83" s="21">
        <v>0</v>
      </c>
      <c r="CY83" s="21">
        <v>0</v>
      </c>
      <c r="CZ83" s="21">
        <v>0</v>
      </c>
      <c r="DA83" s="21">
        <v>0</v>
      </c>
      <c r="DB83" s="21">
        <v>0</v>
      </c>
      <c r="DC83" s="21">
        <v>0</v>
      </c>
      <c r="DD83" s="8">
        <v>0</v>
      </c>
      <c r="DE83" s="8">
        <v>0</v>
      </c>
      <c r="DF83" s="8">
        <v>0</v>
      </c>
      <c r="DG83" s="8">
        <v>9</v>
      </c>
      <c r="DH83" s="8">
        <v>0</v>
      </c>
      <c r="DI83" s="8">
        <v>0</v>
      </c>
      <c r="DJ83" s="8" t="s">
        <v>3025</v>
      </c>
      <c r="DK83" s="21">
        <v>43742</v>
      </c>
      <c r="DL83" s="21">
        <v>43727.229166666664</v>
      </c>
      <c r="DM83" s="21">
        <v>45125</v>
      </c>
      <c r="DN83" s="18">
        <v>410</v>
      </c>
      <c r="DO83" s="21">
        <v>0</v>
      </c>
      <c r="DP83" s="21">
        <v>0</v>
      </c>
      <c r="DQ83" s="21">
        <v>0</v>
      </c>
      <c r="DR83" s="21">
        <v>0</v>
      </c>
      <c r="DS83" s="21">
        <v>0</v>
      </c>
      <c r="DT83" s="21">
        <v>0</v>
      </c>
      <c r="DU83" s="21">
        <v>0</v>
      </c>
      <c r="DV83" s="21">
        <v>0</v>
      </c>
      <c r="DW83" s="21">
        <v>0</v>
      </c>
      <c r="DX83" s="21">
        <v>0</v>
      </c>
      <c r="DY83" s="21">
        <v>0</v>
      </c>
      <c r="DZ83" s="21">
        <v>0</v>
      </c>
      <c r="EA83" s="8">
        <v>90</v>
      </c>
      <c r="EB83" s="8">
        <v>90</v>
      </c>
      <c r="EC83" s="8">
        <v>90</v>
      </c>
      <c r="ED83" s="8">
        <v>90</v>
      </c>
      <c r="EE83" s="8">
        <v>90</v>
      </c>
      <c r="EF83" s="8">
        <v>90</v>
      </c>
      <c r="EG83" s="8">
        <v>0</v>
      </c>
      <c r="EH83" s="8">
        <v>0</v>
      </c>
      <c r="EI83" s="8">
        <v>0</v>
      </c>
      <c r="EJ83" s="8">
        <v>0</v>
      </c>
      <c r="EK83" s="8" t="s">
        <v>157</v>
      </c>
      <c r="EL83" s="8">
        <v>990</v>
      </c>
      <c r="EM83" s="8" t="e">
        <v>#VALUE!</v>
      </c>
      <c r="EN83" s="8">
        <v>-198</v>
      </c>
      <c r="EO83" s="8">
        <v>-198</v>
      </c>
      <c r="EP83" s="8">
        <v>-198</v>
      </c>
      <c r="EQ83" s="8">
        <v>-198</v>
      </c>
      <c r="ER83" s="8">
        <v>-198</v>
      </c>
      <c r="ES83" s="8">
        <v>-198</v>
      </c>
      <c r="ET83" s="8">
        <v>-288</v>
      </c>
      <c r="EU83" s="8">
        <v>-288</v>
      </c>
      <c r="EV83" s="8">
        <v>-288</v>
      </c>
    </row>
    <row r="84" spans="1:152" x14ac:dyDescent="0.15">
      <c r="A84" s="8">
        <f>ROW([2]!tbl_DPSAC[[#This Row],[Sl. No.]])-1</f>
        <v>83</v>
      </c>
      <c r="B84" s="9" t="s">
        <v>136</v>
      </c>
      <c r="C84" s="9" t="s">
        <v>706</v>
      </c>
      <c r="D84" s="9" t="s">
        <v>175</v>
      </c>
      <c r="E84" s="9" t="s">
        <v>176</v>
      </c>
      <c r="F84" s="9" t="s">
        <v>161</v>
      </c>
      <c r="G84" s="10" t="s">
        <v>707</v>
      </c>
      <c r="H84" s="10" t="str">
        <f>_xlfn.XLOOKUP(C84,'[1]E&amp;DPSAC'!$K:$K,'[1]E&amp;DPSAC'!$E:$E,,0)</f>
        <v>ANKIT KUMAR SONTHALIA, R.N. BOSE ROAD, SATSANG GATE, NEAR HANUMAN MANDIR,, PURANDAHA, DEOGHAR, DIST. DUMKA,, JHARKHAND</v>
      </c>
      <c r="I84" s="10"/>
      <c r="J84" s="10">
        <v>7542025382</v>
      </c>
      <c r="K84" s="10">
        <f>_xlfn.XLOOKUP(C84,'[1]E&amp;DPSAC'!$K:$K,'[1]E&amp;DPSAC'!$G:$G,"",0)</f>
        <v>7542025382</v>
      </c>
      <c r="L84" s="9" t="str">
        <f t="shared" ca="1" si="4"/>
        <v>Non - Warranty</v>
      </c>
      <c r="M84" s="11">
        <v>43770</v>
      </c>
      <c r="N84" s="12">
        <v>24</v>
      </c>
      <c r="O84" s="11">
        <f t="shared" si="5"/>
        <v>44500</v>
      </c>
      <c r="P84" s="8" t="s">
        <v>681</v>
      </c>
      <c r="Q84" s="16" t="s">
        <v>711</v>
      </c>
      <c r="R84" s="15">
        <v>45339.444583333301</v>
      </c>
      <c r="S84" s="14">
        <v>3986</v>
      </c>
      <c r="T84" s="15">
        <v>45339</v>
      </c>
      <c r="U84" s="14">
        <v>3986</v>
      </c>
      <c r="V84" s="14">
        <v>8700</v>
      </c>
      <c r="W84" s="17">
        <v>45962.665972222225</v>
      </c>
      <c r="X84" s="14" t="s">
        <v>2738</v>
      </c>
      <c r="Y84" s="14">
        <v>-3964</v>
      </c>
      <c r="Z84" s="14" t="s">
        <v>2697</v>
      </c>
      <c r="AA84" s="18">
        <v>773.55541666669887</v>
      </c>
      <c r="AB84" s="18" t="s">
        <v>2697</v>
      </c>
      <c r="AC84" s="8">
        <f>tbl_DPSAC[[#This Row],[Current Month Due Count]]</f>
        <v>0</v>
      </c>
      <c r="AD84" s="8">
        <f>tbl_DPSAC[[#This Row],[Next Month Due2]]</f>
        <v>0</v>
      </c>
      <c r="AE84" s="8">
        <f t="shared" si="6"/>
        <v>1</v>
      </c>
      <c r="AF84" s="8">
        <v>2</v>
      </c>
      <c r="AG84" s="14">
        <f t="shared" ca="1" si="7"/>
        <v>9001</v>
      </c>
      <c r="AH84" s="8" t="s">
        <v>708</v>
      </c>
      <c r="AI84" s="8" t="s">
        <v>709</v>
      </c>
      <c r="AJ84" s="8" t="s">
        <v>708</v>
      </c>
      <c r="AK84" s="8" t="s">
        <v>710</v>
      </c>
      <c r="AL84" s="8">
        <v>0</v>
      </c>
      <c r="AM84" s="8">
        <v>0</v>
      </c>
      <c r="AN84" s="8">
        <v>0</v>
      </c>
      <c r="AO84" s="8">
        <v>0</v>
      </c>
      <c r="AP84" s="8">
        <v>0</v>
      </c>
      <c r="AQ84" s="8">
        <v>0</v>
      </c>
      <c r="AR84" s="8">
        <v>0</v>
      </c>
      <c r="AS84" s="8">
        <v>0</v>
      </c>
      <c r="AT84" s="8">
        <v>0</v>
      </c>
      <c r="AU84" s="8">
        <v>0</v>
      </c>
      <c r="AV84" s="8">
        <v>0</v>
      </c>
      <c r="AW84" s="8">
        <v>0</v>
      </c>
      <c r="AX84" s="8" t="s">
        <v>2961</v>
      </c>
      <c r="AY84" s="14">
        <v>3986</v>
      </c>
      <c r="AZ84" s="19">
        <v>45339</v>
      </c>
      <c r="BA84" s="14" t="s">
        <v>711</v>
      </c>
      <c r="BB84" s="14">
        <v>1830</v>
      </c>
      <c r="BC84" s="19">
        <v>44407.507488425923</v>
      </c>
      <c r="BD84" s="14"/>
      <c r="BE84" s="14">
        <v>3986</v>
      </c>
      <c r="BF84" s="19">
        <v>45339</v>
      </c>
      <c r="BG84" s="14" t="s">
        <v>711</v>
      </c>
      <c r="BH84" s="14">
        <v>3986</v>
      </c>
      <c r="BI84" s="19">
        <v>45339</v>
      </c>
      <c r="BJ84" s="14" t="s">
        <v>711</v>
      </c>
      <c r="BK84" s="14">
        <v>1830</v>
      </c>
      <c r="BL84" s="19">
        <v>44407.507488425923</v>
      </c>
      <c r="BM84" s="14"/>
      <c r="BN84" s="27">
        <v>45519</v>
      </c>
      <c r="BO84" s="27">
        <v>44587.507488425923</v>
      </c>
      <c r="BP84" s="27">
        <v>45519</v>
      </c>
      <c r="BQ84" s="27">
        <v>45519</v>
      </c>
      <c r="BR84" s="27">
        <v>44772.507488425923</v>
      </c>
      <c r="BS84" s="28">
        <v>-4265</v>
      </c>
      <c r="BT84" s="29">
        <v>-5671</v>
      </c>
      <c r="BU84" s="29">
        <v>-4265</v>
      </c>
      <c r="BV84" s="29">
        <v>-4265</v>
      </c>
      <c r="BW84" s="29">
        <v>-5671</v>
      </c>
      <c r="BX84" s="30" t="s">
        <v>173</v>
      </c>
      <c r="BY84" s="8">
        <v>5</v>
      </c>
      <c r="BZ84" s="8">
        <v>0</v>
      </c>
      <c r="CA84" s="8">
        <v>0</v>
      </c>
      <c r="CB84" s="21">
        <v>45338.770833333299</v>
      </c>
      <c r="CC84" s="21">
        <v>45338.770833333299</v>
      </c>
      <c r="CD84" s="21">
        <v>45338.770833333299</v>
      </c>
      <c r="CE84" s="21">
        <v>45338.770833333299</v>
      </c>
      <c r="CF84" s="21">
        <v>45338.770833333299</v>
      </c>
      <c r="CG84" s="21">
        <v>45089.770833333299</v>
      </c>
      <c r="CH84" s="21">
        <v>45089.770833333299</v>
      </c>
      <c r="CI84" s="21">
        <v>45089.770833333299</v>
      </c>
      <c r="CJ84" s="21">
        <v>45089.770833333299</v>
      </c>
      <c r="CK84" s="22" t="s">
        <v>3031</v>
      </c>
      <c r="CL84" s="22" t="s">
        <v>3031</v>
      </c>
      <c r="CM84" s="22" t="s">
        <v>3031</v>
      </c>
      <c r="CN84" s="22" t="s">
        <v>3031</v>
      </c>
      <c r="CO84" s="22" t="s">
        <v>3031</v>
      </c>
      <c r="CP84" s="22" t="s">
        <v>3031</v>
      </c>
      <c r="CQ84" s="22" t="s">
        <v>2953</v>
      </c>
      <c r="CR84" s="22" t="s">
        <v>3031</v>
      </c>
      <c r="CS84" s="22" t="s">
        <v>3031</v>
      </c>
      <c r="CT84" s="22">
        <v>1</v>
      </c>
      <c r="CU84" s="21">
        <v>45518</v>
      </c>
      <c r="CV84" s="21">
        <v>45518</v>
      </c>
      <c r="CW84" s="21">
        <v>45518</v>
      </c>
      <c r="CX84" s="21">
        <v>45518</v>
      </c>
      <c r="CY84" s="21">
        <v>45518</v>
      </c>
      <c r="CZ84" s="21">
        <v>45359</v>
      </c>
      <c r="DA84" s="21">
        <v>45454</v>
      </c>
      <c r="DB84" s="21">
        <v>45269</v>
      </c>
      <c r="DC84" s="21">
        <v>45454</v>
      </c>
      <c r="DD84" s="8">
        <v>1</v>
      </c>
      <c r="DE84" s="8">
        <v>0</v>
      </c>
      <c r="DF84" s="8">
        <v>0</v>
      </c>
      <c r="DG84" s="8">
        <v>9</v>
      </c>
      <c r="DH84" s="8">
        <v>0</v>
      </c>
      <c r="DI84" s="8">
        <v>0</v>
      </c>
      <c r="DJ84" s="8" t="s">
        <v>3025</v>
      </c>
      <c r="DK84" s="21">
        <v>43770</v>
      </c>
      <c r="DL84" s="21">
        <v>43690.229166666664</v>
      </c>
      <c r="DM84" s="21">
        <v>45962</v>
      </c>
      <c r="DN84" s="18">
        <v>8700</v>
      </c>
      <c r="DO84" s="21">
        <v>0</v>
      </c>
      <c r="DP84" s="21">
        <v>0</v>
      </c>
      <c r="DQ84" s="21" t="s">
        <v>2955</v>
      </c>
      <c r="DR84" s="21">
        <v>45339</v>
      </c>
      <c r="DS84" s="21">
        <v>45339</v>
      </c>
      <c r="DT84" s="21">
        <v>45339</v>
      </c>
      <c r="DU84" s="21">
        <v>45339</v>
      </c>
      <c r="DV84" s="21">
        <v>45339</v>
      </c>
      <c r="DW84" s="21">
        <v>45090</v>
      </c>
      <c r="DX84" s="21">
        <v>45090</v>
      </c>
      <c r="DY84" s="21">
        <v>45090</v>
      </c>
      <c r="DZ84" s="21">
        <v>45090</v>
      </c>
      <c r="EA84" s="8">
        <v>370</v>
      </c>
      <c r="EB84" s="8">
        <v>370</v>
      </c>
      <c r="EC84" s="8">
        <v>370</v>
      </c>
      <c r="ED84" s="8">
        <v>370</v>
      </c>
      <c r="EE84" s="8">
        <v>370</v>
      </c>
      <c r="EF84" s="8">
        <v>370</v>
      </c>
      <c r="EG84" s="8">
        <v>1000</v>
      </c>
      <c r="EH84" s="8">
        <v>370</v>
      </c>
      <c r="EI84" s="8">
        <v>370</v>
      </c>
      <c r="EJ84" s="8">
        <v>1</v>
      </c>
      <c r="EK84" s="8" t="s">
        <v>2624</v>
      </c>
      <c r="EL84" s="8">
        <v>150</v>
      </c>
      <c r="EM84" s="8">
        <v>300</v>
      </c>
      <c r="EN84" s="8">
        <v>82</v>
      </c>
      <c r="EO84" s="8">
        <v>82</v>
      </c>
      <c r="EP84" s="8">
        <v>82</v>
      </c>
      <c r="EQ84" s="8">
        <v>82</v>
      </c>
      <c r="ER84" s="8">
        <v>82</v>
      </c>
      <c r="ES84" s="8">
        <v>82</v>
      </c>
      <c r="ET84" s="8">
        <v>712</v>
      </c>
      <c r="EU84" s="8">
        <v>82</v>
      </c>
      <c r="EV84" s="8">
        <v>82</v>
      </c>
    </row>
    <row r="85" spans="1:152" x14ac:dyDescent="0.15">
      <c r="A85" s="8">
        <f>ROW([2]!tbl_DPSAC[[#This Row],[Sl. No.]])-1</f>
        <v>84</v>
      </c>
      <c r="B85" s="9" t="s">
        <v>136</v>
      </c>
      <c r="C85" s="9" t="s">
        <v>712</v>
      </c>
      <c r="D85" s="9" t="s">
        <v>138</v>
      </c>
      <c r="E85" s="9" t="s">
        <v>139</v>
      </c>
      <c r="F85" s="9" t="s">
        <v>161</v>
      </c>
      <c r="G85" s="10" t="s">
        <v>713</v>
      </c>
      <c r="H85" s="10" t="str">
        <f>_xlfn.XLOOKUP(C85,'[1]E&amp;DPSAC'!$K:$K,'[1]E&amp;DPSAC'!$E:$E,,0)</f>
        <v>KODERMA</v>
      </c>
      <c r="I85" s="10" t="s">
        <v>714</v>
      </c>
      <c r="J85" s="10">
        <v>8935923285</v>
      </c>
      <c r="K85" s="10">
        <f>_xlfn.XLOOKUP(C85,'[1]E&amp;DPSAC'!$K:$K,'[1]E&amp;DPSAC'!$G:$G,"",0)</f>
        <v>9608568443</v>
      </c>
      <c r="L85" s="9" t="str">
        <f t="shared" ca="1" si="4"/>
        <v>Non - Warranty</v>
      </c>
      <c r="M85" s="11">
        <v>43601</v>
      </c>
      <c r="N85" s="12">
        <v>24</v>
      </c>
      <c r="O85" s="11">
        <f t="shared" si="5"/>
        <v>44347</v>
      </c>
      <c r="P85" s="8" t="s">
        <v>715</v>
      </c>
      <c r="Q85" s="16" t="s">
        <v>718</v>
      </c>
      <c r="R85" s="15">
        <v>45266.511493055601</v>
      </c>
      <c r="S85" s="14">
        <v>5890</v>
      </c>
      <c r="T85" s="15">
        <v>45266</v>
      </c>
      <c r="U85" s="14">
        <v>5890</v>
      </c>
      <c r="V85" s="14">
        <v>7536</v>
      </c>
      <c r="W85" s="17">
        <v>45474.585347222201</v>
      </c>
      <c r="X85" s="14" t="s">
        <v>2713</v>
      </c>
      <c r="Y85" s="14">
        <v>-896</v>
      </c>
      <c r="Z85" s="14" t="s">
        <v>2697</v>
      </c>
      <c r="AA85" s="18">
        <v>846.48850694439898</v>
      </c>
      <c r="AB85" s="18" t="s">
        <v>2697</v>
      </c>
      <c r="AC85" s="8">
        <f>tbl_DPSAC[[#This Row],[Current Month Due Count]]</f>
        <v>0</v>
      </c>
      <c r="AD85" s="8">
        <f>tbl_DPSAC[[#This Row],[Next Month Due2]]</f>
        <v>0</v>
      </c>
      <c r="AE85" s="8">
        <f t="shared" si="6"/>
        <v>1</v>
      </c>
      <c r="AF85" s="8">
        <v>8</v>
      </c>
      <c r="AG85" s="14">
        <f t="shared" ca="1" si="7"/>
        <v>12643</v>
      </c>
      <c r="AH85" s="8">
        <v>0</v>
      </c>
      <c r="AI85" s="8">
        <v>0</v>
      </c>
      <c r="AJ85" s="8">
        <v>0</v>
      </c>
      <c r="AK85" s="8">
        <v>0</v>
      </c>
      <c r="AL85" s="8">
        <v>0</v>
      </c>
      <c r="AM85" s="8">
        <v>0</v>
      </c>
      <c r="AN85" s="8">
        <v>0</v>
      </c>
      <c r="AO85" s="8" t="s">
        <v>716</v>
      </c>
      <c r="AP85" s="8">
        <v>0</v>
      </c>
      <c r="AQ85" s="8">
        <v>0</v>
      </c>
      <c r="AR85" s="8">
        <v>0</v>
      </c>
      <c r="AS85" s="8">
        <v>0</v>
      </c>
      <c r="AT85" s="8">
        <v>0</v>
      </c>
      <c r="AU85" s="8">
        <v>0</v>
      </c>
      <c r="AV85" s="8">
        <v>0</v>
      </c>
      <c r="AW85" s="8">
        <v>0</v>
      </c>
      <c r="AX85" s="8" t="s">
        <v>2961</v>
      </c>
      <c r="AY85" s="14">
        <v>5400</v>
      </c>
      <c r="AZ85" s="19">
        <v>45199</v>
      </c>
      <c r="BA85" s="14" t="s">
        <v>717</v>
      </c>
      <c r="BB85" s="14">
        <v>5890</v>
      </c>
      <c r="BC85" s="19">
        <v>45266</v>
      </c>
      <c r="BD85" s="14" t="s">
        <v>718</v>
      </c>
      <c r="BE85" s="14">
        <v>5400</v>
      </c>
      <c r="BF85" s="19">
        <v>45199</v>
      </c>
      <c r="BG85" s="14" t="s">
        <v>717</v>
      </c>
      <c r="BH85" s="14">
        <v>5400</v>
      </c>
      <c r="BI85" s="19">
        <v>45199</v>
      </c>
      <c r="BJ85" s="14" t="s">
        <v>717</v>
      </c>
      <c r="BK85" s="14">
        <v>5890</v>
      </c>
      <c r="BL85" s="19">
        <v>45266</v>
      </c>
      <c r="BM85" s="14" t="s">
        <v>718</v>
      </c>
      <c r="BN85" s="27">
        <v>45379</v>
      </c>
      <c r="BO85" s="27">
        <v>45446</v>
      </c>
      <c r="BP85" s="27">
        <v>45379</v>
      </c>
      <c r="BQ85" s="27">
        <v>45379</v>
      </c>
      <c r="BR85" s="27">
        <v>45631</v>
      </c>
      <c r="BS85" s="28">
        <v>-6493</v>
      </c>
      <c r="BT85" s="29">
        <v>-5253</v>
      </c>
      <c r="BU85" s="29">
        <v>-6493</v>
      </c>
      <c r="BV85" s="29">
        <v>-6493</v>
      </c>
      <c r="BW85" s="29">
        <v>-5253</v>
      </c>
      <c r="BX85" s="30" t="s">
        <v>715</v>
      </c>
      <c r="BY85" s="8">
        <v>5</v>
      </c>
      <c r="BZ85" s="8">
        <v>0</v>
      </c>
      <c r="CA85" s="8">
        <v>0</v>
      </c>
      <c r="CB85" s="21">
        <v>45265.770833333299</v>
      </c>
      <c r="CC85" s="21">
        <v>45198.770833333299</v>
      </c>
      <c r="CD85" s="21">
        <v>45198.770833333299</v>
      </c>
      <c r="CE85" s="21">
        <v>45198.770833333299</v>
      </c>
      <c r="CF85" s="21">
        <v>45198.770833333299</v>
      </c>
      <c r="CG85" s="21">
        <v>45265.770833333299</v>
      </c>
      <c r="CH85" s="21">
        <v>45265.770833333299</v>
      </c>
      <c r="CI85" s="21">
        <v>45265.770833333299</v>
      </c>
      <c r="CJ85" s="21">
        <v>45265.770833333299</v>
      </c>
      <c r="CK85" s="22" t="s">
        <v>2971</v>
      </c>
      <c r="CL85" s="22" t="s">
        <v>2971</v>
      </c>
      <c r="CM85" s="22" t="s">
        <v>2971</v>
      </c>
      <c r="CN85" s="22" t="s">
        <v>2971</v>
      </c>
      <c r="CO85" s="22" t="s">
        <v>2971</v>
      </c>
      <c r="CP85" s="22" t="s">
        <v>2971</v>
      </c>
      <c r="CQ85" s="22" t="s">
        <v>2971</v>
      </c>
      <c r="CR85" s="22" t="s">
        <v>2971</v>
      </c>
      <c r="CS85" s="22" t="s">
        <v>2971</v>
      </c>
      <c r="CT85" s="22">
        <v>8</v>
      </c>
      <c r="CU85" s="21">
        <v>45445</v>
      </c>
      <c r="CV85" s="21">
        <v>45378</v>
      </c>
      <c r="CW85" s="21">
        <v>45378</v>
      </c>
      <c r="CX85" s="21">
        <v>45378</v>
      </c>
      <c r="CY85" s="21">
        <v>45378</v>
      </c>
      <c r="CZ85" s="21">
        <v>45502</v>
      </c>
      <c r="DA85" s="21">
        <v>45502</v>
      </c>
      <c r="DB85" s="21">
        <v>45445</v>
      </c>
      <c r="DC85" s="21">
        <v>45502</v>
      </c>
      <c r="DD85" s="8">
        <v>1</v>
      </c>
      <c r="DE85" s="8">
        <v>0</v>
      </c>
      <c r="DF85" s="8">
        <v>0</v>
      </c>
      <c r="DG85" s="8">
        <v>9</v>
      </c>
      <c r="DH85" s="8">
        <v>0</v>
      </c>
      <c r="DI85" s="8">
        <v>0</v>
      </c>
      <c r="DJ85" s="8" t="s">
        <v>2954</v>
      </c>
      <c r="DK85" s="21">
        <v>43601</v>
      </c>
      <c r="DL85" s="21">
        <v>43580.229166666664</v>
      </c>
      <c r="DM85" s="21">
        <v>45474</v>
      </c>
      <c r="DN85" s="18">
        <v>7536</v>
      </c>
      <c r="DO85" s="21">
        <v>0</v>
      </c>
      <c r="DP85" s="21">
        <v>0</v>
      </c>
      <c r="DQ85" s="21" t="s">
        <v>2955</v>
      </c>
      <c r="DR85" s="21">
        <v>45266</v>
      </c>
      <c r="DS85" s="21">
        <v>45199</v>
      </c>
      <c r="DT85" s="21">
        <v>45199</v>
      </c>
      <c r="DU85" s="21">
        <v>45199</v>
      </c>
      <c r="DV85" s="21">
        <v>45199</v>
      </c>
      <c r="DW85" s="21">
        <v>45266</v>
      </c>
      <c r="DX85" s="21">
        <v>45266</v>
      </c>
      <c r="DY85" s="21">
        <v>45266</v>
      </c>
      <c r="DZ85" s="21">
        <v>45266</v>
      </c>
      <c r="EA85" s="8">
        <v>230</v>
      </c>
      <c r="EB85" s="8">
        <v>230</v>
      </c>
      <c r="EC85" s="8">
        <v>230</v>
      </c>
      <c r="ED85" s="8">
        <v>230</v>
      </c>
      <c r="EE85" s="8">
        <v>230</v>
      </c>
      <c r="EF85" s="8">
        <v>230</v>
      </c>
      <c r="EG85" s="8">
        <v>230</v>
      </c>
      <c r="EH85" s="8">
        <v>230</v>
      </c>
      <c r="EI85" s="8">
        <v>230</v>
      </c>
      <c r="EJ85" s="8">
        <v>8</v>
      </c>
      <c r="EK85" s="8" t="s">
        <v>715</v>
      </c>
      <c r="EL85" s="8">
        <v>638</v>
      </c>
      <c r="EM85" s="8">
        <v>5104</v>
      </c>
      <c r="EN85" s="8">
        <v>-58</v>
      </c>
      <c r="EO85" s="8">
        <v>-58</v>
      </c>
      <c r="EP85" s="8">
        <v>-58</v>
      </c>
      <c r="EQ85" s="8">
        <v>-58</v>
      </c>
      <c r="ER85" s="8">
        <v>-58</v>
      </c>
      <c r="ES85" s="8">
        <v>-58</v>
      </c>
      <c r="ET85" s="8">
        <v>-58</v>
      </c>
      <c r="EU85" s="8">
        <v>-58</v>
      </c>
      <c r="EV85" s="8">
        <v>-58</v>
      </c>
    </row>
    <row r="86" spans="1:152" x14ac:dyDescent="0.15">
      <c r="A86" s="8">
        <f>ROW([2]!tbl_DPSAC[[#This Row],[Sl. No.]])-1</f>
        <v>85</v>
      </c>
      <c r="B86" s="9" t="s">
        <v>136</v>
      </c>
      <c r="C86" s="9" t="s">
        <v>719</v>
      </c>
      <c r="D86" s="9" t="s">
        <v>138</v>
      </c>
      <c r="E86" s="9" t="s">
        <v>139</v>
      </c>
      <c r="F86" s="9" t="s">
        <v>161</v>
      </c>
      <c r="G86" s="10" t="s">
        <v>720</v>
      </c>
      <c r="H86" s="10" t="str">
        <f>_xlfn.XLOOKUP(C86,'[1]E&amp;DPSAC'!$K:$K,'[1]E&amp;DPSAC'!$E:$E,,0)</f>
        <v>DALTONGANJ</v>
      </c>
      <c r="I86" s="10"/>
      <c r="J86" s="10">
        <v>9835111213</v>
      </c>
      <c r="K86" s="10">
        <f>_xlfn.XLOOKUP(C86,'[1]E&amp;DPSAC'!$K:$K,'[1]E&amp;DPSAC'!$G:$G,"",0)</f>
        <v>9835111213</v>
      </c>
      <c r="L86" s="9" t="str">
        <f t="shared" ca="1" si="4"/>
        <v>Non - Warranty</v>
      </c>
      <c r="M86" s="11">
        <v>43159</v>
      </c>
      <c r="N86" s="12">
        <v>24</v>
      </c>
      <c r="O86" s="11">
        <f t="shared" si="5"/>
        <v>43890</v>
      </c>
      <c r="P86" s="8" t="s">
        <v>681</v>
      </c>
      <c r="Q86" s="16" t="s">
        <v>721</v>
      </c>
      <c r="R86" s="15">
        <v>45983.414930555598</v>
      </c>
      <c r="S86" s="14">
        <v>4800</v>
      </c>
      <c r="T86" s="15">
        <v>45199</v>
      </c>
      <c r="U86" s="14">
        <v>3500</v>
      </c>
      <c r="V86" s="14">
        <v>4800</v>
      </c>
      <c r="W86" s="17">
        <v>45983.414930555598</v>
      </c>
      <c r="X86" s="14" t="s">
        <v>2751</v>
      </c>
      <c r="Y86" s="14">
        <v>750</v>
      </c>
      <c r="Z86" s="14" t="s">
        <v>2692</v>
      </c>
      <c r="AA86" s="18">
        <v>129.5850694444016</v>
      </c>
      <c r="AB86" s="18" t="s">
        <v>2692</v>
      </c>
      <c r="AC86" s="8">
        <f>tbl_DPSAC[[#This Row],[Current Month Due Count]]</f>
        <v>0</v>
      </c>
      <c r="AD86" s="8">
        <f>tbl_DPSAC[[#This Row],[Next Month Due2]]</f>
        <v>4</v>
      </c>
      <c r="AE86" s="8">
        <f t="shared" si="6"/>
        <v>0</v>
      </c>
      <c r="AF86" s="8">
        <v>0</v>
      </c>
      <c r="AG86" s="14">
        <f t="shared" ca="1" si="7"/>
        <v>4800</v>
      </c>
      <c r="AH86" s="8">
        <v>0</v>
      </c>
      <c r="AI86" s="8">
        <v>0</v>
      </c>
      <c r="AJ86" s="8">
        <v>0</v>
      </c>
      <c r="AK86" s="8">
        <v>0</v>
      </c>
      <c r="AL86" s="8">
        <v>0</v>
      </c>
      <c r="AM86" s="8">
        <v>0</v>
      </c>
      <c r="AN86" s="8">
        <v>0</v>
      </c>
      <c r="AO86" s="8">
        <v>0</v>
      </c>
      <c r="AP86" s="8">
        <v>0</v>
      </c>
      <c r="AQ86" s="8">
        <v>0</v>
      </c>
      <c r="AR86" s="8">
        <v>0</v>
      </c>
      <c r="AS86" s="8">
        <v>0</v>
      </c>
      <c r="AT86" s="8">
        <v>0</v>
      </c>
      <c r="AU86" s="8">
        <v>0</v>
      </c>
      <c r="AV86" s="8">
        <v>0</v>
      </c>
      <c r="AW86" s="8">
        <v>0</v>
      </c>
      <c r="AX86" s="8" t="s">
        <v>2007</v>
      </c>
      <c r="AY86" s="14">
        <v>4800</v>
      </c>
      <c r="AZ86" s="19">
        <v>45983</v>
      </c>
      <c r="BA86" s="14" t="s">
        <v>721</v>
      </c>
      <c r="BB86" s="14">
        <v>4800</v>
      </c>
      <c r="BC86" s="19">
        <v>45983</v>
      </c>
      <c r="BD86" s="14" t="s">
        <v>721</v>
      </c>
      <c r="BE86" s="14">
        <v>4800</v>
      </c>
      <c r="BF86" s="19">
        <v>45983</v>
      </c>
      <c r="BG86" s="14" t="s">
        <v>721</v>
      </c>
      <c r="BH86" s="14">
        <v>4800</v>
      </c>
      <c r="BI86" s="19">
        <v>45983</v>
      </c>
      <c r="BJ86" s="14" t="s">
        <v>721</v>
      </c>
      <c r="BK86" s="14">
        <v>4800</v>
      </c>
      <c r="BL86" s="19">
        <v>45983</v>
      </c>
      <c r="BM86" s="14" t="s">
        <v>721</v>
      </c>
      <c r="BN86" s="27">
        <v>46163</v>
      </c>
      <c r="BO86" s="27">
        <v>46163</v>
      </c>
      <c r="BP86" s="27">
        <v>46163</v>
      </c>
      <c r="BQ86" s="27">
        <v>46163</v>
      </c>
      <c r="BR86" s="27">
        <v>46348</v>
      </c>
      <c r="BS86" s="28">
        <v>750</v>
      </c>
      <c r="BT86" s="29">
        <v>1500</v>
      </c>
      <c r="BU86" s="29">
        <v>750</v>
      </c>
      <c r="BV86" s="29">
        <v>750</v>
      </c>
      <c r="BW86" s="29">
        <v>1500</v>
      </c>
      <c r="BX86" s="30" t="s">
        <v>173</v>
      </c>
      <c r="BY86" s="8">
        <v>0</v>
      </c>
      <c r="BZ86" s="8">
        <v>0</v>
      </c>
      <c r="CA86" s="8">
        <v>4</v>
      </c>
      <c r="CB86" s="21">
        <v>45982.770833333299</v>
      </c>
      <c r="CC86" s="21">
        <v>45982.770833333299</v>
      </c>
      <c r="CD86" s="21">
        <v>45982.770833333299</v>
      </c>
      <c r="CE86" s="21">
        <v>45982.770833333299</v>
      </c>
      <c r="CF86" s="21">
        <v>45982.770833333299</v>
      </c>
      <c r="CG86" s="21">
        <v>45982.770833333299</v>
      </c>
      <c r="CH86" s="21">
        <v>45982.770833333299</v>
      </c>
      <c r="CI86" s="21">
        <v>45982.770833333299</v>
      </c>
      <c r="CJ86" s="21">
        <v>45982.770833333299</v>
      </c>
      <c r="CK86" s="22" t="s">
        <v>2956</v>
      </c>
      <c r="CL86" s="22" t="s">
        <v>2957</v>
      </c>
      <c r="CM86" s="22" t="s">
        <v>2959</v>
      </c>
      <c r="CN86" s="22" t="s">
        <v>2957</v>
      </c>
      <c r="CO86" s="22" t="s">
        <v>2957</v>
      </c>
      <c r="CP86" s="22" t="s">
        <v>2956</v>
      </c>
      <c r="CQ86" s="22" t="s">
        <v>2953</v>
      </c>
      <c r="CR86" s="22" t="s">
        <v>2956</v>
      </c>
      <c r="CS86" s="22" t="s">
        <v>2960</v>
      </c>
      <c r="CT86" s="22">
        <v>8</v>
      </c>
      <c r="CU86" s="21">
        <v>46162</v>
      </c>
      <c r="CV86" s="21">
        <v>46076</v>
      </c>
      <c r="CW86" s="21">
        <v>46045</v>
      </c>
      <c r="CX86" s="21">
        <v>46076</v>
      </c>
      <c r="CY86" s="21">
        <v>46076</v>
      </c>
      <c r="CZ86" s="21">
        <v>46170</v>
      </c>
      <c r="DA86" s="21">
        <v>46108</v>
      </c>
      <c r="DB86" s="21">
        <v>46162</v>
      </c>
      <c r="DC86" s="21">
        <v>46347</v>
      </c>
      <c r="DD86" s="8">
        <v>1</v>
      </c>
      <c r="DE86" s="8">
        <v>1</v>
      </c>
      <c r="DF86" s="8">
        <v>1</v>
      </c>
      <c r="DG86" s="8">
        <v>5</v>
      </c>
      <c r="DH86" s="8">
        <v>0</v>
      </c>
      <c r="DI86" s="8">
        <v>3</v>
      </c>
      <c r="DJ86" s="8" t="s">
        <v>3025</v>
      </c>
      <c r="DK86" s="21">
        <v>43159</v>
      </c>
      <c r="DL86" s="21">
        <v>43131</v>
      </c>
      <c r="DM86" s="21">
        <v>45983</v>
      </c>
      <c r="DN86" s="18">
        <v>4800</v>
      </c>
      <c r="DO86" s="21">
        <v>0</v>
      </c>
      <c r="DP86" s="21">
        <v>0</v>
      </c>
      <c r="DQ86" s="21" t="s">
        <v>2955</v>
      </c>
      <c r="DR86" s="21">
        <v>45983</v>
      </c>
      <c r="DS86" s="21">
        <v>45983</v>
      </c>
      <c r="DT86" s="21">
        <v>45983</v>
      </c>
      <c r="DU86" s="21">
        <v>45983</v>
      </c>
      <c r="DV86" s="21">
        <v>45983</v>
      </c>
      <c r="DW86" s="21">
        <v>45983</v>
      </c>
      <c r="DX86" s="21">
        <v>45983</v>
      </c>
      <c r="DY86" s="21">
        <v>45983</v>
      </c>
      <c r="DZ86" s="21">
        <v>45983</v>
      </c>
      <c r="EA86" s="8">
        <v>1500</v>
      </c>
      <c r="EB86" s="8">
        <v>750</v>
      </c>
      <c r="EC86" s="8">
        <v>500</v>
      </c>
      <c r="ED86" s="8">
        <v>750</v>
      </c>
      <c r="EE86" s="8">
        <v>750</v>
      </c>
      <c r="EF86" s="8">
        <v>1500</v>
      </c>
      <c r="EG86" s="8">
        <v>1000</v>
      </c>
      <c r="EH86" s="8">
        <v>1500</v>
      </c>
      <c r="EI86" s="8">
        <v>3000</v>
      </c>
      <c r="EJ86" s="8">
        <v>8</v>
      </c>
      <c r="EK86" s="8" t="s">
        <v>2624</v>
      </c>
      <c r="EL86" s="8">
        <v>130</v>
      </c>
      <c r="EM86" s="8">
        <v>0</v>
      </c>
      <c r="EN86" s="8">
        <v>1212</v>
      </c>
      <c r="EO86" s="8">
        <v>462</v>
      </c>
      <c r="EP86" s="8">
        <v>212</v>
      </c>
      <c r="EQ86" s="8">
        <v>462</v>
      </c>
      <c r="ER86" s="8">
        <v>462</v>
      </c>
      <c r="ES86" s="8">
        <v>1212</v>
      </c>
      <c r="ET86" s="8">
        <v>712</v>
      </c>
      <c r="EU86" s="8">
        <v>1212</v>
      </c>
      <c r="EV86" s="8">
        <v>2712</v>
      </c>
    </row>
    <row r="87" spans="1:152" x14ac:dyDescent="0.15">
      <c r="A87" s="8">
        <f>ROW([2]!tbl_DPSAC[[#This Row],[Sl. No.]])-1</f>
        <v>86</v>
      </c>
      <c r="B87" s="9" t="s">
        <v>136</v>
      </c>
      <c r="C87" s="9" t="s">
        <v>722</v>
      </c>
      <c r="D87" s="9" t="s">
        <v>198</v>
      </c>
      <c r="E87" s="9" t="s">
        <v>199</v>
      </c>
      <c r="F87" s="9" t="s">
        <v>161</v>
      </c>
      <c r="G87" s="10" t="s">
        <v>723</v>
      </c>
      <c r="H87" s="10" t="str">
        <f>_xlfn.XLOOKUP(C87,'[1]E&amp;DPSAC'!$K:$K,'[1]E&amp;DPSAC'!$E:$E,,0)</f>
        <v>KHARATUNDA-BARWADDA, NH - 2, DAYABANS, PAHAR VILLAGE, NEAR GANGA HOTEL, DHANBAD OPPOSIT MONT FORT ACADEMY</v>
      </c>
      <c r="I87" s="10" t="s">
        <v>724</v>
      </c>
      <c r="J87" s="10">
        <v>9205712281</v>
      </c>
      <c r="K87" s="10">
        <f>_xlfn.XLOOKUP(C87,'[1]E&amp;DPSAC'!$K:$K,'[1]E&amp;DPSAC'!$G:$G,"",0)</f>
        <v>9205712281</v>
      </c>
      <c r="L87" s="9" t="str">
        <f t="shared" ca="1" si="4"/>
        <v>Non - Warranty</v>
      </c>
      <c r="M87" s="11">
        <v>42761</v>
      </c>
      <c r="N87" s="12">
        <v>24</v>
      </c>
      <c r="O87" s="11">
        <f t="shared" si="5"/>
        <v>43496</v>
      </c>
      <c r="P87" s="8" t="s">
        <v>157</v>
      </c>
      <c r="Q87" s="16" t="s">
        <v>726</v>
      </c>
      <c r="R87" s="15">
        <v>45090.449108796303</v>
      </c>
      <c r="S87" s="14">
        <v>2505</v>
      </c>
      <c r="T87" s="15">
        <v>45090</v>
      </c>
      <c r="U87" s="14">
        <v>2505</v>
      </c>
      <c r="V87" s="14">
        <v>2953</v>
      </c>
      <c r="W87" s="17">
        <v>45206.548240740703</v>
      </c>
      <c r="X87" s="14" t="s">
        <v>2752</v>
      </c>
      <c r="Y87" s="14">
        <v>302</v>
      </c>
      <c r="Z87" s="14" t="s">
        <v>2692</v>
      </c>
      <c r="AA87" s="18">
        <v>1022.5508912036967</v>
      </c>
      <c r="AB87" s="18" t="s">
        <v>2697</v>
      </c>
      <c r="AC87" s="8">
        <f>tbl_DPSAC[[#This Row],[Current Month Due Count]]</f>
        <v>0</v>
      </c>
      <c r="AD87" s="8">
        <f>tbl_DPSAC[[#This Row],[Next Month Due2]]</f>
        <v>0</v>
      </c>
      <c r="AE87" s="8">
        <f t="shared" si="6"/>
        <v>1</v>
      </c>
      <c r="AF87" s="8">
        <v>1.7</v>
      </c>
      <c r="AG87" s="14">
        <f t="shared" ca="1" si="7"/>
        <v>4494</v>
      </c>
      <c r="AH87" s="8">
        <v>0</v>
      </c>
      <c r="AI87" s="8">
        <v>0</v>
      </c>
      <c r="AJ87" s="8">
        <v>0</v>
      </c>
      <c r="AK87" s="8">
        <v>0</v>
      </c>
      <c r="AL87" s="8">
        <v>0</v>
      </c>
      <c r="AM87" s="8">
        <v>0</v>
      </c>
      <c r="AN87" s="8">
        <v>0</v>
      </c>
      <c r="AO87" s="8">
        <v>0</v>
      </c>
      <c r="AP87" s="8">
        <v>0</v>
      </c>
      <c r="AQ87" s="8">
        <v>0</v>
      </c>
      <c r="AR87" s="8">
        <v>0</v>
      </c>
      <c r="AS87" s="8">
        <v>0</v>
      </c>
      <c r="AT87" s="8">
        <v>0</v>
      </c>
      <c r="AU87" s="8" t="s">
        <v>725</v>
      </c>
      <c r="AV87" s="8">
        <v>0</v>
      </c>
      <c r="AW87" s="8">
        <v>0</v>
      </c>
      <c r="AX87" s="8" t="s">
        <v>2961</v>
      </c>
      <c r="AY87" s="14">
        <v>2550</v>
      </c>
      <c r="AZ87" s="19">
        <v>45090</v>
      </c>
      <c r="BA87" s="14" t="s">
        <v>726</v>
      </c>
      <c r="BB87" s="14">
        <v>2550</v>
      </c>
      <c r="BC87" s="19">
        <v>45090</v>
      </c>
      <c r="BD87" s="14" t="s">
        <v>726</v>
      </c>
      <c r="BE87" s="14">
        <v>2550</v>
      </c>
      <c r="BF87" s="19">
        <v>45090</v>
      </c>
      <c r="BG87" s="14" t="s">
        <v>726</v>
      </c>
      <c r="BH87" s="14">
        <v>2550</v>
      </c>
      <c r="BI87" s="19">
        <v>45090</v>
      </c>
      <c r="BJ87" s="14" t="s">
        <v>726</v>
      </c>
      <c r="BK87" s="14">
        <v>2550</v>
      </c>
      <c r="BL87" s="19">
        <v>45090</v>
      </c>
      <c r="BM87" s="14" t="s">
        <v>726</v>
      </c>
      <c r="BN87" s="27">
        <v>45270</v>
      </c>
      <c r="BO87" s="27">
        <v>45270</v>
      </c>
      <c r="BP87" s="27">
        <v>45270</v>
      </c>
      <c r="BQ87" s="27">
        <v>45270</v>
      </c>
      <c r="BR87" s="27">
        <v>45455</v>
      </c>
      <c r="BS87" s="28">
        <v>-1194</v>
      </c>
      <c r="BT87" s="29">
        <v>-444</v>
      </c>
      <c r="BU87" s="29">
        <v>-1194</v>
      </c>
      <c r="BV87" s="29">
        <v>-1194</v>
      </c>
      <c r="BW87" s="29">
        <v>-444</v>
      </c>
      <c r="BX87" s="30" t="s">
        <v>159</v>
      </c>
      <c r="BY87" s="8">
        <v>5</v>
      </c>
      <c r="BZ87" s="8">
        <v>0</v>
      </c>
      <c r="CA87" s="8">
        <v>0</v>
      </c>
      <c r="CB87" s="21" t="s">
        <v>143</v>
      </c>
      <c r="CC87" s="21" t="s">
        <v>143</v>
      </c>
      <c r="CD87" s="21" t="s">
        <v>143</v>
      </c>
      <c r="CE87" s="21" t="s">
        <v>143</v>
      </c>
      <c r="CF87" s="21" t="s">
        <v>143</v>
      </c>
      <c r="CG87" s="21" t="s">
        <v>143</v>
      </c>
      <c r="CH87" s="21" t="s">
        <v>143</v>
      </c>
      <c r="CI87" s="21" t="s">
        <v>143</v>
      </c>
      <c r="CJ87" s="21" t="s">
        <v>143</v>
      </c>
      <c r="CK87" s="22" t="s">
        <v>143</v>
      </c>
      <c r="CL87" s="22" t="s">
        <v>143</v>
      </c>
      <c r="CM87" s="22" t="s">
        <v>143</v>
      </c>
      <c r="CN87" s="22" t="s">
        <v>143</v>
      </c>
      <c r="CO87" s="22" t="s">
        <v>143</v>
      </c>
      <c r="CP87" s="22" t="s">
        <v>143</v>
      </c>
      <c r="CQ87" s="22" t="s">
        <v>143</v>
      </c>
      <c r="CR87" s="22" t="s">
        <v>143</v>
      </c>
      <c r="CS87" s="22" t="s">
        <v>143</v>
      </c>
      <c r="CT87" s="22" t="s">
        <v>143</v>
      </c>
      <c r="CU87" s="21" t="s">
        <v>143</v>
      </c>
      <c r="CV87" s="21" t="s">
        <v>143</v>
      </c>
      <c r="CW87" s="21" t="s">
        <v>143</v>
      </c>
      <c r="CX87" s="21" t="s">
        <v>143</v>
      </c>
      <c r="CY87" s="21" t="s">
        <v>143</v>
      </c>
      <c r="CZ87" s="21" t="s">
        <v>143</v>
      </c>
      <c r="DA87" s="21" t="s">
        <v>143</v>
      </c>
      <c r="DB87" s="21" t="s">
        <v>143</v>
      </c>
      <c r="DC87" s="21" t="s">
        <v>143</v>
      </c>
      <c r="DD87" s="8" t="s">
        <v>143</v>
      </c>
      <c r="DE87" s="8" t="s">
        <v>143</v>
      </c>
      <c r="DF87" s="8" t="s">
        <v>143</v>
      </c>
      <c r="DG87" s="8">
        <v>0</v>
      </c>
      <c r="DH87" s="8">
        <v>0</v>
      </c>
      <c r="DI87" s="8">
        <v>0</v>
      </c>
      <c r="DJ87" s="8" t="s">
        <v>143</v>
      </c>
      <c r="DK87" s="21" t="s">
        <v>143</v>
      </c>
      <c r="DL87" s="21" t="s">
        <v>143</v>
      </c>
      <c r="DM87" s="21" t="s">
        <v>143</v>
      </c>
      <c r="DN87" s="18" t="s">
        <v>143</v>
      </c>
      <c r="DO87" s="21" t="s">
        <v>143</v>
      </c>
      <c r="DP87" s="21" t="s">
        <v>143</v>
      </c>
      <c r="DQ87" s="21" t="s">
        <v>143</v>
      </c>
      <c r="DR87" s="21" t="s">
        <v>143</v>
      </c>
      <c r="DS87" s="21" t="s">
        <v>143</v>
      </c>
      <c r="DT87" s="21" t="s">
        <v>143</v>
      </c>
      <c r="DU87" s="21" t="s">
        <v>143</v>
      </c>
      <c r="DV87" s="21" t="s">
        <v>143</v>
      </c>
      <c r="DW87" s="21" t="s">
        <v>143</v>
      </c>
      <c r="DX87" s="21" t="s">
        <v>143</v>
      </c>
      <c r="DY87" s="21" t="s">
        <v>143</v>
      </c>
      <c r="DZ87" s="21" t="s">
        <v>143</v>
      </c>
      <c r="EA87" s="8" t="s">
        <v>143</v>
      </c>
      <c r="EB87" s="8" t="s">
        <v>143</v>
      </c>
      <c r="EC87" s="8" t="s">
        <v>143</v>
      </c>
      <c r="ED87" s="8" t="s">
        <v>143</v>
      </c>
      <c r="EE87" s="8" t="s">
        <v>143</v>
      </c>
      <c r="EF87" s="8" t="s">
        <v>143</v>
      </c>
      <c r="EG87" s="8" t="s">
        <v>143</v>
      </c>
      <c r="EH87" s="8" t="s">
        <v>143</v>
      </c>
      <c r="EI87" s="8" t="s">
        <v>143</v>
      </c>
      <c r="EJ87" s="8" t="s">
        <v>143</v>
      </c>
      <c r="EK87" s="8" t="s">
        <v>157</v>
      </c>
      <c r="EL87" s="8">
        <v>906</v>
      </c>
      <c r="EM87" s="8">
        <v>1540.2</v>
      </c>
      <c r="EN87" s="8" t="s">
        <v>143</v>
      </c>
      <c r="EO87" s="8" t="s">
        <v>143</v>
      </c>
      <c r="EP87" s="8" t="s">
        <v>143</v>
      </c>
      <c r="EQ87" s="8" t="s">
        <v>143</v>
      </c>
      <c r="ER87" s="8" t="s">
        <v>143</v>
      </c>
      <c r="ES87" s="8" t="s">
        <v>143</v>
      </c>
      <c r="ET87" s="8" t="s">
        <v>143</v>
      </c>
      <c r="EU87" s="8" t="s">
        <v>143</v>
      </c>
      <c r="EV87" s="8" t="s">
        <v>143</v>
      </c>
    </row>
    <row r="88" spans="1:152" x14ac:dyDescent="0.15">
      <c r="A88" s="8">
        <f>ROW([2]!tbl_DPSAC[[#This Row],[Sl. No.]])-1</f>
        <v>87</v>
      </c>
      <c r="B88" s="9" t="s">
        <v>136</v>
      </c>
      <c r="C88" s="9" t="s">
        <v>727</v>
      </c>
      <c r="D88" s="9" t="s">
        <v>175</v>
      </c>
      <c r="E88" s="9" t="s">
        <v>176</v>
      </c>
      <c r="F88" s="9" t="s">
        <v>161</v>
      </c>
      <c r="G88" s="10" t="s">
        <v>728</v>
      </c>
      <c r="H88" s="10" t="str">
        <f>_xlfn.XLOOKUP(C88,'[1]E&amp;DPSAC'!$K:$K,'[1]E&amp;DPSAC'!$E:$E,,0)</f>
        <v>DEOGHAR,JHARKHAND</v>
      </c>
      <c r="I88" s="10"/>
      <c r="J88" s="10">
        <v>8114561180</v>
      </c>
      <c r="K88" s="10">
        <f>_xlfn.XLOOKUP(C88,'[1]E&amp;DPSAC'!$K:$K,'[1]E&amp;DPSAC'!$G:$G,"",0)</f>
        <v>7250504785</v>
      </c>
      <c r="L88" s="9" t="str">
        <f t="shared" ca="1" si="4"/>
        <v>Non - Warranty</v>
      </c>
      <c r="M88" s="11">
        <v>42983</v>
      </c>
      <c r="N88" s="12">
        <v>24</v>
      </c>
      <c r="O88" s="11">
        <f t="shared" si="5"/>
        <v>43738</v>
      </c>
      <c r="P88" s="8" t="s">
        <v>681</v>
      </c>
      <c r="Q88" s="16" t="s">
        <v>730</v>
      </c>
      <c r="R88" s="15">
        <v>45954.72152777778</v>
      </c>
      <c r="S88" s="14">
        <v>6410</v>
      </c>
      <c r="T88" s="15">
        <v>45167</v>
      </c>
      <c r="U88" s="14">
        <v>5480</v>
      </c>
      <c r="V88" s="14">
        <v>6410</v>
      </c>
      <c r="W88" s="17">
        <v>45962.672222222223</v>
      </c>
      <c r="X88" s="14" t="s">
        <v>2699</v>
      </c>
      <c r="Y88" s="14">
        <v>750</v>
      </c>
      <c r="Z88" s="14" t="s">
        <v>2692</v>
      </c>
      <c r="AA88" s="18">
        <v>158.27847222222044</v>
      </c>
      <c r="AB88" s="18" t="s">
        <v>2692</v>
      </c>
      <c r="AC88" s="8">
        <f>tbl_DPSAC[[#This Row],[Current Month Due Count]]</f>
        <v>4</v>
      </c>
      <c r="AD88" s="8">
        <f>tbl_DPSAC[[#This Row],[Next Month Due2]]</f>
        <v>0</v>
      </c>
      <c r="AE88" s="8">
        <f t="shared" si="6"/>
        <v>0</v>
      </c>
      <c r="AF88" s="8">
        <v>0</v>
      </c>
      <c r="AG88" s="14">
        <f t="shared" ca="1" si="7"/>
        <v>6410</v>
      </c>
      <c r="AH88" s="8">
        <v>0</v>
      </c>
      <c r="AI88" s="8">
        <v>0</v>
      </c>
      <c r="AJ88" s="8">
        <v>0</v>
      </c>
      <c r="AK88" s="8">
        <v>0</v>
      </c>
      <c r="AL88" s="8" t="s">
        <v>729</v>
      </c>
      <c r="AM88" s="8">
        <v>0</v>
      </c>
      <c r="AN88" s="8">
        <v>0</v>
      </c>
      <c r="AO88" s="8">
        <v>0</v>
      </c>
      <c r="AP88" s="8">
        <v>0</v>
      </c>
      <c r="AQ88" s="8">
        <v>0</v>
      </c>
      <c r="AR88" s="8">
        <v>0</v>
      </c>
      <c r="AS88" s="8">
        <v>0</v>
      </c>
      <c r="AT88" s="8">
        <v>0</v>
      </c>
      <c r="AU88" s="8">
        <v>0</v>
      </c>
      <c r="AV88" s="8">
        <v>0</v>
      </c>
      <c r="AW88" s="8">
        <v>0</v>
      </c>
      <c r="AX88" s="8" t="s">
        <v>2007</v>
      </c>
      <c r="AY88" s="14">
        <v>6410</v>
      </c>
      <c r="AZ88" s="19">
        <v>45954</v>
      </c>
      <c r="BA88" s="14" t="s">
        <v>730</v>
      </c>
      <c r="BB88" s="14">
        <v>6410</v>
      </c>
      <c r="BC88" s="19">
        <v>45954</v>
      </c>
      <c r="BD88" s="14" t="s">
        <v>730</v>
      </c>
      <c r="BE88" s="14">
        <v>6410</v>
      </c>
      <c r="BF88" s="19">
        <v>45954</v>
      </c>
      <c r="BG88" s="14" t="s">
        <v>730</v>
      </c>
      <c r="BH88" s="14">
        <v>6410</v>
      </c>
      <c r="BI88" s="19">
        <v>45954</v>
      </c>
      <c r="BJ88" s="14" t="s">
        <v>730</v>
      </c>
      <c r="BK88" s="14">
        <v>6410</v>
      </c>
      <c r="BL88" s="19">
        <v>45954</v>
      </c>
      <c r="BM88" s="14" t="s">
        <v>730</v>
      </c>
      <c r="BN88" s="27">
        <v>46134</v>
      </c>
      <c r="BO88" s="27">
        <v>46134</v>
      </c>
      <c r="BP88" s="27">
        <v>46134</v>
      </c>
      <c r="BQ88" s="27">
        <v>46134</v>
      </c>
      <c r="BR88" s="27">
        <v>46319</v>
      </c>
      <c r="BS88" s="28">
        <v>750</v>
      </c>
      <c r="BT88" s="29">
        <v>1500</v>
      </c>
      <c r="BU88" s="29">
        <v>750</v>
      </c>
      <c r="BV88" s="29">
        <v>750</v>
      </c>
      <c r="BW88" s="29">
        <v>1500</v>
      </c>
      <c r="BX88" s="30" t="s">
        <v>173</v>
      </c>
      <c r="BY88" s="8">
        <v>0</v>
      </c>
      <c r="BZ88" s="8">
        <v>4</v>
      </c>
      <c r="CA88" s="8">
        <v>0</v>
      </c>
      <c r="CB88" s="21">
        <v>45954.770833333299</v>
      </c>
      <c r="CC88" s="21">
        <v>45954.770833333299</v>
      </c>
      <c r="CD88" s="21">
        <v>45954.770833333299</v>
      </c>
      <c r="CE88" s="21">
        <v>45954.770833333299</v>
      </c>
      <c r="CF88" s="21">
        <v>45954.770833333299</v>
      </c>
      <c r="CG88" s="21">
        <v>45954.770833333299</v>
      </c>
      <c r="CH88" s="21">
        <v>45954.770833333299</v>
      </c>
      <c r="CI88" s="21">
        <v>45954.770833333299</v>
      </c>
      <c r="CJ88" s="21">
        <v>45954.770833333299</v>
      </c>
      <c r="CK88" s="22" t="s">
        <v>2956</v>
      </c>
      <c r="CL88" s="22" t="s">
        <v>2957</v>
      </c>
      <c r="CM88" s="22" t="s">
        <v>2957</v>
      </c>
      <c r="CN88" s="22" t="s">
        <v>2957</v>
      </c>
      <c r="CO88" s="22" t="s">
        <v>2957</v>
      </c>
      <c r="CP88" s="22" t="s">
        <v>2956</v>
      </c>
      <c r="CQ88" s="22" t="s">
        <v>2953</v>
      </c>
      <c r="CR88" s="22" t="s">
        <v>2956</v>
      </c>
      <c r="CS88" s="22" t="s">
        <v>2960</v>
      </c>
      <c r="CT88" s="22">
        <v>0</v>
      </c>
      <c r="CU88" s="21">
        <v>0</v>
      </c>
      <c r="CV88" s="21">
        <v>0</v>
      </c>
      <c r="CW88" s="21">
        <v>0</v>
      </c>
      <c r="CX88" s="21">
        <v>0</v>
      </c>
      <c r="CY88" s="21">
        <v>0</v>
      </c>
      <c r="CZ88" s="21">
        <v>0</v>
      </c>
      <c r="DA88" s="21">
        <v>0</v>
      </c>
      <c r="DB88" s="21">
        <v>0</v>
      </c>
      <c r="DC88" s="21">
        <v>0</v>
      </c>
      <c r="DD88" s="8">
        <v>0</v>
      </c>
      <c r="DE88" s="8">
        <v>0</v>
      </c>
      <c r="DF88" s="8">
        <v>0</v>
      </c>
      <c r="DG88" s="8">
        <v>9</v>
      </c>
      <c r="DH88" s="8">
        <v>0</v>
      </c>
      <c r="DI88" s="8">
        <v>0</v>
      </c>
      <c r="DJ88" s="8" t="s">
        <v>3025</v>
      </c>
      <c r="DK88" s="21">
        <v>42983</v>
      </c>
      <c r="DL88" s="21">
        <v>42963</v>
      </c>
      <c r="DM88" s="21">
        <v>45962</v>
      </c>
      <c r="DN88" s="18">
        <v>6410</v>
      </c>
      <c r="DO88" s="21">
        <v>0</v>
      </c>
      <c r="DP88" s="21">
        <v>0</v>
      </c>
      <c r="DQ88" s="21" t="s">
        <v>2955</v>
      </c>
      <c r="DR88" s="21">
        <v>45955</v>
      </c>
      <c r="DS88" s="21">
        <v>45955</v>
      </c>
      <c r="DT88" s="21">
        <v>45955</v>
      </c>
      <c r="DU88" s="21">
        <v>45955</v>
      </c>
      <c r="DV88" s="21">
        <v>45955</v>
      </c>
      <c r="DW88" s="21">
        <v>45955</v>
      </c>
      <c r="DX88" s="21">
        <v>45955</v>
      </c>
      <c r="DY88" s="21">
        <v>45955</v>
      </c>
      <c r="DZ88" s="21">
        <v>45955</v>
      </c>
      <c r="EA88" s="8">
        <v>1500</v>
      </c>
      <c r="EB88" s="8">
        <v>750</v>
      </c>
      <c r="EC88" s="8">
        <v>750</v>
      </c>
      <c r="ED88" s="8">
        <v>750</v>
      </c>
      <c r="EE88" s="8">
        <v>750</v>
      </c>
      <c r="EF88" s="8">
        <v>1500</v>
      </c>
      <c r="EG88" s="8">
        <v>1000</v>
      </c>
      <c r="EH88" s="8">
        <v>1500</v>
      </c>
      <c r="EI88" s="8">
        <v>3000</v>
      </c>
      <c r="EJ88" s="8">
        <v>0</v>
      </c>
      <c r="EK88" s="8" t="s">
        <v>2624</v>
      </c>
      <c r="EL88" s="8">
        <v>150</v>
      </c>
      <c r="EM88" s="8">
        <v>0</v>
      </c>
      <c r="EN88" s="8">
        <v>1212</v>
      </c>
      <c r="EO88" s="8">
        <v>462</v>
      </c>
      <c r="EP88" s="8">
        <v>462</v>
      </c>
      <c r="EQ88" s="8">
        <v>462</v>
      </c>
      <c r="ER88" s="8">
        <v>462</v>
      </c>
      <c r="ES88" s="8">
        <v>1212</v>
      </c>
      <c r="ET88" s="8">
        <v>712</v>
      </c>
      <c r="EU88" s="8">
        <v>1212</v>
      </c>
      <c r="EV88" s="8">
        <v>2712</v>
      </c>
    </row>
    <row r="89" spans="1:152" x14ac:dyDescent="0.15">
      <c r="A89" s="8">
        <f>ROW([2]!tbl_DPSAC[[#This Row],[Sl. No.]])-1</f>
        <v>88</v>
      </c>
      <c r="B89" s="9" t="s">
        <v>136</v>
      </c>
      <c r="C89" s="9" t="s">
        <v>731</v>
      </c>
      <c r="D89" s="9" t="s">
        <v>732</v>
      </c>
      <c r="E89" s="9" t="s">
        <v>733</v>
      </c>
      <c r="F89" s="9" t="s">
        <v>161</v>
      </c>
      <c r="G89" s="10" t="s">
        <v>734</v>
      </c>
      <c r="H89" s="10" t="str">
        <f>_xlfn.XLOOKUP(C89,'[1]E&amp;DPSAC'!$K:$K,'[1]E&amp;DPSAC'!$E:$E,,0)</f>
        <v>NIRSA, DHANBAD</v>
      </c>
      <c r="I89" s="10"/>
      <c r="J89" s="10">
        <v>9931921808</v>
      </c>
      <c r="K89" s="10">
        <f>_xlfn.XLOOKUP(C89,'[1]E&amp;DPSAC'!$K:$K,'[1]E&amp;DPSAC'!$G:$G,"",0)</f>
        <v>9931921808</v>
      </c>
      <c r="L89" s="9" t="str">
        <f t="shared" ca="1" si="4"/>
        <v>Non - Warranty</v>
      </c>
      <c r="M89" s="11">
        <v>40072</v>
      </c>
      <c r="N89" s="12">
        <v>24</v>
      </c>
      <c r="O89" s="11">
        <f t="shared" si="5"/>
        <v>40816</v>
      </c>
      <c r="P89" s="8" t="s">
        <v>715</v>
      </c>
      <c r="Q89" s="16" t="s">
        <v>735</v>
      </c>
      <c r="R89" s="15">
        <v>45265.571458333303</v>
      </c>
      <c r="S89" s="14">
        <v>1585</v>
      </c>
      <c r="T89" s="15">
        <v>45742</v>
      </c>
      <c r="U89" s="14">
        <v>5764</v>
      </c>
      <c r="V89" s="14">
        <v>5000</v>
      </c>
      <c r="W89" s="17">
        <v>45938.749305555553</v>
      </c>
      <c r="X89" s="14" t="s">
        <v>2753</v>
      </c>
      <c r="Y89" s="14">
        <v>-2665</v>
      </c>
      <c r="Z89" s="14" t="s">
        <v>2697</v>
      </c>
      <c r="AA89" s="18">
        <v>847.42854166669713</v>
      </c>
      <c r="AB89" s="18" t="s">
        <v>2697</v>
      </c>
      <c r="AC89" s="8">
        <f>tbl_DPSAC[[#This Row],[Current Month Due Count]]</f>
        <v>0</v>
      </c>
      <c r="AD89" s="8">
        <f>tbl_DPSAC[[#This Row],[Next Month Due2]]</f>
        <v>0</v>
      </c>
      <c r="AE89" s="8">
        <f t="shared" si="6"/>
        <v>1</v>
      </c>
      <c r="AF89" s="8">
        <v>15</v>
      </c>
      <c r="AG89" s="14">
        <f t="shared" ca="1" si="7"/>
        <v>7614</v>
      </c>
      <c r="AH89" s="8">
        <v>0</v>
      </c>
      <c r="AI89" s="8">
        <v>0</v>
      </c>
      <c r="AJ89" s="8">
        <v>0</v>
      </c>
      <c r="AK89" s="8">
        <v>0</v>
      </c>
      <c r="AL89" s="8">
        <v>0</v>
      </c>
      <c r="AM89" s="8">
        <v>0</v>
      </c>
      <c r="AN89" s="8">
        <v>0</v>
      </c>
      <c r="AO89" s="8">
        <v>0</v>
      </c>
      <c r="AP89" s="8">
        <v>0</v>
      </c>
      <c r="AQ89" s="8">
        <v>0</v>
      </c>
      <c r="AR89" s="8">
        <v>0</v>
      </c>
      <c r="AS89" s="8">
        <v>0</v>
      </c>
      <c r="AT89" s="8">
        <v>0</v>
      </c>
      <c r="AU89" s="8">
        <v>0</v>
      </c>
      <c r="AV89" s="8">
        <v>0</v>
      </c>
      <c r="AW89" s="8">
        <v>0</v>
      </c>
      <c r="AX89" s="8" t="s">
        <v>2977</v>
      </c>
      <c r="AY89" s="14">
        <v>1585</v>
      </c>
      <c r="AZ89" s="19">
        <v>45266</v>
      </c>
      <c r="BA89" s="14" t="s">
        <v>735</v>
      </c>
      <c r="BB89" s="14">
        <v>1585</v>
      </c>
      <c r="BC89" s="19">
        <v>45265</v>
      </c>
      <c r="BD89" s="14" t="s">
        <v>735</v>
      </c>
      <c r="BE89" s="14">
        <v>530</v>
      </c>
      <c r="BF89" s="19">
        <v>44812</v>
      </c>
      <c r="BG89" s="14"/>
      <c r="BH89" s="14"/>
      <c r="BI89" s="19"/>
      <c r="BJ89" s="14"/>
      <c r="BK89" s="14">
        <v>1585</v>
      </c>
      <c r="BL89" s="19">
        <v>45265</v>
      </c>
      <c r="BM89" s="14" t="s">
        <v>735</v>
      </c>
      <c r="BN89" s="27">
        <v>45446</v>
      </c>
      <c r="BO89" s="27">
        <v>45445</v>
      </c>
      <c r="BP89" s="27">
        <v>44992</v>
      </c>
      <c r="BQ89" s="27" t="s">
        <v>143</v>
      </c>
      <c r="BR89" s="27">
        <v>45630</v>
      </c>
      <c r="BS89" s="28">
        <v>-5279</v>
      </c>
      <c r="BT89" s="29">
        <v>-4529</v>
      </c>
      <c r="BU89" s="29">
        <v>-6334</v>
      </c>
      <c r="BV89" s="29" t="s">
        <v>143</v>
      </c>
      <c r="BW89" s="29">
        <v>-4529</v>
      </c>
      <c r="BX89" s="30" t="e">
        <v>#N/A</v>
      </c>
      <c r="BY89" s="8">
        <v>4</v>
      </c>
      <c r="BZ89" s="8">
        <v>0</v>
      </c>
      <c r="CA89" s="8">
        <v>0</v>
      </c>
      <c r="CB89" s="21" t="s">
        <v>143</v>
      </c>
      <c r="CC89" s="21" t="s">
        <v>143</v>
      </c>
      <c r="CD89" s="21" t="s">
        <v>143</v>
      </c>
      <c r="CE89" s="21" t="s">
        <v>143</v>
      </c>
      <c r="CF89" s="21" t="s">
        <v>143</v>
      </c>
      <c r="CG89" s="21" t="s">
        <v>143</v>
      </c>
      <c r="CH89" s="21" t="s">
        <v>143</v>
      </c>
      <c r="CI89" s="21" t="s">
        <v>143</v>
      </c>
      <c r="CJ89" s="21" t="s">
        <v>143</v>
      </c>
      <c r="CK89" s="22" t="s">
        <v>143</v>
      </c>
      <c r="CL89" s="22" t="s">
        <v>143</v>
      </c>
      <c r="CM89" s="22" t="s">
        <v>143</v>
      </c>
      <c r="CN89" s="22" t="s">
        <v>143</v>
      </c>
      <c r="CO89" s="22" t="s">
        <v>143</v>
      </c>
      <c r="CP89" s="22" t="s">
        <v>143</v>
      </c>
      <c r="CQ89" s="22" t="s">
        <v>143</v>
      </c>
      <c r="CR89" s="22" t="s">
        <v>143</v>
      </c>
      <c r="CS89" s="22" t="s">
        <v>143</v>
      </c>
      <c r="CT89" s="22" t="s">
        <v>143</v>
      </c>
      <c r="CU89" s="21" t="s">
        <v>143</v>
      </c>
      <c r="CV89" s="21" t="s">
        <v>143</v>
      </c>
      <c r="CW89" s="21" t="s">
        <v>143</v>
      </c>
      <c r="CX89" s="21" t="s">
        <v>143</v>
      </c>
      <c r="CY89" s="21" t="s">
        <v>143</v>
      </c>
      <c r="CZ89" s="21" t="s">
        <v>143</v>
      </c>
      <c r="DA89" s="21" t="s">
        <v>143</v>
      </c>
      <c r="DB89" s="21" t="s">
        <v>143</v>
      </c>
      <c r="DC89" s="21" t="s">
        <v>143</v>
      </c>
      <c r="DD89" s="8" t="s">
        <v>143</v>
      </c>
      <c r="DE89" s="8" t="s">
        <v>143</v>
      </c>
      <c r="DF89" s="8" t="s">
        <v>143</v>
      </c>
      <c r="DG89" s="8">
        <v>0</v>
      </c>
      <c r="DH89" s="8">
        <v>0</v>
      </c>
      <c r="DI89" s="8">
        <v>0</v>
      </c>
      <c r="DJ89" s="8" t="s">
        <v>3032</v>
      </c>
      <c r="DK89" s="21">
        <v>40072</v>
      </c>
      <c r="DL89" s="21">
        <v>40054</v>
      </c>
      <c r="DM89" s="21">
        <v>45938</v>
      </c>
      <c r="DN89" s="18">
        <v>5000</v>
      </c>
      <c r="DO89" s="21">
        <v>0</v>
      </c>
      <c r="DP89" s="21">
        <v>0</v>
      </c>
      <c r="DQ89" s="21" t="s">
        <v>2955</v>
      </c>
      <c r="DR89" s="21">
        <v>0</v>
      </c>
      <c r="DS89" s="21">
        <v>0</v>
      </c>
      <c r="DT89" s="21">
        <v>0</v>
      </c>
      <c r="DU89" s="21">
        <v>0</v>
      </c>
      <c r="DV89" s="21">
        <v>0</v>
      </c>
      <c r="DW89" s="21">
        <v>45265</v>
      </c>
      <c r="DX89" s="21">
        <v>45265</v>
      </c>
      <c r="DY89" s="21">
        <v>45265</v>
      </c>
      <c r="DZ89" s="21">
        <v>45265</v>
      </c>
      <c r="EA89" s="8">
        <v>370</v>
      </c>
      <c r="EB89" s="8">
        <v>370</v>
      </c>
      <c r="EC89" s="8">
        <v>370</v>
      </c>
      <c r="ED89" s="8">
        <v>370</v>
      </c>
      <c r="EE89" s="8">
        <v>370</v>
      </c>
      <c r="EF89" s="8">
        <v>870</v>
      </c>
      <c r="EG89" s="8">
        <v>1000</v>
      </c>
      <c r="EH89" s="8">
        <v>870</v>
      </c>
      <c r="EI89" s="8">
        <v>870</v>
      </c>
      <c r="EJ89" s="8">
        <v>4</v>
      </c>
      <c r="EK89" s="8" t="s">
        <v>715</v>
      </c>
      <c r="EL89" s="8">
        <v>174</v>
      </c>
      <c r="EM89" s="8">
        <v>2610</v>
      </c>
      <c r="EN89" s="8">
        <v>82</v>
      </c>
      <c r="EO89" s="8">
        <v>82</v>
      </c>
      <c r="EP89" s="8">
        <v>82</v>
      </c>
      <c r="EQ89" s="8">
        <v>82</v>
      </c>
      <c r="ER89" s="8">
        <v>82</v>
      </c>
      <c r="ES89" s="8">
        <v>582</v>
      </c>
      <c r="ET89" s="8">
        <v>712</v>
      </c>
      <c r="EU89" s="8">
        <v>582</v>
      </c>
      <c r="EV89" s="8">
        <v>582</v>
      </c>
    </row>
    <row r="90" spans="1:152" x14ac:dyDescent="0.15">
      <c r="A90" s="8">
        <f>ROW([2]!tbl_DPSAC[[#This Row],[Sl. No.]])-1</f>
        <v>89</v>
      </c>
      <c r="B90" s="9" t="s">
        <v>136</v>
      </c>
      <c r="C90" s="9" t="s">
        <v>736</v>
      </c>
      <c r="D90" s="9" t="s">
        <v>732</v>
      </c>
      <c r="E90" s="9" t="s">
        <v>733</v>
      </c>
      <c r="F90" s="9" t="s">
        <v>161</v>
      </c>
      <c r="G90" s="10" t="s">
        <v>734</v>
      </c>
      <c r="H90" s="10" t="str">
        <f>_xlfn.XLOOKUP(C90,'[1]E&amp;DPSAC'!$K:$K,'[1]E&amp;DPSAC'!$E:$E,,0)</f>
        <v>AMLO, PHUSHRO</v>
      </c>
      <c r="I90" s="10"/>
      <c r="J90" s="10" t="s">
        <v>143</v>
      </c>
      <c r="K90" s="10">
        <f>_xlfn.XLOOKUP(C90,'[1]E&amp;DPSAC'!$K:$K,'[1]E&amp;DPSAC'!$G:$G,"",0)</f>
        <v>9006617909</v>
      </c>
      <c r="L90" s="9" t="str">
        <f t="shared" ca="1" si="4"/>
        <v>Non - Warranty</v>
      </c>
      <c r="M90" s="11">
        <v>40473</v>
      </c>
      <c r="N90" s="12">
        <v>24</v>
      </c>
      <c r="O90" s="11">
        <f t="shared" si="5"/>
        <v>41213</v>
      </c>
      <c r="P90" s="8" t="s">
        <v>715</v>
      </c>
      <c r="Q90" s="16" t="s">
        <v>737</v>
      </c>
      <c r="R90" s="15">
        <v>45371.497384259303</v>
      </c>
      <c r="S90" s="14">
        <v>2430</v>
      </c>
      <c r="T90" s="15">
        <v>45371</v>
      </c>
      <c r="U90" s="14">
        <v>2430</v>
      </c>
      <c r="V90" s="14">
        <v>3610</v>
      </c>
      <c r="W90" s="17">
        <v>45962.677083333336</v>
      </c>
      <c r="X90" s="14" t="s">
        <v>2754</v>
      </c>
      <c r="Y90" s="14">
        <v>-430</v>
      </c>
      <c r="Z90" s="14" t="s">
        <v>2697</v>
      </c>
      <c r="AA90" s="18">
        <v>741.50261574069737</v>
      </c>
      <c r="AB90" s="18" t="s">
        <v>2697</v>
      </c>
      <c r="AC90" s="8">
        <f>tbl_DPSAC[[#This Row],[Current Month Due Count]]</f>
        <v>0</v>
      </c>
      <c r="AD90" s="8">
        <f>tbl_DPSAC[[#This Row],[Next Month Due2]]</f>
        <v>0</v>
      </c>
      <c r="AE90" s="8">
        <f t="shared" si="6"/>
        <v>1</v>
      </c>
      <c r="AF90" s="8">
        <v>0</v>
      </c>
      <c r="AG90" s="14">
        <f t="shared" ca="1" si="7"/>
        <v>3610</v>
      </c>
      <c r="AH90" s="8">
        <v>0</v>
      </c>
      <c r="AI90" s="8">
        <v>0</v>
      </c>
      <c r="AJ90" s="8">
        <v>0</v>
      </c>
      <c r="AK90" s="8">
        <v>0</v>
      </c>
      <c r="AL90" s="8">
        <v>0</v>
      </c>
      <c r="AM90" s="8">
        <v>0</v>
      </c>
      <c r="AN90" s="8">
        <v>0</v>
      </c>
      <c r="AO90" s="8">
        <v>0</v>
      </c>
      <c r="AP90" s="8">
        <v>0</v>
      </c>
      <c r="AQ90" s="8">
        <v>0</v>
      </c>
      <c r="AR90" s="8">
        <v>0</v>
      </c>
      <c r="AS90" s="8">
        <v>0</v>
      </c>
      <c r="AT90" s="8">
        <v>0</v>
      </c>
      <c r="AU90" s="8">
        <v>0</v>
      </c>
      <c r="AV90" s="8">
        <v>0</v>
      </c>
      <c r="AW90" s="8">
        <v>0</v>
      </c>
      <c r="AX90" s="8" t="s">
        <v>3033</v>
      </c>
      <c r="AY90" s="14">
        <v>2430</v>
      </c>
      <c r="AZ90" s="19">
        <v>45371</v>
      </c>
      <c r="BA90" s="14" t="s">
        <v>737</v>
      </c>
      <c r="BB90" s="14">
        <v>2430</v>
      </c>
      <c r="BC90" s="19">
        <v>45371</v>
      </c>
      <c r="BD90" s="14" t="s">
        <v>737</v>
      </c>
      <c r="BE90" s="14">
        <v>2430</v>
      </c>
      <c r="BF90" s="19">
        <v>45371</v>
      </c>
      <c r="BG90" s="14" t="s">
        <v>737</v>
      </c>
      <c r="BH90" s="14"/>
      <c r="BI90" s="19"/>
      <c r="BJ90" s="14"/>
      <c r="BK90" s="14">
        <v>2430</v>
      </c>
      <c r="BL90" s="19">
        <v>45371</v>
      </c>
      <c r="BM90" s="14" t="s">
        <v>737</v>
      </c>
      <c r="BN90" s="27">
        <v>45551</v>
      </c>
      <c r="BO90" s="27">
        <v>45551</v>
      </c>
      <c r="BP90" s="27">
        <v>45551</v>
      </c>
      <c r="BQ90" s="27" t="s">
        <v>143</v>
      </c>
      <c r="BR90" s="27">
        <v>45736</v>
      </c>
      <c r="BS90" s="28">
        <v>-430</v>
      </c>
      <c r="BT90" s="29">
        <v>320</v>
      </c>
      <c r="BU90" s="29">
        <v>-430</v>
      </c>
      <c r="BV90" s="29" t="s">
        <v>143</v>
      </c>
      <c r="BW90" s="29">
        <v>320</v>
      </c>
      <c r="BX90" s="30" t="s">
        <v>152</v>
      </c>
      <c r="BY90" s="8">
        <v>4</v>
      </c>
      <c r="BZ90" s="8">
        <v>0</v>
      </c>
      <c r="CA90" s="8">
        <v>0</v>
      </c>
      <c r="CB90" s="21" t="s">
        <v>143</v>
      </c>
      <c r="CC90" s="21" t="s">
        <v>143</v>
      </c>
      <c r="CD90" s="21" t="s">
        <v>143</v>
      </c>
      <c r="CE90" s="21" t="s">
        <v>143</v>
      </c>
      <c r="CF90" s="21" t="s">
        <v>143</v>
      </c>
      <c r="CG90" s="21" t="s">
        <v>143</v>
      </c>
      <c r="CH90" s="21" t="s">
        <v>143</v>
      </c>
      <c r="CI90" s="21" t="s">
        <v>143</v>
      </c>
      <c r="CJ90" s="21" t="s">
        <v>143</v>
      </c>
      <c r="CK90" s="22" t="s">
        <v>143</v>
      </c>
      <c r="CL90" s="22" t="s">
        <v>143</v>
      </c>
      <c r="CM90" s="22" t="s">
        <v>143</v>
      </c>
      <c r="CN90" s="22" t="s">
        <v>143</v>
      </c>
      <c r="CO90" s="22" t="s">
        <v>143</v>
      </c>
      <c r="CP90" s="22" t="s">
        <v>143</v>
      </c>
      <c r="CQ90" s="22" t="s">
        <v>143</v>
      </c>
      <c r="CR90" s="22" t="s">
        <v>143</v>
      </c>
      <c r="CS90" s="22" t="s">
        <v>143</v>
      </c>
      <c r="CT90" s="22" t="s">
        <v>143</v>
      </c>
      <c r="CU90" s="21" t="s">
        <v>143</v>
      </c>
      <c r="CV90" s="21" t="s">
        <v>143</v>
      </c>
      <c r="CW90" s="21" t="s">
        <v>143</v>
      </c>
      <c r="CX90" s="21" t="s">
        <v>143</v>
      </c>
      <c r="CY90" s="21" t="s">
        <v>143</v>
      </c>
      <c r="CZ90" s="21" t="s">
        <v>143</v>
      </c>
      <c r="DA90" s="21" t="s">
        <v>143</v>
      </c>
      <c r="DB90" s="21" t="s">
        <v>143</v>
      </c>
      <c r="DC90" s="21" t="s">
        <v>143</v>
      </c>
      <c r="DD90" s="8" t="s">
        <v>143</v>
      </c>
      <c r="DE90" s="8" t="s">
        <v>143</v>
      </c>
      <c r="DF90" s="8" t="s">
        <v>143</v>
      </c>
      <c r="DG90" s="8">
        <v>0</v>
      </c>
      <c r="DH90" s="8">
        <v>0</v>
      </c>
      <c r="DI90" s="8">
        <v>0</v>
      </c>
      <c r="DJ90" s="8" t="s">
        <v>3032</v>
      </c>
      <c r="DK90" s="21">
        <v>40534</v>
      </c>
      <c r="DL90" s="21">
        <v>40481</v>
      </c>
      <c r="DM90" s="21">
        <v>45962</v>
      </c>
      <c r="DN90" s="18">
        <v>3610</v>
      </c>
      <c r="DO90" s="21">
        <v>0</v>
      </c>
      <c r="DP90" s="21">
        <v>0</v>
      </c>
      <c r="DQ90" s="21" t="s">
        <v>2955</v>
      </c>
      <c r="DR90" s="21">
        <v>45371</v>
      </c>
      <c r="DS90" s="21">
        <v>45371</v>
      </c>
      <c r="DT90" s="21">
        <v>0</v>
      </c>
      <c r="DU90" s="21">
        <v>45371</v>
      </c>
      <c r="DV90" s="21">
        <v>45371</v>
      </c>
      <c r="DW90" s="21">
        <v>45371</v>
      </c>
      <c r="DX90" s="21">
        <v>45371</v>
      </c>
      <c r="DY90" s="21">
        <v>45371</v>
      </c>
      <c r="DZ90" s="21">
        <v>45371</v>
      </c>
      <c r="EA90" s="8">
        <v>320</v>
      </c>
      <c r="EB90" s="8">
        <v>320</v>
      </c>
      <c r="EC90" s="8">
        <v>320</v>
      </c>
      <c r="ED90" s="8">
        <v>320</v>
      </c>
      <c r="EE90" s="8">
        <v>320</v>
      </c>
      <c r="EF90" s="8">
        <v>320</v>
      </c>
      <c r="EG90" s="8">
        <v>1000</v>
      </c>
      <c r="EH90" s="8">
        <v>320</v>
      </c>
      <c r="EI90" s="8">
        <v>320</v>
      </c>
      <c r="EJ90" s="8">
        <v>0</v>
      </c>
      <c r="EK90" s="8" t="s">
        <v>715</v>
      </c>
      <c r="EL90" s="8">
        <v>150</v>
      </c>
      <c r="EM90" s="8">
        <v>0</v>
      </c>
      <c r="EN90" s="8">
        <v>32</v>
      </c>
      <c r="EO90" s="8">
        <v>32</v>
      </c>
      <c r="EP90" s="8">
        <v>32</v>
      </c>
      <c r="EQ90" s="8">
        <v>32</v>
      </c>
      <c r="ER90" s="8">
        <v>32</v>
      </c>
      <c r="ES90" s="8">
        <v>32</v>
      </c>
      <c r="ET90" s="8">
        <v>712</v>
      </c>
      <c r="EU90" s="8">
        <v>32</v>
      </c>
      <c r="EV90" s="8">
        <v>32</v>
      </c>
    </row>
    <row r="91" spans="1:152" x14ac:dyDescent="0.15">
      <c r="A91" s="8">
        <f>ROW([2]!tbl_DPSAC[[#This Row],[Sl. No.]])-1</f>
        <v>90</v>
      </c>
      <c r="B91" s="9" t="s">
        <v>136</v>
      </c>
      <c r="C91" s="9" t="s">
        <v>738</v>
      </c>
      <c r="D91" s="9" t="s">
        <v>175</v>
      </c>
      <c r="E91" s="9" t="s">
        <v>176</v>
      </c>
      <c r="F91" s="9" t="s">
        <v>161</v>
      </c>
      <c r="G91" s="10" t="s">
        <v>739</v>
      </c>
      <c r="H91" s="10" t="str">
        <f>_xlfn.XLOOKUP(C91,'[1]E&amp;DPSAC'!$K:$K,'[1]E&amp;DPSAC'!$E:$E,,0)</f>
        <v>RAMGARH</v>
      </c>
      <c r="I91" s="10" t="s">
        <v>740</v>
      </c>
      <c r="J91" s="10" t="s">
        <v>143</v>
      </c>
      <c r="K91" s="10">
        <f>_xlfn.XLOOKUP(C91,'[1]E&amp;DPSAC'!$K:$K,'[1]E&amp;DPSAC'!$G:$G,"",0)</f>
        <v>7004332970</v>
      </c>
      <c r="L91" s="9" t="str">
        <f t="shared" ca="1" si="4"/>
        <v>Non - Warranty</v>
      </c>
      <c r="M91" s="11">
        <v>43300</v>
      </c>
      <c r="N91" s="12">
        <v>24</v>
      </c>
      <c r="O91" s="11">
        <f t="shared" si="5"/>
        <v>44043</v>
      </c>
      <c r="P91" s="8" t="s">
        <v>681</v>
      </c>
      <c r="Q91" s="16" t="s">
        <v>743</v>
      </c>
      <c r="R91" s="15">
        <v>45289.477164351898</v>
      </c>
      <c r="S91" s="14">
        <v>5947</v>
      </c>
      <c r="T91" s="15">
        <v>45965</v>
      </c>
      <c r="U91" s="14">
        <v>9091</v>
      </c>
      <c r="V91" s="14">
        <v>7830</v>
      </c>
      <c r="W91" s="17">
        <v>45962.681944444441</v>
      </c>
      <c r="X91" s="14" t="s">
        <v>2755</v>
      </c>
      <c r="Y91" s="14">
        <v>-1133</v>
      </c>
      <c r="Z91" s="14" t="s">
        <v>2697</v>
      </c>
      <c r="AA91" s="18">
        <v>823.52283564810205</v>
      </c>
      <c r="AB91" s="18" t="s">
        <v>2697</v>
      </c>
      <c r="AC91" s="8">
        <f>tbl_DPSAC[[#This Row],[Current Month Due Count]]</f>
        <v>0</v>
      </c>
      <c r="AD91" s="8">
        <f>tbl_DPSAC[[#This Row],[Next Month Due2]]</f>
        <v>0</v>
      </c>
      <c r="AE91" s="8">
        <f t="shared" si="6"/>
        <v>1</v>
      </c>
      <c r="AF91" s="8">
        <v>3</v>
      </c>
      <c r="AG91" s="14">
        <f t="shared" ca="1" si="7"/>
        <v>8281</v>
      </c>
      <c r="AH91" s="8">
        <v>0</v>
      </c>
      <c r="AI91" s="8">
        <v>0</v>
      </c>
      <c r="AJ91" s="8">
        <v>0</v>
      </c>
      <c r="AK91" s="8">
        <v>0</v>
      </c>
      <c r="AL91" s="8">
        <v>0</v>
      </c>
      <c r="AM91" s="8">
        <v>0</v>
      </c>
      <c r="AN91" s="8">
        <v>0</v>
      </c>
      <c r="AO91" s="8" t="s">
        <v>741</v>
      </c>
      <c r="AP91" s="8">
        <v>0</v>
      </c>
      <c r="AQ91" s="8">
        <v>0</v>
      </c>
      <c r="AR91" s="8">
        <v>0</v>
      </c>
      <c r="AS91" s="8">
        <v>0</v>
      </c>
      <c r="AT91" s="8">
        <v>0</v>
      </c>
      <c r="AU91" s="8">
        <v>0</v>
      </c>
      <c r="AV91" s="8">
        <v>0</v>
      </c>
      <c r="AW91" s="8">
        <v>0</v>
      </c>
      <c r="AX91" s="8" t="s">
        <v>2961</v>
      </c>
      <c r="AY91" s="14">
        <v>5685</v>
      </c>
      <c r="AZ91" s="19">
        <v>45199</v>
      </c>
      <c r="BA91" s="14" t="s">
        <v>742</v>
      </c>
      <c r="BB91" s="14">
        <v>5947</v>
      </c>
      <c r="BC91" s="19">
        <v>45289</v>
      </c>
      <c r="BD91" s="14" t="s">
        <v>743</v>
      </c>
      <c r="BE91" s="14">
        <v>5685</v>
      </c>
      <c r="BF91" s="19">
        <v>45199</v>
      </c>
      <c r="BG91" s="14" t="s">
        <v>742</v>
      </c>
      <c r="BH91" s="14">
        <v>5685</v>
      </c>
      <c r="BI91" s="19">
        <v>45199</v>
      </c>
      <c r="BJ91" s="14" t="s">
        <v>742</v>
      </c>
      <c r="BK91" s="14">
        <v>5947</v>
      </c>
      <c r="BL91" s="19">
        <v>45289</v>
      </c>
      <c r="BM91" s="14" t="s">
        <v>743</v>
      </c>
      <c r="BN91" s="27">
        <v>45379</v>
      </c>
      <c r="BO91" s="27">
        <v>45469</v>
      </c>
      <c r="BP91" s="27">
        <v>45379</v>
      </c>
      <c r="BQ91" s="27">
        <v>45379</v>
      </c>
      <c r="BR91" s="27">
        <v>45654</v>
      </c>
      <c r="BS91" s="28">
        <v>-1846</v>
      </c>
      <c r="BT91" s="29">
        <v>-834</v>
      </c>
      <c r="BU91" s="29">
        <v>-1846</v>
      </c>
      <c r="BV91" s="29">
        <v>-1846</v>
      </c>
      <c r="BW91" s="29">
        <v>-834</v>
      </c>
      <c r="BX91" s="30" t="s">
        <v>173</v>
      </c>
      <c r="BY91" s="8">
        <v>5</v>
      </c>
      <c r="BZ91" s="8">
        <v>0</v>
      </c>
      <c r="CA91" s="8">
        <v>0</v>
      </c>
      <c r="CB91" s="21">
        <v>45288.770833333299</v>
      </c>
      <c r="CC91" s="21">
        <v>45198.770833333299</v>
      </c>
      <c r="CD91" s="21">
        <v>45198.770833333299</v>
      </c>
      <c r="CE91" s="21">
        <v>45198.770833333299</v>
      </c>
      <c r="CF91" s="21">
        <v>45198.770833333299</v>
      </c>
      <c r="CG91" s="21">
        <v>45288.770833333299</v>
      </c>
      <c r="CH91" s="21">
        <v>45288.770833333299</v>
      </c>
      <c r="CI91" s="21">
        <v>45288.770833333299</v>
      </c>
      <c r="CJ91" s="21">
        <v>45288.770833333299</v>
      </c>
      <c r="CK91" s="22" t="s">
        <v>3034</v>
      </c>
      <c r="CL91" s="22" t="s">
        <v>3034</v>
      </c>
      <c r="CM91" s="22" t="s">
        <v>3034</v>
      </c>
      <c r="CN91" s="22" t="s">
        <v>3034</v>
      </c>
      <c r="CO91" s="22" t="s">
        <v>3034</v>
      </c>
      <c r="CP91" s="22" t="s">
        <v>3034</v>
      </c>
      <c r="CQ91" s="22" t="s">
        <v>2953</v>
      </c>
      <c r="CR91" s="22" t="s">
        <v>3034</v>
      </c>
      <c r="CS91" s="22" t="s">
        <v>3034</v>
      </c>
      <c r="CT91" s="22">
        <v>3</v>
      </c>
      <c r="CU91" s="21">
        <v>45468</v>
      </c>
      <c r="CV91" s="21">
        <v>45378</v>
      </c>
      <c r="CW91" s="21">
        <v>45378</v>
      </c>
      <c r="CX91" s="21">
        <v>45378</v>
      </c>
      <c r="CY91" s="21">
        <v>45378</v>
      </c>
      <c r="CZ91" s="21">
        <v>45558</v>
      </c>
      <c r="DA91" s="21">
        <v>45653</v>
      </c>
      <c r="DB91" s="21">
        <v>45468</v>
      </c>
      <c r="DC91" s="21">
        <v>45653</v>
      </c>
      <c r="DD91" s="8">
        <v>1</v>
      </c>
      <c r="DE91" s="8">
        <v>0</v>
      </c>
      <c r="DF91" s="8">
        <v>0</v>
      </c>
      <c r="DG91" s="8">
        <v>9</v>
      </c>
      <c r="DH91" s="8">
        <v>0</v>
      </c>
      <c r="DI91" s="8">
        <v>0</v>
      </c>
      <c r="DJ91" s="8" t="s">
        <v>3025</v>
      </c>
      <c r="DK91" s="21">
        <v>43300</v>
      </c>
      <c r="DL91" s="21">
        <v>43270</v>
      </c>
      <c r="DM91" s="21">
        <v>45962</v>
      </c>
      <c r="DN91" s="18">
        <v>8830</v>
      </c>
      <c r="DO91" s="21">
        <v>0</v>
      </c>
      <c r="DP91" s="21">
        <v>0</v>
      </c>
      <c r="DQ91" s="21" t="s">
        <v>2955</v>
      </c>
      <c r="DR91" s="21">
        <v>45289</v>
      </c>
      <c r="DS91" s="21">
        <v>45199</v>
      </c>
      <c r="DT91" s="21">
        <v>45199</v>
      </c>
      <c r="DU91" s="21">
        <v>45199</v>
      </c>
      <c r="DV91" s="21">
        <v>45199</v>
      </c>
      <c r="DW91" s="21">
        <v>45289</v>
      </c>
      <c r="DX91" s="21">
        <v>45289</v>
      </c>
      <c r="DY91" s="21">
        <v>45289</v>
      </c>
      <c r="DZ91" s="21">
        <v>45289</v>
      </c>
      <c r="EA91" s="8">
        <v>395</v>
      </c>
      <c r="EB91" s="8">
        <v>395</v>
      </c>
      <c r="EC91" s="8">
        <v>395</v>
      </c>
      <c r="ED91" s="8">
        <v>395</v>
      </c>
      <c r="EE91" s="8">
        <v>395</v>
      </c>
      <c r="EF91" s="8">
        <v>395</v>
      </c>
      <c r="EG91" s="8">
        <v>1000</v>
      </c>
      <c r="EH91" s="8">
        <v>395</v>
      </c>
      <c r="EI91" s="8">
        <v>395</v>
      </c>
      <c r="EJ91" s="8">
        <v>3</v>
      </c>
      <c r="EK91" s="8" t="s">
        <v>2624</v>
      </c>
      <c r="EL91" s="8">
        <v>150</v>
      </c>
      <c r="EM91" s="8">
        <v>450</v>
      </c>
      <c r="EN91" s="8">
        <v>107</v>
      </c>
      <c r="EO91" s="8">
        <v>107</v>
      </c>
      <c r="EP91" s="8">
        <v>107</v>
      </c>
      <c r="EQ91" s="8">
        <v>107</v>
      </c>
      <c r="ER91" s="8">
        <v>107</v>
      </c>
      <c r="ES91" s="8">
        <v>107</v>
      </c>
      <c r="ET91" s="8">
        <v>712</v>
      </c>
      <c r="EU91" s="8">
        <v>107</v>
      </c>
      <c r="EV91" s="8">
        <v>107</v>
      </c>
    </row>
    <row r="92" spans="1:152" x14ac:dyDescent="0.15">
      <c r="A92" s="8">
        <f>ROW([2]!tbl_DPSAC[[#This Row],[Sl. No.]])-1</f>
        <v>91</v>
      </c>
      <c r="B92" s="9" t="s">
        <v>136</v>
      </c>
      <c r="C92" s="9" t="s">
        <v>744</v>
      </c>
      <c r="D92" s="9" t="s">
        <v>169</v>
      </c>
      <c r="E92" s="9" t="s">
        <v>170</v>
      </c>
      <c r="F92" s="9" t="s">
        <v>161</v>
      </c>
      <c r="G92" s="10" t="s">
        <v>745</v>
      </c>
      <c r="H92" s="10" t="str">
        <f>_xlfn.XLOOKUP(C92,'[1]E&amp;DPSAC'!$K:$K,'[1]E&amp;DPSAC'!$E:$E,,0)</f>
        <v>SAHEBGANJ, JHARKHAND</v>
      </c>
      <c r="I92" s="10"/>
      <c r="J92" s="10">
        <v>8809703041</v>
      </c>
      <c r="K92" s="10">
        <f>_xlfn.XLOOKUP(C92,'[1]E&amp;DPSAC'!$K:$K,'[1]E&amp;DPSAC'!$G:$G,"",0)</f>
        <v>8809703041</v>
      </c>
      <c r="L92" s="9" t="str">
        <f t="shared" ca="1" si="4"/>
        <v>Non - Warranty</v>
      </c>
      <c r="M92" s="11">
        <v>41809</v>
      </c>
      <c r="N92" s="12">
        <v>24</v>
      </c>
      <c r="O92" s="11">
        <f t="shared" si="5"/>
        <v>42551</v>
      </c>
      <c r="P92" s="8" t="s">
        <v>681</v>
      </c>
      <c r="Q92" s="16" t="s">
        <v>746</v>
      </c>
      <c r="R92" s="15">
        <v>45266.480416666702</v>
      </c>
      <c r="S92" s="14">
        <v>8135</v>
      </c>
      <c r="T92" s="15">
        <v>45266</v>
      </c>
      <c r="U92" s="14">
        <v>8135</v>
      </c>
      <c r="V92" s="14">
        <v>9770</v>
      </c>
      <c r="W92" s="17">
        <v>45962.686111111114</v>
      </c>
      <c r="X92" s="14" t="s">
        <v>2704</v>
      </c>
      <c r="Y92" s="14">
        <v>-885</v>
      </c>
      <c r="Z92" s="14" t="s">
        <v>2697</v>
      </c>
      <c r="AA92" s="18">
        <v>846.51958333329821</v>
      </c>
      <c r="AB92" s="18" t="s">
        <v>2697</v>
      </c>
      <c r="AC92" s="8">
        <f>tbl_DPSAC[[#This Row],[Current Month Due Count]]</f>
        <v>0</v>
      </c>
      <c r="AD92" s="8">
        <f>tbl_DPSAC[[#This Row],[Next Month Due2]]</f>
        <v>0</v>
      </c>
      <c r="AE92" s="8">
        <f t="shared" si="6"/>
        <v>1</v>
      </c>
      <c r="AF92" s="8">
        <v>2.4</v>
      </c>
      <c r="AG92" s="14">
        <f t="shared" ca="1" si="7"/>
        <v>10131</v>
      </c>
      <c r="AH92" s="8">
        <v>0</v>
      </c>
      <c r="AI92" s="8">
        <v>0</v>
      </c>
      <c r="AJ92" s="8">
        <v>0</v>
      </c>
      <c r="AK92" s="8">
        <v>0</v>
      </c>
      <c r="AL92" s="8">
        <v>0</v>
      </c>
      <c r="AM92" s="8">
        <v>0</v>
      </c>
      <c r="AN92" s="8">
        <v>0</v>
      </c>
      <c r="AO92" s="8">
        <v>0</v>
      </c>
      <c r="AP92" s="8">
        <v>0</v>
      </c>
      <c r="AQ92" s="8">
        <v>0</v>
      </c>
      <c r="AR92" s="8">
        <v>0</v>
      </c>
      <c r="AS92" s="8">
        <v>0</v>
      </c>
      <c r="AT92" s="8">
        <v>0</v>
      </c>
      <c r="AU92" s="8">
        <v>0</v>
      </c>
      <c r="AV92" s="8">
        <v>0</v>
      </c>
      <c r="AW92" s="8">
        <v>0</v>
      </c>
      <c r="AX92" s="8" t="s">
        <v>2977</v>
      </c>
      <c r="AY92" s="14">
        <v>8135</v>
      </c>
      <c r="AZ92" s="19">
        <v>45266</v>
      </c>
      <c r="BA92" s="14" t="s">
        <v>746</v>
      </c>
      <c r="BB92" s="14">
        <v>8135</v>
      </c>
      <c r="BC92" s="19">
        <v>45266</v>
      </c>
      <c r="BD92" s="14" t="s">
        <v>746</v>
      </c>
      <c r="BE92" s="14">
        <v>8135</v>
      </c>
      <c r="BF92" s="19">
        <v>45266</v>
      </c>
      <c r="BG92" s="14" t="s">
        <v>746</v>
      </c>
      <c r="BH92" s="14"/>
      <c r="BI92" s="19"/>
      <c r="BJ92" s="14"/>
      <c r="BK92" s="14">
        <v>8135</v>
      </c>
      <c r="BL92" s="19">
        <v>45266</v>
      </c>
      <c r="BM92" s="14" t="s">
        <v>746</v>
      </c>
      <c r="BN92" s="27">
        <v>45446</v>
      </c>
      <c r="BO92" s="27">
        <v>45446</v>
      </c>
      <c r="BP92" s="27">
        <v>45446</v>
      </c>
      <c r="BQ92" s="27" t="s">
        <v>143</v>
      </c>
      <c r="BR92" s="27">
        <v>45631</v>
      </c>
      <c r="BS92" s="28">
        <v>-1246</v>
      </c>
      <c r="BT92" s="29">
        <v>-496</v>
      </c>
      <c r="BU92" s="29">
        <v>-1246</v>
      </c>
      <c r="BV92" s="29" t="s">
        <v>143</v>
      </c>
      <c r="BW92" s="29">
        <v>-496</v>
      </c>
      <c r="BX92" s="30" t="s">
        <v>173</v>
      </c>
      <c r="BY92" s="8">
        <v>4</v>
      </c>
      <c r="BZ92" s="8">
        <v>0</v>
      </c>
      <c r="CA92" s="8">
        <v>0</v>
      </c>
      <c r="CB92" s="21">
        <v>45265.770833333299</v>
      </c>
      <c r="CC92" s="21">
        <v>45265.770833333299</v>
      </c>
      <c r="CD92" s="21">
        <v>0</v>
      </c>
      <c r="CE92" s="21">
        <v>45265.770833333299</v>
      </c>
      <c r="CF92" s="21">
        <v>45265.770833333299</v>
      </c>
      <c r="CG92" s="21">
        <v>45265.770833333299</v>
      </c>
      <c r="CH92" s="21">
        <v>45265.770833333299</v>
      </c>
      <c r="CI92" s="21">
        <v>45265.770833333299</v>
      </c>
      <c r="CJ92" s="21">
        <v>45265.770833333299</v>
      </c>
      <c r="CK92" s="22" t="s">
        <v>2972</v>
      </c>
      <c r="CL92" s="22" t="s">
        <v>2972</v>
      </c>
      <c r="CM92" s="22" t="s">
        <v>2972</v>
      </c>
      <c r="CN92" s="22" t="s">
        <v>2972</v>
      </c>
      <c r="CO92" s="22" t="s">
        <v>2972</v>
      </c>
      <c r="CP92" s="22" t="s">
        <v>2972</v>
      </c>
      <c r="CQ92" s="22" t="s">
        <v>2953</v>
      </c>
      <c r="CR92" s="22" t="s">
        <v>2972</v>
      </c>
      <c r="CS92" s="22" t="s">
        <v>2972</v>
      </c>
      <c r="CT92" s="22">
        <v>3</v>
      </c>
      <c r="CU92" s="21">
        <v>45445</v>
      </c>
      <c r="CV92" s="21">
        <v>45445</v>
      </c>
      <c r="CW92" s="21">
        <v>46086</v>
      </c>
      <c r="CX92" s="21">
        <v>45445</v>
      </c>
      <c r="CY92" s="21">
        <v>45445</v>
      </c>
      <c r="CZ92" s="21">
        <v>45535</v>
      </c>
      <c r="DA92" s="21">
        <v>45630</v>
      </c>
      <c r="DB92" s="21">
        <v>45445</v>
      </c>
      <c r="DC92" s="21">
        <v>45630</v>
      </c>
      <c r="DD92" s="8">
        <v>1</v>
      </c>
      <c r="DE92" s="8">
        <v>0</v>
      </c>
      <c r="DF92" s="8">
        <v>1</v>
      </c>
      <c r="DG92" s="8">
        <v>9</v>
      </c>
      <c r="DH92" s="8">
        <v>0</v>
      </c>
      <c r="DI92" s="8">
        <v>0</v>
      </c>
      <c r="DJ92" s="8" t="s">
        <v>3025</v>
      </c>
      <c r="DK92" s="21">
        <v>41809</v>
      </c>
      <c r="DL92" s="21">
        <v>41809</v>
      </c>
      <c r="DM92" s="21">
        <v>45962</v>
      </c>
      <c r="DN92" s="18">
        <v>9770</v>
      </c>
      <c r="DO92" s="21">
        <v>0</v>
      </c>
      <c r="DP92" s="21">
        <v>0</v>
      </c>
      <c r="DQ92" s="21" t="s">
        <v>2955</v>
      </c>
      <c r="DR92" s="21">
        <v>45266</v>
      </c>
      <c r="DS92" s="21">
        <v>45266</v>
      </c>
      <c r="DT92" s="21">
        <v>0</v>
      </c>
      <c r="DU92" s="21">
        <v>45266</v>
      </c>
      <c r="DV92" s="21">
        <v>45266</v>
      </c>
      <c r="DW92" s="21">
        <v>45266</v>
      </c>
      <c r="DX92" s="21">
        <v>45266</v>
      </c>
      <c r="DY92" s="21">
        <v>45266</v>
      </c>
      <c r="DZ92" s="21">
        <v>45266</v>
      </c>
      <c r="EA92" s="8">
        <v>380</v>
      </c>
      <c r="EB92" s="8">
        <v>380</v>
      </c>
      <c r="EC92" s="8">
        <v>380</v>
      </c>
      <c r="ED92" s="8">
        <v>380</v>
      </c>
      <c r="EE92" s="8">
        <v>380</v>
      </c>
      <c r="EF92" s="8">
        <v>380</v>
      </c>
      <c r="EG92" s="8">
        <v>1000</v>
      </c>
      <c r="EH92" s="8">
        <v>380</v>
      </c>
      <c r="EI92" s="8">
        <v>380</v>
      </c>
      <c r="EJ92" s="8">
        <v>3</v>
      </c>
      <c r="EK92" s="8" t="s">
        <v>2624</v>
      </c>
      <c r="EL92" s="8">
        <v>150</v>
      </c>
      <c r="EM92" s="8">
        <v>360</v>
      </c>
      <c r="EN92" s="8">
        <v>92</v>
      </c>
      <c r="EO92" s="8">
        <v>92</v>
      </c>
      <c r="EP92" s="8">
        <v>92</v>
      </c>
      <c r="EQ92" s="8">
        <v>92</v>
      </c>
      <c r="ER92" s="8">
        <v>92</v>
      </c>
      <c r="ES92" s="8">
        <v>92</v>
      </c>
      <c r="ET92" s="8">
        <v>712</v>
      </c>
      <c r="EU92" s="8">
        <v>92</v>
      </c>
      <c r="EV92" s="8">
        <v>92</v>
      </c>
    </row>
    <row r="93" spans="1:152" x14ac:dyDescent="0.15">
      <c r="A93" s="8">
        <f>ROW([2]!tbl_DPSAC[[#This Row],[Sl. No.]])-1</f>
        <v>92</v>
      </c>
      <c r="B93" s="9" t="s">
        <v>136</v>
      </c>
      <c r="C93" s="9" t="s">
        <v>747</v>
      </c>
      <c r="D93" s="9" t="s">
        <v>175</v>
      </c>
      <c r="E93" s="9" t="s">
        <v>176</v>
      </c>
      <c r="F93" s="9" t="s">
        <v>161</v>
      </c>
      <c r="G93" s="10" t="s">
        <v>748</v>
      </c>
      <c r="H93" s="10" t="str">
        <f>_xlfn.XLOOKUP(C93,'[1]E&amp;DPSAC'!$K:$K,'[1]E&amp;DPSAC'!$E:$E,,0)</f>
        <v>RANCHI</v>
      </c>
      <c r="I93" s="10"/>
      <c r="J93" s="10">
        <v>6203788687</v>
      </c>
      <c r="K93" s="10">
        <f>_xlfn.XLOOKUP(C93,'[1]E&amp;DPSAC'!$K:$K,'[1]E&amp;DPSAC'!$G:$G,"",0)</f>
        <v>9955447978</v>
      </c>
      <c r="L93" s="9" t="str">
        <f t="shared" ca="1" si="4"/>
        <v>Non - Warranty</v>
      </c>
      <c r="M93" s="11">
        <v>43297</v>
      </c>
      <c r="N93" s="12">
        <v>24</v>
      </c>
      <c r="O93" s="11">
        <f t="shared" si="5"/>
        <v>44043</v>
      </c>
      <c r="P93" s="8" t="s">
        <v>681</v>
      </c>
      <c r="Q93" s="16" t="s">
        <v>752</v>
      </c>
      <c r="R93" s="15">
        <v>45694.484409722201</v>
      </c>
      <c r="S93" s="14">
        <v>7554</v>
      </c>
      <c r="T93" s="15">
        <v>45692</v>
      </c>
      <c r="U93" s="14">
        <v>7554</v>
      </c>
      <c r="V93" s="14">
        <v>8580</v>
      </c>
      <c r="W93" s="17">
        <v>46041.660590277803</v>
      </c>
      <c r="X93" s="14" t="s">
        <v>2756</v>
      </c>
      <c r="Y93" s="14">
        <v>-276</v>
      </c>
      <c r="Z93" s="14" t="s">
        <v>2697</v>
      </c>
      <c r="AA93" s="18">
        <v>418.51559027779876</v>
      </c>
      <c r="AB93" s="18" t="s">
        <v>2697</v>
      </c>
      <c r="AC93" s="8">
        <f>tbl_DPSAC[[#This Row],[Current Month Due Count]]</f>
        <v>0</v>
      </c>
      <c r="AD93" s="8">
        <f>tbl_DPSAC[[#This Row],[Next Month Due2]]</f>
        <v>0</v>
      </c>
      <c r="AE93" s="8">
        <f t="shared" si="6"/>
        <v>1</v>
      </c>
      <c r="AF93" s="8">
        <v>3</v>
      </c>
      <c r="AG93" s="14">
        <f t="shared" ca="1" si="7"/>
        <v>8794</v>
      </c>
      <c r="AH93" s="8" t="s">
        <v>749</v>
      </c>
      <c r="AI93" s="8">
        <v>0</v>
      </c>
      <c r="AJ93" s="8" t="s">
        <v>750</v>
      </c>
      <c r="AK93" s="8" t="s">
        <v>751</v>
      </c>
      <c r="AL93" s="8">
        <v>0</v>
      </c>
      <c r="AM93" s="8">
        <v>0</v>
      </c>
      <c r="AN93" s="8">
        <v>0</v>
      </c>
      <c r="AO93" s="8">
        <v>0</v>
      </c>
      <c r="AP93" s="8">
        <v>0</v>
      </c>
      <c r="AQ93" s="8">
        <v>0</v>
      </c>
      <c r="AR93" s="8">
        <v>0</v>
      </c>
      <c r="AS93" s="8">
        <v>0</v>
      </c>
      <c r="AT93" s="8">
        <v>0</v>
      </c>
      <c r="AU93" s="8">
        <v>0</v>
      </c>
      <c r="AV93" s="8">
        <v>0</v>
      </c>
      <c r="AW93" s="8">
        <v>0</v>
      </c>
      <c r="AX93" s="8" t="s">
        <v>2961</v>
      </c>
      <c r="AY93" s="14">
        <v>7554</v>
      </c>
      <c r="AZ93" s="19">
        <v>45694</v>
      </c>
      <c r="BA93" s="14" t="s">
        <v>752</v>
      </c>
      <c r="BB93" s="14">
        <v>3377</v>
      </c>
      <c r="BC93" s="19">
        <v>44648</v>
      </c>
      <c r="BD93" s="14" t="s">
        <v>753</v>
      </c>
      <c r="BE93" s="14">
        <v>7554</v>
      </c>
      <c r="BF93" s="19">
        <v>45694</v>
      </c>
      <c r="BG93" s="14" t="s">
        <v>752</v>
      </c>
      <c r="BH93" s="14">
        <v>7554</v>
      </c>
      <c r="BI93" s="19">
        <v>45694</v>
      </c>
      <c r="BJ93" s="14" t="s">
        <v>752</v>
      </c>
      <c r="BK93" s="14">
        <v>3377</v>
      </c>
      <c r="BL93" s="19">
        <v>44648</v>
      </c>
      <c r="BM93" s="14" t="s">
        <v>753</v>
      </c>
      <c r="BN93" s="27">
        <v>45874</v>
      </c>
      <c r="BO93" s="27">
        <v>44828</v>
      </c>
      <c r="BP93" s="27">
        <v>45874</v>
      </c>
      <c r="BQ93" s="27">
        <v>45874</v>
      </c>
      <c r="BR93" s="27">
        <v>45013</v>
      </c>
      <c r="BS93" s="28">
        <v>-490</v>
      </c>
      <c r="BT93" s="29">
        <v>-3917</v>
      </c>
      <c r="BU93" s="29">
        <v>-490</v>
      </c>
      <c r="BV93" s="29">
        <v>-490</v>
      </c>
      <c r="BW93" s="29">
        <v>-3917</v>
      </c>
      <c r="BX93" s="30" t="s">
        <v>173</v>
      </c>
      <c r="BY93" s="8">
        <v>5</v>
      </c>
      <c r="BZ93" s="8">
        <v>0</v>
      </c>
      <c r="CA93" s="8">
        <v>0</v>
      </c>
      <c r="CB93" s="21">
        <v>44999.770833333299</v>
      </c>
      <c r="CC93" s="21">
        <v>45693.770833333299</v>
      </c>
      <c r="CD93" s="21">
        <v>45693.770833333299</v>
      </c>
      <c r="CE93" s="21">
        <v>45693.770833333299</v>
      </c>
      <c r="CF93" s="21">
        <v>45693.770833333299</v>
      </c>
      <c r="CG93" s="21">
        <v>0</v>
      </c>
      <c r="CH93" s="21">
        <v>0</v>
      </c>
      <c r="CI93" s="21">
        <v>44136.770833333299</v>
      </c>
      <c r="CJ93" s="21">
        <v>44622.770833333299</v>
      </c>
      <c r="CK93" s="22" t="s">
        <v>3035</v>
      </c>
      <c r="CL93" s="22" t="s">
        <v>3035</v>
      </c>
      <c r="CM93" s="22" t="s">
        <v>3035</v>
      </c>
      <c r="CN93" s="22" t="s">
        <v>3035</v>
      </c>
      <c r="CO93" s="22" t="s">
        <v>3035</v>
      </c>
      <c r="CP93" s="22" t="s">
        <v>3035</v>
      </c>
      <c r="CQ93" s="22" t="s">
        <v>2953</v>
      </c>
      <c r="CR93" s="22" t="s">
        <v>3035</v>
      </c>
      <c r="CS93" s="22" t="s">
        <v>3035</v>
      </c>
      <c r="CT93" s="22">
        <v>3</v>
      </c>
      <c r="CU93" s="21">
        <v>45179</v>
      </c>
      <c r="CV93" s="21">
        <v>45873</v>
      </c>
      <c r="CW93" s="21">
        <v>45873</v>
      </c>
      <c r="CX93" s="21">
        <v>45873</v>
      </c>
      <c r="CY93" s="21">
        <v>45873</v>
      </c>
      <c r="CZ93" s="21">
        <v>46132</v>
      </c>
      <c r="DA93" s="21">
        <v>46134</v>
      </c>
      <c r="DB93" s="21">
        <v>44316</v>
      </c>
      <c r="DC93" s="21">
        <v>44987</v>
      </c>
      <c r="DD93" s="8">
        <v>1</v>
      </c>
      <c r="DE93" s="8">
        <v>0</v>
      </c>
      <c r="DF93" s="8">
        <v>0</v>
      </c>
      <c r="DG93" s="8">
        <v>7</v>
      </c>
      <c r="DH93" s="8">
        <v>2</v>
      </c>
      <c r="DI93" s="8">
        <v>0</v>
      </c>
      <c r="DJ93" s="8" t="s">
        <v>3025</v>
      </c>
      <c r="DK93" s="21">
        <v>43297</v>
      </c>
      <c r="DL93" s="21">
        <v>43285</v>
      </c>
      <c r="DM93" s="21">
        <v>46041</v>
      </c>
      <c r="DN93" s="18">
        <v>8580</v>
      </c>
      <c r="DO93" s="21">
        <v>0</v>
      </c>
      <c r="DP93" s="21">
        <v>0</v>
      </c>
      <c r="DQ93" s="21" t="s">
        <v>2955</v>
      </c>
      <c r="DR93" s="21">
        <v>45000</v>
      </c>
      <c r="DS93" s="21">
        <v>45694</v>
      </c>
      <c r="DT93" s="21">
        <v>45694</v>
      </c>
      <c r="DU93" s="21">
        <v>45694</v>
      </c>
      <c r="DV93" s="21">
        <v>45694</v>
      </c>
      <c r="DW93" s="21">
        <v>0</v>
      </c>
      <c r="DX93" s="21">
        <v>0</v>
      </c>
      <c r="DY93" s="21">
        <v>44137</v>
      </c>
      <c r="DZ93" s="21">
        <v>44623</v>
      </c>
      <c r="EA93" s="8">
        <v>275</v>
      </c>
      <c r="EB93" s="8">
        <v>275</v>
      </c>
      <c r="EC93" s="8">
        <v>275</v>
      </c>
      <c r="ED93" s="8">
        <v>275</v>
      </c>
      <c r="EE93" s="8">
        <v>275</v>
      </c>
      <c r="EF93" s="8">
        <v>275</v>
      </c>
      <c r="EG93" s="8">
        <v>1000</v>
      </c>
      <c r="EH93" s="8">
        <v>275</v>
      </c>
      <c r="EI93" s="8">
        <v>275</v>
      </c>
      <c r="EJ93" s="8">
        <v>3</v>
      </c>
      <c r="EK93" s="8" t="s">
        <v>2624</v>
      </c>
      <c r="EL93" s="8">
        <v>71</v>
      </c>
      <c r="EM93" s="8">
        <v>213</v>
      </c>
      <c r="EN93" s="8">
        <v>-13</v>
      </c>
      <c r="EO93" s="8">
        <v>-13</v>
      </c>
      <c r="EP93" s="8">
        <v>-13</v>
      </c>
      <c r="EQ93" s="8">
        <v>-13</v>
      </c>
      <c r="ER93" s="8">
        <v>-13</v>
      </c>
      <c r="ES93" s="8">
        <v>-13</v>
      </c>
      <c r="ET93" s="8">
        <v>712</v>
      </c>
      <c r="EU93" s="8">
        <v>-13</v>
      </c>
      <c r="EV93" s="8">
        <v>-13</v>
      </c>
    </row>
    <row r="94" spans="1:152" x14ac:dyDescent="0.15">
      <c r="A94" s="8">
        <f>ROW([2]!tbl_DPSAC[[#This Row],[Sl. No.]])-1</f>
        <v>93</v>
      </c>
      <c r="B94" s="9" t="s">
        <v>136</v>
      </c>
      <c r="C94" s="9" t="s">
        <v>754</v>
      </c>
      <c r="D94" s="9" t="s">
        <v>175</v>
      </c>
      <c r="E94" s="9" t="s">
        <v>176</v>
      </c>
      <c r="F94" s="9" t="s">
        <v>161</v>
      </c>
      <c r="G94" s="10" t="s">
        <v>171</v>
      </c>
      <c r="H94" s="10" t="str">
        <f>_xlfn.XLOOKUP(C94,'[1]E&amp;DPSAC'!$K:$K,'[1]E&amp;DPSAC'!$E:$E,,0)</f>
        <v>BARKATHA, HAZARIBAGH</v>
      </c>
      <c r="I94" s="10"/>
      <c r="J94" s="10">
        <v>8002317381</v>
      </c>
      <c r="K94" s="10">
        <f>_xlfn.XLOOKUP(C94,'[1]E&amp;DPSAC'!$K:$K,'[1]E&amp;DPSAC'!$G:$G,"",0)</f>
        <v>8002317381</v>
      </c>
      <c r="L94" s="9" t="str">
        <f t="shared" ca="1" si="4"/>
        <v>Non - Warranty</v>
      </c>
      <c r="M94" s="11">
        <v>43539</v>
      </c>
      <c r="N94" s="12">
        <v>24</v>
      </c>
      <c r="O94" s="11">
        <f t="shared" si="5"/>
        <v>44286</v>
      </c>
      <c r="P94" s="8" t="s">
        <v>681</v>
      </c>
      <c r="Q94" s="16" t="s">
        <v>143</v>
      </c>
      <c r="R94" s="15" t="s">
        <v>143</v>
      </c>
      <c r="S94" s="14" t="s">
        <v>143</v>
      </c>
      <c r="T94" s="15">
        <v>44090</v>
      </c>
      <c r="U94" s="14">
        <v>1043</v>
      </c>
      <c r="V94" s="14">
        <v>4760</v>
      </c>
      <c r="W94" s="17">
        <v>45962.69027777778</v>
      </c>
      <c r="X94" s="14" t="s">
        <v>143</v>
      </c>
      <c r="Y94" s="14">
        <v>0</v>
      </c>
      <c r="Z94" s="14" t="s">
        <v>2692</v>
      </c>
      <c r="AA94" s="18">
        <v>2574</v>
      </c>
      <c r="AB94" s="18" t="s">
        <v>2697</v>
      </c>
      <c r="AC94" s="8">
        <f>tbl_DPSAC[[#This Row],[Current Month Due Count]]</f>
        <v>0</v>
      </c>
      <c r="AD94" s="8">
        <f>tbl_DPSAC[[#This Row],[Next Month Due2]]</f>
        <v>0</v>
      </c>
      <c r="AE94" s="8">
        <f t="shared" si="6"/>
        <v>1</v>
      </c>
      <c r="AF94" s="8">
        <v>3</v>
      </c>
      <c r="AG94" s="14">
        <f t="shared" ca="1" si="7"/>
        <v>5211</v>
      </c>
      <c r="AH94" s="8">
        <v>0</v>
      </c>
      <c r="AI94" s="8">
        <v>0</v>
      </c>
      <c r="AJ94" s="8">
        <v>0</v>
      </c>
      <c r="AK94" s="8">
        <v>0</v>
      </c>
      <c r="AL94" s="8">
        <v>0</v>
      </c>
      <c r="AM94" s="8">
        <v>0</v>
      </c>
      <c r="AN94" s="8">
        <v>0</v>
      </c>
      <c r="AO94" s="8">
        <v>0</v>
      </c>
      <c r="AP94" s="8">
        <v>0</v>
      </c>
      <c r="AQ94" s="8">
        <v>0</v>
      </c>
      <c r="AR94" s="8">
        <v>0</v>
      </c>
      <c r="AS94" s="8">
        <v>0</v>
      </c>
      <c r="AT94" s="8">
        <v>0</v>
      </c>
      <c r="AU94" s="8">
        <v>0</v>
      </c>
      <c r="AV94" s="8">
        <v>0</v>
      </c>
      <c r="AW94" s="8">
        <v>0</v>
      </c>
      <c r="AX94" s="8" t="s">
        <v>2961</v>
      </c>
      <c r="AY94" s="14">
        <v>500</v>
      </c>
      <c r="AZ94" s="19">
        <v>44585</v>
      </c>
      <c r="BA94" s="14"/>
      <c r="BB94" s="14">
        <v>500</v>
      </c>
      <c r="BC94" s="19">
        <v>44585</v>
      </c>
      <c r="BD94" s="14"/>
      <c r="BE94" s="14">
        <v>500</v>
      </c>
      <c r="BF94" s="19">
        <v>44585</v>
      </c>
      <c r="BG94" s="14"/>
      <c r="BH94" s="14">
        <v>500</v>
      </c>
      <c r="BI94" s="19">
        <v>44585</v>
      </c>
      <c r="BJ94" s="14"/>
      <c r="BK94" s="14">
        <v>500</v>
      </c>
      <c r="BL94" s="19">
        <v>44585</v>
      </c>
      <c r="BM94" s="14"/>
      <c r="BN94" s="27">
        <v>44765</v>
      </c>
      <c r="BO94" s="27">
        <v>44765</v>
      </c>
      <c r="BP94" s="27">
        <v>44765</v>
      </c>
      <c r="BQ94" s="27">
        <v>44765</v>
      </c>
      <c r="BR94" s="27">
        <v>44950</v>
      </c>
      <c r="BS94" s="28">
        <v>-3961</v>
      </c>
      <c r="BT94" s="29">
        <v>-3211</v>
      </c>
      <c r="BU94" s="29">
        <v>-3961</v>
      </c>
      <c r="BV94" s="29">
        <v>-3961</v>
      </c>
      <c r="BW94" s="29">
        <v>-3211</v>
      </c>
      <c r="BX94" s="30" t="s">
        <v>173</v>
      </c>
      <c r="BY94" s="8">
        <v>5</v>
      </c>
      <c r="BZ94" s="8">
        <v>0</v>
      </c>
      <c r="CA94" s="8">
        <v>0</v>
      </c>
      <c r="CB94" s="21">
        <v>0</v>
      </c>
      <c r="CC94" s="21">
        <v>0</v>
      </c>
      <c r="CD94" s="21">
        <v>0</v>
      </c>
      <c r="CE94" s="21">
        <v>0</v>
      </c>
      <c r="CF94" s="21">
        <v>0</v>
      </c>
      <c r="CG94" s="21">
        <v>0</v>
      </c>
      <c r="CH94" s="21">
        <v>0</v>
      </c>
      <c r="CI94" s="21">
        <v>0</v>
      </c>
      <c r="CJ94" s="21">
        <v>0</v>
      </c>
      <c r="CK94" s="22" t="s">
        <v>3036</v>
      </c>
      <c r="CL94" s="22" t="s">
        <v>3036</v>
      </c>
      <c r="CM94" s="22" t="s">
        <v>3036</v>
      </c>
      <c r="CN94" s="22" t="s">
        <v>3036</v>
      </c>
      <c r="CO94" s="22" t="s">
        <v>3036</v>
      </c>
      <c r="CP94" s="22" t="s">
        <v>3036</v>
      </c>
      <c r="CQ94" s="22" t="s">
        <v>2953</v>
      </c>
      <c r="CR94" s="22" t="s">
        <v>3036</v>
      </c>
      <c r="CS94" s="22" t="s">
        <v>3036</v>
      </c>
      <c r="CT94" s="22">
        <v>3</v>
      </c>
      <c r="CU94" s="21">
        <v>46121</v>
      </c>
      <c r="CV94" s="21">
        <v>46098</v>
      </c>
      <c r="CW94" s="21">
        <v>46098</v>
      </c>
      <c r="CX94" s="21">
        <v>46121</v>
      </c>
      <c r="CY94" s="21">
        <v>46121</v>
      </c>
      <c r="CZ94" s="21">
        <v>46132</v>
      </c>
      <c r="DA94" s="21">
        <v>46055</v>
      </c>
      <c r="DB94" s="21">
        <v>46052</v>
      </c>
      <c r="DC94" s="21">
        <v>46101</v>
      </c>
      <c r="DD94" s="8">
        <v>1</v>
      </c>
      <c r="DE94" s="8">
        <v>1</v>
      </c>
      <c r="DF94" s="8">
        <v>1</v>
      </c>
      <c r="DG94" s="8">
        <v>5</v>
      </c>
      <c r="DH94" s="8">
        <v>4</v>
      </c>
      <c r="DI94" s="8">
        <v>0</v>
      </c>
      <c r="DJ94" s="8" t="s">
        <v>3025</v>
      </c>
      <c r="DK94" s="21">
        <v>43539</v>
      </c>
      <c r="DL94" s="21">
        <v>43308.229166666664</v>
      </c>
      <c r="DM94" s="21">
        <v>45962</v>
      </c>
      <c r="DN94" s="18">
        <v>4760</v>
      </c>
      <c r="DO94" s="21">
        <v>0</v>
      </c>
      <c r="DP94" s="21">
        <v>0</v>
      </c>
      <c r="DQ94" s="21">
        <v>0</v>
      </c>
      <c r="DR94" s="21">
        <v>0</v>
      </c>
      <c r="DS94" s="21">
        <v>0</v>
      </c>
      <c r="DT94" s="21">
        <v>0</v>
      </c>
      <c r="DU94" s="21">
        <v>0</v>
      </c>
      <c r="DV94" s="21">
        <v>0</v>
      </c>
      <c r="DW94" s="21">
        <v>0</v>
      </c>
      <c r="DX94" s="21">
        <v>0</v>
      </c>
      <c r="DY94" s="21">
        <v>0</v>
      </c>
      <c r="DZ94" s="21">
        <v>0</v>
      </c>
      <c r="EA94" s="8">
        <v>510</v>
      </c>
      <c r="EB94" s="8">
        <v>510</v>
      </c>
      <c r="EC94" s="8">
        <v>510</v>
      </c>
      <c r="ED94" s="8">
        <v>510</v>
      </c>
      <c r="EE94" s="8">
        <v>510</v>
      </c>
      <c r="EF94" s="8">
        <v>510</v>
      </c>
      <c r="EG94" s="8">
        <v>1000</v>
      </c>
      <c r="EH94" s="8">
        <v>510</v>
      </c>
      <c r="EI94" s="8">
        <v>510</v>
      </c>
      <c r="EJ94" s="8">
        <v>3</v>
      </c>
      <c r="EK94" s="8" t="s">
        <v>2624</v>
      </c>
      <c r="EL94" s="8">
        <v>150</v>
      </c>
      <c r="EM94" s="8">
        <v>450</v>
      </c>
      <c r="EN94" s="8">
        <v>222</v>
      </c>
      <c r="EO94" s="8">
        <v>222</v>
      </c>
      <c r="EP94" s="8">
        <v>222</v>
      </c>
      <c r="EQ94" s="8">
        <v>222</v>
      </c>
      <c r="ER94" s="8">
        <v>222</v>
      </c>
      <c r="ES94" s="8">
        <v>222</v>
      </c>
      <c r="ET94" s="8">
        <v>712</v>
      </c>
      <c r="EU94" s="8">
        <v>222</v>
      </c>
      <c r="EV94" s="8">
        <v>222</v>
      </c>
    </row>
    <row r="95" spans="1:152" x14ac:dyDescent="0.15">
      <c r="A95" s="8">
        <f>ROW([2]!tbl_DPSAC[[#This Row],[Sl. No.]])-1</f>
        <v>94</v>
      </c>
      <c r="B95" s="9" t="s">
        <v>136</v>
      </c>
      <c r="C95" s="9" t="s">
        <v>755</v>
      </c>
      <c r="D95" s="9" t="s">
        <v>175</v>
      </c>
      <c r="E95" s="9" t="s">
        <v>176</v>
      </c>
      <c r="F95" s="9" t="s">
        <v>161</v>
      </c>
      <c r="G95" s="10" t="s">
        <v>171</v>
      </c>
      <c r="H95" s="10" t="str">
        <f>_xlfn.XLOOKUP(C95,'[1]E&amp;DPSAC'!$K:$K,'[1]E&amp;DPSAC'!$E:$E,,0)</f>
        <v>ANEDIH</v>
      </c>
      <c r="I95" s="10"/>
      <c r="J95" s="10">
        <v>6299628873</v>
      </c>
      <c r="K95" s="10">
        <f>_xlfn.XLOOKUP(C95,'[1]E&amp;DPSAC'!$K:$K,'[1]E&amp;DPSAC'!$G:$G,"",0)</f>
        <v>6299628873</v>
      </c>
      <c r="L95" s="9" t="str">
        <f t="shared" ca="1" si="4"/>
        <v>Non - Warranty</v>
      </c>
      <c r="M95" s="11">
        <v>43533</v>
      </c>
      <c r="N95" s="12">
        <v>24</v>
      </c>
      <c r="O95" s="11">
        <f t="shared" si="5"/>
        <v>44286</v>
      </c>
      <c r="P95" s="8" t="s">
        <v>681</v>
      </c>
      <c r="Q95" s="16" t="s">
        <v>2634</v>
      </c>
      <c r="R95" s="15">
        <v>43659.556921296302</v>
      </c>
      <c r="S95" s="14">
        <v>613</v>
      </c>
      <c r="T95" s="15">
        <v>43658</v>
      </c>
      <c r="U95" s="14">
        <v>613.79999999999995</v>
      </c>
      <c r="V95" s="14">
        <v>3710</v>
      </c>
      <c r="W95" s="17">
        <v>45962.693749999999</v>
      </c>
      <c r="X95" s="14">
        <v>0</v>
      </c>
      <c r="Y95" s="14">
        <v>-2347</v>
      </c>
      <c r="Z95" s="14" t="s">
        <v>2697</v>
      </c>
      <c r="AA95" s="18">
        <v>2453.4430787036981</v>
      </c>
      <c r="AB95" s="18" t="s">
        <v>2697</v>
      </c>
      <c r="AC95" s="8">
        <f>tbl_DPSAC[[#This Row],[Current Month Due Count]]</f>
        <v>0</v>
      </c>
      <c r="AD95" s="8">
        <f>tbl_DPSAC[[#This Row],[Next Month Due2]]</f>
        <v>0</v>
      </c>
      <c r="AE95" s="8">
        <f t="shared" si="6"/>
        <v>1</v>
      </c>
      <c r="AF95" s="8">
        <v>2</v>
      </c>
      <c r="AG95" s="14">
        <f t="shared" ca="1" si="7"/>
        <v>4011</v>
      </c>
      <c r="AH95" s="8" t="s">
        <v>756</v>
      </c>
      <c r="AI95" s="8">
        <v>0</v>
      </c>
      <c r="AJ95" s="8">
        <v>0</v>
      </c>
      <c r="AK95" s="8">
        <v>0</v>
      </c>
      <c r="AL95" s="8">
        <v>0</v>
      </c>
      <c r="AM95" s="8">
        <v>0</v>
      </c>
      <c r="AN95" s="8">
        <v>0</v>
      </c>
      <c r="AO95" s="8">
        <v>0</v>
      </c>
      <c r="AP95" s="8">
        <v>0</v>
      </c>
      <c r="AQ95" s="8">
        <v>0</v>
      </c>
      <c r="AR95" s="8">
        <v>0</v>
      </c>
      <c r="AS95" s="8">
        <v>0</v>
      </c>
      <c r="AT95" s="8">
        <v>0</v>
      </c>
      <c r="AU95" s="8">
        <v>0</v>
      </c>
      <c r="AV95" s="8">
        <v>0</v>
      </c>
      <c r="AW95" s="8">
        <v>0</v>
      </c>
      <c r="AX95" s="8" t="s">
        <v>2961</v>
      </c>
      <c r="AY95" s="14">
        <v>1357</v>
      </c>
      <c r="AZ95" s="19">
        <v>44605.556921296295</v>
      </c>
      <c r="BA95" s="14"/>
      <c r="BB95" s="14">
        <v>1256</v>
      </c>
      <c r="BC95" s="19">
        <v>44390.556921296295</v>
      </c>
      <c r="BD95" s="14"/>
      <c r="BE95" s="14">
        <v>1357</v>
      </c>
      <c r="BF95" s="19">
        <v>44605.556921296295</v>
      </c>
      <c r="BG95" s="14"/>
      <c r="BH95" s="14">
        <v>1357</v>
      </c>
      <c r="BI95" s="19">
        <v>44605.556921296295</v>
      </c>
      <c r="BJ95" s="14"/>
      <c r="BK95" s="14">
        <v>1256</v>
      </c>
      <c r="BL95" s="19">
        <v>44390.556921296295</v>
      </c>
      <c r="BM95" s="14"/>
      <c r="BN95" s="27">
        <v>44785.556921296295</v>
      </c>
      <c r="BO95" s="27">
        <v>44570.556921296295</v>
      </c>
      <c r="BP95" s="27">
        <v>44785.556921296295</v>
      </c>
      <c r="BQ95" s="27">
        <v>44785.556921296295</v>
      </c>
      <c r="BR95" s="27">
        <v>44755.556921296295</v>
      </c>
      <c r="BS95" s="28">
        <v>-1904</v>
      </c>
      <c r="BT95" s="29">
        <v>-1255</v>
      </c>
      <c r="BU95" s="29">
        <v>-1904</v>
      </c>
      <c r="BV95" s="29">
        <v>-1904</v>
      </c>
      <c r="BW95" s="29">
        <v>-1255</v>
      </c>
      <c r="BX95" s="30" t="s">
        <v>173</v>
      </c>
      <c r="BY95" s="8">
        <v>5</v>
      </c>
      <c r="BZ95" s="8">
        <v>0</v>
      </c>
      <c r="CA95" s="8">
        <v>0</v>
      </c>
      <c r="CB95" s="21">
        <v>0</v>
      </c>
      <c r="CC95" s="21">
        <v>0</v>
      </c>
      <c r="CD95" s="21">
        <v>0</v>
      </c>
      <c r="CE95" s="21">
        <v>0</v>
      </c>
      <c r="CF95" s="21">
        <v>0</v>
      </c>
      <c r="CG95" s="21">
        <v>0</v>
      </c>
      <c r="CH95" s="21">
        <v>0</v>
      </c>
      <c r="CI95" s="21">
        <v>0</v>
      </c>
      <c r="CJ95" s="21">
        <v>0</v>
      </c>
      <c r="CK95" s="22" t="s">
        <v>3020</v>
      </c>
      <c r="CL95" s="22" t="s">
        <v>3020</v>
      </c>
      <c r="CM95" s="22" t="s">
        <v>3020</v>
      </c>
      <c r="CN95" s="22" t="s">
        <v>3020</v>
      </c>
      <c r="CO95" s="22" t="s">
        <v>3020</v>
      </c>
      <c r="CP95" s="22" t="s">
        <v>3020</v>
      </c>
      <c r="CQ95" s="22" t="s">
        <v>2953</v>
      </c>
      <c r="CR95" s="22" t="s">
        <v>3020</v>
      </c>
      <c r="CS95" s="22" t="s">
        <v>3020</v>
      </c>
      <c r="CT95" s="22">
        <v>2</v>
      </c>
      <c r="CU95" s="21">
        <v>46129</v>
      </c>
      <c r="CV95" s="21">
        <v>46106</v>
      </c>
      <c r="CW95" s="21">
        <v>46106</v>
      </c>
      <c r="CX95" s="21">
        <v>46129</v>
      </c>
      <c r="CY95" s="21">
        <v>46129</v>
      </c>
      <c r="CZ95" s="21">
        <v>46151</v>
      </c>
      <c r="DA95" s="21">
        <v>46055</v>
      </c>
      <c r="DB95" s="21">
        <v>46061</v>
      </c>
      <c r="DC95" s="21">
        <v>46109</v>
      </c>
      <c r="DD95" s="8">
        <v>0</v>
      </c>
      <c r="DE95" s="8">
        <v>1</v>
      </c>
      <c r="DF95" s="8">
        <v>1</v>
      </c>
      <c r="DG95" s="8">
        <v>5</v>
      </c>
      <c r="DH95" s="8">
        <v>3</v>
      </c>
      <c r="DI95" s="8">
        <v>1</v>
      </c>
      <c r="DJ95" s="8" t="s">
        <v>3025</v>
      </c>
      <c r="DK95" s="21">
        <v>43533</v>
      </c>
      <c r="DL95" s="21">
        <v>43516.229166666664</v>
      </c>
      <c r="DM95" s="21">
        <v>45962</v>
      </c>
      <c r="DN95" s="18">
        <v>3710</v>
      </c>
      <c r="DO95" s="21">
        <v>0</v>
      </c>
      <c r="DP95" s="21">
        <v>0</v>
      </c>
      <c r="DQ95" s="21">
        <v>0</v>
      </c>
      <c r="DR95" s="21">
        <v>0</v>
      </c>
      <c r="DS95" s="21">
        <v>0</v>
      </c>
      <c r="DT95" s="21">
        <v>0</v>
      </c>
      <c r="DU95" s="21">
        <v>0</v>
      </c>
      <c r="DV95" s="21">
        <v>0</v>
      </c>
      <c r="DW95" s="21">
        <v>0</v>
      </c>
      <c r="DX95" s="21">
        <v>0</v>
      </c>
      <c r="DY95" s="21">
        <v>0</v>
      </c>
      <c r="DZ95" s="21">
        <v>0</v>
      </c>
      <c r="EA95" s="8">
        <v>600</v>
      </c>
      <c r="EB95" s="8">
        <v>600</v>
      </c>
      <c r="EC95" s="8">
        <v>600</v>
      </c>
      <c r="ED95" s="8">
        <v>600</v>
      </c>
      <c r="EE95" s="8">
        <v>600</v>
      </c>
      <c r="EF95" s="8">
        <v>600</v>
      </c>
      <c r="EG95" s="8">
        <v>1000</v>
      </c>
      <c r="EH95" s="8">
        <v>600</v>
      </c>
      <c r="EI95" s="8">
        <v>600</v>
      </c>
      <c r="EJ95" s="8">
        <v>2</v>
      </c>
      <c r="EK95" s="8" t="s">
        <v>2624</v>
      </c>
      <c r="EL95" s="8">
        <v>150</v>
      </c>
      <c r="EM95" s="8">
        <v>300</v>
      </c>
      <c r="EN95" s="8">
        <v>312</v>
      </c>
      <c r="EO95" s="8">
        <v>312</v>
      </c>
      <c r="EP95" s="8">
        <v>312</v>
      </c>
      <c r="EQ95" s="8">
        <v>312</v>
      </c>
      <c r="ER95" s="8">
        <v>312</v>
      </c>
      <c r="ES95" s="8">
        <v>312</v>
      </c>
      <c r="ET95" s="8">
        <v>712</v>
      </c>
      <c r="EU95" s="8">
        <v>312</v>
      </c>
      <c r="EV95" s="8">
        <v>312</v>
      </c>
    </row>
    <row r="96" spans="1:152" x14ac:dyDescent="0.15">
      <c r="A96" s="8">
        <f>ROW([2]!tbl_DPSAC[[#This Row],[Sl. No.]])-1</f>
        <v>95</v>
      </c>
      <c r="B96" s="9" t="s">
        <v>136</v>
      </c>
      <c r="C96" s="9" t="s">
        <v>757</v>
      </c>
      <c r="D96" s="9" t="s">
        <v>175</v>
      </c>
      <c r="E96" s="9" t="s">
        <v>176</v>
      </c>
      <c r="F96" s="9" t="s">
        <v>161</v>
      </c>
      <c r="G96" s="10" t="s">
        <v>758</v>
      </c>
      <c r="H96" s="10" t="str">
        <f>_xlfn.XLOOKUP(C96,'[1]E&amp;DPSAC'!$K:$K,'[1]E&amp;DPSAC'!$E:$E,,0)</f>
        <v>BAGODER</v>
      </c>
      <c r="I96" s="10"/>
      <c r="J96" s="10">
        <v>9608255210</v>
      </c>
      <c r="K96" s="10">
        <f>_xlfn.XLOOKUP(C96,'[1]E&amp;DPSAC'!$K:$K,'[1]E&amp;DPSAC'!$G:$G,"",0)</f>
        <v>6204545870</v>
      </c>
      <c r="L96" s="9" t="str">
        <f t="shared" ca="1" si="4"/>
        <v>Non - Warranty</v>
      </c>
      <c r="M96" s="11">
        <v>43280</v>
      </c>
      <c r="N96" s="12">
        <v>24</v>
      </c>
      <c r="O96" s="11">
        <f t="shared" si="5"/>
        <v>44012</v>
      </c>
      <c r="P96" s="8" t="s">
        <v>142</v>
      </c>
      <c r="Q96" s="16" t="s">
        <v>765</v>
      </c>
      <c r="R96" s="15">
        <v>45954.726388888892</v>
      </c>
      <c r="S96" s="14">
        <v>8255</v>
      </c>
      <c r="T96" s="15">
        <v>45625</v>
      </c>
      <c r="U96" s="14">
        <v>9153</v>
      </c>
      <c r="V96" s="14">
        <v>8600</v>
      </c>
      <c r="W96" s="17">
        <v>46041.663124999999</v>
      </c>
      <c r="X96" s="14" t="s">
        <v>2699</v>
      </c>
      <c r="Y96" s="14">
        <v>405</v>
      </c>
      <c r="Z96" s="14" t="s">
        <v>2692</v>
      </c>
      <c r="AA96" s="18">
        <v>158.27361111110804</v>
      </c>
      <c r="AB96" s="18" t="s">
        <v>2692</v>
      </c>
      <c r="AC96" s="8">
        <f>tbl_DPSAC[[#This Row],[Current Month Due Count]]</f>
        <v>4</v>
      </c>
      <c r="AD96" s="8">
        <f>tbl_DPSAC[[#This Row],[Next Month Due2]]</f>
        <v>0</v>
      </c>
      <c r="AE96" s="8">
        <f t="shared" si="6"/>
        <v>0</v>
      </c>
      <c r="AF96" s="8">
        <v>4</v>
      </c>
      <c r="AG96" s="14">
        <f t="shared" ca="1" si="7"/>
        <v>8885</v>
      </c>
      <c r="AH96" s="8" t="s">
        <v>759</v>
      </c>
      <c r="AI96" s="8" t="s">
        <v>760</v>
      </c>
      <c r="AJ96" s="8">
        <v>0</v>
      </c>
      <c r="AK96" s="8" t="s">
        <v>761</v>
      </c>
      <c r="AL96" s="8" t="s">
        <v>762</v>
      </c>
      <c r="AM96" s="8" t="s">
        <v>763</v>
      </c>
      <c r="AN96" s="8" t="s">
        <v>764</v>
      </c>
      <c r="AO96" s="8">
        <v>0</v>
      </c>
      <c r="AP96" s="8">
        <v>0</v>
      </c>
      <c r="AQ96" s="8">
        <v>0</v>
      </c>
      <c r="AR96" s="8">
        <v>0</v>
      </c>
      <c r="AS96" s="8">
        <v>0</v>
      </c>
      <c r="AT96" s="8">
        <v>0</v>
      </c>
      <c r="AU96" s="8">
        <v>0</v>
      </c>
      <c r="AV96" s="8">
        <v>0</v>
      </c>
      <c r="AW96" s="8">
        <v>0</v>
      </c>
      <c r="AX96" s="8" t="s">
        <v>2007</v>
      </c>
      <c r="AY96" s="14">
        <v>8255</v>
      </c>
      <c r="AZ96" s="19">
        <v>45954</v>
      </c>
      <c r="BA96" s="14" t="s">
        <v>765</v>
      </c>
      <c r="BB96" s="14">
        <v>8255</v>
      </c>
      <c r="BC96" s="19">
        <v>45954</v>
      </c>
      <c r="BD96" s="14" t="s">
        <v>765</v>
      </c>
      <c r="BE96" s="14">
        <v>8255</v>
      </c>
      <c r="BF96" s="19">
        <v>45954</v>
      </c>
      <c r="BG96" s="14" t="s">
        <v>765</v>
      </c>
      <c r="BH96" s="14">
        <v>8255</v>
      </c>
      <c r="BI96" s="19">
        <v>45954</v>
      </c>
      <c r="BJ96" s="14" t="s">
        <v>765</v>
      </c>
      <c r="BK96" s="14">
        <v>8255</v>
      </c>
      <c r="BL96" s="19">
        <v>45954</v>
      </c>
      <c r="BM96" s="14" t="s">
        <v>765</v>
      </c>
      <c r="BN96" s="27">
        <v>46134</v>
      </c>
      <c r="BO96" s="27">
        <v>46134</v>
      </c>
      <c r="BP96" s="27">
        <v>46134</v>
      </c>
      <c r="BQ96" s="27">
        <v>46134</v>
      </c>
      <c r="BR96" s="27">
        <v>46319</v>
      </c>
      <c r="BS96" s="28">
        <v>120</v>
      </c>
      <c r="BT96" s="29">
        <v>870</v>
      </c>
      <c r="BU96" s="29">
        <v>120</v>
      </c>
      <c r="BV96" s="29">
        <v>120</v>
      </c>
      <c r="BW96" s="29">
        <v>870</v>
      </c>
      <c r="BX96" s="30" t="s">
        <v>173</v>
      </c>
      <c r="BY96" s="8">
        <v>0</v>
      </c>
      <c r="BZ96" s="8">
        <v>4</v>
      </c>
      <c r="CA96" s="8">
        <v>0</v>
      </c>
      <c r="CB96" s="21">
        <v>45954.770833333299</v>
      </c>
      <c r="CC96" s="21">
        <v>45954.770833333299</v>
      </c>
      <c r="CD96" s="21">
        <v>45954.770833333299</v>
      </c>
      <c r="CE96" s="21">
        <v>45954.770833333299</v>
      </c>
      <c r="CF96" s="21">
        <v>45954.770833333299</v>
      </c>
      <c r="CG96" s="21">
        <v>45712.770833333299</v>
      </c>
      <c r="CH96" s="21">
        <v>45712.770833333299</v>
      </c>
      <c r="CI96" s="21">
        <v>45712.770833333299</v>
      </c>
      <c r="CJ96" s="21">
        <v>45712.770833333299</v>
      </c>
      <c r="CK96" s="22" t="s">
        <v>2967</v>
      </c>
      <c r="CL96" s="22" t="s">
        <v>2968</v>
      </c>
      <c r="CM96" s="22" t="s">
        <v>2968</v>
      </c>
      <c r="CN96" s="22" t="s">
        <v>2968</v>
      </c>
      <c r="CO96" s="22" t="s">
        <v>2968</v>
      </c>
      <c r="CP96" s="22" t="s">
        <v>2967</v>
      </c>
      <c r="CQ96" s="22" t="s">
        <v>2953</v>
      </c>
      <c r="CR96" s="22" t="s">
        <v>2967</v>
      </c>
      <c r="CS96" s="22" t="s">
        <v>2967</v>
      </c>
      <c r="CT96" s="22">
        <v>3</v>
      </c>
      <c r="CU96" s="21">
        <v>46134</v>
      </c>
      <c r="CV96" s="21">
        <v>46134</v>
      </c>
      <c r="CW96" s="21">
        <v>46134</v>
      </c>
      <c r="CX96" s="21">
        <v>46134</v>
      </c>
      <c r="CY96" s="21">
        <v>46134</v>
      </c>
      <c r="CZ96" s="21">
        <v>45982</v>
      </c>
      <c r="DA96" s="21">
        <v>46077</v>
      </c>
      <c r="DB96" s="21">
        <v>45892</v>
      </c>
      <c r="DC96" s="21">
        <v>46077</v>
      </c>
      <c r="DD96" s="8">
        <v>1</v>
      </c>
      <c r="DE96" s="8">
        <v>1</v>
      </c>
      <c r="DF96" s="8">
        <v>0</v>
      </c>
      <c r="DG96" s="8">
        <v>4</v>
      </c>
      <c r="DH96" s="8">
        <v>5</v>
      </c>
      <c r="DI96" s="8">
        <v>0</v>
      </c>
      <c r="DJ96" s="8" t="s">
        <v>2954</v>
      </c>
      <c r="DK96" s="21">
        <v>43280</v>
      </c>
      <c r="DL96" s="21">
        <v>43235</v>
      </c>
      <c r="DM96" s="21">
        <v>46041</v>
      </c>
      <c r="DN96" s="18">
        <v>8600</v>
      </c>
      <c r="DO96" s="21">
        <v>0</v>
      </c>
      <c r="DP96" s="21">
        <v>0</v>
      </c>
      <c r="DQ96" s="21" t="s">
        <v>2955</v>
      </c>
      <c r="DR96" s="21">
        <v>45955</v>
      </c>
      <c r="DS96" s="21">
        <v>45955</v>
      </c>
      <c r="DT96" s="21">
        <v>45955</v>
      </c>
      <c r="DU96" s="21">
        <v>45955</v>
      </c>
      <c r="DV96" s="21">
        <v>45955</v>
      </c>
      <c r="DW96" s="21">
        <v>45713</v>
      </c>
      <c r="DX96" s="21">
        <v>45713</v>
      </c>
      <c r="DY96" s="21">
        <v>45713</v>
      </c>
      <c r="DZ96" s="21">
        <v>45713</v>
      </c>
      <c r="EA96" s="8">
        <v>1155</v>
      </c>
      <c r="EB96" s="8">
        <v>405</v>
      </c>
      <c r="EC96" s="8">
        <v>405</v>
      </c>
      <c r="ED96" s="8">
        <v>405</v>
      </c>
      <c r="EE96" s="8">
        <v>405</v>
      </c>
      <c r="EF96" s="8">
        <v>1155</v>
      </c>
      <c r="EG96" s="8">
        <v>1000</v>
      </c>
      <c r="EH96" s="8">
        <v>1155</v>
      </c>
      <c r="EI96" s="8">
        <v>1155</v>
      </c>
      <c r="EJ96" s="8">
        <v>3</v>
      </c>
      <c r="EK96" s="8" t="s">
        <v>2624</v>
      </c>
      <c r="EL96" s="8">
        <v>71</v>
      </c>
      <c r="EM96" s="8">
        <v>284</v>
      </c>
      <c r="EN96" s="8">
        <v>867</v>
      </c>
      <c r="EO96" s="8">
        <v>117</v>
      </c>
      <c r="EP96" s="8">
        <v>117</v>
      </c>
      <c r="EQ96" s="8">
        <v>117</v>
      </c>
      <c r="ER96" s="8">
        <v>117</v>
      </c>
      <c r="ES96" s="8">
        <v>867</v>
      </c>
      <c r="ET96" s="8">
        <v>712</v>
      </c>
      <c r="EU96" s="8">
        <v>867</v>
      </c>
      <c r="EV96" s="8">
        <v>867</v>
      </c>
    </row>
    <row r="97" spans="1:152" x14ac:dyDescent="0.15">
      <c r="A97" s="8">
        <f>ROW([2]!tbl_DPSAC[[#This Row],[Sl. No.]])-1</f>
        <v>96</v>
      </c>
      <c r="B97" s="9" t="s">
        <v>136</v>
      </c>
      <c r="C97" s="9" t="s">
        <v>766</v>
      </c>
      <c r="D97" s="9" t="s">
        <v>216</v>
      </c>
      <c r="E97" s="9" t="s">
        <v>217</v>
      </c>
      <c r="F97" s="9" t="s">
        <v>161</v>
      </c>
      <c r="G97" s="10" t="s">
        <v>767</v>
      </c>
      <c r="H97" s="10" t="str">
        <f>_xlfn.XLOOKUP(C97,'[1]E&amp;DPSAC'!$K:$K,'[1]E&amp;DPSAC'!$E:$E,,0)</f>
        <v>JHUMARIA, WEST BENGAL</v>
      </c>
      <c r="I97" s="10" t="s">
        <v>768</v>
      </c>
      <c r="J97" s="10">
        <v>9031546309</v>
      </c>
      <c r="K97" s="10">
        <f>_xlfn.XLOOKUP(C97,'[1]E&amp;DPSAC'!$K:$K,'[1]E&amp;DPSAC'!$G:$G,"",0)</f>
        <v>9031546309</v>
      </c>
      <c r="L97" s="9" t="str">
        <f t="shared" ca="1" si="4"/>
        <v>Non - Warranty</v>
      </c>
      <c r="M97" s="11">
        <v>42514</v>
      </c>
      <c r="N97" s="12">
        <v>24</v>
      </c>
      <c r="O97" s="11">
        <f t="shared" si="5"/>
        <v>43251</v>
      </c>
      <c r="P97" s="8" t="s">
        <v>681</v>
      </c>
      <c r="Q97" s="16" t="s">
        <v>769</v>
      </c>
      <c r="R97" s="15">
        <v>45265.541261574101</v>
      </c>
      <c r="S97" s="14">
        <v>3695</v>
      </c>
      <c r="T97" s="15">
        <v>45265</v>
      </c>
      <c r="U97" s="14">
        <v>3695</v>
      </c>
      <c r="V97" s="14">
        <v>5800</v>
      </c>
      <c r="W97" s="17">
        <v>46041.665856481501</v>
      </c>
      <c r="X97" s="14" t="s">
        <v>2757</v>
      </c>
      <c r="Y97" s="14">
        <v>-1355</v>
      </c>
      <c r="Z97" s="14" t="s">
        <v>2697</v>
      </c>
      <c r="AA97" s="18">
        <v>847.45873842589936</v>
      </c>
      <c r="AB97" s="18" t="s">
        <v>2697</v>
      </c>
      <c r="AC97" s="8">
        <f>tbl_DPSAC[[#This Row],[Current Month Due Count]]</f>
        <v>0</v>
      </c>
      <c r="AD97" s="8">
        <f>tbl_DPSAC[[#This Row],[Next Month Due2]]</f>
        <v>0</v>
      </c>
      <c r="AE97" s="8">
        <f t="shared" si="6"/>
        <v>1</v>
      </c>
      <c r="AF97" s="8">
        <v>3</v>
      </c>
      <c r="AG97" s="14">
        <f t="shared" ca="1" si="7"/>
        <v>6014</v>
      </c>
      <c r="AH97" s="8">
        <v>0</v>
      </c>
      <c r="AI97" s="8">
        <v>0</v>
      </c>
      <c r="AJ97" s="8">
        <v>0</v>
      </c>
      <c r="AK97" s="8">
        <v>0</v>
      </c>
      <c r="AL97" s="8">
        <v>0</v>
      </c>
      <c r="AM97" s="8">
        <v>0</v>
      </c>
      <c r="AN97" s="8">
        <v>0</v>
      </c>
      <c r="AO97" s="8">
        <v>0</v>
      </c>
      <c r="AP97" s="8">
        <v>0</v>
      </c>
      <c r="AQ97" s="8">
        <v>0</v>
      </c>
      <c r="AR97" s="8">
        <v>0</v>
      </c>
      <c r="AS97" s="8">
        <v>0</v>
      </c>
      <c r="AT97" s="8">
        <v>0</v>
      </c>
      <c r="AU97" s="8">
        <v>0</v>
      </c>
      <c r="AV97" s="8">
        <v>0</v>
      </c>
      <c r="AW97" s="8">
        <v>0</v>
      </c>
      <c r="AX97" s="8" t="s">
        <v>2977</v>
      </c>
      <c r="AY97" s="14">
        <v>3695</v>
      </c>
      <c r="AZ97" s="19">
        <v>45265</v>
      </c>
      <c r="BA97" s="14" t="s">
        <v>769</v>
      </c>
      <c r="BB97" s="14">
        <v>1512</v>
      </c>
      <c r="BC97" s="19">
        <v>44399</v>
      </c>
      <c r="BD97" s="14"/>
      <c r="BE97" s="14">
        <v>3695</v>
      </c>
      <c r="BF97" s="19">
        <v>45265</v>
      </c>
      <c r="BG97" s="14" t="s">
        <v>769</v>
      </c>
      <c r="BH97" s="14"/>
      <c r="BI97" s="19"/>
      <c r="BJ97" s="14"/>
      <c r="BK97" s="14">
        <v>1512</v>
      </c>
      <c r="BL97" s="19">
        <v>44399</v>
      </c>
      <c r="BM97" s="14"/>
      <c r="BN97" s="27">
        <v>45445</v>
      </c>
      <c r="BO97" s="27">
        <v>44579</v>
      </c>
      <c r="BP97" s="27">
        <v>45445</v>
      </c>
      <c r="BQ97" s="27" t="s">
        <v>143</v>
      </c>
      <c r="BR97" s="27">
        <v>44764</v>
      </c>
      <c r="BS97" s="28">
        <v>-1569</v>
      </c>
      <c r="BT97" s="29">
        <v>-3002</v>
      </c>
      <c r="BU97" s="29">
        <v>-1569</v>
      </c>
      <c r="BV97" s="29" t="s">
        <v>143</v>
      </c>
      <c r="BW97" s="29">
        <v>-3002</v>
      </c>
      <c r="BX97" s="30" t="s">
        <v>173</v>
      </c>
      <c r="BY97" s="8">
        <v>4</v>
      </c>
      <c r="BZ97" s="8">
        <v>0</v>
      </c>
      <c r="CA97" s="8">
        <v>0</v>
      </c>
      <c r="CB97" s="21">
        <v>45264.770833333299</v>
      </c>
      <c r="CC97" s="21">
        <v>45264.770833333299</v>
      </c>
      <c r="CD97" s="21">
        <v>0</v>
      </c>
      <c r="CE97" s="21">
        <v>45264.770833333299</v>
      </c>
      <c r="CF97" s="21">
        <v>45264.770833333299</v>
      </c>
      <c r="CG97" s="21">
        <v>0</v>
      </c>
      <c r="CH97" s="21">
        <v>0</v>
      </c>
      <c r="CI97" s="21">
        <v>0</v>
      </c>
      <c r="CJ97" s="21">
        <v>0</v>
      </c>
      <c r="CK97" s="22" t="s">
        <v>3037</v>
      </c>
      <c r="CL97" s="22" t="s">
        <v>3037</v>
      </c>
      <c r="CM97" s="22" t="s">
        <v>3037</v>
      </c>
      <c r="CN97" s="22" t="s">
        <v>3037</v>
      </c>
      <c r="CO97" s="22" t="s">
        <v>3037</v>
      </c>
      <c r="CP97" s="22" t="s">
        <v>3038</v>
      </c>
      <c r="CQ97" s="22" t="s">
        <v>2953</v>
      </c>
      <c r="CR97" s="22" t="s">
        <v>3038</v>
      </c>
      <c r="CS97" s="22" t="s">
        <v>3038</v>
      </c>
      <c r="CT97" s="22">
        <v>3</v>
      </c>
      <c r="CU97" s="21">
        <v>45444</v>
      </c>
      <c r="CV97" s="21">
        <v>45444</v>
      </c>
      <c r="CW97" s="21">
        <v>46179</v>
      </c>
      <c r="CX97" s="21">
        <v>45444</v>
      </c>
      <c r="CY97" s="21">
        <v>45444</v>
      </c>
      <c r="CZ97" s="21">
        <v>46263</v>
      </c>
      <c r="DA97" s="21">
        <v>46134</v>
      </c>
      <c r="DB97" s="21">
        <v>46173</v>
      </c>
      <c r="DC97" s="21">
        <v>46221</v>
      </c>
      <c r="DD97" s="8">
        <v>1</v>
      </c>
      <c r="DE97" s="8">
        <v>0</v>
      </c>
      <c r="DF97" s="8">
        <v>0</v>
      </c>
      <c r="DG97" s="8">
        <v>4</v>
      </c>
      <c r="DH97" s="8">
        <v>1</v>
      </c>
      <c r="DI97" s="8">
        <v>1</v>
      </c>
      <c r="DJ97" s="8" t="s">
        <v>3025</v>
      </c>
      <c r="DK97" s="21">
        <v>42514</v>
      </c>
      <c r="DL97" s="21">
        <v>42486</v>
      </c>
      <c r="DM97" s="21">
        <v>46041</v>
      </c>
      <c r="DN97" s="18">
        <v>5800</v>
      </c>
      <c r="DO97" s="21">
        <v>0</v>
      </c>
      <c r="DP97" s="21">
        <v>0</v>
      </c>
      <c r="DQ97" s="21" t="s">
        <v>2955</v>
      </c>
      <c r="DR97" s="21">
        <v>45265</v>
      </c>
      <c r="DS97" s="21">
        <v>45265</v>
      </c>
      <c r="DT97" s="21">
        <v>0</v>
      </c>
      <c r="DU97" s="21">
        <v>45265</v>
      </c>
      <c r="DV97" s="21">
        <v>45265</v>
      </c>
      <c r="DW97" s="21">
        <v>0</v>
      </c>
      <c r="DX97" s="21">
        <v>0</v>
      </c>
      <c r="DY97" s="21">
        <v>0</v>
      </c>
      <c r="DZ97" s="21">
        <v>0</v>
      </c>
      <c r="EA97" s="8">
        <v>530</v>
      </c>
      <c r="EB97" s="8">
        <v>530</v>
      </c>
      <c r="EC97" s="8">
        <v>530</v>
      </c>
      <c r="ED97" s="8">
        <v>530</v>
      </c>
      <c r="EE97" s="8">
        <v>530</v>
      </c>
      <c r="EF97" s="8">
        <v>965</v>
      </c>
      <c r="EG97" s="8">
        <v>1000</v>
      </c>
      <c r="EH97" s="8">
        <v>965</v>
      </c>
      <c r="EI97" s="8">
        <v>965</v>
      </c>
      <c r="EJ97" s="8">
        <v>3</v>
      </c>
      <c r="EK97" s="8" t="s">
        <v>2624</v>
      </c>
      <c r="EL97" s="8">
        <v>71</v>
      </c>
      <c r="EM97" s="8">
        <v>213</v>
      </c>
      <c r="EN97" s="8">
        <v>242</v>
      </c>
      <c r="EO97" s="8">
        <v>242</v>
      </c>
      <c r="EP97" s="8">
        <v>242</v>
      </c>
      <c r="EQ97" s="8">
        <v>242</v>
      </c>
      <c r="ER97" s="8">
        <v>242</v>
      </c>
      <c r="ES97" s="8">
        <v>677</v>
      </c>
      <c r="ET97" s="8">
        <v>712</v>
      </c>
      <c r="EU97" s="8">
        <v>677</v>
      </c>
      <c r="EV97" s="8">
        <v>677</v>
      </c>
    </row>
    <row r="98" spans="1:152" x14ac:dyDescent="0.15">
      <c r="A98" s="8">
        <f>ROW([2]!tbl_DPSAC[[#This Row],[Sl. No.]])-1</f>
        <v>97</v>
      </c>
      <c r="B98" s="9" t="s">
        <v>136</v>
      </c>
      <c r="C98" s="9" t="s">
        <v>770</v>
      </c>
      <c r="D98" s="9" t="s">
        <v>169</v>
      </c>
      <c r="E98" s="9" t="s">
        <v>170</v>
      </c>
      <c r="F98" s="9" t="s">
        <v>161</v>
      </c>
      <c r="G98" s="10" t="s">
        <v>771</v>
      </c>
      <c r="H98" s="10" t="str">
        <f>_xlfn.XLOOKUP(C98,'[1]E&amp;DPSAC'!$K:$K,'[1]E&amp;DPSAC'!$E:$E,,0)</f>
        <v>SIMDEGA</v>
      </c>
      <c r="I98" s="10"/>
      <c r="J98" s="10">
        <v>6203833614</v>
      </c>
      <c r="K98" s="10">
        <f>_xlfn.XLOOKUP(C98,'[1]E&amp;DPSAC'!$K:$K,'[1]E&amp;DPSAC'!$G:$G,"",0)</f>
        <v>6203833614</v>
      </c>
      <c r="L98" s="9" t="str">
        <f t="shared" ca="1" si="4"/>
        <v>Non - Warranty</v>
      </c>
      <c r="M98" s="11">
        <v>43309</v>
      </c>
      <c r="N98" s="12">
        <v>24</v>
      </c>
      <c r="O98" s="11">
        <f t="shared" si="5"/>
        <v>44043</v>
      </c>
      <c r="P98" s="8" t="s">
        <v>681</v>
      </c>
      <c r="Q98" s="16" t="s">
        <v>220</v>
      </c>
      <c r="R98" s="15">
        <v>45339.567164351902</v>
      </c>
      <c r="S98" s="14">
        <v>4175</v>
      </c>
      <c r="T98" s="15">
        <v>45339</v>
      </c>
      <c r="U98" s="14">
        <v>4175</v>
      </c>
      <c r="V98" s="14">
        <v>5830</v>
      </c>
      <c r="W98" s="17">
        <v>45962.695833333331</v>
      </c>
      <c r="X98" s="14" t="s">
        <v>2706</v>
      </c>
      <c r="Y98" s="14">
        <v>-905</v>
      </c>
      <c r="Z98" s="14" t="s">
        <v>2697</v>
      </c>
      <c r="AA98" s="18">
        <v>773.43283564809826</v>
      </c>
      <c r="AB98" s="18" t="s">
        <v>2697</v>
      </c>
      <c r="AC98" s="8">
        <f>tbl_DPSAC[[#This Row],[Current Month Due Count]]</f>
        <v>0</v>
      </c>
      <c r="AD98" s="8">
        <f>tbl_DPSAC[[#This Row],[Next Month Due2]]</f>
        <v>0</v>
      </c>
      <c r="AE98" s="8">
        <f t="shared" si="6"/>
        <v>1</v>
      </c>
      <c r="AF98" s="8">
        <v>3</v>
      </c>
      <c r="AG98" s="14">
        <f t="shared" ca="1" si="7"/>
        <v>6281</v>
      </c>
      <c r="AH98" s="8" t="s">
        <v>772</v>
      </c>
      <c r="AI98" s="8">
        <v>0</v>
      </c>
      <c r="AJ98" s="8" t="s">
        <v>773</v>
      </c>
      <c r="AK98" s="8" t="s">
        <v>774</v>
      </c>
      <c r="AL98" s="8">
        <v>0</v>
      </c>
      <c r="AM98" s="8">
        <v>0</v>
      </c>
      <c r="AN98" s="8">
        <v>0</v>
      </c>
      <c r="AO98" s="8">
        <v>0</v>
      </c>
      <c r="AP98" s="8">
        <v>0</v>
      </c>
      <c r="AQ98" s="8">
        <v>0</v>
      </c>
      <c r="AR98" s="8">
        <v>0</v>
      </c>
      <c r="AS98" s="8">
        <v>0</v>
      </c>
      <c r="AT98" s="8">
        <v>0</v>
      </c>
      <c r="AU98" s="8">
        <v>0</v>
      </c>
      <c r="AV98" s="8">
        <v>0</v>
      </c>
      <c r="AW98" s="8">
        <v>0</v>
      </c>
      <c r="AX98" s="8" t="s">
        <v>2977</v>
      </c>
      <c r="AY98" s="14">
        <v>4175</v>
      </c>
      <c r="AZ98" s="19">
        <v>45339</v>
      </c>
      <c r="BA98" s="14" t="s">
        <v>775</v>
      </c>
      <c r="BB98" s="14">
        <v>4175</v>
      </c>
      <c r="BC98" s="19">
        <v>45339</v>
      </c>
      <c r="BD98" s="14" t="s">
        <v>775</v>
      </c>
      <c r="BE98" s="14">
        <v>4175</v>
      </c>
      <c r="BF98" s="19">
        <v>45339</v>
      </c>
      <c r="BG98" s="14" t="s">
        <v>775</v>
      </c>
      <c r="BH98" s="14"/>
      <c r="BI98" s="19"/>
      <c r="BJ98" s="14"/>
      <c r="BK98" s="14">
        <v>4175</v>
      </c>
      <c r="BL98" s="19">
        <v>45339</v>
      </c>
      <c r="BM98" s="14" t="s">
        <v>775</v>
      </c>
      <c r="BN98" s="27">
        <v>45519</v>
      </c>
      <c r="BO98" s="27">
        <v>45519</v>
      </c>
      <c r="BP98" s="27">
        <v>45519</v>
      </c>
      <c r="BQ98" s="27" t="s">
        <v>143</v>
      </c>
      <c r="BR98" s="27">
        <v>45704</v>
      </c>
      <c r="BS98" s="28">
        <v>-1356</v>
      </c>
      <c r="BT98" s="29">
        <v>-606</v>
      </c>
      <c r="BU98" s="29">
        <v>-1356</v>
      </c>
      <c r="BV98" s="29" t="s">
        <v>143</v>
      </c>
      <c r="BW98" s="29">
        <v>-606</v>
      </c>
      <c r="BX98" s="30" t="s">
        <v>152</v>
      </c>
      <c r="BY98" s="8">
        <v>4</v>
      </c>
      <c r="BZ98" s="8">
        <v>0</v>
      </c>
      <c r="CA98" s="8">
        <v>0</v>
      </c>
      <c r="CB98" s="21">
        <v>45338.770833333299</v>
      </c>
      <c r="CC98" s="21">
        <v>45338.770833333299</v>
      </c>
      <c r="CD98" s="21">
        <v>0</v>
      </c>
      <c r="CE98" s="21">
        <v>45338.770833333299</v>
      </c>
      <c r="CF98" s="21">
        <v>45338.770833333299</v>
      </c>
      <c r="CG98" s="21">
        <v>45338.770833333299</v>
      </c>
      <c r="CH98" s="21">
        <v>45338.770833333299</v>
      </c>
      <c r="CI98" s="21">
        <v>45338.770833333299</v>
      </c>
      <c r="CJ98" s="21">
        <v>45338.770833333299</v>
      </c>
      <c r="CK98" s="22" t="s">
        <v>3039</v>
      </c>
      <c r="CL98" s="22" t="s">
        <v>3039</v>
      </c>
      <c r="CM98" s="22" t="s">
        <v>3039</v>
      </c>
      <c r="CN98" s="22" t="s">
        <v>3039</v>
      </c>
      <c r="CO98" s="22" t="s">
        <v>3039</v>
      </c>
      <c r="CP98" s="22" t="s">
        <v>3039</v>
      </c>
      <c r="CQ98" s="22" t="s">
        <v>2953</v>
      </c>
      <c r="CR98" s="22" t="s">
        <v>3039</v>
      </c>
      <c r="CS98" s="22" t="s">
        <v>3039</v>
      </c>
      <c r="CT98" s="22">
        <v>1</v>
      </c>
      <c r="CU98" s="21">
        <v>45518</v>
      </c>
      <c r="CV98" s="21">
        <v>45518</v>
      </c>
      <c r="CW98" s="21">
        <v>46066</v>
      </c>
      <c r="CX98" s="21">
        <v>45518</v>
      </c>
      <c r="CY98" s="21">
        <v>45518</v>
      </c>
      <c r="CZ98" s="21">
        <v>45608</v>
      </c>
      <c r="DA98" s="21">
        <v>45703</v>
      </c>
      <c r="DB98" s="21">
        <v>45518</v>
      </c>
      <c r="DC98" s="21">
        <v>45703</v>
      </c>
      <c r="DD98" s="8">
        <v>1</v>
      </c>
      <c r="DE98" s="8">
        <v>1</v>
      </c>
      <c r="DF98" s="8">
        <v>0</v>
      </c>
      <c r="DG98" s="8">
        <v>9</v>
      </c>
      <c r="DH98" s="8">
        <v>0</v>
      </c>
      <c r="DI98" s="8">
        <v>0</v>
      </c>
      <c r="DJ98" s="8" t="s">
        <v>3025</v>
      </c>
      <c r="DK98" s="21">
        <v>43309</v>
      </c>
      <c r="DL98" s="21">
        <v>43279</v>
      </c>
      <c r="DM98" s="21">
        <v>45962</v>
      </c>
      <c r="DN98" s="18">
        <v>5830</v>
      </c>
      <c r="DO98" s="21">
        <v>0</v>
      </c>
      <c r="DP98" s="21">
        <v>0</v>
      </c>
      <c r="DQ98" s="21" t="s">
        <v>2955</v>
      </c>
      <c r="DR98" s="21">
        <v>45339</v>
      </c>
      <c r="DS98" s="21">
        <v>45339</v>
      </c>
      <c r="DT98" s="21">
        <v>0</v>
      </c>
      <c r="DU98" s="21">
        <v>45339</v>
      </c>
      <c r="DV98" s="21">
        <v>45339</v>
      </c>
      <c r="DW98" s="21">
        <v>45339</v>
      </c>
      <c r="DX98" s="21">
        <v>45339</v>
      </c>
      <c r="DY98" s="21">
        <v>45339</v>
      </c>
      <c r="DZ98" s="21">
        <v>45339</v>
      </c>
      <c r="EA98" s="8">
        <v>155</v>
      </c>
      <c r="EB98" s="8">
        <v>155</v>
      </c>
      <c r="EC98" s="8">
        <v>155</v>
      </c>
      <c r="ED98" s="8">
        <v>155</v>
      </c>
      <c r="EE98" s="8">
        <v>155</v>
      </c>
      <c r="EF98" s="8">
        <v>155</v>
      </c>
      <c r="EG98" s="8">
        <v>1000</v>
      </c>
      <c r="EH98" s="8">
        <v>155</v>
      </c>
      <c r="EI98" s="8">
        <v>155</v>
      </c>
      <c r="EJ98" s="8">
        <v>1</v>
      </c>
      <c r="EK98" s="8" t="s">
        <v>2624</v>
      </c>
      <c r="EL98" s="8">
        <v>150</v>
      </c>
      <c r="EM98" s="8">
        <v>450</v>
      </c>
      <c r="EN98" s="8">
        <v>-133</v>
      </c>
      <c r="EO98" s="8">
        <v>-133</v>
      </c>
      <c r="EP98" s="8">
        <v>-133</v>
      </c>
      <c r="EQ98" s="8">
        <v>-133</v>
      </c>
      <c r="ER98" s="8">
        <v>-133</v>
      </c>
      <c r="ES98" s="8">
        <v>-133</v>
      </c>
      <c r="ET98" s="8">
        <v>712</v>
      </c>
      <c r="EU98" s="8">
        <v>-133</v>
      </c>
      <c r="EV98" s="8">
        <v>-133</v>
      </c>
    </row>
    <row r="99" spans="1:152" x14ac:dyDescent="0.15">
      <c r="A99" s="8">
        <f>ROW([2]!tbl_DPSAC[[#This Row],[Sl. No.]])-1</f>
        <v>98</v>
      </c>
      <c r="B99" s="9" t="s">
        <v>136</v>
      </c>
      <c r="C99" s="9" t="s">
        <v>776</v>
      </c>
      <c r="D99" s="9" t="s">
        <v>175</v>
      </c>
      <c r="E99" s="9" t="s">
        <v>176</v>
      </c>
      <c r="F99" s="9" t="s">
        <v>161</v>
      </c>
      <c r="G99" s="10" t="s">
        <v>771</v>
      </c>
      <c r="H99" s="10" t="str">
        <f>_xlfn.XLOOKUP(C99,'[1]E&amp;DPSAC'!$K:$K,'[1]E&amp;DPSAC'!$E:$E,,0)</f>
        <v>BIHAR</v>
      </c>
      <c r="I99" s="10"/>
      <c r="J99" s="10" t="s">
        <v>143</v>
      </c>
      <c r="K99" s="10">
        <f>_xlfn.XLOOKUP(C99,'[1]E&amp;DPSAC'!$K:$K,'[1]E&amp;DPSAC'!$G:$G,"",0)</f>
        <v>7739231151</v>
      </c>
      <c r="L99" s="9" t="str">
        <f t="shared" ca="1" si="4"/>
        <v>Non - Warranty</v>
      </c>
      <c r="M99" s="11">
        <v>43153</v>
      </c>
      <c r="N99" s="12">
        <v>24</v>
      </c>
      <c r="O99" s="11">
        <f t="shared" si="5"/>
        <v>43890</v>
      </c>
      <c r="P99" s="8" t="s">
        <v>681</v>
      </c>
      <c r="Q99" s="16" t="s">
        <v>778</v>
      </c>
      <c r="R99" s="15">
        <v>45339.443773148101</v>
      </c>
      <c r="S99" s="14">
        <v>5341</v>
      </c>
      <c r="T99" s="15">
        <v>45339</v>
      </c>
      <c r="U99" s="14">
        <v>5341</v>
      </c>
      <c r="V99" s="14">
        <v>7380</v>
      </c>
      <c r="W99" s="17">
        <v>46041.670636574097</v>
      </c>
      <c r="X99" s="14" t="s">
        <v>2738</v>
      </c>
      <c r="Y99" s="14">
        <v>-1289</v>
      </c>
      <c r="Z99" s="14" t="s">
        <v>2697</v>
      </c>
      <c r="AA99" s="18">
        <v>773.55622685189883</v>
      </c>
      <c r="AB99" s="18" t="s">
        <v>2697</v>
      </c>
      <c r="AC99" s="8">
        <f>tbl_DPSAC[[#This Row],[Current Month Due Count]]</f>
        <v>0</v>
      </c>
      <c r="AD99" s="8">
        <f>tbl_DPSAC[[#This Row],[Next Month Due2]]</f>
        <v>0</v>
      </c>
      <c r="AE99" s="8">
        <f t="shared" si="6"/>
        <v>1</v>
      </c>
      <c r="AF99" s="8">
        <v>0</v>
      </c>
      <c r="AG99" s="14">
        <f t="shared" ca="1" si="7"/>
        <v>7380</v>
      </c>
      <c r="AH99" s="8">
        <v>0</v>
      </c>
      <c r="AI99" s="8">
        <v>0</v>
      </c>
      <c r="AJ99" s="8">
        <v>0</v>
      </c>
      <c r="AK99" s="8" t="s">
        <v>777</v>
      </c>
      <c r="AL99" s="8">
        <v>0</v>
      </c>
      <c r="AM99" s="8">
        <v>0</v>
      </c>
      <c r="AN99" s="8">
        <v>0</v>
      </c>
      <c r="AO99" s="8">
        <v>0</v>
      </c>
      <c r="AP99" s="8">
        <v>0</v>
      </c>
      <c r="AQ99" s="8">
        <v>0</v>
      </c>
      <c r="AR99" s="8">
        <v>0</v>
      </c>
      <c r="AS99" s="8">
        <v>0</v>
      </c>
      <c r="AT99" s="8">
        <v>0</v>
      </c>
      <c r="AU99" s="8">
        <v>0</v>
      </c>
      <c r="AV99" s="8">
        <v>0</v>
      </c>
      <c r="AW99" s="8">
        <v>0</v>
      </c>
      <c r="AX99" s="8" t="s">
        <v>2961</v>
      </c>
      <c r="AY99" s="14">
        <v>5341</v>
      </c>
      <c r="AZ99" s="19">
        <v>45339</v>
      </c>
      <c r="BA99" s="14" t="s">
        <v>778</v>
      </c>
      <c r="BB99" s="14">
        <v>1500</v>
      </c>
      <c r="BC99" s="19">
        <v>44372</v>
      </c>
      <c r="BD99" s="14"/>
      <c r="BE99" s="14">
        <v>5341</v>
      </c>
      <c r="BF99" s="19">
        <v>45339</v>
      </c>
      <c r="BG99" s="14" t="s">
        <v>778</v>
      </c>
      <c r="BH99" s="14">
        <v>5341</v>
      </c>
      <c r="BI99" s="19">
        <v>45339</v>
      </c>
      <c r="BJ99" s="14" t="s">
        <v>778</v>
      </c>
      <c r="BK99" s="14">
        <v>1500</v>
      </c>
      <c r="BL99" s="19">
        <v>44372</v>
      </c>
      <c r="BM99" s="14"/>
      <c r="BN99" s="27">
        <v>45519</v>
      </c>
      <c r="BO99" s="27">
        <v>44552</v>
      </c>
      <c r="BP99" s="27">
        <v>45519</v>
      </c>
      <c r="BQ99" s="27">
        <v>45519</v>
      </c>
      <c r="BR99" s="27">
        <v>44737</v>
      </c>
      <c r="BS99" s="28">
        <v>-1289</v>
      </c>
      <c r="BT99" s="29">
        <v>-4380</v>
      </c>
      <c r="BU99" s="29">
        <v>-1289</v>
      </c>
      <c r="BV99" s="29">
        <v>-1289</v>
      </c>
      <c r="BW99" s="29">
        <v>-4380</v>
      </c>
      <c r="BX99" s="30" t="s">
        <v>173</v>
      </c>
      <c r="BY99" s="8">
        <v>5</v>
      </c>
      <c r="BZ99" s="8">
        <v>0</v>
      </c>
      <c r="CA99" s="8">
        <v>0</v>
      </c>
      <c r="CB99" s="21">
        <v>45338.770833333299</v>
      </c>
      <c r="CC99" s="21">
        <v>45338.770833333299</v>
      </c>
      <c r="CD99" s="21">
        <v>45338.770833333299</v>
      </c>
      <c r="CE99" s="21">
        <v>45338.770833333299</v>
      </c>
      <c r="CF99" s="21">
        <v>45338.770833333299</v>
      </c>
      <c r="CG99" s="21">
        <v>0</v>
      </c>
      <c r="CH99" s="21">
        <v>0</v>
      </c>
      <c r="CI99" s="21">
        <v>0</v>
      </c>
      <c r="CJ99" s="21">
        <v>0</v>
      </c>
      <c r="CK99" s="22" t="s">
        <v>3040</v>
      </c>
      <c r="CL99" s="22" t="s">
        <v>3040</v>
      </c>
      <c r="CM99" s="22" t="s">
        <v>3040</v>
      </c>
      <c r="CN99" s="22" t="s">
        <v>3040</v>
      </c>
      <c r="CO99" s="22" t="s">
        <v>3040</v>
      </c>
      <c r="CP99" s="22" t="s">
        <v>3040</v>
      </c>
      <c r="CQ99" s="22" t="s">
        <v>2953</v>
      </c>
      <c r="CR99" s="22" t="s">
        <v>3040</v>
      </c>
      <c r="CS99" s="22" t="s">
        <v>3040</v>
      </c>
      <c r="CT99" s="22">
        <v>0</v>
      </c>
      <c r="CU99" s="21">
        <v>0</v>
      </c>
      <c r="CV99" s="21">
        <v>0</v>
      </c>
      <c r="CW99" s="21">
        <v>0</v>
      </c>
      <c r="CX99" s="21">
        <v>0</v>
      </c>
      <c r="CY99" s="21">
        <v>0</v>
      </c>
      <c r="CZ99" s="21">
        <v>0</v>
      </c>
      <c r="DA99" s="21">
        <v>0</v>
      </c>
      <c r="DB99" s="21">
        <v>0</v>
      </c>
      <c r="DC99" s="21">
        <v>0</v>
      </c>
      <c r="DD99" s="8">
        <v>0</v>
      </c>
      <c r="DE99" s="8">
        <v>0</v>
      </c>
      <c r="DF99" s="8">
        <v>0</v>
      </c>
      <c r="DG99" s="8">
        <v>9</v>
      </c>
      <c r="DH99" s="8">
        <v>0</v>
      </c>
      <c r="DI99" s="8">
        <v>0</v>
      </c>
      <c r="DJ99" s="8" t="s">
        <v>3025</v>
      </c>
      <c r="DK99" s="21">
        <v>43153</v>
      </c>
      <c r="DL99" s="21">
        <v>43136</v>
      </c>
      <c r="DM99" s="21">
        <v>46041</v>
      </c>
      <c r="DN99" s="18">
        <v>7380</v>
      </c>
      <c r="DO99" s="21">
        <v>0</v>
      </c>
      <c r="DP99" s="21">
        <v>0</v>
      </c>
      <c r="DQ99" s="21" t="s">
        <v>2955</v>
      </c>
      <c r="DR99" s="21">
        <v>45339</v>
      </c>
      <c r="DS99" s="21">
        <v>45339</v>
      </c>
      <c r="DT99" s="21">
        <v>45339</v>
      </c>
      <c r="DU99" s="21">
        <v>45339</v>
      </c>
      <c r="DV99" s="21">
        <v>45339</v>
      </c>
      <c r="DW99" s="21">
        <v>0</v>
      </c>
      <c r="DX99" s="21">
        <v>0</v>
      </c>
      <c r="DY99" s="21">
        <v>0</v>
      </c>
      <c r="DZ99" s="21">
        <v>0</v>
      </c>
      <c r="EA99" s="8">
        <v>290</v>
      </c>
      <c r="EB99" s="8">
        <v>290</v>
      </c>
      <c r="EC99" s="8">
        <v>290</v>
      </c>
      <c r="ED99" s="8">
        <v>290</v>
      </c>
      <c r="EE99" s="8">
        <v>290</v>
      </c>
      <c r="EF99" s="8">
        <v>290</v>
      </c>
      <c r="EG99" s="8">
        <v>1000</v>
      </c>
      <c r="EH99" s="8">
        <v>290</v>
      </c>
      <c r="EI99" s="8">
        <v>290</v>
      </c>
      <c r="EJ99" s="8">
        <v>0</v>
      </c>
      <c r="EK99" s="8" t="s">
        <v>2624</v>
      </c>
      <c r="EL99" s="8">
        <v>71</v>
      </c>
      <c r="EM99" s="8">
        <v>0</v>
      </c>
      <c r="EN99" s="8">
        <v>2</v>
      </c>
      <c r="EO99" s="8">
        <v>2</v>
      </c>
      <c r="EP99" s="8">
        <v>2</v>
      </c>
      <c r="EQ99" s="8">
        <v>2</v>
      </c>
      <c r="ER99" s="8">
        <v>2</v>
      </c>
      <c r="ES99" s="8">
        <v>2</v>
      </c>
      <c r="ET99" s="8">
        <v>712</v>
      </c>
      <c r="EU99" s="8">
        <v>2</v>
      </c>
      <c r="EV99" s="8">
        <v>2</v>
      </c>
    </row>
    <row r="100" spans="1:152" x14ac:dyDescent="0.15">
      <c r="A100" s="8">
        <f>ROW([2]!tbl_DPSAC[[#This Row],[Sl. No.]])-1</f>
        <v>99</v>
      </c>
      <c r="B100" s="9" t="s">
        <v>196</v>
      </c>
      <c r="C100" s="9" t="s">
        <v>779</v>
      </c>
      <c r="D100" s="9" t="s">
        <v>198</v>
      </c>
      <c r="E100" s="9" t="s">
        <v>199</v>
      </c>
      <c r="F100" s="9" t="s">
        <v>161</v>
      </c>
      <c r="G100" s="10" t="s">
        <v>780</v>
      </c>
      <c r="H100" s="10" t="str">
        <f>_xlfn.XLOOKUP(C100,'[1]E&amp;DPSAC'!$K:$K,'[1]E&amp;DPSAC'!$E:$E,,0)</f>
        <v>SIMARIA, BEGUSARAI</v>
      </c>
      <c r="I100" s="10" t="s">
        <v>781</v>
      </c>
      <c r="J100" s="10">
        <v>6209571746</v>
      </c>
      <c r="K100" s="10">
        <f>_xlfn.XLOOKUP(C100,'[1]E&amp;DPSAC'!$K:$K,'[1]E&amp;DPSAC'!$G:$G,"",0)</f>
        <v>6209571746</v>
      </c>
      <c r="L100" s="9" t="str">
        <f t="shared" ca="1" si="4"/>
        <v>Non - Warranty</v>
      </c>
      <c r="M100" s="11"/>
      <c r="N100" s="12">
        <v>24</v>
      </c>
      <c r="O100" s="11">
        <f t="shared" si="5"/>
        <v>731</v>
      </c>
      <c r="P100" s="8" t="s">
        <v>681</v>
      </c>
      <c r="Q100" s="16" t="s">
        <v>782</v>
      </c>
      <c r="R100" s="15">
        <v>45983.332708333299</v>
      </c>
      <c r="S100" s="14">
        <v>1570</v>
      </c>
      <c r="T100" s="15">
        <v>45167</v>
      </c>
      <c r="U100" s="14">
        <v>795</v>
      </c>
      <c r="V100" s="14">
        <v>1570</v>
      </c>
      <c r="W100" s="17">
        <v>45983.332708333299</v>
      </c>
      <c r="X100" s="14" t="s">
        <v>2751</v>
      </c>
      <c r="Y100" s="14">
        <v>750</v>
      </c>
      <c r="Z100" s="14" t="s">
        <v>2692</v>
      </c>
      <c r="AA100" s="18">
        <v>129.6672916667012</v>
      </c>
      <c r="AB100" s="18" t="s">
        <v>2692</v>
      </c>
      <c r="AC100" s="8">
        <f>tbl_DPSAC[[#This Row],[Current Month Due Count]]</f>
        <v>0</v>
      </c>
      <c r="AD100" s="8">
        <f>tbl_DPSAC[[#This Row],[Next Month Due2]]</f>
        <v>4</v>
      </c>
      <c r="AE100" s="8">
        <f t="shared" si="6"/>
        <v>0</v>
      </c>
      <c r="AF100" s="8">
        <v>1</v>
      </c>
      <c r="AG100" s="14">
        <f t="shared" ca="1" si="7"/>
        <v>1700</v>
      </c>
      <c r="AH100" s="8">
        <v>0</v>
      </c>
      <c r="AI100" s="8">
        <v>0</v>
      </c>
      <c r="AJ100" s="8">
        <v>0</v>
      </c>
      <c r="AK100" s="8">
        <v>0</v>
      </c>
      <c r="AL100" s="8">
        <v>0</v>
      </c>
      <c r="AM100" s="8">
        <v>0</v>
      </c>
      <c r="AN100" s="8">
        <v>0</v>
      </c>
      <c r="AO100" s="8">
        <v>0</v>
      </c>
      <c r="AP100" s="8">
        <v>0</v>
      </c>
      <c r="AQ100" s="8">
        <v>0</v>
      </c>
      <c r="AR100" s="8">
        <v>0</v>
      </c>
      <c r="AS100" s="8">
        <v>0</v>
      </c>
      <c r="AT100" s="8">
        <v>0</v>
      </c>
      <c r="AU100" s="8">
        <v>0</v>
      </c>
      <c r="AV100" s="8">
        <v>0</v>
      </c>
      <c r="AW100" s="8">
        <v>0</v>
      </c>
      <c r="AX100" s="8" t="s">
        <v>2007</v>
      </c>
      <c r="AY100" s="14">
        <v>1570</v>
      </c>
      <c r="AZ100" s="19">
        <v>45983</v>
      </c>
      <c r="BA100" s="14" t="s">
        <v>782</v>
      </c>
      <c r="BB100" s="14">
        <v>1570</v>
      </c>
      <c r="BC100" s="19">
        <v>45983</v>
      </c>
      <c r="BD100" s="14" t="s">
        <v>782</v>
      </c>
      <c r="BE100" s="14">
        <v>1570</v>
      </c>
      <c r="BF100" s="19">
        <v>45983</v>
      </c>
      <c r="BG100" s="14" t="s">
        <v>782</v>
      </c>
      <c r="BH100" s="14">
        <v>1570</v>
      </c>
      <c r="BI100" s="19">
        <v>45983</v>
      </c>
      <c r="BJ100" s="14" t="s">
        <v>782</v>
      </c>
      <c r="BK100" s="14">
        <v>1570</v>
      </c>
      <c r="BL100" s="19">
        <v>45983</v>
      </c>
      <c r="BM100" s="14" t="s">
        <v>782</v>
      </c>
      <c r="BN100" s="27">
        <v>46163</v>
      </c>
      <c r="BO100" s="27">
        <v>46163</v>
      </c>
      <c r="BP100" s="27">
        <v>46163</v>
      </c>
      <c r="BQ100" s="27">
        <v>46163</v>
      </c>
      <c r="BR100" s="27">
        <v>46348</v>
      </c>
      <c r="BS100" s="28">
        <v>620</v>
      </c>
      <c r="BT100" s="29">
        <v>1370</v>
      </c>
      <c r="BU100" s="29">
        <v>620</v>
      </c>
      <c r="BV100" s="29">
        <v>620</v>
      </c>
      <c r="BW100" s="29">
        <v>1370</v>
      </c>
      <c r="BX100" s="30" t="s">
        <v>281</v>
      </c>
      <c r="BY100" s="8">
        <v>0</v>
      </c>
      <c r="BZ100" s="8">
        <v>0</v>
      </c>
      <c r="CA100" s="8">
        <v>4</v>
      </c>
      <c r="CB100" s="21">
        <v>45982.770833333299</v>
      </c>
      <c r="CC100" s="21">
        <v>45982.770833333299</v>
      </c>
      <c r="CD100" s="21">
        <v>45982.770833333299</v>
      </c>
      <c r="CE100" s="21">
        <v>45982.770833333299</v>
      </c>
      <c r="CF100" s="21">
        <v>45982.770833333299</v>
      </c>
      <c r="CG100" s="21">
        <v>45982.770833333299</v>
      </c>
      <c r="CH100" s="21">
        <v>45982.770833333299</v>
      </c>
      <c r="CI100" s="21">
        <v>45982.770833333299</v>
      </c>
      <c r="CJ100" s="21">
        <v>45982.770833333299</v>
      </c>
      <c r="CK100" s="22" t="s">
        <v>2956</v>
      </c>
      <c r="CL100" s="22" t="s">
        <v>2957</v>
      </c>
      <c r="CM100" s="22" t="s">
        <v>2959</v>
      </c>
      <c r="CN100" s="22" t="s">
        <v>2957</v>
      </c>
      <c r="CO100" s="22" t="s">
        <v>2957</v>
      </c>
      <c r="CP100" s="22" t="s">
        <v>2956</v>
      </c>
      <c r="CQ100" s="22" t="s">
        <v>2953</v>
      </c>
      <c r="CR100" s="22" t="s">
        <v>2956</v>
      </c>
      <c r="CS100" s="22" t="s">
        <v>2960</v>
      </c>
      <c r="CT100" s="22">
        <v>5</v>
      </c>
      <c r="CU100" s="21">
        <v>46162</v>
      </c>
      <c r="CV100" s="21">
        <v>46133</v>
      </c>
      <c r="CW100" s="21">
        <v>46083</v>
      </c>
      <c r="CX100" s="21">
        <v>46133</v>
      </c>
      <c r="CY100" s="21">
        <v>46133</v>
      </c>
      <c r="CZ100" s="21">
        <v>46252</v>
      </c>
      <c r="DA100" s="21">
        <v>46183</v>
      </c>
      <c r="DB100" s="21">
        <v>46162</v>
      </c>
      <c r="DC100" s="21">
        <v>46347</v>
      </c>
      <c r="DD100" s="8">
        <v>0</v>
      </c>
      <c r="DE100" s="8">
        <v>0</v>
      </c>
      <c r="DF100" s="8">
        <v>1</v>
      </c>
      <c r="DG100" s="8">
        <v>1</v>
      </c>
      <c r="DH100" s="8">
        <v>3</v>
      </c>
      <c r="DI100" s="8">
        <v>2</v>
      </c>
      <c r="DJ100" s="8" t="s">
        <v>3025</v>
      </c>
      <c r="DK100" s="21">
        <v>43684</v>
      </c>
      <c r="DL100" s="21">
        <v>43626.229166666664</v>
      </c>
      <c r="DM100" s="21">
        <v>45983</v>
      </c>
      <c r="DN100" s="18">
        <v>1570</v>
      </c>
      <c r="DO100" s="21">
        <v>0</v>
      </c>
      <c r="DP100" s="21">
        <v>0</v>
      </c>
      <c r="DQ100" s="21" t="s">
        <v>2955</v>
      </c>
      <c r="DR100" s="21">
        <v>45983</v>
      </c>
      <c r="DS100" s="21">
        <v>45983</v>
      </c>
      <c r="DT100" s="21">
        <v>45983</v>
      </c>
      <c r="DU100" s="21">
        <v>45983</v>
      </c>
      <c r="DV100" s="21">
        <v>45983</v>
      </c>
      <c r="DW100" s="21">
        <v>45983</v>
      </c>
      <c r="DX100" s="21">
        <v>45983</v>
      </c>
      <c r="DY100" s="21">
        <v>45983</v>
      </c>
      <c r="DZ100" s="21">
        <v>45983</v>
      </c>
      <c r="EA100" s="8">
        <v>1500</v>
      </c>
      <c r="EB100" s="8">
        <v>750</v>
      </c>
      <c r="EC100" s="8">
        <v>500</v>
      </c>
      <c r="ED100" s="8">
        <v>750</v>
      </c>
      <c r="EE100" s="8">
        <v>750</v>
      </c>
      <c r="EF100" s="8">
        <v>1500</v>
      </c>
      <c r="EG100" s="8">
        <v>1000</v>
      </c>
      <c r="EH100" s="8">
        <v>1500</v>
      </c>
      <c r="EI100" s="8">
        <v>3000</v>
      </c>
      <c r="EJ100" s="8">
        <v>5</v>
      </c>
      <c r="EK100" s="8" t="s">
        <v>2624</v>
      </c>
      <c r="EL100" s="8">
        <v>130</v>
      </c>
      <c r="EM100" s="8">
        <v>130</v>
      </c>
      <c r="EN100" s="8">
        <v>1212</v>
      </c>
      <c r="EO100" s="8">
        <v>462</v>
      </c>
      <c r="EP100" s="8">
        <v>212</v>
      </c>
      <c r="EQ100" s="8">
        <v>462</v>
      </c>
      <c r="ER100" s="8">
        <v>462</v>
      </c>
      <c r="ES100" s="8">
        <v>1212</v>
      </c>
      <c r="ET100" s="8">
        <v>712</v>
      </c>
      <c r="EU100" s="8">
        <v>1212</v>
      </c>
      <c r="EV100" s="8">
        <v>2712</v>
      </c>
    </row>
    <row r="101" spans="1:152" x14ac:dyDescent="0.15">
      <c r="A101" s="8">
        <f>ROW([2]!tbl_DPSAC[[#This Row],[Sl. No.]])-1</f>
        <v>100</v>
      </c>
      <c r="B101" s="9" t="s">
        <v>136</v>
      </c>
      <c r="C101" s="9" t="s">
        <v>783</v>
      </c>
      <c r="D101" s="9" t="s">
        <v>138</v>
      </c>
      <c r="E101" s="9" t="s">
        <v>139</v>
      </c>
      <c r="F101" s="9" t="s">
        <v>161</v>
      </c>
      <c r="G101" s="10" t="s">
        <v>784</v>
      </c>
      <c r="H101" s="10" t="str">
        <f>_xlfn.XLOOKUP(C101,'[1]E&amp;DPSAC'!$K:$K,'[1]E&amp;DPSAC'!$E:$E,,0)</f>
        <v>BHULI DHANBAD</v>
      </c>
      <c r="I101" s="10"/>
      <c r="J101" s="10">
        <v>7004387228</v>
      </c>
      <c r="K101" s="10">
        <f>_xlfn.XLOOKUP(C101,'[1]E&amp;DPSAC'!$K:$K,'[1]E&amp;DPSAC'!$G:$G,"",0)</f>
        <v>7004387228</v>
      </c>
      <c r="L101" s="9" t="str">
        <f t="shared" ca="1" si="4"/>
        <v>Non - Warranty</v>
      </c>
      <c r="M101" s="11">
        <v>42998</v>
      </c>
      <c r="N101" s="12">
        <v>24</v>
      </c>
      <c r="O101" s="11">
        <f t="shared" si="5"/>
        <v>43738</v>
      </c>
      <c r="P101" s="8" t="s">
        <v>213</v>
      </c>
      <c r="Q101" s="16" t="s">
        <v>785</v>
      </c>
      <c r="R101" s="15">
        <v>45339.4453587963</v>
      </c>
      <c r="S101" s="14">
        <v>9760</v>
      </c>
      <c r="T101" s="15">
        <v>45339</v>
      </c>
      <c r="U101" s="14">
        <v>9760</v>
      </c>
      <c r="V101" s="14">
        <v>11220</v>
      </c>
      <c r="W101" s="17">
        <v>45962.698611111111</v>
      </c>
      <c r="X101" s="14" t="s">
        <v>2738</v>
      </c>
      <c r="Y101" s="14">
        <v>-710</v>
      </c>
      <c r="Z101" s="14" t="s">
        <v>2697</v>
      </c>
      <c r="AA101" s="18">
        <v>773.55464120370016</v>
      </c>
      <c r="AB101" s="18" t="s">
        <v>2697</v>
      </c>
      <c r="AC101" s="8">
        <f>tbl_DPSAC[[#This Row],[Current Month Due Count]]</f>
        <v>0</v>
      </c>
      <c r="AD101" s="8">
        <f>tbl_DPSAC[[#This Row],[Next Month Due2]]</f>
        <v>0</v>
      </c>
      <c r="AE101" s="8">
        <f t="shared" si="6"/>
        <v>1</v>
      </c>
      <c r="AF101" s="8">
        <v>2.6</v>
      </c>
      <c r="AG101" s="14">
        <f t="shared" ca="1" si="7"/>
        <v>11611</v>
      </c>
      <c r="AH101" s="8">
        <v>0</v>
      </c>
      <c r="AI101" s="8">
        <v>0</v>
      </c>
      <c r="AJ101" s="8">
        <v>0</v>
      </c>
      <c r="AK101" s="8">
        <v>0</v>
      </c>
      <c r="AL101" s="8">
        <v>0</v>
      </c>
      <c r="AM101" s="8">
        <v>0</v>
      </c>
      <c r="AN101" s="8">
        <v>0</v>
      </c>
      <c r="AO101" s="8">
        <v>0</v>
      </c>
      <c r="AP101" s="8">
        <v>0</v>
      </c>
      <c r="AQ101" s="8">
        <v>0</v>
      </c>
      <c r="AR101" s="8">
        <v>0</v>
      </c>
      <c r="AS101" s="8">
        <v>0</v>
      </c>
      <c r="AT101" s="8">
        <v>0</v>
      </c>
      <c r="AU101" s="8">
        <v>0</v>
      </c>
      <c r="AV101" s="8">
        <v>0</v>
      </c>
      <c r="AW101" s="8">
        <v>0</v>
      </c>
      <c r="AX101" s="8" t="s">
        <v>2961</v>
      </c>
      <c r="AY101" s="14">
        <v>9760</v>
      </c>
      <c r="AZ101" s="19">
        <v>45339</v>
      </c>
      <c r="BA101" s="14" t="s">
        <v>785</v>
      </c>
      <c r="BB101" s="14">
        <v>8500</v>
      </c>
      <c r="BC101" s="19">
        <v>44929</v>
      </c>
      <c r="BD101" s="14" t="s">
        <v>786</v>
      </c>
      <c r="BE101" s="14">
        <v>9760</v>
      </c>
      <c r="BF101" s="19">
        <v>45339</v>
      </c>
      <c r="BG101" s="14" t="s">
        <v>785</v>
      </c>
      <c r="BH101" s="14">
        <v>9760</v>
      </c>
      <c r="BI101" s="19">
        <v>45339</v>
      </c>
      <c r="BJ101" s="14" t="s">
        <v>785</v>
      </c>
      <c r="BK101" s="14">
        <v>8500</v>
      </c>
      <c r="BL101" s="19">
        <v>44929</v>
      </c>
      <c r="BM101" s="14" t="s">
        <v>786</v>
      </c>
      <c r="BN101" s="27">
        <v>45519</v>
      </c>
      <c r="BO101" s="27">
        <v>45109</v>
      </c>
      <c r="BP101" s="27">
        <v>45519</v>
      </c>
      <c r="BQ101" s="27">
        <v>45519</v>
      </c>
      <c r="BR101" s="27">
        <v>45294</v>
      </c>
      <c r="BS101" s="28">
        <v>-1101</v>
      </c>
      <c r="BT101" s="29">
        <v>-1611</v>
      </c>
      <c r="BU101" s="29">
        <v>-1101</v>
      </c>
      <c r="BV101" s="29">
        <v>-1101</v>
      </c>
      <c r="BW101" s="29">
        <v>-1611</v>
      </c>
      <c r="BX101" s="30" t="s">
        <v>172</v>
      </c>
      <c r="BY101" s="8">
        <v>5</v>
      </c>
      <c r="BZ101" s="8">
        <v>0</v>
      </c>
      <c r="CA101" s="8">
        <v>0</v>
      </c>
      <c r="CB101" s="21">
        <v>45338.770833333299</v>
      </c>
      <c r="CC101" s="21">
        <v>45338.770833333299</v>
      </c>
      <c r="CD101" s="21">
        <v>45338.770833333299</v>
      </c>
      <c r="CE101" s="21">
        <v>45338.770833333299</v>
      </c>
      <c r="CF101" s="21">
        <v>45338.770833333299</v>
      </c>
      <c r="CG101" s="21">
        <v>44964.770833333299</v>
      </c>
      <c r="CH101" s="21">
        <v>0</v>
      </c>
      <c r="CI101" s="21">
        <v>44964.770833333299</v>
      </c>
      <c r="CJ101" s="21">
        <v>0</v>
      </c>
      <c r="CK101" s="22" t="s">
        <v>3041</v>
      </c>
      <c r="CL101" s="22" t="s">
        <v>3041</v>
      </c>
      <c r="CM101" s="22" t="s">
        <v>3041</v>
      </c>
      <c r="CN101" s="22" t="s">
        <v>3041</v>
      </c>
      <c r="CO101" s="22" t="s">
        <v>3041</v>
      </c>
      <c r="CP101" s="22" t="s">
        <v>3041</v>
      </c>
      <c r="CQ101" s="22" t="s">
        <v>2953</v>
      </c>
      <c r="CR101" s="22" t="s">
        <v>3041</v>
      </c>
      <c r="CS101" s="22" t="s">
        <v>3041</v>
      </c>
      <c r="CT101" s="22">
        <v>2</v>
      </c>
      <c r="CU101" s="21">
        <v>45518</v>
      </c>
      <c r="CV101" s="21">
        <v>45518</v>
      </c>
      <c r="CW101" s="21">
        <v>45518</v>
      </c>
      <c r="CX101" s="21">
        <v>45518</v>
      </c>
      <c r="CY101" s="21">
        <v>45518</v>
      </c>
      <c r="CZ101" s="21">
        <v>45234</v>
      </c>
      <c r="DA101" s="21">
        <v>46055</v>
      </c>
      <c r="DB101" s="21">
        <v>45144</v>
      </c>
      <c r="DC101" s="21">
        <v>46014</v>
      </c>
      <c r="DD101" s="8">
        <v>1</v>
      </c>
      <c r="DE101" s="8">
        <v>1</v>
      </c>
      <c r="DF101" s="8">
        <v>0</v>
      </c>
      <c r="DG101" s="8">
        <v>9</v>
      </c>
      <c r="DH101" s="8">
        <v>0</v>
      </c>
      <c r="DI101" s="8">
        <v>0</v>
      </c>
      <c r="DJ101" s="8" t="s">
        <v>2976</v>
      </c>
      <c r="DK101" s="21">
        <v>42998</v>
      </c>
      <c r="DL101" s="21">
        <v>42956</v>
      </c>
      <c r="DM101" s="21">
        <v>45962</v>
      </c>
      <c r="DN101" s="18">
        <v>11220</v>
      </c>
      <c r="DO101" s="21">
        <v>0</v>
      </c>
      <c r="DP101" s="21">
        <v>0</v>
      </c>
      <c r="DQ101" s="21" t="s">
        <v>2955</v>
      </c>
      <c r="DR101" s="21">
        <v>45339</v>
      </c>
      <c r="DS101" s="21">
        <v>45339</v>
      </c>
      <c r="DT101" s="21">
        <v>45339</v>
      </c>
      <c r="DU101" s="21">
        <v>45339</v>
      </c>
      <c r="DV101" s="21">
        <v>45339</v>
      </c>
      <c r="DW101" s="21">
        <v>44965</v>
      </c>
      <c r="DX101" s="21">
        <v>0</v>
      </c>
      <c r="DY101" s="21">
        <v>44965</v>
      </c>
      <c r="DZ101" s="21">
        <v>0</v>
      </c>
      <c r="EA101" s="8">
        <v>105</v>
      </c>
      <c r="EB101" s="8">
        <v>105</v>
      </c>
      <c r="EC101" s="8">
        <v>105</v>
      </c>
      <c r="ED101" s="8">
        <v>105</v>
      </c>
      <c r="EE101" s="8">
        <v>105</v>
      </c>
      <c r="EF101" s="8">
        <v>105</v>
      </c>
      <c r="EG101" s="8">
        <v>1000</v>
      </c>
      <c r="EH101" s="8">
        <v>105</v>
      </c>
      <c r="EI101" s="8">
        <v>105</v>
      </c>
      <c r="EJ101" s="8">
        <v>2</v>
      </c>
      <c r="EK101" s="8" t="s">
        <v>2624</v>
      </c>
      <c r="EL101" s="8">
        <v>150</v>
      </c>
      <c r="EM101" s="8">
        <v>390</v>
      </c>
      <c r="EN101" s="8">
        <v>-183</v>
      </c>
      <c r="EO101" s="8">
        <v>-183</v>
      </c>
      <c r="EP101" s="8">
        <v>-183</v>
      </c>
      <c r="EQ101" s="8">
        <v>-183</v>
      </c>
      <c r="ER101" s="8">
        <v>-183</v>
      </c>
      <c r="ES101" s="8">
        <v>-183</v>
      </c>
      <c r="ET101" s="8">
        <v>712</v>
      </c>
      <c r="EU101" s="8">
        <v>-183</v>
      </c>
      <c r="EV101" s="8">
        <v>-183</v>
      </c>
    </row>
    <row r="102" spans="1:152" x14ac:dyDescent="0.15">
      <c r="A102" s="8">
        <f>ROW([2]!tbl_DPSAC[[#This Row],[Sl. No.]])-1</f>
        <v>101</v>
      </c>
      <c r="B102" s="9" t="s">
        <v>136</v>
      </c>
      <c r="C102" s="9" t="s">
        <v>787</v>
      </c>
      <c r="D102" s="9" t="s">
        <v>138</v>
      </c>
      <c r="E102" s="9" t="s">
        <v>139</v>
      </c>
      <c r="F102" s="9" t="s">
        <v>140</v>
      </c>
      <c r="G102" s="10" t="s">
        <v>788</v>
      </c>
      <c r="H102" s="10" t="str">
        <f>_xlfn.XLOOKUP(C102,'[1]E&amp;DPSAC'!$K:$K,'[1]E&amp;DPSAC'!$E:$E,,0)</f>
        <v>DALADALI, RANCHI</v>
      </c>
      <c r="I102" s="10"/>
      <c r="J102" s="10">
        <v>9934169368</v>
      </c>
      <c r="K102" s="10">
        <f>_xlfn.XLOOKUP(C102,'[1]E&amp;DPSAC'!$K:$K,'[1]E&amp;DPSAC'!$G:$G,"",0)</f>
        <v>9934169368</v>
      </c>
      <c r="L102" s="9" t="str">
        <f t="shared" ca="1" si="4"/>
        <v>Non - Warranty</v>
      </c>
      <c r="M102" s="11">
        <v>43119</v>
      </c>
      <c r="N102" s="12">
        <v>36</v>
      </c>
      <c r="O102" s="11">
        <f t="shared" si="5"/>
        <v>44227</v>
      </c>
      <c r="P102" s="8" t="s">
        <v>142</v>
      </c>
      <c r="Q102" s="16" t="s">
        <v>791</v>
      </c>
      <c r="R102" s="15">
        <v>45289.467303240701</v>
      </c>
      <c r="S102" s="14">
        <v>17300</v>
      </c>
      <c r="T102" s="15">
        <v>45289</v>
      </c>
      <c r="U102" s="14">
        <v>17300</v>
      </c>
      <c r="V102" s="14">
        <v>18700</v>
      </c>
      <c r="W102" s="17">
        <v>46041.673113425903</v>
      </c>
      <c r="X102" s="14" t="s">
        <v>2758</v>
      </c>
      <c r="Y102" s="14">
        <v>-650</v>
      </c>
      <c r="Z102" s="14" t="s">
        <v>2697</v>
      </c>
      <c r="AA102" s="18">
        <v>823.53269675929914</v>
      </c>
      <c r="AB102" s="18" t="s">
        <v>2697</v>
      </c>
      <c r="AC102" s="8">
        <f>tbl_DPSAC[[#This Row],[Current Month Due Count]]</f>
        <v>0</v>
      </c>
      <c r="AD102" s="8">
        <f>tbl_DPSAC[[#This Row],[Next Month Due2]]</f>
        <v>0</v>
      </c>
      <c r="AE102" s="8">
        <f t="shared" si="6"/>
        <v>1</v>
      </c>
      <c r="AF102" s="8">
        <v>2</v>
      </c>
      <c r="AG102" s="14">
        <f t="shared" ca="1" si="7"/>
        <v>18843</v>
      </c>
      <c r="AH102" s="8">
        <v>0</v>
      </c>
      <c r="AI102" s="8">
        <v>0</v>
      </c>
      <c r="AJ102" s="8">
        <v>0</v>
      </c>
      <c r="AK102" s="8" t="s">
        <v>789</v>
      </c>
      <c r="AL102" s="8">
        <v>0</v>
      </c>
      <c r="AM102" s="8">
        <v>0</v>
      </c>
      <c r="AN102" s="8">
        <v>0</v>
      </c>
      <c r="AO102" s="8">
        <v>0</v>
      </c>
      <c r="AP102" s="8">
        <v>0</v>
      </c>
      <c r="AQ102" s="8">
        <v>0</v>
      </c>
      <c r="AR102" s="8">
        <v>0</v>
      </c>
      <c r="AS102" s="8">
        <v>0</v>
      </c>
      <c r="AT102" s="8">
        <v>0</v>
      </c>
      <c r="AU102" s="8" t="s">
        <v>790</v>
      </c>
      <c r="AV102" s="8">
        <v>0</v>
      </c>
      <c r="AW102" s="8">
        <v>0</v>
      </c>
      <c r="AX102" s="8" t="s">
        <v>2961</v>
      </c>
      <c r="AY102" s="14">
        <v>17300</v>
      </c>
      <c r="AZ102" s="19">
        <v>45289</v>
      </c>
      <c r="BA102" s="14" t="s">
        <v>791</v>
      </c>
      <c r="BB102" s="14">
        <v>16580</v>
      </c>
      <c r="BC102" s="19">
        <v>44935</v>
      </c>
      <c r="BD102" s="14" t="s">
        <v>792</v>
      </c>
      <c r="BE102" s="14">
        <v>17300</v>
      </c>
      <c r="BF102" s="19">
        <v>45289</v>
      </c>
      <c r="BG102" s="14" t="s">
        <v>791</v>
      </c>
      <c r="BH102" s="14">
        <v>17300</v>
      </c>
      <c r="BI102" s="19">
        <v>45289</v>
      </c>
      <c r="BJ102" s="14" t="s">
        <v>791</v>
      </c>
      <c r="BK102" s="14">
        <v>16580</v>
      </c>
      <c r="BL102" s="19">
        <v>44935</v>
      </c>
      <c r="BM102" s="14" t="s">
        <v>792</v>
      </c>
      <c r="BN102" s="27">
        <v>45469</v>
      </c>
      <c r="BO102" s="27">
        <v>45115</v>
      </c>
      <c r="BP102" s="27">
        <v>45469</v>
      </c>
      <c r="BQ102" s="27">
        <v>45469</v>
      </c>
      <c r="BR102" s="27">
        <v>45300</v>
      </c>
      <c r="BS102" s="28">
        <v>-793</v>
      </c>
      <c r="BT102" s="29">
        <v>-763</v>
      </c>
      <c r="BU102" s="29">
        <v>-793</v>
      </c>
      <c r="BV102" s="29">
        <v>-793</v>
      </c>
      <c r="BW102" s="29">
        <v>-763</v>
      </c>
      <c r="BX102" s="30" t="e">
        <v>#N/A</v>
      </c>
      <c r="BY102" s="8">
        <v>5</v>
      </c>
      <c r="BZ102" s="8">
        <v>0</v>
      </c>
      <c r="CA102" s="8">
        <v>0</v>
      </c>
      <c r="CB102" s="21">
        <v>45288.770833333299</v>
      </c>
      <c r="CC102" s="21">
        <v>45288.770833333299</v>
      </c>
      <c r="CD102" s="21">
        <v>45288.770833333299</v>
      </c>
      <c r="CE102" s="21">
        <v>45288.770833333299</v>
      </c>
      <c r="CF102" s="21">
        <v>45288.770833333299</v>
      </c>
      <c r="CG102" s="21">
        <v>44934.770833333299</v>
      </c>
      <c r="CH102" s="21">
        <v>0</v>
      </c>
      <c r="CI102" s="21">
        <v>0</v>
      </c>
      <c r="CJ102" s="21">
        <v>0</v>
      </c>
      <c r="CK102" s="22" t="s">
        <v>3042</v>
      </c>
      <c r="CL102" s="22" t="s">
        <v>3007</v>
      </c>
      <c r="CM102" s="22" t="s">
        <v>3007</v>
      </c>
      <c r="CN102" s="22" t="s">
        <v>3007</v>
      </c>
      <c r="CO102" s="22" t="s">
        <v>3007</v>
      </c>
      <c r="CP102" s="22" t="s">
        <v>3007</v>
      </c>
      <c r="CQ102" s="22" t="s">
        <v>2953</v>
      </c>
      <c r="CR102" s="22" t="s">
        <v>3007</v>
      </c>
      <c r="CS102" s="22" t="s">
        <v>3007</v>
      </c>
      <c r="CT102" s="22">
        <v>2</v>
      </c>
      <c r="CU102" s="21">
        <v>45468</v>
      </c>
      <c r="CV102" s="21">
        <v>45468</v>
      </c>
      <c r="CW102" s="21">
        <v>45468</v>
      </c>
      <c r="CX102" s="21">
        <v>45468</v>
      </c>
      <c r="CY102" s="21">
        <v>45468</v>
      </c>
      <c r="CZ102" s="21">
        <v>45204</v>
      </c>
      <c r="DA102" s="21">
        <v>46134</v>
      </c>
      <c r="DB102" s="21">
        <v>46144</v>
      </c>
      <c r="DC102" s="21">
        <v>46193</v>
      </c>
      <c r="DD102" s="8">
        <v>1</v>
      </c>
      <c r="DE102" s="8">
        <v>0</v>
      </c>
      <c r="DF102" s="8">
        <v>0</v>
      </c>
      <c r="DG102" s="8">
        <v>6</v>
      </c>
      <c r="DH102" s="8">
        <v>1</v>
      </c>
      <c r="DI102" s="8">
        <v>1</v>
      </c>
      <c r="DJ102" s="8" t="s">
        <v>2954</v>
      </c>
      <c r="DK102" s="21">
        <v>43119</v>
      </c>
      <c r="DL102" s="21">
        <v>43062</v>
      </c>
      <c r="DM102" s="21">
        <v>46041</v>
      </c>
      <c r="DN102" s="18">
        <v>18700</v>
      </c>
      <c r="DO102" s="21">
        <v>0</v>
      </c>
      <c r="DP102" s="21">
        <v>0</v>
      </c>
      <c r="DQ102" s="21" t="s">
        <v>2955</v>
      </c>
      <c r="DR102" s="21">
        <v>45289</v>
      </c>
      <c r="DS102" s="21">
        <v>45289</v>
      </c>
      <c r="DT102" s="21">
        <v>45289</v>
      </c>
      <c r="DU102" s="21">
        <v>45289</v>
      </c>
      <c r="DV102" s="21">
        <v>45289</v>
      </c>
      <c r="DW102" s="21">
        <v>44935</v>
      </c>
      <c r="DX102" s="21">
        <v>0</v>
      </c>
      <c r="DY102" s="21">
        <v>0</v>
      </c>
      <c r="DZ102" s="21">
        <v>0</v>
      </c>
      <c r="EA102" s="8">
        <v>690</v>
      </c>
      <c r="EB102" s="8">
        <v>650</v>
      </c>
      <c r="EC102" s="8">
        <v>650</v>
      </c>
      <c r="ED102" s="8">
        <v>650</v>
      </c>
      <c r="EE102" s="8">
        <v>650</v>
      </c>
      <c r="EF102" s="8">
        <v>650</v>
      </c>
      <c r="EG102" s="8">
        <v>1000</v>
      </c>
      <c r="EH102" s="8">
        <v>650</v>
      </c>
      <c r="EI102" s="8">
        <v>650</v>
      </c>
      <c r="EJ102" s="8">
        <v>2</v>
      </c>
      <c r="EK102" s="8" t="s">
        <v>2624</v>
      </c>
      <c r="EL102" s="8">
        <v>71</v>
      </c>
      <c r="EM102" s="8">
        <v>142</v>
      </c>
      <c r="EN102" s="8">
        <v>402</v>
      </c>
      <c r="EO102" s="8">
        <v>362</v>
      </c>
      <c r="EP102" s="8">
        <v>362</v>
      </c>
      <c r="EQ102" s="8">
        <v>362</v>
      </c>
      <c r="ER102" s="8">
        <v>362</v>
      </c>
      <c r="ES102" s="8">
        <v>362</v>
      </c>
      <c r="ET102" s="8">
        <v>712</v>
      </c>
      <c r="EU102" s="8">
        <v>362</v>
      </c>
      <c r="EV102" s="8">
        <v>362</v>
      </c>
    </row>
    <row r="103" spans="1:152" x14ac:dyDescent="0.15">
      <c r="A103" s="8">
        <f>ROW([2]!tbl_DPSAC[[#This Row],[Sl. No.]])-1</f>
        <v>102</v>
      </c>
      <c r="B103" s="9" t="s">
        <v>136</v>
      </c>
      <c r="C103" s="9" t="s">
        <v>793</v>
      </c>
      <c r="D103" s="9" t="s">
        <v>198</v>
      </c>
      <c r="E103" s="9" t="s">
        <v>199</v>
      </c>
      <c r="F103" s="9" t="s">
        <v>161</v>
      </c>
      <c r="G103" s="10" t="s">
        <v>794</v>
      </c>
      <c r="H103" s="10" t="str">
        <f>_xlfn.XLOOKUP(C103,'[1]E&amp;DPSAC'!$K:$K,'[1]E&amp;DPSAC'!$E:$E,,0)</f>
        <v>TATISILWI, RANCHI</v>
      </c>
      <c r="I103" s="10" t="s">
        <v>795</v>
      </c>
      <c r="J103" s="10">
        <v>9572693497</v>
      </c>
      <c r="K103" s="10">
        <f>_xlfn.XLOOKUP(C103,'[1]E&amp;DPSAC'!$K:$K,'[1]E&amp;DPSAC'!$G:$G,"",0)</f>
        <v>9572693497</v>
      </c>
      <c r="L103" s="9" t="str">
        <f t="shared" ca="1" si="4"/>
        <v>Non - Warranty</v>
      </c>
      <c r="M103" s="11">
        <v>43669</v>
      </c>
      <c r="N103" s="12">
        <v>24</v>
      </c>
      <c r="O103" s="11">
        <f t="shared" si="5"/>
        <v>44408</v>
      </c>
      <c r="P103" s="8" t="s">
        <v>142</v>
      </c>
      <c r="Q103" s="16" t="s">
        <v>796</v>
      </c>
      <c r="R103" s="15">
        <v>45954.734027777777</v>
      </c>
      <c r="S103" s="14">
        <v>4870</v>
      </c>
      <c r="T103" s="15">
        <v>45199</v>
      </c>
      <c r="U103" s="14">
        <v>3670</v>
      </c>
      <c r="V103" s="14">
        <v>4880</v>
      </c>
      <c r="W103" s="17">
        <v>45962.702777777777</v>
      </c>
      <c r="X103" s="14" t="s">
        <v>2699</v>
      </c>
      <c r="Y103" s="14">
        <v>740</v>
      </c>
      <c r="Z103" s="14" t="s">
        <v>2692</v>
      </c>
      <c r="AA103" s="18">
        <v>158.26597222222335</v>
      </c>
      <c r="AB103" s="18" t="s">
        <v>2692</v>
      </c>
      <c r="AC103" s="8">
        <f>tbl_DPSAC[[#This Row],[Current Month Due Count]]</f>
        <v>4</v>
      </c>
      <c r="AD103" s="8">
        <f>tbl_DPSAC[[#This Row],[Next Month Due2]]</f>
        <v>0</v>
      </c>
      <c r="AE103" s="8">
        <f t="shared" si="6"/>
        <v>0</v>
      </c>
      <c r="AF103" s="8">
        <v>1</v>
      </c>
      <c r="AG103" s="14">
        <f t="shared" ca="1" si="7"/>
        <v>5030</v>
      </c>
      <c r="AH103" s="8">
        <v>0</v>
      </c>
      <c r="AI103" s="8">
        <v>0</v>
      </c>
      <c r="AJ103" s="8">
        <v>0</v>
      </c>
      <c r="AK103" s="8">
        <v>0</v>
      </c>
      <c r="AL103" s="8">
        <v>0</v>
      </c>
      <c r="AM103" s="8">
        <v>0</v>
      </c>
      <c r="AN103" s="8">
        <v>0</v>
      </c>
      <c r="AO103" s="8">
        <v>0</v>
      </c>
      <c r="AP103" s="8">
        <v>0</v>
      </c>
      <c r="AQ103" s="8">
        <v>0</v>
      </c>
      <c r="AR103" s="8">
        <v>0</v>
      </c>
      <c r="AS103" s="8">
        <v>0</v>
      </c>
      <c r="AT103" s="8">
        <v>0</v>
      </c>
      <c r="AU103" s="8">
        <v>0</v>
      </c>
      <c r="AV103" s="8">
        <v>0</v>
      </c>
      <c r="AW103" s="8">
        <v>0</v>
      </c>
      <c r="AX103" s="8" t="s">
        <v>2007</v>
      </c>
      <c r="AY103" s="14">
        <v>4870</v>
      </c>
      <c r="AZ103" s="19">
        <v>45954</v>
      </c>
      <c r="BA103" s="14" t="s">
        <v>796</v>
      </c>
      <c r="BB103" s="14">
        <v>4870</v>
      </c>
      <c r="BC103" s="19">
        <v>45954</v>
      </c>
      <c r="BD103" s="14" t="s">
        <v>796</v>
      </c>
      <c r="BE103" s="14">
        <v>4870</v>
      </c>
      <c r="BF103" s="19">
        <v>45954</v>
      </c>
      <c r="BG103" s="14" t="s">
        <v>796</v>
      </c>
      <c r="BH103" s="14">
        <v>4870</v>
      </c>
      <c r="BI103" s="19">
        <v>45954</v>
      </c>
      <c r="BJ103" s="14" t="s">
        <v>796</v>
      </c>
      <c r="BK103" s="14">
        <v>4870</v>
      </c>
      <c r="BL103" s="19">
        <v>45954</v>
      </c>
      <c r="BM103" s="14" t="s">
        <v>796</v>
      </c>
      <c r="BN103" s="27">
        <v>46134</v>
      </c>
      <c r="BO103" s="27">
        <v>46134</v>
      </c>
      <c r="BP103" s="27">
        <v>46134</v>
      </c>
      <c r="BQ103" s="27">
        <v>46134</v>
      </c>
      <c r="BR103" s="27">
        <v>46319</v>
      </c>
      <c r="BS103" s="28">
        <v>590</v>
      </c>
      <c r="BT103" s="29">
        <v>1340</v>
      </c>
      <c r="BU103" s="29">
        <v>590</v>
      </c>
      <c r="BV103" s="29">
        <v>590</v>
      </c>
      <c r="BW103" s="29">
        <v>1340</v>
      </c>
      <c r="BX103" s="30" t="e">
        <v>#N/A</v>
      </c>
      <c r="BY103" s="8">
        <v>0</v>
      </c>
      <c r="BZ103" s="8">
        <v>4</v>
      </c>
      <c r="CA103" s="8">
        <v>0</v>
      </c>
      <c r="CB103" s="21">
        <v>45954.770833333299</v>
      </c>
      <c r="CC103" s="21">
        <v>45954.770833333299</v>
      </c>
      <c r="CD103" s="21">
        <v>45954.770833333299</v>
      </c>
      <c r="CE103" s="21">
        <v>45954.770833333299</v>
      </c>
      <c r="CF103" s="21">
        <v>45954.770833333299</v>
      </c>
      <c r="CG103" s="21">
        <v>45743.770833333299</v>
      </c>
      <c r="CH103" s="21">
        <v>45743.770833333299</v>
      </c>
      <c r="CI103" s="21">
        <v>45743.770833333299</v>
      </c>
      <c r="CJ103" s="21">
        <v>45743.770833333299</v>
      </c>
      <c r="CK103" s="22" t="s">
        <v>3043</v>
      </c>
      <c r="CL103" s="22" t="s">
        <v>3043</v>
      </c>
      <c r="CM103" s="22" t="s">
        <v>3043</v>
      </c>
      <c r="CN103" s="22" t="s">
        <v>3043</v>
      </c>
      <c r="CO103" s="22" t="s">
        <v>3043</v>
      </c>
      <c r="CP103" s="22" t="s">
        <v>3043</v>
      </c>
      <c r="CQ103" s="22" t="s">
        <v>2953</v>
      </c>
      <c r="CR103" s="22" t="s">
        <v>3043</v>
      </c>
      <c r="CS103" s="22" t="s">
        <v>3043</v>
      </c>
      <c r="CT103" s="22">
        <v>1</v>
      </c>
      <c r="CU103" s="21">
        <v>46134</v>
      </c>
      <c r="CV103" s="21">
        <v>46134</v>
      </c>
      <c r="CW103" s="21">
        <v>46134</v>
      </c>
      <c r="CX103" s="21">
        <v>46134</v>
      </c>
      <c r="CY103" s="21">
        <v>46134</v>
      </c>
      <c r="CZ103" s="21">
        <v>46013</v>
      </c>
      <c r="DA103" s="21">
        <v>46108</v>
      </c>
      <c r="DB103" s="21">
        <v>45923</v>
      </c>
      <c r="DC103" s="21">
        <v>46108</v>
      </c>
      <c r="DD103" s="8">
        <v>1</v>
      </c>
      <c r="DE103" s="8">
        <v>0</v>
      </c>
      <c r="DF103" s="8">
        <v>1</v>
      </c>
      <c r="DG103" s="8">
        <v>4</v>
      </c>
      <c r="DH103" s="8">
        <v>5</v>
      </c>
      <c r="DI103" s="8">
        <v>0</v>
      </c>
      <c r="DJ103" s="8" t="s">
        <v>2954</v>
      </c>
      <c r="DK103" s="21">
        <v>43669</v>
      </c>
      <c r="DL103" s="21">
        <v>43628.229166666664</v>
      </c>
      <c r="DM103" s="21">
        <v>45962</v>
      </c>
      <c r="DN103" s="18">
        <v>4880</v>
      </c>
      <c r="DO103" s="21">
        <v>0</v>
      </c>
      <c r="DP103" s="21">
        <v>0</v>
      </c>
      <c r="DQ103" s="21" t="s">
        <v>2955</v>
      </c>
      <c r="DR103" s="21">
        <v>45955</v>
      </c>
      <c r="DS103" s="21">
        <v>45955</v>
      </c>
      <c r="DT103" s="21">
        <v>45955</v>
      </c>
      <c r="DU103" s="21">
        <v>45955</v>
      </c>
      <c r="DV103" s="21">
        <v>45955</v>
      </c>
      <c r="DW103" s="21">
        <v>45744</v>
      </c>
      <c r="DX103" s="21">
        <v>45744</v>
      </c>
      <c r="DY103" s="21">
        <v>45744</v>
      </c>
      <c r="DZ103" s="21">
        <v>45744</v>
      </c>
      <c r="EA103" s="8">
        <v>745</v>
      </c>
      <c r="EB103" s="8">
        <v>745</v>
      </c>
      <c r="EC103" s="8">
        <v>745</v>
      </c>
      <c r="ED103" s="8">
        <v>745</v>
      </c>
      <c r="EE103" s="8">
        <v>745</v>
      </c>
      <c r="EF103" s="8">
        <v>745</v>
      </c>
      <c r="EG103" s="8">
        <v>1000</v>
      </c>
      <c r="EH103" s="8">
        <v>745</v>
      </c>
      <c r="EI103" s="8">
        <v>745</v>
      </c>
      <c r="EJ103" s="8">
        <v>1</v>
      </c>
      <c r="EK103" s="8" t="s">
        <v>2624</v>
      </c>
      <c r="EL103" s="8">
        <v>150</v>
      </c>
      <c r="EM103" s="8">
        <v>150</v>
      </c>
      <c r="EN103" s="8">
        <v>457</v>
      </c>
      <c r="EO103" s="8">
        <v>457</v>
      </c>
      <c r="EP103" s="8">
        <v>457</v>
      </c>
      <c r="EQ103" s="8">
        <v>457</v>
      </c>
      <c r="ER103" s="8">
        <v>457</v>
      </c>
      <c r="ES103" s="8">
        <v>457</v>
      </c>
      <c r="ET103" s="8">
        <v>712</v>
      </c>
      <c r="EU103" s="8">
        <v>457</v>
      </c>
      <c r="EV103" s="8">
        <v>457</v>
      </c>
    </row>
    <row r="104" spans="1:152" x14ac:dyDescent="0.15">
      <c r="A104" s="8">
        <f>ROW([2]!tbl_DPSAC[[#This Row],[Sl. No.]])-1</f>
        <v>103</v>
      </c>
      <c r="B104" s="9" t="s">
        <v>136</v>
      </c>
      <c r="C104" s="9" t="s">
        <v>797</v>
      </c>
      <c r="D104" s="9" t="s">
        <v>216</v>
      </c>
      <c r="E104" s="9" t="s">
        <v>217</v>
      </c>
      <c r="F104" s="9" t="s">
        <v>161</v>
      </c>
      <c r="G104" s="10" t="s">
        <v>798</v>
      </c>
      <c r="H104" s="10" t="str">
        <f>_xlfn.XLOOKUP(C104,'[1]E&amp;DPSAC'!$K:$K,'[1]E&amp;DPSAC'!$E:$E,,0)</f>
        <v>FLAT NO. 300, BLOCK - A, MP SRIRAM, CHHOTA GAMHARIA, P.S. - GAMHARIA, DIST.- SARAIKELA KHARSAWAN</v>
      </c>
      <c r="I104" s="10" t="s">
        <v>799</v>
      </c>
      <c r="J104" s="10">
        <v>7900700814</v>
      </c>
      <c r="K104" s="10">
        <f>_xlfn.XLOOKUP(C104,'[1]E&amp;DPSAC'!$K:$K,'[1]E&amp;DPSAC'!$G:$G,"",0)</f>
        <v>7600700814</v>
      </c>
      <c r="L104" s="9" t="str">
        <f t="shared" ca="1" si="4"/>
        <v>Non - Warranty</v>
      </c>
      <c r="M104" s="11">
        <v>43451</v>
      </c>
      <c r="N104" s="12">
        <v>24</v>
      </c>
      <c r="O104" s="11">
        <f t="shared" si="5"/>
        <v>44196</v>
      </c>
      <c r="P104" s="8" t="s">
        <v>142</v>
      </c>
      <c r="Q104" s="16" t="s">
        <v>802</v>
      </c>
      <c r="R104" s="15">
        <v>46014.587164351899</v>
      </c>
      <c r="S104" s="14">
        <v>14160</v>
      </c>
      <c r="T104" s="15">
        <v>46049</v>
      </c>
      <c r="U104" s="14">
        <v>14332</v>
      </c>
      <c r="V104" s="14">
        <v>14370</v>
      </c>
      <c r="W104" s="17">
        <v>46041.677025463003</v>
      </c>
      <c r="X104" s="14" t="s">
        <v>2759</v>
      </c>
      <c r="Y104" s="14">
        <v>540</v>
      </c>
      <c r="Z104" s="14" t="s">
        <v>2692</v>
      </c>
      <c r="AA104" s="18">
        <v>98.412835648101463</v>
      </c>
      <c r="AB104" s="18" t="s">
        <v>2692</v>
      </c>
      <c r="AC104" s="8">
        <f>tbl_DPSAC[[#This Row],[Current Month Due Count]]</f>
        <v>0</v>
      </c>
      <c r="AD104" s="8">
        <f>tbl_DPSAC[[#This Row],[Next Month Due2]]</f>
        <v>0</v>
      </c>
      <c r="AE104" s="8">
        <f t="shared" si="6"/>
        <v>0</v>
      </c>
      <c r="AF104" s="8">
        <v>8</v>
      </c>
      <c r="AG104" s="14">
        <f t="shared" ca="1" si="7"/>
        <v>14941</v>
      </c>
      <c r="AH104" s="8" t="s">
        <v>800</v>
      </c>
      <c r="AI104" s="8">
        <v>0</v>
      </c>
      <c r="AJ104" s="8">
        <v>0</v>
      </c>
      <c r="AK104" s="8">
        <v>0</v>
      </c>
      <c r="AL104" s="8" t="s">
        <v>801</v>
      </c>
      <c r="AM104" s="8">
        <v>0</v>
      </c>
      <c r="AN104" s="8">
        <v>0</v>
      </c>
      <c r="AO104" s="8">
        <v>0</v>
      </c>
      <c r="AP104" s="8">
        <v>0</v>
      </c>
      <c r="AQ104" s="8">
        <v>0</v>
      </c>
      <c r="AR104" s="8">
        <v>0</v>
      </c>
      <c r="AS104" s="8">
        <v>0</v>
      </c>
      <c r="AT104" s="8">
        <v>0</v>
      </c>
      <c r="AU104" s="8">
        <v>0</v>
      </c>
      <c r="AV104" s="8">
        <v>0</v>
      </c>
      <c r="AW104" s="8">
        <v>0</v>
      </c>
      <c r="AX104" s="8" t="s">
        <v>2980</v>
      </c>
      <c r="AY104" s="14">
        <v>14160</v>
      </c>
      <c r="AZ104" s="19">
        <v>46014</v>
      </c>
      <c r="BA104" s="14" t="s">
        <v>802</v>
      </c>
      <c r="BB104" s="14">
        <v>14160</v>
      </c>
      <c r="BC104" s="19">
        <v>46014</v>
      </c>
      <c r="BD104" s="14" t="s">
        <v>802</v>
      </c>
      <c r="BE104" s="14">
        <v>14160</v>
      </c>
      <c r="BF104" s="19">
        <v>46014</v>
      </c>
      <c r="BG104" s="14" t="s">
        <v>802</v>
      </c>
      <c r="BH104" s="14">
        <v>14160</v>
      </c>
      <c r="BI104" s="19">
        <v>46014</v>
      </c>
      <c r="BJ104" s="14" t="s">
        <v>802</v>
      </c>
      <c r="BK104" s="14">
        <v>14160</v>
      </c>
      <c r="BL104" s="19">
        <v>46014</v>
      </c>
      <c r="BM104" s="14" t="s">
        <v>802</v>
      </c>
      <c r="BN104" s="27">
        <v>46194</v>
      </c>
      <c r="BO104" s="27">
        <v>46194</v>
      </c>
      <c r="BP104" s="27">
        <v>46194</v>
      </c>
      <c r="BQ104" s="27">
        <v>46194</v>
      </c>
      <c r="BR104" s="27">
        <v>46379</v>
      </c>
      <c r="BS104" s="28">
        <v>-31</v>
      </c>
      <c r="BT104" s="29">
        <v>719</v>
      </c>
      <c r="BU104" s="29">
        <v>-31</v>
      </c>
      <c r="BV104" s="29">
        <v>-31</v>
      </c>
      <c r="BW104" s="29">
        <v>719</v>
      </c>
      <c r="BX104" s="30" t="e">
        <v>#N/A</v>
      </c>
      <c r="BY104" s="8">
        <v>0</v>
      </c>
      <c r="BZ104" s="8">
        <v>0</v>
      </c>
      <c r="CA104" s="8">
        <v>0</v>
      </c>
      <c r="CB104" s="21">
        <v>46013.770833333299</v>
      </c>
      <c r="CC104" s="21">
        <v>46013.770833333299</v>
      </c>
      <c r="CD104" s="21">
        <v>0</v>
      </c>
      <c r="CE104" s="21">
        <v>46013.770833333299</v>
      </c>
      <c r="CF104" s="21">
        <v>46013.770833333299</v>
      </c>
      <c r="CG104" s="21">
        <v>46013.770833333299</v>
      </c>
      <c r="CH104" s="21">
        <v>46013.770833333299</v>
      </c>
      <c r="CI104" s="21">
        <v>46013.770833333299</v>
      </c>
      <c r="CJ104" s="21">
        <v>46013.770833333299</v>
      </c>
      <c r="CK104" s="22" t="s">
        <v>3044</v>
      </c>
      <c r="CL104" s="22" t="s">
        <v>3006</v>
      </c>
      <c r="CM104" s="22" t="s">
        <v>3006</v>
      </c>
      <c r="CN104" s="22" t="s">
        <v>3006</v>
      </c>
      <c r="CO104" s="22" t="s">
        <v>3006</v>
      </c>
      <c r="CP104" s="22" t="s">
        <v>3044</v>
      </c>
      <c r="CQ104" s="22" t="s">
        <v>2953</v>
      </c>
      <c r="CR104" s="22" t="s">
        <v>3044</v>
      </c>
      <c r="CS104" s="22" t="s">
        <v>3044</v>
      </c>
      <c r="CT104" s="22">
        <v>4</v>
      </c>
      <c r="CU104" s="21">
        <v>46193</v>
      </c>
      <c r="CV104" s="21">
        <v>46176</v>
      </c>
      <c r="CW104" s="21">
        <v>46176</v>
      </c>
      <c r="CX104" s="21">
        <v>46176</v>
      </c>
      <c r="CY104" s="21">
        <v>46176</v>
      </c>
      <c r="CZ104" s="21">
        <v>46283</v>
      </c>
      <c r="DA104" s="21">
        <v>46291</v>
      </c>
      <c r="DB104" s="21">
        <v>46193</v>
      </c>
      <c r="DC104" s="21">
        <v>46363</v>
      </c>
      <c r="DD104" s="8">
        <v>0</v>
      </c>
      <c r="DE104" s="8">
        <v>0</v>
      </c>
      <c r="DF104" s="8">
        <v>0</v>
      </c>
      <c r="DG104" s="8">
        <v>0</v>
      </c>
      <c r="DH104" s="8">
        <v>0</v>
      </c>
      <c r="DI104" s="8">
        <v>0</v>
      </c>
      <c r="DJ104" s="8" t="s">
        <v>2954</v>
      </c>
      <c r="DK104" s="21">
        <v>43451</v>
      </c>
      <c r="DL104" s="21">
        <v>43432.333333333336</v>
      </c>
      <c r="DM104" s="21">
        <v>46041</v>
      </c>
      <c r="DN104" s="18">
        <v>14370</v>
      </c>
      <c r="DO104" s="21">
        <v>0</v>
      </c>
      <c r="DP104" s="21">
        <v>0</v>
      </c>
      <c r="DQ104" s="21" t="s">
        <v>2955</v>
      </c>
      <c r="DR104" s="21">
        <v>46014</v>
      </c>
      <c r="DS104" s="21">
        <v>46014</v>
      </c>
      <c r="DT104" s="21">
        <v>0</v>
      </c>
      <c r="DU104" s="21">
        <v>46014</v>
      </c>
      <c r="DV104" s="21">
        <v>46014</v>
      </c>
      <c r="DW104" s="21">
        <v>46014</v>
      </c>
      <c r="DX104" s="21">
        <v>46014</v>
      </c>
      <c r="DY104" s="21">
        <v>46014</v>
      </c>
      <c r="DZ104" s="21">
        <v>46014</v>
      </c>
      <c r="EA104" s="8">
        <v>1290</v>
      </c>
      <c r="EB104" s="8">
        <v>540</v>
      </c>
      <c r="EC104" s="8">
        <v>540</v>
      </c>
      <c r="ED104" s="8">
        <v>540</v>
      </c>
      <c r="EE104" s="8">
        <v>540</v>
      </c>
      <c r="EF104" s="8">
        <v>1290</v>
      </c>
      <c r="EG104" s="8">
        <v>1000</v>
      </c>
      <c r="EH104" s="8">
        <v>1290</v>
      </c>
      <c r="EI104" s="8">
        <v>1290</v>
      </c>
      <c r="EJ104" s="8">
        <v>4</v>
      </c>
      <c r="EK104" s="8" t="s">
        <v>2624</v>
      </c>
      <c r="EL104" s="8">
        <v>71</v>
      </c>
      <c r="EM104" s="8">
        <v>568</v>
      </c>
      <c r="EN104" s="8">
        <v>1002</v>
      </c>
      <c r="EO104" s="8">
        <v>252</v>
      </c>
      <c r="EP104" s="8">
        <v>252</v>
      </c>
      <c r="EQ104" s="8">
        <v>252</v>
      </c>
      <c r="ER104" s="8">
        <v>252</v>
      </c>
      <c r="ES104" s="8">
        <v>1002</v>
      </c>
      <c r="ET104" s="8">
        <v>712</v>
      </c>
      <c r="EU104" s="8">
        <v>1002</v>
      </c>
      <c r="EV104" s="8">
        <v>1002</v>
      </c>
    </row>
    <row r="105" spans="1:152" x14ac:dyDescent="0.15">
      <c r="A105" s="8">
        <f>ROW([2]!tbl_DPSAC[[#This Row],[Sl. No.]])-1</f>
        <v>104</v>
      </c>
      <c r="B105" s="9" t="s">
        <v>136</v>
      </c>
      <c r="C105" s="9" t="s">
        <v>803</v>
      </c>
      <c r="D105" s="9" t="s">
        <v>216</v>
      </c>
      <c r="E105" s="9" t="s">
        <v>217</v>
      </c>
      <c r="F105" s="9" t="s">
        <v>161</v>
      </c>
      <c r="G105" s="10" t="s">
        <v>798</v>
      </c>
      <c r="H105" s="10" t="str">
        <f>_xlfn.XLOOKUP(C105,'[1]E&amp;DPSAC'!$K:$K,'[1]E&amp;DPSAC'!$E:$E,,0)</f>
        <v>FLAT NO. 300, BLOCK - A, MP SRIRAM, CHHOTA GAMHARIA, P.S. - GAMHARIA, DIST.- SARAIKELA KHARSAWAN</v>
      </c>
      <c r="I105" s="10" t="s">
        <v>799</v>
      </c>
      <c r="J105" s="10">
        <v>7900700814</v>
      </c>
      <c r="K105" s="10">
        <f>_xlfn.XLOOKUP(C105,'[1]E&amp;DPSAC'!$K:$K,'[1]E&amp;DPSAC'!$G:$G,"",0)</f>
        <v>8756386052</v>
      </c>
      <c r="L105" s="9" t="str">
        <f t="shared" ca="1" si="4"/>
        <v>Non - Warranty</v>
      </c>
      <c r="M105" s="11">
        <v>43286</v>
      </c>
      <c r="N105" s="12">
        <v>24</v>
      </c>
      <c r="O105" s="11">
        <f t="shared" si="5"/>
        <v>44043</v>
      </c>
      <c r="P105" s="8" t="s">
        <v>142</v>
      </c>
      <c r="Q105" s="16" t="s">
        <v>2635</v>
      </c>
      <c r="R105" s="15">
        <v>46014.588935185202</v>
      </c>
      <c r="S105" s="14">
        <v>9950</v>
      </c>
      <c r="T105" s="15">
        <v>46011</v>
      </c>
      <c r="U105" s="14">
        <v>10451</v>
      </c>
      <c r="V105" s="14">
        <v>10105</v>
      </c>
      <c r="W105" s="17">
        <v>46041.681365740696</v>
      </c>
      <c r="X105" s="14" t="s">
        <v>2759</v>
      </c>
      <c r="Y105" s="14">
        <v>595</v>
      </c>
      <c r="Z105" s="14" t="s">
        <v>2692</v>
      </c>
      <c r="AA105" s="18">
        <v>98.41106481479801</v>
      </c>
      <c r="AB105" s="18" t="s">
        <v>2692</v>
      </c>
      <c r="AC105" s="8">
        <f>tbl_DPSAC[[#This Row],[Current Month Due Count]]</f>
        <v>0</v>
      </c>
      <c r="AD105" s="8">
        <f>tbl_DPSAC[[#This Row],[Next Month Due2]]</f>
        <v>0</v>
      </c>
      <c r="AE105" s="8">
        <f t="shared" si="6"/>
        <v>0</v>
      </c>
      <c r="AF105" s="8">
        <v>6</v>
      </c>
      <c r="AG105" s="14">
        <f t="shared" ca="1" si="7"/>
        <v>10533</v>
      </c>
      <c r="AH105" s="8">
        <v>0</v>
      </c>
      <c r="AI105" s="8" t="s">
        <v>804</v>
      </c>
      <c r="AJ105" s="8">
        <v>0</v>
      </c>
      <c r="AK105" s="8">
        <v>0</v>
      </c>
      <c r="AL105" s="8">
        <v>0</v>
      </c>
      <c r="AM105" s="8" t="s">
        <v>805</v>
      </c>
      <c r="AN105" s="8" t="s">
        <v>806</v>
      </c>
      <c r="AO105" s="8" t="s">
        <v>807</v>
      </c>
      <c r="AP105" s="8">
        <v>0</v>
      </c>
      <c r="AQ105" s="8">
        <v>0</v>
      </c>
      <c r="AR105" s="8">
        <v>0</v>
      </c>
      <c r="AS105" s="8">
        <v>0</v>
      </c>
      <c r="AT105" s="8">
        <v>0</v>
      </c>
      <c r="AU105" s="8">
        <v>0</v>
      </c>
      <c r="AV105" s="8">
        <v>0</v>
      </c>
      <c r="AW105" s="8">
        <v>0</v>
      </c>
      <c r="AX105" s="8" t="s">
        <v>2007</v>
      </c>
      <c r="AY105" s="14">
        <v>9950</v>
      </c>
      <c r="AZ105" s="19">
        <v>46014</v>
      </c>
      <c r="BA105" s="14" t="s">
        <v>808</v>
      </c>
      <c r="BB105" s="14">
        <v>9950</v>
      </c>
      <c r="BC105" s="19">
        <v>46014</v>
      </c>
      <c r="BD105" s="14" t="s">
        <v>808</v>
      </c>
      <c r="BE105" s="14">
        <v>9950</v>
      </c>
      <c r="BF105" s="19">
        <v>46014</v>
      </c>
      <c r="BG105" s="14" t="s">
        <v>808</v>
      </c>
      <c r="BH105" s="14">
        <v>9950</v>
      </c>
      <c r="BI105" s="19">
        <v>46014</v>
      </c>
      <c r="BJ105" s="14" t="s">
        <v>808</v>
      </c>
      <c r="BK105" s="14">
        <v>9950</v>
      </c>
      <c r="BL105" s="19">
        <v>46014</v>
      </c>
      <c r="BM105" s="14" t="s">
        <v>808</v>
      </c>
      <c r="BN105" s="27">
        <v>46194</v>
      </c>
      <c r="BO105" s="27">
        <v>46194</v>
      </c>
      <c r="BP105" s="27">
        <v>46194</v>
      </c>
      <c r="BQ105" s="27">
        <v>46194</v>
      </c>
      <c r="BR105" s="27">
        <v>46379</v>
      </c>
      <c r="BS105" s="28">
        <v>167</v>
      </c>
      <c r="BT105" s="29">
        <v>917</v>
      </c>
      <c r="BU105" s="29">
        <v>167</v>
      </c>
      <c r="BV105" s="29">
        <v>167</v>
      </c>
      <c r="BW105" s="29">
        <v>917</v>
      </c>
      <c r="BX105" s="30" t="e">
        <v>#N/A</v>
      </c>
      <c r="BY105" s="8">
        <v>0</v>
      </c>
      <c r="BZ105" s="8">
        <v>0</v>
      </c>
      <c r="CA105" s="8">
        <v>0</v>
      </c>
      <c r="CB105" s="21">
        <v>46013.770833333299</v>
      </c>
      <c r="CC105" s="21">
        <v>46013.770833333299</v>
      </c>
      <c r="CD105" s="21">
        <v>0</v>
      </c>
      <c r="CE105" s="21">
        <v>46013.770833333299</v>
      </c>
      <c r="CF105" s="21">
        <v>46013.770833333299</v>
      </c>
      <c r="CG105" s="21">
        <v>46013.770833333299</v>
      </c>
      <c r="CH105" s="21">
        <v>46013.770833333299</v>
      </c>
      <c r="CI105" s="21">
        <v>46013.770833333299</v>
      </c>
      <c r="CJ105" s="21">
        <v>46013.770833333299</v>
      </c>
      <c r="CK105" s="22" t="s">
        <v>3001</v>
      </c>
      <c r="CL105" s="22" t="s">
        <v>3045</v>
      </c>
      <c r="CM105" s="22" t="s">
        <v>3045</v>
      </c>
      <c r="CN105" s="22" t="s">
        <v>3045</v>
      </c>
      <c r="CO105" s="22" t="s">
        <v>3045</v>
      </c>
      <c r="CP105" s="22" t="s">
        <v>3046</v>
      </c>
      <c r="CQ105" s="22" t="s">
        <v>2953</v>
      </c>
      <c r="CR105" s="22" t="s">
        <v>3046</v>
      </c>
      <c r="CS105" s="22" t="s">
        <v>3046</v>
      </c>
      <c r="CT105" s="22">
        <v>4</v>
      </c>
      <c r="CU105" s="21">
        <v>46193</v>
      </c>
      <c r="CV105" s="21">
        <v>46188</v>
      </c>
      <c r="CW105" s="21">
        <v>46184</v>
      </c>
      <c r="CX105" s="21">
        <v>46188</v>
      </c>
      <c r="CY105" s="21">
        <v>46188</v>
      </c>
      <c r="CZ105" s="21">
        <v>46283</v>
      </c>
      <c r="DA105" s="21">
        <v>46291</v>
      </c>
      <c r="DB105" s="21">
        <v>46193</v>
      </c>
      <c r="DC105" s="21">
        <v>46378</v>
      </c>
      <c r="DD105" s="8">
        <v>0</v>
      </c>
      <c r="DE105" s="8">
        <v>0</v>
      </c>
      <c r="DF105" s="8">
        <v>0</v>
      </c>
      <c r="DG105" s="8">
        <v>0</v>
      </c>
      <c r="DH105" s="8">
        <v>0</v>
      </c>
      <c r="DI105" s="8">
        <v>0</v>
      </c>
      <c r="DJ105" s="8" t="s">
        <v>2954</v>
      </c>
      <c r="DK105" s="21">
        <v>43286</v>
      </c>
      <c r="DL105" s="21">
        <v>43286</v>
      </c>
      <c r="DM105" s="21">
        <v>46041</v>
      </c>
      <c r="DN105" s="18">
        <v>10105</v>
      </c>
      <c r="DO105" s="21">
        <v>0</v>
      </c>
      <c r="DP105" s="21">
        <v>0</v>
      </c>
      <c r="DQ105" s="21" t="s">
        <v>2955</v>
      </c>
      <c r="DR105" s="21">
        <v>46014</v>
      </c>
      <c r="DS105" s="21">
        <v>46014</v>
      </c>
      <c r="DT105" s="21">
        <v>0</v>
      </c>
      <c r="DU105" s="21">
        <v>46014</v>
      </c>
      <c r="DV105" s="21">
        <v>46014</v>
      </c>
      <c r="DW105" s="21">
        <v>46014</v>
      </c>
      <c r="DX105" s="21">
        <v>46014</v>
      </c>
      <c r="DY105" s="21">
        <v>46014</v>
      </c>
      <c r="DZ105" s="21">
        <v>46014</v>
      </c>
      <c r="EA105" s="8">
        <v>1340</v>
      </c>
      <c r="EB105" s="8">
        <v>590</v>
      </c>
      <c r="EC105" s="8">
        <v>590</v>
      </c>
      <c r="ED105" s="8">
        <v>590</v>
      </c>
      <c r="EE105" s="8">
        <v>590</v>
      </c>
      <c r="EF105" s="8">
        <v>1395</v>
      </c>
      <c r="EG105" s="8">
        <v>1000</v>
      </c>
      <c r="EH105" s="8">
        <v>1395</v>
      </c>
      <c r="EI105" s="8">
        <v>1395</v>
      </c>
      <c r="EJ105" s="8">
        <v>4</v>
      </c>
      <c r="EK105" s="8" t="s">
        <v>2624</v>
      </c>
      <c r="EL105" s="8">
        <v>71</v>
      </c>
      <c r="EM105" s="8">
        <v>426</v>
      </c>
      <c r="EN105" s="8">
        <v>1052</v>
      </c>
      <c r="EO105" s="8">
        <v>302</v>
      </c>
      <c r="EP105" s="8">
        <v>302</v>
      </c>
      <c r="EQ105" s="8">
        <v>302</v>
      </c>
      <c r="ER105" s="8">
        <v>302</v>
      </c>
      <c r="ES105" s="8">
        <v>1107</v>
      </c>
      <c r="ET105" s="8">
        <v>712</v>
      </c>
      <c r="EU105" s="8">
        <v>1107</v>
      </c>
      <c r="EV105" s="8">
        <v>1107</v>
      </c>
    </row>
    <row r="106" spans="1:152" x14ac:dyDescent="0.15">
      <c r="A106" s="8">
        <f>ROW([2]!tbl_DPSAC[[#This Row],[Sl. No.]])-1</f>
        <v>105</v>
      </c>
      <c r="B106" s="9" t="s">
        <v>136</v>
      </c>
      <c r="C106" s="9" t="s">
        <v>809</v>
      </c>
      <c r="D106" s="9" t="s">
        <v>216</v>
      </c>
      <c r="E106" s="9" t="s">
        <v>217</v>
      </c>
      <c r="F106" s="9" t="s">
        <v>161</v>
      </c>
      <c r="G106" s="10" t="s">
        <v>798</v>
      </c>
      <c r="H106" s="10" t="str">
        <f>_xlfn.XLOOKUP(C106,'[1]E&amp;DPSAC'!$K:$K,'[1]E&amp;DPSAC'!$E:$E,,0)</f>
        <v>FLAT NO. 300, BLOCK - A, MP SRIRAM, CHHOTA GAMHARIA, P.S. - GAMHARIA, DIST.- SARAIKELA KHARSAWAN</v>
      </c>
      <c r="I106" s="10" t="s">
        <v>799</v>
      </c>
      <c r="J106" s="10">
        <v>7600700814</v>
      </c>
      <c r="K106" s="10">
        <f>_xlfn.XLOOKUP(C106,'[1]E&amp;DPSAC'!$K:$K,'[1]E&amp;DPSAC'!$G:$G,"",0)</f>
        <v>8756386052</v>
      </c>
      <c r="L106" s="9" t="str">
        <f t="shared" ca="1" si="4"/>
        <v>Non - Warranty</v>
      </c>
      <c r="M106" s="11">
        <v>43451</v>
      </c>
      <c r="N106" s="12">
        <v>24</v>
      </c>
      <c r="O106" s="11">
        <f t="shared" si="5"/>
        <v>44196</v>
      </c>
      <c r="P106" s="8" t="s">
        <v>142</v>
      </c>
      <c r="Q106" s="16" t="s">
        <v>811</v>
      </c>
      <c r="R106" s="15">
        <v>46014.585254629601</v>
      </c>
      <c r="S106" s="14">
        <v>13628</v>
      </c>
      <c r="T106" s="15">
        <v>46011</v>
      </c>
      <c r="U106" s="14">
        <v>13627</v>
      </c>
      <c r="V106" s="14">
        <v>13730</v>
      </c>
      <c r="W106" s="17">
        <v>46041.683854166702</v>
      </c>
      <c r="X106" s="14" t="s">
        <v>2759</v>
      </c>
      <c r="Y106" s="14">
        <v>648</v>
      </c>
      <c r="Z106" s="14" t="s">
        <v>2692</v>
      </c>
      <c r="AA106" s="18">
        <v>98.414745370399032</v>
      </c>
      <c r="AB106" s="18" t="s">
        <v>2692</v>
      </c>
      <c r="AC106" s="8">
        <f>tbl_DPSAC[[#This Row],[Current Month Due Count]]</f>
        <v>0</v>
      </c>
      <c r="AD106" s="8">
        <f>tbl_DPSAC[[#This Row],[Next Month Due2]]</f>
        <v>0</v>
      </c>
      <c r="AE106" s="8">
        <f t="shared" si="6"/>
        <v>0</v>
      </c>
      <c r="AF106" s="8">
        <v>4</v>
      </c>
      <c r="AG106" s="14">
        <f t="shared" ca="1" si="7"/>
        <v>14015</v>
      </c>
      <c r="AH106" s="8">
        <v>0</v>
      </c>
      <c r="AI106" s="8">
        <v>0</v>
      </c>
      <c r="AJ106" s="8">
        <v>0</v>
      </c>
      <c r="AK106" s="8">
        <v>0</v>
      </c>
      <c r="AL106" s="8">
        <v>0</v>
      </c>
      <c r="AM106" s="8">
        <v>0</v>
      </c>
      <c r="AN106" s="8">
        <v>0</v>
      </c>
      <c r="AO106" s="8">
        <v>0</v>
      </c>
      <c r="AP106" s="8">
        <v>0</v>
      </c>
      <c r="AQ106" s="8">
        <v>0</v>
      </c>
      <c r="AR106" s="8">
        <v>0</v>
      </c>
      <c r="AS106" s="8">
        <v>0</v>
      </c>
      <c r="AT106" s="8" t="s">
        <v>810</v>
      </c>
      <c r="AU106" s="8">
        <v>0</v>
      </c>
      <c r="AV106" s="8">
        <v>0</v>
      </c>
      <c r="AW106" s="8">
        <v>0</v>
      </c>
      <c r="AX106" s="8" t="s">
        <v>2007</v>
      </c>
      <c r="AY106" s="14">
        <v>13628</v>
      </c>
      <c r="AZ106" s="19">
        <v>46014</v>
      </c>
      <c r="BA106" s="14" t="s">
        <v>811</v>
      </c>
      <c r="BB106" s="14">
        <v>13628</v>
      </c>
      <c r="BC106" s="19">
        <v>46014</v>
      </c>
      <c r="BD106" s="14" t="s">
        <v>811</v>
      </c>
      <c r="BE106" s="14">
        <v>13628</v>
      </c>
      <c r="BF106" s="19">
        <v>46014</v>
      </c>
      <c r="BG106" s="14" t="s">
        <v>811</v>
      </c>
      <c r="BH106" s="14">
        <v>13628</v>
      </c>
      <c r="BI106" s="19">
        <v>46014</v>
      </c>
      <c r="BJ106" s="14" t="s">
        <v>811</v>
      </c>
      <c r="BK106" s="14">
        <v>13628</v>
      </c>
      <c r="BL106" s="19">
        <v>46014</v>
      </c>
      <c r="BM106" s="14" t="s">
        <v>811</v>
      </c>
      <c r="BN106" s="27">
        <v>46194</v>
      </c>
      <c r="BO106" s="27">
        <v>46194</v>
      </c>
      <c r="BP106" s="27">
        <v>46194</v>
      </c>
      <c r="BQ106" s="27">
        <v>46194</v>
      </c>
      <c r="BR106" s="27">
        <v>46379</v>
      </c>
      <c r="BS106" s="28">
        <v>363</v>
      </c>
      <c r="BT106" s="29">
        <v>1113</v>
      </c>
      <c r="BU106" s="29">
        <v>363</v>
      </c>
      <c r="BV106" s="29">
        <v>363</v>
      </c>
      <c r="BW106" s="29">
        <v>1113</v>
      </c>
      <c r="BX106" s="30" t="e">
        <v>#N/A</v>
      </c>
      <c r="BY106" s="8">
        <v>0</v>
      </c>
      <c r="BZ106" s="8">
        <v>0</v>
      </c>
      <c r="CA106" s="8">
        <v>0</v>
      </c>
      <c r="CB106" s="21">
        <v>46013.770833333299</v>
      </c>
      <c r="CC106" s="21">
        <v>46013.770833333299</v>
      </c>
      <c r="CD106" s="21">
        <v>0</v>
      </c>
      <c r="CE106" s="21">
        <v>46013.770833333299</v>
      </c>
      <c r="CF106" s="21">
        <v>46013.770833333299</v>
      </c>
      <c r="CG106" s="21">
        <v>46013.770833333299</v>
      </c>
      <c r="CH106" s="21">
        <v>46013.770833333299</v>
      </c>
      <c r="CI106" s="21">
        <v>46013.770833333299</v>
      </c>
      <c r="CJ106" s="21">
        <v>46013.770833333299</v>
      </c>
      <c r="CK106" s="22" t="s">
        <v>3046</v>
      </c>
      <c r="CL106" s="22" t="s">
        <v>3047</v>
      </c>
      <c r="CM106" s="22" t="s">
        <v>3047</v>
      </c>
      <c r="CN106" s="22" t="s">
        <v>3047</v>
      </c>
      <c r="CO106" s="22" t="s">
        <v>3047</v>
      </c>
      <c r="CP106" s="22" t="s">
        <v>3046</v>
      </c>
      <c r="CQ106" s="22" t="s">
        <v>2953</v>
      </c>
      <c r="CR106" s="22" t="s">
        <v>3046</v>
      </c>
      <c r="CS106" s="22" t="s">
        <v>3046</v>
      </c>
      <c r="CT106" s="22">
        <v>2</v>
      </c>
      <c r="CU106" s="21">
        <v>46193</v>
      </c>
      <c r="CV106" s="21">
        <v>46193</v>
      </c>
      <c r="CW106" s="21">
        <v>46189</v>
      </c>
      <c r="CX106" s="21">
        <v>46193</v>
      </c>
      <c r="CY106" s="21">
        <v>46193</v>
      </c>
      <c r="CZ106" s="21">
        <v>46283</v>
      </c>
      <c r="DA106" s="21">
        <v>46378</v>
      </c>
      <c r="DB106" s="21">
        <v>46193</v>
      </c>
      <c r="DC106" s="21">
        <v>46378</v>
      </c>
      <c r="DD106" s="8">
        <v>0</v>
      </c>
      <c r="DE106" s="8">
        <v>0</v>
      </c>
      <c r="DF106" s="8">
        <v>0</v>
      </c>
      <c r="DG106" s="8">
        <v>0</v>
      </c>
      <c r="DH106" s="8">
        <v>0</v>
      </c>
      <c r="DI106" s="8">
        <v>0</v>
      </c>
      <c r="DJ106" s="8" t="s">
        <v>2954</v>
      </c>
      <c r="DK106" s="21">
        <v>43451</v>
      </c>
      <c r="DL106" s="21">
        <v>43432.229166666664</v>
      </c>
      <c r="DM106" s="21">
        <v>46041</v>
      </c>
      <c r="DN106" s="18">
        <v>13730</v>
      </c>
      <c r="DO106" s="21">
        <v>0</v>
      </c>
      <c r="DP106" s="21">
        <v>0</v>
      </c>
      <c r="DQ106" s="21" t="s">
        <v>2955</v>
      </c>
      <c r="DR106" s="21">
        <v>46014</v>
      </c>
      <c r="DS106" s="21">
        <v>46014</v>
      </c>
      <c r="DT106" s="21">
        <v>0</v>
      </c>
      <c r="DU106" s="21">
        <v>46014</v>
      </c>
      <c r="DV106" s="21">
        <v>46014</v>
      </c>
      <c r="DW106" s="21">
        <v>46014</v>
      </c>
      <c r="DX106" s="21">
        <v>46014</v>
      </c>
      <c r="DY106" s="21">
        <v>46014</v>
      </c>
      <c r="DZ106" s="21">
        <v>46014</v>
      </c>
      <c r="EA106" s="8">
        <v>1395</v>
      </c>
      <c r="EB106" s="8">
        <v>645</v>
      </c>
      <c r="EC106" s="8">
        <v>645</v>
      </c>
      <c r="ED106" s="8">
        <v>645</v>
      </c>
      <c r="EE106" s="8">
        <v>645</v>
      </c>
      <c r="EF106" s="8">
        <v>1395</v>
      </c>
      <c r="EG106" s="8">
        <v>1000</v>
      </c>
      <c r="EH106" s="8">
        <v>1395</v>
      </c>
      <c r="EI106" s="8">
        <v>1395</v>
      </c>
      <c r="EJ106" s="8">
        <v>2</v>
      </c>
      <c r="EK106" s="8" t="s">
        <v>2624</v>
      </c>
      <c r="EL106" s="8">
        <v>71</v>
      </c>
      <c r="EM106" s="8">
        <v>284</v>
      </c>
      <c r="EN106" s="8">
        <v>1107</v>
      </c>
      <c r="EO106" s="8">
        <v>357</v>
      </c>
      <c r="EP106" s="8">
        <v>357</v>
      </c>
      <c r="EQ106" s="8">
        <v>357</v>
      </c>
      <c r="ER106" s="8">
        <v>357</v>
      </c>
      <c r="ES106" s="8">
        <v>1107</v>
      </c>
      <c r="ET106" s="8">
        <v>712</v>
      </c>
      <c r="EU106" s="8">
        <v>1107</v>
      </c>
      <c r="EV106" s="8">
        <v>1107</v>
      </c>
    </row>
    <row r="107" spans="1:152" x14ac:dyDescent="0.15">
      <c r="A107" s="8">
        <f>ROW([2]!tbl_DPSAC[[#This Row],[Sl. No.]])-1</f>
        <v>106</v>
      </c>
      <c r="B107" s="9" t="s">
        <v>136</v>
      </c>
      <c r="C107" s="9" t="s">
        <v>812</v>
      </c>
      <c r="D107" s="9" t="s">
        <v>175</v>
      </c>
      <c r="E107" s="9" t="s">
        <v>176</v>
      </c>
      <c r="F107" s="9" t="s">
        <v>161</v>
      </c>
      <c r="G107" s="10" t="s">
        <v>813</v>
      </c>
      <c r="H107" s="10" t="str">
        <f>_xlfn.XLOOKUP(C107,'[1]E&amp;DPSAC'!$K:$K,'[1]E&amp;DPSAC'!$E:$E,,0)</f>
        <v>TIPUDANA, RANCHI</v>
      </c>
      <c r="I107" s="10"/>
      <c r="J107" s="10">
        <v>8709343595</v>
      </c>
      <c r="K107" s="10">
        <f>_xlfn.XLOOKUP(C107,'[1]E&amp;DPSAC'!$K:$K,'[1]E&amp;DPSAC'!$G:$G,"",0)</f>
        <v>8709343595</v>
      </c>
      <c r="L107" s="9" t="str">
        <f t="shared" ca="1" si="4"/>
        <v>Non - Warranty</v>
      </c>
      <c r="M107" s="11">
        <v>43814</v>
      </c>
      <c r="N107" s="12">
        <v>24</v>
      </c>
      <c r="O107" s="11">
        <f t="shared" si="5"/>
        <v>44561</v>
      </c>
      <c r="P107" s="8" t="s">
        <v>681</v>
      </c>
      <c r="Q107" s="16" t="s">
        <v>143</v>
      </c>
      <c r="R107" s="15" t="s">
        <v>143</v>
      </c>
      <c r="S107" s="14" t="s">
        <v>143</v>
      </c>
      <c r="T107" s="15">
        <v>44875</v>
      </c>
      <c r="U107" s="14">
        <v>2469</v>
      </c>
      <c r="V107" s="14">
        <v>4380</v>
      </c>
      <c r="W107" s="17">
        <v>45962.705555555556</v>
      </c>
      <c r="X107" s="14" t="s">
        <v>143</v>
      </c>
      <c r="Y107" s="14">
        <v>0</v>
      </c>
      <c r="Z107" s="14" t="s">
        <v>2692</v>
      </c>
      <c r="AA107" s="18">
        <v>2299</v>
      </c>
      <c r="AB107" s="18" t="s">
        <v>2697</v>
      </c>
      <c r="AC107" s="8">
        <f>tbl_DPSAC[[#This Row],[Current Month Due Count]]</f>
        <v>0</v>
      </c>
      <c r="AD107" s="8">
        <f>tbl_DPSAC[[#This Row],[Next Month Due2]]</f>
        <v>0</v>
      </c>
      <c r="AE107" s="8">
        <f t="shared" si="6"/>
        <v>1</v>
      </c>
      <c r="AF107" s="8">
        <v>1</v>
      </c>
      <c r="AG107" s="14">
        <f t="shared" ca="1" si="7"/>
        <v>4530</v>
      </c>
      <c r="AH107" s="8">
        <v>0</v>
      </c>
      <c r="AI107" s="8">
        <v>0</v>
      </c>
      <c r="AJ107" s="8">
        <v>0</v>
      </c>
      <c r="AK107" s="8">
        <v>0</v>
      </c>
      <c r="AL107" s="8">
        <v>0</v>
      </c>
      <c r="AM107" s="8">
        <v>0</v>
      </c>
      <c r="AN107" s="8">
        <v>0</v>
      </c>
      <c r="AO107" s="8">
        <v>0</v>
      </c>
      <c r="AP107" s="8">
        <v>0</v>
      </c>
      <c r="AQ107" s="8">
        <v>0</v>
      </c>
      <c r="AR107" s="8">
        <v>0</v>
      </c>
      <c r="AS107" s="8">
        <v>0</v>
      </c>
      <c r="AT107" s="8">
        <v>0</v>
      </c>
      <c r="AU107" s="8">
        <v>0</v>
      </c>
      <c r="AV107" s="8">
        <v>0</v>
      </c>
      <c r="AW107" s="8">
        <v>0</v>
      </c>
      <c r="AX107" s="8" t="s">
        <v>2961</v>
      </c>
      <c r="AY107" s="14">
        <v>1950</v>
      </c>
      <c r="AZ107" s="19">
        <v>44585</v>
      </c>
      <c r="BA107" s="14"/>
      <c r="BB107" s="14">
        <v>1700</v>
      </c>
      <c r="BC107" s="19">
        <v>44418</v>
      </c>
      <c r="BD107" s="14"/>
      <c r="BE107" s="14">
        <v>1950</v>
      </c>
      <c r="BF107" s="19">
        <v>44585</v>
      </c>
      <c r="BG107" s="14"/>
      <c r="BH107" s="14">
        <v>1950</v>
      </c>
      <c r="BI107" s="19">
        <v>44585</v>
      </c>
      <c r="BJ107" s="14"/>
      <c r="BK107" s="14">
        <v>1700</v>
      </c>
      <c r="BL107" s="19">
        <v>44418</v>
      </c>
      <c r="BM107" s="14"/>
      <c r="BN107" s="27">
        <v>44765</v>
      </c>
      <c r="BO107" s="27">
        <v>44598</v>
      </c>
      <c r="BP107" s="27">
        <v>44765</v>
      </c>
      <c r="BQ107" s="27">
        <v>44765</v>
      </c>
      <c r="BR107" s="27">
        <v>44783</v>
      </c>
      <c r="BS107" s="28">
        <v>-1830</v>
      </c>
      <c r="BT107" s="29">
        <v>-1330</v>
      </c>
      <c r="BU107" s="29">
        <v>-1830</v>
      </c>
      <c r="BV107" s="29">
        <v>-1830</v>
      </c>
      <c r="BW107" s="29">
        <v>-1330</v>
      </c>
      <c r="BX107" s="30" t="s">
        <v>173</v>
      </c>
      <c r="BY107" s="8">
        <v>5</v>
      </c>
      <c r="BZ107" s="8">
        <v>0</v>
      </c>
      <c r="CA107" s="8">
        <v>0</v>
      </c>
      <c r="CB107" s="21">
        <v>0</v>
      </c>
      <c r="CC107" s="21">
        <v>0</v>
      </c>
      <c r="CD107" s="21">
        <v>0</v>
      </c>
      <c r="CE107" s="21">
        <v>0</v>
      </c>
      <c r="CF107" s="21">
        <v>0</v>
      </c>
      <c r="CG107" s="21">
        <v>0</v>
      </c>
      <c r="CH107" s="21">
        <v>0</v>
      </c>
      <c r="CI107" s="21">
        <v>0</v>
      </c>
      <c r="CJ107" s="21">
        <v>0</v>
      </c>
      <c r="CK107" s="22" t="s">
        <v>3048</v>
      </c>
      <c r="CL107" s="22" t="s">
        <v>3048</v>
      </c>
      <c r="CM107" s="22" t="s">
        <v>3048</v>
      </c>
      <c r="CN107" s="22" t="s">
        <v>3048</v>
      </c>
      <c r="CO107" s="22" t="s">
        <v>3048</v>
      </c>
      <c r="CP107" s="22" t="s">
        <v>3048</v>
      </c>
      <c r="CQ107" s="22" t="s">
        <v>2953</v>
      </c>
      <c r="CR107" s="22" t="s">
        <v>3048</v>
      </c>
      <c r="CS107" s="22" t="s">
        <v>3048</v>
      </c>
      <c r="CT107" s="22">
        <v>0</v>
      </c>
      <c r="CU107" s="21">
        <v>0</v>
      </c>
      <c r="CV107" s="21">
        <v>0</v>
      </c>
      <c r="CW107" s="21">
        <v>0</v>
      </c>
      <c r="CX107" s="21">
        <v>0</v>
      </c>
      <c r="CY107" s="21">
        <v>0</v>
      </c>
      <c r="CZ107" s="21">
        <v>0</v>
      </c>
      <c r="DA107" s="21">
        <v>0</v>
      </c>
      <c r="DB107" s="21">
        <v>0</v>
      </c>
      <c r="DC107" s="21">
        <v>0</v>
      </c>
      <c r="DD107" s="8">
        <v>0</v>
      </c>
      <c r="DE107" s="8">
        <v>0</v>
      </c>
      <c r="DF107" s="8">
        <v>0</v>
      </c>
      <c r="DG107" s="8">
        <v>9</v>
      </c>
      <c r="DH107" s="8">
        <v>0</v>
      </c>
      <c r="DI107" s="8">
        <v>0</v>
      </c>
      <c r="DJ107" s="8" t="s">
        <v>3025</v>
      </c>
      <c r="DK107" s="21">
        <v>43814</v>
      </c>
      <c r="DL107" s="21">
        <v>43704.229166666664</v>
      </c>
      <c r="DM107" s="21">
        <v>45962</v>
      </c>
      <c r="DN107" s="18">
        <v>4380</v>
      </c>
      <c r="DO107" s="21">
        <v>0</v>
      </c>
      <c r="DP107" s="21">
        <v>0</v>
      </c>
      <c r="DQ107" s="21" t="s">
        <v>3049</v>
      </c>
      <c r="DR107" s="21">
        <v>0</v>
      </c>
      <c r="DS107" s="21">
        <v>0</v>
      </c>
      <c r="DT107" s="21">
        <v>0</v>
      </c>
      <c r="DU107" s="21">
        <v>0</v>
      </c>
      <c r="DV107" s="21">
        <v>0</v>
      </c>
      <c r="DW107" s="21">
        <v>0</v>
      </c>
      <c r="DX107" s="21">
        <v>0</v>
      </c>
      <c r="DY107" s="21">
        <v>0</v>
      </c>
      <c r="DZ107" s="21">
        <v>0</v>
      </c>
      <c r="EA107" s="8">
        <v>320</v>
      </c>
      <c r="EB107" s="8">
        <v>320</v>
      </c>
      <c r="EC107" s="8">
        <v>320</v>
      </c>
      <c r="ED107" s="8">
        <v>320</v>
      </c>
      <c r="EE107" s="8">
        <v>320</v>
      </c>
      <c r="EF107" s="8">
        <v>320</v>
      </c>
      <c r="EG107" s="8">
        <v>1000</v>
      </c>
      <c r="EH107" s="8">
        <v>320</v>
      </c>
      <c r="EI107" s="8">
        <v>320</v>
      </c>
      <c r="EJ107" s="8">
        <v>0</v>
      </c>
      <c r="EK107" s="8" t="s">
        <v>2624</v>
      </c>
      <c r="EL107" s="8">
        <v>150</v>
      </c>
      <c r="EM107" s="8">
        <v>150</v>
      </c>
      <c r="EN107" s="8">
        <v>32</v>
      </c>
      <c r="EO107" s="8">
        <v>32</v>
      </c>
      <c r="EP107" s="8">
        <v>32</v>
      </c>
      <c r="EQ107" s="8">
        <v>32</v>
      </c>
      <c r="ER107" s="8">
        <v>32</v>
      </c>
      <c r="ES107" s="8">
        <v>32</v>
      </c>
      <c r="ET107" s="8">
        <v>712</v>
      </c>
      <c r="EU107" s="8">
        <v>32</v>
      </c>
      <c r="EV107" s="8">
        <v>32</v>
      </c>
    </row>
    <row r="108" spans="1:152" x14ac:dyDescent="0.15">
      <c r="A108" s="8">
        <f>ROW([2]!tbl_DPSAC[[#This Row],[Sl. No.]])-1</f>
        <v>107</v>
      </c>
      <c r="B108" s="9" t="s">
        <v>136</v>
      </c>
      <c r="C108" s="9" t="s">
        <v>814</v>
      </c>
      <c r="D108" s="9" t="s">
        <v>815</v>
      </c>
      <c r="E108" s="9" t="s">
        <v>147</v>
      </c>
      <c r="F108" s="9" t="s">
        <v>140</v>
      </c>
      <c r="G108" s="10" t="s">
        <v>816</v>
      </c>
      <c r="H108" s="10" t="str">
        <f>_xlfn.XLOOKUP(C108,'[1]E&amp;DPSAC'!$K:$K,'[1]E&amp;DPSAC'!$E:$E,,0)</f>
        <v>GAYA</v>
      </c>
      <c r="I108" s="10"/>
      <c r="J108" s="10">
        <v>6201580224</v>
      </c>
      <c r="K108" s="10">
        <f>_xlfn.XLOOKUP(C108,'[1]E&amp;DPSAC'!$K:$K,'[1]E&amp;DPSAC'!$G:$G,"",0)</f>
        <v>9798724120</v>
      </c>
      <c r="L108" s="9" t="str">
        <f t="shared" ca="1" si="4"/>
        <v>Non - Warranty</v>
      </c>
      <c r="M108" s="11">
        <v>42997</v>
      </c>
      <c r="N108" s="12">
        <v>36</v>
      </c>
      <c r="O108" s="11">
        <f t="shared" si="5"/>
        <v>44104</v>
      </c>
      <c r="P108" s="8" t="s">
        <v>213</v>
      </c>
      <c r="Q108" s="16" t="s">
        <v>818</v>
      </c>
      <c r="R108" s="15">
        <v>46073.641215277799</v>
      </c>
      <c r="S108" s="14">
        <v>10785</v>
      </c>
      <c r="T108" s="15">
        <v>46073</v>
      </c>
      <c r="U108" s="14">
        <v>10785</v>
      </c>
      <c r="V108" s="14">
        <v>10785</v>
      </c>
      <c r="W108" s="17">
        <v>46073.641215277799</v>
      </c>
      <c r="X108" s="14" t="s">
        <v>2727</v>
      </c>
      <c r="Y108" s="14">
        <v>750</v>
      </c>
      <c r="Z108" s="14" t="s">
        <v>2692</v>
      </c>
      <c r="AA108" s="18">
        <v>39.358784722200653</v>
      </c>
      <c r="AB108" s="18" t="s">
        <v>2692</v>
      </c>
      <c r="AC108" s="8">
        <f>tbl_DPSAC[[#This Row],[Current Month Due Count]]</f>
        <v>0</v>
      </c>
      <c r="AD108" s="8">
        <f>tbl_DPSAC[[#This Row],[Next Month Due2]]</f>
        <v>0</v>
      </c>
      <c r="AE108" s="8">
        <f t="shared" si="6"/>
        <v>0</v>
      </c>
      <c r="AF108" s="8">
        <v>1</v>
      </c>
      <c r="AG108" s="14">
        <f t="shared" ca="1" si="7"/>
        <v>10824</v>
      </c>
      <c r="AH108" s="8">
        <v>0</v>
      </c>
      <c r="AI108" s="8">
        <v>0</v>
      </c>
      <c r="AJ108" s="8">
        <v>0</v>
      </c>
      <c r="AK108" s="8">
        <v>0</v>
      </c>
      <c r="AL108" s="8" t="s">
        <v>817</v>
      </c>
      <c r="AM108" s="8">
        <v>0</v>
      </c>
      <c r="AN108" s="8">
        <v>0</v>
      </c>
      <c r="AO108" s="8">
        <v>0</v>
      </c>
      <c r="AP108" s="8">
        <v>0</v>
      </c>
      <c r="AQ108" s="8">
        <v>0</v>
      </c>
      <c r="AR108" s="8">
        <v>0</v>
      </c>
      <c r="AS108" s="8">
        <v>0</v>
      </c>
      <c r="AT108" s="8">
        <v>0</v>
      </c>
      <c r="AU108" s="8">
        <v>0</v>
      </c>
      <c r="AV108" s="8">
        <v>0</v>
      </c>
      <c r="AW108" s="8">
        <v>0</v>
      </c>
      <c r="AX108" s="8" t="s">
        <v>2007</v>
      </c>
      <c r="AY108" s="14">
        <v>10785</v>
      </c>
      <c r="AZ108" s="19">
        <v>46073</v>
      </c>
      <c r="BA108" s="14" t="s">
        <v>818</v>
      </c>
      <c r="BB108" s="14">
        <v>10785</v>
      </c>
      <c r="BC108" s="19">
        <v>46073</v>
      </c>
      <c r="BD108" s="14" t="s">
        <v>818</v>
      </c>
      <c r="BE108" s="14">
        <v>10785</v>
      </c>
      <c r="BF108" s="19">
        <v>46073</v>
      </c>
      <c r="BG108" s="14" t="s">
        <v>818</v>
      </c>
      <c r="BH108" s="14">
        <v>10785</v>
      </c>
      <c r="BI108" s="19">
        <v>46073</v>
      </c>
      <c r="BJ108" s="14" t="s">
        <v>818</v>
      </c>
      <c r="BK108" s="14">
        <v>10785</v>
      </c>
      <c r="BL108" s="19">
        <v>46073</v>
      </c>
      <c r="BM108" s="14" t="s">
        <v>818</v>
      </c>
      <c r="BN108" s="27">
        <v>46253</v>
      </c>
      <c r="BO108" s="27">
        <v>46253</v>
      </c>
      <c r="BP108" s="27">
        <v>46253</v>
      </c>
      <c r="BQ108" s="27">
        <v>46253</v>
      </c>
      <c r="BR108" s="27">
        <v>46438</v>
      </c>
      <c r="BS108" s="28">
        <v>711</v>
      </c>
      <c r="BT108" s="29">
        <v>1461</v>
      </c>
      <c r="BU108" s="29">
        <v>711</v>
      </c>
      <c r="BV108" s="29">
        <v>711</v>
      </c>
      <c r="BW108" s="29">
        <v>1461</v>
      </c>
      <c r="BX108" s="30" t="s">
        <v>152</v>
      </c>
      <c r="BY108" s="8">
        <v>0</v>
      </c>
      <c r="BZ108" s="8">
        <v>0</v>
      </c>
      <c r="CA108" s="8">
        <v>0</v>
      </c>
      <c r="CB108" s="21">
        <v>46072.770833333299</v>
      </c>
      <c r="CC108" s="21">
        <v>46072.770833333299</v>
      </c>
      <c r="CD108" s="21">
        <v>46072.770833333299</v>
      </c>
      <c r="CE108" s="21">
        <v>46072.770833333299</v>
      </c>
      <c r="CF108" s="21">
        <v>46072.770833333299</v>
      </c>
      <c r="CG108" s="21">
        <v>46072.770833333299</v>
      </c>
      <c r="CH108" s="21">
        <v>46072.770833333299</v>
      </c>
      <c r="CI108" s="21">
        <v>46072.770833333299</v>
      </c>
      <c r="CJ108" s="21">
        <v>46072.770833333299</v>
      </c>
      <c r="CK108" s="22" t="s">
        <v>2956</v>
      </c>
      <c r="CL108" s="22" t="s">
        <v>2957</v>
      </c>
      <c r="CM108" s="22" t="s">
        <v>2957</v>
      </c>
      <c r="CN108" s="22" t="s">
        <v>2957</v>
      </c>
      <c r="CO108" s="22" t="s">
        <v>2957</v>
      </c>
      <c r="CP108" s="22" t="s">
        <v>2956</v>
      </c>
      <c r="CQ108" s="22" t="s">
        <v>2953</v>
      </c>
      <c r="CR108" s="22" t="s">
        <v>2956</v>
      </c>
      <c r="CS108" s="22" t="s">
        <v>2960</v>
      </c>
      <c r="CT108" s="22">
        <v>4</v>
      </c>
      <c r="CU108" s="21">
        <v>46252</v>
      </c>
      <c r="CV108" s="21">
        <v>46252</v>
      </c>
      <c r="CW108" s="21">
        <v>46252</v>
      </c>
      <c r="CX108" s="21">
        <v>46252</v>
      </c>
      <c r="CY108" s="21">
        <v>46252</v>
      </c>
      <c r="CZ108" s="21">
        <v>46342</v>
      </c>
      <c r="DA108" s="21">
        <v>46323</v>
      </c>
      <c r="DB108" s="21">
        <v>46252</v>
      </c>
      <c r="DC108" s="21">
        <v>46437</v>
      </c>
      <c r="DD108" s="8">
        <v>0</v>
      </c>
      <c r="DE108" s="8">
        <v>0</v>
      </c>
      <c r="DF108" s="8">
        <v>0</v>
      </c>
      <c r="DG108" s="8">
        <v>0</v>
      </c>
      <c r="DH108" s="8">
        <v>0</v>
      </c>
      <c r="DI108" s="8">
        <v>0</v>
      </c>
      <c r="DJ108" s="8" t="s">
        <v>2976</v>
      </c>
      <c r="DK108" s="21">
        <v>42997</v>
      </c>
      <c r="DL108" s="21">
        <v>42899</v>
      </c>
      <c r="DM108" s="21">
        <v>46073</v>
      </c>
      <c r="DN108" s="18">
        <v>10785</v>
      </c>
      <c r="DO108" s="21">
        <v>0</v>
      </c>
      <c r="DP108" s="21">
        <v>0</v>
      </c>
      <c r="DQ108" s="21" t="s">
        <v>2955</v>
      </c>
      <c r="DR108" s="21">
        <v>46073</v>
      </c>
      <c r="DS108" s="21">
        <v>46073</v>
      </c>
      <c r="DT108" s="21">
        <v>46073</v>
      </c>
      <c r="DU108" s="21">
        <v>46073</v>
      </c>
      <c r="DV108" s="21">
        <v>46073</v>
      </c>
      <c r="DW108" s="21">
        <v>46073</v>
      </c>
      <c r="DX108" s="21">
        <v>46073</v>
      </c>
      <c r="DY108" s="21">
        <v>46073</v>
      </c>
      <c r="DZ108" s="21">
        <v>46073</v>
      </c>
      <c r="EA108" s="8">
        <v>1500</v>
      </c>
      <c r="EB108" s="8">
        <v>750</v>
      </c>
      <c r="EC108" s="8">
        <v>750</v>
      </c>
      <c r="ED108" s="8">
        <v>750</v>
      </c>
      <c r="EE108" s="8">
        <v>750</v>
      </c>
      <c r="EF108" s="8">
        <v>1500</v>
      </c>
      <c r="EG108" s="8">
        <v>1000</v>
      </c>
      <c r="EH108" s="8">
        <v>1500</v>
      </c>
      <c r="EI108" s="8">
        <v>3000</v>
      </c>
      <c r="EJ108" s="8">
        <v>4</v>
      </c>
      <c r="EK108" s="8" t="s">
        <v>2624</v>
      </c>
      <c r="EL108" s="8">
        <v>39</v>
      </c>
      <c r="EM108" s="8">
        <v>39</v>
      </c>
      <c r="EN108" s="8">
        <v>1212</v>
      </c>
      <c r="EO108" s="8">
        <v>462</v>
      </c>
      <c r="EP108" s="8">
        <v>462</v>
      </c>
      <c r="EQ108" s="8">
        <v>462</v>
      </c>
      <c r="ER108" s="8">
        <v>462</v>
      </c>
      <c r="ES108" s="8">
        <v>1212</v>
      </c>
      <c r="ET108" s="8">
        <v>712</v>
      </c>
      <c r="EU108" s="8">
        <v>1212</v>
      </c>
      <c r="EV108" s="8">
        <v>2712</v>
      </c>
    </row>
    <row r="109" spans="1:152" x14ac:dyDescent="0.15">
      <c r="A109" s="8">
        <f>ROW([2]!tbl_DPSAC[[#This Row],[Sl. No.]])-1</f>
        <v>108</v>
      </c>
      <c r="B109" s="9" t="s">
        <v>136</v>
      </c>
      <c r="C109" s="9" t="s">
        <v>819</v>
      </c>
      <c r="D109" s="9" t="s">
        <v>251</v>
      </c>
      <c r="E109" s="9" t="s">
        <v>147</v>
      </c>
      <c r="F109" s="9" t="s">
        <v>140</v>
      </c>
      <c r="G109" s="10" t="s">
        <v>816</v>
      </c>
      <c r="H109" s="10" t="str">
        <f>_xlfn.XLOOKUP(C109,'[1]E&amp;DPSAC'!$K:$K,'[1]E&amp;DPSAC'!$E:$E,,0)</f>
        <v>TATISILWAY</v>
      </c>
      <c r="I109" s="10"/>
      <c r="J109" s="10">
        <v>6201580224</v>
      </c>
      <c r="K109" s="10">
        <f>_xlfn.XLOOKUP(C109,'[1]E&amp;DPSAC'!$K:$K,'[1]E&amp;DPSAC'!$G:$G,"",0)</f>
        <v>6201580224</v>
      </c>
      <c r="L109" s="9" t="str">
        <f t="shared" ca="1" si="4"/>
        <v>Non - Warranty</v>
      </c>
      <c r="M109" s="11">
        <v>42403</v>
      </c>
      <c r="N109" s="12">
        <v>36</v>
      </c>
      <c r="O109" s="11">
        <f t="shared" si="5"/>
        <v>43524</v>
      </c>
      <c r="P109" s="8" t="s">
        <v>213</v>
      </c>
      <c r="Q109" s="16" t="s">
        <v>820</v>
      </c>
      <c r="R109" s="15">
        <v>46073.642372685201</v>
      </c>
      <c r="S109" s="14">
        <v>21870</v>
      </c>
      <c r="T109" s="15">
        <v>46073</v>
      </c>
      <c r="U109" s="14">
        <v>21870</v>
      </c>
      <c r="V109" s="14">
        <v>21870</v>
      </c>
      <c r="W109" s="17">
        <v>46073.642372685201</v>
      </c>
      <c r="X109" s="14" t="s">
        <v>2727</v>
      </c>
      <c r="Y109" s="14">
        <v>750</v>
      </c>
      <c r="Z109" s="14" t="s">
        <v>2692</v>
      </c>
      <c r="AA109" s="18">
        <v>39.357627314799174</v>
      </c>
      <c r="AB109" s="18" t="s">
        <v>2692</v>
      </c>
      <c r="AC109" s="8">
        <f>tbl_DPSAC[[#This Row],[Current Month Due Count]]</f>
        <v>0</v>
      </c>
      <c r="AD109" s="8">
        <f>tbl_DPSAC[[#This Row],[Next Month Due2]]</f>
        <v>0</v>
      </c>
      <c r="AE109" s="8">
        <f t="shared" si="6"/>
        <v>0</v>
      </c>
      <c r="AF109" s="8">
        <v>3</v>
      </c>
      <c r="AG109" s="14">
        <f t="shared" ca="1" si="7"/>
        <v>21988</v>
      </c>
      <c r="AH109" s="8">
        <v>0</v>
      </c>
      <c r="AI109" s="8">
        <v>0</v>
      </c>
      <c r="AJ109" s="8">
        <v>0</v>
      </c>
      <c r="AK109" s="8">
        <v>0</v>
      </c>
      <c r="AL109" s="8">
        <v>0</v>
      </c>
      <c r="AM109" s="8">
        <v>0</v>
      </c>
      <c r="AN109" s="8">
        <v>0</v>
      </c>
      <c r="AO109" s="8">
        <v>0</v>
      </c>
      <c r="AP109" s="8">
        <v>0</v>
      </c>
      <c r="AQ109" s="8">
        <v>0</v>
      </c>
      <c r="AR109" s="8">
        <v>0</v>
      </c>
      <c r="AS109" s="8">
        <v>0</v>
      </c>
      <c r="AT109" s="8">
        <v>0</v>
      </c>
      <c r="AU109" s="8">
        <v>0</v>
      </c>
      <c r="AV109" s="8">
        <v>0</v>
      </c>
      <c r="AW109" s="8">
        <v>0</v>
      </c>
      <c r="AX109" s="8" t="s">
        <v>2007</v>
      </c>
      <c r="AY109" s="14">
        <v>21870</v>
      </c>
      <c r="AZ109" s="19">
        <v>46073</v>
      </c>
      <c r="BA109" s="14" t="s">
        <v>820</v>
      </c>
      <c r="BB109" s="14">
        <v>21870</v>
      </c>
      <c r="BC109" s="19">
        <v>46073</v>
      </c>
      <c r="BD109" s="14" t="s">
        <v>820</v>
      </c>
      <c r="BE109" s="14">
        <v>21870</v>
      </c>
      <c r="BF109" s="19">
        <v>46073</v>
      </c>
      <c r="BG109" s="14" t="s">
        <v>820</v>
      </c>
      <c r="BH109" s="14">
        <v>21870</v>
      </c>
      <c r="BI109" s="19">
        <v>46073</v>
      </c>
      <c r="BJ109" s="14" t="s">
        <v>820</v>
      </c>
      <c r="BK109" s="14">
        <v>21870</v>
      </c>
      <c r="BL109" s="19">
        <v>46073</v>
      </c>
      <c r="BM109" s="14" t="s">
        <v>820</v>
      </c>
      <c r="BN109" s="27">
        <v>46253</v>
      </c>
      <c r="BO109" s="27">
        <v>46253</v>
      </c>
      <c r="BP109" s="27">
        <v>46253</v>
      </c>
      <c r="BQ109" s="27">
        <v>46253</v>
      </c>
      <c r="BR109" s="27">
        <v>46438</v>
      </c>
      <c r="BS109" s="28">
        <v>632</v>
      </c>
      <c r="BT109" s="29">
        <v>1382</v>
      </c>
      <c r="BU109" s="29">
        <v>632</v>
      </c>
      <c r="BV109" s="29">
        <v>632</v>
      </c>
      <c r="BW109" s="29">
        <v>1382</v>
      </c>
      <c r="BX109" s="30" t="e">
        <v>#N/A</v>
      </c>
      <c r="BY109" s="8">
        <v>0</v>
      </c>
      <c r="BZ109" s="8">
        <v>0</v>
      </c>
      <c r="CA109" s="8">
        <v>0</v>
      </c>
      <c r="CB109" s="21">
        <v>46072.770833333299</v>
      </c>
      <c r="CC109" s="21">
        <v>46072.770833333299</v>
      </c>
      <c r="CD109" s="21">
        <v>46072.770833333299</v>
      </c>
      <c r="CE109" s="21">
        <v>46072.770833333299</v>
      </c>
      <c r="CF109" s="21">
        <v>46072.770833333299</v>
      </c>
      <c r="CG109" s="21">
        <v>46072.770833333299</v>
      </c>
      <c r="CH109" s="21">
        <v>46072.770833333299</v>
      </c>
      <c r="CI109" s="21">
        <v>46072.770833333299</v>
      </c>
      <c r="CJ109" s="21">
        <v>46072.770833333299</v>
      </c>
      <c r="CK109" s="22" t="s">
        <v>2956</v>
      </c>
      <c r="CL109" s="22" t="s">
        <v>2957</v>
      </c>
      <c r="CM109" s="22" t="s">
        <v>2959</v>
      </c>
      <c r="CN109" s="22" t="s">
        <v>2957</v>
      </c>
      <c r="CO109" s="22" t="s">
        <v>2957</v>
      </c>
      <c r="CP109" s="22" t="s">
        <v>2956</v>
      </c>
      <c r="CQ109" s="22" t="s">
        <v>2953</v>
      </c>
      <c r="CR109" s="22" t="s">
        <v>2956</v>
      </c>
      <c r="CS109" s="22" t="s">
        <v>2960</v>
      </c>
      <c r="CT109" s="22">
        <v>6</v>
      </c>
      <c r="CU109" s="21">
        <v>46252</v>
      </c>
      <c r="CV109" s="21">
        <v>46198</v>
      </c>
      <c r="CW109" s="21">
        <v>46156</v>
      </c>
      <c r="CX109" s="21">
        <v>46198</v>
      </c>
      <c r="CY109" s="21">
        <v>46198</v>
      </c>
      <c r="CZ109" s="21">
        <v>46323</v>
      </c>
      <c r="DA109" s="21">
        <v>46239</v>
      </c>
      <c r="DB109" s="21">
        <v>46252</v>
      </c>
      <c r="DC109" s="21">
        <v>46437</v>
      </c>
      <c r="DD109" s="8">
        <v>0</v>
      </c>
      <c r="DE109" s="8">
        <v>0</v>
      </c>
      <c r="DF109" s="8">
        <v>0</v>
      </c>
      <c r="DG109" s="8">
        <v>0</v>
      </c>
      <c r="DH109" s="8">
        <v>0</v>
      </c>
      <c r="DI109" s="8">
        <v>1</v>
      </c>
      <c r="DJ109" s="8" t="s">
        <v>2976</v>
      </c>
      <c r="DK109" s="21">
        <v>42403</v>
      </c>
      <c r="DL109" s="21">
        <v>42356</v>
      </c>
      <c r="DM109" s="21">
        <v>46073</v>
      </c>
      <c r="DN109" s="18">
        <v>21870</v>
      </c>
      <c r="DO109" s="21">
        <v>0</v>
      </c>
      <c r="DP109" s="21">
        <v>0</v>
      </c>
      <c r="DQ109" s="21" t="s">
        <v>2955</v>
      </c>
      <c r="DR109" s="21">
        <v>46073</v>
      </c>
      <c r="DS109" s="21">
        <v>46073</v>
      </c>
      <c r="DT109" s="21">
        <v>46073</v>
      </c>
      <c r="DU109" s="21">
        <v>46073</v>
      </c>
      <c r="DV109" s="21">
        <v>46073</v>
      </c>
      <c r="DW109" s="21">
        <v>46073</v>
      </c>
      <c r="DX109" s="21">
        <v>46073</v>
      </c>
      <c r="DY109" s="21">
        <v>46073</v>
      </c>
      <c r="DZ109" s="21">
        <v>46073</v>
      </c>
      <c r="EA109" s="8">
        <v>1500</v>
      </c>
      <c r="EB109" s="8">
        <v>750</v>
      </c>
      <c r="EC109" s="8">
        <v>500</v>
      </c>
      <c r="ED109" s="8">
        <v>750</v>
      </c>
      <c r="EE109" s="8">
        <v>750</v>
      </c>
      <c r="EF109" s="8">
        <v>1500</v>
      </c>
      <c r="EG109" s="8">
        <v>1000</v>
      </c>
      <c r="EH109" s="8">
        <v>1500</v>
      </c>
      <c r="EI109" s="8">
        <v>3000</v>
      </c>
      <c r="EJ109" s="8">
        <v>6</v>
      </c>
      <c r="EK109" s="8" t="s">
        <v>2624</v>
      </c>
      <c r="EL109" s="8">
        <v>39</v>
      </c>
      <c r="EM109" s="8">
        <v>117</v>
      </c>
      <c r="EN109" s="8">
        <v>1212</v>
      </c>
      <c r="EO109" s="8">
        <v>462</v>
      </c>
      <c r="EP109" s="8">
        <v>212</v>
      </c>
      <c r="EQ109" s="8">
        <v>462</v>
      </c>
      <c r="ER109" s="8">
        <v>462</v>
      </c>
      <c r="ES109" s="8">
        <v>1212</v>
      </c>
      <c r="ET109" s="8">
        <v>712</v>
      </c>
      <c r="EU109" s="8">
        <v>1212</v>
      </c>
      <c r="EV109" s="8">
        <v>2712</v>
      </c>
    </row>
    <row r="110" spans="1:152" x14ac:dyDescent="0.15">
      <c r="A110" s="8">
        <f>ROW([2]!tbl_DPSAC[[#This Row],[Sl. No.]])-1</f>
        <v>109</v>
      </c>
      <c r="B110" s="9" t="s">
        <v>136</v>
      </c>
      <c r="C110" s="9" t="s">
        <v>821</v>
      </c>
      <c r="D110" s="9" t="s">
        <v>175</v>
      </c>
      <c r="E110" s="9" t="s">
        <v>176</v>
      </c>
      <c r="F110" s="9" t="s">
        <v>161</v>
      </c>
      <c r="G110" s="10" t="s">
        <v>822</v>
      </c>
      <c r="H110" s="10" t="str">
        <f>_xlfn.XLOOKUP(C110,'[1]E&amp;DPSAC'!$K:$K,'[1]E&amp;DPSAC'!$E:$E,,0)</f>
        <v>NISCHITPUR</v>
      </c>
      <c r="I110" s="10"/>
      <c r="J110" s="10">
        <v>9162318906</v>
      </c>
      <c r="K110" s="10">
        <f>_xlfn.XLOOKUP(C110,'[1]E&amp;DPSAC'!$K:$K,'[1]E&amp;DPSAC'!$G:$G,"",0)</f>
        <v>9110052858</v>
      </c>
      <c r="L110" s="9" t="str">
        <f t="shared" ca="1" si="4"/>
        <v>Non - Warranty</v>
      </c>
      <c r="M110" s="11">
        <v>43131</v>
      </c>
      <c r="N110" s="12">
        <v>24</v>
      </c>
      <c r="O110" s="11">
        <f t="shared" si="5"/>
        <v>43861</v>
      </c>
      <c r="P110" s="8" t="s">
        <v>681</v>
      </c>
      <c r="Q110" s="16" t="s">
        <v>823</v>
      </c>
      <c r="R110" s="15">
        <v>45798.481180555602</v>
      </c>
      <c r="S110" s="14">
        <v>5570</v>
      </c>
      <c r="T110" s="15">
        <v>45794</v>
      </c>
      <c r="U110" s="14">
        <v>5570</v>
      </c>
      <c r="V110" s="14">
        <v>5900</v>
      </c>
      <c r="W110" s="17">
        <v>45964.67083333333</v>
      </c>
      <c r="X110" s="14" t="s">
        <v>2760</v>
      </c>
      <c r="Y110" s="14">
        <v>420</v>
      </c>
      <c r="Z110" s="14" t="s">
        <v>2692</v>
      </c>
      <c r="AA110" s="18">
        <v>314.5188194443981</v>
      </c>
      <c r="AB110" s="18" t="s">
        <v>2697</v>
      </c>
      <c r="AC110" s="8">
        <f>tbl_DPSAC[[#This Row],[Current Month Due Count]]</f>
        <v>0</v>
      </c>
      <c r="AD110" s="8">
        <f>tbl_DPSAC[[#This Row],[Next Month Due2]]</f>
        <v>1</v>
      </c>
      <c r="AE110" s="8">
        <f t="shared" si="6"/>
        <v>1</v>
      </c>
      <c r="AF110" s="8">
        <v>2</v>
      </c>
      <c r="AG110" s="14">
        <f t="shared" ca="1" si="7"/>
        <v>6197</v>
      </c>
      <c r="AH110" s="8">
        <v>0</v>
      </c>
      <c r="AI110" s="8">
        <v>0</v>
      </c>
      <c r="AJ110" s="8">
        <v>0</v>
      </c>
      <c r="AK110" s="8">
        <v>0</v>
      </c>
      <c r="AL110" s="8">
        <v>0</v>
      </c>
      <c r="AM110" s="8">
        <v>0</v>
      </c>
      <c r="AN110" s="8">
        <v>0</v>
      </c>
      <c r="AO110" s="8">
        <v>0</v>
      </c>
      <c r="AP110" s="8">
        <v>0</v>
      </c>
      <c r="AQ110" s="8">
        <v>0</v>
      </c>
      <c r="AR110" s="8">
        <v>0</v>
      </c>
      <c r="AS110" s="8">
        <v>0</v>
      </c>
      <c r="AT110" s="8">
        <v>0</v>
      </c>
      <c r="AU110" s="8">
        <v>0</v>
      </c>
      <c r="AV110" s="8">
        <v>0</v>
      </c>
      <c r="AW110" s="8">
        <v>0</v>
      </c>
      <c r="AX110" s="8" t="s">
        <v>2007</v>
      </c>
      <c r="AY110" s="14">
        <v>5570</v>
      </c>
      <c r="AZ110" s="19">
        <v>45798</v>
      </c>
      <c r="BA110" s="14" t="s">
        <v>823</v>
      </c>
      <c r="BB110" s="14">
        <v>5570</v>
      </c>
      <c r="BC110" s="19">
        <v>45798</v>
      </c>
      <c r="BD110" s="14" t="s">
        <v>823</v>
      </c>
      <c r="BE110" s="14">
        <v>5570</v>
      </c>
      <c r="BF110" s="19">
        <v>45798</v>
      </c>
      <c r="BG110" s="14" t="s">
        <v>823</v>
      </c>
      <c r="BH110" s="14">
        <v>5570</v>
      </c>
      <c r="BI110" s="19">
        <v>45798</v>
      </c>
      <c r="BJ110" s="14" t="s">
        <v>823</v>
      </c>
      <c r="BK110" s="14">
        <v>5570</v>
      </c>
      <c r="BL110" s="19">
        <v>45798</v>
      </c>
      <c r="BM110" s="14" t="s">
        <v>823</v>
      </c>
      <c r="BN110" s="27">
        <v>45978</v>
      </c>
      <c r="BO110" s="27">
        <v>45978</v>
      </c>
      <c r="BP110" s="27">
        <v>45978</v>
      </c>
      <c r="BQ110" s="27">
        <v>45978</v>
      </c>
      <c r="BR110" s="27">
        <v>46163</v>
      </c>
      <c r="BS110" s="28">
        <v>123</v>
      </c>
      <c r="BT110" s="29">
        <v>873</v>
      </c>
      <c r="BU110" s="29">
        <v>123</v>
      </c>
      <c r="BV110" s="29">
        <v>123</v>
      </c>
      <c r="BW110" s="29">
        <v>873</v>
      </c>
      <c r="BX110" s="30" t="s">
        <v>173</v>
      </c>
      <c r="BY110" s="8">
        <v>4</v>
      </c>
      <c r="BZ110" s="8">
        <v>0</v>
      </c>
      <c r="CA110" s="8">
        <v>1</v>
      </c>
      <c r="CB110" s="21">
        <v>45264.770833333299</v>
      </c>
      <c r="CC110" s="21">
        <v>45797.770833333299</v>
      </c>
      <c r="CD110" s="21">
        <v>45797.770833333299</v>
      </c>
      <c r="CE110" s="21">
        <v>45797.770833333299</v>
      </c>
      <c r="CF110" s="21">
        <v>45797.770833333299</v>
      </c>
      <c r="CG110" s="21">
        <v>45797.770833333299</v>
      </c>
      <c r="CH110" s="21">
        <v>45797.770833333299</v>
      </c>
      <c r="CI110" s="21">
        <v>45797.770833333299</v>
      </c>
      <c r="CJ110" s="21">
        <v>45797.770833333299</v>
      </c>
      <c r="CK110" s="22" t="s">
        <v>3050</v>
      </c>
      <c r="CL110" s="22" t="s">
        <v>3050</v>
      </c>
      <c r="CM110" s="22" t="s">
        <v>3050</v>
      </c>
      <c r="CN110" s="22" t="s">
        <v>3050</v>
      </c>
      <c r="CO110" s="22" t="s">
        <v>3050</v>
      </c>
      <c r="CP110" s="22" t="s">
        <v>3051</v>
      </c>
      <c r="CQ110" s="22" t="s">
        <v>2953</v>
      </c>
      <c r="CR110" s="22" t="s">
        <v>3051</v>
      </c>
      <c r="CS110" s="22" t="s">
        <v>3051</v>
      </c>
      <c r="CT110" s="22">
        <v>2</v>
      </c>
      <c r="CU110" s="21">
        <v>45444</v>
      </c>
      <c r="CV110" s="21">
        <v>45977</v>
      </c>
      <c r="CW110" s="21">
        <v>45977</v>
      </c>
      <c r="CX110" s="21">
        <v>45977</v>
      </c>
      <c r="CY110" s="21">
        <v>45977</v>
      </c>
      <c r="CZ110" s="21">
        <v>46067</v>
      </c>
      <c r="DA110" s="21">
        <v>46162</v>
      </c>
      <c r="DB110" s="21">
        <v>45977</v>
      </c>
      <c r="DC110" s="21">
        <v>46162</v>
      </c>
      <c r="DD110" s="8">
        <v>1</v>
      </c>
      <c r="DE110" s="8">
        <v>1</v>
      </c>
      <c r="DF110" s="8">
        <v>0</v>
      </c>
      <c r="DG110" s="8">
        <v>7</v>
      </c>
      <c r="DH110" s="8">
        <v>0</v>
      </c>
      <c r="DI110" s="8">
        <v>2</v>
      </c>
      <c r="DJ110" s="8" t="s">
        <v>3025</v>
      </c>
      <c r="DK110" s="21">
        <v>43131</v>
      </c>
      <c r="DL110" s="21">
        <v>43060</v>
      </c>
      <c r="DM110" s="21">
        <v>45964</v>
      </c>
      <c r="DN110" s="18">
        <v>5900</v>
      </c>
      <c r="DO110" s="21">
        <v>0</v>
      </c>
      <c r="DP110" s="21">
        <v>0</v>
      </c>
      <c r="DQ110" s="21" t="s">
        <v>2955</v>
      </c>
      <c r="DR110" s="21">
        <v>45265</v>
      </c>
      <c r="DS110" s="21">
        <v>45798</v>
      </c>
      <c r="DT110" s="21">
        <v>45798</v>
      </c>
      <c r="DU110" s="21">
        <v>45798</v>
      </c>
      <c r="DV110" s="21">
        <v>45798</v>
      </c>
      <c r="DW110" s="21">
        <v>45798</v>
      </c>
      <c r="DX110" s="21">
        <v>45798</v>
      </c>
      <c r="DY110" s="21">
        <v>45798</v>
      </c>
      <c r="DZ110" s="21">
        <v>45798</v>
      </c>
      <c r="EA110" s="8">
        <v>420</v>
      </c>
      <c r="EB110" s="8">
        <v>420</v>
      </c>
      <c r="EC110" s="8">
        <v>420</v>
      </c>
      <c r="ED110" s="8">
        <v>420</v>
      </c>
      <c r="EE110" s="8">
        <v>420</v>
      </c>
      <c r="EF110" s="8">
        <v>1170</v>
      </c>
      <c r="EG110" s="8">
        <v>1000</v>
      </c>
      <c r="EH110" s="8">
        <v>1170</v>
      </c>
      <c r="EI110" s="8">
        <v>1170</v>
      </c>
      <c r="EJ110" s="8">
        <v>2</v>
      </c>
      <c r="EK110" s="8" t="s">
        <v>2624</v>
      </c>
      <c r="EL110" s="8">
        <v>148</v>
      </c>
      <c r="EM110" s="8">
        <v>296</v>
      </c>
      <c r="EN110" s="8">
        <v>132</v>
      </c>
      <c r="EO110" s="8">
        <v>132</v>
      </c>
      <c r="EP110" s="8">
        <v>132</v>
      </c>
      <c r="EQ110" s="8">
        <v>132</v>
      </c>
      <c r="ER110" s="8">
        <v>132</v>
      </c>
      <c r="ES110" s="8">
        <v>882</v>
      </c>
      <c r="ET110" s="8">
        <v>712</v>
      </c>
      <c r="EU110" s="8">
        <v>882</v>
      </c>
      <c r="EV110" s="8">
        <v>882</v>
      </c>
    </row>
    <row r="111" spans="1:152" x14ac:dyDescent="0.15">
      <c r="A111" s="8">
        <f>ROW([2]!tbl_DPSAC[[#This Row],[Sl. No.]])-1</f>
        <v>110</v>
      </c>
      <c r="B111" s="9" t="s">
        <v>196</v>
      </c>
      <c r="C111" s="9" t="s">
        <v>824</v>
      </c>
      <c r="D111" s="9" t="s">
        <v>251</v>
      </c>
      <c r="E111" s="9" t="s">
        <v>147</v>
      </c>
      <c r="F111" s="9" t="s">
        <v>140</v>
      </c>
      <c r="G111" s="10" t="s">
        <v>263</v>
      </c>
      <c r="H111" s="10" t="str">
        <f>_xlfn.XLOOKUP(C111,'[1]E&amp;DPSAC'!$K:$K,'[1]E&amp;DPSAC'!$E:$E,,0)</f>
        <v>GAYA</v>
      </c>
      <c r="I111" s="10"/>
      <c r="J111" s="10">
        <v>7004203427</v>
      </c>
      <c r="K111" s="10">
        <f>_xlfn.XLOOKUP(C111,'[1]E&amp;DPSAC'!$K:$K,'[1]E&amp;DPSAC'!$G:$G,"",0)</f>
        <v>9431088962</v>
      </c>
      <c r="L111" s="9" t="str">
        <f t="shared" ca="1" si="4"/>
        <v>Non - Warranty</v>
      </c>
      <c r="M111" s="11">
        <v>42434</v>
      </c>
      <c r="N111" s="12">
        <v>36</v>
      </c>
      <c r="O111" s="11">
        <f t="shared" si="5"/>
        <v>43555</v>
      </c>
      <c r="P111" s="8" t="s">
        <v>681</v>
      </c>
      <c r="Q111" s="16" t="s">
        <v>825</v>
      </c>
      <c r="R111" s="15">
        <v>46078.469814814802</v>
      </c>
      <c r="S111" s="14">
        <v>8910</v>
      </c>
      <c r="T111" s="15">
        <v>46078</v>
      </c>
      <c r="U111" s="14">
        <v>8910</v>
      </c>
      <c r="V111" s="14">
        <v>8910</v>
      </c>
      <c r="W111" s="17">
        <v>46078.469814814802</v>
      </c>
      <c r="X111" s="14" t="s">
        <v>2761</v>
      </c>
      <c r="Y111" s="14">
        <v>750</v>
      </c>
      <c r="Z111" s="14" t="s">
        <v>2692</v>
      </c>
      <c r="AA111" s="18">
        <v>34.530185185198206</v>
      </c>
      <c r="AB111" s="18" t="s">
        <v>2692</v>
      </c>
      <c r="AC111" s="8">
        <f>tbl_DPSAC[[#This Row],[Current Month Due Count]]</f>
        <v>0</v>
      </c>
      <c r="AD111" s="8">
        <f>tbl_DPSAC[[#This Row],[Next Month Due2]]</f>
        <v>0</v>
      </c>
      <c r="AE111" s="8">
        <f t="shared" si="6"/>
        <v>0</v>
      </c>
      <c r="AF111" s="8">
        <v>4</v>
      </c>
      <c r="AG111" s="14">
        <f t="shared" ca="1" si="7"/>
        <v>9048</v>
      </c>
      <c r="AH111" s="8">
        <v>0</v>
      </c>
      <c r="AI111" s="8">
        <v>0</v>
      </c>
      <c r="AJ111" s="8">
        <v>0</v>
      </c>
      <c r="AK111" s="8">
        <v>0</v>
      </c>
      <c r="AL111" s="8">
        <v>0</v>
      </c>
      <c r="AM111" s="8">
        <v>0</v>
      </c>
      <c r="AN111" s="8">
        <v>0</v>
      </c>
      <c r="AO111" s="8">
        <v>0</v>
      </c>
      <c r="AP111" s="8">
        <v>0</v>
      </c>
      <c r="AQ111" s="8">
        <v>0</v>
      </c>
      <c r="AR111" s="8">
        <v>0</v>
      </c>
      <c r="AS111" s="8">
        <v>0</v>
      </c>
      <c r="AT111" s="8">
        <v>0</v>
      </c>
      <c r="AU111" s="8">
        <v>0</v>
      </c>
      <c r="AV111" s="8">
        <v>0</v>
      </c>
      <c r="AW111" s="8">
        <v>0</v>
      </c>
      <c r="AX111" s="8" t="s">
        <v>2007</v>
      </c>
      <c r="AY111" s="14">
        <v>8910</v>
      </c>
      <c r="AZ111" s="19">
        <v>46078</v>
      </c>
      <c r="BA111" s="14" t="s">
        <v>825</v>
      </c>
      <c r="BB111" s="14">
        <v>8910</v>
      </c>
      <c r="BC111" s="19">
        <v>46078</v>
      </c>
      <c r="BD111" s="14" t="s">
        <v>825</v>
      </c>
      <c r="BE111" s="14">
        <v>8910</v>
      </c>
      <c r="BF111" s="19">
        <v>46078</v>
      </c>
      <c r="BG111" s="14" t="s">
        <v>825</v>
      </c>
      <c r="BH111" s="14">
        <v>8910</v>
      </c>
      <c r="BI111" s="19">
        <v>46078</v>
      </c>
      <c r="BJ111" s="14" t="s">
        <v>825</v>
      </c>
      <c r="BK111" s="14">
        <v>8910</v>
      </c>
      <c r="BL111" s="19">
        <v>46078</v>
      </c>
      <c r="BM111" s="14" t="s">
        <v>825</v>
      </c>
      <c r="BN111" s="27">
        <v>46258</v>
      </c>
      <c r="BO111" s="27">
        <v>46258</v>
      </c>
      <c r="BP111" s="27">
        <v>46258</v>
      </c>
      <c r="BQ111" s="27">
        <v>46258</v>
      </c>
      <c r="BR111" s="27">
        <v>46443</v>
      </c>
      <c r="BS111" s="28">
        <v>612</v>
      </c>
      <c r="BT111" s="29">
        <v>1362</v>
      </c>
      <c r="BU111" s="29">
        <v>612</v>
      </c>
      <c r="BV111" s="29">
        <v>612</v>
      </c>
      <c r="BW111" s="29">
        <v>1362</v>
      </c>
      <c r="BX111" s="30" t="s">
        <v>173</v>
      </c>
      <c r="BY111" s="8">
        <v>0</v>
      </c>
      <c r="BZ111" s="8">
        <v>0</v>
      </c>
      <c r="CA111" s="8">
        <v>0</v>
      </c>
      <c r="CB111" s="21">
        <v>46077.770833333299</v>
      </c>
      <c r="CC111" s="21">
        <v>46077.770833333299</v>
      </c>
      <c r="CD111" s="21">
        <v>46077.770833333299</v>
      </c>
      <c r="CE111" s="21">
        <v>46077.770833333299</v>
      </c>
      <c r="CF111" s="21">
        <v>46077.770833333299</v>
      </c>
      <c r="CG111" s="21">
        <v>46077.770833333299</v>
      </c>
      <c r="CH111" s="21">
        <v>46077.770833333299</v>
      </c>
      <c r="CI111" s="21">
        <v>46077.770833333299</v>
      </c>
      <c r="CJ111" s="21">
        <v>46077.770833333299</v>
      </c>
      <c r="CK111" s="22" t="s">
        <v>2956</v>
      </c>
      <c r="CL111" s="22" t="s">
        <v>2957</v>
      </c>
      <c r="CM111" s="22" t="s">
        <v>2959</v>
      </c>
      <c r="CN111" s="22" t="s">
        <v>2957</v>
      </c>
      <c r="CO111" s="22" t="s">
        <v>2957</v>
      </c>
      <c r="CP111" s="22" t="s">
        <v>2956</v>
      </c>
      <c r="CQ111" s="22" t="s">
        <v>2953</v>
      </c>
      <c r="CR111" s="22" t="s">
        <v>2956</v>
      </c>
      <c r="CS111" s="22" t="s">
        <v>2956</v>
      </c>
      <c r="CT111" s="22">
        <v>6</v>
      </c>
      <c r="CU111" s="21">
        <v>46257</v>
      </c>
      <c r="CV111" s="21">
        <v>46203</v>
      </c>
      <c r="CW111" s="21">
        <v>46161</v>
      </c>
      <c r="CX111" s="21">
        <v>46203</v>
      </c>
      <c r="CY111" s="21">
        <v>46203</v>
      </c>
      <c r="CZ111" s="21">
        <v>46328</v>
      </c>
      <c r="DA111" s="21">
        <v>46244</v>
      </c>
      <c r="DB111" s="21">
        <v>46257</v>
      </c>
      <c r="DC111" s="21">
        <v>46328</v>
      </c>
      <c r="DD111" s="8">
        <v>0</v>
      </c>
      <c r="DE111" s="8">
        <v>0</v>
      </c>
      <c r="DF111" s="8">
        <v>0</v>
      </c>
      <c r="DG111" s="8">
        <v>0</v>
      </c>
      <c r="DH111" s="8">
        <v>0</v>
      </c>
      <c r="DI111" s="8">
        <v>1</v>
      </c>
      <c r="DJ111" s="8" t="s">
        <v>3025</v>
      </c>
      <c r="DK111" s="21">
        <v>42434</v>
      </c>
      <c r="DL111" s="21">
        <v>42418</v>
      </c>
      <c r="DM111" s="21">
        <v>46078</v>
      </c>
      <c r="DN111" s="18">
        <v>8910</v>
      </c>
      <c r="DO111" s="21">
        <v>0</v>
      </c>
      <c r="DP111" s="21">
        <v>0</v>
      </c>
      <c r="DQ111" s="21" t="s">
        <v>2955</v>
      </c>
      <c r="DR111" s="21">
        <v>46078</v>
      </c>
      <c r="DS111" s="21">
        <v>46078</v>
      </c>
      <c r="DT111" s="21">
        <v>46078</v>
      </c>
      <c r="DU111" s="21">
        <v>46078</v>
      </c>
      <c r="DV111" s="21">
        <v>46078</v>
      </c>
      <c r="DW111" s="21">
        <v>46078</v>
      </c>
      <c r="DX111" s="21">
        <v>46078</v>
      </c>
      <c r="DY111" s="21">
        <v>46078</v>
      </c>
      <c r="DZ111" s="21">
        <v>46078</v>
      </c>
      <c r="EA111" s="8">
        <v>1500</v>
      </c>
      <c r="EB111" s="8">
        <v>750</v>
      </c>
      <c r="EC111" s="8">
        <v>500</v>
      </c>
      <c r="ED111" s="8">
        <v>750</v>
      </c>
      <c r="EE111" s="8">
        <v>750</v>
      </c>
      <c r="EF111" s="8">
        <v>1500</v>
      </c>
      <c r="EG111" s="8">
        <v>1000</v>
      </c>
      <c r="EH111" s="8">
        <v>1500</v>
      </c>
      <c r="EI111" s="8">
        <v>1500</v>
      </c>
      <c r="EJ111" s="8">
        <v>6</v>
      </c>
      <c r="EK111" s="8" t="s">
        <v>2624</v>
      </c>
      <c r="EL111" s="8">
        <v>35</v>
      </c>
      <c r="EM111" s="8">
        <v>140</v>
      </c>
      <c r="EN111" s="8">
        <v>1212</v>
      </c>
      <c r="EO111" s="8">
        <v>462</v>
      </c>
      <c r="EP111" s="8">
        <v>212</v>
      </c>
      <c r="EQ111" s="8">
        <v>462</v>
      </c>
      <c r="ER111" s="8">
        <v>462</v>
      </c>
      <c r="ES111" s="8">
        <v>1212</v>
      </c>
      <c r="ET111" s="8">
        <v>712</v>
      </c>
      <c r="EU111" s="8">
        <v>1212</v>
      </c>
      <c r="EV111" s="8">
        <v>1212</v>
      </c>
    </row>
    <row r="112" spans="1:152" x14ac:dyDescent="0.15">
      <c r="A112" s="8">
        <f>ROW([2]!tbl_DPSAC[[#This Row],[Sl. No.]])-1</f>
        <v>111</v>
      </c>
      <c r="B112" s="9" t="s">
        <v>196</v>
      </c>
      <c r="C112" s="9" t="s">
        <v>826</v>
      </c>
      <c r="D112" s="9" t="s">
        <v>175</v>
      </c>
      <c r="E112" s="9" t="s">
        <v>176</v>
      </c>
      <c r="F112" s="9" t="s">
        <v>140</v>
      </c>
      <c r="G112" s="10" t="s">
        <v>263</v>
      </c>
      <c r="H112" s="10" t="str">
        <f>_xlfn.XLOOKUP(C112,'[1]E&amp;DPSAC'!$K:$K,'[1]E&amp;DPSAC'!$E:$E,,0)</f>
        <v>GAYA</v>
      </c>
      <c r="I112" s="10"/>
      <c r="J112" s="10" t="s">
        <v>143</v>
      </c>
      <c r="K112" s="10">
        <f>_xlfn.XLOOKUP(C112,'[1]E&amp;DPSAC'!$K:$K,'[1]E&amp;DPSAC'!$G:$G,"",0)</f>
        <v>7004060071</v>
      </c>
      <c r="L112" s="9" t="str">
        <f t="shared" ca="1" si="4"/>
        <v>Non - Warranty</v>
      </c>
      <c r="M112" s="11">
        <v>43056</v>
      </c>
      <c r="N112" s="12">
        <v>36</v>
      </c>
      <c r="O112" s="11">
        <f t="shared" si="5"/>
        <v>44165</v>
      </c>
      <c r="P112" s="8" t="s">
        <v>681</v>
      </c>
      <c r="Q112" s="16" t="s">
        <v>828</v>
      </c>
      <c r="R112" s="15">
        <v>46078.470925925903</v>
      </c>
      <c r="S112" s="14">
        <v>5125</v>
      </c>
      <c r="T112" s="15">
        <v>45265</v>
      </c>
      <c r="U112" s="14">
        <v>3010</v>
      </c>
      <c r="V112" s="14">
        <v>5125</v>
      </c>
      <c r="W112" s="17">
        <v>46078.470925925903</v>
      </c>
      <c r="X112" s="14" t="s">
        <v>2762</v>
      </c>
      <c r="Y112" s="14">
        <v>750</v>
      </c>
      <c r="Z112" s="14" t="s">
        <v>2692</v>
      </c>
      <c r="AA112" s="18">
        <v>34.52907407409657</v>
      </c>
      <c r="AB112" s="18" t="s">
        <v>2692</v>
      </c>
      <c r="AC112" s="8">
        <f>tbl_DPSAC[[#This Row],[Current Month Due Count]]</f>
        <v>0</v>
      </c>
      <c r="AD112" s="8">
        <f>tbl_DPSAC[[#This Row],[Next Month Due2]]</f>
        <v>0</v>
      </c>
      <c r="AE112" s="8">
        <f t="shared" si="6"/>
        <v>0</v>
      </c>
      <c r="AF112" s="8">
        <v>6</v>
      </c>
      <c r="AG112" s="14">
        <f t="shared" ca="1" si="7"/>
        <v>5332</v>
      </c>
      <c r="AH112" s="8">
        <v>0</v>
      </c>
      <c r="AI112" s="8">
        <v>0</v>
      </c>
      <c r="AJ112" s="8">
        <v>0</v>
      </c>
      <c r="AK112" s="8" t="s">
        <v>827</v>
      </c>
      <c r="AL112" s="8">
        <v>0</v>
      </c>
      <c r="AM112" s="8">
        <v>0</v>
      </c>
      <c r="AN112" s="8">
        <v>0</v>
      </c>
      <c r="AO112" s="8">
        <v>0</v>
      </c>
      <c r="AP112" s="8">
        <v>0</v>
      </c>
      <c r="AQ112" s="8">
        <v>0</v>
      </c>
      <c r="AR112" s="8">
        <v>0</v>
      </c>
      <c r="AS112" s="8">
        <v>0</v>
      </c>
      <c r="AT112" s="8">
        <v>0</v>
      </c>
      <c r="AU112" s="8">
        <v>0</v>
      </c>
      <c r="AV112" s="8">
        <v>0</v>
      </c>
      <c r="AW112" s="8">
        <v>0</v>
      </c>
      <c r="AX112" s="8" t="s">
        <v>2007</v>
      </c>
      <c r="AY112" s="14">
        <v>5125</v>
      </c>
      <c r="AZ112" s="19">
        <v>46078</v>
      </c>
      <c r="BA112" s="14" t="s">
        <v>828</v>
      </c>
      <c r="BB112" s="14">
        <v>5125</v>
      </c>
      <c r="BC112" s="19">
        <v>46078</v>
      </c>
      <c r="BD112" s="14" t="s">
        <v>828</v>
      </c>
      <c r="BE112" s="14">
        <v>5125</v>
      </c>
      <c r="BF112" s="19">
        <v>46078</v>
      </c>
      <c r="BG112" s="14" t="s">
        <v>828</v>
      </c>
      <c r="BH112" s="14">
        <v>5125</v>
      </c>
      <c r="BI112" s="19">
        <v>46078</v>
      </c>
      <c r="BJ112" s="14" t="s">
        <v>828</v>
      </c>
      <c r="BK112" s="14">
        <v>5125</v>
      </c>
      <c r="BL112" s="19">
        <v>46078</v>
      </c>
      <c r="BM112" s="14" t="s">
        <v>828</v>
      </c>
      <c r="BN112" s="27">
        <v>46258</v>
      </c>
      <c r="BO112" s="27">
        <v>46258</v>
      </c>
      <c r="BP112" s="27">
        <v>46258</v>
      </c>
      <c r="BQ112" s="27">
        <v>46258</v>
      </c>
      <c r="BR112" s="27">
        <v>46443</v>
      </c>
      <c r="BS112" s="28">
        <v>543</v>
      </c>
      <c r="BT112" s="29">
        <v>1293</v>
      </c>
      <c r="BU112" s="29">
        <v>543</v>
      </c>
      <c r="BV112" s="29">
        <v>543</v>
      </c>
      <c r="BW112" s="29">
        <v>1293</v>
      </c>
      <c r="BX112" s="30" t="s">
        <v>173</v>
      </c>
      <c r="BY112" s="8">
        <v>0</v>
      </c>
      <c r="BZ112" s="8">
        <v>0</v>
      </c>
      <c r="CA112" s="8">
        <v>0</v>
      </c>
      <c r="CB112" s="21">
        <v>46077.770833333299</v>
      </c>
      <c r="CC112" s="21">
        <v>46077.770833333299</v>
      </c>
      <c r="CD112" s="21">
        <v>46077.770833333299</v>
      </c>
      <c r="CE112" s="21">
        <v>46077.770833333299</v>
      </c>
      <c r="CF112" s="21">
        <v>46077.770833333299</v>
      </c>
      <c r="CG112" s="21">
        <v>46077.770833333299</v>
      </c>
      <c r="CH112" s="21">
        <v>46077.770833333299</v>
      </c>
      <c r="CI112" s="21">
        <v>46077.770833333299</v>
      </c>
      <c r="CJ112" s="21">
        <v>46077.770833333299</v>
      </c>
      <c r="CK112" s="22" t="s">
        <v>2956</v>
      </c>
      <c r="CL112" s="22" t="s">
        <v>2957</v>
      </c>
      <c r="CM112" s="22" t="s">
        <v>2959</v>
      </c>
      <c r="CN112" s="22" t="s">
        <v>2957</v>
      </c>
      <c r="CO112" s="22" t="s">
        <v>2957</v>
      </c>
      <c r="CP112" s="22" t="s">
        <v>2956</v>
      </c>
      <c r="CQ112" s="22" t="s">
        <v>2953</v>
      </c>
      <c r="CR112" s="22" t="s">
        <v>2956</v>
      </c>
      <c r="CS112" s="22" t="s">
        <v>2960</v>
      </c>
      <c r="CT112" s="22">
        <v>5</v>
      </c>
      <c r="CU112" s="21">
        <v>46257</v>
      </c>
      <c r="CV112" s="21">
        <v>46228</v>
      </c>
      <c r="CW112" s="21">
        <v>46178</v>
      </c>
      <c r="CX112" s="21">
        <v>46228</v>
      </c>
      <c r="CY112" s="21">
        <v>46228</v>
      </c>
      <c r="CZ112" s="21">
        <v>46347</v>
      </c>
      <c r="DA112" s="21">
        <v>46278</v>
      </c>
      <c r="DB112" s="21">
        <v>46257</v>
      </c>
      <c r="DC112" s="21">
        <v>46442</v>
      </c>
      <c r="DD112" s="8">
        <v>0</v>
      </c>
      <c r="DE112" s="8">
        <v>0</v>
      </c>
      <c r="DF112" s="8">
        <v>0</v>
      </c>
      <c r="DG112" s="8">
        <v>0</v>
      </c>
      <c r="DH112" s="8">
        <v>0</v>
      </c>
      <c r="DI112" s="8">
        <v>0</v>
      </c>
      <c r="DJ112" s="8" t="s">
        <v>3025</v>
      </c>
      <c r="DK112" s="21">
        <v>43056</v>
      </c>
      <c r="DL112" s="21">
        <v>43039</v>
      </c>
      <c r="DM112" s="21">
        <v>46078</v>
      </c>
      <c r="DN112" s="18">
        <v>5125</v>
      </c>
      <c r="DO112" s="21">
        <v>0</v>
      </c>
      <c r="DP112" s="21">
        <v>0</v>
      </c>
      <c r="DQ112" s="21" t="s">
        <v>2955</v>
      </c>
      <c r="DR112" s="21">
        <v>46078</v>
      </c>
      <c r="DS112" s="21">
        <v>46078</v>
      </c>
      <c r="DT112" s="21">
        <v>46078</v>
      </c>
      <c r="DU112" s="21">
        <v>46078</v>
      </c>
      <c r="DV112" s="21">
        <v>46078</v>
      </c>
      <c r="DW112" s="21">
        <v>46078</v>
      </c>
      <c r="DX112" s="21">
        <v>46078</v>
      </c>
      <c r="DY112" s="21">
        <v>46078</v>
      </c>
      <c r="DZ112" s="21">
        <v>46078</v>
      </c>
      <c r="EA112" s="8">
        <v>1500</v>
      </c>
      <c r="EB112" s="8">
        <v>750</v>
      </c>
      <c r="EC112" s="8">
        <v>500</v>
      </c>
      <c r="ED112" s="8">
        <v>750</v>
      </c>
      <c r="EE112" s="8">
        <v>750</v>
      </c>
      <c r="EF112" s="8">
        <v>1500</v>
      </c>
      <c r="EG112" s="8">
        <v>1000</v>
      </c>
      <c r="EH112" s="8">
        <v>1500</v>
      </c>
      <c r="EI112" s="8">
        <v>3000</v>
      </c>
      <c r="EJ112" s="8">
        <v>5</v>
      </c>
      <c r="EK112" s="8" t="s">
        <v>2624</v>
      </c>
      <c r="EL112" s="8">
        <v>35</v>
      </c>
      <c r="EM112" s="8">
        <v>210</v>
      </c>
      <c r="EN112" s="8">
        <v>1212</v>
      </c>
      <c r="EO112" s="8">
        <v>462</v>
      </c>
      <c r="EP112" s="8">
        <v>212</v>
      </c>
      <c r="EQ112" s="8">
        <v>462</v>
      </c>
      <c r="ER112" s="8">
        <v>462</v>
      </c>
      <c r="ES112" s="8">
        <v>1212</v>
      </c>
      <c r="ET112" s="8">
        <v>712</v>
      </c>
      <c r="EU112" s="8">
        <v>1212</v>
      </c>
      <c r="EV112" s="8">
        <v>2712</v>
      </c>
    </row>
    <row r="113" spans="1:152" x14ac:dyDescent="0.15">
      <c r="A113" s="8">
        <f>ROW([2]!tbl_DPSAC[[#This Row],[Sl. No.]])-1</f>
        <v>112</v>
      </c>
      <c r="B113" s="9" t="s">
        <v>196</v>
      </c>
      <c r="C113" s="9" t="s">
        <v>829</v>
      </c>
      <c r="D113" s="9" t="s">
        <v>175</v>
      </c>
      <c r="E113" s="9" t="s">
        <v>176</v>
      </c>
      <c r="F113" s="9" t="s">
        <v>140</v>
      </c>
      <c r="G113" s="10" t="s">
        <v>263</v>
      </c>
      <c r="H113" s="10" t="str">
        <f>_xlfn.XLOOKUP(C113,'[1]E&amp;DPSAC'!$K:$K,'[1]E&amp;DPSAC'!$E:$E,,0)</f>
        <v>PATHPUR GAYA, BIHAR</v>
      </c>
      <c r="I113" s="10"/>
      <c r="J113" s="10">
        <v>6201360432</v>
      </c>
      <c r="K113" s="10">
        <f>_xlfn.XLOOKUP(C113,'[1]E&amp;DPSAC'!$K:$K,'[1]E&amp;DPSAC'!$G:$G,"",0)</f>
        <v>6201360432</v>
      </c>
      <c r="L113" s="9" t="str">
        <f t="shared" ca="1" si="4"/>
        <v>Non - Warranty</v>
      </c>
      <c r="M113" s="11">
        <v>43067</v>
      </c>
      <c r="N113" s="12">
        <v>36</v>
      </c>
      <c r="O113" s="11">
        <f t="shared" si="5"/>
        <v>44165</v>
      </c>
      <c r="P113" s="8" t="s">
        <v>681</v>
      </c>
      <c r="Q113" s="16" t="s">
        <v>831</v>
      </c>
      <c r="R113" s="15">
        <v>45983.418032407397</v>
      </c>
      <c r="S113" s="14">
        <v>5700</v>
      </c>
      <c r="T113" s="15">
        <v>45199</v>
      </c>
      <c r="U113" s="14">
        <v>3470</v>
      </c>
      <c r="V113" s="14">
        <v>5700</v>
      </c>
      <c r="W113" s="17">
        <v>45983.418032407397</v>
      </c>
      <c r="X113" s="14" t="s">
        <v>2751</v>
      </c>
      <c r="Y113" s="14">
        <v>750</v>
      </c>
      <c r="Z113" s="14" t="s">
        <v>2692</v>
      </c>
      <c r="AA113" s="18">
        <v>129.58196759260318</v>
      </c>
      <c r="AB113" s="18" t="s">
        <v>2692</v>
      </c>
      <c r="AC113" s="8">
        <f>tbl_DPSAC[[#This Row],[Current Month Due Count]]</f>
        <v>0</v>
      </c>
      <c r="AD113" s="8">
        <f>tbl_DPSAC[[#This Row],[Next Month Due2]]</f>
        <v>4</v>
      </c>
      <c r="AE113" s="8">
        <f t="shared" si="6"/>
        <v>0</v>
      </c>
      <c r="AF113" s="8">
        <v>3</v>
      </c>
      <c r="AG113" s="14">
        <f t="shared" ca="1" si="7"/>
        <v>6089</v>
      </c>
      <c r="AH113" s="8">
        <v>0</v>
      </c>
      <c r="AI113" s="8">
        <v>0</v>
      </c>
      <c r="AJ113" s="8">
        <v>0</v>
      </c>
      <c r="AK113" s="8">
        <v>0</v>
      </c>
      <c r="AL113" s="8">
        <v>0</v>
      </c>
      <c r="AM113" s="8" t="s">
        <v>830</v>
      </c>
      <c r="AN113" s="8">
        <v>0</v>
      </c>
      <c r="AO113" s="8">
        <v>0</v>
      </c>
      <c r="AP113" s="8">
        <v>0</v>
      </c>
      <c r="AQ113" s="8">
        <v>0</v>
      </c>
      <c r="AR113" s="8">
        <v>0</v>
      </c>
      <c r="AS113" s="8">
        <v>0</v>
      </c>
      <c r="AT113" s="8">
        <v>0</v>
      </c>
      <c r="AU113" s="8">
        <v>0</v>
      </c>
      <c r="AV113" s="8">
        <v>0</v>
      </c>
      <c r="AW113" s="8">
        <v>0</v>
      </c>
      <c r="AX113" s="8" t="s">
        <v>2007</v>
      </c>
      <c r="AY113" s="14">
        <v>5700</v>
      </c>
      <c r="AZ113" s="19">
        <v>45983</v>
      </c>
      <c r="BA113" s="14" t="s">
        <v>831</v>
      </c>
      <c r="BB113" s="14">
        <v>5700</v>
      </c>
      <c r="BC113" s="19">
        <v>45983</v>
      </c>
      <c r="BD113" s="14" t="s">
        <v>831</v>
      </c>
      <c r="BE113" s="14">
        <v>5700</v>
      </c>
      <c r="BF113" s="19">
        <v>45983</v>
      </c>
      <c r="BG113" s="14" t="s">
        <v>831</v>
      </c>
      <c r="BH113" s="14">
        <v>5700</v>
      </c>
      <c r="BI113" s="19">
        <v>45983</v>
      </c>
      <c r="BJ113" s="14" t="s">
        <v>831</v>
      </c>
      <c r="BK113" s="14">
        <v>5700</v>
      </c>
      <c r="BL113" s="19">
        <v>45983</v>
      </c>
      <c r="BM113" s="14" t="s">
        <v>831</v>
      </c>
      <c r="BN113" s="27">
        <v>46163</v>
      </c>
      <c r="BO113" s="27">
        <v>46163</v>
      </c>
      <c r="BP113" s="27">
        <v>46163</v>
      </c>
      <c r="BQ113" s="27">
        <v>46163</v>
      </c>
      <c r="BR113" s="27">
        <v>46348</v>
      </c>
      <c r="BS113" s="28">
        <v>361</v>
      </c>
      <c r="BT113" s="29">
        <v>1111</v>
      </c>
      <c r="BU113" s="29">
        <v>361</v>
      </c>
      <c r="BV113" s="29">
        <v>361</v>
      </c>
      <c r="BW113" s="29">
        <v>1111</v>
      </c>
      <c r="BX113" s="30" t="s">
        <v>173</v>
      </c>
      <c r="BY113" s="8">
        <v>0</v>
      </c>
      <c r="BZ113" s="8">
        <v>0</v>
      </c>
      <c r="CA113" s="8">
        <v>4</v>
      </c>
      <c r="CB113" s="21">
        <v>45982.770833333299</v>
      </c>
      <c r="CC113" s="21">
        <v>45982.770833333299</v>
      </c>
      <c r="CD113" s="21">
        <v>45982.770833333299</v>
      </c>
      <c r="CE113" s="21">
        <v>45982.770833333299</v>
      </c>
      <c r="CF113" s="21">
        <v>45982.770833333299</v>
      </c>
      <c r="CG113" s="21">
        <v>45982.770833333299</v>
      </c>
      <c r="CH113" s="21">
        <v>45982.770833333299</v>
      </c>
      <c r="CI113" s="21">
        <v>45982.770833333299</v>
      </c>
      <c r="CJ113" s="21">
        <v>45982.770833333299</v>
      </c>
      <c r="CK113" s="22" t="s">
        <v>2956</v>
      </c>
      <c r="CL113" s="22" t="s">
        <v>2957</v>
      </c>
      <c r="CM113" s="22" t="s">
        <v>2959</v>
      </c>
      <c r="CN113" s="22" t="s">
        <v>2957</v>
      </c>
      <c r="CO113" s="22" t="s">
        <v>2957</v>
      </c>
      <c r="CP113" s="22" t="s">
        <v>2956</v>
      </c>
      <c r="CQ113" s="22" t="s">
        <v>2953</v>
      </c>
      <c r="CR113" s="22" t="s">
        <v>2956</v>
      </c>
      <c r="CS113" s="22" t="s">
        <v>2960</v>
      </c>
      <c r="CT113" s="22">
        <v>2</v>
      </c>
      <c r="CU113" s="21">
        <v>46162</v>
      </c>
      <c r="CV113" s="21">
        <v>46162</v>
      </c>
      <c r="CW113" s="21">
        <v>46162</v>
      </c>
      <c r="CX113" s="21">
        <v>46162</v>
      </c>
      <c r="CY113" s="21">
        <v>46162</v>
      </c>
      <c r="CZ113" s="21">
        <v>46252</v>
      </c>
      <c r="DA113" s="21">
        <v>46347</v>
      </c>
      <c r="DB113" s="21">
        <v>46162</v>
      </c>
      <c r="DC113" s="21">
        <v>46347</v>
      </c>
      <c r="DD113" s="8">
        <v>0</v>
      </c>
      <c r="DE113" s="8">
        <v>0</v>
      </c>
      <c r="DF113" s="8">
        <v>0</v>
      </c>
      <c r="DG113" s="8">
        <v>0</v>
      </c>
      <c r="DH113" s="8">
        <v>0</v>
      </c>
      <c r="DI113" s="8">
        <v>6</v>
      </c>
      <c r="DJ113" s="8" t="s">
        <v>3025</v>
      </c>
      <c r="DK113" s="21">
        <v>43067</v>
      </c>
      <c r="DL113" s="21">
        <v>42958</v>
      </c>
      <c r="DM113" s="21">
        <v>45983</v>
      </c>
      <c r="DN113" s="18">
        <v>5700</v>
      </c>
      <c r="DO113" s="21">
        <v>0</v>
      </c>
      <c r="DP113" s="21">
        <v>0</v>
      </c>
      <c r="DQ113" s="21" t="s">
        <v>2955</v>
      </c>
      <c r="DR113" s="21">
        <v>45983</v>
      </c>
      <c r="DS113" s="21">
        <v>45983</v>
      </c>
      <c r="DT113" s="21">
        <v>45983</v>
      </c>
      <c r="DU113" s="21">
        <v>45983</v>
      </c>
      <c r="DV113" s="21">
        <v>45983</v>
      </c>
      <c r="DW113" s="21">
        <v>45983</v>
      </c>
      <c r="DX113" s="21">
        <v>45983</v>
      </c>
      <c r="DY113" s="21">
        <v>45983</v>
      </c>
      <c r="DZ113" s="21">
        <v>45983</v>
      </c>
      <c r="EA113" s="8">
        <v>1500</v>
      </c>
      <c r="EB113" s="8">
        <v>750</v>
      </c>
      <c r="EC113" s="8">
        <v>500</v>
      </c>
      <c r="ED113" s="8">
        <v>750</v>
      </c>
      <c r="EE113" s="8">
        <v>750</v>
      </c>
      <c r="EF113" s="8">
        <v>1500</v>
      </c>
      <c r="EG113" s="8">
        <v>1000</v>
      </c>
      <c r="EH113" s="8">
        <v>1500</v>
      </c>
      <c r="EI113" s="8">
        <v>3000</v>
      </c>
      <c r="EJ113" s="8">
        <v>2</v>
      </c>
      <c r="EK113" s="8" t="s">
        <v>2624</v>
      </c>
      <c r="EL113" s="8">
        <v>130</v>
      </c>
      <c r="EM113" s="8">
        <v>390</v>
      </c>
      <c r="EN113" s="8">
        <v>1212</v>
      </c>
      <c r="EO113" s="8">
        <v>462</v>
      </c>
      <c r="EP113" s="8">
        <v>212</v>
      </c>
      <c r="EQ113" s="8">
        <v>462</v>
      </c>
      <c r="ER113" s="8">
        <v>462</v>
      </c>
      <c r="ES113" s="8">
        <v>1212</v>
      </c>
      <c r="ET113" s="8">
        <v>712</v>
      </c>
      <c r="EU113" s="8">
        <v>1212</v>
      </c>
      <c r="EV113" s="8">
        <v>2712</v>
      </c>
    </row>
    <row r="114" spans="1:152" x14ac:dyDescent="0.15">
      <c r="A114" s="8">
        <f>ROW([2]!tbl_DPSAC[[#This Row],[Sl. No.]])-1</f>
        <v>113</v>
      </c>
      <c r="B114" s="9" t="s">
        <v>136</v>
      </c>
      <c r="C114" s="9" t="s">
        <v>832</v>
      </c>
      <c r="D114" s="9" t="s">
        <v>138</v>
      </c>
      <c r="E114" s="9" t="s">
        <v>139</v>
      </c>
      <c r="F114" s="9" t="s">
        <v>161</v>
      </c>
      <c r="G114" s="10" t="s">
        <v>833</v>
      </c>
      <c r="H114" s="10" t="str">
        <f>_xlfn.XLOOKUP(C114,'[1]E&amp;DPSAC'!$K:$K,'[1]E&amp;DPSAC'!$E:$E,,0)</f>
        <v>CHATRA</v>
      </c>
      <c r="I114" s="10"/>
      <c r="J114" s="10">
        <v>7004915623</v>
      </c>
      <c r="K114" s="10">
        <f>_xlfn.XLOOKUP(C114,'[1]E&amp;DPSAC'!$K:$K,'[1]E&amp;DPSAC'!$G:$G,"",0)</f>
        <v>7004915623</v>
      </c>
      <c r="L114" s="9" t="str">
        <f t="shared" ca="1" si="4"/>
        <v>Non - Warranty</v>
      </c>
      <c r="M114" s="11">
        <v>43138</v>
      </c>
      <c r="N114" s="12">
        <v>24</v>
      </c>
      <c r="O114" s="11">
        <f t="shared" si="5"/>
        <v>43890</v>
      </c>
      <c r="P114" s="8" t="s">
        <v>681</v>
      </c>
      <c r="Q114" s="16" t="s">
        <v>835</v>
      </c>
      <c r="R114" s="15">
        <v>45983.335231481498</v>
      </c>
      <c r="S114" s="14">
        <v>7780</v>
      </c>
      <c r="T114" s="15">
        <v>45199</v>
      </c>
      <c r="U114" s="14">
        <v>4800</v>
      </c>
      <c r="V114" s="14">
        <v>7780</v>
      </c>
      <c r="W114" s="17">
        <v>45983.335231481498</v>
      </c>
      <c r="X114" s="14" t="s">
        <v>2751</v>
      </c>
      <c r="Y114" s="14">
        <v>750</v>
      </c>
      <c r="Z114" s="14" t="s">
        <v>2692</v>
      </c>
      <c r="AA114" s="18">
        <v>129.66476851850166</v>
      </c>
      <c r="AB114" s="18" t="s">
        <v>2692</v>
      </c>
      <c r="AC114" s="8">
        <f>tbl_DPSAC[[#This Row],[Current Month Due Count]]</f>
        <v>0</v>
      </c>
      <c r="AD114" s="8">
        <f>tbl_DPSAC[[#This Row],[Next Month Due2]]</f>
        <v>4</v>
      </c>
      <c r="AE114" s="8">
        <f t="shared" si="6"/>
        <v>0</v>
      </c>
      <c r="AF114" s="8">
        <v>4</v>
      </c>
      <c r="AG114" s="14">
        <f t="shared" ca="1" si="7"/>
        <v>8299</v>
      </c>
      <c r="AH114" s="8">
        <v>0</v>
      </c>
      <c r="AI114" s="8">
        <v>0</v>
      </c>
      <c r="AJ114" s="8">
        <v>0</v>
      </c>
      <c r="AK114" s="8">
        <v>0</v>
      </c>
      <c r="AL114" s="8">
        <v>0</v>
      </c>
      <c r="AM114" s="8">
        <v>0</v>
      </c>
      <c r="AN114" s="8" t="s">
        <v>834</v>
      </c>
      <c r="AO114" s="8">
        <v>0</v>
      </c>
      <c r="AP114" s="8">
        <v>0</v>
      </c>
      <c r="AQ114" s="8">
        <v>0</v>
      </c>
      <c r="AR114" s="8">
        <v>0</v>
      </c>
      <c r="AS114" s="8">
        <v>0</v>
      </c>
      <c r="AT114" s="8">
        <v>0</v>
      </c>
      <c r="AU114" s="8">
        <v>0</v>
      </c>
      <c r="AV114" s="8">
        <v>0</v>
      </c>
      <c r="AW114" s="8">
        <v>0</v>
      </c>
      <c r="AX114" s="8" t="s">
        <v>2007</v>
      </c>
      <c r="AY114" s="14">
        <v>7780</v>
      </c>
      <c r="AZ114" s="19">
        <v>45983</v>
      </c>
      <c r="BA114" s="14" t="s">
        <v>835</v>
      </c>
      <c r="BB114" s="14">
        <v>7780</v>
      </c>
      <c r="BC114" s="19">
        <v>45983</v>
      </c>
      <c r="BD114" s="14" t="s">
        <v>835</v>
      </c>
      <c r="BE114" s="14">
        <v>7780</v>
      </c>
      <c r="BF114" s="19">
        <v>45983</v>
      </c>
      <c r="BG114" s="14" t="s">
        <v>835</v>
      </c>
      <c r="BH114" s="14">
        <v>7780</v>
      </c>
      <c r="BI114" s="19">
        <v>45983</v>
      </c>
      <c r="BJ114" s="14" t="s">
        <v>835</v>
      </c>
      <c r="BK114" s="14">
        <v>7780</v>
      </c>
      <c r="BL114" s="19">
        <v>45983</v>
      </c>
      <c r="BM114" s="14" t="s">
        <v>835</v>
      </c>
      <c r="BN114" s="27">
        <v>46163</v>
      </c>
      <c r="BO114" s="27">
        <v>46163</v>
      </c>
      <c r="BP114" s="27">
        <v>46163</v>
      </c>
      <c r="BQ114" s="27">
        <v>46163</v>
      </c>
      <c r="BR114" s="27">
        <v>46348</v>
      </c>
      <c r="BS114" s="28">
        <v>231</v>
      </c>
      <c r="BT114" s="29">
        <v>981</v>
      </c>
      <c r="BU114" s="29">
        <v>231</v>
      </c>
      <c r="BV114" s="29">
        <v>231</v>
      </c>
      <c r="BW114" s="29">
        <v>981</v>
      </c>
      <c r="BX114" s="30" t="s">
        <v>173</v>
      </c>
      <c r="BY114" s="8">
        <v>0</v>
      </c>
      <c r="BZ114" s="8">
        <v>0</v>
      </c>
      <c r="CA114" s="8">
        <v>4</v>
      </c>
      <c r="CB114" s="21">
        <v>45982.770833333299</v>
      </c>
      <c r="CC114" s="21">
        <v>45982.770833333299</v>
      </c>
      <c r="CD114" s="21">
        <v>45982.770833333299</v>
      </c>
      <c r="CE114" s="21">
        <v>45982.770833333299</v>
      </c>
      <c r="CF114" s="21">
        <v>45982.770833333299</v>
      </c>
      <c r="CG114" s="21">
        <v>45982.770833333299</v>
      </c>
      <c r="CH114" s="21">
        <v>45982.770833333299</v>
      </c>
      <c r="CI114" s="21">
        <v>45982.770833333299</v>
      </c>
      <c r="CJ114" s="21">
        <v>45982.770833333299</v>
      </c>
      <c r="CK114" s="22" t="s">
        <v>2956</v>
      </c>
      <c r="CL114" s="22" t="s">
        <v>2957</v>
      </c>
      <c r="CM114" s="22" t="s">
        <v>2959</v>
      </c>
      <c r="CN114" s="22" t="s">
        <v>2957</v>
      </c>
      <c r="CO114" s="22" t="s">
        <v>2957</v>
      </c>
      <c r="CP114" s="22" t="s">
        <v>2956</v>
      </c>
      <c r="CQ114" s="22" t="s">
        <v>2953</v>
      </c>
      <c r="CR114" s="22" t="s">
        <v>2956</v>
      </c>
      <c r="CS114" s="22" t="s">
        <v>2960</v>
      </c>
      <c r="CT114" s="22">
        <v>3</v>
      </c>
      <c r="CU114" s="21">
        <v>46162</v>
      </c>
      <c r="CV114" s="21">
        <v>46162</v>
      </c>
      <c r="CW114" s="21">
        <v>46149</v>
      </c>
      <c r="CX114" s="21">
        <v>46162</v>
      </c>
      <c r="CY114" s="21">
        <v>46162</v>
      </c>
      <c r="CZ114" s="21">
        <v>46252</v>
      </c>
      <c r="DA114" s="21">
        <v>46316</v>
      </c>
      <c r="DB114" s="21">
        <v>46162</v>
      </c>
      <c r="DC114" s="21">
        <v>46347</v>
      </c>
      <c r="DD114" s="8">
        <v>0</v>
      </c>
      <c r="DE114" s="8">
        <v>0</v>
      </c>
      <c r="DF114" s="8">
        <v>0</v>
      </c>
      <c r="DG114" s="8">
        <v>0</v>
      </c>
      <c r="DH114" s="8">
        <v>0</v>
      </c>
      <c r="DI114" s="8">
        <v>6</v>
      </c>
      <c r="DJ114" s="8" t="s">
        <v>3025</v>
      </c>
      <c r="DK114" s="21">
        <v>43138</v>
      </c>
      <c r="DL114" s="21">
        <v>43116</v>
      </c>
      <c r="DM114" s="21">
        <v>45983</v>
      </c>
      <c r="DN114" s="18">
        <v>7780</v>
      </c>
      <c r="DO114" s="21">
        <v>0</v>
      </c>
      <c r="DP114" s="21">
        <v>0</v>
      </c>
      <c r="DQ114" s="21" t="s">
        <v>2955</v>
      </c>
      <c r="DR114" s="21">
        <v>45983</v>
      </c>
      <c r="DS114" s="21">
        <v>45983</v>
      </c>
      <c r="DT114" s="21">
        <v>45983</v>
      </c>
      <c r="DU114" s="21">
        <v>45983</v>
      </c>
      <c r="DV114" s="21">
        <v>45983</v>
      </c>
      <c r="DW114" s="21">
        <v>45983</v>
      </c>
      <c r="DX114" s="21">
        <v>45983</v>
      </c>
      <c r="DY114" s="21">
        <v>45983</v>
      </c>
      <c r="DZ114" s="21">
        <v>45983</v>
      </c>
      <c r="EA114" s="8">
        <v>1500</v>
      </c>
      <c r="EB114" s="8">
        <v>750</v>
      </c>
      <c r="EC114" s="8">
        <v>500</v>
      </c>
      <c r="ED114" s="8">
        <v>750</v>
      </c>
      <c r="EE114" s="8">
        <v>750</v>
      </c>
      <c r="EF114" s="8">
        <v>1500</v>
      </c>
      <c r="EG114" s="8">
        <v>1000</v>
      </c>
      <c r="EH114" s="8">
        <v>1500</v>
      </c>
      <c r="EI114" s="8">
        <v>3000</v>
      </c>
      <c r="EJ114" s="8">
        <v>3</v>
      </c>
      <c r="EK114" s="8" t="s">
        <v>2624</v>
      </c>
      <c r="EL114" s="8">
        <v>130</v>
      </c>
      <c r="EM114" s="8">
        <v>520</v>
      </c>
      <c r="EN114" s="8">
        <v>1212</v>
      </c>
      <c r="EO114" s="8">
        <v>462</v>
      </c>
      <c r="EP114" s="8">
        <v>212</v>
      </c>
      <c r="EQ114" s="8">
        <v>462</v>
      </c>
      <c r="ER114" s="8">
        <v>462</v>
      </c>
      <c r="ES114" s="8">
        <v>1212</v>
      </c>
      <c r="ET114" s="8">
        <v>712</v>
      </c>
      <c r="EU114" s="8">
        <v>1212</v>
      </c>
      <c r="EV114" s="8">
        <v>2712</v>
      </c>
    </row>
    <row r="115" spans="1:152" x14ac:dyDescent="0.15">
      <c r="A115" s="8">
        <f>ROW([2]!tbl_DPSAC[[#This Row],[Sl. No.]])-1</f>
        <v>114</v>
      </c>
      <c r="B115" s="9" t="s">
        <v>136</v>
      </c>
      <c r="C115" s="9" t="s">
        <v>836</v>
      </c>
      <c r="D115" s="9" t="s">
        <v>837</v>
      </c>
      <c r="E115" s="9" t="s">
        <v>147</v>
      </c>
      <c r="F115" s="9" t="s">
        <v>140</v>
      </c>
      <c r="G115" s="10" t="s">
        <v>833</v>
      </c>
      <c r="H115" s="10" t="str">
        <f>_xlfn.XLOOKUP(C115,'[1]E&amp;DPSAC'!$K:$K,'[1]E&amp;DPSAC'!$E:$E,,0)</f>
        <v>CHATRA</v>
      </c>
      <c r="I115" s="10"/>
      <c r="J115" s="10">
        <v>9608456350</v>
      </c>
      <c r="K115" s="10">
        <f>_xlfn.XLOOKUP(C115,'[1]E&amp;DPSAC'!$K:$K,'[1]E&amp;DPSAC'!$G:$G,"",0)</f>
        <v>9608456350</v>
      </c>
      <c r="L115" s="9" t="str">
        <f t="shared" ca="1" si="4"/>
        <v>Non - Warranty</v>
      </c>
      <c r="M115" s="11">
        <v>42160</v>
      </c>
      <c r="N115" s="12">
        <v>36</v>
      </c>
      <c r="O115" s="11">
        <f t="shared" si="5"/>
        <v>43281</v>
      </c>
      <c r="P115" s="8" t="s">
        <v>681</v>
      </c>
      <c r="Q115" s="16" t="s">
        <v>838</v>
      </c>
      <c r="R115" s="15">
        <v>46074.494108796302</v>
      </c>
      <c r="S115" s="14">
        <v>8630</v>
      </c>
      <c r="T115" s="15">
        <v>45266</v>
      </c>
      <c r="U115" s="14">
        <v>7850</v>
      </c>
      <c r="V115" s="14">
        <v>8630</v>
      </c>
      <c r="W115" s="17">
        <v>46074.494108796302</v>
      </c>
      <c r="X115" s="14" t="s">
        <v>2763</v>
      </c>
      <c r="Y115" s="14">
        <v>750</v>
      </c>
      <c r="Z115" s="14" t="s">
        <v>2692</v>
      </c>
      <c r="AA115" s="18">
        <v>38.505891203698411</v>
      </c>
      <c r="AB115" s="18" t="s">
        <v>2692</v>
      </c>
      <c r="AC115" s="8">
        <f>tbl_DPSAC[[#This Row],[Current Month Due Count]]</f>
        <v>0</v>
      </c>
      <c r="AD115" s="8">
        <f>tbl_DPSAC[[#This Row],[Next Month Due2]]</f>
        <v>0</v>
      </c>
      <c r="AE115" s="8">
        <f t="shared" si="6"/>
        <v>0</v>
      </c>
      <c r="AF115" s="8">
        <v>1</v>
      </c>
      <c r="AG115" s="14">
        <f t="shared" ca="1" si="7"/>
        <v>8669</v>
      </c>
      <c r="AH115" s="8">
        <v>0</v>
      </c>
      <c r="AI115" s="8">
        <v>0</v>
      </c>
      <c r="AJ115" s="8">
        <v>0</v>
      </c>
      <c r="AK115" s="8">
        <v>0</v>
      </c>
      <c r="AL115" s="8">
        <v>0</v>
      </c>
      <c r="AM115" s="8">
        <v>0</v>
      </c>
      <c r="AN115" s="8">
        <v>0</v>
      </c>
      <c r="AO115" s="8">
        <v>0</v>
      </c>
      <c r="AP115" s="8">
        <v>0</v>
      </c>
      <c r="AQ115" s="8">
        <v>0</v>
      </c>
      <c r="AR115" s="8">
        <v>0</v>
      </c>
      <c r="AS115" s="8">
        <v>0</v>
      </c>
      <c r="AT115" s="8">
        <v>0</v>
      </c>
      <c r="AU115" s="8">
        <v>0</v>
      </c>
      <c r="AV115" s="8">
        <v>0</v>
      </c>
      <c r="AW115" s="8">
        <v>0</v>
      </c>
      <c r="AX115" s="8" t="s">
        <v>2007</v>
      </c>
      <c r="AY115" s="14">
        <v>8630</v>
      </c>
      <c r="AZ115" s="19">
        <v>46074</v>
      </c>
      <c r="BA115" s="14" t="s">
        <v>838</v>
      </c>
      <c r="BB115" s="14">
        <v>8630</v>
      </c>
      <c r="BC115" s="19">
        <v>46074</v>
      </c>
      <c r="BD115" s="14" t="s">
        <v>838</v>
      </c>
      <c r="BE115" s="14">
        <v>8630</v>
      </c>
      <c r="BF115" s="19">
        <v>46074</v>
      </c>
      <c r="BG115" s="14" t="s">
        <v>838</v>
      </c>
      <c r="BH115" s="14">
        <v>8630</v>
      </c>
      <c r="BI115" s="19">
        <v>46074</v>
      </c>
      <c r="BJ115" s="14" t="s">
        <v>838</v>
      </c>
      <c r="BK115" s="14">
        <v>8630</v>
      </c>
      <c r="BL115" s="19">
        <v>46074</v>
      </c>
      <c r="BM115" s="14" t="s">
        <v>838</v>
      </c>
      <c r="BN115" s="27">
        <v>46254</v>
      </c>
      <c r="BO115" s="27">
        <v>46254</v>
      </c>
      <c r="BP115" s="27">
        <v>46254</v>
      </c>
      <c r="BQ115" s="27">
        <v>46254</v>
      </c>
      <c r="BR115" s="27">
        <v>46439</v>
      </c>
      <c r="BS115" s="28">
        <v>711</v>
      </c>
      <c r="BT115" s="29">
        <v>1461</v>
      </c>
      <c r="BU115" s="29">
        <v>711</v>
      </c>
      <c r="BV115" s="29">
        <v>711</v>
      </c>
      <c r="BW115" s="29">
        <v>1461</v>
      </c>
      <c r="BX115" s="30" t="s">
        <v>173</v>
      </c>
      <c r="BY115" s="8">
        <v>0</v>
      </c>
      <c r="BZ115" s="8">
        <v>0</v>
      </c>
      <c r="CA115" s="8">
        <v>0</v>
      </c>
      <c r="CB115" s="21">
        <v>46073.770833333299</v>
      </c>
      <c r="CC115" s="21">
        <v>46073.770833333299</v>
      </c>
      <c r="CD115" s="21">
        <v>46073.770833333299</v>
      </c>
      <c r="CE115" s="21">
        <v>46073.770833333299</v>
      </c>
      <c r="CF115" s="21">
        <v>46073.770833333299</v>
      </c>
      <c r="CG115" s="21">
        <v>46073.770833333299</v>
      </c>
      <c r="CH115" s="21">
        <v>46073.770833333299</v>
      </c>
      <c r="CI115" s="21">
        <v>46073.770833333299</v>
      </c>
      <c r="CJ115" s="21">
        <v>46073.770833333299</v>
      </c>
      <c r="CK115" s="22" t="s">
        <v>2956</v>
      </c>
      <c r="CL115" s="22" t="s">
        <v>2957</v>
      </c>
      <c r="CM115" s="22" t="s">
        <v>2959</v>
      </c>
      <c r="CN115" s="22" t="s">
        <v>2957</v>
      </c>
      <c r="CO115" s="22" t="s">
        <v>2957</v>
      </c>
      <c r="CP115" s="22" t="s">
        <v>2956</v>
      </c>
      <c r="CQ115" s="22" t="s">
        <v>2953</v>
      </c>
      <c r="CR115" s="22" t="s">
        <v>2956</v>
      </c>
      <c r="CS115" s="22" t="s">
        <v>2960</v>
      </c>
      <c r="CT115" s="22">
        <v>7</v>
      </c>
      <c r="CU115" s="21">
        <v>46253</v>
      </c>
      <c r="CV115" s="21">
        <v>46181</v>
      </c>
      <c r="CW115" s="21">
        <v>46145</v>
      </c>
      <c r="CX115" s="21">
        <v>46181</v>
      </c>
      <c r="CY115" s="21">
        <v>46181</v>
      </c>
      <c r="CZ115" s="21">
        <v>46288</v>
      </c>
      <c r="DA115" s="21">
        <v>46216</v>
      </c>
      <c r="DB115" s="21">
        <v>46253</v>
      </c>
      <c r="DC115" s="21">
        <v>46438</v>
      </c>
      <c r="DD115" s="8">
        <v>0</v>
      </c>
      <c r="DE115" s="8">
        <v>0</v>
      </c>
      <c r="DF115" s="8">
        <v>0</v>
      </c>
      <c r="DG115" s="8">
        <v>0</v>
      </c>
      <c r="DH115" s="8">
        <v>0</v>
      </c>
      <c r="DI115" s="8">
        <v>1</v>
      </c>
      <c r="DJ115" s="8" t="s">
        <v>3025</v>
      </c>
      <c r="DK115" s="21">
        <v>42160</v>
      </c>
      <c r="DL115" s="21">
        <v>42094</v>
      </c>
      <c r="DM115" s="21">
        <v>46074</v>
      </c>
      <c r="DN115" s="18">
        <v>8630</v>
      </c>
      <c r="DO115" s="21">
        <v>0</v>
      </c>
      <c r="DP115" s="21">
        <v>0</v>
      </c>
      <c r="DQ115" s="21" t="s">
        <v>2955</v>
      </c>
      <c r="DR115" s="21">
        <v>46074</v>
      </c>
      <c r="DS115" s="21">
        <v>46074</v>
      </c>
      <c r="DT115" s="21">
        <v>46074</v>
      </c>
      <c r="DU115" s="21">
        <v>46074</v>
      </c>
      <c r="DV115" s="21">
        <v>46074</v>
      </c>
      <c r="DW115" s="21">
        <v>46074</v>
      </c>
      <c r="DX115" s="21">
        <v>46074</v>
      </c>
      <c r="DY115" s="21">
        <v>46074</v>
      </c>
      <c r="DZ115" s="21">
        <v>46074</v>
      </c>
      <c r="EA115" s="8">
        <v>1500</v>
      </c>
      <c r="EB115" s="8">
        <v>750</v>
      </c>
      <c r="EC115" s="8">
        <v>500</v>
      </c>
      <c r="ED115" s="8">
        <v>750</v>
      </c>
      <c r="EE115" s="8">
        <v>750</v>
      </c>
      <c r="EF115" s="8">
        <v>1500</v>
      </c>
      <c r="EG115" s="8">
        <v>1000</v>
      </c>
      <c r="EH115" s="8">
        <v>1500</v>
      </c>
      <c r="EI115" s="8">
        <v>3000</v>
      </c>
      <c r="EJ115" s="8">
        <v>7</v>
      </c>
      <c r="EK115" s="8" t="s">
        <v>2624</v>
      </c>
      <c r="EL115" s="8">
        <v>39</v>
      </c>
      <c r="EM115" s="8">
        <v>39</v>
      </c>
      <c r="EN115" s="8">
        <v>1212</v>
      </c>
      <c r="EO115" s="8">
        <v>462</v>
      </c>
      <c r="EP115" s="8">
        <v>212</v>
      </c>
      <c r="EQ115" s="8">
        <v>462</v>
      </c>
      <c r="ER115" s="8">
        <v>462</v>
      </c>
      <c r="ES115" s="8">
        <v>1212</v>
      </c>
      <c r="ET115" s="8">
        <v>712</v>
      </c>
      <c r="EU115" s="8">
        <v>1212</v>
      </c>
      <c r="EV115" s="8">
        <v>2712</v>
      </c>
    </row>
    <row r="116" spans="1:152" x14ac:dyDescent="0.15">
      <c r="A116" s="8">
        <f>ROW([2]!tbl_DPSAC[[#This Row],[Sl. No.]])-1</f>
        <v>115</v>
      </c>
      <c r="B116" s="9" t="s">
        <v>136</v>
      </c>
      <c r="C116" s="9" t="s">
        <v>839</v>
      </c>
      <c r="D116" s="9" t="s">
        <v>837</v>
      </c>
      <c r="E116" s="9" t="s">
        <v>147</v>
      </c>
      <c r="F116" s="9" t="s">
        <v>140</v>
      </c>
      <c r="G116" s="10" t="s">
        <v>833</v>
      </c>
      <c r="H116" s="10" t="e">
        <f>_xlfn.XLOOKUP(C116,'[1]E&amp;DPSAC'!$K:$K,'[1]E&amp;DPSAC'!$E:$E,,0)</f>
        <v>#N/A</v>
      </c>
      <c r="I116" s="10"/>
      <c r="J116" s="10" t="s">
        <v>143</v>
      </c>
      <c r="K116" s="10" t="str">
        <f>_xlfn.XLOOKUP(C116,'[1]E&amp;DPSAC'!$K:$K,'[1]E&amp;DPSAC'!$G:$G,"",0)</f>
        <v/>
      </c>
      <c r="L116" s="9" t="str">
        <f t="shared" ca="1" si="4"/>
        <v>Non - Warranty</v>
      </c>
      <c r="M116" s="11">
        <v>41739</v>
      </c>
      <c r="N116" s="12">
        <v>36</v>
      </c>
      <c r="O116" s="11">
        <f t="shared" si="5"/>
        <v>42855</v>
      </c>
      <c r="P116" s="8" t="s">
        <v>715</v>
      </c>
      <c r="Q116" s="16" t="s">
        <v>840</v>
      </c>
      <c r="R116" s="15">
        <v>45289.457326388903</v>
      </c>
      <c r="S116" s="14">
        <v>6505</v>
      </c>
      <c r="T116" s="15" t="s">
        <v>143</v>
      </c>
      <c r="U116" s="14" t="s">
        <v>143</v>
      </c>
      <c r="V116" s="14">
        <v>9970</v>
      </c>
      <c r="W116" s="17">
        <v>45940.544444444444</v>
      </c>
      <c r="X116" s="14" t="s">
        <v>2724</v>
      </c>
      <c r="Y116" s="14">
        <v>-2715</v>
      </c>
      <c r="Z116" s="14" t="s">
        <v>2697</v>
      </c>
      <c r="AA116" s="18">
        <v>823.54267361109669</v>
      </c>
      <c r="AB116" s="18" t="s">
        <v>2697</v>
      </c>
      <c r="AC116" s="8">
        <f>tbl_DPSAC[[#This Row],[Current Month Due Count]]</f>
        <v>0</v>
      </c>
      <c r="AD116" s="8">
        <f>tbl_DPSAC[[#This Row],[Next Month Due2]]</f>
        <v>0</v>
      </c>
      <c r="AE116" s="8">
        <f t="shared" si="6"/>
        <v>1</v>
      </c>
      <c r="AF116" s="8">
        <v>2</v>
      </c>
      <c r="AG116" s="14">
        <f t="shared" ca="1" si="7"/>
        <v>10315</v>
      </c>
      <c r="AH116" s="8">
        <v>0</v>
      </c>
      <c r="AI116" s="8">
        <v>0</v>
      </c>
      <c r="AJ116" s="8">
        <v>0</v>
      </c>
      <c r="AK116" s="8">
        <v>0</v>
      </c>
      <c r="AL116" s="8">
        <v>0</v>
      </c>
      <c r="AM116" s="8">
        <v>0</v>
      </c>
      <c r="AN116" s="8">
        <v>0</v>
      </c>
      <c r="AO116" s="8">
        <v>0</v>
      </c>
      <c r="AP116" s="8">
        <v>0</v>
      </c>
      <c r="AQ116" s="8">
        <v>0</v>
      </c>
      <c r="AR116" s="8">
        <v>0</v>
      </c>
      <c r="AS116" s="8">
        <v>0</v>
      </c>
      <c r="AT116" s="8">
        <v>0</v>
      </c>
      <c r="AU116" s="8">
        <v>0</v>
      </c>
      <c r="AV116" s="8">
        <v>0</v>
      </c>
      <c r="AW116" s="8">
        <v>0</v>
      </c>
      <c r="AX116" s="8" t="s">
        <v>2977</v>
      </c>
      <c r="AY116" s="14">
        <v>6505</v>
      </c>
      <c r="AZ116" s="19">
        <v>45289</v>
      </c>
      <c r="BA116" s="14" t="s">
        <v>840</v>
      </c>
      <c r="BB116" s="14">
        <v>6505</v>
      </c>
      <c r="BC116" s="19">
        <v>45289</v>
      </c>
      <c r="BD116" s="14" t="s">
        <v>840</v>
      </c>
      <c r="BE116" s="14">
        <v>6505</v>
      </c>
      <c r="BF116" s="19">
        <v>45289</v>
      </c>
      <c r="BG116" s="14" t="s">
        <v>840</v>
      </c>
      <c r="BH116" s="14"/>
      <c r="BI116" s="19"/>
      <c r="BJ116" s="14"/>
      <c r="BK116" s="14">
        <v>6505</v>
      </c>
      <c r="BL116" s="19">
        <v>45289</v>
      </c>
      <c r="BM116" s="14" t="s">
        <v>840</v>
      </c>
      <c r="BN116" s="27">
        <v>45469</v>
      </c>
      <c r="BO116" s="27">
        <v>45469</v>
      </c>
      <c r="BP116" s="27">
        <v>45469</v>
      </c>
      <c r="BQ116" s="27" t="s">
        <v>143</v>
      </c>
      <c r="BR116" s="27">
        <v>45654</v>
      </c>
      <c r="BS116" s="28">
        <v>-3060</v>
      </c>
      <c r="BT116" s="29">
        <v>-2310</v>
      </c>
      <c r="BU116" s="29">
        <v>-3060</v>
      </c>
      <c r="BV116" s="29" t="s">
        <v>143</v>
      </c>
      <c r="BW116" s="29">
        <v>-2310</v>
      </c>
      <c r="BX116" s="30" t="s">
        <v>173</v>
      </c>
      <c r="BY116" s="8">
        <v>4</v>
      </c>
      <c r="BZ116" s="8">
        <v>0</v>
      </c>
      <c r="CA116" s="8">
        <v>0</v>
      </c>
      <c r="CB116" s="21" t="s">
        <v>143</v>
      </c>
      <c r="CC116" s="21" t="s">
        <v>143</v>
      </c>
      <c r="CD116" s="21" t="s">
        <v>143</v>
      </c>
      <c r="CE116" s="21" t="s">
        <v>143</v>
      </c>
      <c r="CF116" s="21" t="s">
        <v>143</v>
      </c>
      <c r="CG116" s="21" t="s">
        <v>143</v>
      </c>
      <c r="CH116" s="21" t="s">
        <v>143</v>
      </c>
      <c r="CI116" s="21" t="s">
        <v>143</v>
      </c>
      <c r="CJ116" s="21" t="s">
        <v>143</v>
      </c>
      <c r="CK116" s="22" t="s">
        <v>143</v>
      </c>
      <c r="CL116" s="22" t="s">
        <v>143</v>
      </c>
      <c r="CM116" s="22" t="s">
        <v>143</v>
      </c>
      <c r="CN116" s="22" t="s">
        <v>143</v>
      </c>
      <c r="CO116" s="22" t="s">
        <v>143</v>
      </c>
      <c r="CP116" s="22" t="s">
        <v>143</v>
      </c>
      <c r="CQ116" s="22" t="s">
        <v>143</v>
      </c>
      <c r="CR116" s="22" t="s">
        <v>143</v>
      </c>
      <c r="CS116" s="22" t="s">
        <v>143</v>
      </c>
      <c r="CT116" s="22" t="s">
        <v>143</v>
      </c>
      <c r="CU116" s="21" t="s">
        <v>143</v>
      </c>
      <c r="CV116" s="21" t="s">
        <v>143</v>
      </c>
      <c r="CW116" s="21" t="s">
        <v>143</v>
      </c>
      <c r="CX116" s="21" t="s">
        <v>143</v>
      </c>
      <c r="CY116" s="21" t="s">
        <v>143</v>
      </c>
      <c r="CZ116" s="21" t="s">
        <v>143</v>
      </c>
      <c r="DA116" s="21" t="s">
        <v>143</v>
      </c>
      <c r="DB116" s="21" t="s">
        <v>143</v>
      </c>
      <c r="DC116" s="21" t="s">
        <v>143</v>
      </c>
      <c r="DD116" s="8" t="s">
        <v>143</v>
      </c>
      <c r="DE116" s="8" t="s">
        <v>143</v>
      </c>
      <c r="DF116" s="8" t="s">
        <v>143</v>
      </c>
      <c r="DG116" s="8">
        <v>0</v>
      </c>
      <c r="DH116" s="8">
        <v>0</v>
      </c>
      <c r="DI116" s="8">
        <v>0</v>
      </c>
      <c r="DJ116" s="8" t="s">
        <v>3032</v>
      </c>
      <c r="DK116" s="21">
        <v>41739</v>
      </c>
      <c r="DL116" s="21">
        <v>41670</v>
      </c>
      <c r="DM116" s="21">
        <v>45940</v>
      </c>
      <c r="DN116" s="18">
        <v>9970</v>
      </c>
      <c r="DO116" s="21">
        <v>0</v>
      </c>
      <c r="DP116" s="21">
        <v>0</v>
      </c>
      <c r="DQ116" s="21" t="s">
        <v>2955</v>
      </c>
      <c r="DR116" s="21">
        <v>45289</v>
      </c>
      <c r="DS116" s="21">
        <v>45289</v>
      </c>
      <c r="DT116" s="21">
        <v>0</v>
      </c>
      <c r="DU116" s="21">
        <v>45289</v>
      </c>
      <c r="DV116" s="21">
        <v>45289</v>
      </c>
      <c r="DW116" s="21">
        <v>45289</v>
      </c>
      <c r="DX116" s="21">
        <v>45289</v>
      </c>
      <c r="DY116" s="21">
        <v>45289</v>
      </c>
      <c r="DZ116" s="21">
        <v>45289</v>
      </c>
      <c r="EA116" s="8">
        <v>710</v>
      </c>
      <c r="EB116" s="8">
        <v>710</v>
      </c>
      <c r="EC116" s="8">
        <v>710</v>
      </c>
      <c r="ED116" s="8">
        <v>710</v>
      </c>
      <c r="EE116" s="8">
        <v>710</v>
      </c>
      <c r="EF116" s="8">
        <v>960</v>
      </c>
      <c r="EG116" s="8">
        <v>1000</v>
      </c>
      <c r="EH116" s="8">
        <v>960</v>
      </c>
      <c r="EI116" s="8">
        <v>960</v>
      </c>
      <c r="EJ116" s="8">
        <v>2</v>
      </c>
      <c r="EK116" s="8" t="s">
        <v>715</v>
      </c>
      <c r="EL116" s="8">
        <v>172</v>
      </c>
      <c r="EM116" s="8">
        <v>344</v>
      </c>
      <c r="EN116" s="8">
        <v>422</v>
      </c>
      <c r="EO116" s="8">
        <v>422</v>
      </c>
      <c r="EP116" s="8">
        <v>422</v>
      </c>
      <c r="EQ116" s="8">
        <v>422</v>
      </c>
      <c r="ER116" s="8">
        <v>422</v>
      </c>
      <c r="ES116" s="8">
        <v>672</v>
      </c>
      <c r="ET116" s="8">
        <v>712</v>
      </c>
      <c r="EU116" s="8">
        <v>672</v>
      </c>
      <c r="EV116" s="8">
        <v>672</v>
      </c>
    </row>
    <row r="117" spans="1:152" x14ac:dyDescent="0.15">
      <c r="A117" s="8">
        <f>ROW([2]!tbl_DPSAC[[#This Row],[Sl. No.]])-1</f>
        <v>116</v>
      </c>
      <c r="B117" s="9" t="s">
        <v>196</v>
      </c>
      <c r="C117" s="9" t="s">
        <v>841</v>
      </c>
      <c r="D117" s="9" t="s">
        <v>175</v>
      </c>
      <c r="E117" s="9" t="s">
        <v>176</v>
      </c>
      <c r="F117" s="9" t="s">
        <v>140</v>
      </c>
      <c r="G117" s="10" t="s">
        <v>263</v>
      </c>
      <c r="H117" s="10" t="str">
        <f>_xlfn.XLOOKUP(C117,'[1]E&amp;DPSAC'!$K:$K,'[1]E&amp;DPSAC'!$E:$E,,0)</f>
        <v>GOPI MORE GAYA</v>
      </c>
      <c r="I117" s="10"/>
      <c r="J117" s="10">
        <v>8169716899</v>
      </c>
      <c r="K117" s="10">
        <f>_xlfn.XLOOKUP(C117,'[1]E&amp;DPSAC'!$K:$K,'[1]E&amp;DPSAC'!$G:$G,"",0)</f>
        <v>8169716899</v>
      </c>
      <c r="L117" s="9" t="str">
        <f t="shared" ca="1" si="4"/>
        <v>Non - Warranty</v>
      </c>
      <c r="M117" s="11">
        <v>43448</v>
      </c>
      <c r="N117" s="12">
        <v>36</v>
      </c>
      <c r="O117" s="11">
        <f t="shared" si="5"/>
        <v>44561</v>
      </c>
      <c r="P117" s="8" t="s">
        <v>681</v>
      </c>
      <c r="Q117" s="16" t="s">
        <v>842</v>
      </c>
      <c r="R117" s="15">
        <v>46078.471793981502</v>
      </c>
      <c r="S117" s="14">
        <v>6190</v>
      </c>
      <c r="T117" s="15">
        <v>45289</v>
      </c>
      <c r="U117" s="14">
        <v>2931</v>
      </c>
      <c r="V117" s="14">
        <v>6190</v>
      </c>
      <c r="W117" s="17">
        <v>46078.471793981502</v>
      </c>
      <c r="X117" s="14" t="s">
        <v>2762</v>
      </c>
      <c r="Y117" s="14">
        <v>750</v>
      </c>
      <c r="Z117" s="14" t="s">
        <v>2692</v>
      </c>
      <c r="AA117" s="18">
        <v>34.528206018498167</v>
      </c>
      <c r="AB117" s="18" t="s">
        <v>2692</v>
      </c>
      <c r="AC117" s="8">
        <f>tbl_DPSAC[[#This Row],[Current Month Due Count]]</f>
        <v>0</v>
      </c>
      <c r="AD117" s="8">
        <f>tbl_DPSAC[[#This Row],[Next Month Due2]]</f>
        <v>0</v>
      </c>
      <c r="AE117" s="8">
        <f t="shared" si="6"/>
        <v>0</v>
      </c>
      <c r="AF117" s="8">
        <v>3</v>
      </c>
      <c r="AG117" s="14">
        <f t="shared" ca="1" si="7"/>
        <v>6294</v>
      </c>
      <c r="AH117" s="8">
        <v>0</v>
      </c>
      <c r="AI117" s="8">
        <v>0</v>
      </c>
      <c r="AJ117" s="8">
        <v>0</v>
      </c>
      <c r="AK117" s="8">
        <v>0</v>
      </c>
      <c r="AL117" s="8">
        <v>0</v>
      </c>
      <c r="AM117" s="8">
        <v>0</v>
      </c>
      <c r="AN117" s="8">
        <v>0</v>
      </c>
      <c r="AO117" s="8">
        <v>0</v>
      </c>
      <c r="AP117" s="8">
        <v>0</v>
      </c>
      <c r="AQ117" s="8">
        <v>0</v>
      </c>
      <c r="AR117" s="8">
        <v>0</v>
      </c>
      <c r="AS117" s="8">
        <v>0</v>
      </c>
      <c r="AT117" s="8">
        <v>0</v>
      </c>
      <c r="AU117" s="8">
        <v>0</v>
      </c>
      <c r="AV117" s="8">
        <v>0</v>
      </c>
      <c r="AW117" s="8">
        <v>0</v>
      </c>
      <c r="AX117" s="8" t="s">
        <v>2007</v>
      </c>
      <c r="AY117" s="14">
        <v>6190</v>
      </c>
      <c r="AZ117" s="19">
        <v>46078</v>
      </c>
      <c r="BA117" s="14" t="s">
        <v>842</v>
      </c>
      <c r="BB117" s="14">
        <v>6190</v>
      </c>
      <c r="BC117" s="19">
        <v>46078</v>
      </c>
      <c r="BD117" s="14" t="s">
        <v>842</v>
      </c>
      <c r="BE117" s="14">
        <v>6190</v>
      </c>
      <c r="BF117" s="19">
        <v>46078</v>
      </c>
      <c r="BG117" s="14" t="s">
        <v>842</v>
      </c>
      <c r="BH117" s="14">
        <v>6190</v>
      </c>
      <c r="BI117" s="19">
        <v>46078</v>
      </c>
      <c r="BJ117" s="14" t="s">
        <v>842</v>
      </c>
      <c r="BK117" s="14">
        <v>6190</v>
      </c>
      <c r="BL117" s="19">
        <v>46078</v>
      </c>
      <c r="BM117" s="14" t="s">
        <v>842</v>
      </c>
      <c r="BN117" s="27">
        <v>46258</v>
      </c>
      <c r="BO117" s="27">
        <v>46258</v>
      </c>
      <c r="BP117" s="27">
        <v>46258</v>
      </c>
      <c r="BQ117" s="27">
        <v>46258</v>
      </c>
      <c r="BR117" s="27">
        <v>46443</v>
      </c>
      <c r="BS117" s="28">
        <v>646</v>
      </c>
      <c r="BT117" s="29">
        <v>1396</v>
      </c>
      <c r="BU117" s="29">
        <v>646</v>
      </c>
      <c r="BV117" s="29">
        <v>646</v>
      </c>
      <c r="BW117" s="29">
        <v>1396</v>
      </c>
      <c r="BX117" s="30" t="s">
        <v>173</v>
      </c>
      <c r="BY117" s="8">
        <v>0</v>
      </c>
      <c r="BZ117" s="8">
        <v>0</v>
      </c>
      <c r="CA117" s="8">
        <v>0</v>
      </c>
      <c r="CB117" s="21">
        <v>46077.770833333299</v>
      </c>
      <c r="CC117" s="21">
        <v>46077.770833333299</v>
      </c>
      <c r="CD117" s="21">
        <v>46077.770833333299</v>
      </c>
      <c r="CE117" s="21">
        <v>46077.770833333299</v>
      </c>
      <c r="CF117" s="21">
        <v>46077.770833333299</v>
      </c>
      <c r="CG117" s="21">
        <v>46077.770833333299</v>
      </c>
      <c r="CH117" s="21">
        <v>46077.770833333299</v>
      </c>
      <c r="CI117" s="21">
        <v>46077.770833333299</v>
      </c>
      <c r="CJ117" s="21">
        <v>46077.770833333299</v>
      </c>
      <c r="CK117" s="22" t="s">
        <v>2956</v>
      </c>
      <c r="CL117" s="22" t="s">
        <v>2957</v>
      </c>
      <c r="CM117" s="22" t="s">
        <v>2959</v>
      </c>
      <c r="CN117" s="22" t="s">
        <v>2957</v>
      </c>
      <c r="CO117" s="22" t="s">
        <v>2957</v>
      </c>
      <c r="CP117" s="22" t="s">
        <v>2956</v>
      </c>
      <c r="CQ117" s="22" t="s">
        <v>2953</v>
      </c>
      <c r="CR117" s="22" t="s">
        <v>2956</v>
      </c>
      <c r="CS117" s="22" t="s">
        <v>2960</v>
      </c>
      <c r="CT117" s="22">
        <v>4</v>
      </c>
      <c r="CU117" s="21">
        <v>46257</v>
      </c>
      <c r="CV117" s="21">
        <v>46257</v>
      </c>
      <c r="CW117" s="21">
        <v>46203</v>
      </c>
      <c r="CX117" s="21">
        <v>46257</v>
      </c>
      <c r="CY117" s="21">
        <v>46257</v>
      </c>
      <c r="CZ117" s="21">
        <v>46347</v>
      </c>
      <c r="DA117" s="21">
        <v>46328</v>
      </c>
      <c r="DB117" s="21">
        <v>46257</v>
      </c>
      <c r="DC117" s="21">
        <v>46442</v>
      </c>
      <c r="DD117" s="8">
        <v>0</v>
      </c>
      <c r="DE117" s="8">
        <v>0</v>
      </c>
      <c r="DF117" s="8">
        <v>0</v>
      </c>
      <c r="DG117" s="8">
        <v>0</v>
      </c>
      <c r="DH117" s="8">
        <v>0</v>
      </c>
      <c r="DI117" s="8">
        <v>0</v>
      </c>
      <c r="DJ117" s="8" t="s">
        <v>3025</v>
      </c>
      <c r="DK117" s="21">
        <v>43448</v>
      </c>
      <c r="DL117" s="21">
        <v>43448.229166666664</v>
      </c>
      <c r="DM117" s="21">
        <v>46078</v>
      </c>
      <c r="DN117" s="18">
        <v>6190</v>
      </c>
      <c r="DO117" s="21">
        <v>0</v>
      </c>
      <c r="DP117" s="21">
        <v>0</v>
      </c>
      <c r="DQ117" s="21" t="s">
        <v>2955</v>
      </c>
      <c r="DR117" s="21">
        <v>46078</v>
      </c>
      <c r="DS117" s="21">
        <v>46078</v>
      </c>
      <c r="DT117" s="21">
        <v>46078</v>
      </c>
      <c r="DU117" s="21">
        <v>46078</v>
      </c>
      <c r="DV117" s="21">
        <v>46078</v>
      </c>
      <c r="DW117" s="21">
        <v>46078</v>
      </c>
      <c r="DX117" s="21">
        <v>46078</v>
      </c>
      <c r="DY117" s="21">
        <v>46078</v>
      </c>
      <c r="DZ117" s="21">
        <v>46078</v>
      </c>
      <c r="EA117" s="8">
        <v>1500</v>
      </c>
      <c r="EB117" s="8">
        <v>750</v>
      </c>
      <c r="EC117" s="8">
        <v>500</v>
      </c>
      <c r="ED117" s="8">
        <v>750</v>
      </c>
      <c r="EE117" s="8">
        <v>750</v>
      </c>
      <c r="EF117" s="8">
        <v>1500</v>
      </c>
      <c r="EG117" s="8">
        <v>1000</v>
      </c>
      <c r="EH117" s="8">
        <v>1500</v>
      </c>
      <c r="EI117" s="8">
        <v>3000</v>
      </c>
      <c r="EJ117" s="8">
        <v>4</v>
      </c>
      <c r="EK117" s="8" t="s">
        <v>2624</v>
      </c>
      <c r="EL117" s="8">
        <v>35</v>
      </c>
      <c r="EM117" s="8">
        <v>105</v>
      </c>
      <c r="EN117" s="8">
        <v>1212</v>
      </c>
      <c r="EO117" s="8">
        <v>462</v>
      </c>
      <c r="EP117" s="8">
        <v>212</v>
      </c>
      <c r="EQ117" s="8">
        <v>462</v>
      </c>
      <c r="ER117" s="8">
        <v>462</v>
      </c>
      <c r="ES117" s="8">
        <v>1212</v>
      </c>
      <c r="ET117" s="8">
        <v>712</v>
      </c>
      <c r="EU117" s="8">
        <v>1212</v>
      </c>
      <c r="EV117" s="8">
        <v>2712</v>
      </c>
    </row>
    <row r="118" spans="1:152" x14ac:dyDescent="0.15">
      <c r="A118" s="8">
        <f>ROW([2]!tbl_DPSAC[[#This Row],[Sl. No.]])-1</f>
        <v>117</v>
      </c>
      <c r="B118" s="9" t="s">
        <v>196</v>
      </c>
      <c r="C118" s="9" t="s">
        <v>843</v>
      </c>
      <c r="D118" s="9" t="s">
        <v>175</v>
      </c>
      <c r="E118" s="9" t="s">
        <v>176</v>
      </c>
      <c r="F118" s="9" t="s">
        <v>140</v>
      </c>
      <c r="G118" s="10" t="s">
        <v>263</v>
      </c>
      <c r="H118" s="10" t="str">
        <f>_xlfn.XLOOKUP(C118,'[1]E&amp;DPSAC'!$K:$K,'[1]E&amp;DPSAC'!$E:$E,,0)</f>
        <v>BALRAMPUR</v>
      </c>
      <c r="I118" s="10"/>
      <c r="J118" s="10">
        <v>8789408878</v>
      </c>
      <c r="K118" s="10">
        <f>_xlfn.XLOOKUP(C118,'[1]E&amp;DPSAC'!$K:$K,'[1]E&amp;DPSAC'!$G:$G,"",0)</f>
        <v>8789408878</v>
      </c>
      <c r="L118" s="9" t="str">
        <f t="shared" ca="1" si="4"/>
        <v>Non - Warranty</v>
      </c>
      <c r="M118" s="11">
        <v>42668</v>
      </c>
      <c r="N118" s="12">
        <v>36</v>
      </c>
      <c r="O118" s="11">
        <f t="shared" si="5"/>
        <v>43769</v>
      </c>
      <c r="P118" s="8" t="s">
        <v>681</v>
      </c>
      <c r="Q118" s="16" t="s">
        <v>844</v>
      </c>
      <c r="R118" s="15">
        <v>45983.417071759301</v>
      </c>
      <c r="S118" s="14">
        <v>6750</v>
      </c>
      <c r="T118" s="15">
        <v>45199</v>
      </c>
      <c r="U118" s="14">
        <v>6001</v>
      </c>
      <c r="V118" s="14">
        <v>6750</v>
      </c>
      <c r="W118" s="17">
        <v>45983.417071759301</v>
      </c>
      <c r="X118" s="14" t="s">
        <v>2751</v>
      </c>
      <c r="Y118" s="14">
        <v>750</v>
      </c>
      <c r="Z118" s="14" t="s">
        <v>2692</v>
      </c>
      <c r="AA118" s="18">
        <v>129.5829282406994</v>
      </c>
      <c r="AB118" s="18" t="s">
        <v>2692</v>
      </c>
      <c r="AC118" s="8">
        <f>tbl_DPSAC[[#This Row],[Current Month Due Count]]</f>
        <v>0</v>
      </c>
      <c r="AD118" s="8">
        <f>tbl_DPSAC[[#This Row],[Next Month Due2]]</f>
        <v>4</v>
      </c>
      <c r="AE118" s="8">
        <f t="shared" si="6"/>
        <v>0</v>
      </c>
      <c r="AF118" s="8">
        <v>1</v>
      </c>
      <c r="AG118" s="14">
        <f t="shared" ca="1" si="7"/>
        <v>6880</v>
      </c>
      <c r="AH118" s="8">
        <v>0</v>
      </c>
      <c r="AI118" s="8">
        <v>0</v>
      </c>
      <c r="AJ118" s="8">
        <v>0</v>
      </c>
      <c r="AK118" s="8">
        <v>0</v>
      </c>
      <c r="AL118" s="8">
        <v>0</v>
      </c>
      <c r="AM118" s="8">
        <v>0</v>
      </c>
      <c r="AN118" s="8">
        <v>0</v>
      </c>
      <c r="AO118" s="8">
        <v>0</v>
      </c>
      <c r="AP118" s="8">
        <v>0</v>
      </c>
      <c r="AQ118" s="8">
        <v>0</v>
      </c>
      <c r="AR118" s="8">
        <v>0</v>
      </c>
      <c r="AS118" s="8">
        <v>0</v>
      </c>
      <c r="AT118" s="8">
        <v>0</v>
      </c>
      <c r="AU118" s="8">
        <v>0</v>
      </c>
      <c r="AV118" s="8">
        <v>0</v>
      </c>
      <c r="AW118" s="8">
        <v>0</v>
      </c>
      <c r="AX118" s="8" t="s">
        <v>2007</v>
      </c>
      <c r="AY118" s="14">
        <v>6750</v>
      </c>
      <c r="AZ118" s="19">
        <v>45983</v>
      </c>
      <c r="BA118" s="14" t="s">
        <v>844</v>
      </c>
      <c r="BB118" s="14">
        <v>6750</v>
      </c>
      <c r="BC118" s="19">
        <v>45983</v>
      </c>
      <c r="BD118" s="14" t="s">
        <v>844</v>
      </c>
      <c r="BE118" s="14">
        <v>6750</v>
      </c>
      <c r="BF118" s="19">
        <v>45983</v>
      </c>
      <c r="BG118" s="14" t="s">
        <v>844</v>
      </c>
      <c r="BH118" s="14">
        <v>6750</v>
      </c>
      <c r="BI118" s="19">
        <v>45983</v>
      </c>
      <c r="BJ118" s="14" t="s">
        <v>844</v>
      </c>
      <c r="BK118" s="14">
        <v>6750</v>
      </c>
      <c r="BL118" s="19">
        <v>45983</v>
      </c>
      <c r="BM118" s="14" t="s">
        <v>844</v>
      </c>
      <c r="BN118" s="27">
        <v>46163</v>
      </c>
      <c r="BO118" s="27">
        <v>46163</v>
      </c>
      <c r="BP118" s="27">
        <v>46163</v>
      </c>
      <c r="BQ118" s="27">
        <v>46163</v>
      </c>
      <c r="BR118" s="27">
        <v>46348</v>
      </c>
      <c r="BS118" s="28">
        <v>620</v>
      </c>
      <c r="BT118" s="29">
        <v>1370</v>
      </c>
      <c r="BU118" s="29">
        <v>620</v>
      </c>
      <c r="BV118" s="29">
        <v>620</v>
      </c>
      <c r="BW118" s="29">
        <v>1370</v>
      </c>
      <c r="BX118" s="30" t="s">
        <v>173</v>
      </c>
      <c r="BY118" s="8">
        <v>0</v>
      </c>
      <c r="BZ118" s="8">
        <v>0</v>
      </c>
      <c r="CA118" s="8">
        <v>4</v>
      </c>
      <c r="CB118" s="21">
        <v>45982.770833333299</v>
      </c>
      <c r="CC118" s="21">
        <v>45982.770833333299</v>
      </c>
      <c r="CD118" s="21">
        <v>45982.770833333299</v>
      </c>
      <c r="CE118" s="21">
        <v>45982.770833333299</v>
      </c>
      <c r="CF118" s="21">
        <v>45982.770833333299</v>
      </c>
      <c r="CG118" s="21">
        <v>45982.770833333299</v>
      </c>
      <c r="CH118" s="21">
        <v>45982.770833333299</v>
      </c>
      <c r="CI118" s="21">
        <v>45982.770833333299</v>
      </c>
      <c r="CJ118" s="21">
        <v>45982.770833333299</v>
      </c>
      <c r="CK118" s="22" t="s">
        <v>2956</v>
      </c>
      <c r="CL118" s="22" t="s">
        <v>2957</v>
      </c>
      <c r="CM118" s="22" t="s">
        <v>2959</v>
      </c>
      <c r="CN118" s="22" t="s">
        <v>2957</v>
      </c>
      <c r="CO118" s="22" t="s">
        <v>2957</v>
      </c>
      <c r="CP118" s="22" t="s">
        <v>2957</v>
      </c>
      <c r="CQ118" s="22" t="s">
        <v>2953</v>
      </c>
      <c r="CR118" s="22" t="s">
        <v>2956</v>
      </c>
      <c r="CS118" s="22" t="s">
        <v>2960</v>
      </c>
      <c r="CT118" s="22">
        <v>5</v>
      </c>
      <c r="CU118" s="21">
        <v>46162</v>
      </c>
      <c r="CV118" s="21">
        <v>46133</v>
      </c>
      <c r="CW118" s="21">
        <v>46083</v>
      </c>
      <c r="CX118" s="21">
        <v>46133</v>
      </c>
      <c r="CY118" s="21">
        <v>46133</v>
      </c>
      <c r="CZ118" s="21">
        <v>46133</v>
      </c>
      <c r="DA118" s="21">
        <v>46183</v>
      </c>
      <c r="DB118" s="21">
        <v>46162</v>
      </c>
      <c r="DC118" s="21">
        <v>46347</v>
      </c>
      <c r="DD118" s="8">
        <v>0</v>
      </c>
      <c r="DE118" s="8">
        <v>0</v>
      </c>
      <c r="DF118" s="8">
        <v>1</v>
      </c>
      <c r="DG118" s="8">
        <v>1</v>
      </c>
      <c r="DH118" s="8">
        <v>4</v>
      </c>
      <c r="DI118" s="8">
        <v>2</v>
      </c>
      <c r="DJ118" s="8" t="s">
        <v>3025</v>
      </c>
      <c r="DK118" s="21">
        <v>42668</v>
      </c>
      <c r="DL118" s="21">
        <v>42628</v>
      </c>
      <c r="DM118" s="21">
        <v>45983</v>
      </c>
      <c r="DN118" s="18">
        <v>6750</v>
      </c>
      <c r="DO118" s="21">
        <v>0</v>
      </c>
      <c r="DP118" s="21">
        <v>0</v>
      </c>
      <c r="DQ118" s="21" t="s">
        <v>2955</v>
      </c>
      <c r="DR118" s="21">
        <v>45983</v>
      </c>
      <c r="DS118" s="21">
        <v>45983</v>
      </c>
      <c r="DT118" s="21">
        <v>45983</v>
      </c>
      <c r="DU118" s="21">
        <v>45983</v>
      </c>
      <c r="DV118" s="21">
        <v>45983</v>
      </c>
      <c r="DW118" s="21">
        <v>45983</v>
      </c>
      <c r="DX118" s="21">
        <v>45983</v>
      </c>
      <c r="DY118" s="21">
        <v>45983</v>
      </c>
      <c r="DZ118" s="21">
        <v>45983</v>
      </c>
      <c r="EA118" s="8">
        <v>1500</v>
      </c>
      <c r="EB118" s="8">
        <v>750</v>
      </c>
      <c r="EC118" s="8">
        <v>500</v>
      </c>
      <c r="ED118" s="8">
        <v>750</v>
      </c>
      <c r="EE118" s="8">
        <v>750</v>
      </c>
      <c r="EF118" s="8">
        <v>750</v>
      </c>
      <c r="EG118" s="8">
        <v>1000</v>
      </c>
      <c r="EH118" s="8">
        <v>1500</v>
      </c>
      <c r="EI118" s="8">
        <v>3000</v>
      </c>
      <c r="EJ118" s="8">
        <v>5</v>
      </c>
      <c r="EK118" s="8" t="s">
        <v>2624</v>
      </c>
      <c r="EL118" s="8">
        <v>130</v>
      </c>
      <c r="EM118" s="8">
        <v>130</v>
      </c>
      <c r="EN118" s="8">
        <v>1212</v>
      </c>
      <c r="EO118" s="8">
        <v>462</v>
      </c>
      <c r="EP118" s="8">
        <v>212</v>
      </c>
      <c r="EQ118" s="8">
        <v>462</v>
      </c>
      <c r="ER118" s="8">
        <v>462</v>
      </c>
      <c r="ES118" s="8">
        <v>462</v>
      </c>
      <c r="ET118" s="8">
        <v>712</v>
      </c>
      <c r="EU118" s="8">
        <v>1212</v>
      </c>
      <c r="EV118" s="8">
        <v>2712</v>
      </c>
    </row>
    <row r="119" spans="1:152" x14ac:dyDescent="0.15">
      <c r="A119" s="8">
        <f>ROW([2]!tbl_DPSAC[[#This Row],[Sl. No.]])-1</f>
        <v>118</v>
      </c>
      <c r="B119" s="9" t="s">
        <v>136</v>
      </c>
      <c r="C119" s="9" t="s">
        <v>845</v>
      </c>
      <c r="D119" s="9" t="s">
        <v>175</v>
      </c>
      <c r="E119" s="9" t="s">
        <v>176</v>
      </c>
      <c r="F119" s="9" t="s">
        <v>140</v>
      </c>
      <c r="G119" s="10" t="s">
        <v>263</v>
      </c>
      <c r="H119" s="10" t="str">
        <f>_xlfn.XLOOKUP(C119,'[1]E&amp;DPSAC'!$K:$K,'[1]E&amp;DPSAC'!$E:$E,,0)</f>
        <v>GAYA, BIHAR</v>
      </c>
      <c r="I119" s="10"/>
      <c r="J119" s="10">
        <v>8340735591</v>
      </c>
      <c r="K119" s="10">
        <f>_xlfn.XLOOKUP(C119,'[1]E&amp;DPSAC'!$K:$K,'[1]E&amp;DPSAC'!$G:$G,"",0)</f>
        <v>8340735591</v>
      </c>
      <c r="L119" s="9" t="str">
        <f t="shared" ca="1" si="4"/>
        <v>Non - Warranty</v>
      </c>
      <c r="M119" s="11">
        <v>42920</v>
      </c>
      <c r="N119" s="12">
        <v>36</v>
      </c>
      <c r="O119" s="11">
        <f t="shared" si="5"/>
        <v>44043</v>
      </c>
      <c r="P119" s="8" t="s">
        <v>681</v>
      </c>
      <c r="Q119" s="16" t="s">
        <v>847</v>
      </c>
      <c r="R119" s="15">
        <v>46078.472719907397</v>
      </c>
      <c r="S119" s="14">
        <v>6180</v>
      </c>
      <c r="T119" s="15">
        <v>45265</v>
      </c>
      <c r="U119" s="14">
        <v>4550</v>
      </c>
      <c r="V119" s="14">
        <v>6180</v>
      </c>
      <c r="W119" s="17">
        <v>46078.472719907397</v>
      </c>
      <c r="X119" s="14" t="s">
        <v>2762</v>
      </c>
      <c r="Y119" s="14">
        <v>750</v>
      </c>
      <c r="Z119" s="14" t="s">
        <v>2692</v>
      </c>
      <c r="AA119" s="18">
        <v>34.527280092603178</v>
      </c>
      <c r="AB119" s="18" t="s">
        <v>2692</v>
      </c>
      <c r="AC119" s="8">
        <f>tbl_DPSAC[[#This Row],[Current Month Due Count]]</f>
        <v>0</v>
      </c>
      <c r="AD119" s="8">
        <f>tbl_DPSAC[[#This Row],[Next Month Due2]]</f>
        <v>0</v>
      </c>
      <c r="AE119" s="8">
        <f t="shared" si="6"/>
        <v>0</v>
      </c>
      <c r="AF119" s="8">
        <v>2</v>
      </c>
      <c r="AG119" s="14">
        <f t="shared" ca="1" si="7"/>
        <v>6249</v>
      </c>
      <c r="AH119" s="8">
        <v>0</v>
      </c>
      <c r="AI119" s="8">
        <v>0</v>
      </c>
      <c r="AJ119" s="8">
        <v>0</v>
      </c>
      <c r="AK119" s="8">
        <v>0</v>
      </c>
      <c r="AL119" s="8">
        <v>0</v>
      </c>
      <c r="AM119" s="8">
        <v>0</v>
      </c>
      <c r="AN119" s="8" t="s">
        <v>846</v>
      </c>
      <c r="AO119" s="8">
        <v>0</v>
      </c>
      <c r="AP119" s="8">
        <v>0</v>
      </c>
      <c r="AQ119" s="8">
        <v>0</v>
      </c>
      <c r="AR119" s="8">
        <v>0</v>
      </c>
      <c r="AS119" s="8">
        <v>0</v>
      </c>
      <c r="AT119" s="8">
        <v>0</v>
      </c>
      <c r="AU119" s="8">
        <v>0</v>
      </c>
      <c r="AV119" s="8">
        <v>0</v>
      </c>
      <c r="AW119" s="8">
        <v>0</v>
      </c>
      <c r="AX119" s="8" t="s">
        <v>2007</v>
      </c>
      <c r="AY119" s="14">
        <v>6180</v>
      </c>
      <c r="AZ119" s="19">
        <v>46078</v>
      </c>
      <c r="BA119" s="14" t="s">
        <v>847</v>
      </c>
      <c r="BB119" s="14">
        <v>6180</v>
      </c>
      <c r="BC119" s="19">
        <v>46078</v>
      </c>
      <c r="BD119" s="14" t="s">
        <v>847</v>
      </c>
      <c r="BE119" s="14">
        <v>6180</v>
      </c>
      <c r="BF119" s="19">
        <v>46078</v>
      </c>
      <c r="BG119" s="14" t="s">
        <v>847</v>
      </c>
      <c r="BH119" s="14">
        <v>6180</v>
      </c>
      <c r="BI119" s="19">
        <v>46078</v>
      </c>
      <c r="BJ119" s="14" t="s">
        <v>847</v>
      </c>
      <c r="BK119" s="14">
        <v>6180</v>
      </c>
      <c r="BL119" s="19">
        <v>46078</v>
      </c>
      <c r="BM119" s="14" t="s">
        <v>847</v>
      </c>
      <c r="BN119" s="27">
        <v>46258</v>
      </c>
      <c r="BO119" s="27">
        <v>46258</v>
      </c>
      <c r="BP119" s="27">
        <v>46258</v>
      </c>
      <c r="BQ119" s="27">
        <v>46258</v>
      </c>
      <c r="BR119" s="27">
        <v>46443</v>
      </c>
      <c r="BS119" s="28">
        <v>681</v>
      </c>
      <c r="BT119" s="29">
        <v>1431</v>
      </c>
      <c r="BU119" s="29">
        <v>681</v>
      </c>
      <c r="BV119" s="29">
        <v>681</v>
      </c>
      <c r="BW119" s="29">
        <v>1431</v>
      </c>
      <c r="BX119" s="30" t="s">
        <v>173</v>
      </c>
      <c r="BY119" s="8">
        <v>0</v>
      </c>
      <c r="BZ119" s="8">
        <v>0</v>
      </c>
      <c r="CA119" s="8">
        <v>0</v>
      </c>
      <c r="CB119" s="21">
        <v>46077.770833333299</v>
      </c>
      <c r="CC119" s="21">
        <v>46077.770833333299</v>
      </c>
      <c r="CD119" s="21">
        <v>46077.770833333299</v>
      </c>
      <c r="CE119" s="21">
        <v>46077.770833333299</v>
      </c>
      <c r="CF119" s="21">
        <v>46077.770833333299</v>
      </c>
      <c r="CG119" s="21">
        <v>46077.770833333299</v>
      </c>
      <c r="CH119" s="21">
        <v>46077.770833333299</v>
      </c>
      <c r="CI119" s="21">
        <v>46077.770833333299</v>
      </c>
      <c r="CJ119" s="21">
        <v>46077.770833333299</v>
      </c>
      <c r="CK119" s="22" t="s">
        <v>2956</v>
      </c>
      <c r="CL119" s="22" t="s">
        <v>2957</v>
      </c>
      <c r="CM119" s="22" t="s">
        <v>2959</v>
      </c>
      <c r="CN119" s="22" t="s">
        <v>2957</v>
      </c>
      <c r="CO119" s="22" t="s">
        <v>2957</v>
      </c>
      <c r="CP119" s="22" t="s">
        <v>2956</v>
      </c>
      <c r="CQ119" s="22" t="s">
        <v>2953</v>
      </c>
      <c r="CR119" s="22" t="s">
        <v>2956</v>
      </c>
      <c r="CS119" s="22" t="s">
        <v>2960</v>
      </c>
      <c r="CT119" s="22">
        <v>4</v>
      </c>
      <c r="CU119" s="21">
        <v>46257</v>
      </c>
      <c r="CV119" s="21">
        <v>46257</v>
      </c>
      <c r="CW119" s="21">
        <v>46203</v>
      </c>
      <c r="CX119" s="21">
        <v>46257</v>
      </c>
      <c r="CY119" s="21">
        <v>46257</v>
      </c>
      <c r="CZ119" s="21">
        <v>46347</v>
      </c>
      <c r="DA119" s="21">
        <v>46328</v>
      </c>
      <c r="DB119" s="21">
        <v>46257</v>
      </c>
      <c r="DC119" s="21">
        <v>46442</v>
      </c>
      <c r="DD119" s="8">
        <v>0</v>
      </c>
      <c r="DE119" s="8">
        <v>0</v>
      </c>
      <c r="DF119" s="8">
        <v>0</v>
      </c>
      <c r="DG119" s="8">
        <v>0</v>
      </c>
      <c r="DH119" s="8">
        <v>0</v>
      </c>
      <c r="DI119" s="8">
        <v>0</v>
      </c>
      <c r="DJ119" s="8" t="s">
        <v>3025</v>
      </c>
      <c r="DK119" s="21">
        <v>42920</v>
      </c>
      <c r="DL119" s="21">
        <v>42772</v>
      </c>
      <c r="DM119" s="21">
        <v>46078</v>
      </c>
      <c r="DN119" s="18">
        <v>6180</v>
      </c>
      <c r="DO119" s="21">
        <v>0</v>
      </c>
      <c r="DP119" s="21">
        <v>0</v>
      </c>
      <c r="DQ119" s="21" t="s">
        <v>2955</v>
      </c>
      <c r="DR119" s="21">
        <v>46078</v>
      </c>
      <c r="DS119" s="21">
        <v>46078</v>
      </c>
      <c r="DT119" s="21">
        <v>46078</v>
      </c>
      <c r="DU119" s="21">
        <v>46078</v>
      </c>
      <c r="DV119" s="21">
        <v>46078</v>
      </c>
      <c r="DW119" s="21">
        <v>46078</v>
      </c>
      <c r="DX119" s="21">
        <v>46078</v>
      </c>
      <c r="DY119" s="21">
        <v>46078</v>
      </c>
      <c r="DZ119" s="21">
        <v>46078</v>
      </c>
      <c r="EA119" s="8">
        <v>1500</v>
      </c>
      <c r="EB119" s="8">
        <v>750</v>
      </c>
      <c r="EC119" s="8">
        <v>500</v>
      </c>
      <c r="ED119" s="8">
        <v>750</v>
      </c>
      <c r="EE119" s="8">
        <v>750</v>
      </c>
      <c r="EF119" s="8">
        <v>1500</v>
      </c>
      <c r="EG119" s="8">
        <v>1000</v>
      </c>
      <c r="EH119" s="8">
        <v>1500</v>
      </c>
      <c r="EI119" s="8">
        <v>3000</v>
      </c>
      <c r="EJ119" s="8">
        <v>4</v>
      </c>
      <c r="EK119" s="8" t="s">
        <v>2624</v>
      </c>
      <c r="EL119" s="8">
        <v>35</v>
      </c>
      <c r="EM119" s="8">
        <v>70</v>
      </c>
      <c r="EN119" s="8">
        <v>1212</v>
      </c>
      <c r="EO119" s="8">
        <v>462</v>
      </c>
      <c r="EP119" s="8">
        <v>212</v>
      </c>
      <c r="EQ119" s="8">
        <v>462</v>
      </c>
      <c r="ER119" s="8">
        <v>462</v>
      </c>
      <c r="ES119" s="8">
        <v>1212</v>
      </c>
      <c r="ET119" s="8">
        <v>712</v>
      </c>
      <c r="EU119" s="8">
        <v>1212</v>
      </c>
      <c r="EV119" s="8">
        <v>2712</v>
      </c>
    </row>
    <row r="120" spans="1:152" x14ac:dyDescent="0.15">
      <c r="A120" s="8">
        <f>ROW([2]!tbl_DPSAC[[#This Row],[Sl. No.]])-1</f>
        <v>119</v>
      </c>
      <c r="B120" s="9" t="s">
        <v>136</v>
      </c>
      <c r="C120" s="9" t="s">
        <v>848</v>
      </c>
      <c r="D120" s="9" t="s">
        <v>697</v>
      </c>
      <c r="E120" s="9" t="s">
        <v>176</v>
      </c>
      <c r="F120" s="9" t="s">
        <v>140</v>
      </c>
      <c r="G120" s="10" t="s">
        <v>263</v>
      </c>
      <c r="H120" s="10" t="str">
        <f>_xlfn.XLOOKUP(C120,'[1]E&amp;DPSAC'!$K:$K,'[1]E&amp;DPSAC'!$E:$E,,0)</f>
        <v>CHATRA</v>
      </c>
      <c r="I120" s="10"/>
      <c r="J120" s="10">
        <v>9110947105</v>
      </c>
      <c r="K120" s="10">
        <f>_xlfn.XLOOKUP(C120,'[1]E&amp;DPSAC'!$K:$K,'[1]E&amp;DPSAC'!$G:$G,"",0)</f>
        <v>9110947105</v>
      </c>
      <c r="L120" s="9" t="str">
        <f t="shared" ca="1" si="4"/>
        <v>Non - Warranty</v>
      </c>
      <c r="M120" s="11">
        <v>43053</v>
      </c>
      <c r="N120" s="12">
        <v>36</v>
      </c>
      <c r="O120" s="11">
        <f t="shared" si="5"/>
        <v>44165</v>
      </c>
      <c r="P120" s="8" t="s">
        <v>681</v>
      </c>
      <c r="Q120" s="16" t="s">
        <v>850</v>
      </c>
      <c r="R120" s="15">
        <v>46078.473784722199</v>
      </c>
      <c r="S120" s="14">
        <v>8310</v>
      </c>
      <c r="T120" s="15">
        <v>43996</v>
      </c>
      <c r="U120" s="14">
        <v>3320</v>
      </c>
      <c r="V120" s="14">
        <v>8310</v>
      </c>
      <c r="W120" s="17">
        <v>46078.473784722199</v>
      </c>
      <c r="X120" s="14" t="s">
        <v>2762</v>
      </c>
      <c r="Y120" s="14">
        <v>750</v>
      </c>
      <c r="Z120" s="14" t="s">
        <v>2692</v>
      </c>
      <c r="AA120" s="18">
        <v>34.526215277801384</v>
      </c>
      <c r="AB120" s="18" t="s">
        <v>2692</v>
      </c>
      <c r="AC120" s="8">
        <f>tbl_DPSAC[[#This Row],[Current Month Due Count]]</f>
        <v>0</v>
      </c>
      <c r="AD120" s="8">
        <f>tbl_DPSAC[[#This Row],[Next Month Due2]]</f>
        <v>0</v>
      </c>
      <c r="AE120" s="8">
        <f t="shared" si="6"/>
        <v>0</v>
      </c>
      <c r="AF120" s="8">
        <v>2</v>
      </c>
      <c r="AG120" s="14">
        <f t="shared" ca="1" si="7"/>
        <v>8379</v>
      </c>
      <c r="AH120" s="8">
        <v>0</v>
      </c>
      <c r="AI120" s="8">
        <v>0</v>
      </c>
      <c r="AJ120" s="8">
        <v>0</v>
      </c>
      <c r="AK120" s="8">
        <v>0</v>
      </c>
      <c r="AL120" s="8">
        <v>0</v>
      </c>
      <c r="AM120" s="8">
        <v>0</v>
      </c>
      <c r="AN120" s="8">
        <v>0</v>
      </c>
      <c r="AO120" s="8" t="s">
        <v>849</v>
      </c>
      <c r="AP120" s="8">
        <v>0</v>
      </c>
      <c r="AQ120" s="8">
        <v>0</v>
      </c>
      <c r="AR120" s="8">
        <v>0</v>
      </c>
      <c r="AS120" s="8">
        <v>0</v>
      </c>
      <c r="AT120" s="8">
        <v>0</v>
      </c>
      <c r="AU120" s="8">
        <v>0</v>
      </c>
      <c r="AV120" s="8">
        <v>0</v>
      </c>
      <c r="AW120" s="8">
        <v>0</v>
      </c>
      <c r="AX120" s="8" t="s">
        <v>2007</v>
      </c>
      <c r="AY120" s="14">
        <v>8310</v>
      </c>
      <c r="AZ120" s="19">
        <v>46078</v>
      </c>
      <c r="BA120" s="14" t="s">
        <v>850</v>
      </c>
      <c r="BB120" s="14">
        <v>8310</v>
      </c>
      <c r="BC120" s="19">
        <v>46078</v>
      </c>
      <c r="BD120" s="14" t="s">
        <v>850</v>
      </c>
      <c r="BE120" s="14">
        <v>8310</v>
      </c>
      <c r="BF120" s="19">
        <v>46078</v>
      </c>
      <c r="BG120" s="14" t="s">
        <v>850</v>
      </c>
      <c r="BH120" s="14">
        <v>8310</v>
      </c>
      <c r="BI120" s="19">
        <v>46078</v>
      </c>
      <c r="BJ120" s="14" t="s">
        <v>850</v>
      </c>
      <c r="BK120" s="14">
        <v>8310</v>
      </c>
      <c r="BL120" s="19">
        <v>46078</v>
      </c>
      <c r="BM120" s="14" t="s">
        <v>850</v>
      </c>
      <c r="BN120" s="27">
        <v>46258</v>
      </c>
      <c r="BO120" s="27">
        <v>46258</v>
      </c>
      <c r="BP120" s="27">
        <v>46258</v>
      </c>
      <c r="BQ120" s="27">
        <v>46258</v>
      </c>
      <c r="BR120" s="27">
        <v>46443</v>
      </c>
      <c r="BS120" s="28">
        <v>681</v>
      </c>
      <c r="BT120" s="29">
        <v>1431</v>
      </c>
      <c r="BU120" s="29">
        <v>681</v>
      </c>
      <c r="BV120" s="29">
        <v>681</v>
      </c>
      <c r="BW120" s="29">
        <v>1431</v>
      </c>
      <c r="BX120" s="30" t="s">
        <v>173</v>
      </c>
      <c r="BY120" s="8">
        <v>0</v>
      </c>
      <c r="BZ120" s="8">
        <v>0</v>
      </c>
      <c r="CA120" s="8">
        <v>0</v>
      </c>
      <c r="CB120" s="21">
        <v>46077.770833333299</v>
      </c>
      <c r="CC120" s="21">
        <v>46077.770833333299</v>
      </c>
      <c r="CD120" s="21">
        <v>46077.770833333299</v>
      </c>
      <c r="CE120" s="21">
        <v>46077.770833333299</v>
      </c>
      <c r="CF120" s="21">
        <v>46077.770833333299</v>
      </c>
      <c r="CG120" s="21">
        <v>46077.770833333299</v>
      </c>
      <c r="CH120" s="21">
        <v>46077.770833333299</v>
      </c>
      <c r="CI120" s="21">
        <v>46077.770833333299</v>
      </c>
      <c r="CJ120" s="21">
        <v>46077.770833333299</v>
      </c>
      <c r="CK120" s="22" t="s">
        <v>2956</v>
      </c>
      <c r="CL120" s="22" t="s">
        <v>2957</v>
      </c>
      <c r="CM120" s="22" t="s">
        <v>2959</v>
      </c>
      <c r="CN120" s="22" t="s">
        <v>2957</v>
      </c>
      <c r="CO120" s="22" t="s">
        <v>2957</v>
      </c>
      <c r="CP120" s="22" t="s">
        <v>2956</v>
      </c>
      <c r="CQ120" s="22" t="s">
        <v>2953</v>
      </c>
      <c r="CR120" s="22" t="s">
        <v>2956</v>
      </c>
      <c r="CS120" s="22" t="s">
        <v>2960</v>
      </c>
      <c r="CT120" s="22">
        <v>6</v>
      </c>
      <c r="CU120" s="21">
        <v>46257</v>
      </c>
      <c r="CV120" s="21">
        <v>46203</v>
      </c>
      <c r="CW120" s="21">
        <v>46161</v>
      </c>
      <c r="CX120" s="21">
        <v>46203</v>
      </c>
      <c r="CY120" s="21">
        <v>46203</v>
      </c>
      <c r="CZ120" s="21">
        <v>46328</v>
      </c>
      <c r="DA120" s="21">
        <v>46244</v>
      </c>
      <c r="DB120" s="21">
        <v>46257</v>
      </c>
      <c r="DC120" s="21">
        <v>46442</v>
      </c>
      <c r="DD120" s="8">
        <v>0</v>
      </c>
      <c r="DE120" s="8">
        <v>0</v>
      </c>
      <c r="DF120" s="8">
        <v>0</v>
      </c>
      <c r="DG120" s="8">
        <v>0</v>
      </c>
      <c r="DH120" s="8">
        <v>0</v>
      </c>
      <c r="DI120" s="8">
        <v>1</v>
      </c>
      <c r="DJ120" s="8" t="s">
        <v>3025</v>
      </c>
      <c r="DK120" s="21">
        <v>43053</v>
      </c>
      <c r="DL120" s="21">
        <v>43024</v>
      </c>
      <c r="DM120" s="21">
        <v>46078</v>
      </c>
      <c r="DN120" s="18">
        <v>8310</v>
      </c>
      <c r="DO120" s="21">
        <v>0</v>
      </c>
      <c r="DP120" s="21">
        <v>0</v>
      </c>
      <c r="DQ120" s="21" t="s">
        <v>2955</v>
      </c>
      <c r="DR120" s="21">
        <v>46078</v>
      </c>
      <c r="DS120" s="21">
        <v>46078</v>
      </c>
      <c r="DT120" s="21">
        <v>46078</v>
      </c>
      <c r="DU120" s="21">
        <v>46078</v>
      </c>
      <c r="DV120" s="21">
        <v>46078</v>
      </c>
      <c r="DW120" s="21">
        <v>46078</v>
      </c>
      <c r="DX120" s="21">
        <v>46078</v>
      </c>
      <c r="DY120" s="21">
        <v>46078</v>
      </c>
      <c r="DZ120" s="21">
        <v>46078</v>
      </c>
      <c r="EA120" s="8">
        <v>1500</v>
      </c>
      <c r="EB120" s="8">
        <v>750</v>
      </c>
      <c r="EC120" s="8">
        <v>500</v>
      </c>
      <c r="ED120" s="8">
        <v>750</v>
      </c>
      <c r="EE120" s="8">
        <v>750</v>
      </c>
      <c r="EF120" s="8">
        <v>1500</v>
      </c>
      <c r="EG120" s="8">
        <v>1000</v>
      </c>
      <c r="EH120" s="8">
        <v>1500</v>
      </c>
      <c r="EI120" s="8">
        <v>3000</v>
      </c>
      <c r="EJ120" s="8">
        <v>6</v>
      </c>
      <c r="EK120" s="8" t="s">
        <v>2624</v>
      </c>
      <c r="EL120" s="8">
        <v>35</v>
      </c>
      <c r="EM120" s="8">
        <v>70</v>
      </c>
      <c r="EN120" s="8">
        <v>1212</v>
      </c>
      <c r="EO120" s="8">
        <v>462</v>
      </c>
      <c r="EP120" s="8">
        <v>212</v>
      </c>
      <c r="EQ120" s="8">
        <v>462</v>
      </c>
      <c r="ER120" s="8">
        <v>462</v>
      </c>
      <c r="ES120" s="8">
        <v>1212</v>
      </c>
      <c r="ET120" s="8">
        <v>712</v>
      </c>
      <c r="EU120" s="8">
        <v>1212</v>
      </c>
      <c r="EV120" s="8">
        <v>2712</v>
      </c>
    </row>
    <row r="121" spans="1:152" x14ac:dyDescent="0.15">
      <c r="A121" s="8">
        <f>ROW([2]!tbl_DPSAC[[#This Row],[Sl. No.]])-1</f>
        <v>120</v>
      </c>
      <c r="B121" s="9" t="s">
        <v>196</v>
      </c>
      <c r="C121" s="9" t="s">
        <v>851</v>
      </c>
      <c r="D121" s="9" t="s">
        <v>169</v>
      </c>
      <c r="E121" s="9" t="s">
        <v>170</v>
      </c>
      <c r="F121" s="9" t="s">
        <v>161</v>
      </c>
      <c r="G121" s="10" t="s">
        <v>852</v>
      </c>
      <c r="H121" s="10" t="str">
        <f>_xlfn.XLOOKUP(C121,'[1]E&amp;DPSAC'!$K:$K,'[1]E&amp;DPSAC'!$E:$E,,0)</f>
        <v>POLICE LINR, SHEIKHPURA</v>
      </c>
      <c r="I121" s="10"/>
      <c r="J121" s="10">
        <v>7782976533</v>
      </c>
      <c r="K121" s="10">
        <f>_xlfn.XLOOKUP(C121,'[1]E&amp;DPSAC'!$K:$K,'[1]E&amp;DPSAC'!$G:$G,"",0)</f>
        <v>7782976533</v>
      </c>
      <c r="L121" s="9" t="str">
        <f t="shared" ca="1" si="4"/>
        <v>Non - Warranty</v>
      </c>
      <c r="M121" s="11">
        <v>42054</v>
      </c>
      <c r="N121" s="12">
        <v>24</v>
      </c>
      <c r="O121" s="11">
        <f t="shared" si="5"/>
        <v>42794</v>
      </c>
      <c r="P121" s="8" t="s">
        <v>681</v>
      </c>
      <c r="Q121" s="16" t="s">
        <v>853</v>
      </c>
      <c r="R121" s="15">
        <v>46073.643587963001</v>
      </c>
      <c r="S121" s="14">
        <v>5920</v>
      </c>
      <c r="T121" s="15">
        <v>46073</v>
      </c>
      <c r="U121" s="14">
        <v>5920</v>
      </c>
      <c r="V121" s="14">
        <v>5920</v>
      </c>
      <c r="W121" s="17">
        <v>46073.643587963001</v>
      </c>
      <c r="X121" s="14" t="s">
        <v>2727</v>
      </c>
      <c r="Y121" s="14">
        <v>750</v>
      </c>
      <c r="Z121" s="14" t="s">
        <v>2692</v>
      </c>
      <c r="AA121" s="18">
        <v>39.356412036999245</v>
      </c>
      <c r="AB121" s="18" t="s">
        <v>2692</v>
      </c>
      <c r="AC121" s="8">
        <f>tbl_DPSAC[[#This Row],[Current Month Due Count]]</f>
        <v>0</v>
      </c>
      <c r="AD121" s="8">
        <f>tbl_DPSAC[[#This Row],[Next Month Due2]]</f>
        <v>0</v>
      </c>
      <c r="AE121" s="8">
        <f t="shared" si="6"/>
        <v>0</v>
      </c>
      <c r="AF121" s="8">
        <v>1</v>
      </c>
      <c r="AG121" s="14">
        <f t="shared" ca="1" si="7"/>
        <v>5959</v>
      </c>
      <c r="AH121" s="8">
        <v>0</v>
      </c>
      <c r="AI121" s="8">
        <v>0</v>
      </c>
      <c r="AJ121" s="8">
        <v>0</v>
      </c>
      <c r="AK121" s="8">
        <v>0</v>
      </c>
      <c r="AL121" s="8">
        <v>0</v>
      </c>
      <c r="AM121" s="8">
        <v>0</v>
      </c>
      <c r="AN121" s="8">
        <v>0</v>
      </c>
      <c r="AO121" s="8">
        <v>0</v>
      </c>
      <c r="AP121" s="8">
        <v>0</v>
      </c>
      <c r="AQ121" s="8">
        <v>0</v>
      </c>
      <c r="AR121" s="8">
        <v>0</v>
      </c>
      <c r="AS121" s="8">
        <v>0</v>
      </c>
      <c r="AT121" s="8">
        <v>0</v>
      </c>
      <c r="AU121" s="8">
        <v>0</v>
      </c>
      <c r="AV121" s="8">
        <v>0</v>
      </c>
      <c r="AW121" s="8">
        <v>0</v>
      </c>
      <c r="AX121" s="8" t="s">
        <v>2007</v>
      </c>
      <c r="AY121" s="14">
        <v>5920</v>
      </c>
      <c r="AZ121" s="19">
        <v>46073</v>
      </c>
      <c r="BA121" s="14" t="s">
        <v>853</v>
      </c>
      <c r="BB121" s="14">
        <v>5920</v>
      </c>
      <c r="BC121" s="19">
        <v>46073</v>
      </c>
      <c r="BD121" s="14" t="s">
        <v>853</v>
      </c>
      <c r="BE121" s="14">
        <v>5920</v>
      </c>
      <c r="BF121" s="19">
        <v>46073</v>
      </c>
      <c r="BG121" s="14" t="s">
        <v>853</v>
      </c>
      <c r="BH121" s="14">
        <v>5920</v>
      </c>
      <c r="BI121" s="19">
        <v>46073</v>
      </c>
      <c r="BJ121" s="14" t="s">
        <v>853</v>
      </c>
      <c r="BK121" s="14">
        <v>5920</v>
      </c>
      <c r="BL121" s="19">
        <v>46073</v>
      </c>
      <c r="BM121" s="14" t="s">
        <v>853</v>
      </c>
      <c r="BN121" s="27">
        <v>46253</v>
      </c>
      <c r="BO121" s="27">
        <v>46253</v>
      </c>
      <c r="BP121" s="27">
        <v>46253</v>
      </c>
      <c r="BQ121" s="27">
        <v>46253</v>
      </c>
      <c r="BR121" s="27">
        <v>46438</v>
      </c>
      <c r="BS121" s="28">
        <v>711</v>
      </c>
      <c r="BT121" s="29">
        <v>1461</v>
      </c>
      <c r="BU121" s="29">
        <v>711</v>
      </c>
      <c r="BV121" s="29">
        <v>711</v>
      </c>
      <c r="BW121" s="29">
        <v>1461</v>
      </c>
      <c r="BX121" s="30" t="s">
        <v>173</v>
      </c>
      <c r="BY121" s="8">
        <v>0</v>
      </c>
      <c r="BZ121" s="8">
        <v>0</v>
      </c>
      <c r="CA121" s="8">
        <v>0</v>
      </c>
      <c r="CB121" s="21">
        <v>46072.770833333299</v>
      </c>
      <c r="CC121" s="21">
        <v>46072.770833333299</v>
      </c>
      <c r="CD121" s="21">
        <v>46072.770833333299</v>
      </c>
      <c r="CE121" s="21">
        <v>46072.770833333299</v>
      </c>
      <c r="CF121" s="21">
        <v>46072.770833333299</v>
      </c>
      <c r="CG121" s="21">
        <v>46072.770833333299</v>
      </c>
      <c r="CH121" s="21">
        <v>46072.770833333299</v>
      </c>
      <c r="CI121" s="21">
        <v>46072.770833333299</v>
      </c>
      <c r="CJ121" s="21">
        <v>46072.770833333299</v>
      </c>
      <c r="CK121" s="22" t="s">
        <v>3052</v>
      </c>
      <c r="CL121" s="22" t="s">
        <v>2957</v>
      </c>
      <c r="CM121" s="22" t="s">
        <v>2959</v>
      </c>
      <c r="CN121" s="22" t="s">
        <v>2957</v>
      </c>
      <c r="CO121" s="22" t="s">
        <v>2957</v>
      </c>
      <c r="CP121" s="22" t="s">
        <v>2956</v>
      </c>
      <c r="CQ121" s="22" t="s">
        <v>2953</v>
      </c>
      <c r="CR121" s="22" t="s">
        <v>2956</v>
      </c>
      <c r="CS121" s="22" t="s">
        <v>2960</v>
      </c>
      <c r="CT121" s="22">
        <v>6</v>
      </c>
      <c r="CU121" s="21">
        <v>46252</v>
      </c>
      <c r="CV121" s="21">
        <v>46198</v>
      </c>
      <c r="CW121" s="21">
        <v>46156</v>
      </c>
      <c r="CX121" s="21">
        <v>46198</v>
      </c>
      <c r="CY121" s="21">
        <v>46198</v>
      </c>
      <c r="CZ121" s="21">
        <v>46323</v>
      </c>
      <c r="DA121" s="21">
        <v>46239</v>
      </c>
      <c r="DB121" s="21">
        <v>46252</v>
      </c>
      <c r="DC121" s="21">
        <v>46437</v>
      </c>
      <c r="DD121" s="8">
        <v>0</v>
      </c>
      <c r="DE121" s="8">
        <v>0</v>
      </c>
      <c r="DF121" s="8">
        <v>0</v>
      </c>
      <c r="DG121" s="8">
        <v>0</v>
      </c>
      <c r="DH121" s="8">
        <v>0</v>
      </c>
      <c r="DI121" s="8">
        <v>1</v>
      </c>
      <c r="DJ121" s="8" t="s">
        <v>3025</v>
      </c>
      <c r="DK121" s="21">
        <v>42054</v>
      </c>
      <c r="DL121" s="21">
        <v>42034</v>
      </c>
      <c r="DM121" s="21">
        <v>46073</v>
      </c>
      <c r="DN121" s="18">
        <v>5920</v>
      </c>
      <c r="DO121" s="21">
        <v>0</v>
      </c>
      <c r="DP121" s="21">
        <v>0</v>
      </c>
      <c r="DQ121" s="21" t="s">
        <v>2955</v>
      </c>
      <c r="DR121" s="21">
        <v>46073</v>
      </c>
      <c r="DS121" s="21">
        <v>46073</v>
      </c>
      <c r="DT121" s="21">
        <v>46073</v>
      </c>
      <c r="DU121" s="21">
        <v>46073</v>
      </c>
      <c r="DV121" s="21">
        <v>46073</v>
      </c>
      <c r="DW121" s="21">
        <v>46073</v>
      </c>
      <c r="DX121" s="21">
        <v>46073</v>
      </c>
      <c r="DY121" s="21">
        <v>46073</v>
      </c>
      <c r="DZ121" s="21">
        <v>46073</v>
      </c>
      <c r="EA121" s="8">
        <v>1590</v>
      </c>
      <c r="EB121" s="8">
        <v>750</v>
      </c>
      <c r="EC121" s="8">
        <v>500</v>
      </c>
      <c r="ED121" s="8">
        <v>750</v>
      </c>
      <c r="EE121" s="8">
        <v>750</v>
      </c>
      <c r="EF121" s="8">
        <v>1500</v>
      </c>
      <c r="EG121" s="8">
        <v>1000</v>
      </c>
      <c r="EH121" s="8">
        <v>1500</v>
      </c>
      <c r="EI121" s="8">
        <v>3000</v>
      </c>
      <c r="EJ121" s="8">
        <v>6</v>
      </c>
      <c r="EK121" s="8" t="s">
        <v>2624</v>
      </c>
      <c r="EL121" s="8">
        <v>39</v>
      </c>
      <c r="EM121" s="8">
        <v>39</v>
      </c>
      <c r="EN121" s="8">
        <v>1302</v>
      </c>
      <c r="EO121" s="8">
        <v>462</v>
      </c>
      <c r="EP121" s="8">
        <v>212</v>
      </c>
      <c r="EQ121" s="8">
        <v>462</v>
      </c>
      <c r="ER121" s="8">
        <v>462</v>
      </c>
      <c r="ES121" s="8">
        <v>1212</v>
      </c>
      <c r="ET121" s="8">
        <v>712</v>
      </c>
      <c r="EU121" s="8">
        <v>1212</v>
      </c>
      <c r="EV121" s="8">
        <v>2712</v>
      </c>
    </row>
    <row r="122" spans="1:152" x14ac:dyDescent="0.15">
      <c r="A122" s="8">
        <f>ROW([2]!tbl_DPSAC[[#This Row],[Sl. No.]])-1</f>
        <v>121</v>
      </c>
      <c r="B122" s="9" t="s">
        <v>196</v>
      </c>
      <c r="C122" s="9" t="s">
        <v>854</v>
      </c>
      <c r="D122" s="9" t="s">
        <v>169</v>
      </c>
      <c r="E122" s="9" t="s">
        <v>170</v>
      </c>
      <c r="F122" s="9" t="s">
        <v>161</v>
      </c>
      <c r="G122" s="10" t="s">
        <v>852</v>
      </c>
      <c r="H122" s="10" t="str">
        <f>_xlfn.XLOOKUP(C122,'[1]E&amp;DPSAC'!$K:$K,'[1]E&amp;DPSAC'!$E:$E,,0)</f>
        <v>JAPLA</v>
      </c>
      <c r="I122" s="10"/>
      <c r="J122" s="10">
        <v>7979713783</v>
      </c>
      <c r="K122" s="10">
        <f>_xlfn.XLOOKUP(C122,'[1]E&amp;DPSAC'!$K:$K,'[1]E&amp;DPSAC'!$G:$G,"",0)</f>
        <v>7979713783</v>
      </c>
      <c r="L122" s="9" t="str">
        <f t="shared" ca="1" si="4"/>
        <v>Non - Warranty</v>
      </c>
      <c r="M122" s="11">
        <v>42418</v>
      </c>
      <c r="N122" s="12">
        <v>24</v>
      </c>
      <c r="O122" s="11">
        <f t="shared" si="5"/>
        <v>43159</v>
      </c>
      <c r="P122" s="8" t="s">
        <v>681</v>
      </c>
      <c r="Q122" s="16" t="s">
        <v>855</v>
      </c>
      <c r="R122" s="15">
        <v>46073.644537036998</v>
      </c>
      <c r="S122" s="14">
        <v>7425</v>
      </c>
      <c r="T122" s="15">
        <v>46073</v>
      </c>
      <c r="U122" s="14">
        <v>7425</v>
      </c>
      <c r="V122" s="14">
        <v>7425</v>
      </c>
      <c r="W122" s="17">
        <v>46073.644537036998</v>
      </c>
      <c r="X122" s="14" t="s">
        <v>2727</v>
      </c>
      <c r="Y122" s="14">
        <v>750</v>
      </c>
      <c r="Z122" s="14" t="s">
        <v>2692</v>
      </c>
      <c r="AA122" s="18">
        <v>39.355462963001628</v>
      </c>
      <c r="AB122" s="18" t="s">
        <v>2692</v>
      </c>
      <c r="AC122" s="8">
        <f>tbl_DPSAC[[#This Row],[Current Month Due Count]]</f>
        <v>0</v>
      </c>
      <c r="AD122" s="8">
        <f>tbl_DPSAC[[#This Row],[Next Month Due2]]</f>
        <v>0</v>
      </c>
      <c r="AE122" s="8">
        <f t="shared" si="6"/>
        <v>0</v>
      </c>
      <c r="AF122" s="8">
        <v>1</v>
      </c>
      <c r="AG122" s="14">
        <f t="shared" ca="1" si="7"/>
        <v>7464</v>
      </c>
      <c r="AH122" s="8">
        <v>0</v>
      </c>
      <c r="AI122" s="8">
        <v>0</v>
      </c>
      <c r="AJ122" s="8">
        <v>0</v>
      </c>
      <c r="AK122" s="8">
        <v>0</v>
      </c>
      <c r="AL122" s="8">
        <v>0</v>
      </c>
      <c r="AM122" s="8">
        <v>0</v>
      </c>
      <c r="AN122" s="8">
        <v>0</v>
      </c>
      <c r="AO122" s="8">
        <v>0</v>
      </c>
      <c r="AP122" s="8">
        <v>0</v>
      </c>
      <c r="AQ122" s="8">
        <v>0</v>
      </c>
      <c r="AR122" s="8">
        <v>0</v>
      </c>
      <c r="AS122" s="8">
        <v>0</v>
      </c>
      <c r="AT122" s="8">
        <v>0</v>
      </c>
      <c r="AU122" s="8">
        <v>0</v>
      </c>
      <c r="AV122" s="8">
        <v>0</v>
      </c>
      <c r="AW122" s="8">
        <v>0</v>
      </c>
      <c r="AX122" s="8" t="s">
        <v>2007</v>
      </c>
      <c r="AY122" s="14">
        <v>7425</v>
      </c>
      <c r="AZ122" s="19">
        <v>46073</v>
      </c>
      <c r="BA122" s="14" t="s">
        <v>855</v>
      </c>
      <c r="BB122" s="14">
        <v>7425</v>
      </c>
      <c r="BC122" s="19">
        <v>46073</v>
      </c>
      <c r="BD122" s="14" t="s">
        <v>855</v>
      </c>
      <c r="BE122" s="14">
        <v>7425</v>
      </c>
      <c r="BF122" s="19">
        <v>46073</v>
      </c>
      <c r="BG122" s="14" t="s">
        <v>855</v>
      </c>
      <c r="BH122" s="14">
        <v>7425</v>
      </c>
      <c r="BI122" s="19">
        <v>46073</v>
      </c>
      <c r="BJ122" s="14" t="s">
        <v>855</v>
      </c>
      <c r="BK122" s="14">
        <v>7425</v>
      </c>
      <c r="BL122" s="19">
        <v>46073</v>
      </c>
      <c r="BM122" s="14" t="s">
        <v>855</v>
      </c>
      <c r="BN122" s="27">
        <v>46253</v>
      </c>
      <c r="BO122" s="27">
        <v>46253</v>
      </c>
      <c r="BP122" s="27">
        <v>46253</v>
      </c>
      <c r="BQ122" s="27">
        <v>46253</v>
      </c>
      <c r="BR122" s="27">
        <v>46438</v>
      </c>
      <c r="BS122" s="28">
        <v>711</v>
      </c>
      <c r="BT122" s="29">
        <v>1461</v>
      </c>
      <c r="BU122" s="29">
        <v>711</v>
      </c>
      <c r="BV122" s="29">
        <v>711</v>
      </c>
      <c r="BW122" s="29">
        <v>1461</v>
      </c>
      <c r="BX122" s="30" t="s">
        <v>173</v>
      </c>
      <c r="BY122" s="8">
        <v>0</v>
      </c>
      <c r="BZ122" s="8">
        <v>0</v>
      </c>
      <c r="CA122" s="8">
        <v>0</v>
      </c>
      <c r="CB122" s="21">
        <v>46072.770833333299</v>
      </c>
      <c r="CC122" s="21">
        <v>46072.770833333299</v>
      </c>
      <c r="CD122" s="21">
        <v>46072.770833333299</v>
      </c>
      <c r="CE122" s="21">
        <v>46072.770833333299</v>
      </c>
      <c r="CF122" s="21">
        <v>46072.770833333299</v>
      </c>
      <c r="CG122" s="21">
        <v>46072.770833333299</v>
      </c>
      <c r="CH122" s="21">
        <v>46072.770833333299</v>
      </c>
      <c r="CI122" s="21">
        <v>46072.770833333299</v>
      </c>
      <c r="CJ122" s="21">
        <v>46072.770833333299</v>
      </c>
      <c r="CK122" s="22" t="s">
        <v>2956</v>
      </c>
      <c r="CL122" s="22" t="s">
        <v>2957</v>
      </c>
      <c r="CM122" s="22" t="s">
        <v>2959</v>
      </c>
      <c r="CN122" s="22" t="s">
        <v>2957</v>
      </c>
      <c r="CO122" s="22" t="s">
        <v>2957</v>
      </c>
      <c r="CP122" s="22" t="s">
        <v>2956</v>
      </c>
      <c r="CQ122" s="22" t="s">
        <v>2953</v>
      </c>
      <c r="CR122" s="22" t="s">
        <v>2956</v>
      </c>
      <c r="CS122" s="22" t="s">
        <v>2960</v>
      </c>
      <c r="CT122" s="22">
        <v>5</v>
      </c>
      <c r="CU122" s="21">
        <v>46252</v>
      </c>
      <c r="CV122" s="21">
        <v>46223</v>
      </c>
      <c r="CW122" s="21">
        <v>46173</v>
      </c>
      <c r="CX122" s="21">
        <v>46223</v>
      </c>
      <c r="CY122" s="21">
        <v>46223</v>
      </c>
      <c r="CZ122" s="21">
        <v>46342</v>
      </c>
      <c r="DA122" s="21">
        <v>46273</v>
      </c>
      <c r="DB122" s="21">
        <v>46252</v>
      </c>
      <c r="DC122" s="21">
        <v>46437</v>
      </c>
      <c r="DD122" s="8">
        <v>0</v>
      </c>
      <c r="DE122" s="8">
        <v>0</v>
      </c>
      <c r="DF122" s="8">
        <v>0</v>
      </c>
      <c r="DG122" s="8">
        <v>0</v>
      </c>
      <c r="DH122" s="8">
        <v>0</v>
      </c>
      <c r="DI122" s="8">
        <v>1</v>
      </c>
      <c r="DJ122" s="8" t="s">
        <v>3025</v>
      </c>
      <c r="DK122" s="21">
        <v>42418</v>
      </c>
      <c r="DL122" s="21">
        <v>42151</v>
      </c>
      <c r="DM122" s="21">
        <v>46073</v>
      </c>
      <c r="DN122" s="18">
        <v>7425</v>
      </c>
      <c r="DO122" s="21">
        <v>0</v>
      </c>
      <c r="DP122" s="21">
        <v>0</v>
      </c>
      <c r="DQ122" s="21" t="s">
        <v>2955</v>
      </c>
      <c r="DR122" s="21">
        <v>46073</v>
      </c>
      <c r="DS122" s="21">
        <v>46073</v>
      </c>
      <c r="DT122" s="21">
        <v>46073</v>
      </c>
      <c r="DU122" s="21">
        <v>46073</v>
      </c>
      <c r="DV122" s="21">
        <v>46073</v>
      </c>
      <c r="DW122" s="21">
        <v>46073</v>
      </c>
      <c r="DX122" s="21">
        <v>46073</v>
      </c>
      <c r="DY122" s="21">
        <v>46073</v>
      </c>
      <c r="DZ122" s="21">
        <v>46073</v>
      </c>
      <c r="EA122" s="8">
        <v>1500</v>
      </c>
      <c r="EB122" s="8">
        <v>750</v>
      </c>
      <c r="EC122" s="8">
        <v>500</v>
      </c>
      <c r="ED122" s="8">
        <v>750</v>
      </c>
      <c r="EE122" s="8">
        <v>750</v>
      </c>
      <c r="EF122" s="8">
        <v>1500</v>
      </c>
      <c r="EG122" s="8">
        <v>1000</v>
      </c>
      <c r="EH122" s="8">
        <v>1500</v>
      </c>
      <c r="EI122" s="8">
        <v>3000</v>
      </c>
      <c r="EJ122" s="8">
        <v>5</v>
      </c>
      <c r="EK122" s="8" t="s">
        <v>2624</v>
      </c>
      <c r="EL122" s="8">
        <v>39</v>
      </c>
      <c r="EM122" s="8">
        <v>39</v>
      </c>
      <c r="EN122" s="8">
        <v>1212</v>
      </c>
      <c r="EO122" s="8">
        <v>462</v>
      </c>
      <c r="EP122" s="8">
        <v>212</v>
      </c>
      <c r="EQ122" s="8">
        <v>462</v>
      </c>
      <c r="ER122" s="8">
        <v>462</v>
      </c>
      <c r="ES122" s="8">
        <v>1212</v>
      </c>
      <c r="ET122" s="8">
        <v>712</v>
      </c>
      <c r="EU122" s="8">
        <v>1212</v>
      </c>
      <c r="EV122" s="8">
        <v>2712</v>
      </c>
    </row>
    <row r="123" spans="1:152" x14ac:dyDescent="0.15">
      <c r="A123" s="8">
        <f>ROW([2]!tbl_DPSAC[[#This Row],[Sl. No.]])-1</f>
        <v>122</v>
      </c>
      <c r="B123" s="9" t="s">
        <v>196</v>
      </c>
      <c r="C123" s="9" t="s">
        <v>856</v>
      </c>
      <c r="D123" s="9" t="s">
        <v>857</v>
      </c>
      <c r="E123" s="9" t="s">
        <v>170</v>
      </c>
      <c r="F123" s="9" t="s">
        <v>161</v>
      </c>
      <c r="G123" s="10" t="s">
        <v>852</v>
      </c>
      <c r="H123" s="10" t="str">
        <f>_xlfn.XLOOKUP(C123,'[1]E&amp;DPSAC'!$K:$K,'[1]E&amp;DPSAC'!$E:$E,,0)</f>
        <v>SHEKHPURA, BIHAR</v>
      </c>
      <c r="I123" s="10"/>
      <c r="J123" s="10">
        <v>79791713783</v>
      </c>
      <c r="K123" s="10">
        <f>_xlfn.XLOOKUP(C123,'[1]E&amp;DPSAC'!$K:$K,'[1]E&amp;DPSAC'!$G:$G,"",0)</f>
        <v>79791713783</v>
      </c>
      <c r="L123" s="9" t="str">
        <f t="shared" ca="1" si="4"/>
        <v>Non - Warranty</v>
      </c>
      <c r="M123" s="11">
        <v>42544</v>
      </c>
      <c r="N123" s="12">
        <v>24</v>
      </c>
      <c r="O123" s="11">
        <f t="shared" si="5"/>
        <v>43281</v>
      </c>
      <c r="P123" s="8" t="s">
        <v>681</v>
      </c>
      <c r="Q123" s="16" t="s">
        <v>858</v>
      </c>
      <c r="R123" s="15">
        <v>46073.645706018498</v>
      </c>
      <c r="S123" s="14">
        <v>3500</v>
      </c>
      <c r="T123" s="15">
        <v>46073</v>
      </c>
      <c r="U123" s="14">
        <v>3500</v>
      </c>
      <c r="V123" s="14">
        <v>3500</v>
      </c>
      <c r="W123" s="17">
        <v>46073.645706018498</v>
      </c>
      <c r="X123" s="14" t="s">
        <v>2764</v>
      </c>
      <c r="Y123" s="14">
        <v>750</v>
      </c>
      <c r="Z123" s="14" t="s">
        <v>2692</v>
      </c>
      <c r="AA123" s="18">
        <v>39.354293981501542</v>
      </c>
      <c r="AB123" s="18" t="s">
        <v>2692</v>
      </c>
      <c r="AC123" s="8">
        <f>tbl_DPSAC[[#This Row],[Current Month Due Count]]</f>
        <v>0</v>
      </c>
      <c r="AD123" s="8">
        <f>tbl_DPSAC[[#This Row],[Next Month Due2]]</f>
        <v>0</v>
      </c>
      <c r="AE123" s="8">
        <f t="shared" si="6"/>
        <v>0</v>
      </c>
      <c r="AF123" s="8">
        <v>1</v>
      </c>
      <c r="AG123" s="14">
        <f t="shared" ca="1" si="7"/>
        <v>3539</v>
      </c>
      <c r="AH123" s="8">
        <v>0</v>
      </c>
      <c r="AI123" s="8">
        <v>0</v>
      </c>
      <c r="AJ123" s="8">
        <v>0</v>
      </c>
      <c r="AK123" s="8">
        <v>0</v>
      </c>
      <c r="AL123" s="8">
        <v>0</v>
      </c>
      <c r="AM123" s="8">
        <v>0</v>
      </c>
      <c r="AN123" s="8">
        <v>0</v>
      </c>
      <c r="AO123" s="8">
        <v>0</v>
      </c>
      <c r="AP123" s="8">
        <v>0</v>
      </c>
      <c r="AQ123" s="8">
        <v>0</v>
      </c>
      <c r="AR123" s="8">
        <v>0</v>
      </c>
      <c r="AS123" s="8">
        <v>0</v>
      </c>
      <c r="AT123" s="8">
        <v>0</v>
      </c>
      <c r="AU123" s="8">
        <v>0</v>
      </c>
      <c r="AV123" s="8">
        <v>0</v>
      </c>
      <c r="AW123" s="8">
        <v>0</v>
      </c>
      <c r="AX123" s="8" t="s">
        <v>2007</v>
      </c>
      <c r="AY123" s="14">
        <v>3500</v>
      </c>
      <c r="AZ123" s="19">
        <v>46073</v>
      </c>
      <c r="BA123" s="14" t="s">
        <v>858</v>
      </c>
      <c r="BB123" s="14">
        <v>3500</v>
      </c>
      <c r="BC123" s="19">
        <v>46073</v>
      </c>
      <c r="BD123" s="14" t="s">
        <v>858</v>
      </c>
      <c r="BE123" s="14">
        <v>3500</v>
      </c>
      <c r="BF123" s="19">
        <v>46073</v>
      </c>
      <c r="BG123" s="14" t="s">
        <v>858</v>
      </c>
      <c r="BH123" s="14">
        <v>3500</v>
      </c>
      <c r="BI123" s="19">
        <v>46073</v>
      </c>
      <c r="BJ123" s="14" t="s">
        <v>858</v>
      </c>
      <c r="BK123" s="14">
        <v>3500</v>
      </c>
      <c r="BL123" s="19">
        <v>46073</v>
      </c>
      <c r="BM123" s="14" t="s">
        <v>858</v>
      </c>
      <c r="BN123" s="27">
        <v>46253</v>
      </c>
      <c r="BO123" s="27">
        <v>46253</v>
      </c>
      <c r="BP123" s="27">
        <v>46253</v>
      </c>
      <c r="BQ123" s="27">
        <v>46253</v>
      </c>
      <c r="BR123" s="27">
        <v>46438</v>
      </c>
      <c r="BS123" s="28">
        <v>711</v>
      </c>
      <c r="BT123" s="29">
        <v>1461</v>
      </c>
      <c r="BU123" s="29">
        <v>711</v>
      </c>
      <c r="BV123" s="29">
        <v>711</v>
      </c>
      <c r="BW123" s="29">
        <v>1461</v>
      </c>
      <c r="BX123" s="30" t="s">
        <v>173</v>
      </c>
      <c r="BY123" s="8">
        <v>0</v>
      </c>
      <c r="BZ123" s="8">
        <v>0</v>
      </c>
      <c r="CA123" s="8">
        <v>0</v>
      </c>
      <c r="CB123" s="21">
        <v>46073.770833333299</v>
      </c>
      <c r="CC123" s="21">
        <v>46072.770833333299</v>
      </c>
      <c r="CD123" s="21">
        <v>46072.770833333299</v>
      </c>
      <c r="CE123" s="21">
        <v>46072.770833333299</v>
      </c>
      <c r="CF123" s="21">
        <v>46072.770833333299</v>
      </c>
      <c r="CG123" s="21">
        <v>46072.770833333299</v>
      </c>
      <c r="CH123" s="21">
        <v>46072.770833333299</v>
      </c>
      <c r="CI123" s="21">
        <v>46072.770833333299</v>
      </c>
      <c r="CJ123" s="21">
        <v>46072.770833333299</v>
      </c>
      <c r="CK123" s="22" t="s">
        <v>2956</v>
      </c>
      <c r="CL123" s="22" t="s">
        <v>2957</v>
      </c>
      <c r="CM123" s="22" t="s">
        <v>2959</v>
      </c>
      <c r="CN123" s="22" t="s">
        <v>2957</v>
      </c>
      <c r="CO123" s="22" t="s">
        <v>2957</v>
      </c>
      <c r="CP123" s="22" t="s">
        <v>2956</v>
      </c>
      <c r="CQ123" s="22" t="s">
        <v>2953</v>
      </c>
      <c r="CR123" s="22" t="s">
        <v>2956</v>
      </c>
      <c r="CS123" s="22" t="s">
        <v>2960</v>
      </c>
      <c r="CT123" s="22">
        <v>6</v>
      </c>
      <c r="CU123" s="21">
        <v>46253</v>
      </c>
      <c r="CV123" s="21">
        <v>46199</v>
      </c>
      <c r="CW123" s="21">
        <v>46157</v>
      </c>
      <c r="CX123" s="21">
        <v>46199</v>
      </c>
      <c r="CY123" s="21">
        <v>46199</v>
      </c>
      <c r="CZ123" s="21">
        <v>46324</v>
      </c>
      <c r="DA123" s="21">
        <v>46240</v>
      </c>
      <c r="DB123" s="21">
        <v>46252</v>
      </c>
      <c r="DC123" s="21">
        <v>46437</v>
      </c>
      <c r="DD123" s="8">
        <v>0</v>
      </c>
      <c r="DE123" s="8">
        <v>0</v>
      </c>
      <c r="DF123" s="8">
        <v>0</v>
      </c>
      <c r="DG123" s="8">
        <v>0</v>
      </c>
      <c r="DH123" s="8">
        <v>0</v>
      </c>
      <c r="DI123" s="8">
        <v>1</v>
      </c>
      <c r="DJ123" s="8" t="s">
        <v>3025</v>
      </c>
      <c r="DK123" s="21">
        <v>42544</v>
      </c>
      <c r="DL123" s="21">
        <v>42531</v>
      </c>
      <c r="DM123" s="21">
        <v>46074</v>
      </c>
      <c r="DN123" s="18">
        <v>3500</v>
      </c>
      <c r="DO123" s="21">
        <v>0</v>
      </c>
      <c r="DP123" s="21">
        <v>0</v>
      </c>
      <c r="DQ123" s="21" t="s">
        <v>2955</v>
      </c>
      <c r="DR123" s="21">
        <v>46074</v>
      </c>
      <c r="DS123" s="21">
        <v>46073</v>
      </c>
      <c r="DT123" s="21">
        <v>46073</v>
      </c>
      <c r="DU123" s="21">
        <v>46073</v>
      </c>
      <c r="DV123" s="21">
        <v>46073</v>
      </c>
      <c r="DW123" s="21">
        <v>46073</v>
      </c>
      <c r="DX123" s="21">
        <v>46073</v>
      </c>
      <c r="DY123" s="21">
        <v>46073</v>
      </c>
      <c r="DZ123" s="21">
        <v>46073</v>
      </c>
      <c r="EA123" s="8">
        <v>1500</v>
      </c>
      <c r="EB123" s="8">
        <v>750</v>
      </c>
      <c r="EC123" s="8">
        <v>500</v>
      </c>
      <c r="ED123" s="8">
        <v>750</v>
      </c>
      <c r="EE123" s="8">
        <v>750</v>
      </c>
      <c r="EF123" s="8">
        <v>1500</v>
      </c>
      <c r="EG123" s="8">
        <v>1000</v>
      </c>
      <c r="EH123" s="8">
        <v>1500</v>
      </c>
      <c r="EI123" s="8">
        <v>3000</v>
      </c>
      <c r="EJ123" s="8">
        <v>6</v>
      </c>
      <c r="EK123" s="8" t="s">
        <v>2624</v>
      </c>
      <c r="EL123" s="8">
        <v>39</v>
      </c>
      <c r="EM123" s="8">
        <v>39</v>
      </c>
      <c r="EN123" s="8">
        <v>1212</v>
      </c>
      <c r="EO123" s="8">
        <v>462</v>
      </c>
      <c r="EP123" s="8">
        <v>212</v>
      </c>
      <c r="EQ123" s="8">
        <v>462</v>
      </c>
      <c r="ER123" s="8">
        <v>462</v>
      </c>
      <c r="ES123" s="8">
        <v>1212</v>
      </c>
      <c r="ET123" s="8">
        <v>712</v>
      </c>
      <c r="EU123" s="8">
        <v>1212</v>
      </c>
      <c r="EV123" s="8">
        <v>2712</v>
      </c>
    </row>
    <row r="124" spans="1:152" x14ac:dyDescent="0.15">
      <c r="A124" s="8">
        <f>ROW([2]!tbl_DPSAC[[#This Row],[Sl. No.]])-1</f>
        <v>123</v>
      </c>
      <c r="B124" s="9" t="s">
        <v>136</v>
      </c>
      <c r="C124" s="9" t="s">
        <v>859</v>
      </c>
      <c r="D124" s="9" t="s">
        <v>138</v>
      </c>
      <c r="E124" s="9" t="s">
        <v>139</v>
      </c>
      <c r="F124" s="9" t="s">
        <v>161</v>
      </c>
      <c r="G124" s="10" t="s">
        <v>184</v>
      </c>
      <c r="H124" s="10" t="str">
        <f>_xlfn.XLOOKUP(C124,'[1]E&amp;DPSAC'!$K:$K,'[1]E&amp;DPSAC'!$E:$E,,0)</f>
        <v>DHANBAD JHARKHAND</v>
      </c>
      <c r="I124" s="10"/>
      <c r="J124" s="10">
        <v>9550053031</v>
      </c>
      <c r="K124" s="10">
        <f>_xlfn.XLOOKUP(C124,'[1]E&amp;DPSAC'!$K:$K,'[1]E&amp;DPSAC'!$G:$G,"",0)</f>
        <v>8521311810</v>
      </c>
      <c r="L124" s="9" t="str">
        <f t="shared" ca="1" si="4"/>
        <v>Non - Warranty</v>
      </c>
      <c r="M124" s="11">
        <v>42814</v>
      </c>
      <c r="N124" s="12">
        <v>24</v>
      </c>
      <c r="O124" s="11">
        <f t="shared" si="5"/>
        <v>43555</v>
      </c>
      <c r="P124" s="8" t="s">
        <v>142</v>
      </c>
      <c r="Q124" s="16" t="s">
        <v>862</v>
      </c>
      <c r="R124" s="15">
        <v>45372.535590277803</v>
      </c>
      <c r="S124" s="14">
        <v>11968</v>
      </c>
      <c r="T124" s="15">
        <v>45836</v>
      </c>
      <c r="U124" s="14">
        <v>11948</v>
      </c>
      <c r="V124" s="14">
        <v>13455</v>
      </c>
      <c r="W124" s="17">
        <v>45964.692361111112</v>
      </c>
      <c r="X124" s="14" t="s">
        <v>2722</v>
      </c>
      <c r="Y124" s="14">
        <v>-737</v>
      </c>
      <c r="Z124" s="14" t="s">
        <v>2697</v>
      </c>
      <c r="AA124" s="18">
        <v>740.46440972219716</v>
      </c>
      <c r="AB124" s="18" t="s">
        <v>2697</v>
      </c>
      <c r="AC124" s="8">
        <f>tbl_DPSAC[[#This Row],[Current Month Due Count]]</f>
        <v>0</v>
      </c>
      <c r="AD124" s="8">
        <f>tbl_DPSAC[[#This Row],[Next Month Due2]]</f>
        <v>0</v>
      </c>
      <c r="AE124" s="8">
        <f t="shared" si="6"/>
        <v>1</v>
      </c>
      <c r="AF124" s="8">
        <v>1</v>
      </c>
      <c r="AG124" s="14">
        <f t="shared" ca="1" si="7"/>
        <v>13603</v>
      </c>
      <c r="AH124" s="8">
        <v>0</v>
      </c>
      <c r="AI124" s="8">
        <v>0</v>
      </c>
      <c r="AJ124" s="8">
        <v>0</v>
      </c>
      <c r="AK124" s="8">
        <v>0</v>
      </c>
      <c r="AL124" s="8">
        <v>0</v>
      </c>
      <c r="AM124" s="8">
        <v>0</v>
      </c>
      <c r="AN124" s="8">
        <v>0</v>
      </c>
      <c r="AO124" s="8">
        <v>0</v>
      </c>
      <c r="AP124" s="8" t="s">
        <v>860</v>
      </c>
      <c r="AQ124" s="8">
        <v>0</v>
      </c>
      <c r="AR124" s="8">
        <v>0</v>
      </c>
      <c r="AS124" s="8">
        <v>0</v>
      </c>
      <c r="AT124" s="8">
        <v>0</v>
      </c>
      <c r="AU124" s="8" t="s">
        <v>861</v>
      </c>
      <c r="AV124" s="8">
        <v>0</v>
      </c>
      <c r="AW124" s="8">
        <v>0</v>
      </c>
      <c r="AX124" s="8" t="s">
        <v>2961</v>
      </c>
      <c r="AY124" s="14">
        <v>11968</v>
      </c>
      <c r="AZ124" s="19">
        <v>45372</v>
      </c>
      <c r="BA124" s="14" t="s">
        <v>862</v>
      </c>
      <c r="BB124" s="14">
        <v>10855</v>
      </c>
      <c r="BC124" s="19">
        <v>45113</v>
      </c>
      <c r="BD124" s="14" t="s">
        <v>863</v>
      </c>
      <c r="BE124" s="14">
        <v>11968</v>
      </c>
      <c r="BF124" s="19">
        <v>45372</v>
      </c>
      <c r="BG124" s="14" t="s">
        <v>862</v>
      </c>
      <c r="BH124" s="14">
        <v>11968</v>
      </c>
      <c r="BI124" s="19">
        <v>45372</v>
      </c>
      <c r="BJ124" s="14" t="s">
        <v>862</v>
      </c>
      <c r="BK124" s="14">
        <v>9250</v>
      </c>
      <c r="BL124" s="19">
        <v>44655</v>
      </c>
      <c r="BM124" s="14"/>
      <c r="BN124" s="27">
        <v>45552</v>
      </c>
      <c r="BO124" s="27">
        <v>45293</v>
      </c>
      <c r="BP124" s="27">
        <v>45552</v>
      </c>
      <c r="BQ124" s="27">
        <v>45552</v>
      </c>
      <c r="BR124" s="27">
        <v>45020</v>
      </c>
      <c r="BS124" s="28">
        <v>-885</v>
      </c>
      <c r="BT124" s="29">
        <v>-1248</v>
      </c>
      <c r="BU124" s="29">
        <v>-885</v>
      </c>
      <c r="BV124" s="29">
        <v>-885</v>
      </c>
      <c r="BW124" s="29">
        <v>-2853</v>
      </c>
      <c r="BX124" s="30" t="s">
        <v>384</v>
      </c>
      <c r="BY124" s="8">
        <v>5</v>
      </c>
      <c r="BZ124" s="8">
        <v>0</v>
      </c>
      <c r="CA124" s="8">
        <v>0</v>
      </c>
      <c r="CB124" s="21">
        <v>45371.770833333299</v>
      </c>
      <c r="CC124" s="21">
        <v>45371.770833333299</v>
      </c>
      <c r="CD124" s="21">
        <v>45371.770833333299</v>
      </c>
      <c r="CE124" s="21">
        <v>45371.770833333299</v>
      </c>
      <c r="CF124" s="21">
        <v>45371.770833333299</v>
      </c>
      <c r="CG124" s="21">
        <v>0</v>
      </c>
      <c r="CH124" s="21">
        <v>0</v>
      </c>
      <c r="CI124" s="21">
        <v>0</v>
      </c>
      <c r="CJ124" s="21">
        <v>0</v>
      </c>
      <c r="CK124" s="22" t="s">
        <v>3053</v>
      </c>
      <c r="CL124" s="22" t="s">
        <v>3053</v>
      </c>
      <c r="CM124" s="22" t="s">
        <v>3053</v>
      </c>
      <c r="CN124" s="22" t="s">
        <v>3053</v>
      </c>
      <c r="CO124" s="22" t="s">
        <v>3053</v>
      </c>
      <c r="CP124" s="22" t="s">
        <v>3053</v>
      </c>
      <c r="CQ124" s="22" t="s">
        <v>2953</v>
      </c>
      <c r="CR124" s="22" t="s">
        <v>3053</v>
      </c>
      <c r="CS124" s="22" t="s">
        <v>3053</v>
      </c>
      <c r="CT124" s="22">
        <v>2</v>
      </c>
      <c r="CU124" s="21">
        <v>45551</v>
      </c>
      <c r="CV124" s="21">
        <v>45551</v>
      </c>
      <c r="CW124" s="21">
        <v>45551</v>
      </c>
      <c r="CX124" s="21">
        <v>45551</v>
      </c>
      <c r="CY124" s="21">
        <v>45551</v>
      </c>
      <c r="CZ124" s="21">
        <v>46129</v>
      </c>
      <c r="DA124" s="21">
        <v>46057</v>
      </c>
      <c r="DB124" s="21">
        <v>46039</v>
      </c>
      <c r="DC124" s="21">
        <v>46088</v>
      </c>
      <c r="DD124" s="8">
        <v>1</v>
      </c>
      <c r="DE124" s="8">
        <v>1</v>
      </c>
      <c r="DF124" s="8">
        <v>1</v>
      </c>
      <c r="DG124" s="8">
        <v>8</v>
      </c>
      <c r="DH124" s="8">
        <v>1</v>
      </c>
      <c r="DI124" s="8">
        <v>0</v>
      </c>
      <c r="DJ124" s="8" t="s">
        <v>2954</v>
      </c>
      <c r="DK124" s="21">
        <v>42814</v>
      </c>
      <c r="DL124" s="21">
        <v>42801</v>
      </c>
      <c r="DM124" s="21">
        <v>45964</v>
      </c>
      <c r="DN124" s="18">
        <v>13455</v>
      </c>
      <c r="DO124" s="21">
        <v>0</v>
      </c>
      <c r="DP124" s="21">
        <v>0</v>
      </c>
      <c r="DQ124" s="21" t="s">
        <v>2955</v>
      </c>
      <c r="DR124" s="21">
        <v>45372</v>
      </c>
      <c r="DS124" s="21">
        <v>45372</v>
      </c>
      <c r="DT124" s="21">
        <v>45372</v>
      </c>
      <c r="DU124" s="21">
        <v>45372</v>
      </c>
      <c r="DV124" s="21">
        <v>45372</v>
      </c>
      <c r="DW124" s="21">
        <v>0</v>
      </c>
      <c r="DX124" s="21">
        <v>0</v>
      </c>
      <c r="DY124" s="21">
        <v>0</v>
      </c>
      <c r="DZ124" s="21">
        <v>0</v>
      </c>
      <c r="EA124" s="8">
        <v>345</v>
      </c>
      <c r="EB124" s="8">
        <v>345</v>
      </c>
      <c r="EC124" s="8">
        <v>345</v>
      </c>
      <c r="ED124" s="8">
        <v>345</v>
      </c>
      <c r="EE124" s="8">
        <v>345</v>
      </c>
      <c r="EF124" s="8">
        <v>345</v>
      </c>
      <c r="EG124" s="8">
        <v>1000</v>
      </c>
      <c r="EH124" s="8">
        <v>345</v>
      </c>
      <c r="EI124" s="8">
        <v>345</v>
      </c>
      <c r="EJ124" s="8">
        <v>2</v>
      </c>
      <c r="EK124" s="8" t="s">
        <v>2624</v>
      </c>
      <c r="EL124" s="8">
        <v>148</v>
      </c>
      <c r="EM124" s="8">
        <v>148</v>
      </c>
      <c r="EN124" s="8">
        <v>57</v>
      </c>
      <c r="EO124" s="8">
        <v>57</v>
      </c>
      <c r="EP124" s="8">
        <v>57</v>
      </c>
      <c r="EQ124" s="8">
        <v>57</v>
      </c>
      <c r="ER124" s="8">
        <v>57</v>
      </c>
      <c r="ES124" s="8">
        <v>57</v>
      </c>
      <c r="ET124" s="8">
        <v>712</v>
      </c>
      <c r="EU124" s="8">
        <v>57</v>
      </c>
      <c r="EV124" s="8">
        <v>57</v>
      </c>
    </row>
    <row r="125" spans="1:152" x14ac:dyDescent="0.15">
      <c r="A125" s="8">
        <f>ROW([2]!tbl_DPSAC[[#This Row],[Sl. No.]])-1</f>
        <v>124</v>
      </c>
      <c r="B125" s="9" t="s">
        <v>136</v>
      </c>
      <c r="C125" s="9" t="s">
        <v>864</v>
      </c>
      <c r="D125" s="9" t="s">
        <v>138</v>
      </c>
      <c r="E125" s="9" t="s">
        <v>139</v>
      </c>
      <c r="F125" s="9" t="s">
        <v>161</v>
      </c>
      <c r="G125" s="10" t="s">
        <v>184</v>
      </c>
      <c r="H125" s="10" t="str">
        <f>_xlfn.XLOOKUP(C125,'[1]E&amp;DPSAC'!$K:$K,'[1]E&amp;DPSAC'!$E:$E,,0)</f>
        <v>BASTAKOLA, DHANBAD</v>
      </c>
      <c r="I125" s="10"/>
      <c r="J125" s="10">
        <v>9550053031</v>
      </c>
      <c r="K125" s="10">
        <f>_xlfn.XLOOKUP(C125,'[1]E&amp;DPSAC'!$K:$K,'[1]E&amp;DPSAC'!$G:$G,"",0)</f>
        <v>8521311810</v>
      </c>
      <c r="L125" s="9" t="str">
        <f t="shared" ca="1" si="4"/>
        <v>Non - Warranty</v>
      </c>
      <c r="M125" s="11">
        <v>42814</v>
      </c>
      <c r="N125" s="12">
        <v>24</v>
      </c>
      <c r="O125" s="11">
        <f t="shared" si="5"/>
        <v>43555</v>
      </c>
      <c r="P125" s="8" t="s">
        <v>142</v>
      </c>
      <c r="Q125" s="16" t="s">
        <v>866</v>
      </c>
      <c r="R125" s="15">
        <v>45199.5641666667</v>
      </c>
      <c r="S125" s="14">
        <v>9880</v>
      </c>
      <c r="T125" s="15">
        <v>45868</v>
      </c>
      <c r="U125" s="14">
        <v>10579</v>
      </c>
      <c r="V125" s="14">
        <v>13710</v>
      </c>
      <c r="W125" s="17">
        <v>45964.695138888892</v>
      </c>
      <c r="X125" s="14" t="s">
        <v>2765</v>
      </c>
      <c r="Y125" s="14">
        <v>-3080</v>
      </c>
      <c r="Z125" s="14" t="s">
        <v>2697</v>
      </c>
      <c r="AA125" s="18">
        <v>913.43583333330025</v>
      </c>
      <c r="AB125" s="18" t="s">
        <v>2697</v>
      </c>
      <c r="AC125" s="8">
        <f>tbl_DPSAC[[#This Row],[Current Month Due Count]]</f>
        <v>0</v>
      </c>
      <c r="AD125" s="8">
        <f>tbl_DPSAC[[#This Row],[Next Month Due2]]</f>
        <v>0</v>
      </c>
      <c r="AE125" s="8">
        <f t="shared" si="6"/>
        <v>1</v>
      </c>
      <c r="AF125" s="8">
        <v>2</v>
      </c>
      <c r="AG125" s="14">
        <f t="shared" ca="1" si="7"/>
        <v>14007</v>
      </c>
      <c r="AH125" s="8">
        <v>0</v>
      </c>
      <c r="AI125" s="8">
        <v>0</v>
      </c>
      <c r="AJ125" s="8">
        <v>0</v>
      </c>
      <c r="AK125" s="8">
        <v>0</v>
      </c>
      <c r="AL125" s="8">
        <v>0</v>
      </c>
      <c r="AM125" s="8">
        <v>0</v>
      </c>
      <c r="AN125" s="8">
        <v>0</v>
      </c>
      <c r="AO125" s="8">
        <v>0</v>
      </c>
      <c r="AP125" s="8">
        <v>0</v>
      </c>
      <c r="AQ125" s="8">
        <v>0</v>
      </c>
      <c r="AR125" s="8">
        <v>0</v>
      </c>
      <c r="AS125" s="8">
        <v>0</v>
      </c>
      <c r="AT125" s="8">
        <v>0</v>
      </c>
      <c r="AU125" s="8" t="s">
        <v>865</v>
      </c>
      <c r="AV125" s="8">
        <v>0</v>
      </c>
      <c r="AW125" s="8">
        <v>0</v>
      </c>
      <c r="AX125" s="8" t="s">
        <v>2961</v>
      </c>
      <c r="AY125" s="14">
        <v>9880</v>
      </c>
      <c r="AZ125" s="19">
        <v>45199</v>
      </c>
      <c r="BA125" s="14" t="s">
        <v>866</v>
      </c>
      <c r="BB125" s="14">
        <v>9880</v>
      </c>
      <c r="BC125" s="19">
        <v>45199</v>
      </c>
      <c r="BD125" s="14" t="s">
        <v>866</v>
      </c>
      <c r="BE125" s="14">
        <v>9880</v>
      </c>
      <c r="BF125" s="19">
        <v>45199</v>
      </c>
      <c r="BG125" s="14" t="s">
        <v>866</v>
      </c>
      <c r="BH125" s="14">
        <v>9880</v>
      </c>
      <c r="BI125" s="19">
        <v>45199</v>
      </c>
      <c r="BJ125" s="14" t="s">
        <v>866</v>
      </c>
      <c r="BK125" s="14">
        <v>9880</v>
      </c>
      <c r="BL125" s="19">
        <v>45199</v>
      </c>
      <c r="BM125" s="14" t="s">
        <v>866</v>
      </c>
      <c r="BN125" s="27">
        <v>45379</v>
      </c>
      <c r="BO125" s="27">
        <v>45379</v>
      </c>
      <c r="BP125" s="27">
        <v>45379</v>
      </c>
      <c r="BQ125" s="27">
        <v>45379</v>
      </c>
      <c r="BR125" s="27">
        <v>45564</v>
      </c>
      <c r="BS125" s="28">
        <v>-3377</v>
      </c>
      <c r="BT125" s="29">
        <v>-2627</v>
      </c>
      <c r="BU125" s="29">
        <v>-3377</v>
      </c>
      <c r="BV125" s="29">
        <v>-3377</v>
      </c>
      <c r="BW125" s="29">
        <v>-2627</v>
      </c>
      <c r="BX125" s="30" t="s">
        <v>384</v>
      </c>
      <c r="BY125" s="8">
        <v>5</v>
      </c>
      <c r="BZ125" s="8">
        <v>0</v>
      </c>
      <c r="CA125" s="8">
        <v>0</v>
      </c>
      <c r="CB125" s="21">
        <v>45198.770833333299</v>
      </c>
      <c r="CC125" s="21">
        <v>45198.770833333299</v>
      </c>
      <c r="CD125" s="21">
        <v>45198.770833333299</v>
      </c>
      <c r="CE125" s="21">
        <v>45198.770833333299</v>
      </c>
      <c r="CF125" s="21">
        <v>45198.770833333299</v>
      </c>
      <c r="CG125" s="21">
        <v>45198.770833333299</v>
      </c>
      <c r="CH125" s="21">
        <v>45198.770833333299</v>
      </c>
      <c r="CI125" s="21">
        <v>45198.770833333299</v>
      </c>
      <c r="CJ125" s="21">
        <v>45198.770833333299</v>
      </c>
      <c r="CK125" s="22" t="s">
        <v>3054</v>
      </c>
      <c r="CL125" s="22" t="s">
        <v>3054</v>
      </c>
      <c r="CM125" s="22" t="s">
        <v>3054</v>
      </c>
      <c r="CN125" s="22" t="s">
        <v>3054</v>
      </c>
      <c r="CO125" s="22" t="s">
        <v>3054</v>
      </c>
      <c r="CP125" s="22" t="s">
        <v>3054</v>
      </c>
      <c r="CQ125" s="22" t="s">
        <v>2953</v>
      </c>
      <c r="CR125" s="22" t="s">
        <v>3054</v>
      </c>
      <c r="CS125" s="22" t="s">
        <v>3054</v>
      </c>
      <c r="CT125" s="22">
        <v>1</v>
      </c>
      <c r="CU125" s="21">
        <v>45378</v>
      </c>
      <c r="CV125" s="21">
        <v>45378</v>
      </c>
      <c r="CW125" s="21">
        <v>45378</v>
      </c>
      <c r="CX125" s="21">
        <v>45378</v>
      </c>
      <c r="CY125" s="21">
        <v>45378</v>
      </c>
      <c r="CZ125" s="21">
        <v>45468</v>
      </c>
      <c r="DA125" s="21">
        <v>45563</v>
      </c>
      <c r="DB125" s="21">
        <v>45378</v>
      </c>
      <c r="DC125" s="21">
        <v>45563</v>
      </c>
      <c r="DD125" s="8">
        <v>1</v>
      </c>
      <c r="DE125" s="8">
        <v>0</v>
      </c>
      <c r="DF125" s="8">
        <v>0</v>
      </c>
      <c r="DG125" s="8">
        <v>9</v>
      </c>
      <c r="DH125" s="8">
        <v>0</v>
      </c>
      <c r="DI125" s="8">
        <v>0</v>
      </c>
      <c r="DJ125" s="8" t="s">
        <v>2954</v>
      </c>
      <c r="DK125" s="21">
        <v>42814</v>
      </c>
      <c r="DL125" s="21">
        <v>42790</v>
      </c>
      <c r="DM125" s="21">
        <v>45964</v>
      </c>
      <c r="DN125" s="18">
        <v>13710</v>
      </c>
      <c r="DO125" s="21">
        <v>0</v>
      </c>
      <c r="DP125" s="21">
        <v>0</v>
      </c>
      <c r="DQ125" s="21" t="s">
        <v>2955</v>
      </c>
      <c r="DR125" s="21">
        <v>45199</v>
      </c>
      <c r="DS125" s="21">
        <v>45199</v>
      </c>
      <c r="DT125" s="21">
        <v>45199</v>
      </c>
      <c r="DU125" s="21">
        <v>45199</v>
      </c>
      <c r="DV125" s="21">
        <v>45199</v>
      </c>
      <c r="DW125" s="21">
        <v>45199</v>
      </c>
      <c r="DX125" s="21">
        <v>45199</v>
      </c>
      <c r="DY125" s="21">
        <v>45199</v>
      </c>
      <c r="DZ125" s="21">
        <v>45199</v>
      </c>
      <c r="EA125" s="8">
        <v>180</v>
      </c>
      <c r="EB125" s="8">
        <v>180</v>
      </c>
      <c r="EC125" s="8">
        <v>180</v>
      </c>
      <c r="ED125" s="8">
        <v>180</v>
      </c>
      <c r="EE125" s="8">
        <v>180</v>
      </c>
      <c r="EF125" s="8">
        <v>180</v>
      </c>
      <c r="EG125" s="8">
        <v>1000</v>
      </c>
      <c r="EH125" s="8">
        <v>180</v>
      </c>
      <c r="EI125" s="8">
        <v>180</v>
      </c>
      <c r="EJ125" s="8">
        <v>1</v>
      </c>
      <c r="EK125" s="8" t="s">
        <v>2624</v>
      </c>
      <c r="EL125" s="8">
        <v>148</v>
      </c>
      <c r="EM125" s="8">
        <v>296</v>
      </c>
      <c r="EN125" s="8">
        <v>-108</v>
      </c>
      <c r="EO125" s="8">
        <v>-108</v>
      </c>
      <c r="EP125" s="8">
        <v>-108</v>
      </c>
      <c r="EQ125" s="8">
        <v>-108</v>
      </c>
      <c r="ER125" s="8">
        <v>-108</v>
      </c>
      <c r="ES125" s="8">
        <v>-108</v>
      </c>
      <c r="ET125" s="8">
        <v>712</v>
      </c>
      <c r="EU125" s="8">
        <v>-108</v>
      </c>
      <c r="EV125" s="8">
        <v>-108</v>
      </c>
    </row>
    <row r="126" spans="1:152" x14ac:dyDescent="0.15">
      <c r="A126" s="8">
        <f>ROW([2]!tbl_DPSAC[[#This Row],[Sl. No.]])-1</f>
        <v>125</v>
      </c>
      <c r="B126" s="9" t="s">
        <v>136</v>
      </c>
      <c r="C126" s="9" t="s">
        <v>867</v>
      </c>
      <c r="D126" s="9" t="s">
        <v>138</v>
      </c>
      <c r="E126" s="9" t="s">
        <v>139</v>
      </c>
      <c r="F126" s="9" t="s">
        <v>161</v>
      </c>
      <c r="G126" s="10" t="s">
        <v>184</v>
      </c>
      <c r="H126" s="10" t="str">
        <f>_xlfn.XLOOKUP(C126,'[1]E&amp;DPSAC'!$K:$K,'[1]E&amp;DPSAC'!$E:$E,,0)</f>
        <v>JHARKHAND</v>
      </c>
      <c r="I126" s="10"/>
      <c r="J126" s="10">
        <v>9555053031</v>
      </c>
      <c r="K126" s="10">
        <f>_xlfn.XLOOKUP(C126,'[1]E&amp;DPSAC'!$K:$K,'[1]E&amp;DPSAC'!$G:$G,"",0)</f>
        <v>9555053031</v>
      </c>
      <c r="L126" s="9" t="str">
        <f t="shared" ca="1" si="4"/>
        <v>Non - Warranty</v>
      </c>
      <c r="M126" s="11">
        <v>42814</v>
      </c>
      <c r="N126" s="12">
        <v>24</v>
      </c>
      <c r="O126" s="11">
        <f t="shared" si="5"/>
        <v>43555</v>
      </c>
      <c r="P126" s="8" t="s">
        <v>142</v>
      </c>
      <c r="Q126" s="16" t="s">
        <v>869</v>
      </c>
      <c r="R126" s="15">
        <v>45372.5367708333</v>
      </c>
      <c r="S126" s="14">
        <v>17590</v>
      </c>
      <c r="T126" s="15">
        <v>45372</v>
      </c>
      <c r="U126" s="14">
        <v>17590</v>
      </c>
      <c r="V126" s="14">
        <v>19620</v>
      </c>
      <c r="W126" s="17">
        <v>45964.697916666664</v>
      </c>
      <c r="X126" s="14" t="s">
        <v>2722</v>
      </c>
      <c r="Y126" s="14">
        <v>-1280</v>
      </c>
      <c r="Z126" s="14" t="s">
        <v>2697</v>
      </c>
      <c r="AA126" s="18">
        <v>740.46322916670033</v>
      </c>
      <c r="AB126" s="18" t="s">
        <v>2697</v>
      </c>
      <c r="AC126" s="8">
        <f>tbl_DPSAC[[#This Row],[Current Month Due Count]]</f>
        <v>0</v>
      </c>
      <c r="AD126" s="8">
        <f>tbl_DPSAC[[#This Row],[Next Month Due2]]</f>
        <v>0</v>
      </c>
      <c r="AE126" s="8">
        <f t="shared" si="6"/>
        <v>1</v>
      </c>
      <c r="AF126" s="8">
        <v>4</v>
      </c>
      <c r="AG126" s="14">
        <f t="shared" ca="1" si="7"/>
        <v>20213</v>
      </c>
      <c r="AH126" s="8">
        <v>0</v>
      </c>
      <c r="AI126" s="8">
        <v>0</v>
      </c>
      <c r="AJ126" s="8">
        <v>0</v>
      </c>
      <c r="AK126" s="8">
        <v>0</v>
      </c>
      <c r="AL126" s="8">
        <v>0</v>
      </c>
      <c r="AM126" s="8">
        <v>0</v>
      </c>
      <c r="AN126" s="8">
        <v>0</v>
      </c>
      <c r="AO126" s="8" t="s">
        <v>868</v>
      </c>
      <c r="AP126" s="8">
        <v>0</v>
      </c>
      <c r="AQ126" s="8">
        <v>0</v>
      </c>
      <c r="AR126" s="8">
        <v>0</v>
      </c>
      <c r="AS126" s="8">
        <v>0</v>
      </c>
      <c r="AT126" s="8">
        <v>0</v>
      </c>
      <c r="AU126" s="8">
        <v>0</v>
      </c>
      <c r="AV126" s="8">
        <v>0</v>
      </c>
      <c r="AW126" s="8">
        <v>0</v>
      </c>
      <c r="AX126" s="8" t="s">
        <v>2961</v>
      </c>
      <c r="AY126" s="14">
        <v>17590</v>
      </c>
      <c r="AZ126" s="19">
        <v>45372</v>
      </c>
      <c r="BA126" s="14" t="s">
        <v>869</v>
      </c>
      <c r="BB126" s="14">
        <v>14959</v>
      </c>
      <c r="BC126" s="19">
        <v>44679</v>
      </c>
      <c r="BD126" s="14"/>
      <c r="BE126" s="14">
        <v>17590</v>
      </c>
      <c r="BF126" s="19">
        <v>45372</v>
      </c>
      <c r="BG126" s="14" t="s">
        <v>869</v>
      </c>
      <c r="BH126" s="14">
        <v>17590</v>
      </c>
      <c r="BI126" s="19">
        <v>45372</v>
      </c>
      <c r="BJ126" s="14" t="s">
        <v>869</v>
      </c>
      <c r="BK126" s="14">
        <v>14959</v>
      </c>
      <c r="BL126" s="19">
        <v>44679</v>
      </c>
      <c r="BM126" s="14"/>
      <c r="BN126" s="27">
        <v>45552</v>
      </c>
      <c r="BO126" s="27">
        <v>44859</v>
      </c>
      <c r="BP126" s="27">
        <v>45552</v>
      </c>
      <c r="BQ126" s="27">
        <v>45552</v>
      </c>
      <c r="BR126" s="27">
        <v>45044</v>
      </c>
      <c r="BS126" s="28">
        <v>-1873</v>
      </c>
      <c r="BT126" s="29">
        <v>-3754</v>
      </c>
      <c r="BU126" s="29">
        <v>-1873</v>
      </c>
      <c r="BV126" s="29">
        <v>-1873</v>
      </c>
      <c r="BW126" s="29">
        <v>-3754</v>
      </c>
      <c r="BX126" s="30" t="s">
        <v>384</v>
      </c>
      <c r="BY126" s="8">
        <v>5</v>
      </c>
      <c r="BZ126" s="8">
        <v>0</v>
      </c>
      <c r="CA126" s="8">
        <v>0</v>
      </c>
      <c r="CB126" s="21">
        <v>45371.770833333299</v>
      </c>
      <c r="CC126" s="21">
        <v>45371.770833333299</v>
      </c>
      <c r="CD126" s="21">
        <v>45371.770833333299</v>
      </c>
      <c r="CE126" s="21">
        <v>45371.770833333299</v>
      </c>
      <c r="CF126" s="21">
        <v>45371.770833333299</v>
      </c>
      <c r="CG126" s="21">
        <v>0</v>
      </c>
      <c r="CH126" s="21">
        <v>0</v>
      </c>
      <c r="CI126" s="21">
        <v>0</v>
      </c>
      <c r="CJ126" s="21">
        <v>0</v>
      </c>
      <c r="CK126" s="22" t="s">
        <v>3054</v>
      </c>
      <c r="CL126" s="22" t="s">
        <v>3055</v>
      </c>
      <c r="CM126" s="22" t="s">
        <v>3055</v>
      </c>
      <c r="CN126" s="22" t="s">
        <v>3055</v>
      </c>
      <c r="CO126" s="22" t="s">
        <v>3055</v>
      </c>
      <c r="CP126" s="22" t="s">
        <v>3055</v>
      </c>
      <c r="CQ126" s="22" t="s">
        <v>2953</v>
      </c>
      <c r="CR126" s="22" t="s">
        <v>3055</v>
      </c>
      <c r="CS126" s="22" t="s">
        <v>3055</v>
      </c>
      <c r="CT126" s="22">
        <v>2</v>
      </c>
      <c r="CU126" s="21">
        <v>45551</v>
      </c>
      <c r="CV126" s="21">
        <v>45551</v>
      </c>
      <c r="CW126" s="21">
        <v>45551</v>
      </c>
      <c r="CX126" s="21">
        <v>45551</v>
      </c>
      <c r="CY126" s="21">
        <v>45551</v>
      </c>
      <c r="CZ126" s="21">
        <v>46104</v>
      </c>
      <c r="DA126" s="21">
        <v>46057</v>
      </c>
      <c r="DB126" s="21">
        <v>46034</v>
      </c>
      <c r="DC126" s="21">
        <v>46082</v>
      </c>
      <c r="DD126" s="8">
        <v>1</v>
      </c>
      <c r="DE126" s="8">
        <v>1</v>
      </c>
      <c r="DF126" s="8">
        <v>1</v>
      </c>
      <c r="DG126" s="8">
        <v>9</v>
      </c>
      <c r="DH126" s="8">
        <v>0</v>
      </c>
      <c r="DI126" s="8">
        <v>0</v>
      </c>
      <c r="DJ126" s="8" t="s">
        <v>2954</v>
      </c>
      <c r="DK126" s="21">
        <v>42814</v>
      </c>
      <c r="DL126" s="21">
        <v>42788</v>
      </c>
      <c r="DM126" s="21">
        <v>45964</v>
      </c>
      <c r="DN126" s="18">
        <v>19620</v>
      </c>
      <c r="DO126" s="21">
        <v>0</v>
      </c>
      <c r="DP126" s="21">
        <v>0</v>
      </c>
      <c r="DQ126" s="21" t="s">
        <v>2955</v>
      </c>
      <c r="DR126" s="21">
        <v>45372</v>
      </c>
      <c r="DS126" s="21">
        <v>45372</v>
      </c>
      <c r="DT126" s="21">
        <v>45372</v>
      </c>
      <c r="DU126" s="21">
        <v>45372</v>
      </c>
      <c r="DV126" s="21">
        <v>45372</v>
      </c>
      <c r="DW126" s="21">
        <v>0</v>
      </c>
      <c r="DX126" s="21">
        <v>0</v>
      </c>
      <c r="DY126" s="21">
        <v>0</v>
      </c>
      <c r="DZ126" s="21">
        <v>0</v>
      </c>
      <c r="EA126" s="8">
        <v>180</v>
      </c>
      <c r="EB126" s="8">
        <v>280</v>
      </c>
      <c r="EC126" s="8">
        <v>280</v>
      </c>
      <c r="ED126" s="8">
        <v>280</v>
      </c>
      <c r="EE126" s="8">
        <v>280</v>
      </c>
      <c r="EF126" s="8">
        <v>280</v>
      </c>
      <c r="EG126" s="8">
        <v>1000</v>
      </c>
      <c r="EH126" s="8">
        <v>280</v>
      </c>
      <c r="EI126" s="8">
        <v>280</v>
      </c>
      <c r="EJ126" s="8">
        <v>2</v>
      </c>
      <c r="EK126" s="8" t="s">
        <v>2624</v>
      </c>
      <c r="EL126" s="8">
        <v>148</v>
      </c>
      <c r="EM126" s="8">
        <v>592</v>
      </c>
      <c r="EN126" s="8">
        <v>-108</v>
      </c>
      <c r="EO126" s="8">
        <v>-8</v>
      </c>
      <c r="EP126" s="8">
        <v>-8</v>
      </c>
      <c r="EQ126" s="8">
        <v>-8</v>
      </c>
      <c r="ER126" s="8">
        <v>-8</v>
      </c>
      <c r="ES126" s="8">
        <v>-8</v>
      </c>
      <c r="ET126" s="8">
        <v>712</v>
      </c>
      <c r="EU126" s="8">
        <v>-8</v>
      </c>
      <c r="EV126" s="8">
        <v>-8</v>
      </c>
    </row>
    <row r="127" spans="1:152" x14ac:dyDescent="0.15">
      <c r="A127" s="8">
        <f>ROW([2]!tbl_DPSAC[[#This Row],[Sl. No.]])-1</f>
        <v>126</v>
      </c>
      <c r="B127" s="9" t="s">
        <v>136</v>
      </c>
      <c r="C127" s="9" t="s">
        <v>870</v>
      </c>
      <c r="D127" s="9" t="s">
        <v>146</v>
      </c>
      <c r="E127" s="9" t="s">
        <v>147</v>
      </c>
      <c r="F127" s="9" t="s">
        <v>140</v>
      </c>
      <c r="G127" s="10" t="s">
        <v>871</v>
      </c>
      <c r="H127" s="10" t="str">
        <f>_xlfn.XLOOKUP(C127,'[1]E&amp;DPSAC'!$K:$K,'[1]E&amp;DPSAC'!$E:$E,,0)</f>
        <v>RAMGARH</v>
      </c>
      <c r="I127" s="10"/>
      <c r="J127" s="10">
        <v>7004401831</v>
      </c>
      <c r="K127" s="10">
        <f>_xlfn.XLOOKUP(C127,'[1]E&amp;DPSAC'!$K:$K,'[1]E&amp;DPSAC'!$G:$G,"",0)</f>
        <v>7004401831</v>
      </c>
      <c r="L127" s="9" t="str">
        <f t="shared" ca="1" si="4"/>
        <v>Non - Warranty</v>
      </c>
      <c r="M127" s="11">
        <v>42824</v>
      </c>
      <c r="N127" s="12">
        <v>36</v>
      </c>
      <c r="O127" s="11">
        <f t="shared" si="5"/>
        <v>43921</v>
      </c>
      <c r="P127" s="8" t="s">
        <v>213</v>
      </c>
      <c r="Q127" s="16" t="s">
        <v>873</v>
      </c>
      <c r="R127" s="15">
        <v>45955.683333333334</v>
      </c>
      <c r="S127" s="14">
        <v>11990</v>
      </c>
      <c r="T127" s="15">
        <v>45255</v>
      </c>
      <c r="U127" s="14">
        <v>7192</v>
      </c>
      <c r="V127" s="14">
        <v>12045</v>
      </c>
      <c r="W127" s="17">
        <v>45964.707638888889</v>
      </c>
      <c r="X127" s="14" t="s">
        <v>2766</v>
      </c>
      <c r="Y127" s="14">
        <v>695</v>
      </c>
      <c r="Z127" s="14" t="s">
        <v>2692</v>
      </c>
      <c r="AA127" s="18">
        <v>157.3166666666657</v>
      </c>
      <c r="AB127" s="18" t="s">
        <v>2692</v>
      </c>
      <c r="AC127" s="8">
        <f>tbl_DPSAC[[#This Row],[Current Month Due Count]]</f>
        <v>4</v>
      </c>
      <c r="AD127" s="8">
        <f>tbl_DPSAC[[#This Row],[Next Month Due2]]</f>
        <v>0</v>
      </c>
      <c r="AE127" s="8">
        <f t="shared" si="6"/>
        <v>0</v>
      </c>
      <c r="AF127" s="8">
        <v>7</v>
      </c>
      <c r="AG127" s="14">
        <f t="shared" ca="1" si="7"/>
        <v>13083</v>
      </c>
      <c r="AH127" s="8">
        <v>0</v>
      </c>
      <c r="AI127" s="8">
        <v>0</v>
      </c>
      <c r="AJ127" s="8">
        <v>0</v>
      </c>
      <c r="AK127" s="8">
        <v>0</v>
      </c>
      <c r="AL127" s="8">
        <v>0</v>
      </c>
      <c r="AM127" s="8">
        <v>0</v>
      </c>
      <c r="AN127" s="8">
        <v>0</v>
      </c>
      <c r="AO127" s="8" t="s">
        <v>872</v>
      </c>
      <c r="AP127" s="8">
        <v>0</v>
      </c>
      <c r="AQ127" s="8">
        <v>0</v>
      </c>
      <c r="AR127" s="8">
        <v>0</v>
      </c>
      <c r="AS127" s="8">
        <v>0</v>
      </c>
      <c r="AT127" s="8">
        <v>0</v>
      </c>
      <c r="AU127" s="8">
        <v>0</v>
      </c>
      <c r="AV127" s="8">
        <v>0</v>
      </c>
      <c r="AW127" s="8">
        <v>0</v>
      </c>
      <c r="AX127" s="8" t="s">
        <v>2980</v>
      </c>
      <c r="AY127" s="14">
        <v>11990</v>
      </c>
      <c r="AZ127" s="19">
        <v>45955</v>
      </c>
      <c r="BA127" s="14" t="s">
        <v>873</v>
      </c>
      <c r="BB127" s="14">
        <v>11990</v>
      </c>
      <c r="BC127" s="19">
        <v>45955</v>
      </c>
      <c r="BD127" s="14" t="s">
        <v>873</v>
      </c>
      <c r="BE127" s="14">
        <v>11990</v>
      </c>
      <c r="BF127" s="19">
        <v>45955</v>
      </c>
      <c r="BG127" s="14" t="s">
        <v>873</v>
      </c>
      <c r="BH127" s="14">
        <v>11990</v>
      </c>
      <c r="BI127" s="19">
        <v>45955</v>
      </c>
      <c r="BJ127" s="14" t="s">
        <v>873</v>
      </c>
      <c r="BK127" s="14">
        <v>11990</v>
      </c>
      <c r="BL127" s="19">
        <v>45955</v>
      </c>
      <c r="BM127" s="14" t="s">
        <v>873</v>
      </c>
      <c r="BN127" s="27">
        <v>46135</v>
      </c>
      <c r="BO127" s="27">
        <v>46135</v>
      </c>
      <c r="BP127" s="27">
        <v>46135</v>
      </c>
      <c r="BQ127" s="27">
        <v>46135</v>
      </c>
      <c r="BR127" s="27">
        <v>46320</v>
      </c>
      <c r="BS127" s="28">
        <v>-343</v>
      </c>
      <c r="BT127" s="29">
        <v>407</v>
      </c>
      <c r="BU127" s="29">
        <v>-343</v>
      </c>
      <c r="BV127" s="29">
        <v>-343</v>
      </c>
      <c r="BW127" s="29">
        <v>407</v>
      </c>
      <c r="BX127" s="30" t="s">
        <v>152</v>
      </c>
      <c r="BY127" s="8">
        <v>0</v>
      </c>
      <c r="BZ127" s="8">
        <v>4</v>
      </c>
      <c r="CA127" s="8">
        <v>0</v>
      </c>
      <c r="CB127" s="21">
        <v>45954.770833333299</v>
      </c>
      <c r="CC127" s="21">
        <v>45954.770833333299</v>
      </c>
      <c r="CD127" s="21">
        <v>45954.770833333299</v>
      </c>
      <c r="CE127" s="21">
        <v>45954.770833333299</v>
      </c>
      <c r="CF127" s="21">
        <v>45954.770833333299</v>
      </c>
      <c r="CG127" s="21">
        <v>45954.770833333299</v>
      </c>
      <c r="CH127" s="21">
        <v>45954.770833333299</v>
      </c>
      <c r="CI127" s="21">
        <v>45954.770833333299</v>
      </c>
      <c r="CJ127" s="21">
        <v>45954.770833333299</v>
      </c>
      <c r="CK127" s="22" t="s">
        <v>3042</v>
      </c>
      <c r="CL127" s="22" t="s">
        <v>3042</v>
      </c>
      <c r="CM127" s="22" t="s">
        <v>3042</v>
      </c>
      <c r="CN127" s="22" t="s">
        <v>3042</v>
      </c>
      <c r="CO127" s="22" t="s">
        <v>3042</v>
      </c>
      <c r="CP127" s="22" t="s">
        <v>3056</v>
      </c>
      <c r="CQ127" s="22" t="s">
        <v>2953</v>
      </c>
      <c r="CR127" s="22" t="s">
        <v>3056</v>
      </c>
      <c r="CS127" s="22" t="s">
        <v>3056</v>
      </c>
      <c r="CT127" s="22">
        <v>4</v>
      </c>
      <c r="CU127" s="21">
        <v>46134</v>
      </c>
      <c r="CV127" s="21">
        <v>46134</v>
      </c>
      <c r="CW127" s="21">
        <v>46134</v>
      </c>
      <c r="CX127" s="21">
        <v>46134</v>
      </c>
      <c r="CY127" s="21">
        <v>46134</v>
      </c>
      <c r="CZ127" s="21">
        <v>46224</v>
      </c>
      <c r="DA127" s="21">
        <v>46214</v>
      </c>
      <c r="DB127" s="21">
        <v>46134</v>
      </c>
      <c r="DC127" s="21">
        <v>46319</v>
      </c>
      <c r="DD127" s="8">
        <v>0</v>
      </c>
      <c r="DE127" s="8">
        <v>0</v>
      </c>
      <c r="DF127" s="8">
        <v>0</v>
      </c>
      <c r="DG127" s="8">
        <v>0</v>
      </c>
      <c r="DH127" s="8">
        <v>6</v>
      </c>
      <c r="DI127" s="8">
        <v>0</v>
      </c>
      <c r="DJ127" s="8" t="s">
        <v>2976</v>
      </c>
      <c r="DK127" s="21">
        <v>42824</v>
      </c>
      <c r="DL127" s="21">
        <v>42762</v>
      </c>
      <c r="DM127" s="21">
        <v>45964</v>
      </c>
      <c r="DN127" s="18">
        <v>12045</v>
      </c>
      <c r="DO127" s="21">
        <v>0</v>
      </c>
      <c r="DP127" s="21">
        <v>0</v>
      </c>
      <c r="DQ127" s="21" t="s">
        <v>2955</v>
      </c>
      <c r="DR127" s="21">
        <v>45955</v>
      </c>
      <c r="DS127" s="21">
        <v>45955</v>
      </c>
      <c r="DT127" s="21">
        <v>45955</v>
      </c>
      <c r="DU127" s="21">
        <v>45955</v>
      </c>
      <c r="DV127" s="21">
        <v>45955</v>
      </c>
      <c r="DW127" s="21">
        <v>45955</v>
      </c>
      <c r="DX127" s="21">
        <v>45955</v>
      </c>
      <c r="DY127" s="21">
        <v>45955</v>
      </c>
      <c r="DZ127" s="21">
        <v>45955</v>
      </c>
      <c r="EA127" s="8">
        <v>690</v>
      </c>
      <c r="EB127" s="8">
        <v>690</v>
      </c>
      <c r="EC127" s="8">
        <v>690</v>
      </c>
      <c r="ED127" s="8">
        <v>690</v>
      </c>
      <c r="EE127" s="8">
        <v>690</v>
      </c>
      <c r="EF127" s="8">
        <v>1440</v>
      </c>
      <c r="EG127" s="8">
        <v>1000</v>
      </c>
      <c r="EH127" s="8">
        <v>1440</v>
      </c>
      <c r="EI127" s="8">
        <v>1440</v>
      </c>
      <c r="EJ127" s="8">
        <v>4</v>
      </c>
      <c r="EK127" s="8" t="s">
        <v>2624</v>
      </c>
      <c r="EL127" s="8">
        <v>148</v>
      </c>
      <c r="EM127" s="8">
        <v>1036</v>
      </c>
      <c r="EN127" s="8">
        <v>402</v>
      </c>
      <c r="EO127" s="8">
        <v>402</v>
      </c>
      <c r="EP127" s="8">
        <v>402</v>
      </c>
      <c r="EQ127" s="8">
        <v>402</v>
      </c>
      <c r="ER127" s="8">
        <v>402</v>
      </c>
      <c r="ES127" s="8">
        <v>1152</v>
      </c>
      <c r="ET127" s="8">
        <v>712</v>
      </c>
      <c r="EU127" s="8">
        <v>1152</v>
      </c>
      <c r="EV127" s="8">
        <v>1152</v>
      </c>
    </row>
    <row r="128" spans="1:152" x14ac:dyDescent="0.15">
      <c r="A128" s="8">
        <f>ROW([2]!tbl_DPSAC[[#This Row],[Sl. No.]])-1</f>
        <v>127</v>
      </c>
      <c r="B128" s="9" t="s">
        <v>136</v>
      </c>
      <c r="C128" s="9" t="s">
        <v>874</v>
      </c>
      <c r="D128" s="9" t="s">
        <v>198</v>
      </c>
      <c r="E128" s="9" t="s">
        <v>199</v>
      </c>
      <c r="F128" s="9" t="s">
        <v>161</v>
      </c>
      <c r="G128" s="10" t="s">
        <v>410</v>
      </c>
      <c r="H128" s="10" t="str">
        <f>_xlfn.XLOOKUP(C128,'[1]E&amp;DPSAC'!$K:$K,'[1]E&amp;DPSAC'!$E:$E,,0)</f>
        <v>Chattar Mandu gola, Ramghar</v>
      </c>
      <c r="I128" s="10" t="s">
        <v>875</v>
      </c>
      <c r="J128" s="10">
        <v>7355300437</v>
      </c>
      <c r="K128" s="10">
        <f>_xlfn.XLOOKUP(C128,'[1]E&amp;DPSAC'!$K:$K,'[1]E&amp;DPSAC'!$G:$G,"",0)</f>
        <v>7355300437</v>
      </c>
      <c r="L128" s="9" t="str">
        <f t="shared" ca="1" si="4"/>
        <v>Non - Warranty</v>
      </c>
      <c r="M128" s="11">
        <v>43540</v>
      </c>
      <c r="N128" s="12">
        <v>24</v>
      </c>
      <c r="O128" s="11">
        <f t="shared" si="5"/>
        <v>44286</v>
      </c>
      <c r="P128" s="8" t="s">
        <v>681</v>
      </c>
      <c r="Q128" s="16" t="s">
        <v>143</v>
      </c>
      <c r="R128" s="15" t="s">
        <v>143</v>
      </c>
      <c r="S128" s="14" t="s">
        <v>143</v>
      </c>
      <c r="T128" s="15">
        <v>43559</v>
      </c>
      <c r="U128" s="14">
        <v>17</v>
      </c>
      <c r="V128" s="14">
        <v>2100</v>
      </c>
      <c r="W128" s="17">
        <v>46041.694988425901</v>
      </c>
      <c r="X128" s="14" t="s">
        <v>143</v>
      </c>
      <c r="Y128" s="14">
        <v>0</v>
      </c>
      <c r="Z128" s="14" t="s">
        <v>2692</v>
      </c>
      <c r="AA128" s="18">
        <v>2573</v>
      </c>
      <c r="AB128" s="18" t="s">
        <v>2697</v>
      </c>
      <c r="AC128" s="8">
        <f>tbl_DPSAC[[#This Row],[Current Month Due Count]]</f>
        <v>0</v>
      </c>
      <c r="AD128" s="8">
        <f>tbl_DPSAC[[#This Row],[Next Month Due2]]</f>
        <v>0</v>
      </c>
      <c r="AE128" s="8">
        <f t="shared" si="6"/>
        <v>1</v>
      </c>
      <c r="AF128" s="8">
        <v>0</v>
      </c>
      <c r="AG128" s="14">
        <f t="shared" ca="1" si="7"/>
        <v>2100</v>
      </c>
      <c r="AH128" s="8">
        <v>0</v>
      </c>
      <c r="AI128" s="8">
        <v>0</v>
      </c>
      <c r="AJ128" s="8">
        <v>0</v>
      </c>
      <c r="AK128" s="8">
        <v>0</v>
      </c>
      <c r="AL128" s="8">
        <v>0</v>
      </c>
      <c r="AM128" s="8">
        <v>0</v>
      </c>
      <c r="AN128" s="8">
        <v>0</v>
      </c>
      <c r="AO128" s="8">
        <v>0</v>
      </c>
      <c r="AP128" s="8">
        <v>0</v>
      </c>
      <c r="AQ128" s="8">
        <v>0</v>
      </c>
      <c r="AR128" s="8">
        <v>0</v>
      </c>
      <c r="AS128" s="8">
        <v>0</v>
      </c>
      <c r="AT128" s="8">
        <v>0</v>
      </c>
      <c r="AU128" s="8">
        <v>0</v>
      </c>
      <c r="AV128" s="8">
        <v>0</v>
      </c>
      <c r="AW128" s="8">
        <v>0</v>
      </c>
      <c r="AX128" s="8" t="s">
        <v>2007</v>
      </c>
      <c r="AY128" s="14">
        <v>1780</v>
      </c>
      <c r="AZ128" s="19">
        <v>44483</v>
      </c>
      <c r="BA128" s="14"/>
      <c r="BB128" s="14">
        <v>1780</v>
      </c>
      <c r="BC128" s="19">
        <v>44483</v>
      </c>
      <c r="BD128" s="14"/>
      <c r="BE128" s="14">
        <v>1780</v>
      </c>
      <c r="BF128" s="19">
        <v>44483</v>
      </c>
      <c r="BG128" s="14"/>
      <c r="BH128" s="14">
        <v>1780</v>
      </c>
      <c r="BI128" s="19">
        <v>44483</v>
      </c>
      <c r="BJ128" s="14"/>
      <c r="BK128" s="14">
        <v>1780</v>
      </c>
      <c r="BL128" s="19">
        <v>44483</v>
      </c>
      <c r="BM128" s="14"/>
      <c r="BN128" s="27">
        <v>44663</v>
      </c>
      <c r="BO128" s="27">
        <v>44663</v>
      </c>
      <c r="BP128" s="27">
        <v>44663</v>
      </c>
      <c r="BQ128" s="27">
        <v>44663</v>
      </c>
      <c r="BR128" s="27">
        <v>44848</v>
      </c>
      <c r="BS128" s="28">
        <v>430</v>
      </c>
      <c r="BT128" s="29">
        <v>1180</v>
      </c>
      <c r="BU128" s="29">
        <v>430</v>
      </c>
      <c r="BV128" s="29">
        <v>430</v>
      </c>
      <c r="BW128" s="29">
        <v>1180</v>
      </c>
      <c r="BX128" s="30" t="s">
        <v>416</v>
      </c>
      <c r="BY128" s="8">
        <v>5</v>
      </c>
      <c r="BZ128" s="8">
        <v>0</v>
      </c>
      <c r="CA128" s="8">
        <v>0</v>
      </c>
      <c r="CB128" s="21">
        <v>0</v>
      </c>
      <c r="CC128" s="21">
        <v>0</v>
      </c>
      <c r="CD128" s="21">
        <v>0</v>
      </c>
      <c r="CE128" s="21">
        <v>0</v>
      </c>
      <c r="CF128" s="21">
        <v>0</v>
      </c>
      <c r="CG128" s="21">
        <v>0</v>
      </c>
      <c r="CH128" s="21">
        <v>0</v>
      </c>
      <c r="CI128" s="21">
        <v>0</v>
      </c>
      <c r="CJ128" s="21">
        <v>0</v>
      </c>
      <c r="CK128" s="22" t="s">
        <v>3057</v>
      </c>
      <c r="CL128" s="22" t="s">
        <v>3013</v>
      </c>
      <c r="CM128" s="22" t="s">
        <v>3013</v>
      </c>
      <c r="CN128" s="22" t="s">
        <v>3013</v>
      </c>
      <c r="CO128" s="22" t="s">
        <v>3013</v>
      </c>
      <c r="CP128" s="22" t="s">
        <v>3057</v>
      </c>
      <c r="CQ128" s="22" t="s">
        <v>2953</v>
      </c>
      <c r="CR128" s="22" t="s">
        <v>3057</v>
      </c>
      <c r="CS128" s="22" t="s">
        <v>3057</v>
      </c>
      <c r="CT128" s="22">
        <v>4</v>
      </c>
      <c r="CU128" s="21">
        <v>46260</v>
      </c>
      <c r="CV128" s="21">
        <v>46148</v>
      </c>
      <c r="CW128" s="21">
        <v>46148</v>
      </c>
      <c r="CX128" s="21">
        <v>46148</v>
      </c>
      <c r="CY128" s="21">
        <v>46148</v>
      </c>
      <c r="CZ128" s="21">
        <v>46282</v>
      </c>
      <c r="DA128" s="21">
        <v>46134</v>
      </c>
      <c r="DB128" s="21">
        <v>46192</v>
      </c>
      <c r="DC128" s="21">
        <v>46241</v>
      </c>
      <c r="DD128" s="8">
        <v>0</v>
      </c>
      <c r="DE128" s="8">
        <v>0</v>
      </c>
      <c r="DF128" s="8">
        <v>0</v>
      </c>
      <c r="DG128" s="8">
        <v>0</v>
      </c>
      <c r="DH128" s="8">
        <v>1</v>
      </c>
      <c r="DI128" s="8">
        <v>4</v>
      </c>
      <c r="DJ128" s="8" t="s">
        <v>3025</v>
      </c>
      <c r="DK128" s="21">
        <v>43540</v>
      </c>
      <c r="DL128" s="21">
        <v>43515.229166666664</v>
      </c>
      <c r="DM128" s="21">
        <v>46041</v>
      </c>
      <c r="DN128" s="18">
        <v>2100</v>
      </c>
      <c r="DO128" s="21">
        <v>0</v>
      </c>
      <c r="DP128" s="21">
        <v>0</v>
      </c>
      <c r="DQ128" s="21">
        <v>0</v>
      </c>
      <c r="DR128" s="21">
        <v>0</v>
      </c>
      <c r="DS128" s="21">
        <v>0</v>
      </c>
      <c r="DT128" s="21">
        <v>0</v>
      </c>
      <c r="DU128" s="21">
        <v>0</v>
      </c>
      <c r="DV128" s="21">
        <v>0</v>
      </c>
      <c r="DW128" s="21">
        <v>0</v>
      </c>
      <c r="DX128" s="21">
        <v>0</v>
      </c>
      <c r="DY128" s="21">
        <v>0</v>
      </c>
      <c r="DZ128" s="21">
        <v>0</v>
      </c>
      <c r="EA128" s="8">
        <v>1180</v>
      </c>
      <c r="EB128" s="8">
        <v>430</v>
      </c>
      <c r="EC128" s="8">
        <v>430</v>
      </c>
      <c r="ED128" s="8">
        <v>430</v>
      </c>
      <c r="EE128" s="8">
        <v>430</v>
      </c>
      <c r="EF128" s="8">
        <v>1180</v>
      </c>
      <c r="EG128" s="8">
        <v>1000</v>
      </c>
      <c r="EH128" s="8">
        <v>1180</v>
      </c>
      <c r="EI128" s="8">
        <v>1180</v>
      </c>
      <c r="EJ128" s="8">
        <v>4</v>
      </c>
      <c r="EK128" s="8" t="s">
        <v>2624</v>
      </c>
      <c r="EL128" s="8">
        <v>71</v>
      </c>
      <c r="EM128" s="8">
        <v>0</v>
      </c>
      <c r="EN128" s="8">
        <v>892</v>
      </c>
      <c r="EO128" s="8">
        <v>142</v>
      </c>
      <c r="EP128" s="8">
        <v>142</v>
      </c>
      <c r="EQ128" s="8">
        <v>142</v>
      </c>
      <c r="ER128" s="8">
        <v>142</v>
      </c>
      <c r="ES128" s="8">
        <v>892</v>
      </c>
      <c r="ET128" s="8">
        <v>712</v>
      </c>
      <c r="EU128" s="8">
        <v>892</v>
      </c>
      <c r="EV128" s="8">
        <v>892</v>
      </c>
    </row>
    <row r="129" spans="1:152" x14ac:dyDescent="0.15">
      <c r="A129" s="8">
        <f>ROW([2]!tbl_DPSAC[[#This Row],[Sl. No.]])-1</f>
        <v>128</v>
      </c>
      <c r="B129" s="9" t="s">
        <v>136</v>
      </c>
      <c r="C129" s="9" t="s">
        <v>876</v>
      </c>
      <c r="D129" s="9" t="s">
        <v>198</v>
      </c>
      <c r="E129" s="9" t="s">
        <v>199</v>
      </c>
      <c r="F129" s="9" t="s">
        <v>161</v>
      </c>
      <c r="G129" s="10" t="s">
        <v>410</v>
      </c>
      <c r="H129" s="10" t="e">
        <f>_xlfn.XLOOKUP(C129,'[1]E&amp;DPSAC'!$K:$K,'[1]E&amp;DPSAC'!$E:$E,,0)</f>
        <v>#N/A</v>
      </c>
      <c r="I129" s="10" t="s">
        <v>875</v>
      </c>
      <c r="J129" s="10">
        <v>8102113860</v>
      </c>
      <c r="K129" s="10" t="str">
        <f>_xlfn.XLOOKUP(C129,'[1]E&amp;DPSAC'!$K:$K,'[1]E&amp;DPSAC'!$G:$G,"",0)</f>
        <v/>
      </c>
      <c r="L129" s="9" t="str">
        <f t="shared" ca="1" si="4"/>
        <v>Non - Warranty</v>
      </c>
      <c r="M129" s="11">
        <v>43529</v>
      </c>
      <c r="N129" s="12">
        <v>24</v>
      </c>
      <c r="O129" s="11">
        <f t="shared" si="5"/>
        <v>44286</v>
      </c>
      <c r="P129" s="8" t="s">
        <v>157</v>
      </c>
      <c r="Q129" s="16" t="s">
        <v>143</v>
      </c>
      <c r="R129" s="15" t="s">
        <v>143</v>
      </c>
      <c r="S129" s="14" t="s">
        <v>143</v>
      </c>
      <c r="T129" s="15" t="s">
        <v>143</v>
      </c>
      <c r="U129" s="14" t="s">
        <v>143</v>
      </c>
      <c r="V129" s="14">
        <v>450</v>
      </c>
      <c r="W129" s="17">
        <v>45402.636597222197</v>
      </c>
      <c r="X129" s="14" t="s">
        <v>143</v>
      </c>
      <c r="Y129" s="14">
        <v>0</v>
      </c>
      <c r="Z129" s="14" t="s">
        <v>2692</v>
      </c>
      <c r="AA129" s="18">
        <v>2584</v>
      </c>
      <c r="AB129" s="18" t="s">
        <v>2697</v>
      </c>
      <c r="AC129" s="8">
        <f>tbl_DPSAC[[#This Row],[Current Month Due Count]]</f>
        <v>0</v>
      </c>
      <c r="AD129" s="8">
        <f>tbl_DPSAC[[#This Row],[Next Month Due2]]</f>
        <v>0</v>
      </c>
      <c r="AE129" s="8">
        <f t="shared" si="6"/>
        <v>1</v>
      </c>
      <c r="AF129" s="8">
        <v>0</v>
      </c>
      <c r="AG129" s="14">
        <f t="shared" ca="1" si="7"/>
        <v>450</v>
      </c>
      <c r="AH129" s="8">
        <v>0</v>
      </c>
      <c r="AI129" s="8">
        <v>0</v>
      </c>
      <c r="AJ129" s="8">
        <v>0</v>
      </c>
      <c r="AK129" s="8">
        <v>0</v>
      </c>
      <c r="AL129" s="8">
        <v>0</v>
      </c>
      <c r="AM129" s="8">
        <v>0</v>
      </c>
      <c r="AN129" s="8">
        <v>0</v>
      </c>
      <c r="AO129" s="8">
        <v>0</v>
      </c>
      <c r="AP129" s="8">
        <v>0</v>
      </c>
      <c r="AQ129" s="8">
        <v>0</v>
      </c>
      <c r="AR129" s="8">
        <v>0</v>
      </c>
      <c r="AS129" s="8">
        <v>0</v>
      </c>
      <c r="AT129" s="8">
        <v>0</v>
      </c>
      <c r="AU129" s="8">
        <v>0</v>
      </c>
      <c r="AV129" s="8">
        <v>0</v>
      </c>
      <c r="AW129" s="8">
        <v>0</v>
      </c>
      <c r="AX129" s="8" t="s">
        <v>2007</v>
      </c>
      <c r="AY129" s="14">
        <v>314</v>
      </c>
      <c r="AZ129" s="19">
        <v>44360</v>
      </c>
      <c r="BA129" s="14"/>
      <c r="BB129" s="14">
        <v>314</v>
      </c>
      <c r="BC129" s="19">
        <v>44360</v>
      </c>
      <c r="BD129" s="14"/>
      <c r="BE129" s="14">
        <v>314</v>
      </c>
      <c r="BF129" s="19">
        <v>44360</v>
      </c>
      <c r="BG129" s="14"/>
      <c r="BH129" s="14">
        <v>314</v>
      </c>
      <c r="BI129" s="19">
        <v>44360</v>
      </c>
      <c r="BJ129" s="14"/>
      <c r="BK129" s="14">
        <v>314</v>
      </c>
      <c r="BL129" s="19">
        <v>44360</v>
      </c>
      <c r="BM129" s="14"/>
      <c r="BN129" s="27">
        <v>44540</v>
      </c>
      <c r="BO129" s="27">
        <v>44540</v>
      </c>
      <c r="BP129" s="27">
        <v>44540</v>
      </c>
      <c r="BQ129" s="27">
        <v>44540</v>
      </c>
      <c r="BR129" s="27">
        <v>44725</v>
      </c>
      <c r="BS129" s="28">
        <v>614</v>
      </c>
      <c r="BT129" s="29">
        <v>1364</v>
      </c>
      <c r="BU129" s="29">
        <v>614</v>
      </c>
      <c r="BV129" s="29">
        <v>614</v>
      </c>
      <c r="BW129" s="29">
        <v>1364</v>
      </c>
      <c r="BX129" s="30" t="s">
        <v>416</v>
      </c>
      <c r="BY129" s="8">
        <v>5</v>
      </c>
      <c r="BZ129" s="8">
        <v>0</v>
      </c>
      <c r="CA129" s="8">
        <v>0</v>
      </c>
      <c r="CB129" s="21" t="s">
        <v>143</v>
      </c>
      <c r="CC129" s="21" t="s">
        <v>143</v>
      </c>
      <c r="CD129" s="21" t="s">
        <v>143</v>
      </c>
      <c r="CE129" s="21" t="s">
        <v>143</v>
      </c>
      <c r="CF129" s="21" t="s">
        <v>143</v>
      </c>
      <c r="CG129" s="21" t="s">
        <v>143</v>
      </c>
      <c r="CH129" s="21" t="s">
        <v>143</v>
      </c>
      <c r="CI129" s="21" t="s">
        <v>143</v>
      </c>
      <c r="CJ129" s="21" t="s">
        <v>143</v>
      </c>
      <c r="CK129" s="22" t="s">
        <v>143</v>
      </c>
      <c r="CL129" s="22" t="s">
        <v>143</v>
      </c>
      <c r="CM129" s="22" t="s">
        <v>143</v>
      </c>
      <c r="CN129" s="22" t="s">
        <v>143</v>
      </c>
      <c r="CO129" s="22" t="s">
        <v>143</v>
      </c>
      <c r="CP129" s="22" t="s">
        <v>143</v>
      </c>
      <c r="CQ129" s="22" t="s">
        <v>143</v>
      </c>
      <c r="CR129" s="22" t="s">
        <v>143</v>
      </c>
      <c r="CS129" s="22" t="s">
        <v>143</v>
      </c>
      <c r="CT129" s="22" t="s">
        <v>143</v>
      </c>
      <c r="CU129" s="21" t="s">
        <v>143</v>
      </c>
      <c r="CV129" s="21" t="s">
        <v>143</v>
      </c>
      <c r="CW129" s="21" t="s">
        <v>143</v>
      </c>
      <c r="CX129" s="21" t="s">
        <v>143</v>
      </c>
      <c r="CY129" s="21" t="s">
        <v>143</v>
      </c>
      <c r="CZ129" s="21" t="s">
        <v>143</v>
      </c>
      <c r="DA129" s="21" t="s">
        <v>143</v>
      </c>
      <c r="DB129" s="21" t="s">
        <v>143</v>
      </c>
      <c r="DC129" s="21" t="s">
        <v>143</v>
      </c>
      <c r="DD129" s="8" t="s">
        <v>143</v>
      </c>
      <c r="DE129" s="8" t="s">
        <v>143</v>
      </c>
      <c r="DF129" s="8" t="s">
        <v>143</v>
      </c>
      <c r="DG129" s="8">
        <v>0</v>
      </c>
      <c r="DH129" s="8">
        <v>0</v>
      </c>
      <c r="DI129" s="8">
        <v>0</v>
      </c>
      <c r="DJ129" s="8" t="s">
        <v>143</v>
      </c>
      <c r="DK129" s="21" t="s">
        <v>143</v>
      </c>
      <c r="DL129" s="21" t="s">
        <v>143</v>
      </c>
      <c r="DM129" s="21" t="s">
        <v>143</v>
      </c>
      <c r="DN129" s="18" t="s">
        <v>143</v>
      </c>
      <c r="DO129" s="21" t="s">
        <v>143</v>
      </c>
      <c r="DP129" s="21" t="s">
        <v>143</v>
      </c>
      <c r="DQ129" s="21" t="s">
        <v>143</v>
      </c>
      <c r="DR129" s="21" t="s">
        <v>143</v>
      </c>
      <c r="DS129" s="21" t="s">
        <v>143</v>
      </c>
      <c r="DT129" s="21" t="s">
        <v>143</v>
      </c>
      <c r="DU129" s="21" t="s">
        <v>143</v>
      </c>
      <c r="DV129" s="21" t="s">
        <v>143</v>
      </c>
      <c r="DW129" s="21" t="s">
        <v>143</v>
      </c>
      <c r="DX129" s="21" t="s">
        <v>143</v>
      </c>
      <c r="DY129" s="21" t="s">
        <v>143</v>
      </c>
      <c r="DZ129" s="21" t="s">
        <v>143</v>
      </c>
      <c r="EA129" s="8" t="s">
        <v>143</v>
      </c>
      <c r="EB129" s="8" t="s">
        <v>143</v>
      </c>
      <c r="EC129" s="8" t="s">
        <v>143</v>
      </c>
      <c r="ED129" s="8" t="s">
        <v>143</v>
      </c>
      <c r="EE129" s="8" t="s">
        <v>143</v>
      </c>
      <c r="EF129" s="8" t="s">
        <v>143</v>
      </c>
      <c r="EG129" s="8" t="s">
        <v>143</v>
      </c>
      <c r="EH129" s="8" t="s">
        <v>143</v>
      </c>
      <c r="EI129" s="8" t="s">
        <v>143</v>
      </c>
      <c r="EJ129" s="8" t="s">
        <v>143</v>
      </c>
      <c r="EK129" s="8" t="s">
        <v>157</v>
      </c>
      <c r="EL129" s="8">
        <v>710</v>
      </c>
      <c r="EM129" s="8">
        <v>0</v>
      </c>
      <c r="EN129" s="8" t="s">
        <v>143</v>
      </c>
      <c r="EO129" s="8" t="s">
        <v>143</v>
      </c>
      <c r="EP129" s="8" t="s">
        <v>143</v>
      </c>
      <c r="EQ129" s="8" t="s">
        <v>143</v>
      </c>
      <c r="ER129" s="8" t="s">
        <v>143</v>
      </c>
      <c r="ES129" s="8" t="s">
        <v>143</v>
      </c>
      <c r="ET129" s="8" t="s">
        <v>143</v>
      </c>
      <c r="EU129" s="8" t="s">
        <v>143</v>
      </c>
      <c r="EV129" s="8" t="s">
        <v>143</v>
      </c>
    </row>
    <row r="130" spans="1:152" x14ac:dyDescent="0.15">
      <c r="A130" s="8">
        <f>ROW([2]!tbl_DPSAC[[#This Row],[Sl. No.]])-1</f>
        <v>129</v>
      </c>
      <c r="B130" s="9" t="s">
        <v>136</v>
      </c>
      <c r="C130" s="9" t="s">
        <v>877</v>
      </c>
      <c r="D130" s="9" t="s">
        <v>198</v>
      </c>
      <c r="E130" s="9" t="s">
        <v>199</v>
      </c>
      <c r="F130" s="9" t="s">
        <v>161</v>
      </c>
      <c r="G130" s="10" t="s">
        <v>410</v>
      </c>
      <c r="H130" s="10" t="e">
        <f>_xlfn.XLOOKUP(C130,'[1]E&amp;DPSAC'!$K:$K,'[1]E&amp;DPSAC'!$E:$E,,0)</f>
        <v>#N/A</v>
      </c>
      <c r="I130" s="10" t="s">
        <v>875</v>
      </c>
      <c r="J130" s="10">
        <v>8102113860</v>
      </c>
      <c r="K130" s="10" t="str">
        <f>_xlfn.XLOOKUP(C130,'[1]E&amp;DPSAC'!$K:$K,'[1]E&amp;DPSAC'!$G:$G,"",0)</f>
        <v/>
      </c>
      <c r="L130" s="9" t="str">
        <f t="shared" ref="L130:L193" ca="1" si="8">IF(O130&gt;=TODAY(),"Warranty","Non - Warranty")</f>
        <v>Non - Warranty</v>
      </c>
      <c r="M130" s="11">
        <v>43529</v>
      </c>
      <c r="N130" s="12">
        <v>24</v>
      </c>
      <c r="O130" s="11">
        <f t="shared" ref="O130:O193" si="9">EOMONTH(DATE(YEAR(M130)+SUM(N130/12),MONTH(M130),DAY(M130))-1,0)</f>
        <v>44286</v>
      </c>
      <c r="P130" s="8" t="s">
        <v>681</v>
      </c>
      <c r="Q130" s="16" t="s">
        <v>143</v>
      </c>
      <c r="R130" s="15" t="s">
        <v>143</v>
      </c>
      <c r="S130" s="14" t="s">
        <v>143</v>
      </c>
      <c r="T130" s="15" t="s">
        <v>143</v>
      </c>
      <c r="U130" s="14" t="s">
        <v>143</v>
      </c>
      <c r="V130" s="14">
        <v>152</v>
      </c>
      <c r="W130" s="17">
        <v>46041.698159722197</v>
      </c>
      <c r="X130" s="14" t="s">
        <v>143</v>
      </c>
      <c r="Y130" s="14">
        <v>0</v>
      </c>
      <c r="Z130" s="14" t="s">
        <v>2692</v>
      </c>
      <c r="AA130" s="18">
        <v>2584</v>
      </c>
      <c r="AB130" s="18" t="s">
        <v>2697</v>
      </c>
      <c r="AC130" s="8">
        <f>tbl_DPSAC[[#This Row],[Current Month Due Count]]</f>
        <v>0</v>
      </c>
      <c r="AD130" s="8">
        <f>tbl_DPSAC[[#This Row],[Next Month Due2]]</f>
        <v>0</v>
      </c>
      <c r="AE130" s="8">
        <f t="shared" ref="AE130:AE193" si="10">IF(AB130="Due",1,0)</f>
        <v>1</v>
      </c>
      <c r="AF130" s="8">
        <v>0</v>
      </c>
      <c r="AG130" s="14">
        <f t="shared" ref="AG130:AG193" ca="1" si="11">IFERROR(IF(V130&gt;=1,ROUND(SUM(SUM(TODAY()-W130)*AF130)+V130,0),""),"")</f>
        <v>152</v>
      </c>
      <c r="AH130" s="8">
        <v>0</v>
      </c>
      <c r="AI130" s="8">
        <v>0</v>
      </c>
      <c r="AJ130" s="8">
        <v>0</v>
      </c>
      <c r="AK130" s="8">
        <v>0</v>
      </c>
      <c r="AL130" s="8">
        <v>0</v>
      </c>
      <c r="AM130" s="8">
        <v>0</v>
      </c>
      <c r="AN130" s="8">
        <v>0</v>
      </c>
      <c r="AO130" s="8">
        <v>0</v>
      </c>
      <c r="AP130" s="8">
        <v>0</v>
      </c>
      <c r="AQ130" s="8">
        <v>0</v>
      </c>
      <c r="AR130" s="8">
        <v>0</v>
      </c>
      <c r="AS130" s="8">
        <v>0</v>
      </c>
      <c r="AT130" s="8">
        <v>0</v>
      </c>
      <c r="AU130" s="8">
        <v>0</v>
      </c>
      <c r="AV130" s="8">
        <v>0</v>
      </c>
      <c r="AW130" s="8">
        <v>0</v>
      </c>
      <c r="AX130" s="8" t="s">
        <v>2007</v>
      </c>
      <c r="AY130" s="14">
        <v>100</v>
      </c>
      <c r="AZ130" s="19">
        <v>44349</v>
      </c>
      <c r="BA130" s="14"/>
      <c r="BB130" s="14">
        <v>100</v>
      </c>
      <c r="BC130" s="19">
        <v>44349</v>
      </c>
      <c r="BD130" s="14"/>
      <c r="BE130" s="14">
        <v>100</v>
      </c>
      <c r="BF130" s="19">
        <v>44349</v>
      </c>
      <c r="BG130" s="14"/>
      <c r="BH130" s="14">
        <v>100</v>
      </c>
      <c r="BI130" s="19">
        <v>44349</v>
      </c>
      <c r="BJ130" s="14"/>
      <c r="BK130" s="14">
        <v>100</v>
      </c>
      <c r="BL130" s="19">
        <v>44349</v>
      </c>
      <c r="BM130" s="14"/>
      <c r="BN130" s="27">
        <v>44529</v>
      </c>
      <c r="BO130" s="27">
        <v>44529</v>
      </c>
      <c r="BP130" s="27">
        <v>44529</v>
      </c>
      <c r="BQ130" s="27">
        <v>44529</v>
      </c>
      <c r="BR130" s="27">
        <v>44714</v>
      </c>
      <c r="BS130" s="28">
        <v>698</v>
      </c>
      <c r="BT130" s="29">
        <v>1448</v>
      </c>
      <c r="BU130" s="29">
        <v>698</v>
      </c>
      <c r="BV130" s="29">
        <v>698</v>
      </c>
      <c r="BW130" s="29">
        <v>1448</v>
      </c>
      <c r="BX130" s="30" t="s">
        <v>416</v>
      </c>
      <c r="BY130" s="8">
        <v>5</v>
      </c>
      <c r="BZ130" s="8">
        <v>0</v>
      </c>
      <c r="CA130" s="8">
        <v>0</v>
      </c>
      <c r="CB130" s="21">
        <v>0</v>
      </c>
      <c r="CC130" s="21">
        <v>0</v>
      </c>
      <c r="CD130" s="21">
        <v>0</v>
      </c>
      <c r="CE130" s="21">
        <v>0</v>
      </c>
      <c r="CF130" s="21">
        <v>0</v>
      </c>
      <c r="CG130" s="21">
        <v>0</v>
      </c>
      <c r="CH130" s="21">
        <v>0</v>
      </c>
      <c r="CI130" s="21">
        <v>0</v>
      </c>
      <c r="CJ130" s="21">
        <v>0</v>
      </c>
      <c r="CK130" s="22" t="s">
        <v>3058</v>
      </c>
      <c r="CL130" s="22" t="s">
        <v>3058</v>
      </c>
      <c r="CM130" s="22" t="s">
        <v>2966</v>
      </c>
      <c r="CN130" s="22" t="s">
        <v>2966</v>
      </c>
      <c r="CO130" s="22" t="s">
        <v>2966</v>
      </c>
      <c r="CP130" s="22" t="s">
        <v>3059</v>
      </c>
      <c r="CQ130" s="22" t="s">
        <v>2953</v>
      </c>
      <c r="CR130" s="22" t="s">
        <v>3059</v>
      </c>
      <c r="CS130" s="22" t="s">
        <v>3059</v>
      </c>
      <c r="CT130" s="22">
        <v>0</v>
      </c>
      <c r="CU130" s="21">
        <v>0</v>
      </c>
      <c r="CV130" s="21">
        <v>0</v>
      </c>
      <c r="CW130" s="21">
        <v>0</v>
      </c>
      <c r="CX130" s="21">
        <v>0</v>
      </c>
      <c r="CY130" s="21">
        <v>0</v>
      </c>
      <c r="CZ130" s="21">
        <v>0</v>
      </c>
      <c r="DA130" s="21">
        <v>0</v>
      </c>
      <c r="DB130" s="21">
        <v>0</v>
      </c>
      <c r="DC130" s="21">
        <v>0</v>
      </c>
      <c r="DD130" s="8">
        <v>0</v>
      </c>
      <c r="DE130" s="8">
        <v>0</v>
      </c>
      <c r="DF130" s="8">
        <v>0</v>
      </c>
      <c r="DG130" s="8">
        <v>9</v>
      </c>
      <c r="DH130" s="8">
        <v>0</v>
      </c>
      <c r="DI130" s="8">
        <v>0</v>
      </c>
      <c r="DJ130" s="8" t="s">
        <v>3025</v>
      </c>
      <c r="DK130" s="21">
        <v>43529</v>
      </c>
      <c r="DL130" s="21">
        <v>43507.229166666664</v>
      </c>
      <c r="DM130" s="21">
        <v>46041</v>
      </c>
      <c r="DN130" s="18">
        <v>152</v>
      </c>
      <c r="DO130" s="21">
        <v>0</v>
      </c>
      <c r="DP130" s="21">
        <v>0</v>
      </c>
      <c r="DQ130" s="21">
        <v>0</v>
      </c>
      <c r="DR130" s="21">
        <v>0</v>
      </c>
      <c r="DS130" s="21">
        <v>0</v>
      </c>
      <c r="DT130" s="21">
        <v>0</v>
      </c>
      <c r="DU130" s="21">
        <v>0</v>
      </c>
      <c r="DV130" s="21">
        <v>0</v>
      </c>
      <c r="DW130" s="21">
        <v>0</v>
      </c>
      <c r="DX130" s="21">
        <v>0</v>
      </c>
      <c r="DY130" s="21">
        <v>0</v>
      </c>
      <c r="DZ130" s="21">
        <v>0</v>
      </c>
      <c r="EA130" s="8">
        <v>190</v>
      </c>
      <c r="EB130" s="8">
        <v>190</v>
      </c>
      <c r="EC130" s="8">
        <v>490</v>
      </c>
      <c r="ED130" s="8">
        <v>490</v>
      </c>
      <c r="EE130" s="8">
        <v>490</v>
      </c>
      <c r="EF130" s="8">
        <v>1450</v>
      </c>
      <c r="EG130" s="8">
        <v>1000</v>
      </c>
      <c r="EH130" s="8">
        <v>1450</v>
      </c>
      <c r="EI130" s="8">
        <v>1450</v>
      </c>
      <c r="EJ130" s="8">
        <v>0</v>
      </c>
      <c r="EK130" s="8" t="s">
        <v>2624</v>
      </c>
      <c r="EL130" s="8">
        <v>71</v>
      </c>
      <c r="EM130" s="8">
        <v>0</v>
      </c>
      <c r="EN130" s="8">
        <v>-98</v>
      </c>
      <c r="EO130" s="8">
        <v>-98</v>
      </c>
      <c r="EP130" s="8">
        <v>202</v>
      </c>
      <c r="EQ130" s="8">
        <v>202</v>
      </c>
      <c r="ER130" s="8">
        <v>202</v>
      </c>
      <c r="ES130" s="8">
        <v>1162</v>
      </c>
      <c r="ET130" s="8">
        <v>712</v>
      </c>
      <c r="EU130" s="8">
        <v>1162</v>
      </c>
      <c r="EV130" s="8">
        <v>1162</v>
      </c>
    </row>
    <row r="131" spans="1:152" x14ac:dyDescent="0.15">
      <c r="A131" s="8">
        <f>ROW([2]!tbl_DPSAC[[#This Row],[Sl. No.]])-1</f>
        <v>130</v>
      </c>
      <c r="B131" s="9" t="s">
        <v>136</v>
      </c>
      <c r="C131" s="9" t="s">
        <v>878</v>
      </c>
      <c r="D131" s="9" t="s">
        <v>198</v>
      </c>
      <c r="E131" s="9" t="s">
        <v>199</v>
      </c>
      <c r="F131" s="9" t="s">
        <v>161</v>
      </c>
      <c r="G131" s="10" t="s">
        <v>410</v>
      </c>
      <c r="H131" s="10" t="e">
        <f>_xlfn.XLOOKUP(C131,'[1]E&amp;DPSAC'!$K:$K,'[1]E&amp;DPSAC'!$E:$E,,0)</f>
        <v>#N/A</v>
      </c>
      <c r="I131" s="10" t="s">
        <v>875</v>
      </c>
      <c r="J131" s="10">
        <v>8102113860</v>
      </c>
      <c r="K131" s="10" t="str">
        <f>_xlfn.XLOOKUP(C131,'[1]E&amp;DPSAC'!$K:$K,'[1]E&amp;DPSAC'!$G:$G,"",0)</f>
        <v/>
      </c>
      <c r="L131" s="9" t="str">
        <f t="shared" ca="1" si="8"/>
        <v>Non - Warranty</v>
      </c>
      <c r="M131" s="11">
        <v>43528</v>
      </c>
      <c r="N131" s="12">
        <v>24</v>
      </c>
      <c r="O131" s="11">
        <f t="shared" si="9"/>
        <v>44286</v>
      </c>
      <c r="P131" s="8" t="s">
        <v>681</v>
      </c>
      <c r="Q131" s="16" t="s">
        <v>143</v>
      </c>
      <c r="R131" s="15" t="s">
        <v>143</v>
      </c>
      <c r="S131" s="14" t="s">
        <v>143</v>
      </c>
      <c r="T131" s="15" t="s">
        <v>143</v>
      </c>
      <c r="U131" s="14" t="s">
        <v>143</v>
      </c>
      <c r="V131" s="14">
        <v>210</v>
      </c>
      <c r="W131" s="17">
        <v>46041.700509259303</v>
      </c>
      <c r="X131" s="14" t="s">
        <v>143</v>
      </c>
      <c r="Y131" s="14">
        <v>0</v>
      </c>
      <c r="Z131" s="14" t="s">
        <v>2692</v>
      </c>
      <c r="AA131" s="18">
        <v>2585</v>
      </c>
      <c r="AB131" s="18" t="s">
        <v>2697</v>
      </c>
      <c r="AC131" s="8">
        <f>tbl_DPSAC[[#This Row],[Current Month Due Count]]</f>
        <v>0</v>
      </c>
      <c r="AD131" s="8">
        <f>tbl_DPSAC[[#This Row],[Next Month Due2]]</f>
        <v>0</v>
      </c>
      <c r="AE131" s="8">
        <f t="shared" si="10"/>
        <v>1</v>
      </c>
      <c r="AF131" s="8">
        <v>0</v>
      </c>
      <c r="AG131" s="14">
        <f t="shared" ca="1" si="11"/>
        <v>210</v>
      </c>
      <c r="AH131" s="8">
        <v>0</v>
      </c>
      <c r="AI131" s="8">
        <v>0</v>
      </c>
      <c r="AJ131" s="8">
        <v>0</v>
      </c>
      <c r="AK131" s="8">
        <v>0</v>
      </c>
      <c r="AL131" s="8">
        <v>0</v>
      </c>
      <c r="AM131" s="8">
        <v>0</v>
      </c>
      <c r="AN131" s="8">
        <v>0</v>
      </c>
      <c r="AO131" s="8">
        <v>0</v>
      </c>
      <c r="AP131" s="8">
        <v>0</v>
      </c>
      <c r="AQ131" s="8">
        <v>0</v>
      </c>
      <c r="AR131" s="8">
        <v>0</v>
      </c>
      <c r="AS131" s="8">
        <v>0</v>
      </c>
      <c r="AT131" s="8">
        <v>0</v>
      </c>
      <c r="AU131" s="8">
        <v>0</v>
      </c>
      <c r="AV131" s="8">
        <v>0</v>
      </c>
      <c r="AW131" s="8">
        <v>0</v>
      </c>
      <c r="AX131" s="8" t="s">
        <v>2007</v>
      </c>
      <c r="AY131" s="14">
        <v>200</v>
      </c>
      <c r="AZ131" s="19">
        <v>44594</v>
      </c>
      <c r="BA131" s="14"/>
      <c r="BB131" s="14">
        <v>100</v>
      </c>
      <c r="BC131" s="19">
        <v>44410</v>
      </c>
      <c r="BD131" s="14"/>
      <c r="BE131" s="14">
        <v>200</v>
      </c>
      <c r="BF131" s="19">
        <v>44594</v>
      </c>
      <c r="BG131" s="14"/>
      <c r="BH131" s="14">
        <v>200</v>
      </c>
      <c r="BI131" s="19">
        <v>44594</v>
      </c>
      <c r="BJ131" s="14"/>
      <c r="BK131" s="14">
        <v>100</v>
      </c>
      <c r="BL131" s="19">
        <v>44410</v>
      </c>
      <c r="BM131" s="14"/>
      <c r="BN131" s="27">
        <v>44774</v>
      </c>
      <c r="BO131" s="27">
        <v>44590</v>
      </c>
      <c r="BP131" s="27">
        <v>44774</v>
      </c>
      <c r="BQ131" s="27">
        <v>44774</v>
      </c>
      <c r="BR131" s="27">
        <v>44775</v>
      </c>
      <c r="BS131" s="28">
        <v>740</v>
      </c>
      <c r="BT131" s="29">
        <v>1390</v>
      </c>
      <c r="BU131" s="29">
        <v>740</v>
      </c>
      <c r="BV131" s="29">
        <v>740</v>
      </c>
      <c r="BW131" s="29">
        <v>1390</v>
      </c>
      <c r="BX131" s="30" t="s">
        <v>416</v>
      </c>
      <c r="BY131" s="8">
        <v>5</v>
      </c>
      <c r="BZ131" s="8">
        <v>0</v>
      </c>
      <c r="CA131" s="8">
        <v>0</v>
      </c>
      <c r="CB131" s="21">
        <v>0</v>
      </c>
      <c r="CC131" s="21">
        <v>0</v>
      </c>
      <c r="CD131" s="21">
        <v>0</v>
      </c>
      <c r="CE131" s="21">
        <v>0</v>
      </c>
      <c r="CF131" s="21">
        <v>0</v>
      </c>
      <c r="CG131" s="21">
        <v>0</v>
      </c>
      <c r="CH131" s="21">
        <v>0</v>
      </c>
      <c r="CI131" s="21">
        <v>0</v>
      </c>
      <c r="CJ131" s="21">
        <v>0</v>
      </c>
      <c r="CK131" s="22" t="s">
        <v>3040</v>
      </c>
      <c r="CL131" s="22" t="s">
        <v>3040</v>
      </c>
      <c r="CM131" s="22" t="s">
        <v>3040</v>
      </c>
      <c r="CN131" s="22" t="s">
        <v>3040</v>
      </c>
      <c r="CO131" s="22" t="s">
        <v>3040</v>
      </c>
      <c r="CP131" s="22" t="s">
        <v>3044</v>
      </c>
      <c r="CQ131" s="22" t="s">
        <v>2953</v>
      </c>
      <c r="CR131" s="22" t="s">
        <v>3044</v>
      </c>
      <c r="CS131" s="22" t="s">
        <v>3044</v>
      </c>
      <c r="CT131" s="22">
        <v>0</v>
      </c>
      <c r="CU131" s="21">
        <v>0</v>
      </c>
      <c r="CV131" s="21">
        <v>0</v>
      </c>
      <c r="CW131" s="21">
        <v>0</v>
      </c>
      <c r="CX131" s="21">
        <v>0</v>
      </c>
      <c r="CY131" s="21">
        <v>0</v>
      </c>
      <c r="CZ131" s="21">
        <v>0</v>
      </c>
      <c r="DA131" s="21">
        <v>0</v>
      </c>
      <c r="DB131" s="21">
        <v>0</v>
      </c>
      <c r="DC131" s="21">
        <v>0</v>
      </c>
      <c r="DD131" s="8">
        <v>0</v>
      </c>
      <c r="DE131" s="8">
        <v>0</v>
      </c>
      <c r="DF131" s="8">
        <v>0</v>
      </c>
      <c r="DG131" s="8">
        <v>9</v>
      </c>
      <c r="DH131" s="8">
        <v>0</v>
      </c>
      <c r="DI131" s="8">
        <v>0</v>
      </c>
      <c r="DJ131" s="8" t="s">
        <v>3025</v>
      </c>
      <c r="DK131" s="21">
        <v>43528</v>
      </c>
      <c r="DL131" s="21">
        <v>43507.229166666664</v>
      </c>
      <c r="DM131" s="21">
        <v>46041</v>
      </c>
      <c r="DN131" s="18">
        <v>210</v>
      </c>
      <c r="DO131" s="21">
        <v>0</v>
      </c>
      <c r="DP131" s="21">
        <v>0</v>
      </c>
      <c r="DQ131" s="21">
        <v>0</v>
      </c>
      <c r="DR131" s="21">
        <v>0</v>
      </c>
      <c r="DS131" s="21">
        <v>0</v>
      </c>
      <c r="DT131" s="21">
        <v>0</v>
      </c>
      <c r="DU131" s="21">
        <v>0</v>
      </c>
      <c r="DV131" s="21">
        <v>0</v>
      </c>
      <c r="DW131" s="21">
        <v>0</v>
      </c>
      <c r="DX131" s="21">
        <v>0</v>
      </c>
      <c r="DY131" s="21">
        <v>0</v>
      </c>
      <c r="DZ131" s="21">
        <v>0</v>
      </c>
      <c r="EA131" s="8">
        <v>290</v>
      </c>
      <c r="EB131" s="8">
        <v>290</v>
      </c>
      <c r="EC131" s="8">
        <v>290</v>
      </c>
      <c r="ED131" s="8">
        <v>290</v>
      </c>
      <c r="EE131" s="8">
        <v>290</v>
      </c>
      <c r="EF131" s="8">
        <v>1290</v>
      </c>
      <c r="EG131" s="8">
        <v>1000</v>
      </c>
      <c r="EH131" s="8">
        <v>1290</v>
      </c>
      <c r="EI131" s="8">
        <v>1290</v>
      </c>
      <c r="EJ131" s="8">
        <v>0</v>
      </c>
      <c r="EK131" s="8" t="s">
        <v>2624</v>
      </c>
      <c r="EL131" s="8">
        <v>71</v>
      </c>
      <c r="EM131" s="8">
        <v>0</v>
      </c>
      <c r="EN131" s="8">
        <v>2</v>
      </c>
      <c r="EO131" s="8">
        <v>2</v>
      </c>
      <c r="EP131" s="8">
        <v>2</v>
      </c>
      <c r="EQ131" s="8">
        <v>2</v>
      </c>
      <c r="ER131" s="8">
        <v>2</v>
      </c>
      <c r="ES131" s="8">
        <v>1002</v>
      </c>
      <c r="ET131" s="8">
        <v>712</v>
      </c>
      <c r="EU131" s="8">
        <v>1002</v>
      </c>
      <c r="EV131" s="8">
        <v>1002</v>
      </c>
    </row>
    <row r="132" spans="1:152" x14ac:dyDescent="0.15">
      <c r="A132" s="8">
        <f>ROW([2]!tbl_DPSAC[[#This Row],[Sl. No.]])-1</f>
        <v>131</v>
      </c>
      <c r="B132" s="9" t="s">
        <v>136</v>
      </c>
      <c r="C132" s="9" t="s">
        <v>879</v>
      </c>
      <c r="D132" s="9" t="s">
        <v>198</v>
      </c>
      <c r="E132" s="9" t="s">
        <v>199</v>
      </c>
      <c r="F132" s="9" t="s">
        <v>161</v>
      </c>
      <c r="G132" s="10" t="s">
        <v>410</v>
      </c>
      <c r="H132" s="10" t="e">
        <f>_xlfn.XLOOKUP(C132,'[1]E&amp;DPSAC'!$K:$K,'[1]E&amp;DPSAC'!$E:$E,,0)</f>
        <v>#N/A</v>
      </c>
      <c r="I132" s="10" t="s">
        <v>875</v>
      </c>
      <c r="J132" s="10">
        <v>8102113860</v>
      </c>
      <c r="K132" s="10" t="str">
        <f>_xlfn.XLOOKUP(C132,'[1]E&amp;DPSAC'!$K:$K,'[1]E&amp;DPSAC'!$G:$G,"",0)</f>
        <v/>
      </c>
      <c r="L132" s="9" t="str">
        <f t="shared" ca="1" si="8"/>
        <v>Non - Warranty</v>
      </c>
      <c r="M132" s="11">
        <v>43526</v>
      </c>
      <c r="N132" s="12">
        <v>24</v>
      </c>
      <c r="O132" s="11">
        <f t="shared" si="9"/>
        <v>44286</v>
      </c>
      <c r="P132" s="8" t="s">
        <v>681</v>
      </c>
      <c r="Q132" s="16" t="s">
        <v>143</v>
      </c>
      <c r="R132" s="15" t="s">
        <v>143</v>
      </c>
      <c r="S132" s="14" t="s">
        <v>143</v>
      </c>
      <c r="T132" s="15" t="s">
        <v>143</v>
      </c>
      <c r="U132" s="14" t="s">
        <v>143</v>
      </c>
      <c r="V132" s="14">
        <v>80</v>
      </c>
      <c r="W132" s="17">
        <v>46041.702962962998</v>
      </c>
      <c r="X132" s="14" t="s">
        <v>143</v>
      </c>
      <c r="Y132" s="14">
        <v>0</v>
      </c>
      <c r="Z132" s="14" t="s">
        <v>2692</v>
      </c>
      <c r="AA132" s="18">
        <v>2587</v>
      </c>
      <c r="AB132" s="18" t="s">
        <v>2697</v>
      </c>
      <c r="AC132" s="8">
        <f>tbl_DPSAC[[#This Row],[Current Month Due Count]]</f>
        <v>0</v>
      </c>
      <c r="AD132" s="8">
        <f>tbl_DPSAC[[#This Row],[Next Month Due2]]</f>
        <v>0</v>
      </c>
      <c r="AE132" s="8">
        <f t="shared" si="10"/>
        <v>1</v>
      </c>
      <c r="AF132" s="8">
        <v>0</v>
      </c>
      <c r="AG132" s="14">
        <f t="shared" ca="1" si="11"/>
        <v>80</v>
      </c>
      <c r="AH132" s="8">
        <v>0</v>
      </c>
      <c r="AI132" s="8">
        <v>0</v>
      </c>
      <c r="AJ132" s="8">
        <v>0</v>
      </c>
      <c r="AK132" s="8">
        <v>0</v>
      </c>
      <c r="AL132" s="8">
        <v>0</v>
      </c>
      <c r="AM132" s="8">
        <v>0</v>
      </c>
      <c r="AN132" s="8">
        <v>0</v>
      </c>
      <c r="AO132" s="8">
        <v>0</v>
      </c>
      <c r="AP132" s="8">
        <v>0</v>
      </c>
      <c r="AQ132" s="8">
        <v>0</v>
      </c>
      <c r="AR132" s="8">
        <v>0</v>
      </c>
      <c r="AS132" s="8">
        <v>0</v>
      </c>
      <c r="AT132" s="8">
        <v>0</v>
      </c>
      <c r="AU132" s="8">
        <v>0</v>
      </c>
      <c r="AV132" s="8">
        <v>0</v>
      </c>
      <c r="AW132" s="8">
        <v>0</v>
      </c>
      <c r="AX132" s="8" t="s">
        <v>2007</v>
      </c>
      <c r="AY132" s="14">
        <v>70</v>
      </c>
      <c r="AZ132" s="19">
        <v>44231</v>
      </c>
      <c r="BA132" s="14"/>
      <c r="BB132" s="14">
        <v>70</v>
      </c>
      <c r="BC132" s="19">
        <v>44231</v>
      </c>
      <c r="BD132" s="14"/>
      <c r="BE132" s="14">
        <v>70</v>
      </c>
      <c r="BF132" s="19">
        <v>44231</v>
      </c>
      <c r="BG132" s="14"/>
      <c r="BH132" s="14">
        <v>70</v>
      </c>
      <c r="BI132" s="19">
        <v>44231</v>
      </c>
      <c r="BJ132" s="14"/>
      <c r="BK132" s="14">
        <v>70</v>
      </c>
      <c r="BL132" s="19">
        <v>44231</v>
      </c>
      <c r="BM132" s="14"/>
      <c r="BN132" s="27">
        <v>44411</v>
      </c>
      <c r="BO132" s="27">
        <v>44411</v>
      </c>
      <c r="BP132" s="27">
        <v>44411</v>
      </c>
      <c r="BQ132" s="27">
        <v>44411</v>
      </c>
      <c r="BR132" s="27">
        <v>44596</v>
      </c>
      <c r="BS132" s="28">
        <v>740</v>
      </c>
      <c r="BT132" s="29">
        <v>1490</v>
      </c>
      <c r="BU132" s="29">
        <v>740</v>
      </c>
      <c r="BV132" s="29">
        <v>740</v>
      </c>
      <c r="BW132" s="29">
        <v>1490</v>
      </c>
      <c r="BX132" s="30" t="s">
        <v>416</v>
      </c>
      <c r="BY132" s="8">
        <v>5</v>
      </c>
      <c r="BZ132" s="8">
        <v>0</v>
      </c>
      <c r="CA132" s="8">
        <v>0</v>
      </c>
      <c r="CB132" s="21">
        <v>0</v>
      </c>
      <c r="CC132" s="21">
        <v>0</v>
      </c>
      <c r="CD132" s="21">
        <v>0</v>
      </c>
      <c r="CE132" s="21">
        <v>0</v>
      </c>
      <c r="CF132" s="21">
        <v>0</v>
      </c>
      <c r="CG132" s="21">
        <v>0</v>
      </c>
      <c r="CH132" s="21">
        <v>0</v>
      </c>
      <c r="CI132" s="21">
        <v>0</v>
      </c>
      <c r="CJ132" s="21">
        <v>0</v>
      </c>
      <c r="CK132" s="22" t="s">
        <v>2989</v>
      </c>
      <c r="CL132" s="22" t="s">
        <v>3050</v>
      </c>
      <c r="CM132" s="22" t="s">
        <v>3050</v>
      </c>
      <c r="CN132" s="22" t="s">
        <v>3050</v>
      </c>
      <c r="CO132" s="22" t="s">
        <v>3050</v>
      </c>
      <c r="CP132" s="22" t="s">
        <v>3060</v>
      </c>
      <c r="CQ132" s="22" t="s">
        <v>2953</v>
      </c>
      <c r="CR132" s="22" t="s">
        <v>3060</v>
      </c>
      <c r="CS132" s="22" t="s">
        <v>3060</v>
      </c>
      <c r="CT132" s="22">
        <v>0</v>
      </c>
      <c r="CU132" s="21">
        <v>0</v>
      </c>
      <c r="CV132" s="21">
        <v>0</v>
      </c>
      <c r="CW132" s="21">
        <v>0</v>
      </c>
      <c r="CX132" s="21">
        <v>0</v>
      </c>
      <c r="CY132" s="21">
        <v>0</v>
      </c>
      <c r="CZ132" s="21">
        <v>0</v>
      </c>
      <c r="DA132" s="21">
        <v>0</v>
      </c>
      <c r="DB132" s="21">
        <v>0</v>
      </c>
      <c r="DC132" s="21">
        <v>0</v>
      </c>
      <c r="DD132" s="8">
        <v>0</v>
      </c>
      <c r="DE132" s="8">
        <v>0</v>
      </c>
      <c r="DF132" s="8">
        <v>0</v>
      </c>
      <c r="DG132" s="8">
        <v>9</v>
      </c>
      <c r="DH132" s="8">
        <v>0</v>
      </c>
      <c r="DI132" s="8">
        <v>0</v>
      </c>
      <c r="DJ132" s="8" t="s">
        <v>3025</v>
      </c>
      <c r="DK132" s="21">
        <v>43526</v>
      </c>
      <c r="DL132" s="21">
        <v>43507.229166666664</v>
      </c>
      <c r="DM132" s="21">
        <v>46041</v>
      </c>
      <c r="DN132" s="18">
        <v>80</v>
      </c>
      <c r="DO132" s="21">
        <v>0</v>
      </c>
      <c r="DP132" s="21">
        <v>0</v>
      </c>
      <c r="DQ132" s="21">
        <v>0</v>
      </c>
      <c r="DR132" s="21">
        <v>0</v>
      </c>
      <c r="DS132" s="21">
        <v>0</v>
      </c>
      <c r="DT132" s="21">
        <v>0</v>
      </c>
      <c r="DU132" s="21">
        <v>0</v>
      </c>
      <c r="DV132" s="21">
        <v>0</v>
      </c>
      <c r="DW132" s="21">
        <v>0</v>
      </c>
      <c r="DX132" s="21">
        <v>0</v>
      </c>
      <c r="DY132" s="21">
        <v>0</v>
      </c>
      <c r="DZ132" s="21">
        <v>0</v>
      </c>
      <c r="EA132" s="8">
        <v>450</v>
      </c>
      <c r="EB132" s="8">
        <v>420</v>
      </c>
      <c r="EC132" s="8">
        <v>420</v>
      </c>
      <c r="ED132" s="8">
        <v>420</v>
      </c>
      <c r="EE132" s="8">
        <v>420</v>
      </c>
      <c r="EF132" s="8">
        <v>1420</v>
      </c>
      <c r="EG132" s="8">
        <v>1000</v>
      </c>
      <c r="EH132" s="8">
        <v>1420</v>
      </c>
      <c r="EI132" s="8">
        <v>1420</v>
      </c>
      <c r="EJ132" s="8">
        <v>0</v>
      </c>
      <c r="EK132" s="8" t="s">
        <v>2624</v>
      </c>
      <c r="EL132" s="8">
        <v>71</v>
      </c>
      <c r="EM132" s="8">
        <v>0</v>
      </c>
      <c r="EN132" s="8">
        <v>162</v>
      </c>
      <c r="EO132" s="8">
        <v>132</v>
      </c>
      <c r="EP132" s="8">
        <v>132</v>
      </c>
      <c r="EQ132" s="8">
        <v>132</v>
      </c>
      <c r="ER132" s="8">
        <v>132</v>
      </c>
      <c r="ES132" s="8">
        <v>1132</v>
      </c>
      <c r="ET132" s="8">
        <v>712</v>
      </c>
      <c r="EU132" s="8">
        <v>1132</v>
      </c>
      <c r="EV132" s="8">
        <v>1132</v>
      </c>
    </row>
    <row r="133" spans="1:152" x14ac:dyDescent="0.15">
      <c r="A133" s="8">
        <f>ROW([2]!tbl_DPSAC[[#This Row],[Sl. No.]])-1</f>
        <v>132</v>
      </c>
      <c r="B133" s="9" t="s">
        <v>196</v>
      </c>
      <c r="C133" s="9" t="s">
        <v>880</v>
      </c>
      <c r="D133" s="9" t="s">
        <v>881</v>
      </c>
      <c r="E133" s="9" t="s">
        <v>247</v>
      </c>
      <c r="F133" s="9" t="s">
        <v>161</v>
      </c>
      <c r="G133" s="10" t="s">
        <v>410</v>
      </c>
      <c r="H133" s="10" t="e">
        <f>_xlfn.XLOOKUP(C133,'[1]E&amp;DPSAC'!$K:$K,'[1]E&amp;DPSAC'!$E:$E,,0)</f>
        <v>#N/A</v>
      </c>
      <c r="I133" s="10" t="s">
        <v>875</v>
      </c>
      <c r="J133" s="10">
        <v>8102113860</v>
      </c>
      <c r="K133" s="10" t="str">
        <f>_xlfn.XLOOKUP(C133,'[1]E&amp;DPSAC'!$K:$K,'[1]E&amp;DPSAC'!$G:$G,"",0)</f>
        <v/>
      </c>
      <c r="L133" s="9" t="str">
        <f t="shared" ca="1" si="8"/>
        <v>Non - Warranty</v>
      </c>
      <c r="M133" s="11">
        <v>43765</v>
      </c>
      <c r="N133" s="12">
        <v>24</v>
      </c>
      <c r="O133" s="11">
        <f t="shared" si="9"/>
        <v>44500</v>
      </c>
      <c r="P133" s="8" t="s">
        <v>681</v>
      </c>
      <c r="Q133" s="16" t="s">
        <v>143</v>
      </c>
      <c r="R133" s="15" t="s">
        <v>143</v>
      </c>
      <c r="S133" s="14" t="s">
        <v>143</v>
      </c>
      <c r="T133" s="15" t="s">
        <v>143</v>
      </c>
      <c r="U133" s="14" t="s">
        <v>143</v>
      </c>
      <c r="V133" s="14">
        <v>1000</v>
      </c>
      <c r="W133" s="17">
        <v>45474.695752314801</v>
      </c>
      <c r="X133" s="14" t="s">
        <v>143</v>
      </c>
      <c r="Y133" s="14">
        <v>0</v>
      </c>
      <c r="Z133" s="14" t="s">
        <v>2692</v>
      </c>
      <c r="AA133" s="18">
        <v>2348</v>
      </c>
      <c r="AB133" s="18" t="s">
        <v>2697</v>
      </c>
      <c r="AC133" s="8">
        <f>tbl_DPSAC[[#This Row],[Current Month Due Count]]</f>
        <v>0</v>
      </c>
      <c r="AD133" s="8">
        <f>tbl_DPSAC[[#This Row],[Next Month Due2]]</f>
        <v>0</v>
      </c>
      <c r="AE133" s="8">
        <f t="shared" si="10"/>
        <v>1</v>
      </c>
      <c r="AF133" s="8">
        <v>0</v>
      </c>
      <c r="AG133" s="14">
        <f t="shared" ca="1" si="11"/>
        <v>1000</v>
      </c>
      <c r="AH133" s="8">
        <v>0</v>
      </c>
      <c r="AI133" s="8">
        <v>0</v>
      </c>
      <c r="AJ133" s="8">
        <v>0</v>
      </c>
      <c r="AK133" s="8">
        <v>0</v>
      </c>
      <c r="AL133" s="8">
        <v>0</v>
      </c>
      <c r="AM133" s="8">
        <v>0</v>
      </c>
      <c r="AN133" s="8">
        <v>0</v>
      </c>
      <c r="AO133" s="8">
        <v>0</v>
      </c>
      <c r="AP133" s="8">
        <v>0</v>
      </c>
      <c r="AQ133" s="8">
        <v>0</v>
      </c>
      <c r="AR133" s="8">
        <v>0</v>
      </c>
      <c r="AS133" s="8">
        <v>0</v>
      </c>
      <c r="AT133" s="8">
        <v>0</v>
      </c>
      <c r="AU133" s="8">
        <v>0</v>
      </c>
      <c r="AV133" s="8">
        <v>0</v>
      </c>
      <c r="AW133" s="8">
        <v>0</v>
      </c>
      <c r="AX133" s="8" t="s">
        <v>2007</v>
      </c>
      <c r="AY133" s="14">
        <v>400</v>
      </c>
      <c r="AZ133" s="19">
        <v>44413</v>
      </c>
      <c r="BA133" s="14" t="s">
        <v>882</v>
      </c>
      <c r="BB133" s="14">
        <v>400</v>
      </c>
      <c r="BC133" s="19">
        <v>44413</v>
      </c>
      <c r="BD133" s="14" t="s">
        <v>882</v>
      </c>
      <c r="BE133" s="14">
        <v>400</v>
      </c>
      <c r="BF133" s="19">
        <v>44413</v>
      </c>
      <c r="BG133" s="14" t="s">
        <v>882</v>
      </c>
      <c r="BH133" s="14"/>
      <c r="BI133" s="19"/>
      <c r="BJ133" s="14"/>
      <c r="BK133" s="14">
        <v>400</v>
      </c>
      <c r="BL133" s="19">
        <v>44413</v>
      </c>
      <c r="BM133" s="14" t="s">
        <v>882</v>
      </c>
      <c r="BN133" s="27">
        <v>44593</v>
      </c>
      <c r="BO133" s="27">
        <v>44593</v>
      </c>
      <c r="BP133" s="27">
        <v>44593</v>
      </c>
      <c r="BQ133" s="27" t="s">
        <v>143</v>
      </c>
      <c r="BR133" s="27">
        <v>44778</v>
      </c>
      <c r="BS133" s="28">
        <v>150</v>
      </c>
      <c r="BT133" s="29">
        <v>900</v>
      </c>
      <c r="BU133" s="29">
        <v>150</v>
      </c>
      <c r="BV133" s="29" t="s">
        <v>143</v>
      </c>
      <c r="BW133" s="29">
        <v>900</v>
      </c>
      <c r="BX133" s="30" t="s">
        <v>416</v>
      </c>
      <c r="BY133" s="8">
        <v>4</v>
      </c>
      <c r="BZ133" s="8">
        <v>0</v>
      </c>
      <c r="CA133" s="8">
        <v>0</v>
      </c>
      <c r="CB133" s="21">
        <v>0</v>
      </c>
      <c r="CC133" s="21">
        <v>0</v>
      </c>
      <c r="CD133" s="21">
        <v>0</v>
      </c>
      <c r="CE133" s="21">
        <v>0</v>
      </c>
      <c r="CF133" s="21">
        <v>0</v>
      </c>
      <c r="CG133" s="21">
        <v>0</v>
      </c>
      <c r="CH133" s="21">
        <v>0</v>
      </c>
      <c r="CI133" s="21">
        <v>0</v>
      </c>
      <c r="CJ133" s="21">
        <v>0</v>
      </c>
      <c r="CK133" s="22" t="s">
        <v>3061</v>
      </c>
      <c r="CL133" s="22" t="s">
        <v>3061</v>
      </c>
      <c r="CM133" s="22" t="s">
        <v>3061</v>
      </c>
      <c r="CN133" s="22" t="s">
        <v>3061</v>
      </c>
      <c r="CO133" s="22" t="s">
        <v>3061</v>
      </c>
      <c r="CP133" s="22" t="s">
        <v>2989</v>
      </c>
      <c r="CQ133" s="22" t="s">
        <v>2989</v>
      </c>
      <c r="CR133" s="22" t="s">
        <v>2989</v>
      </c>
      <c r="CS133" s="22" t="s">
        <v>2989</v>
      </c>
      <c r="CT133" s="22">
        <v>0</v>
      </c>
      <c r="CU133" s="21">
        <v>0</v>
      </c>
      <c r="CV133" s="21">
        <v>0</v>
      </c>
      <c r="CW133" s="21">
        <v>0</v>
      </c>
      <c r="CX133" s="21">
        <v>0</v>
      </c>
      <c r="CY133" s="21">
        <v>0</v>
      </c>
      <c r="CZ133" s="21">
        <v>0</v>
      </c>
      <c r="DA133" s="21">
        <v>0</v>
      </c>
      <c r="DB133" s="21">
        <v>0</v>
      </c>
      <c r="DC133" s="21">
        <v>0</v>
      </c>
      <c r="DD133" s="8">
        <v>0</v>
      </c>
      <c r="DE133" s="8">
        <v>0</v>
      </c>
      <c r="DF133" s="8">
        <v>0</v>
      </c>
      <c r="DG133" s="8">
        <v>9</v>
      </c>
      <c r="DH133" s="8">
        <v>0</v>
      </c>
      <c r="DI133" s="8">
        <v>0</v>
      </c>
      <c r="DJ133" s="8" t="s">
        <v>3025</v>
      </c>
      <c r="DK133" s="21">
        <v>43765</v>
      </c>
      <c r="DL133" s="21">
        <v>43689.229166666664</v>
      </c>
      <c r="DM133" s="21">
        <v>45474</v>
      </c>
      <c r="DN133" s="18">
        <v>1000</v>
      </c>
      <c r="DO133" s="21">
        <v>0</v>
      </c>
      <c r="DP133" s="21">
        <v>0</v>
      </c>
      <c r="DQ133" s="21">
        <v>0</v>
      </c>
      <c r="DR133" s="21">
        <v>0</v>
      </c>
      <c r="DS133" s="21">
        <v>0</v>
      </c>
      <c r="DT133" s="21">
        <v>0</v>
      </c>
      <c r="DU133" s="21">
        <v>0</v>
      </c>
      <c r="DV133" s="21">
        <v>0</v>
      </c>
      <c r="DW133" s="21">
        <v>0</v>
      </c>
      <c r="DX133" s="21">
        <v>0</v>
      </c>
      <c r="DY133" s="21">
        <v>0</v>
      </c>
      <c r="DZ133" s="21">
        <v>0</v>
      </c>
      <c r="EA133" s="8">
        <v>50</v>
      </c>
      <c r="EB133" s="8">
        <v>50</v>
      </c>
      <c r="EC133" s="8">
        <v>50</v>
      </c>
      <c r="ED133" s="8">
        <v>50</v>
      </c>
      <c r="EE133" s="8">
        <v>50</v>
      </c>
      <c r="EF133" s="8">
        <v>450</v>
      </c>
      <c r="EG133" s="8">
        <v>450</v>
      </c>
      <c r="EH133" s="8">
        <v>450</v>
      </c>
      <c r="EI133" s="8">
        <v>450</v>
      </c>
      <c r="EJ133" s="8">
        <v>0</v>
      </c>
      <c r="EK133" s="8" t="s">
        <v>2624</v>
      </c>
      <c r="EL133" s="8">
        <v>638</v>
      </c>
      <c r="EM133" s="8">
        <v>0</v>
      </c>
      <c r="EN133" s="8">
        <v>-238</v>
      </c>
      <c r="EO133" s="8">
        <v>-238</v>
      </c>
      <c r="EP133" s="8">
        <v>-238</v>
      </c>
      <c r="EQ133" s="8">
        <v>-238</v>
      </c>
      <c r="ER133" s="8">
        <v>-238</v>
      </c>
      <c r="ES133" s="8">
        <v>162</v>
      </c>
      <c r="ET133" s="8">
        <v>162</v>
      </c>
      <c r="EU133" s="8">
        <v>162</v>
      </c>
      <c r="EV133" s="8">
        <v>162</v>
      </c>
    </row>
    <row r="134" spans="1:152" x14ac:dyDescent="0.15">
      <c r="A134" s="8">
        <f>ROW([2]!tbl_DPSAC[[#This Row],[Sl. No.]])-1</f>
        <v>133</v>
      </c>
      <c r="B134" s="9" t="s">
        <v>136</v>
      </c>
      <c r="C134" s="9" t="s">
        <v>883</v>
      </c>
      <c r="D134" s="9" t="s">
        <v>704</v>
      </c>
      <c r="E134" s="9" t="s">
        <v>247</v>
      </c>
      <c r="F134" s="9" t="s">
        <v>161</v>
      </c>
      <c r="G134" s="10" t="s">
        <v>410</v>
      </c>
      <c r="H134" s="10" t="str">
        <f>_xlfn.XLOOKUP(C134,'[1]E&amp;DPSAC'!$K:$K,'[1]E&amp;DPSAC'!$E:$E,,0)</f>
        <v>RAMGARH</v>
      </c>
      <c r="I134" s="10" t="s">
        <v>875</v>
      </c>
      <c r="J134" s="10">
        <v>7355300437</v>
      </c>
      <c r="K134" s="10">
        <f>_xlfn.XLOOKUP(C134,'[1]E&amp;DPSAC'!$K:$K,'[1]E&amp;DPSAC'!$G:$G,"",0)</f>
        <v>7355300437</v>
      </c>
      <c r="L134" s="9" t="str">
        <f t="shared" ca="1" si="8"/>
        <v>Non - Warranty</v>
      </c>
      <c r="M134" s="11">
        <v>43750.583333333336</v>
      </c>
      <c r="N134" s="12">
        <v>24</v>
      </c>
      <c r="O134" s="11">
        <f t="shared" si="9"/>
        <v>44500</v>
      </c>
      <c r="P134" s="8" t="s">
        <v>681</v>
      </c>
      <c r="Q134" s="16" t="s">
        <v>143</v>
      </c>
      <c r="R134" s="15" t="s">
        <v>143</v>
      </c>
      <c r="S134" s="14" t="s">
        <v>143</v>
      </c>
      <c r="T134" s="15">
        <v>43750</v>
      </c>
      <c r="U134" s="14">
        <v>1</v>
      </c>
      <c r="V134" s="14">
        <v>1555</v>
      </c>
      <c r="W134" s="17">
        <v>46041.705138888901</v>
      </c>
      <c r="X134" s="14" t="s">
        <v>143</v>
      </c>
      <c r="Y134" s="14">
        <v>0</v>
      </c>
      <c r="Z134" s="14" t="s">
        <v>2692</v>
      </c>
      <c r="AA134" s="18">
        <v>2362.4166666666642</v>
      </c>
      <c r="AB134" s="18" t="s">
        <v>2697</v>
      </c>
      <c r="AC134" s="8">
        <f>tbl_DPSAC[[#This Row],[Current Month Due Count]]</f>
        <v>0</v>
      </c>
      <c r="AD134" s="8">
        <f>tbl_DPSAC[[#This Row],[Next Month Due2]]</f>
        <v>0</v>
      </c>
      <c r="AE134" s="8">
        <f t="shared" si="10"/>
        <v>1</v>
      </c>
      <c r="AF134" s="8">
        <v>0</v>
      </c>
      <c r="AG134" s="14">
        <f t="shared" ca="1" si="11"/>
        <v>1555</v>
      </c>
      <c r="AH134" s="8">
        <v>0</v>
      </c>
      <c r="AI134" s="8">
        <v>0</v>
      </c>
      <c r="AJ134" s="8">
        <v>0</v>
      </c>
      <c r="AK134" s="8">
        <v>0</v>
      </c>
      <c r="AL134" s="8">
        <v>0</v>
      </c>
      <c r="AM134" s="8">
        <v>0</v>
      </c>
      <c r="AN134" s="8">
        <v>0</v>
      </c>
      <c r="AO134" s="8">
        <v>0</v>
      </c>
      <c r="AP134" s="8">
        <v>0</v>
      </c>
      <c r="AQ134" s="8">
        <v>0</v>
      </c>
      <c r="AR134" s="8">
        <v>0</v>
      </c>
      <c r="AS134" s="8">
        <v>0</v>
      </c>
      <c r="AT134" s="8">
        <v>0</v>
      </c>
      <c r="AU134" s="8">
        <v>0</v>
      </c>
      <c r="AV134" s="8">
        <v>0</v>
      </c>
      <c r="AW134" s="8">
        <v>0</v>
      </c>
      <c r="AX134" s="8" t="s">
        <v>2007</v>
      </c>
      <c r="AY134" s="14">
        <v>1500</v>
      </c>
      <c r="AZ134" s="19">
        <v>44360</v>
      </c>
      <c r="BA134" s="14"/>
      <c r="BB134" s="14">
        <v>1500</v>
      </c>
      <c r="BC134" s="19">
        <v>44360</v>
      </c>
      <c r="BD134" s="14"/>
      <c r="BE134" s="14">
        <v>1500</v>
      </c>
      <c r="BF134" s="19">
        <v>44360</v>
      </c>
      <c r="BG134" s="14"/>
      <c r="BH134" s="14"/>
      <c r="BI134" s="19"/>
      <c r="BJ134" s="14"/>
      <c r="BK134" s="14">
        <v>1500</v>
      </c>
      <c r="BL134" s="19">
        <v>44360</v>
      </c>
      <c r="BM134" s="14"/>
      <c r="BN134" s="27">
        <v>44540</v>
      </c>
      <c r="BO134" s="27">
        <v>44540</v>
      </c>
      <c r="BP134" s="27">
        <v>44540</v>
      </c>
      <c r="BQ134" s="27" t="s">
        <v>143</v>
      </c>
      <c r="BR134" s="27">
        <v>44725</v>
      </c>
      <c r="BS134" s="28">
        <v>695</v>
      </c>
      <c r="BT134" s="29">
        <v>1445</v>
      </c>
      <c r="BU134" s="29">
        <v>695</v>
      </c>
      <c r="BV134" s="29" t="s">
        <v>143</v>
      </c>
      <c r="BW134" s="29">
        <v>1445</v>
      </c>
      <c r="BX134" s="30" t="s">
        <v>416</v>
      </c>
      <c r="BY134" s="8">
        <v>4</v>
      </c>
      <c r="BZ134" s="8">
        <v>0</v>
      </c>
      <c r="CA134" s="8">
        <v>0</v>
      </c>
      <c r="CB134" s="21">
        <v>0</v>
      </c>
      <c r="CC134" s="21">
        <v>0</v>
      </c>
      <c r="CD134" s="21">
        <v>0</v>
      </c>
      <c r="CE134" s="21">
        <v>0</v>
      </c>
      <c r="CF134" s="21">
        <v>0</v>
      </c>
      <c r="CG134" s="21">
        <v>0</v>
      </c>
      <c r="CH134" s="21">
        <v>0</v>
      </c>
      <c r="CI134" s="21">
        <v>0</v>
      </c>
      <c r="CJ134" s="21">
        <v>0</v>
      </c>
      <c r="CK134" s="22" t="s">
        <v>3062</v>
      </c>
      <c r="CL134" s="22" t="s">
        <v>3062</v>
      </c>
      <c r="CM134" s="22" t="s">
        <v>3062</v>
      </c>
      <c r="CN134" s="22" t="s">
        <v>3062</v>
      </c>
      <c r="CO134" s="22" t="s">
        <v>3062</v>
      </c>
      <c r="CP134" s="22" t="s">
        <v>3063</v>
      </c>
      <c r="CQ134" s="22" t="s">
        <v>2953</v>
      </c>
      <c r="CR134" s="22" t="s">
        <v>3063</v>
      </c>
      <c r="CS134" s="22" t="s">
        <v>3063</v>
      </c>
      <c r="CT134" s="22">
        <v>0</v>
      </c>
      <c r="CU134" s="21">
        <v>0</v>
      </c>
      <c r="CV134" s="21">
        <v>0</v>
      </c>
      <c r="CW134" s="21">
        <v>0</v>
      </c>
      <c r="CX134" s="21">
        <v>0</v>
      </c>
      <c r="CY134" s="21">
        <v>0</v>
      </c>
      <c r="CZ134" s="21">
        <v>0</v>
      </c>
      <c r="DA134" s="21">
        <v>0</v>
      </c>
      <c r="DB134" s="21">
        <v>0</v>
      </c>
      <c r="DC134" s="21">
        <v>0</v>
      </c>
      <c r="DD134" s="8">
        <v>0</v>
      </c>
      <c r="DE134" s="8">
        <v>0</v>
      </c>
      <c r="DF134" s="8">
        <v>0</v>
      </c>
      <c r="DG134" s="8">
        <v>9</v>
      </c>
      <c r="DH134" s="8">
        <v>0</v>
      </c>
      <c r="DI134" s="8">
        <v>0</v>
      </c>
      <c r="DJ134" s="8" t="s">
        <v>3025</v>
      </c>
      <c r="DK134" s="21">
        <v>43750</v>
      </c>
      <c r="DL134" s="21">
        <v>43689.229166666664</v>
      </c>
      <c r="DM134" s="21">
        <v>46041</v>
      </c>
      <c r="DN134" s="18">
        <v>1555</v>
      </c>
      <c r="DO134" s="21">
        <v>0</v>
      </c>
      <c r="DP134" s="21">
        <v>0</v>
      </c>
      <c r="DQ134" s="21">
        <v>0</v>
      </c>
      <c r="DR134" s="21">
        <v>0</v>
      </c>
      <c r="DS134" s="21">
        <v>0</v>
      </c>
      <c r="DT134" s="21">
        <v>0</v>
      </c>
      <c r="DU134" s="21">
        <v>0</v>
      </c>
      <c r="DV134" s="21">
        <v>0</v>
      </c>
      <c r="DW134" s="21">
        <v>0</v>
      </c>
      <c r="DX134" s="21">
        <v>0</v>
      </c>
      <c r="DY134" s="21">
        <v>0</v>
      </c>
      <c r="DZ134" s="21">
        <v>0</v>
      </c>
      <c r="EA134" s="8">
        <v>695</v>
      </c>
      <c r="EB134" s="8">
        <v>695</v>
      </c>
      <c r="EC134" s="8">
        <v>695</v>
      </c>
      <c r="ED134" s="8">
        <v>695</v>
      </c>
      <c r="EE134" s="8">
        <v>695</v>
      </c>
      <c r="EF134" s="8">
        <v>1445</v>
      </c>
      <c r="EG134" s="8">
        <v>1000</v>
      </c>
      <c r="EH134" s="8">
        <v>1445</v>
      </c>
      <c r="EI134" s="8">
        <v>1445</v>
      </c>
      <c r="EJ134" s="8">
        <v>0</v>
      </c>
      <c r="EK134" s="8" t="s">
        <v>2624</v>
      </c>
      <c r="EL134" s="8">
        <v>71</v>
      </c>
      <c r="EM134" s="8">
        <v>0</v>
      </c>
      <c r="EN134" s="8">
        <v>407</v>
      </c>
      <c r="EO134" s="8">
        <v>407</v>
      </c>
      <c r="EP134" s="8">
        <v>407</v>
      </c>
      <c r="EQ134" s="8">
        <v>407</v>
      </c>
      <c r="ER134" s="8">
        <v>407</v>
      </c>
      <c r="ES134" s="8">
        <v>1157</v>
      </c>
      <c r="ET134" s="8">
        <v>712</v>
      </c>
      <c r="EU134" s="8">
        <v>1157</v>
      </c>
      <c r="EV134" s="8">
        <v>1157</v>
      </c>
    </row>
    <row r="135" spans="1:152" x14ac:dyDescent="0.15">
      <c r="A135" s="8">
        <f>ROW([2]!tbl_DPSAC[[#This Row],[Sl. No.]])-1</f>
        <v>134</v>
      </c>
      <c r="B135" s="9" t="s">
        <v>136</v>
      </c>
      <c r="C135" s="9" t="s">
        <v>884</v>
      </c>
      <c r="D135" s="9" t="s">
        <v>175</v>
      </c>
      <c r="E135" s="9" t="s">
        <v>176</v>
      </c>
      <c r="F135" s="9" t="s">
        <v>161</v>
      </c>
      <c r="G135" s="10" t="s">
        <v>194</v>
      </c>
      <c r="H135" s="10" t="str">
        <f>_xlfn.XLOOKUP(C135,'[1]E&amp;DPSAC'!$K:$K,'[1]E&amp;DPSAC'!$E:$E,,0)</f>
        <v>OPP. PUNJAB NATIONAL BANK,, BUKRU, RANCHI</v>
      </c>
      <c r="I135" s="10"/>
      <c r="J135" s="10">
        <v>7091772999</v>
      </c>
      <c r="K135" s="10">
        <f>_xlfn.XLOOKUP(C135,'[1]E&amp;DPSAC'!$K:$K,'[1]E&amp;DPSAC'!$G:$G,"",0)</f>
        <v>7091772999</v>
      </c>
      <c r="L135" s="9" t="str">
        <f t="shared" ca="1" si="8"/>
        <v>Non - Warranty</v>
      </c>
      <c r="M135" s="11">
        <v>43787</v>
      </c>
      <c r="N135" s="12">
        <v>24</v>
      </c>
      <c r="O135" s="11">
        <f t="shared" si="9"/>
        <v>44530</v>
      </c>
      <c r="P135" s="8" t="s">
        <v>681</v>
      </c>
      <c r="Q135" s="16" t="s">
        <v>885</v>
      </c>
      <c r="R135" s="15">
        <v>45138.634224537003</v>
      </c>
      <c r="S135" s="14">
        <v>3770</v>
      </c>
      <c r="T135" s="15">
        <v>45138</v>
      </c>
      <c r="U135" s="14">
        <v>3770</v>
      </c>
      <c r="V135" s="14">
        <v>6135</v>
      </c>
      <c r="W135" s="17">
        <v>45964.710416666669</v>
      </c>
      <c r="X135" s="14" t="s">
        <v>2767</v>
      </c>
      <c r="Y135" s="14">
        <v>-1615</v>
      </c>
      <c r="Z135" s="14" t="s">
        <v>2697</v>
      </c>
      <c r="AA135" s="18">
        <v>974.36577546299668</v>
      </c>
      <c r="AB135" s="18" t="s">
        <v>2697</v>
      </c>
      <c r="AC135" s="8">
        <f>tbl_DPSAC[[#This Row],[Current Month Due Count]]</f>
        <v>0</v>
      </c>
      <c r="AD135" s="8">
        <f>tbl_DPSAC[[#This Row],[Next Month Due2]]</f>
        <v>0</v>
      </c>
      <c r="AE135" s="8">
        <f t="shared" si="10"/>
        <v>1</v>
      </c>
      <c r="AF135" s="8">
        <v>3</v>
      </c>
      <c r="AG135" s="14">
        <f t="shared" ca="1" si="11"/>
        <v>6580</v>
      </c>
      <c r="AH135" s="8">
        <v>0</v>
      </c>
      <c r="AI135" s="8">
        <v>0</v>
      </c>
      <c r="AJ135" s="8">
        <v>0</v>
      </c>
      <c r="AK135" s="8">
        <v>0</v>
      </c>
      <c r="AL135" s="8">
        <v>0</v>
      </c>
      <c r="AM135" s="8">
        <v>0</v>
      </c>
      <c r="AN135" s="8">
        <v>0</v>
      </c>
      <c r="AO135" s="8">
        <v>0</v>
      </c>
      <c r="AP135" s="8">
        <v>0</v>
      </c>
      <c r="AQ135" s="8">
        <v>0</v>
      </c>
      <c r="AR135" s="8">
        <v>0</v>
      </c>
      <c r="AS135" s="8">
        <v>0</v>
      </c>
      <c r="AT135" s="8">
        <v>0</v>
      </c>
      <c r="AU135" s="8">
        <v>0</v>
      </c>
      <c r="AV135" s="8">
        <v>0</v>
      </c>
      <c r="AW135" s="8">
        <v>0</v>
      </c>
      <c r="AX135" s="8" t="s">
        <v>2961</v>
      </c>
      <c r="AY135" s="14">
        <v>3770</v>
      </c>
      <c r="AZ135" s="19">
        <v>45138</v>
      </c>
      <c r="BA135" s="14" t="s">
        <v>885</v>
      </c>
      <c r="BB135" s="14">
        <v>2856</v>
      </c>
      <c r="BC135" s="19">
        <v>44938.463842592595</v>
      </c>
      <c r="BD135" s="14" t="s">
        <v>886</v>
      </c>
      <c r="BE135" s="14">
        <v>3770</v>
      </c>
      <c r="BF135" s="19">
        <v>45138</v>
      </c>
      <c r="BG135" s="14" t="s">
        <v>885</v>
      </c>
      <c r="BH135" s="14">
        <v>3770</v>
      </c>
      <c r="BI135" s="19">
        <v>45138</v>
      </c>
      <c r="BJ135" s="14" t="s">
        <v>885</v>
      </c>
      <c r="BK135" s="14">
        <v>2856</v>
      </c>
      <c r="BL135" s="19">
        <v>44938.463842592595</v>
      </c>
      <c r="BM135" s="14" t="s">
        <v>886</v>
      </c>
      <c r="BN135" s="27">
        <v>45318</v>
      </c>
      <c r="BO135" s="27">
        <v>45118.463842592595</v>
      </c>
      <c r="BP135" s="27">
        <v>45318</v>
      </c>
      <c r="BQ135" s="27">
        <v>45318</v>
      </c>
      <c r="BR135" s="27">
        <v>45303.463842592595</v>
      </c>
      <c r="BS135" s="28">
        <v>-2060</v>
      </c>
      <c r="BT135" s="29">
        <v>-2224</v>
      </c>
      <c r="BU135" s="29">
        <v>-2060</v>
      </c>
      <c r="BV135" s="29">
        <v>-2060</v>
      </c>
      <c r="BW135" s="29">
        <v>-2224</v>
      </c>
      <c r="BX135" s="30" t="s">
        <v>173</v>
      </c>
      <c r="BY135" s="8">
        <v>5</v>
      </c>
      <c r="BZ135" s="8">
        <v>0</v>
      </c>
      <c r="CA135" s="8">
        <v>0</v>
      </c>
      <c r="CB135" s="21">
        <v>45137.770833333299</v>
      </c>
      <c r="CC135" s="21">
        <v>45137.770833333299</v>
      </c>
      <c r="CD135" s="21">
        <v>45137.770833333299</v>
      </c>
      <c r="CE135" s="21">
        <v>45137.770833333299</v>
      </c>
      <c r="CF135" s="21">
        <v>45137.770833333299</v>
      </c>
      <c r="CG135" s="21">
        <v>44963.770833333299</v>
      </c>
      <c r="CH135" s="21">
        <v>0</v>
      </c>
      <c r="CI135" s="21">
        <v>0</v>
      </c>
      <c r="CJ135" s="21">
        <v>0</v>
      </c>
      <c r="CK135" s="22" t="s">
        <v>3064</v>
      </c>
      <c r="CL135" s="22" t="s">
        <v>3064</v>
      </c>
      <c r="CM135" s="22" t="s">
        <v>3064</v>
      </c>
      <c r="CN135" s="22" t="s">
        <v>3064</v>
      </c>
      <c r="CO135" s="22" t="s">
        <v>3064</v>
      </c>
      <c r="CP135" s="22" t="s">
        <v>3064</v>
      </c>
      <c r="CQ135" s="22" t="s">
        <v>2953</v>
      </c>
      <c r="CR135" s="22" t="s">
        <v>3064</v>
      </c>
      <c r="CS135" s="22" t="s">
        <v>3064</v>
      </c>
      <c r="CT135" s="22">
        <v>2</v>
      </c>
      <c r="CU135" s="21">
        <v>45317</v>
      </c>
      <c r="CV135" s="21">
        <v>45317</v>
      </c>
      <c r="CW135" s="21">
        <v>45317</v>
      </c>
      <c r="CX135" s="21">
        <v>45317</v>
      </c>
      <c r="CY135" s="21">
        <v>45317</v>
      </c>
      <c r="CZ135" s="21">
        <v>45233</v>
      </c>
      <c r="DA135" s="21">
        <v>46057</v>
      </c>
      <c r="DB135" s="21">
        <v>46020</v>
      </c>
      <c r="DC135" s="21">
        <v>46031</v>
      </c>
      <c r="DD135" s="8">
        <v>1</v>
      </c>
      <c r="DE135" s="8">
        <v>1</v>
      </c>
      <c r="DF135" s="8">
        <v>0</v>
      </c>
      <c r="DG135" s="8">
        <v>9</v>
      </c>
      <c r="DH135" s="8">
        <v>0</v>
      </c>
      <c r="DI135" s="8">
        <v>0</v>
      </c>
      <c r="DJ135" s="8" t="s">
        <v>3025</v>
      </c>
      <c r="DK135" s="21">
        <v>43797</v>
      </c>
      <c r="DL135" s="21">
        <v>43698.229166666664</v>
      </c>
      <c r="DM135" s="21">
        <v>45964</v>
      </c>
      <c r="DN135" s="18">
        <v>6135</v>
      </c>
      <c r="DO135" s="21">
        <v>0</v>
      </c>
      <c r="DP135" s="21">
        <v>0</v>
      </c>
      <c r="DQ135" s="21" t="s">
        <v>2955</v>
      </c>
      <c r="DR135" s="21">
        <v>45138</v>
      </c>
      <c r="DS135" s="21">
        <v>45138</v>
      </c>
      <c r="DT135" s="21">
        <v>45138</v>
      </c>
      <c r="DU135" s="21">
        <v>45138</v>
      </c>
      <c r="DV135" s="21">
        <v>45138</v>
      </c>
      <c r="DW135" s="21">
        <v>44964</v>
      </c>
      <c r="DX135" s="21">
        <v>0</v>
      </c>
      <c r="DY135" s="21">
        <v>0</v>
      </c>
      <c r="DZ135" s="21">
        <v>0</v>
      </c>
      <c r="EA135" s="8">
        <v>135</v>
      </c>
      <c r="EB135" s="8">
        <v>135</v>
      </c>
      <c r="EC135" s="8">
        <v>135</v>
      </c>
      <c r="ED135" s="8">
        <v>135</v>
      </c>
      <c r="EE135" s="8">
        <v>135</v>
      </c>
      <c r="EF135" s="8">
        <v>135</v>
      </c>
      <c r="EG135" s="8">
        <v>1000</v>
      </c>
      <c r="EH135" s="8">
        <v>135</v>
      </c>
      <c r="EI135" s="8">
        <v>135</v>
      </c>
      <c r="EJ135" s="8">
        <v>2</v>
      </c>
      <c r="EK135" s="8" t="s">
        <v>2624</v>
      </c>
      <c r="EL135" s="8">
        <v>148</v>
      </c>
      <c r="EM135" s="8">
        <v>444</v>
      </c>
      <c r="EN135" s="8">
        <v>-153</v>
      </c>
      <c r="EO135" s="8">
        <v>-153</v>
      </c>
      <c r="EP135" s="8">
        <v>-153</v>
      </c>
      <c r="EQ135" s="8">
        <v>-153</v>
      </c>
      <c r="ER135" s="8">
        <v>-153</v>
      </c>
      <c r="ES135" s="8">
        <v>-153</v>
      </c>
      <c r="ET135" s="8">
        <v>712</v>
      </c>
      <c r="EU135" s="8">
        <v>-153</v>
      </c>
      <c r="EV135" s="8">
        <v>-153</v>
      </c>
    </row>
    <row r="136" spans="1:152" x14ac:dyDescent="0.15">
      <c r="A136" s="8">
        <f>ROW([2]!tbl_DPSAC[[#This Row],[Sl. No.]])-1</f>
        <v>135</v>
      </c>
      <c r="B136" s="9" t="s">
        <v>136</v>
      </c>
      <c r="C136" s="9" t="s">
        <v>887</v>
      </c>
      <c r="D136" s="9" t="s">
        <v>888</v>
      </c>
      <c r="E136" s="9" t="s">
        <v>199</v>
      </c>
      <c r="F136" s="9" t="s">
        <v>161</v>
      </c>
      <c r="G136" s="10" t="s">
        <v>889</v>
      </c>
      <c r="H136" s="10" t="e">
        <f>_xlfn.XLOOKUP(C136,'[1]E&amp;DPSAC'!$K:$K,'[1]E&amp;DPSAC'!$E:$E,,0)</f>
        <v>#N/A</v>
      </c>
      <c r="I136" s="10" t="s">
        <v>890</v>
      </c>
      <c r="J136" s="10" t="s">
        <v>143</v>
      </c>
      <c r="K136" s="10" t="str">
        <f>_xlfn.XLOOKUP(C136,'[1]E&amp;DPSAC'!$K:$K,'[1]E&amp;DPSAC'!$G:$G,"",0)</f>
        <v/>
      </c>
      <c r="L136" s="9" t="str">
        <f t="shared" ca="1" si="8"/>
        <v>Non - Warranty</v>
      </c>
      <c r="M136" s="11">
        <v>43197</v>
      </c>
      <c r="N136" s="12">
        <v>24</v>
      </c>
      <c r="O136" s="11">
        <f t="shared" si="9"/>
        <v>43951</v>
      </c>
      <c r="P136" s="8" t="s">
        <v>213</v>
      </c>
      <c r="Q136" s="16" t="s">
        <v>143</v>
      </c>
      <c r="R136" s="15" t="s">
        <v>143</v>
      </c>
      <c r="S136" s="14" t="s">
        <v>143</v>
      </c>
      <c r="T136" s="15" t="s">
        <v>143</v>
      </c>
      <c r="U136" s="14" t="s">
        <v>143</v>
      </c>
      <c r="V136" s="14">
        <v>4880</v>
      </c>
      <c r="W136" s="17">
        <v>45964.713194444441</v>
      </c>
      <c r="X136" s="14" t="s">
        <v>143</v>
      </c>
      <c r="Y136" s="14">
        <v>0</v>
      </c>
      <c r="Z136" s="14" t="s">
        <v>2692</v>
      </c>
      <c r="AA136" s="18">
        <v>2916</v>
      </c>
      <c r="AB136" s="18" t="s">
        <v>2697</v>
      </c>
      <c r="AC136" s="8">
        <f>tbl_DPSAC[[#This Row],[Current Month Due Count]]</f>
        <v>0</v>
      </c>
      <c r="AD136" s="8">
        <f>tbl_DPSAC[[#This Row],[Next Month Due2]]</f>
        <v>0</v>
      </c>
      <c r="AE136" s="8">
        <f t="shared" si="10"/>
        <v>1</v>
      </c>
      <c r="AF136" s="8">
        <v>4</v>
      </c>
      <c r="AG136" s="14">
        <f t="shared" ca="1" si="11"/>
        <v>5473</v>
      </c>
      <c r="AH136" s="8">
        <v>0</v>
      </c>
      <c r="AI136" s="8">
        <v>0</v>
      </c>
      <c r="AJ136" s="8">
        <v>0</v>
      </c>
      <c r="AK136" s="8">
        <v>0</v>
      </c>
      <c r="AL136" s="8">
        <v>0</v>
      </c>
      <c r="AM136" s="8">
        <v>0</v>
      </c>
      <c r="AN136" s="8">
        <v>0</v>
      </c>
      <c r="AO136" s="8">
        <v>0</v>
      </c>
      <c r="AP136" s="8">
        <v>0</v>
      </c>
      <c r="AQ136" s="8">
        <v>0</v>
      </c>
      <c r="AR136" s="8">
        <v>0</v>
      </c>
      <c r="AS136" s="8">
        <v>0</v>
      </c>
      <c r="AT136" s="8">
        <v>0</v>
      </c>
      <c r="AU136" s="8">
        <v>0</v>
      </c>
      <c r="AV136" s="8">
        <v>0</v>
      </c>
      <c r="AW136" s="8">
        <v>0</v>
      </c>
      <c r="AX136" s="8" t="s">
        <v>2980</v>
      </c>
      <c r="AY136" s="14">
        <v>4500</v>
      </c>
      <c r="AZ136" s="19">
        <v>44806</v>
      </c>
      <c r="BA136" s="14"/>
      <c r="BB136" s="14">
        <v>4500</v>
      </c>
      <c r="BC136" s="19">
        <v>44806</v>
      </c>
      <c r="BD136" s="14"/>
      <c r="BE136" s="14">
        <v>4500</v>
      </c>
      <c r="BF136" s="19">
        <v>44806</v>
      </c>
      <c r="BG136" s="14"/>
      <c r="BH136" s="14">
        <v>4500</v>
      </c>
      <c r="BI136" s="19">
        <v>44806</v>
      </c>
      <c r="BJ136" s="14"/>
      <c r="BK136" s="14">
        <v>4500</v>
      </c>
      <c r="BL136" s="19">
        <v>44806</v>
      </c>
      <c r="BM136" s="14"/>
      <c r="BN136" s="27">
        <v>44986</v>
      </c>
      <c r="BO136" s="27">
        <v>44986</v>
      </c>
      <c r="BP136" s="27">
        <v>44986</v>
      </c>
      <c r="BQ136" s="27">
        <v>44986</v>
      </c>
      <c r="BR136" s="27">
        <v>45171</v>
      </c>
      <c r="BS136" s="28">
        <v>-223</v>
      </c>
      <c r="BT136" s="29">
        <v>527</v>
      </c>
      <c r="BU136" s="29">
        <v>-223</v>
      </c>
      <c r="BV136" s="29">
        <v>-223</v>
      </c>
      <c r="BW136" s="29">
        <v>527</v>
      </c>
      <c r="BX136" s="30" t="e">
        <v>#N/A</v>
      </c>
      <c r="BY136" s="8">
        <v>5</v>
      </c>
      <c r="BZ136" s="8">
        <v>0</v>
      </c>
      <c r="CA136" s="8">
        <v>0</v>
      </c>
      <c r="CB136" s="21">
        <v>45907.770833333299</v>
      </c>
      <c r="CC136" s="21">
        <v>45907.770833333299</v>
      </c>
      <c r="CD136" s="21">
        <v>45907.770833333299</v>
      </c>
      <c r="CE136" s="21">
        <v>45907.770833333299</v>
      </c>
      <c r="CF136" s="21">
        <v>45907.770833333299</v>
      </c>
      <c r="CG136" s="21">
        <v>45907.770833333299</v>
      </c>
      <c r="CH136" s="21">
        <v>45907.770833333299</v>
      </c>
      <c r="CI136" s="21">
        <v>45907.770833333299</v>
      </c>
      <c r="CJ136" s="21">
        <v>45907.770833333299</v>
      </c>
      <c r="CK136" s="22" t="s">
        <v>3031</v>
      </c>
      <c r="CL136" s="22" t="s">
        <v>3031</v>
      </c>
      <c r="CM136" s="22" t="s">
        <v>3031</v>
      </c>
      <c r="CN136" s="22" t="s">
        <v>3031</v>
      </c>
      <c r="CO136" s="22" t="s">
        <v>3031</v>
      </c>
      <c r="CP136" s="22" t="s">
        <v>3065</v>
      </c>
      <c r="CQ136" s="22" t="s">
        <v>2953</v>
      </c>
      <c r="CR136" s="22" t="s">
        <v>3065</v>
      </c>
      <c r="CS136" s="22" t="s">
        <v>3065</v>
      </c>
      <c r="CT136" s="22">
        <v>4</v>
      </c>
      <c r="CU136" s="21">
        <v>46056</v>
      </c>
      <c r="CV136" s="21">
        <v>46056</v>
      </c>
      <c r="CW136" s="21">
        <v>46056</v>
      </c>
      <c r="CX136" s="21">
        <v>46056</v>
      </c>
      <c r="CY136" s="21">
        <v>46056</v>
      </c>
      <c r="CZ136" s="21">
        <v>46177</v>
      </c>
      <c r="DA136" s="21">
        <v>46214</v>
      </c>
      <c r="DB136" s="21">
        <v>46087</v>
      </c>
      <c r="DC136" s="21">
        <v>46244</v>
      </c>
      <c r="DD136" s="8">
        <v>0</v>
      </c>
      <c r="DE136" s="8">
        <v>1</v>
      </c>
      <c r="DF136" s="8">
        <v>1</v>
      </c>
      <c r="DG136" s="8">
        <v>6</v>
      </c>
      <c r="DH136" s="8">
        <v>0</v>
      </c>
      <c r="DI136" s="8">
        <v>0</v>
      </c>
      <c r="DJ136" s="8" t="s">
        <v>2976</v>
      </c>
      <c r="DK136" s="21">
        <v>43197</v>
      </c>
      <c r="DL136" s="21">
        <v>43138</v>
      </c>
      <c r="DM136" s="21">
        <v>45964</v>
      </c>
      <c r="DN136" s="18">
        <v>4880</v>
      </c>
      <c r="DO136" s="21">
        <v>0</v>
      </c>
      <c r="DP136" s="21">
        <v>0</v>
      </c>
      <c r="DQ136" s="21" t="s">
        <v>2955</v>
      </c>
      <c r="DR136" s="21">
        <v>45908</v>
      </c>
      <c r="DS136" s="21">
        <v>45908</v>
      </c>
      <c r="DT136" s="21">
        <v>45908</v>
      </c>
      <c r="DU136" s="21">
        <v>45908</v>
      </c>
      <c r="DV136" s="21">
        <v>45908</v>
      </c>
      <c r="DW136" s="21">
        <v>45908</v>
      </c>
      <c r="DX136" s="21">
        <v>45908</v>
      </c>
      <c r="DY136" s="21">
        <v>45908</v>
      </c>
      <c r="DZ136" s="21">
        <v>45908</v>
      </c>
      <c r="EA136" s="8">
        <v>370</v>
      </c>
      <c r="EB136" s="8">
        <v>370</v>
      </c>
      <c r="EC136" s="8">
        <v>370</v>
      </c>
      <c r="ED136" s="8">
        <v>370</v>
      </c>
      <c r="EE136" s="8">
        <v>370</v>
      </c>
      <c r="EF136" s="8">
        <v>1120</v>
      </c>
      <c r="EG136" s="8">
        <v>1000</v>
      </c>
      <c r="EH136" s="8">
        <v>1120</v>
      </c>
      <c r="EI136" s="8">
        <v>1120</v>
      </c>
      <c r="EJ136" s="8">
        <v>4</v>
      </c>
      <c r="EK136" s="8" t="s">
        <v>2624</v>
      </c>
      <c r="EL136" s="8">
        <v>148</v>
      </c>
      <c r="EM136" s="8">
        <v>592</v>
      </c>
      <c r="EN136" s="8">
        <v>82</v>
      </c>
      <c r="EO136" s="8">
        <v>82</v>
      </c>
      <c r="EP136" s="8">
        <v>82</v>
      </c>
      <c r="EQ136" s="8">
        <v>82</v>
      </c>
      <c r="ER136" s="8">
        <v>82</v>
      </c>
      <c r="ES136" s="8">
        <v>832</v>
      </c>
      <c r="ET136" s="8">
        <v>712</v>
      </c>
      <c r="EU136" s="8">
        <v>832</v>
      </c>
      <c r="EV136" s="8">
        <v>832</v>
      </c>
    </row>
    <row r="137" spans="1:152" x14ac:dyDescent="0.15">
      <c r="A137" s="8">
        <f>ROW([2]!tbl_DPSAC[[#This Row],[Sl. No.]])-1</f>
        <v>136</v>
      </c>
      <c r="B137" s="9" t="s">
        <v>196</v>
      </c>
      <c r="C137" s="9" t="s">
        <v>891</v>
      </c>
      <c r="D137" s="9" t="s">
        <v>697</v>
      </c>
      <c r="E137" s="9" t="s">
        <v>176</v>
      </c>
      <c r="F137" s="9" t="s">
        <v>161</v>
      </c>
      <c r="G137" s="10" t="s">
        <v>892</v>
      </c>
      <c r="H137" s="10" t="str">
        <f>_xlfn.XLOOKUP(C137,'[1]E&amp;DPSAC'!$K:$K,'[1]E&amp;DPSAC'!$E:$E,,0)</f>
        <v>GAYA, BIHAR</v>
      </c>
      <c r="I137" s="10"/>
      <c r="J137" s="10">
        <v>9631508677</v>
      </c>
      <c r="K137" s="10">
        <f>_xlfn.XLOOKUP(C137,'[1]E&amp;DPSAC'!$K:$K,'[1]E&amp;DPSAC'!$G:$G,"",0)</f>
        <v>9631508677</v>
      </c>
      <c r="L137" s="9" t="str">
        <f t="shared" ca="1" si="8"/>
        <v>Non - Warranty</v>
      </c>
      <c r="M137" s="11">
        <v>43461</v>
      </c>
      <c r="N137" s="12">
        <v>24</v>
      </c>
      <c r="O137" s="11">
        <f t="shared" si="9"/>
        <v>44196</v>
      </c>
      <c r="P137" s="8" t="s">
        <v>681</v>
      </c>
      <c r="Q137" s="16" t="s">
        <v>2636</v>
      </c>
      <c r="R137" s="15">
        <v>43582.473645833299</v>
      </c>
      <c r="S137" s="14">
        <v>498</v>
      </c>
      <c r="T137" s="15">
        <v>43485</v>
      </c>
      <c r="U137" s="14">
        <v>498.2</v>
      </c>
      <c r="V137" s="14">
        <v>5520</v>
      </c>
      <c r="W137" s="17">
        <v>45940.565972222219</v>
      </c>
      <c r="X137" s="14">
        <v>0</v>
      </c>
      <c r="Y137" s="14">
        <v>-4272</v>
      </c>
      <c r="Z137" s="14" t="s">
        <v>2697</v>
      </c>
      <c r="AA137" s="18">
        <v>2530.5263541667009</v>
      </c>
      <c r="AB137" s="18" t="s">
        <v>2697</v>
      </c>
      <c r="AC137" s="8">
        <f>tbl_DPSAC[[#This Row],[Current Month Due Count]]</f>
        <v>0</v>
      </c>
      <c r="AD137" s="8">
        <f>tbl_DPSAC[[#This Row],[Next Month Due2]]</f>
        <v>0</v>
      </c>
      <c r="AE137" s="8">
        <f t="shared" si="10"/>
        <v>1</v>
      </c>
      <c r="AF137" s="8">
        <v>0</v>
      </c>
      <c r="AG137" s="14">
        <f t="shared" ca="1" si="11"/>
        <v>5520</v>
      </c>
      <c r="AH137" s="8" t="s">
        <v>893</v>
      </c>
      <c r="AI137" s="8">
        <v>0</v>
      </c>
      <c r="AJ137" s="8">
        <v>0</v>
      </c>
      <c r="AK137" s="8">
        <v>0</v>
      </c>
      <c r="AL137" s="8">
        <v>0</v>
      </c>
      <c r="AM137" s="8">
        <v>0</v>
      </c>
      <c r="AN137" s="8">
        <v>0</v>
      </c>
      <c r="AO137" s="8">
        <v>0</v>
      </c>
      <c r="AP137" s="8">
        <v>0</v>
      </c>
      <c r="AQ137" s="8">
        <v>0</v>
      </c>
      <c r="AR137" s="8">
        <v>0</v>
      </c>
      <c r="AS137" s="8">
        <v>0</v>
      </c>
      <c r="AT137" s="8">
        <v>0</v>
      </c>
      <c r="AU137" s="8">
        <v>0</v>
      </c>
      <c r="AV137" s="8">
        <v>0</v>
      </c>
      <c r="AW137" s="8">
        <v>0</v>
      </c>
      <c r="AX137" s="8" t="s">
        <v>2961</v>
      </c>
      <c r="AY137" s="14">
        <v>1700</v>
      </c>
      <c r="AZ137" s="19">
        <v>44313.473645833335</v>
      </c>
      <c r="BA137" s="14"/>
      <c r="BB137" s="14">
        <v>1700</v>
      </c>
      <c r="BC137" s="19">
        <v>44313.473645833335</v>
      </c>
      <c r="BD137" s="14"/>
      <c r="BE137" s="14">
        <v>1700</v>
      </c>
      <c r="BF137" s="19">
        <v>44313.473645833335</v>
      </c>
      <c r="BG137" s="14"/>
      <c r="BH137" s="14">
        <v>1700</v>
      </c>
      <c r="BI137" s="19">
        <v>44313.473645833335</v>
      </c>
      <c r="BJ137" s="14"/>
      <c r="BK137" s="14">
        <v>1700</v>
      </c>
      <c r="BL137" s="19">
        <v>44313.473645833335</v>
      </c>
      <c r="BM137" s="14"/>
      <c r="BN137" s="27">
        <v>44493.473645833335</v>
      </c>
      <c r="BO137" s="27">
        <v>44493.473645833335</v>
      </c>
      <c r="BP137" s="27">
        <v>44493.473645833335</v>
      </c>
      <c r="BQ137" s="27">
        <v>44493.473645833335</v>
      </c>
      <c r="BR137" s="27">
        <v>44678.473645833335</v>
      </c>
      <c r="BS137" s="28">
        <v>-3070</v>
      </c>
      <c r="BT137" s="29">
        <v>-2320</v>
      </c>
      <c r="BU137" s="29">
        <v>-3070</v>
      </c>
      <c r="BV137" s="29">
        <v>-3070</v>
      </c>
      <c r="BW137" s="29">
        <v>-2320</v>
      </c>
      <c r="BX137" s="30" t="s">
        <v>152</v>
      </c>
      <c r="BY137" s="8">
        <v>5</v>
      </c>
      <c r="BZ137" s="8">
        <v>0</v>
      </c>
      <c r="CA137" s="8">
        <v>0</v>
      </c>
      <c r="CB137" s="21">
        <v>0</v>
      </c>
      <c r="CC137" s="21">
        <v>0</v>
      </c>
      <c r="CD137" s="21">
        <v>0</v>
      </c>
      <c r="CE137" s="21">
        <v>0</v>
      </c>
      <c r="CF137" s="21">
        <v>0</v>
      </c>
      <c r="CG137" s="21">
        <v>0</v>
      </c>
      <c r="CH137" s="21">
        <v>0</v>
      </c>
      <c r="CI137" s="21">
        <v>0</v>
      </c>
      <c r="CJ137" s="21">
        <v>0</v>
      </c>
      <c r="CK137" s="22" t="s">
        <v>3066</v>
      </c>
      <c r="CL137" s="22" t="s">
        <v>3066</v>
      </c>
      <c r="CM137" s="22" t="s">
        <v>3066</v>
      </c>
      <c r="CN137" s="22" t="s">
        <v>3066</v>
      </c>
      <c r="CO137" s="22" t="s">
        <v>3066</v>
      </c>
      <c r="CP137" s="22" t="s">
        <v>3067</v>
      </c>
      <c r="CQ137" s="22" t="s">
        <v>2953</v>
      </c>
      <c r="CR137" s="22" t="s">
        <v>3067</v>
      </c>
      <c r="CS137" s="22" t="s">
        <v>3067</v>
      </c>
      <c r="CT137" s="22">
        <v>0</v>
      </c>
      <c r="CU137" s="21">
        <v>0</v>
      </c>
      <c r="CV137" s="21">
        <v>0</v>
      </c>
      <c r="CW137" s="21">
        <v>0</v>
      </c>
      <c r="CX137" s="21">
        <v>0</v>
      </c>
      <c r="CY137" s="21">
        <v>0</v>
      </c>
      <c r="CZ137" s="21">
        <v>0</v>
      </c>
      <c r="DA137" s="21">
        <v>0</v>
      </c>
      <c r="DB137" s="21">
        <v>0</v>
      </c>
      <c r="DC137" s="21">
        <v>0</v>
      </c>
      <c r="DD137" s="8">
        <v>0</v>
      </c>
      <c r="DE137" s="8">
        <v>0</v>
      </c>
      <c r="DF137" s="8">
        <v>0</v>
      </c>
      <c r="DG137" s="8">
        <v>9</v>
      </c>
      <c r="DH137" s="8">
        <v>0</v>
      </c>
      <c r="DI137" s="8">
        <v>0</v>
      </c>
      <c r="DJ137" s="8" t="s">
        <v>3025</v>
      </c>
      <c r="DK137" s="21">
        <v>43461</v>
      </c>
      <c r="DL137" s="21">
        <v>43438.229166666664</v>
      </c>
      <c r="DM137" s="21">
        <v>45940</v>
      </c>
      <c r="DN137" s="18">
        <v>5520</v>
      </c>
      <c r="DO137" s="21">
        <v>0</v>
      </c>
      <c r="DP137" s="21">
        <v>0</v>
      </c>
      <c r="DQ137" s="21">
        <v>0</v>
      </c>
      <c r="DR137" s="21">
        <v>0</v>
      </c>
      <c r="DS137" s="21">
        <v>0</v>
      </c>
      <c r="DT137" s="21">
        <v>0</v>
      </c>
      <c r="DU137" s="21">
        <v>0</v>
      </c>
      <c r="DV137" s="21">
        <v>0</v>
      </c>
      <c r="DW137" s="21">
        <v>0</v>
      </c>
      <c r="DX137" s="21">
        <v>0</v>
      </c>
      <c r="DY137" s="21">
        <v>0</v>
      </c>
      <c r="DZ137" s="21">
        <v>0</v>
      </c>
      <c r="EA137" s="8">
        <v>570</v>
      </c>
      <c r="EB137" s="8">
        <v>570</v>
      </c>
      <c r="EC137" s="8">
        <v>570</v>
      </c>
      <c r="ED137" s="8">
        <v>570</v>
      </c>
      <c r="EE137" s="8">
        <v>570</v>
      </c>
      <c r="EF137" s="8">
        <v>1070</v>
      </c>
      <c r="EG137" s="8">
        <v>1000</v>
      </c>
      <c r="EH137" s="8">
        <v>1070</v>
      </c>
      <c r="EI137" s="8">
        <v>1070</v>
      </c>
      <c r="EJ137" s="8">
        <v>0</v>
      </c>
      <c r="EK137" s="8" t="s">
        <v>2624</v>
      </c>
      <c r="EL137" s="8">
        <v>172</v>
      </c>
      <c r="EM137" s="8">
        <v>0</v>
      </c>
      <c r="EN137" s="8">
        <v>282</v>
      </c>
      <c r="EO137" s="8">
        <v>282</v>
      </c>
      <c r="EP137" s="8">
        <v>282</v>
      </c>
      <c r="EQ137" s="8">
        <v>282</v>
      </c>
      <c r="ER137" s="8">
        <v>282</v>
      </c>
      <c r="ES137" s="8">
        <v>782</v>
      </c>
      <c r="ET137" s="8">
        <v>712</v>
      </c>
      <c r="EU137" s="8">
        <v>782</v>
      </c>
      <c r="EV137" s="8">
        <v>782</v>
      </c>
    </row>
    <row r="138" spans="1:152" x14ac:dyDescent="0.15">
      <c r="A138" s="8">
        <f>ROW([2]!tbl_DPSAC[[#This Row],[Sl. No.]])-1</f>
        <v>137</v>
      </c>
      <c r="B138" s="9" t="s">
        <v>196</v>
      </c>
      <c r="C138" s="9" t="s">
        <v>894</v>
      </c>
      <c r="D138" s="9" t="s">
        <v>175</v>
      </c>
      <c r="E138" s="9" t="s">
        <v>176</v>
      </c>
      <c r="F138" s="9" t="s">
        <v>161</v>
      </c>
      <c r="G138" s="10" t="s">
        <v>895</v>
      </c>
      <c r="H138" s="10" t="str">
        <f>_xlfn.XLOOKUP(C138,'[1]E&amp;DPSAC'!$K:$K,'[1]E&amp;DPSAC'!$E:$E,,0)</f>
        <v>GAYA, BIHAR</v>
      </c>
      <c r="I138" s="10" t="s">
        <v>896</v>
      </c>
      <c r="J138" s="10">
        <v>7272956960</v>
      </c>
      <c r="K138" s="10">
        <f>_xlfn.XLOOKUP(C138,'[1]E&amp;DPSAC'!$K:$K,'[1]E&amp;DPSAC'!$G:$G,"",0)</f>
        <v>7272956960</v>
      </c>
      <c r="L138" s="9" t="str">
        <f t="shared" ca="1" si="8"/>
        <v>Non - Warranty</v>
      </c>
      <c r="M138" s="11">
        <v>43775</v>
      </c>
      <c r="N138" s="12">
        <v>24</v>
      </c>
      <c r="O138" s="11">
        <f t="shared" si="9"/>
        <v>44530</v>
      </c>
      <c r="P138" s="8" t="s">
        <v>681</v>
      </c>
      <c r="Q138" s="16" t="s">
        <v>899</v>
      </c>
      <c r="R138" s="15">
        <v>45227.4621527778</v>
      </c>
      <c r="S138" s="14">
        <v>3063</v>
      </c>
      <c r="T138" s="15">
        <v>45227</v>
      </c>
      <c r="U138" s="14">
        <v>3063</v>
      </c>
      <c r="V138" s="14">
        <v>4485</v>
      </c>
      <c r="W138" s="17">
        <v>45940.570138888892</v>
      </c>
      <c r="X138" s="14" t="s">
        <v>2768</v>
      </c>
      <c r="Y138" s="14">
        <v>-672</v>
      </c>
      <c r="Z138" s="14" t="s">
        <v>2697</v>
      </c>
      <c r="AA138" s="18">
        <v>885.53784722220007</v>
      </c>
      <c r="AB138" s="18" t="s">
        <v>2697</v>
      </c>
      <c r="AC138" s="8">
        <f>tbl_DPSAC[[#This Row],[Current Month Due Count]]</f>
        <v>0</v>
      </c>
      <c r="AD138" s="8">
        <f>tbl_DPSAC[[#This Row],[Next Month Due2]]</f>
        <v>0</v>
      </c>
      <c r="AE138" s="8">
        <f t="shared" si="10"/>
        <v>1</v>
      </c>
      <c r="AF138" s="8">
        <v>2</v>
      </c>
      <c r="AG138" s="14">
        <f t="shared" ca="1" si="11"/>
        <v>4830</v>
      </c>
      <c r="AH138" s="8" t="s">
        <v>897</v>
      </c>
      <c r="AI138" s="8" t="s">
        <v>898</v>
      </c>
      <c r="AJ138" s="8">
        <v>0</v>
      </c>
      <c r="AK138" s="8">
        <v>0</v>
      </c>
      <c r="AL138" s="8">
        <v>0</v>
      </c>
      <c r="AM138" s="8">
        <v>0</v>
      </c>
      <c r="AN138" s="8">
        <v>0</v>
      </c>
      <c r="AO138" s="8">
        <v>0</v>
      </c>
      <c r="AP138" s="8">
        <v>0</v>
      </c>
      <c r="AQ138" s="8">
        <v>0</v>
      </c>
      <c r="AR138" s="8">
        <v>0</v>
      </c>
      <c r="AS138" s="8">
        <v>0</v>
      </c>
      <c r="AT138" s="8">
        <v>0</v>
      </c>
      <c r="AU138" s="8">
        <v>0</v>
      </c>
      <c r="AV138" s="8">
        <v>0</v>
      </c>
      <c r="AW138" s="8">
        <v>0</v>
      </c>
      <c r="AX138" s="8" t="s">
        <v>2961</v>
      </c>
      <c r="AY138" s="14">
        <v>3063</v>
      </c>
      <c r="AZ138" s="19">
        <v>45227</v>
      </c>
      <c r="BA138" s="14" t="s">
        <v>899</v>
      </c>
      <c r="BB138" s="14">
        <v>1639</v>
      </c>
      <c r="BC138" s="19">
        <v>44763</v>
      </c>
      <c r="BD138" s="14" t="s">
        <v>900</v>
      </c>
      <c r="BE138" s="14">
        <v>3063</v>
      </c>
      <c r="BF138" s="19">
        <v>45227</v>
      </c>
      <c r="BG138" s="14" t="s">
        <v>899</v>
      </c>
      <c r="BH138" s="14">
        <v>1639</v>
      </c>
      <c r="BI138" s="19">
        <v>44763</v>
      </c>
      <c r="BJ138" s="14" t="s">
        <v>900</v>
      </c>
      <c r="BK138" s="14">
        <v>1639</v>
      </c>
      <c r="BL138" s="19">
        <v>44763</v>
      </c>
      <c r="BM138" s="14" t="s">
        <v>900</v>
      </c>
      <c r="BN138" s="27">
        <v>45407</v>
      </c>
      <c r="BO138" s="27">
        <v>44943</v>
      </c>
      <c r="BP138" s="27">
        <v>45407</v>
      </c>
      <c r="BQ138" s="27">
        <v>44943</v>
      </c>
      <c r="BR138" s="27">
        <v>45128</v>
      </c>
      <c r="BS138" s="28">
        <v>-1017</v>
      </c>
      <c r="BT138" s="29">
        <v>-1691</v>
      </c>
      <c r="BU138" s="29">
        <v>-1017</v>
      </c>
      <c r="BV138" s="29">
        <v>-2441</v>
      </c>
      <c r="BW138" s="29">
        <v>-1691</v>
      </c>
      <c r="BX138" s="30" t="s">
        <v>173</v>
      </c>
      <c r="BY138" s="8">
        <v>5</v>
      </c>
      <c r="BZ138" s="8">
        <v>0</v>
      </c>
      <c r="CA138" s="8">
        <v>0</v>
      </c>
      <c r="CB138" s="21">
        <v>45226.770833333299</v>
      </c>
      <c r="CC138" s="21">
        <v>45226.770833333299</v>
      </c>
      <c r="CD138" s="21">
        <v>45226.770833333299</v>
      </c>
      <c r="CE138" s="21">
        <v>45226.770833333299</v>
      </c>
      <c r="CF138" s="21">
        <v>45226.770833333299</v>
      </c>
      <c r="CG138" s="21">
        <v>45226.770833333299</v>
      </c>
      <c r="CH138" s="21">
        <v>45226.770833333299</v>
      </c>
      <c r="CI138" s="21">
        <v>45226.770833333299</v>
      </c>
      <c r="CJ138" s="21">
        <v>0</v>
      </c>
      <c r="CK138" s="22" t="s">
        <v>3068</v>
      </c>
      <c r="CL138" s="22" t="s">
        <v>3068</v>
      </c>
      <c r="CM138" s="22" t="s">
        <v>3068</v>
      </c>
      <c r="CN138" s="22" t="s">
        <v>3068</v>
      </c>
      <c r="CO138" s="22" t="s">
        <v>3068</v>
      </c>
      <c r="CP138" s="22" t="s">
        <v>3051</v>
      </c>
      <c r="CQ138" s="22" t="s">
        <v>2953</v>
      </c>
      <c r="CR138" s="22" t="s">
        <v>3051</v>
      </c>
      <c r="CS138" s="22" t="s">
        <v>3051</v>
      </c>
      <c r="CT138" s="22">
        <v>2</v>
      </c>
      <c r="CU138" s="21">
        <v>45406</v>
      </c>
      <c r="CV138" s="21">
        <v>45406</v>
      </c>
      <c r="CW138" s="21">
        <v>45406</v>
      </c>
      <c r="CX138" s="21">
        <v>45406</v>
      </c>
      <c r="CY138" s="21">
        <v>45406</v>
      </c>
      <c r="CZ138" s="21">
        <v>45496</v>
      </c>
      <c r="DA138" s="21">
        <v>45591</v>
      </c>
      <c r="DB138" s="21">
        <v>45406</v>
      </c>
      <c r="DC138" s="21">
        <v>46139</v>
      </c>
      <c r="DD138" s="8">
        <v>1</v>
      </c>
      <c r="DE138" s="8">
        <v>0</v>
      </c>
      <c r="DF138" s="8">
        <v>0</v>
      </c>
      <c r="DG138" s="8">
        <v>8</v>
      </c>
      <c r="DH138" s="8">
        <v>1</v>
      </c>
      <c r="DI138" s="8">
        <v>0</v>
      </c>
      <c r="DJ138" s="8" t="s">
        <v>3025</v>
      </c>
      <c r="DK138" s="21">
        <v>43775</v>
      </c>
      <c r="DL138" s="21">
        <v>43731.229166666664</v>
      </c>
      <c r="DM138" s="21">
        <v>45940</v>
      </c>
      <c r="DN138" s="18">
        <v>4485</v>
      </c>
      <c r="DO138" s="21">
        <v>0</v>
      </c>
      <c r="DP138" s="21">
        <v>0</v>
      </c>
      <c r="DQ138" s="21" t="s">
        <v>2955</v>
      </c>
      <c r="DR138" s="21">
        <v>45227</v>
      </c>
      <c r="DS138" s="21">
        <v>45227</v>
      </c>
      <c r="DT138" s="21">
        <v>45227</v>
      </c>
      <c r="DU138" s="21">
        <v>45227</v>
      </c>
      <c r="DV138" s="21">
        <v>45227</v>
      </c>
      <c r="DW138" s="21">
        <v>45227</v>
      </c>
      <c r="DX138" s="21">
        <v>45227</v>
      </c>
      <c r="DY138" s="21">
        <v>45227</v>
      </c>
      <c r="DZ138" s="21">
        <v>0</v>
      </c>
      <c r="EA138" s="8">
        <v>670</v>
      </c>
      <c r="EB138" s="8">
        <v>670</v>
      </c>
      <c r="EC138" s="8">
        <v>670</v>
      </c>
      <c r="ED138" s="8">
        <v>670</v>
      </c>
      <c r="EE138" s="8">
        <v>670</v>
      </c>
      <c r="EF138" s="8">
        <v>1170</v>
      </c>
      <c r="EG138" s="8">
        <v>1000</v>
      </c>
      <c r="EH138" s="8">
        <v>1170</v>
      </c>
      <c r="EI138" s="8">
        <v>1170</v>
      </c>
      <c r="EJ138" s="8">
        <v>2</v>
      </c>
      <c r="EK138" s="8" t="s">
        <v>2624</v>
      </c>
      <c r="EL138" s="8">
        <v>172</v>
      </c>
      <c r="EM138" s="8">
        <v>344</v>
      </c>
      <c r="EN138" s="8">
        <v>382</v>
      </c>
      <c r="EO138" s="8">
        <v>382</v>
      </c>
      <c r="EP138" s="8">
        <v>382</v>
      </c>
      <c r="EQ138" s="8">
        <v>382</v>
      </c>
      <c r="ER138" s="8">
        <v>382</v>
      </c>
      <c r="ES138" s="8">
        <v>882</v>
      </c>
      <c r="ET138" s="8">
        <v>712</v>
      </c>
      <c r="EU138" s="8">
        <v>882</v>
      </c>
      <c r="EV138" s="8">
        <v>882</v>
      </c>
    </row>
    <row r="139" spans="1:152" x14ac:dyDescent="0.15">
      <c r="A139" s="8">
        <f>ROW([2]!tbl_DPSAC[[#This Row],[Sl. No.]])-1</f>
        <v>138</v>
      </c>
      <c r="B139" s="9" t="s">
        <v>136</v>
      </c>
      <c r="C139" s="9" t="s">
        <v>901</v>
      </c>
      <c r="D139" s="9" t="s">
        <v>198</v>
      </c>
      <c r="E139" s="9" t="s">
        <v>199</v>
      </c>
      <c r="F139" s="9" t="s">
        <v>161</v>
      </c>
      <c r="G139" s="10" t="s">
        <v>889</v>
      </c>
      <c r="H139" s="10">
        <f>_xlfn.XLOOKUP(C139,'[1]E&amp;DPSAC'!$K:$K,'[1]E&amp;DPSAC'!$E:$E,,0)</f>
        <v>0</v>
      </c>
      <c r="I139" s="10" t="s">
        <v>890</v>
      </c>
      <c r="J139" s="10">
        <v>9931133220</v>
      </c>
      <c r="K139" s="10">
        <f>_xlfn.XLOOKUP(C139,'[1]E&amp;DPSAC'!$K:$K,'[1]E&amp;DPSAC'!$G:$G,"",0)</f>
        <v>9931133220</v>
      </c>
      <c r="L139" s="9" t="str">
        <f t="shared" ca="1" si="8"/>
        <v>Non - Warranty</v>
      </c>
      <c r="M139" s="11">
        <v>43182</v>
      </c>
      <c r="N139" s="12">
        <v>24</v>
      </c>
      <c r="O139" s="11">
        <f t="shared" si="9"/>
        <v>43921</v>
      </c>
      <c r="P139" s="8" t="s">
        <v>213</v>
      </c>
      <c r="Q139" s="16" t="s">
        <v>902</v>
      </c>
      <c r="R139" s="15">
        <v>45339.6461921296</v>
      </c>
      <c r="S139" s="14">
        <v>2285</v>
      </c>
      <c r="T139" s="15">
        <v>45339</v>
      </c>
      <c r="U139" s="14">
        <v>2285</v>
      </c>
      <c r="V139" s="14">
        <v>4750</v>
      </c>
      <c r="W139" s="17">
        <v>46041.708078703698</v>
      </c>
      <c r="X139" s="14" t="s">
        <v>2769</v>
      </c>
      <c r="Y139" s="14">
        <v>-1715</v>
      </c>
      <c r="Z139" s="14" t="s">
        <v>2697</v>
      </c>
      <c r="AA139" s="18">
        <v>773.35380787040049</v>
      </c>
      <c r="AB139" s="18" t="s">
        <v>2697</v>
      </c>
      <c r="AC139" s="8">
        <f>tbl_DPSAC[[#This Row],[Current Month Due Count]]</f>
        <v>0</v>
      </c>
      <c r="AD139" s="8">
        <f>tbl_DPSAC[[#This Row],[Next Month Due2]]</f>
        <v>0</v>
      </c>
      <c r="AE139" s="8">
        <f t="shared" si="10"/>
        <v>1</v>
      </c>
      <c r="AF139" s="8">
        <v>4</v>
      </c>
      <c r="AG139" s="14">
        <f t="shared" ca="1" si="11"/>
        <v>5035</v>
      </c>
      <c r="AH139" s="8">
        <v>0</v>
      </c>
      <c r="AI139" s="8">
        <v>0</v>
      </c>
      <c r="AJ139" s="8">
        <v>0</v>
      </c>
      <c r="AK139" s="8">
        <v>0</v>
      </c>
      <c r="AL139" s="8">
        <v>0</v>
      </c>
      <c r="AM139" s="8">
        <v>0</v>
      </c>
      <c r="AN139" s="8">
        <v>0</v>
      </c>
      <c r="AO139" s="8">
        <v>0</v>
      </c>
      <c r="AP139" s="8">
        <v>0</v>
      </c>
      <c r="AQ139" s="8">
        <v>0</v>
      </c>
      <c r="AR139" s="8">
        <v>0</v>
      </c>
      <c r="AS139" s="8">
        <v>0</v>
      </c>
      <c r="AT139" s="8">
        <v>0</v>
      </c>
      <c r="AU139" s="8">
        <v>0</v>
      </c>
      <c r="AV139" s="8">
        <v>0</v>
      </c>
      <c r="AW139" s="8">
        <v>0</v>
      </c>
      <c r="AX139" s="8" t="s">
        <v>2961</v>
      </c>
      <c r="AY139" s="14">
        <v>2240</v>
      </c>
      <c r="AZ139" s="19">
        <v>45339</v>
      </c>
      <c r="BA139" s="14" t="s">
        <v>902</v>
      </c>
      <c r="BB139" s="14">
        <v>2240</v>
      </c>
      <c r="BC139" s="19">
        <v>45339</v>
      </c>
      <c r="BD139" s="14" t="s">
        <v>902</v>
      </c>
      <c r="BE139" s="14">
        <v>2240</v>
      </c>
      <c r="BF139" s="19">
        <v>45339</v>
      </c>
      <c r="BG139" s="14" t="s">
        <v>902</v>
      </c>
      <c r="BH139" s="14">
        <v>2240</v>
      </c>
      <c r="BI139" s="19">
        <v>45339</v>
      </c>
      <c r="BJ139" s="14" t="s">
        <v>902</v>
      </c>
      <c r="BK139" s="14">
        <v>2240</v>
      </c>
      <c r="BL139" s="19">
        <v>45339</v>
      </c>
      <c r="BM139" s="14" t="s">
        <v>902</v>
      </c>
      <c r="BN139" s="27">
        <v>45519</v>
      </c>
      <c r="BO139" s="27">
        <v>45519</v>
      </c>
      <c r="BP139" s="27">
        <v>45519</v>
      </c>
      <c r="BQ139" s="27">
        <v>45519</v>
      </c>
      <c r="BR139" s="27">
        <v>45704</v>
      </c>
      <c r="BS139" s="28">
        <v>-2045</v>
      </c>
      <c r="BT139" s="29">
        <v>-1295</v>
      </c>
      <c r="BU139" s="29">
        <v>-2045</v>
      </c>
      <c r="BV139" s="29">
        <v>-2045</v>
      </c>
      <c r="BW139" s="29">
        <v>-1295</v>
      </c>
      <c r="BX139" s="30" t="s">
        <v>395</v>
      </c>
      <c r="BY139" s="8">
        <v>5</v>
      </c>
      <c r="BZ139" s="8">
        <v>0</v>
      </c>
      <c r="CA139" s="8">
        <v>0</v>
      </c>
      <c r="CB139" s="21">
        <v>45338.770833333299</v>
      </c>
      <c r="CC139" s="21">
        <v>45338.770833333299</v>
      </c>
      <c r="CD139" s="21">
        <v>45338.770833333299</v>
      </c>
      <c r="CE139" s="21">
        <v>45338.770833333299</v>
      </c>
      <c r="CF139" s="21">
        <v>45338.770833333299</v>
      </c>
      <c r="CG139" s="21">
        <v>45338.770833333299</v>
      </c>
      <c r="CH139" s="21">
        <v>45338.770833333299</v>
      </c>
      <c r="CI139" s="21">
        <v>45338.770833333299</v>
      </c>
      <c r="CJ139" s="21">
        <v>45338.770833333299</v>
      </c>
      <c r="CK139" s="22" t="s">
        <v>3069</v>
      </c>
      <c r="CL139" s="22" t="s">
        <v>3069</v>
      </c>
      <c r="CM139" s="22" t="s">
        <v>3069</v>
      </c>
      <c r="CN139" s="22" t="s">
        <v>3069</v>
      </c>
      <c r="CO139" s="22" t="s">
        <v>3069</v>
      </c>
      <c r="CP139" s="22" t="s">
        <v>2957</v>
      </c>
      <c r="CQ139" s="22" t="s">
        <v>2953</v>
      </c>
      <c r="CR139" s="22" t="s">
        <v>2957</v>
      </c>
      <c r="CS139" s="22" t="s">
        <v>2957</v>
      </c>
      <c r="CT139" s="22">
        <v>2</v>
      </c>
      <c r="CU139" s="21">
        <v>45518</v>
      </c>
      <c r="CV139" s="21">
        <v>45518</v>
      </c>
      <c r="CW139" s="21">
        <v>45518</v>
      </c>
      <c r="CX139" s="21">
        <v>45518</v>
      </c>
      <c r="CY139" s="21">
        <v>45518</v>
      </c>
      <c r="CZ139" s="21">
        <v>45608</v>
      </c>
      <c r="DA139" s="21">
        <v>45703</v>
      </c>
      <c r="DB139" s="21">
        <v>45518</v>
      </c>
      <c r="DC139" s="21">
        <v>45703</v>
      </c>
      <c r="DD139" s="8">
        <v>1</v>
      </c>
      <c r="DE139" s="8">
        <v>0</v>
      </c>
      <c r="DF139" s="8">
        <v>0</v>
      </c>
      <c r="DG139" s="8">
        <v>9</v>
      </c>
      <c r="DH139" s="8">
        <v>0</v>
      </c>
      <c r="DI139" s="8">
        <v>0</v>
      </c>
      <c r="DJ139" s="8" t="s">
        <v>2976</v>
      </c>
      <c r="DK139" s="21">
        <v>43182</v>
      </c>
      <c r="DL139" s="21">
        <v>43138</v>
      </c>
      <c r="DM139" s="21">
        <v>46041</v>
      </c>
      <c r="DN139" s="18">
        <v>4750</v>
      </c>
      <c r="DO139" s="21">
        <v>0</v>
      </c>
      <c r="DP139" s="21">
        <v>0</v>
      </c>
      <c r="DQ139" s="21" t="s">
        <v>2955</v>
      </c>
      <c r="DR139" s="21">
        <v>45339</v>
      </c>
      <c r="DS139" s="21">
        <v>45339</v>
      </c>
      <c r="DT139" s="21">
        <v>45339</v>
      </c>
      <c r="DU139" s="21">
        <v>45339</v>
      </c>
      <c r="DV139" s="21">
        <v>45339</v>
      </c>
      <c r="DW139" s="21">
        <v>45339</v>
      </c>
      <c r="DX139" s="21">
        <v>45339</v>
      </c>
      <c r="DY139" s="21">
        <v>45339</v>
      </c>
      <c r="DZ139" s="21">
        <v>45339</v>
      </c>
      <c r="EA139" s="8">
        <v>250</v>
      </c>
      <c r="EB139" s="8">
        <v>250</v>
      </c>
      <c r="EC139" s="8">
        <v>250</v>
      </c>
      <c r="ED139" s="8">
        <v>250</v>
      </c>
      <c r="EE139" s="8">
        <v>250</v>
      </c>
      <c r="EF139" s="8">
        <v>750</v>
      </c>
      <c r="EG139" s="8">
        <v>1000</v>
      </c>
      <c r="EH139" s="8">
        <v>750</v>
      </c>
      <c r="EI139" s="8">
        <v>750</v>
      </c>
      <c r="EJ139" s="8">
        <v>2</v>
      </c>
      <c r="EK139" s="8" t="s">
        <v>2624</v>
      </c>
      <c r="EL139" s="8">
        <v>71</v>
      </c>
      <c r="EM139" s="8">
        <v>284</v>
      </c>
      <c r="EN139" s="8">
        <v>-38</v>
      </c>
      <c r="EO139" s="8">
        <v>-38</v>
      </c>
      <c r="EP139" s="8">
        <v>-38</v>
      </c>
      <c r="EQ139" s="8">
        <v>-38</v>
      </c>
      <c r="ER139" s="8">
        <v>-38</v>
      </c>
      <c r="ES139" s="8">
        <v>462</v>
      </c>
      <c r="ET139" s="8">
        <v>712</v>
      </c>
      <c r="EU139" s="8">
        <v>462</v>
      </c>
      <c r="EV139" s="8">
        <v>462</v>
      </c>
    </row>
    <row r="140" spans="1:152" x14ac:dyDescent="0.15">
      <c r="A140" s="8">
        <f>ROW([2]!tbl_DPSAC[[#This Row],[Sl. No.]])-1</f>
        <v>139</v>
      </c>
      <c r="B140" s="9" t="s">
        <v>136</v>
      </c>
      <c r="C140" s="9" t="s">
        <v>903</v>
      </c>
      <c r="D140" s="9" t="s">
        <v>198</v>
      </c>
      <c r="E140" s="9" t="s">
        <v>199</v>
      </c>
      <c r="F140" s="9" t="s">
        <v>161</v>
      </c>
      <c r="G140" s="10" t="s">
        <v>904</v>
      </c>
      <c r="H140" s="10" t="str">
        <f>_xlfn.XLOOKUP(C140,'[1]E&amp;DPSAC'!$K:$K,'[1]E&amp;DPSAC'!$E:$E,,0)</f>
        <v>RAMPUR</v>
      </c>
      <c r="I140" s="10" t="s">
        <v>905</v>
      </c>
      <c r="J140" s="10">
        <v>9546884024</v>
      </c>
      <c r="K140" s="10">
        <f>_xlfn.XLOOKUP(C140,'[1]E&amp;DPSAC'!$K:$K,'[1]E&amp;DPSAC'!$G:$G,"",0)</f>
        <v>9546884024</v>
      </c>
      <c r="L140" s="9" t="str">
        <f t="shared" ca="1" si="8"/>
        <v>Non - Warranty</v>
      </c>
      <c r="M140" s="11">
        <v>43644</v>
      </c>
      <c r="N140" s="12">
        <v>24</v>
      </c>
      <c r="O140" s="11">
        <f t="shared" si="9"/>
        <v>44377</v>
      </c>
      <c r="P140" s="8" t="s">
        <v>142</v>
      </c>
      <c r="Q140" s="16" t="s">
        <v>2637</v>
      </c>
      <c r="R140" s="15">
        <v>45054.542094907403</v>
      </c>
      <c r="S140" s="14">
        <v>1990</v>
      </c>
      <c r="T140" s="15">
        <v>45054</v>
      </c>
      <c r="U140" s="14">
        <v>1990</v>
      </c>
      <c r="V140" s="14">
        <v>5815</v>
      </c>
      <c r="W140" s="17">
        <v>46041.710682870398</v>
      </c>
      <c r="X140" s="14" t="s">
        <v>2770</v>
      </c>
      <c r="Y140" s="14">
        <v>-3075</v>
      </c>
      <c r="Z140" s="14" t="s">
        <v>2697</v>
      </c>
      <c r="AA140" s="18">
        <v>1058.4579050925968</v>
      </c>
      <c r="AB140" s="18" t="s">
        <v>2697</v>
      </c>
      <c r="AC140" s="8">
        <f>tbl_DPSAC[[#This Row],[Current Month Due Count]]</f>
        <v>0</v>
      </c>
      <c r="AD140" s="8">
        <f>tbl_DPSAC[[#This Row],[Next Month Due2]]</f>
        <v>0</v>
      </c>
      <c r="AE140" s="8">
        <f t="shared" si="10"/>
        <v>1</v>
      </c>
      <c r="AF140" s="8">
        <v>4</v>
      </c>
      <c r="AG140" s="14">
        <f t="shared" ca="1" si="11"/>
        <v>6100</v>
      </c>
      <c r="AH140" s="8">
        <v>0</v>
      </c>
      <c r="AI140" s="8">
        <v>0</v>
      </c>
      <c r="AJ140" s="8">
        <v>0</v>
      </c>
      <c r="AK140" s="8">
        <v>0</v>
      </c>
      <c r="AL140" s="8">
        <v>0</v>
      </c>
      <c r="AM140" s="8">
        <v>0</v>
      </c>
      <c r="AN140" s="8">
        <v>0</v>
      </c>
      <c r="AO140" s="8">
        <v>0</v>
      </c>
      <c r="AP140" s="8">
        <v>0</v>
      </c>
      <c r="AQ140" s="8">
        <v>0</v>
      </c>
      <c r="AR140" s="8">
        <v>0</v>
      </c>
      <c r="AS140" s="8">
        <v>0</v>
      </c>
      <c r="AT140" s="8">
        <v>0</v>
      </c>
      <c r="AU140" s="8">
        <v>0</v>
      </c>
      <c r="AV140" s="8">
        <v>0</v>
      </c>
      <c r="AW140" s="8">
        <v>0</v>
      </c>
      <c r="AX140" s="8" t="s">
        <v>2961</v>
      </c>
      <c r="AY140" s="14">
        <v>1555</v>
      </c>
      <c r="AZ140" s="19">
        <v>45019</v>
      </c>
      <c r="BA140" s="14" t="s">
        <v>906</v>
      </c>
      <c r="BB140" s="14">
        <v>1555</v>
      </c>
      <c r="BC140" s="19">
        <v>45019</v>
      </c>
      <c r="BD140" s="14" t="s">
        <v>906</v>
      </c>
      <c r="BE140" s="14">
        <v>1555</v>
      </c>
      <c r="BF140" s="19">
        <v>45019</v>
      </c>
      <c r="BG140" s="14" t="s">
        <v>906</v>
      </c>
      <c r="BH140" s="14">
        <v>1555</v>
      </c>
      <c r="BI140" s="19">
        <v>45019</v>
      </c>
      <c r="BJ140" s="14" t="s">
        <v>906</v>
      </c>
      <c r="BK140" s="14">
        <v>1500</v>
      </c>
      <c r="BL140" s="19">
        <v>44231.496736111112</v>
      </c>
      <c r="BM140" s="14"/>
      <c r="BN140" s="27">
        <v>45199</v>
      </c>
      <c r="BO140" s="27">
        <v>45199</v>
      </c>
      <c r="BP140" s="27">
        <v>45199</v>
      </c>
      <c r="BQ140" s="27">
        <v>45199</v>
      </c>
      <c r="BR140" s="27">
        <v>44596.496736111112</v>
      </c>
      <c r="BS140" s="28">
        <v>-3795</v>
      </c>
      <c r="BT140" s="29">
        <v>-3045</v>
      </c>
      <c r="BU140" s="29">
        <v>-3795</v>
      </c>
      <c r="BV140" s="29">
        <v>-3795</v>
      </c>
      <c r="BW140" s="29">
        <v>-3100</v>
      </c>
      <c r="BX140" s="30" t="s">
        <v>416</v>
      </c>
      <c r="BY140" s="8">
        <v>5</v>
      </c>
      <c r="BZ140" s="8">
        <v>0</v>
      </c>
      <c r="CA140" s="8">
        <v>0</v>
      </c>
      <c r="CB140" s="21">
        <v>45053.770833333299</v>
      </c>
      <c r="CC140" s="21">
        <v>45053.770833333299</v>
      </c>
      <c r="CD140" s="21">
        <v>45053.770833333299</v>
      </c>
      <c r="CE140" s="21">
        <v>45053.770833333299</v>
      </c>
      <c r="CF140" s="21">
        <v>45053.770833333299</v>
      </c>
      <c r="CG140" s="21">
        <v>45053.770833333299</v>
      </c>
      <c r="CH140" s="21">
        <v>0</v>
      </c>
      <c r="CI140" s="21">
        <v>45053.770833333299</v>
      </c>
      <c r="CJ140" s="21">
        <v>0</v>
      </c>
      <c r="CK140" s="22" t="s">
        <v>3036</v>
      </c>
      <c r="CL140" s="22" t="s">
        <v>3036</v>
      </c>
      <c r="CM140" s="22" t="s">
        <v>3036</v>
      </c>
      <c r="CN140" s="22" t="s">
        <v>3036</v>
      </c>
      <c r="CO140" s="22" t="s">
        <v>3036</v>
      </c>
      <c r="CP140" s="22" t="s">
        <v>3023</v>
      </c>
      <c r="CQ140" s="22" t="s">
        <v>2953</v>
      </c>
      <c r="CR140" s="22" t="s">
        <v>3023</v>
      </c>
      <c r="CS140" s="22" t="s">
        <v>3023</v>
      </c>
      <c r="CT140" s="22">
        <v>3</v>
      </c>
      <c r="CU140" s="21">
        <v>45233</v>
      </c>
      <c r="CV140" s="21">
        <v>45233</v>
      </c>
      <c r="CW140" s="21">
        <v>45233</v>
      </c>
      <c r="CX140" s="21">
        <v>45233</v>
      </c>
      <c r="CY140" s="21">
        <v>45233</v>
      </c>
      <c r="CZ140" s="21">
        <v>45323</v>
      </c>
      <c r="DA140" s="21">
        <v>46134</v>
      </c>
      <c r="DB140" s="21">
        <v>45233</v>
      </c>
      <c r="DC140" s="21">
        <v>46203</v>
      </c>
      <c r="DD140" s="8">
        <v>1</v>
      </c>
      <c r="DE140" s="8">
        <v>0</v>
      </c>
      <c r="DF140" s="8">
        <v>0</v>
      </c>
      <c r="DG140" s="8">
        <v>7</v>
      </c>
      <c r="DH140" s="8">
        <v>1</v>
      </c>
      <c r="DI140" s="8">
        <v>0</v>
      </c>
      <c r="DJ140" s="8" t="s">
        <v>2954</v>
      </c>
      <c r="DK140" s="21">
        <v>43644</v>
      </c>
      <c r="DL140" s="21">
        <v>43567.229166666664</v>
      </c>
      <c r="DM140" s="21">
        <v>46041</v>
      </c>
      <c r="DN140" s="18">
        <v>5815</v>
      </c>
      <c r="DO140" s="21">
        <v>0</v>
      </c>
      <c r="DP140" s="21">
        <v>0</v>
      </c>
      <c r="DQ140" s="21" t="s">
        <v>2955</v>
      </c>
      <c r="DR140" s="21">
        <v>45054</v>
      </c>
      <c r="DS140" s="21">
        <v>45054</v>
      </c>
      <c r="DT140" s="21">
        <v>45054</v>
      </c>
      <c r="DU140" s="21">
        <v>45054</v>
      </c>
      <c r="DV140" s="21">
        <v>45054</v>
      </c>
      <c r="DW140" s="21">
        <v>45054</v>
      </c>
      <c r="DX140" s="21">
        <v>0</v>
      </c>
      <c r="DY140" s="21">
        <v>45054</v>
      </c>
      <c r="DZ140" s="21">
        <v>0</v>
      </c>
      <c r="EA140" s="8">
        <v>510</v>
      </c>
      <c r="EB140" s="8">
        <v>510</v>
      </c>
      <c r="EC140" s="8">
        <v>510</v>
      </c>
      <c r="ED140" s="8">
        <v>510</v>
      </c>
      <c r="EE140" s="8">
        <v>510</v>
      </c>
      <c r="EF140" s="8">
        <v>760</v>
      </c>
      <c r="EG140" s="8">
        <v>1000</v>
      </c>
      <c r="EH140" s="8">
        <v>760</v>
      </c>
      <c r="EI140" s="8">
        <v>760</v>
      </c>
      <c r="EJ140" s="8">
        <v>3</v>
      </c>
      <c r="EK140" s="8" t="s">
        <v>2624</v>
      </c>
      <c r="EL140" s="8">
        <v>71</v>
      </c>
      <c r="EM140" s="8">
        <v>284</v>
      </c>
      <c r="EN140" s="8">
        <v>222</v>
      </c>
      <c r="EO140" s="8">
        <v>222</v>
      </c>
      <c r="EP140" s="8">
        <v>222</v>
      </c>
      <c r="EQ140" s="8">
        <v>222</v>
      </c>
      <c r="ER140" s="8">
        <v>222</v>
      </c>
      <c r="ES140" s="8">
        <v>472</v>
      </c>
      <c r="ET140" s="8">
        <v>712</v>
      </c>
      <c r="EU140" s="8">
        <v>472</v>
      </c>
      <c r="EV140" s="8">
        <v>472</v>
      </c>
    </row>
    <row r="141" spans="1:152" x14ac:dyDescent="0.15">
      <c r="A141" s="8">
        <f>ROW([2]!tbl_DPSAC[[#This Row],[Sl. No.]])-1</f>
        <v>140</v>
      </c>
      <c r="B141" s="9" t="s">
        <v>136</v>
      </c>
      <c r="C141" s="9" t="s">
        <v>907</v>
      </c>
      <c r="D141" s="9" t="s">
        <v>138</v>
      </c>
      <c r="E141" s="9" t="s">
        <v>139</v>
      </c>
      <c r="F141" s="9" t="s">
        <v>140</v>
      </c>
      <c r="G141" s="10" t="s">
        <v>908</v>
      </c>
      <c r="H141" s="10" t="str">
        <f>_xlfn.XLOOKUP(C141,'[1]E&amp;DPSAC'!$K:$K,'[1]E&amp;DPSAC'!$E:$E,,0)</f>
        <v>DUMKA</v>
      </c>
      <c r="I141" s="10"/>
      <c r="J141" s="10">
        <v>9304762882</v>
      </c>
      <c r="K141" s="10">
        <f>_xlfn.XLOOKUP(C141,'[1]E&amp;DPSAC'!$K:$K,'[1]E&amp;DPSAC'!$G:$G,"",0)</f>
        <v>8409042775</v>
      </c>
      <c r="L141" s="9" t="str">
        <f t="shared" ca="1" si="8"/>
        <v>Non - Warranty</v>
      </c>
      <c r="M141" s="11">
        <v>43232</v>
      </c>
      <c r="N141" s="12">
        <v>36</v>
      </c>
      <c r="O141" s="11">
        <f t="shared" si="9"/>
        <v>44347</v>
      </c>
      <c r="P141" s="8" t="s">
        <v>142</v>
      </c>
      <c r="Q141" s="16" t="s">
        <v>910</v>
      </c>
      <c r="R141" s="15">
        <v>45265.552141203698</v>
      </c>
      <c r="S141" s="14">
        <v>8155</v>
      </c>
      <c r="T141" s="15">
        <v>45265</v>
      </c>
      <c r="U141" s="14">
        <v>8155</v>
      </c>
      <c r="V141" s="14">
        <v>9530</v>
      </c>
      <c r="W141" s="17">
        <v>45964.716666666667</v>
      </c>
      <c r="X141" s="14" t="s">
        <v>2745</v>
      </c>
      <c r="Y141" s="14">
        <v>-625</v>
      </c>
      <c r="Z141" s="14" t="s">
        <v>2697</v>
      </c>
      <c r="AA141" s="18">
        <v>847.44785879630217</v>
      </c>
      <c r="AB141" s="18" t="s">
        <v>2697</v>
      </c>
      <c r="AC141" s="8">
        <f>tbl_DPSAC[[#This Row],[Current Month Due Count]]</f>
        <v>0</v>
      </c>
      <c r="AD141" s="8">
        <f>tbl_DPSAC[[#This Row],[Next Month Due2]]</f>
        <v>0</v>
      </c>
      <c r="AE141" s="8">
        <f t="shared" si="10"/>
        <v>1</v>
      </c>
      <c r="AF141" s="8">
        <v>2</v>
      </c>
      <c r="AG141" s="14">
        <f t="shared" ca="1" si="11"/>
        <v>9827</v>
      </c>
      <c r="AH141" s="8">
        <v>0</v>
      </c>
      <c r="AI141" s="8">
        <v>0</v>
      </c>
      <c r="AJ141" s="8">
        <v>0</v>
      </c>
      <c r="AK141" s="8">
        <v>0</v>
      </c>
      <c r="AL141" s="8">
        <v>0</v>
      </c>
      <c r="AM141" s="8">
        <v>0</v>
      </c>
      <c r="AN141" s="8">
        <v>0</v>
      </c>
      <c r="AO141" s="8">
        <v>0</v>
      </c>
      <c r="AP141" s="8">
        <v>0</v>
      </c>
      <c r="AQ141" s="8">
        <v>0</v>
      </c>
      <c r="AR141" s="8" t="s">
        <v>909</v>
      </c>
      <c r="AS141" s="8">
        <v>0</v>
      </c>
      <c r="AT141" s="8">
        <v>0</v>
      </c>
      <c r="AU141" s="8">
        <v>0</v>
      </c>
      <c r="AV141" s="8">
        <v>0</v>
      </c>
      <c r="AW141" s="8">
        <v>0</v>
      </c>
      <c r="AX141" s="8" t="s">
        <v>2961</v>
      </c>
      <c r="AY141" s="14">
        <v>8155</v>
      </c>
      <c r="AZ141" s="19">
        <v>45265</v>
      </c>
      <c r="BA141" s="14" t="s">
        <v>910</v>
      </c>
      <c r="BB141" s="14">
        <v>6500</v>
      </c>
      <c r="BC141" s="19">
        <v>44249.727303240703</v>
      </c>
      <c r="BD141" s="14"/>
      <c r="BE141" s="14">
        <v>8155</v>
      </c>
      <c r="BF141" s="19">
        <v>45265</v>
      </c>
      <c r="BG141" s="14" t="s">
        <v>910</v>
      </c>
      <c r="BH141" s="14">
        <v>8155</v>
      </c>
      <c r="BI141" s="19">
        <v>45265</v>
      </c>
      <c r="BJ141" s="14" t="s">
        <v>910</v>
      </c>
      <c r="BK141" s="14">
        <v>6500</v>
      </c>
      <c r="BL141" s="19">
        <v>44249.727303240703</v>
      </c>
      <c r="BM141" s="14"/>
      <c r="BN141" s="27">
        <v>45445</v>
      </c>
      <c r="BO141" s="27">
        <v>44429.727303240703</v>
      </c>
      <c r="BP141" s="27">
        <v>45445</v>
      </c>
      <c r="BQ141" s="27">
        <v>45445</v>
      </c>
      <c r="BR141" s="27">
        <v>44614.727303240703</v>
      </c>
      <c r="BS141" s="28">
        <v>-922</v>
      </c>
      <c r="BT141" s="29">
        <v>-1827</v>
      </c>
      <c r="BU141" s="29">
        <v>-922</v>
      </c>
      <c r="BV141" s="29">
        <v>-922</v>
      </c>
      <c r="BW141" s="29">
        <v>-1827</v>
      </c>
      <c r="BX141" s="30" t="s">
        <v>152</v>
      </c>
      <c r="BY141" s="8">
        <v>5</v>
      </c>
      <c r="BZ141" s="8">
        <v>0</v>
      </c>
      <c r="CA141" s="8">
        <v>0</v>
      </c>
      <c r="CB141" s="21">
        <v>45264.770833333299</v>
      </c>
      <c r="CC141" s="21">
        <v>45264.770833333299</v>
      </c>
      <c r="CD141" s="21">
        <v>45264.770833333299</v>
      </c>
      <c r="CE141" s="21">
        <v>45264.770833333299</v>
      </c>
      <c r="CF141" s="21">
        <v>45264.770833333299</v>
      </c>
      <c r="CG141" s="21">
        <v>45055.770833333299</v>
      </c>
      <c r="CH141" s="21">
        <v>0</v>
      </c>
      <c r="CI141" s="21">
        <v>45055.770833333299</v>
      </c>
      <c r="CJ141" s="21">
        <v>0</v>
      </c>
      <c r="CK141" s="22" t="s">
        <v>3070</v>
      </c>
      <c r="CL141" s="22" t="s">
        <v>3070</v>
      </c>
      <c r="CM141" s="22" t="s">
        <v>3070</v>
      </c>
      <c r="CN141" s="22" t="s">
        <v>3070</v>
      </c>
      <c r="CO141" s="22" t="s">
        <v>3070</v>
      </c>
      <c r="CP141" s="22" t="s">
        <v>3070</v>
      </c>
      <c r="CQ141" s="22" t="s">
        <v>2953</v>
      </c>
      <c r="CR141" s="22" t="s">
        <v>3070</v>
      </c>
      <c r="CS141" s="22" t="s">
        <v>3070</v>
      </c>
      <c r="CT141" s="22">
        <v>2</v>
      </c>
      <c r="CU141" s="21">
        <v>45444</v>
      </c>
      <c r="CV141" s="21">
        <v>45444</v>
      </c>
      <c r="CW141" s="21">
        <v>45444</v>
      </c>
      <c r="CX141" s="21">
        <v>45444</v>
      </c>
      <c r="CY141" s="21">
        <v>45444</v>
      </c>
      <c r="CZ141" s="21">
        <v>45325</v>
      </c>
      <c r="DA141" s="21">
        <v>46057</v>
      </c>
      <c r="DB141" s="21">
        <v>45235</v>
      </c>
      <c r="DC141" s="21">
        <v>46114</v>
      </c>
      <c r="DD141" s="8">
        <v>1</v>
      </c>
      <c r="DE141" s="8">
        <v>1</v>
      </c>
      <c r="DF141" s="8">
        <v>0</v>
      </c>
      <c r="DG141" s="8">
        <v>8</v>
      </c>
      <c r="DH141" s="8">
        <v>1</v>
      </c>
      <c r="DI141" s="8">
        <v>0</v>
      </c>
      <c r="DJ141" s="8" t="s">
        <v>2954</v>
      </c>
      <c r="DK141" s="21">
        <v>43232</v>
      </c>
      <c r="DL141" s="21">
        <v>43201</v>
      </c>
      <c r="DM141" s="21">
        <v>45964</v>
      </c>
      <c r="DN141" s="18">
        <v>9530</v>
      </c>
      <c r="DO141" s="21">
        <v>0</v>
      </c>
      <c r="DP141" s="21">
        <v>0</v>
      </c>
      <c r="DQ141" s="21" t="s">
        <v>2955</v>
      </c>
      <c r="DR141" s="21">
        <v>45265</v>
      </c>
      <c r="DS141" s="21">
        <v>45265</v>
      </c>
      <c r="DT141" s="21">
        <v>45265</v>
      </c>
      <c r="DU141" s="21">
        <v>45265</v>
      </c>
      <c r="DV141" s="21">
        <v>45265</v>
      </c>
      <c r="DW141" s="21">
        <v>45056</v>
      </c>
      <c r="DX141" s="21">
        <v>0</v>
      </c>
      <c r="DY141" s="21">
        <v>45056</v>
      </c>
      <c r="DZ141" s="21">
        <v>0</v>
      </c>
      <c r="EA141" s="8">
        <v>630</v>
      </c>
      <c r="EB141" s="8">
        <v>630</v>
      </c>
      <c r="EC141" s="8">
        <v>630</v>
      </c>
      <c r="ED141" s="8">
        <v>630</v>
      </c>
      <c r="EE141" s="8">
        <v>630</v>
      </c>
      <c r="EF141" s="8">
        <v>630</v>
      </c>
      <c r="EG141" s="8">
        <v>1000</v>
      </c>
      <c r="EH141" s="8">
        <v>630</v>
      </c>
      <c r="EI141" s="8">
        <v>630</v>
      </c>
      <c r="EJ141" s="8">
        <v>2</v>
      </c>
      <c r="EK141" s="8" t="s">
        <v>2624</v>
      </c>
      <c r="EL141" s="8">
        <v>148</v>
      </c>
      <c r="EM141" s="8">
        <v>296</v>
      </c>
      <c r="EN141" s="8">
        <v>342</v>
      </c>
      <c r="EO141" s="8">
        <v>342</v>
      </c>
      <c r="EP141" s="8">
        <v>342</v>
      </c>
      <c r="EQ141" s="8">
        <v>342</v>
      </c>
      <c r="ER141" s="8">
        <v>342</v>
      </c>
      <c r="ES141" s="8">
        <v>342</v>
      </c>
      <c r="ET141" s="8">
        <v>712</v>
      </c>
      <c r="EU141" s="8">
        <v>342</v>
      </c>
      <c r="EV141" s="8">
        <v>342</v>
      </c>
    </row>
    <row r="142" spans="1:152" x14ac:dyDescent="0.15">
      <c r="A142" s="8">
        <f>ROW([2]!tbl_DPSAC[[#This Row],[Sl. No.]])-1</f>
        <v>141</v>
      </c>
      <c r="B142" s="9" t="s">
        <v>136</v>
      </c>
      <c r="C142" s="9" t="s">
        <v>911</v>
      </c>
      <c r="D142" s="9" t="s">
        <v>251</v>
      </c>
      <c r="E142" s="9" t="s">
        <v>147</v>
      </c>
      <c r="F142" s="9" t="s">
        <v>140</v>
      </c>
      <c r="G142" s="10" t="s">
        <v>908</v>
      </c>
      <c r="H142" s="10" t="str">
        <f>_xlfn.XLOOKUP(C142,'[1]E&amp;DPSAC'!$K:$K,'[1]E&amp;DPSAC'!$E:$E,,0)</f>
        <v>DHANBAD</v>
      </c>
      <c r="I142" s="10"/>
      <c r="J142" s="10">
        <v>875776185</v>
      </c>
      <c r="K142" s="10">
        <f>_xlfn.XLOOKUP(C142,'[1]E&amp;DPSAC'!$K:$K,'[1]E&amp;DPSAC'!$G:$G,"",0)</f>
        <v>9304762882</v>
      </c>
      <c r="L142" s="9" t="str">
        <f t="shared" ca="1" si="8"/>
        <v>Non - Warranty</v>
      </c>
      <c r="M142" s="11">
        <v>42335</v>
      </c>
      <c r="N142" s="12">
        <v>36</v>
      </c>
      <c r="O142" s="11">
        <f t="shared" si="9"/>
        <v>43434</v>
      </c>
      <c r="P142" s="8" t="s">
        <v>142</v>
      </c>
      <c r="Q142" s="16" t="s">
        <v>913</v>
      </c>
      <c r="R142" s="15">
        <v>45266.503101851798</v>
      </c>
      <c r="S142" s="14">
        <v>18520</v>
      </c>
      <c r="T142" s="15">
        <v>45266</v>
      </c>
      <c r="U142" s="14">
        <v>18520</v>
      </c>
      <c r="V142" s="14">
        <v>19740</v>
      </c>
      <c r="W142" s="17">
        <v>45964.720833333333</v>
      </c>
      <c r="X142" s="14" t="s">
        <v>2771</v>
      </c>
      <c r="Y142" s="14">
        <v>-470</v>
      </c>
      <c r="Z142" s="14" t="s">
        <v>2697</v>
      </c>
      <c r="AA142" s="18">
        <v>846.49689814820158</v>
      </c>
      <c r="AB142" s="18" t="s">
        <v>2697</v>
      </c>
      <c r="AC142" s="8">
        <f>tbl_DPSAC[[#This Row],[Current Month Due Count]]</f>
        <v>0</v>
      </c>
      <c r="AD142" s="8">
        <f>tbl_DPSAC[[#This Row],[Next Month Due2]]</f>
        <v>0</v>
      </c>
      <c r="AE142" s="8">
        <f t="shared" si="10"/>
        <v>1</v>
      </c>
      <c r="AF142" s="8">
        <v>2</v>
      </c>
      <c r="AG142" s="14">
        <f t="shared" ca="1" si="11"/>
        <v>20037</v>
      </c>
      <c r="AH142" s="8">
        <v>0</v>
      </c>
      <c r="AI142" s="8">
        <v>0</v>
      </c>
      <c r="AJ142" s="8">
        <v>0</v>
      </c>
      <c r="AK142" s="8">
        <v>0</v>
      </c>
      <c r="AL142" s="8">
        <v>0</v>
      </c>
      <c r="AM142" s="8">
        <v>0</v>
      </c>
      <c r="AN142" s="8">
        <v>0</v>
      </c>
      <c r="AO142" s="8">
        <v>0</v>
      </c>
      <c r="AP142" s="8">
        <v>0</v>
      </c>
      <c r="AQ142" s="8">
        <v>0</v>
      </c>
      <c r="AR142" s="8">
        <v>0</v>
      </c>
      <c r="AS142" s="8" t="s">
        <v>912</v>
      </c>
      <c r="AT142" s="8">
        <v>0</v>
      </c>
      <c r="AU142" s="8">
        <v>0</v>
      </c>
      <c r="AV142" s="8">
        <v>0</v>
      </c>
      <c r="AW142" s="8">
        <v>0</v>
      </c>
      <c r="AX142" s="8" t="s">
        <v>2977</v>
      </c>
      <c r="AY142" s="14">
        <v>18520</v>
      </c>
      <c r="AZ142" s="19">
        <v>45266</v>
      </c>
      <c r="BA142" s="14" t="s">
        <v>913</v>
      </c>
      <c r="BB142" s="14">
        <v>18255</v>
      </c>
      <c r="BC142" s="19">
        <v>44546.360462962963</v>
      </c>
      <c r="BD142" s="14" t="s">
        <v>914</v>
      </c>
      <c r="BE142" s="14">
        <v>18520</v>
      </c>
      <c r="BF142" s="19">
        <v>45266</v>
      </c>
      <c r="BG142" s="14" t="s">
        <v>913</v>
      </c>
      <c r="BH142" s="14"/>
      <c r="BI142" s="19"/>
      <c r="BJ142" s="14"/>
      <c r="BK142" s="14">
        <v>18255</v>
      </c>
      <c r="BL142" s="19">
        <v>44546.360462962963</v>
      </c>
      <c r="BM142" s="14" t="s">
        <v>914</v>
      </c>
      <c r="BN142" s="27">
        <v>45446</v>
      </c>
      <c r="BO142" s="27">
        <v>44726.360462962963</v>
      </c>
      <c r="BP142" s="27">
        <v>45446</v>
      </c>
      <c r="BQ142" s="27" t="s">
        <v>143</v>
      </c>
      <c r="BR142" s="27">
        <v>44911.360462962963</v>
      </c>
      <c r="BS142" s="28">
        <v>-767</v>
      </c>
      <c r="BT142" s="29">
        <v>-282</v>
      </c>
      <c r="BU142" s="29">
        <v>-767</v>
      </c>
      <c r="BV142" s="29" t="s">
        <v>143</v>
      </c>
      <c r="BW142" s="29">
        <v>-282</v>
      </c>
      <c r="BX142" s="30" t="s">
        <v>173</v>
      </c>
      <c r="BY142" s="8">
        <v>4</v>
      </c>
      <c r="BZ142" s="8">
        <v>0</v>
      </c>
      <c r="CA142" s="8">
        <v>0</v>
      </c>
      <c r="CB142" s="21">
        <v>45265.770833333299</v>
      </c>
      <c r="CC142" s="21">
        <v>45265.770833333299</v>
      </c>
      <c r="CD142" s="21">
        <v>0</v>
      </c>
      <c r="CE142" s="21">
        <v>45265.770833333299</v>
      </c>
      <c r="CF142" s="21">
        <v>45265.770833333299</v>
      </c>
      <c r="CG142" s="21">
        <v>0</v>
      </c>
      <c r="CH142" s="21">
        <v>0</v>
      </c>
      <c r="CI142" s="21">
        <v>0</v>
      </c>
      <c r="CJ142" s="21">
        <v>0</v>
      </c>
      <c r="CK142" s="22" t="s">
        <v>3071</v>
      </c>
      <c r="CL142" s="22" t="s">
        <v>3071</v>
      </c>
      <c r="CM142" s="22" t="s">
        <v>3071</v>
      </c>
      <c r="CN142" s="22" t="s">
        <v>3071</v>
      </c>
      <c r="CO142" s="22" t="s">
        <v>3071</v>
      </c>
      <c r="CP142" s="22" t="s">
        <v>3071</v>
      </c>
      <c r="CQ142" s="22" t="s">
        <v>2953</v>
      </c>
      <c r="CR142" s="22" t="s">
        <v>3071</v>
      </c>
      <c r="CS142" s="22" t="s">
        <v>3071</v>
      </c>
      <c r="CT142" s="22">
        <v>2</v>
      </c>
      <c r="CU142" s="21">
        <v>45445</v>
      </c>
      <c r="CV142" s="21">
        <v>45445</v>
      </c>
      <c r="CW142" s="21">
        <v>46075</v>
      </c>
      <c r="CX142" s="21">
        <v>45445</v>
      </c>
      <c r="CY142" s="21">
        <v>45445</v>
      </c>
      <c r="CZ142" s="21">
        <v>46084</v>
      </c>
      <c r="DA142" s="21">
        <v>46057</v>
      </c>
      <c r="DB142" s="21">
        <v>46030</v>
      </c>
      <c r="DC142" s="21">
        <v>46079</v>
      </c>
      <c r="DD142" s="8">
        <v>1</v>
      </c>
      <c r="DE142" s="8">
        <v>1</v>
      </c>
      <c r="DF142" s="8">
        <v>1</v>
      </c>
      <c r="DG142" s="8">
        <v>9</v>
      </c>
      <c r="DH142" s="8">
        <v>0</v>
      </c>
      <c r="DI142" s="8">
        <v>0</v>
      </c>
      <c r="DJ142" s="8" t="s">
        <v>2954</v>
      </c>
      <c r="DK142" s="21">
        <v>42335</v>
      </c>
      <c r="DL142" s="21">
        <v>42332</v>
      </c>
      <c r="DM142" s="21">
        <v>45964</v>
      </c>
      <c r="DN142" s="18">
        <v>19740</v>
      </c>
      <c r="DO142" s="21">
        <v>0</v>
      </c>
      <c r="DP142" s="21">
        <v>0</v>
      </c>
      <c r="DQ142" s="21" t="s">
        <v>2955</v>
      </c>
      <c r="DR142" s="21">
        <v>45266</v>
      </c>
      <c r="DS142" s="21">
        <v>45266</v>
      </c>
      <c r="DT142" s="21">
        <v>0</v>
      </c>
      <c r="DU142" s="21">
        <v>45266</v>
      </c>
      <c r="DV142" s="21">
        <v>45266</v>
      </c>
      <c r="DW142" s="21">
        <v>0</v>
      </c>
      <c r="DX142" s="21">
        <v>0</v>
      </c>
      <c r="DY142" s="21">
        <v>0</v>
      </c>
      <c r="DZ142" s="21">
        <v>0</v>
      </c>
      <c r="EA142" s="8">
        <v>240</v>
      </c>
      <c r="EB142" s="8">
        <v>240</v>
      </c>
      <c r="EC142" s="8">
        <v>240</v>
      </c>
      <c r="ED142" s="8">
        <v>240</v>
      </c>
      <c r="EE142" s="8">
        <v>240</v>
      </c>
      <c r="EF142" s="8">
        <v>240</v>
      </c>
      <c r="EG142" s="8">
        <v>1000</v>
      </c>
      <c r="EH142" s="8">
        <v>240</v>
      </c>
      <c r="EI142" s="8">
        <v>240</v>
      </c>
      <c r="EJ142" s="8">
        <v>2</v>
      </c>
      <c r="EK142" s="8" t="s">
        <v>2624</v>
      </c>
      <c r="EL142" s="8">
        <v>148</v>
      </c>
      <c r="EM142" s="8">
        <v>296</v>
      </c>
      <c r="EN142" s="8">
        <v>-48</v>
      </c>
      <c r="EO142" s="8">
        <v>-48</v>
      </c>
      <c r="EP142" s="8">
        <v>-48</v>
      </c>
      <c r="EQ142" s="8">
        <v>-48</v>
      </c>
      <c r="ER142" s="8">
        <v>-48</v>
      </c>
      <c r="ES142" s="8">
        <v>-48</v>
      </c>
      <c r="ET142" s="8">
        <v>712</v>
      </c>
      <c r="EU142" s="8">
        <v>-48</v>
      </c>
      <c r="EV142" s="8">
        <v>-48</v>
      </c>
    </row>
    <row r="143" spans="1:152" x14ac:dyDescent="0.15">
      <c r="A143" s="8">
        <f>ROW([2]!tbl_DPSAC[[#This Row],[Sl. No.]])-1</f>
        <v>142</v>
      </c>
      <c r="B143" s="9" t="s">
        <v>136</v>
      </c>
      <c r="C143" s="9" t="s">
        <v>915</v>
      </c>
      <c r="D143" s="9" t="s">
        <v>251</v>
      </c>
      <c r="E143" s="9" t="s">
        <v>147</v>
      </c>
      <c r="F143" s="9" t="s">
        <v>140</v>
      </c>
      <c r="G143" s="10" t="s">
        <v>916</v>
      </c>
      <c r="H143" s="10" t="str">
        <f>_xlfn.XLOOKUP(C143,'[1]E&amp;DPSAC'!$K:$K,'[1]E&amp;DPSAC'!$E:$E,,0)</f>
        <v>GHATSHILA,JAMSHEDPUR</v>
      </c>
      <c r="I143" s="10"/>
      <c r="J143" s="10">
        <v>7992362488</v>
      </c>
      <c r="K143" s="10">
        <f>_xlfn.XLOOKUP(C143,'[1]E&amp;DPSAC'!$K:$K,'[1]E&amp;DPSAC'!$G:$G,"",0)</f>
        <v>7992362488</v>
      </c>
      <c r="L143" s="9" t="str">
        <f t="shared" ca="1" si="8"/>
        <v>Non - Warranty</v>
      </c>
      <c r="M143" s="11">
        <v>42641</v>
      </c>
      <c r="N143" s="12">
        <v>36</v>
      </c>
      <c r="O143" s="11">
        <f t="shared" si="9"/>
        <v>43738</v>
      </c>
      <c r="P143" s="8" t="s">
        <v>681</v>
      </c>
      <c r="Q143" s="16" t="s">
        <v>917</v>
      </c>
      <c r="R143" s="15">
        <v>46008.458599537</v>
      </c>
      <c r="S143" s="14">
        <v>11520</v>
      </c>
      <c r="T143" s="15">
        <v>46008</v>
      </c>
      <c r="U143" s="14">
        <v>11520</v>
      </c>
      <c r="V143" s="14">
        <v>11520</v>
      </c>
      <c r="W143" s="17">
        <v>46008.458599537</v>
      </c>
      <c r="X143" s="14" t="s">
        <v>2772</v>
      </c>
      <c r="Y143" s="14">
        <v>750</v>
      </c>
      <c r="Z143" s="14" t="s">
        <v>2692</v>
      </c>
      <c r="AA143" s="18">
        <v>104.54140046300017</v>
      </c>
      <c r="AB143" s="18" t="s">
        <v>2692</v>
      </c>
      <c r="AC143" s="8">
        <f>tbl_DPSAC[[#This Row],[Current Month Due Count]]</f>
        <v>0</v>
      </c>
      <c r="AD143" s="8">
        <f>tbl_DPSAC[[#This Row],[Next Month Due2]]</f>
        <v>0</v>
      </c>
      <c r="AE143" s="8">
        <f t="shared" si="10"/>
        <v>0</v>
      </c>
      <c r="AF143" s="8">
        <v>1</v>
      </c>
      <c r="AG143" s="14">
        <f t="shared" ca="1" si="11"/>
        <v>11625</v>
      </c>
      <c r="AH143" s="8">
        <v>0</v>
      </c>
      <c r="AI143" s="8">
        <v>0</v>
      </c>
      <c r="AJ143" s="8">
        <v>0</v>
      </c>
      <c r="AK143" s="8">
        <v>0</v>
      </c>
      <c r="AL143" s="8">
        <v>0</v>
      </c>
      <c r="AM143" s="8">
        <v>0</v>
      </c>
      <c r="AN143" s="8">
        <v>0</v>
      </c>
      <c r="AO143" s="8">
        <v>0</v>
      </c>
      <c r="AP143" s="8">
        <v>0</v>
      </c>
      <c r="AQ143" s="8">
        <v>0</v>
      </c>
      <c r="AR143" s="8">
        <v>0</v>
      </c>
      <c r="AS143" s="8">
        <v>0</v>
      </c>
      <c r="AT143" s="8">
        <v>0</v>
      </c>
      <c r="AU143" s="8">
        <v>0</v>
      </c>
      <c r="AV143" s="8">
        <v>0</v>
      </c>
      <c r="AW143" s="8">
        <v>0</v>
      </c>
      <c r="AX143" s="8" t="s">
        <v>2007</v>
      </c>
      <c r="AY143" s="14">
        <v>11520</v>
      </c>
      <c r="AZ143" s="19">
        <v>46008</v>
      </c>
      <c r="BA143" s="14" t="s">
        <v>917</v>
      </c>
      <c r="BB143" s="14">
        <v>11520</v>
      </c>
      <c r="BC143" s="19">
        <v>46008</v>
      </c>
      <c r="BD143" s="14" t="s">
        <v>917</v>
      </c>
      <c r="BE143" s="14">
        <v>11520</v>
      </c>
      <c r="BF143" s="19">
        <v>46008</v>
      </c>
      <c r="BG143" s="14" t="s">
        <v>917</v>
      </c>
      <c r="BH143" s="14">
        <v>11520</v>
      </c>
      <c r="BI143" s="19">
        <v>46008</v>
      </c>
      <c r="BJ143" s="14" t="s">
        <v>917</v>
      </c>
      <c r="BK143" s="14">
        <v>11520</v>
      </c>
      <c r="BL143" s="19">
        <v>46008</v>
      </c>
      <c r="BM143" s="14" t="s">
        <v>917</v>
      </c>
      <c r="BN143" s="27">
        <v>46188</v>
      </c>
      <c r="BO143" s="27">
        <v>46188</v>
      </c>
      <c r="BP143" s="27">
        <v>46188</v>
      </c>
      <c r="BQ143" s="27">
        <v>46188</v>
      </c>
      <c r="BR143" s="27">
        <v>46373</v>
      </c>
      <c r="BS143" s="28">
        <v>645</v>
      </c>
      <c r="BT143" s="29">
        <v>1395</v>
      </c>
      <c r="BU143" s="29">
        <v>645</v>
      </c>
      <c r="BV143" s="29">
        <v>645</v>
      </c>
      <c r="BW143" s="29">
        <v>1395</v>
      </c>
      <c r="BX143" s="30" t="s">
        <v>173</v>
      </c>
      <c r="BY143" s="8">
        <v>0</v>
      </c>
      <c r="BZ143" s="8">
        <v>0</v>
      </c>
      <c r="CA143" s="8">
        <v>0</v>
      </c>
      <c r="CB143" s="21">
        <v>46007.770833333299</v>
      </c>
      <c r="CC143" s="21">
        <v>46007.770833333299</v>
      </c>
      <c r="CD143" s="21">
        <v>46007.770833333299</v>
      </c>
      <c r="CE143" s="21">
        <v>46007.770833333299</v>
      </c>
      <c r="CF143" s="21">
        <v>46007.770833333299</v>
      </c>
      <c r="CG143" s="21">
        <v>46007.770833333299</v>
      </c>
      <c r="CH143" s="21">
        <v>46007.770833333299</v>
      </c>
      <c r="CI143" s="21">
        <v>46007.770833333299</v>
      </c>
      <c r="CJ143" s="21">
        <v>46007.770833333299</v>
      </c>
      <c r="CK143" s="22" t="s">
        <v>2956</v>
      </c>
      <c r="CL143" s="22" t="s">
        <v>2957</v>
      </c>
      <c r="CM143" s="22" t="s">
        <v>2957</v>
      </c>
      <c r="CN143" s="22" t="s">
        <v>2957</v>
      </c>
      <c r="CO143" s="22" t="s">
        <v>2957</v>
      </c>
      <c r="CP143" s="22" t="s">
        <v>2956</v>
      </c>
      <c r="CQ143" s="22" t="s">
        <v>2953</v>
      </c>
      <c r="CR143" s="22" t="s">
        <v>2956</v>
      </c>
      <c r="CS143" s="22" t="s">
        <v>2960</v>
      </c>
      <c r="CT143" s="22">
        <v>4</v>
      </c>
      <c r="CU143" s="21">
        <v>46187</v>
      </c>
      <c r="CV143" s="21">
        <v>46187</v>
      </c>
      <c r="CW143" s="21">
        <v>46187</v>
      </c>
      <c r="CX143" s="21">
        <v>46187</v>
      </c>
      <c r="CY143" s="21">
        <v>46187</v>
      </c>
      <c r="CZ143" s="21">
        <v>46277</v>
      </c>
      <c r="DA143" s="21">
        <v>46258</v>
      </c>
      <c r="DB143" s="21">
        <v>46187</v>
      </c>
      <c r="DC143" s="21">
        <v>46372</v>
      </c>
      <c r="DD143" s="8">
        <v>0</v>
      </c>
      <c r="DE143" s="8">
        <v>0</v>
      </c>
      <c r="DF143" s="8">
        <v>0</v>
      </c>
      <c r="DG143" s="8">
        <v>0</v>
      </c>
      <c r="DH143" s="8">
        <v>0</v>
      </c>
      <c r="DI143" s="8">
        <v>0</v>
      </c>
      <c r="DJ143" s="8" t="s">
        <v>3025</v>
      </c>
      <c r="DK143" s="21">
        <v>42641</v>
      </c>
      <c r="DL143" s="21">
        <v>42591</v>
      </c>
      <c r="DM143" s="21">
        <v>46008</v>
      </c>
      <c r="DN143" s="18">
        <v>11520</v>
      </c>
      <c r="DO143" s="21">
        <v>0</v>
      </c>
      <c r="DP143" s="21">
        <v>0</v>
      </c>
      <c r="DQ143" s="21" t="s">
        <v>2955</v>
      </c>
      <c r="DR143" s="21">
        <v>46008</v>
      </c>
      <c r="DS143" s="21">
        <v>46008</v>
      </c>
      <c r="DT143" s="21">
        <v>46008</v>
      </c>
      <c r="DU143" s="21">
        <v>46008</v>
      </c>
      <c r="DV143" s="21">
        <v>46008</v>
      </c>
      <c r="DW143" s="21">
        <v>46008</v>
      </c>
      <c r="DX143" s="21">
        <v>46008</v>
      </c>
      <c r="DY143" s="21">
        <v>46008</v>
      </c>
      <c r="DZ143" s="21">
        <v>46008</v>
      </c>
      <c r="EA143" s="8">
        <v>1500</v>
      </c>
      <c r="EB143" s="8">
        <v>750</v>
      </c>
      <c r="EC143" s="8">
        <v>750</v>
      </c>
      <c r="ED143" s="8">
        <v>750</v>
      </c>
      <c r="EE143" s="8">
        <v>750</v>
      </c>
      <c r="EF143" s="8">
        <v>1500</v>
      </c>
      <c r="EG143" s="8">
        <v>1000</v>
      </c>
      <c r="EH143" s="8">
        <v>1500</v>
      </c>
      <c r="EI143" s="8">
        <v>3000</v>
      </c>
      <c r="EJ143" s="8">
        <v>4</v>
      </c>
      <c r="EK143" s="8" t="s">
        <v>2624</v>
      </c>
      <c r="EL143" s="8">
        <v>105</v>
      </c>
      <c r="EM143" s="8">
        <v>105</v>
      </c>
      <c r="EN143" s="8">
        <v>1212</v>
      </c>
      <c r="EO143" s="8">
        <v>462</v>
      </c>
      <c r="EP143" s="8">
        <v>462</v>
      </c>
      <c r="EQ143" s="8">
        <v>462</v>
      </c>
      <c r="ER143" s="8">
        <v>462</v>
      </c>
      <c r="ES143" s="8">
        <v>1212</v>
      </c>
      <c r="ET143" s="8">
        <v>712</v>
      </c>
      <c r="EU143" s="8">
        <v>1212</v>
      </c>
      <c r="EV143" s="8">
        <v>2712</v>
      </c>
    </row>
    <row r="144" spans="1:152" x14ac:dyDescent="0.15">
      <c r="A144" s="8">
        <f>ROW([2]!tbl_DPSAC[[#This Row],[Sl. No.]])-1</f>
        <v>143</v>
      </c>
      <c r="B144" s="9" t="s">
        <v>136</v>
      </c>
      <c r="C144" s="9" t="s">
        <v>918</v>
      </c>
      <c r="D144" s="9" t="s">
        <v>175</v>
      </c>
      <c r="E144" s="9" t="s">
        <v>176</v>
      </c>
      <c r="F144" s="9" t="s">
        <v>161</v>
      </c>
      <c r="G144" s="10" t="s">
        <v>919</v>
      </c>
      <c r="H144" s="10" t="str">
        <f>_xlfn.XLOOKUP(C144,'[1]E&amp;DPSAC'!$K:$K,'[1]E&amp;DPSAC'!$E:$E,,0)</f>
        <v>C/O - ANUP JOSHI, DOCTOR GALI FRONT OF JAIN MANDIR, P.O. - JHUMRITILAIYA, KODERMA</v>
      </c>
      <c r="I144" s="10"/>
      <c r="J144" s="10">
        <v>9340943062</v>
      </c>
      <c r="K144" s="10">
        <f>_xlfn.XLOOKUP(C144,'[1]E&amp;DPSAC'!$K:$K,'[1]E&amp;DPSAC'!$G:$G,"",0)</f>
        <v>9762686087</v>
      </c>
      <c r="L144" s="9" t="str">
        <f t="shared" ca="1" si="8"/>
        <v>Non - Warranty</v>
      </c>
      <c r="M144" s="11">
        <v>43714</v>
      </c>
      <c r="N144" s="12">
        <v>24</v>
      </c>
      <c r="O144" s="11">
        <f t="shared" si="9"/>
        <v>44469</v>
      </c>
      <c r="P144" s="8" t="s">
        <v>681</v>
      </c>
      <c r="Q144" s="16" t="s">
        <v>922</v>
      </c>
      <c r="R144" s="15">
        <v>45954.740277777775</v>
      </c>
      <c r="S144" s="14">
        <v>7625</v>
      </c>
      <c r="T144" s="15">
        <v>45790</v>
      </c>
      <c r="U144" s="14">
        <v>7495</v>
      </c>
      <c r="V144" s="14">
        <v>7635</v>
      </c>
      <c r="W144" s="17">
        <v>45965.710416666669</v>
      </c>
      <c r="X144" s="14" t="s">
        <v>2699</v>
      </c>
      <c r="Y144" s="14">
        <v>740</v>
      </c>
      <c r="Z144" s="14" t="s">
        <v>2692</v>
      </c>
      <c r="AA144" s="18">
        <v>158.25972222222481</v>
      </c>
      <c r="AB144" s="18" t="s">
        <v>2692</v>
      </c>
      <c r="AC144" s="8">
        <f>tbl_DPSAC[[#This Row],[Current Month Due Count]]</f>
        <v>4</v>
      </c>
      <c r="AD144" s="8">
        <f>tbl_DPSAC[[#This Row],[Next Month Due2]]</f>
        <v>0</v>
      </c>
      <c r="AE144" s="8">
        <f t="shared" si="10"/>
        <v>0</v>
      </c>
      <c r="AF144" s="8">
        <v>1</v>
      </c>
      <c r="AG144" s="14">
        <f t="shared" ca="1" si="11"/>
        <v>7782</v>
      </c>
      <c r="AH144" s="8" t="s">
        <v>920</v>
      </c>
      <c r="AI144" s="8" t="s">
        <v>921</v>
      </c>
      <c r="AJ144" s="8">
        <v>0</v>
      </c>
      <c r="AK144" s="8">
        <v>0</v>
      </c>
      <c r="AL144" s="8">
        <v>0</v>
      </c>
      <c r="AM144" s="8">
        <v>0</v>
      </c>
      <c r="AN144" s="8">
        <v>0</v>
      </c>
      <c r="AO144" s="8">
        <v>0</v>
      </c>
      <c r="AP144" s="8">
        <v>0</v>
      </c>
      <c r="AQ144" s="8">
        <v>0</v>
      </c>
      <c r="AR144" s="8">
        <v>0</v>
      </c>
      <c r="AS144" s="8">
        <v>0</v>
      </c>
      <c r="AT144" s="8">
        <v>0</v>
      </c>
      <c r="AU144" s="8">
        <v>0</v>
      </c>
      <c r="AV144" s="8">
        <v>0</v>
      </c>
      <c r="AW144" s="8">
        <v>0</v>
      </c>
      <c r="AX144" s="8" t="s">
        <v>2007</v>
      </c>
      <c r="AY144" s="14">
        <v>7625</v>
      </c>
      <c r="AZ144" s="19">
        <v>45954</v>
      </c>
      <c r="BA144" s="14" t="s">
        <v>922</v>
      </c>
      <c r="BB144" s="14">
        <v>7625</v>
      </c>
      <c r="BC144" s="19">
        <v>45954</v>
      </c>
      <c r="BD144" s="14" t="s">
        <v>922</v>
      </c>
      <c r="BE144" s="14">
        <v>7625</v>
      </c>
      <c r="BF144" s="19">
        <v>45954</v>
      </c>
      <c r="BG144" s="14" t="s">
        <v>922</v>
      </c>
      <c r="BH144" s="14">
        <v>7625</v>
      </c>
      <c r="BI144" s="19">
        <v>45954</v>
      </c>
      <c r="BJ144" s="14" t="s">
        <v>922</v>
      </c>
      <c r="BK144" s="14">
        <v>7625</v>
      </c>
      <c r="BL144" s="19">
        <v>45954</v>
      </c>
      <c r="BM144" s="14" t="s">
        <v>922</v>
      </c>
      <c r="BN144" s="27">
        <v>46134</v>
      </c>
      <c r="BO144" s="27">
        <v>46134</v>
      </c>
      <c r="BP144" s="27">
        <v>46134</v>
      </c>
      <c r="BQ144" s="27">
        <v>46134</v>
      </c>
      <c r="BR144" s="27">
        <v>46319</v>
      </c>
      <c r="BS144" s="28">
        <v>593</v>
      </c>
      <c r="BT144" s="29">
        <v>1343</v>
      </c>
      <c r="BU144" s="29">
        <v>593</v>
      </c>
      <c r="BV144" s="29">
        <v>593</v>
      </c>
      <c r="BW144" s="29">
        <v>1343</v>
      </c>
      <c r="BX144" s="30" t="s">
        <v>152</v>
      </c>
      <c r="BY144" s="8">
        <v>0</v>
      </c>
      <c r="BZ144" s="8">
        <v>4</v>
      </c>
      <c r="CA144" s="8">
        <v>0</v>
      </c>
      <c r="CB144" s="21">
        <v>45954.770833333299</v>
      </c>
      <c r="CC144" s="21">
        <v>45953.770833333299</v>
      </c>
      <c r="CD144" s="21">
        <v>45953.770833333299</v>
      </c>
      <c r="CE144" s="21">
        <v>45953.770833333299</v>
      </c>
      <c r="CF144" s="21">
        <v>45953.770833333299</v>
      </c>
      <c r="CG144" s="21">
        <v>45953.770833333299</v>
      </c>
      <c r="CH144" s="21">
        <v>45953.770833333299</v>
      </c>
      <c r="CI144" s="21">
        <v>45953.770833333299</v>
      </c>
      <c r="CJ144" s="21">
        <v>45953.770833333299</v>
      </c>
      <c r="CK144" s="22" t="s">
        <v>2992</v>
      </c>
      <c r="CL144" s="22" t="s">
        <v>2992</v>
      </c>
      <c r="CM144" s="22" t="s">
        <v>2992</v>
      </c>
      <c r="CN144" s="22" t="s">
        <v>2992</v>
      </c>
      <c r="CO144" s="22" t="s">
        <v>2992</v>
      </c>
      <c r="CP144" s="22" t="s">
        <v>2993</v>
      </c>
      <c r="CQ144" s="22" t="s">
        <v>2953</v>
      </c>
      <c r="CR144" s="22" t="s">
        <v>2993</v>
      </c>
      <c r="CS144" s="22" t="s">
        <v>2993</v>
      </c>
      <c r="CT144" s="22">
        <v>2</v>
      </c>
      <c r="CU144" s="21">
        <v>46134</v>
      </c>
      <c r="CV144" s="21">
        <v>46133</v>
      </c>
      <c r="CW144" s="21">
        <v>46133</v>
      </c>
      <c r="CX144" s="21">
        <v>46133</v>
      </c>
      <c r="CY144" s="21">
        <v>46133</v>
      </c>
      <c r="CZ144" s="21">
        <v>46223</v>
      </c>
      <c r="DA144" s="21">
        <v>46318</v>
      </c>
      <c r="DB144" s="21">
        <v>46133</v>
      </c>
      <c r="DC144" s="21">
        <v>46318</v>
      </c>
      <c r="DD144" s="8">
        <v>0</v>
      </c>
      <c r="DE144" s="8">
        <v>0</v>
      </c>
      <c r="DF144" s="8">
        <v>0</v>
      </c>
      <c r="DG144" s="8">
        <v>0</v>
      </c>
      <c r="DH144" s="8">
        <v>6</v>
      </c>
      <c r="DI144" s="8">
        <v>0</v>
      </c>
      <c r="DJ144" s="8" t="s">
        <v>3025</v>
      </c>
      <c r="DK144" s="21">
        <v>43714</v>
      </c>
      <c r="DL144" s="21">
        <v>43588.229166666664</v>
      </c>
      <c r="DM144" s="21">
        <v>45965</v>
      </c>
      <c r="DN144" s="18">
        <v>7635</v>
      </c>
      <c r="DO144" s="21">
        <v>0</v>
      </c>
      <c r="DP144" s="21">
        <v>0</v>
      </c>
      <c r="DQ144" s="21" t="s">
        <v>2955</v>
      </c>
      <c r="DR144" s="21">
        <v>45955</v>
      </c>
      <c r="DS144" s="21">
        <v>45954</v>
      </c>
      <c r="DT144" s="21">
        <v>45954</v>
      </c>
      <c r="DU144" s="21">
        <v>45954</v>
      </c>
      <c r="DV144" s="21">
        <v>45954</v>
      </c>
      <c r="DW144" s="21">
        <v>45954</v>
      </c>
      <c r="DX144" s="21">
        <v>45954</v>
      </c>
      <c r="DY144" s="21">
        <v>45954</v>
      </c>
      <c r="DZ144" s="21">
        <v>45954</v>
      </c>
      <c r="EA144" s="8">
        <v>740</v>
      </c>
      <c r="EB144" s="8">
        <v>740</v>
      </c>
      <c r="EC144" s="8">
        <v>740</v>
      </c>
      <c r="ED144" s="8">
        <v>740</v>
      </c>
      <c r="EE144" s="8">
        <v>740</v>
      </c>
      <c r="EF144" s="8">
        <v>1490</v>
      </c>
      <c r="EG144" s="8">
        <v>1000</v>
      </c>
      <c r="EH144" s="8">
        <v>1490</v>
      </c>
      <c r="EI144" s="8">
        <v>1490</v>
      </c>
      <c r="EJ144" s="8">
        <v>2</v>
      </c>
      <c r="EK144" s="8" t="s">
        <v>2624</v>
      </c>
      <c r="EL144" s="8">
        <v>147</v>
      </c>
      <c r="EM144" s="8">
        <v>147</v>
      </c>
      <c r="EN144" s="8">
        <v>452</v>
      </c>
      <c r="EO144" s="8">
        <v>452</v>
      </c>
      <c r="EP144" s="8">
        <v>452</v>
      </c>
      <c r="EQ144" s="8">
        <v>452</v>
      </c>
      <c r="ER144" s="8">
        <v>452</v>
      </c>
      <c r="ES144" s="8">
        <v>1202</v>
      </c>
      <c r="ET144" s="8">
        <v>712</v>
      </c>
      <c r="EU144" s="8">
        <v>1202</v>
      </c>
      <c r="EV144" s="8">
        <v>1202</v>
      </c>
    </row>
    <row r="145" spans="1:152" x14ac:dyDescent="0.15">
      <c r="A145" s="8">
        <f>ROW([2]!tbl_DPSAC[[#This Row],[Sl. No.]])-1</f>
        <v>144</v>
      </c>
      <c r="B145" s="9" t="s">
        <v>196</v>
      </c>
      <c r="C145" s="9" t="s">
        <v>923</v>
      </c>
      <c r="D145" s="9" t="s">
        <v>924</v>
      </c>
      <c r="E145" s="9" t="s">
        <v>147</v>
      </c>
      <c r="F145" s="9" t="s">
        <v>161</v>
      </c>
      <c r="G145" s="10" t="s">
        <v>925</v>
      </c>
      <c r="H145" s="10" t="str">
        <f>_xlfn.XLOOKUP(C145,'[1]E&amp;DPSAC'!$K:$K,'[1]E&amp;DPSAC'!$E:$E,,0)</f>
        <v>SARAN BIHAR</v>
      </c>
      <c r="I145" s="10"/>
      <c r="J145" s="10" t="s">
        <v>143</v>
      </c>
      <c r="K145" s="10">
        <f>_xlfn.XLOOKUP(C145,'[1]E&amp;DPSAC'!$K:$K,'[1]E&amp;DPSAC'!$G:$G,"",0)</f>
        <v>7091096222</v>
      </c>
      <c r="L145" s="9" t="str">
        <f t="shared" ca="1" si="8"/>
        <v>Non - Warranty</v>
      </c>
      <c r="M145" s="11">
        <v>43585</v>
      </c>
      <c r="N145" s="12">
        <v>24</v>
      </c>
      <c r="O145" s="11">
        <f t="shared" si="9"/>
        <v>44316</v>
      </c>
      <c r="P145" s="8" t="s">
        <v>681</v>
      </c>
      <c r="Q145" s="16" t="s">
        <v>926</v>
      </c>
      <c r="R145" s="15">
        <v>45000.600173611099</v>
      </c>
      <c r="S145" s="14">
        <v>115</v>
      </c>
      <c r="T145" s="15">
        <v>45000</v>
      </c>
      <c r="U145" s="14">
        <v>115</v>
      </c>
      <c r="V145" s="14">
        <v>3430</v>
      </c>
      <c r="W145" s="17">
        <v>45940.57708333333</v>
      </c>
      <c r="X145" s="14" t="s">
        <v>2773</v>
      </c>
      <c r="Y145" s="14">
        <v>-2565</v>
      </c>
      <c r="Z145" s="14" t="s">
        <v>2697</v>
      </c>
      <c r="AA145" s="18">
        <v>1112.3998263889007</v>
      </c>
      <c r="AB145" s="18" t="s">
        <v>2697</v>
      </c>
      <c r="AC145" s="8">
        <f>tbl_DPSAC[[#This Row],[Current Month Due Count]]</f>
        <v>0</v>
      </c>
      <c r="AD145" s="8">
        <f>tbl_DPSAC[[#This Row],[Next Month Due2]]</f>
        <v>0</v>
      </c>
      <c r="AE145" s="8">
        <f t="shared" si="10"/>
        <v>1</v>
      </c>
      <c r="AF145" s="8">
        <v>2</v>
      </c>
      <c r="AG145" s="14">
        <f t="shared" ca="1" si="11"/>
        <v>3775</v>
      </c>
      <c r="AH145" s="8">
        <v>0</v>
      </c>
      <c r="AI145" s="8">
        <v>0</v>
      </c>
      <c r="AJ145" s="8">
        <v>0</v>
      </c>
      <c r="AK145" s="8">
        <v>0</v>
      </c>
      <c r="AL145" s="8">
        <v>0</v>
      </c>
      <c r="AM145" s="8">
        <v>0</v>
      </c>
      <c r="AN145" s="8">
        <v>0</v>
      </c>
      <c r="AO145" s="8">
        <v>0</v>
      </c>
      <c r="AP145" s="8">
        <v>0</v>
      </c>
      <c r="AQ145" s="8">
        <v>0</v>
      </c>
      <c r="AR145" s="8">
        <v>0</v>
      </c>
      <c r="AS145" s="8">
        <v>0</v>
      </c>
      <c r="AT145" s="8">
        <v>0</v>
      </c>
      <c r="AU145" s="8">
        <v>0</v>
      </c>
      <c r="AV145" s="8">
        <v>0</v>
      </c>
      <c r="AW145" s="8">
        <v>0</v>
      </c>
      <c r="AX145" s="8" t="s">
        <v>2961</v>
      </c>
      <c r="AY145" s="14">
        <v>115</v>
      </c>
      <c r="AZ145" s="19">
        <v>45000</v>
      </c>
      <c r="BA145" s="14" t="s">
        <v>926</v>
      </c>
      <c r="BB145" s="14">
        <v>115</v>
      </c>
      <c r="BC145" s="19">
        <v>45000</v>
      </c>
      <c r="BD145" s="14" t="s">
        <v>926</v>
      </c>
      <c r="BE145" s="14">
        <v>115</v>
      </c>
      <c r="BF145" s="19">
        <v>45000</v>
      </c>
      <c r="BG145" s="14" t="s">
        <v>926</v>
      </c>
      <c r="BH145" s="14">
        <v>115</v>
      </c>
      <c r="BI145" s="19">
        <v>45000</v>
      </c>
      <c r="BJ145" s="14" t="s">
        <v>926</v>
      </c>
      <c r="BK145" s="14">
        <v>115</v>
      </c>
      <c r="BL145" s="19">
        <v>45000</v>
      </c>
      <c r="BM145" s="14" t="s">
        <v>926</v>
      </c>
      <c r="BN145" s="27">
        <v>45180</v>
      </c>
      <c r="BO145" s="27">
        <v>45180</v>
      </c>
      <c r="BP145" s="27">
        <v>45180</v>
      </c>
      <c r="BQ145" s="27">
        <v>45180</v>
      </c>
      <c r="BR145" s="27">
        <v>45365</v>
      </c>
      <c r="BS145" s="28">
        <v>-2910</v>
      </c>
      <c r="BT145" s="29">
        <v>-2160</v>
      </c>
      <c r="BU145" s="29">
        <v>-2910</v>
      </c>
      <c r="BV145" s="29">
        <v>-2910</v>
      </c>
      <c r="BW145" s="29">
        <v>-2160</v>
      </c>
      <c r="BX145" s="30" t="s">
        <v>173</v>
      </c>
      <c r="BY145" s="8">
        <v>5</v>
      </c>
      <c r="BZ145" s="8">
        <v>0</v>
      </c>
      <c r="CA145" s="8">
        <v>0</v>
      </c>
      <c r="CB145" s="21">
        <v>44999.770833333299</v>
      </c>
      <c r="CC145" s="21">
        <v>44999.770833333299</v>
      </c>
      <c r="CD145" s="21">
        <v>0</v>
      </c>
      <c r="CE145" s="21">
        <v>44999.770833333299</v>
      </c>
      <c r="CF145" s="21">
        <v>44999.770833333299</v>
      </c>
      <c r="CG145" s="21">
        <v>44999.770833333299</v>
      </c>
      <c r="CH145" s="21">
        <v>0</v>
      </c>
      <c r="CI145" s="21">
        <v>44999.770833333299</v>
      </c>
      <c r="CJ145" s="21">
        <v>0</v>
      </c>
      <c r="CK145" s="22" t="s">
        <v>3072</v>
      </c>
      <c r="CL145" s="22" t="s">
        <v>3072</v>
      </c>
      <c r="CM145" s="22" t="s">
        <v>3072</v>
      </c>
      <c r="CN145" s="22" t="s">
        <v>3072</v>
      </c>
      <c r="CO145" s="22" t="s">
        <v>3072</v>
      </c>
      <c r="CP145" s="22" t="s">
        <v>3073</v>
      </c>
      <c r="CQ145" s="22" t="s">
        <v>2953</v>
      </c>
      <c r="CR145" s="22" t="s">
        <v>3073</v>
      </c>
      <c r="CS145" s="22" t="s">
        <v>3073</v>
      </c>
      <c r="CT145" s="22">
        <v>2</v>
      </c>
      <c r="CU145" s="21">
        <v>45179</v>
      </c>
      <c r="CV145" s="21">
        <v>45179</v>
      </c>
      <c r="CW145" s="21">
        <v>46082</v>
      </c>
      <c r="CX145" s="21">
        <v>45179</v>
      </c>
      <c r="CY145" s="21">
        <v>45179</v>
      </c>
      <c r="CZ145" s="21">
        <v>45269</v>
      </c>
      <c r="DA145" s="21">
        <v>46033</v>
      </c>
      <c r="DB145" s="21">
        <v>45179</v>
      </c>
      <c r="DC145" s="21">
        <v>46108</v>
      </c>
      <c r="DD145" s="8">
        <v>1</v>
      </c>
      <c r="DE145" s="8">
        <v>0</v>
      </c>
      <c r="DF145" s="8">
        <v>1</v>
      </c>
      <c r="DG145" s="8">
        <v>9</v>
      </c>
      <c r="DH145" s="8">
        <v>0</v>
      </c>
      <c r="DI145" s="8">
        <v>0</v>
      </c>
      <c r="DJ145" s="8" t="s">
        <v>3025</v>
      </c>
      <c r="DK145" s="21">
        <v>43585</v>
      </c>
      <c r="DL145" s="21">
        <v>43518.229166666664</v>
      </c>
      <c r="DM145" s="21">
        <v>45940</v>
      </c>
      <c r="DN145" s="18">
        <v>3430</v>
      </c>
      <c r="DO145" s="21">
        <v>0</v>
      </c>
      <c r="DP145" s="21">
        <v>0</v>
      </c>
      <c r="DQ145" s="21" t="s">
        <v>2955</v>
      </c>
      <c r="DR145" s="21">
        <v>45000</v>
      </c>
      <c r="DS145" s="21">
        <v>45000</v>
      </c>
      <c r="DT145" s="21">
        <v>0</v>
      </c>
      <c r="DU145" s="21">
        <v>45000</v>
      </c>
      <c r="DV145" s="21">
        <v>45000</v>
      </c>
      <c r="DW145" s="21">
        <v>45000</v>
      </c>
      <c r="DX145" s="21">
        <v>0</v>
      </c>
      <c r="DY145" s="21">
        <v>45000</v>
      </c>
      <c r="DZ145" s="21">
        <v>0</v>
      </c>
      <c r="EA145" s="8">
        <v>575</v>
      </c>
      <c r="EB145" s="8">
        <v>575</v>
      </c>
      <c r="EC145" s="8">
        <v>575</v>
      </c>
      <c r="ED145" s="8">
        <v>575</v>
      </c>
      <c r="EE145" s="8">
        <v>575</v>
      </c>
      <c r="EF145" s="8">
        <v>825</v>
      </c>
      <c r="EG145" s="8">
        <v>1000</v>
      </c>
      <c r="EH145" s="8">
        <v>825</v>
      </c>
      <c r="EI145" s="8">
        <v>825</v>
      </c>
      <c r="EJ145" s="8">
        <v>2</v>
      </c>
      <c r="EK145" s="8" t="s">
        <v>2624</v>
      </c>
      <c r="EL145" s="8">
        <v>172</v>
      </c>
      <c r="EM145" s="8">
        <v>344</v>
      </c>
      <c r="EN145" s="8">
        <v>287</v>
      </c>
      <c r="EO145" s="8">
        <v>287</v>
      </c>
      <c r="EP145" s="8">
        <v>287</v>
      </c>
      <c r="EQ145" s="8">
        <v>287</v>
      </c>
      <c r="ER145" s="8">
        <v>287</v>
      </c>
      <c r="ES145" s="8">
        <v>537</v>
      </c>
      <c r="ET145" s="8">
        <v>712</v>
      </c>
      <c r="EU145" s="8">
        <v>537</v>
      </c>
      <c r="EV145" s="8">
        <v>537</v>
      </c>
    </row>
    <row r="146" spans="1:152" x14ac:dyDescent="0.15">
      <c r="A146" s="8">
        <f>ROW([2]!tbl_DPSAC[[#This Row],[Sl. No.]])-1</f>
        <v>145</v>
      </c>
      <c r="B146" s="9" t="s">
        <v>136</v>
      </c>
      <c r="C146" s="9" t="s">
        <v>927</v>
      </c>
      <c r="D146" s="9" t="s">
        <v>138</v>
      </c>
      <c r="E146" s="9" t="s">
        <v>139</v>
      </c>
      <c r="F146" s="9" t="s">
        <v>161</v>
      </c>
      <c r="G146" s="10" t="s">
        <v>659</v>
      </c>
      <c r="H146" s="10" t="str">
        <f>_xlfn.XLOOKUP(C146,'[1]E&amp;DPSAC'!$K:$K,'[1]E&amp;DPSAC'!$E:$E,,0)</f>
        <v>VILL - BARIDARI, BOKARO</v>
      </c>
      <c r="I146" s="10"/>
      <c r="J146" s="10">
        <v>6204816691</v>
      </c>
      <c r="K146" s="10">
        <f>_xlfn.XLOOKUP(C146,'[1]E&amp;DPSAC'!$K:$K,'[1]E&amp;DPSAC'!$G:$G,"",0)</f>
        <v>9934169104</v>
      </c>
      <c r="L146" s="9" t="str">
        <f t="shared" ca="1" si="8"/>
        <v>Non - Warranty</v>
      </c>
      <c r="M146" s="11">
        <v>43461</v>
      </c>
      <c r="N146" s="12">
        <v>24</v>
      </c>
      <c r="O146" s="11">
        <f t="shared" si="9"/>
        <v>44196</v>
      </c>
      <c r="P146" s="8" t="s">
        <v>142</v>
      </c>
      <c r="Q146" s="16" t="s">
        <v>931</v>
      </c>
      <c r="R146" s="15">
        <v>45954.730555555558</v>
      </c>
      <c r="S146" s="14">
        <v>8475</v>
      </c>
      <c r="T146" s="15">
        <v>45372</v>
      </c>
      <c r="U146" s="14">
        <v>5330</v>
      </c>
      <c r="V146" s="14">
        <v>8990</v>
      </c>
      <c r="W146" s="17">
        <v>46041.713298611103</v>
      </c>
      <c r="X146" s="14" t="s">
        <v>2699</v>
      </c>
      <c r="Y146" s="14">
        <v>235</v>
      </c>
      <c r="Z146" s="14" t="s">
        <v>2692</v>
      </c>
      <c r="AA146" s="18">
        <v>158.26944444444234</v>
      </c>
      <c r="AB146" s="18" t="s">
        <v>2692</v>
      </c>
      <c r="AC146" s="8">
        <f>tbl_DPSAC[[#This Row],[Current Month Due Count]]</f>
        <v>4</v>
      </c>
      <c r="AD146" s="8">
        <f>tbl_DPSAC[[#This Row],[Next Month Due2]]</f>
        <v>0</v>
      </c>
      <c r="AE146" s="8">
        <f t="shared" si="10"/>
        <v>0</v>
      </c>
      <c r="AF146" s="8">
        <v>6</v>
      </c>
      <c r="AG146" s="14">
        <f t="shared" ca="1" si="11"/>
        <v>9418</v>
      </c>
      <c r="AH146" s="8" t="s">
        <v>928</v>
      </c>
      <c r="AI146" s="8" t="s">
        <v>929</v>
      </c>
      <c r="AJ146" s="8">
        <v>0</v>
      </c>
      <c r="AK146" s="8" t="s">
        <v>930</v>
      </c>
      <c r="AL146" s="8">
        <v>0</v>
      </c>
      <c r="AM146" s="8">
        <v>0</v>
      </c>
      <c r="AN146" s="8">
        <v>0</v>
      </c>
      <c r="AO146" s="8">
        <v>0</v>
      </c>
      <c r="AP146" s="8">
        <v>0</v>
      </c>
      <c r="AQ146" s="8">
        <v>0</v>
      </c>
      <c r="AR146" s="8">
        <v>0</v>
      </c>
      <c r="AS146" s="8">
        <v>0</v>
      </c>
      <c r="AT146" s="8">
        <v>0</v>
      </c>
      <c r="AU146" s="8">
        <v>0</v>
      </c>
      <c r="AV146" s="8">
        <v>0</v>
      </c>
      <c r="AW146" s="8">
        <v>0</v>
      </c>
      <c r="AX146" s="8" t="s">
        <v>2980</v>
      </c>
      <c r="AY146" s="14">
        <v>8475</v>
      </c>
      <c r="AZ146" s="19">
        <v>45954</v>
      </c>
      <c r="BA146" s="14" t="s">
        <v>931</v>
      </c>
      <c r="BB146" s="14">
        <v>8475</v>
      </c>
      <c r="BC146" s="19">
        <v>45954</v>
      </c>
      <c r="BD146" s="14" t="s">
        <v>931</v>
      </c>
      <c r="BE146" s="14">
        <v>8475</v>
      </c>
      <c r="BF146" s="19">
        <v>45954</v>
      </c>
      <c r="BG146" s="14" t="s">
        <v>931</v>
      </c>
      <c r="BH146" s="14">
        <v>8475</v>
      </c>
      <c r="BI146" s="19">
        <v>45954</v>
      </c>
      <c r="BJ146" s="14" t="s">
        <v>931</v>
      </c>
      <c r="BK146" s="14">
        <v>8475</v>
      </c>
      <c r="BL146" s="19">
        <v>45954</v>
      </c>
      <c r="BM146" s="14" t="s">
        <v>931</v>
      </c>
      <c r="BN146" s="27">
        <v>46134</v>
      </c>
      <c r="BO146" s="27">
        <v>46134</v>
      </c>
      <c r="BP146" s="27">
        <v>46134</v>
      </c>
      <c r="BQ146" s="27">
        <v>46134</v>
      </c>
      <c r="BR146" s="27">
        <v>46319</v>
      </c>
      <c r="BS146" s="28">
        <v>-193</v>
      </c>
      <c r="BT146" s="29">
        <v>557</v>
      </c>
      <c r="BU146" s="29">
        <v>-193</v>
      </c>
      <c r="BV146" s="29">
        <v>-193</v>
      </c>
      <c r="BW146" s="29">
        <v>557</v>
      </c>
      <c r="BX146" s="30" t="s">
        <v>173</v>
      </c>
      <c r="BY146" s="8">
        <v>0</v>
      </c>
      <c r="BZ146" s="8">
        <v>4</v>
      </c>
      <c r="CA146" s="8">
        <v>0</v>
      </c>
      <c r="CB146" s="21">
        <v>45954.770833333299</v>
      </c>
      <c r="CC146" s="21">
        <v>45954.770833333299</v>
      </c>
      <c r="CD146" s="21">
        <v>45954.770833333299</v>
      </c>
      <c r="CE146" s="21">
        <v>45954.770833333299</v>
      </c>
      <c r="CF146" s="21">
        <v>45954.770833333299</v>
      </c>
      <c r="CG146" s="21">
        <v>45739.770833333299</v>
      </c>
      <c r="CH146" s="21">
        <v>45739.770833333299</v>
      </c>
      <c r="CI146" s="21">
        <v>45739.770833333299</v>
      </c>
      <c r="CJ146" s="21">
        <v>45739.770833333299</v>
      </c>
      <c r="CK146" s="22" t="s">
        <v>2971</v>
      </c>
      <c r="CL146" s="22" t="s">
        <v>2971</v>
      </c>
      <c r="CM146" s="22" t="s">
        <v>2971</v>
      </c>
      <c r="CN146" s="22" t="s">
        <v>2971</v>
      </c>
      <c r="CO146" s="22" t="s">
        <v>2971</v>
      </c>
      <c r="CP146" s="22" t="s">
        <v>2981</v>
      </c>
      <c r="CQ146" s="22" t="s">
        <v>2953</v>
      </c>
      <c r="CR146" s="22" t="s">
        <v>2981</v>
      </c>
      <c r="CS146" s="22" t="s">
        <v>2981</v>
      </c>
      <c r="CT146" s="22">
        <v>4</v>
      </c>
      <c r="CU146" s="21">
        <v>46098</v>
      </c>
      <c r="CV146" s="21">
        <v>46098</v>
      </c>
      <c r="CW146" s="21">
        <v>46098</v>
      </c>
      <c r="CX146" s="21">
        <v>46098</v>
      </c>
      <c r="CY146" s="21">
        <v>46098</v>
      </c>
      <c r="CZ146" s="21">
        <v>46009</v>
      </c>
      <c r="DA146" s="21">
        <v>46104</v>
      </c>
      <c r="DB146" s="21">
        <v>45919</v>
      </c>
      <c r="DC146" s="21">
        <v>46104</v>
      </c>
      <c r="DD146" s="8">
        <v>1</v>
      </c>
      <c r="DE146" s="8">
        <v>0</v>
      </c>
      <c r="DF146" s="8">
        <v>1</v>
      </c>
      <c r="DG146" s="8">
        <v>9</v>
      </c>
      <c r="DH146" s="8">
        <v>0</v>
      </c>
      <c r="DI146" s="8">
        <v>0</v>
      </c>
      <c r="DJ146" s="8" t="s">
        <v>2954</v>
      </c>
      <c r="DK146" s="21">
        <v>43461</v>
      </c>
      <c r="DL146" s="21">
        <v>43434.229166666664</v>
      </c>
      <c r="DM146" s="21">
        <v>46041</v>
      </c>
      <c r="DN146" s="18">
        <v>8990</v>
      </c>
      <c r="DO146" s="21">
        <v>0</v>
      </c>
      <c r="DP146" s="21">
        <v>0</v>
      </c>
      <c r="DQ146" s="21" t="s">
        <v>2955</v>
      </c>
      <c r="DR146" s="21">
        <v>45955</v>
      </c>
      <c r="DS146" s="21">
        <v>45955</v>
      </c>
      <c r="DT146" s="21">
        <v>45955</v>
      </c>
      <c r="DU146" s="21">
        <v>45955</v>
      </c>
      <c r="DV146" s="21">
        <v>45955</v>
      </c>
      <c r="DW146" s="21">
        <v>45740</v>
      </c>
      <c r="DX146" s="21">
        <v>45740</v>
      </c>
      <c r="DY146" s="21">
        <v>45740</v>
      </c>
      <c r="DZ146" s="21">
        <v>45740</v>
      </c>
      <c r="EA146" s="8">
        <v>230</v>
      </c>
      <c r="EB146" s="8">
        <v>230</v>
      </c>
      <c r="EC146" s="8">
        <v>230</v>
      </c>
      <c r="ED146" s="8">
        <v>230</v>
      </c>
      <c r="EE146" s="8">
        <v>230</v>
      </c>
      <c r="EF146" s="8">
        <v>980</v>
      </c>
      <c r="EG146" s="8">
        <v>1000</v>
      </c>
      <c r="EH146" s="8">
        <v>980</v>
      </c>
      <c r="EI146" s="8">
        <v>980</v>
      </c>
      <c r="EJ146" s="8">
        <v>4</v>
      </c>
      <c r="EK146" s="8" t="s">
        <v>2624</v>
      </c>
      <c r="EL146" s="8">
        <v>71</v>
      </c>
      <c r="EM146" s="8">
        <v>426</v>
      </c>
      <c r="EN146" s="8">
        <v>-58</v>
      </c>
      <c r="EO146" s="8">
        <v>-58</v>
      </c>
      <c r="EP146" s="8">
        <v>-58</v>
      </c>
      <c r="EQ146" s="8">
        <v>-58</v>
      </c>
      <c r="ER146" s="8">
        <v>-58</v>
      </c>
      <c r="ES146" s="8">
        <v>692</v>
      </c>
      <c r="ET146" s="8">
        <v>712</v>
      </c>
      <c r="EU146" s="8">
        <v>692</v>
      </c>
      <c r="EV146" s="8">
        <v>692</v>
      </c>
    </row>
    <row r="147" spans="1:152" x14ac:dyDescent="0.15">
      <c r="A147" s="8">
        <f>ROW([2]!tbl_DPSAC[[#This Row],[Sl. No.]])-1</f>
        <v>146</v>
      </c>
      <c r="B147" s="9" t="s">
        <v>136</v>
      </c>
      <c r="C147" s="9" t="s">
        <v>932</v>
      </c>
      <c r="D147" s="9" t="s">
        <v>138</v>
      </c>
      <c r="E147" s="9" t="s">
        <v>139</v>
      </c>
      <c r="F147" s="9" t="s">
        <v>161</v>
      </c>
      <c r="G147" s="10" t="s">
        <v>659</v>
      </c>
      <c r="H147" s="10" t="str">
        <f>_xlfn.XLOOKUP(C147,'[1]E&amp;DPSAC'!$K:$K,'[1]E&amp;DPSAC'!$E:$E,,0)</f>
        <v>GOPI MORE GAYA</v>
      </c>
      <c r="I147" s="10"/>
      <c r="J147" s="10">
        <v>6204816691</v>
      </c>
      <c r="K147" s="10">
        <f>_xlfn.XLOOKUP(C147,'[1]E&amp;DPSAC'!$K:$K,'[1]E&amp;DPSAC'!$G:$G,"",0)</f>
        <v>8340606631</v>
      </c>
      <c r="L147" s="9" t="str">
        <f t="shared" ca="1" si="8"/>
        <v>Non - Warranty</v>
      </c>
      <c r="M147" s="11">
        <v>43690</v>
      </c>
      <c r="N147" s="12">
        <v>24</v>
      </c>
      <c r="O147" s="11">
        <f t="shared" si="9"/>
        <v>44439</v>
      </c>
      <c r="P147" s="8" t="s">
        <v>157</v>
      </c>
      <c r="Q147" s="16" t="s">
        <v>937</v>
      </c>
      <c r="R147" s="15">
        <v>45954.720138888886</v>
      </c>
      <c r="S147" s="14">
        <v>6425</v>
      </c>
      <c r="T147" s="15">
        <v>45826</v>
      </c>
      <c r="U147" s="14">
        <v>3250</v>
      </c>
      <c r="V147" s="14">
        <v>6425</v>
      </c>
      <c r="W147" s="17">
        <v>45954.720138888886</v>
      </c>
      <c r="X147" s="14" t="s">
        <v>2699</v>
      </c>
      <c r="Y147" s="14">
        <v>750</v>
      </c>
      <c r="Z147" s="14" t="s">
        <v>2692</v>
      </c>
      <c r="AA147" s="18">
        <v>158.27986111111386</v>
      </c>
      <c r="AB147" s="18" t="s">
        <v>2692</v>
      </c>
      <c r="AC147" s="8">
        <f>tbl_DPSAC[[#This Row],[Current Month Due Count]]</f>
        <v>4</v>
      </c>
      <c r="AD147" s="8">
        <f>tbl_DPSAC[[#This Row],[Next Month Due2]]</f>
        <v>0</v>
      </c>
      <c r="AE147" s="8">
        <f t="shared" si="10"/>
        <v>0</v>
      </c>
      <c r="AF147" s="8">
        <v>4</v>
      </c>
      <c r="AG147" s="14">
        <f t="shared" ca="1" si="11"/>
        <v>7058</v>
      </c>
      <c r="AH147" s="8" t="s">
        <v>933</v>
      </c>
      <c r="AI147" s="8" t="s">
        <v>934</v>
      </c>
      <c r="AJ147" s="8" t="s">
        <v>935</v>
      </c>
      <c r="AK147" s="8">
        <v>0</v>
      </c>
      <c r="AL147" s="8" t="s">
        <v>936</v>
      </c>
      <c r="AM147" s="8">
        <v>0</v>
      </c>
      <c r="AN147" s="8">
        <v>0</v>
      </c>
      <c r="AO147" s="8">
        <v>0</v>
      </c>
      <c r="AP147" s="8">
        <v>0</v>
      </c>
      <c r="AQ147" s="8">
        <v>0</v>
      </c>
      <c r="AR147" s="8">
        <v>0</v>
      </c>
      <c r="AS147" s="8">
        <v>0</v>
      </c>
      <c r="AT147" s="8">
        <v>0</v>
      </c>
      <c r="AU147" s="8">
        <v>0</v>
      </c>
      <c r="AV147" s="8">
        <v>0</v>
      </c>
      <c r="AW147" s="8">
        <v>0</v>
      </c>
      <c r="AX147" s="8" t="s">
        <v>2007</v>
      </c>
      <c r="AY147" s="14">
        <v>6425</v>
      </c>
      <c r="AZ147" s="19">
        <v>45954</v>
      </c>
      <c r="BA147" s="14" t="s">
        <v>937</v>
      </c>
      <c r="BB147" s="14">
        <v>6425</v>
      </c>
      <c r="BC147" s="19">
        <v>45954</v>
      </c>
      <c r="BD147" s="14" t="s">
        <v>937</v>
      </c>
      <c r="BE147" s="14">
        <v>6425</v>
      </c>
      <c r="BF147" s="19">
        <v>45954</v>
      </c>
      <c r="BG147" s="14" t="s">
        <v>937</v>
      </c>
      <c r="BH147" s="14">
        <v>6425</v>
      </c>
      <c r="BI147" s="19">
        <v>45954</v>
      </c>
      <c r="BJ147" s="14" t="s">
        <v>937</v>
      </c>
      <c r="BK147" s="14">
        <v>6425</v>
      </c>
      <c r="BL147" s="19">
        <v>45954</v>
      </c>
      <c r="BM147" s="14" t="s">
        <v>937</v>
      </c>
      <c r="BN147" s="27">
        <v>46134</v>
      </c>
      <c r="BO147" s="27">
        <v>46134</v>
      </c>
      <c r="BP147" s="27">
        <v>46134</v>
      </c>
      <c r="BQ147" s="27">
        <v>46134</v>
      </c>
      <c r="BR147" s="27">
        <v>46319</v>
      </c>
      <c r="BS147" s="28">
        <v>117</v>
      </c>
      <c r="BT147" s="29">
        <v>867</v>
      </c>
      <c r="BU147" s="29">
        <v>117</v>
      </c>
      <c r="BV147" s="29">
        <v>117</v>
      </c>
      <c r="BW147" s="29">
        <v>867</v>
      </c>
      <c r="BX147" s="30" t="e">
        <v>#N/A</v>
      </c>
      <c r="BY147" s="8">
        <v>0</v>
      </c>
      <c r="BZ147" s="8">
        <v>4</v>
      </c>
      <c r="CA147" s="8">
        <v>0</v>
      </c>
      <c r="CB147" s="21" t="s">
        <v>143</v>
      </c>
      <c r="CC147" s="21" t="s">
        <v>143</v>
      </c>
      <c r="CD147" s="21" t="s">
        <v>143</v>
      </c>
      <c r="CE147" s="21" t="s">
        <v>143</v>
      </c>
      <c r="CF147" s="21" t="s">
        <v>143</v>
      </c>
      <c r="CG147" s="21" t="s">
        <v>143</v>
      </c>
      <c r="CH147" s="21" t="s">
        <v>143</v>
      </c>
      <c r="CI147" s="21" t="s">
        <v>143</v>
      </c>
      <c r="CJ147" s="21" t="s">
        <v>143</v>
      </c>
      <c r="CK147" s="22" t="s">
        <v>143</v>
      </c>
      <c r="CL147" s="22" t="s">
        <v>143</v>
      </c>
      <c r="CM147" s="22" t="s">
        <v>143</v>
      </c>
      <c r="CN147" s="22" t="s">
        <v>143</v>
      </c>
      <c r="CO147" s="22" t="s">
        <v>143</v>
      </c>
      <c r="CP147" s="22" t="s">
        <v>143</v>
      </c>
      <c r="CQ147" s="22" t="s">
        <v>143</v>
      </c>
      <c r="CR147" s="22" t="s">
        <v>143</v>
      </c>
      <c r="CS147" s="22" t="s">
        <v>143</v>
      </c>
      <c r="CT147" s="22" t="s">
        <v>143</v>
      </c>
      <c r="CU147" s="21" t="s">
        <v>143</v>
      </c>
      <c r="CV147" s="21" t="s">
        <v>143</v>
      </c>
      <c r="CW147" s="21" t="s">
        <v>143</v>
      </c>
      <c r="CX147" s="21" t="s">
        <v>143</v>
      </c>
      <c r="CY147" s="21" t="s">
        <v>143</v>
      </c>
      <c r="CZ147" s="21" t="s">
        <v>143</v>
      </c>
      <c r="DA147" s="21" t="s">
        <v>143</v>
      </c>
      <c r="DB147" s="21" t="s">
        <v>143</v>
      </c>
      <c r="DC147" s="21" t="s">
        <v>143</v>
      </c>
      <c r="DD147" s="8" t="s">
        <v>143</v>
      </c>
      <c r="DE147" s="8" t="s">
        <v>143</v>
      </c>
      <c r="DF147" s="8" t="s">
        <v>143</v>
      </c>
      <c r="DG147" s="8">
        <v>0</v>
      </c>
      <c r="DH147" s="8">
        <v>0</v>
      </c>
      <c r="DI147" s="8">
        <v>0</v>
      </c>
      <c r="DJ147" s="8" t="s">
        <v>143</v>
      </c>
      <c r="DK147" s="21" t="s">
        <v>143</v>
      </c>
      <c r="DL147" s="21" t="s">
        <v>143</v>
      </c>
      <c r="DM147" s="21" t="s">
        <v>143</v>
      </c>
      <c r="DN147" s="18" t="s">
        <v>143</v>
      </c>
      <c r="DO147" s="21" t="s">
        <v>143</v>
      </c>
      <c r="DP147" s="21" t="s">
        <v>143</v>
      </c>
      <c r="DQ147" s="21" t="s">
        <v>143</v>
      </c>
      <c r="DR147" s="21" t="s">
        <v>143</v>
      </c>
      <c r="DS147" s="21" t="s">
        <v>143</v>
      </c>
      <c r="DT147" s="21" t="s">
        <v>143</v>
      </c>
      <c r="DU147" s="21" t="s">
        <v>143</v>
      </c>
      <c r="DV147" s="21" t="s">
        <v>143</v>
      </c>
      <c r="DW147" s="21" t="s">
        <v>143</v>
      </c>
      <c r="DX147" s="21" t="s">
        <v>143</v>
      </c>
      <c r="DY147" s="21" t="s">
        <v>143</v>
      </c>
      <c r="DZ147" s="21" t="s">
        <v>143</v>
      </c>
      <c r="EA147" s="8" t="s">
        <v>143</v>
      </c>
      <c r="EB147" s="8" t="s">
        <v>143</v>
      </c>
      <c r="EC147" s="8" t="s">
        <v>143</v>
      </c>
      <c r="ED147" s="8" t="s">
        <v>143</v>
      </c>
      <c r="EE147" s="8" t="s">
        <v>143</v>
      </c>
      <c r="EF147" s="8" t="s">
        <v>143</v>
      </c>
      <c r="EG147" s="8" t="s">
        <v>143</v>
      </c>
      <c r="EH147" s="8" t="s">
        <v>143</v>
      </c>
      <c r="EI147" s="8" t="s">
        <v>143</v>
      </c>
      <c r="EJ147" s="8" t="s">
        <v>143</v>
      </c>
      <c r="EK147" s="8" t="s">
        <v>157</v>
      </c>
      <c r="EL147" s="8">
        <v>158</v>
      </c>
      <c r="EM147" s="8">
        <v>632</v>
      </c>
      <c r="EN147" s="8" t="s">
        <v>143</v>
      </c>
      <c r="EO147" s="8" t="s">
        <v>143</v>
      </c>
      <c r="EP147" s="8" t="s">
        <v>143</v>
      </c>
      <c r="EQ147" s="8" t="s">
        <v>143</v>
      </c>
      <c r="ER147" s="8" t="s">
        <v>143</v>
      </c>
      <c r="ES147" s="8" t="s">
        <v>143</v>
      </c>
      <c r="ET147" s="8" t="s">
        <v>143</v>
      </c>
      <c r="EU147" s="8" t="s">
        <v>143</v>
      </c>
      <c r="EV147" s="8" t="s">
        <v>143</v>
      </c>
    </row>
    <row r="148" spans="1:152" x14ac:dyDescent="0.15">
      <c r="A148" s="8">
        <f>ROW([2]!tbl_DPSAC[[#This Row],[Sl. No.]])-1</f>
        <v>147</v>
      </c>
      <c r="B148" s="9" t="s">
        <v>136</v>
      </c>
      <c r="C148" s="9" t="s">
        <v>938</v>
      </c>
      <c r="D148" s="9" t="s">
        <v>175</v>
      </c>
      <c r="E148" s="9" t="s">
        <v>176</v>
      </c>
      <c r="F148" s="9" t="s">
        <v>161</v>
      </c>
      <c r="G148" s="10" t="s">
        <v>939</v>
      </c>
      <c r="H148" s="10" t="str">
        <f>_xlfn.XLOOKUP(C148,'[1]E&amp;DPSAC'!$K:$K,'[1]E&amp;DPSAC'!$E:$E,,0)</f>
        <v>GUMLA</v>
      </c>
      <c r="I148" s="10"/>
      <c r="J148" s="10">
        <v>6201272144</v>
      </c>
      <c r="K148" s="10">
        <f>_xlfn.XLOOKUP(C148,'[1]E&amp;DPSAC'!$K:$K,'[1]E&amp;DPSAC'!$G:$G,"",0)</f>
        <v>8709972418</v>
      </c>
      <c r="L148" s="9" t="str">
        <f t="shared" ca="1" si="8"/>
        <v>Non - Warranty</v>
      </c>
      <c r="M148" s="11">
        <v>43414</v>
      </c>
      <c r="N148" s="12">
        <v>24</v>
      </c>
      <c r="O148" s="11">
        <f t="shared" si="9"/>
        <v>44165</v>
      </c>
      <c r="P148" s="8" t="s">
        <v>681</v>
      </c>
      <c r="Q148" s="16" t="s">
        <v>2638</v>
      </c>
      <c r="R148" s="15">
        <v>45090.437326388899</v>
      </c>
      <c r="S148" s="14">
        <v>4580</v>
      </c>
      <c r="T148" s="15">
        <v>45973</v>
      </c>
      <c r="U148" s="14">
        <v>6869</v>
      </c>
      <c r="V148" s="14">
        <v>6140</v>
      </c>
      <c r="W148" s="17">
        <v>45965.714583333334</v>
      </c>
      <c r="X148" s="14" t="s">
        <v>2774</v>
      </c>
      <c r="Y148" s="14">
        <v>-810</v>
      </c>
      <c r="Z148" s="14" t="s">
        <v>2697</v>
      </c>
      <c r="AA148" s="18">
        <v>1022.5626736111008</v>
      </c>
      <c r="AB148" s="18" t="s">
        <v>2697</v>
      </c>
      <c r="AC148" s="8">
        <f>tbl_DPSAC[[#This Row],[Current Month Due Count]]</f>
        <v>0</v>
      </c>
      <c r="AD148" s="8">
        <f>tbl_DPSAC[[#This Row],[Next Month Due2]]</f>
        <v>0</v>
      </c>
      <c r="AE148" s="8">
        <f t="shared" si="10"/>
        <v>1</v>
      </c>
      <c r="AF148" s="8">
        <v>2</v>
      </c>
      <c r="AG148" s="14">
        <f t="shared" ca="1" si="11"/>
        <v>6435</v>
      </c>
      <c r="AH148" s="8">
        <v>0</v>
      </c>
      <c r="AI148" s="8" t="s">
        <v>940</v>
      </c>
      <c r="AJ148" s="8">
        <v>0</v>
      </c>
      <c r="AK148" s="8">
        <v>0</v>
      </c>
      <c r="AL148" s="8">
        <v>0</v>
      </c>
      <c r="AM148" s="8">
        <v>0</v>
      </c>
      <c r="AN148" s="8">
        <v>0</v>
      </c>
      <c r="AO148" s="8">
        <v>0</v>
      </c>
      <c r="AP148" s="8">
        <v>0</v>
      </c>
      <c r="AQ148" s="8">
        <v>0</v>
      </c>
      <c r="AR148" s="8">
        <v>0</v>
      </c>
      <c r="AS148" s="8">
        <v>0</v>
      </c>
      <c r="AT148" s="8">
        <v>0</v>
      </c>
      <c r="AU148" s="8">
        <v>0</v>
      </c>
      <c r="AV148" s="8">
        <v>0</v>
      </c>
      <c r="AW148" s="8">
        <v>0</v>
      </c>
      <c r="AX148" s="8" t="s">
        <v>2961</v>
      </c>
      <c r="AY148" s="14">
        <v>4000</v>
      </c>
      <c r="AZ148" s="19">
        <v>44320.521747685183</v>
      </c>
      <c r="BA148" s="14"/>
      <c r="BB148" s="14">
        <v>4000</v>
      </c>
      <c r="BC148" s="19">
        <v>44320.521747685183</v>
      </c>
      <c r="BD148" s="14"/>
      <c r="BE148" s="14">
        <v>4000</v>
      </c>
      <c r="BF148" s="19">
        <v>44320.521747685183</v>
      </c>
      <c r="BG148" s="14"/>
      <c r="BH148" s="14">
        <v>4000</v>
      </c>
      <c r="BI148" s="19">
        <v>44320.521747685183</v>
      </c>
      <c r="BJ148" s="14"/>
      <c r="BK148" s="14">
        <v>4000</v>
      </c>
      <c r="BL148" s="19">
        <v>44320.521747685183</v>
      </c>
      <c r="BM148" s="14"/>
      <c r="BN148" s="27">
        <v>44500.521747685183</v>
      </c>
      <c r="BO148" s="27">
        <v>44500.521747685183</v>
      </c>
      <c r="BP148" s="27">
        <v>44500.521747685183</v>
      </c>
      <c r="BQ148" s="27">
        <v>44500.521747685183</v>
      </c>
      <c r="BR148" s="27">
        <v>44685.521747685183</v>
      </c>
      <c r="BS148" s="28">
        <v>-1685</v>
      </c>
      <c r="BT148" s="29">
        <v>-935</v>
      </c>
      <c r="BU148" s="29">
        <v>-1685</v>
      </c>
      <c r="BV148" s="29">
        <v>-1685</v>
      </c>
      <c r="BW148" s="29">
        <v>-935</v>
      </c>
      <c r="BX148" s="30" t="s">
        <v>152</v>
      </c>
      <c r="BY148" s="8">
        <v>5</v>
      </c>
      <c r="BZ148" s="8">
        <v>0</v>
      </c>
      <c r="CA148" s="8">
        <v>0</v>
      </c>
      <c r="CB148" s="21">
        <v>45089.770833333299</v>
      </c>
      <c r="CC148" s="21">
        <v>45089.770833333299</v>
      </c>
      <c r="CD148" s="21">
        <v>45089.770833333299</v>
      </c>
      <c r="CE148" s="21">
        <v>45089.770833333299</v>
      </c>
      <c r="CF148" s="21">
        <v>45089.770833333299</v>
      </c>
      <c r="CG148" s="21">
        <v>45089.770833333299</v>
      </c>
      <c r="CH148" s="21">
        <v>45089.770833333299</v>
      </c>
      <c r="CI148" s="21">
        <v>45089.770833333299</v>
      </c>
      <c r="CJ148" s="21">
        <v>45089.770833333299</v>
      </c>
      <c r="CK148" s="22" t="s">
        <v>3074</v>
      </c>
      <c r="CL148" s="22" t="s">
        <v>3074</v>
      </c>
      <c r="CM148" s="22" t="s">
        <v>3074</v>
      </c>
      <c r="CN148" s="22" t="s">
        <v>3074</v>
      </c>
      <c r="CO148" s="22" t="s">
        <v>3074</v>
      </c>
      <c r="CP148" s="22" t="s">
        <v>3074</v>
      </c>
      <c r="CQ148" s="22" t="s">
        <v>2953</v>
      </c>
      <c r="CR148" s="22" t="s">
        <v>3074</v>
      </c>
      <c r="CS148" s="22" t="s">
        <v>3074</v>
      </c>
      <c r="CT148" s="22">
        <v>2</v>
      </c>
      <c r="CU148" s="21">
        <v>45269</v>
      </c>
      <c r="CV148" s="21">
        <v>45269</v>
      </c>
      <c r="CW148" s="21">
        <v>45269</v>
      </c>
      <c r="CX148" s="21">
        <v>45269</v>
      </c>
      <c r="CY148" s="21">
        <v>45269</v>
      </c>
      <c r="CZ148" s="21">
        <v>45359</v>
      </c>
      <c r="DA148" s="21">
        <v>45454</v>
      </c>
      <c r="DB148" s="21">
        <v>45269</v>
      </c>
      <c r="DC148" s="21">
        <v>45454</v>
      </c>
      <c r="DD148" s="8">
        <v>1</v>
      </c>
      <c r="DE148" s="8">
        <v>0</v>
      </c>
      <c r="DF148" s="8">
        <v>0</v>
      </c>
      <c r="DG148" s="8">
        <v>9</v>
      </c>
      <c r="DH148" s="8">
        <v>0</v>
      </c>
      <c r="DI148" s="8">
        <v>0</v>
      </c>
      <c r="DJ148" s="8" t="s">
        <v>3025</v>
      </c>
      <c r="DK148" s="21">
        <v>43414</v>
      </c>
      <c r="DL148" s="21">
        <v>43405.333333333336</v>
      </c>
      <c r="DM148" s="21">
        <v>45965</v>
      </c>
      <c r="DN148" s="18">
        <v>6840</v>
      </c>
      <c r="DO148" s="21">
        <v>0</v>
      </c>
      <c r="DP148" s="21">
        <v>0</v>
      </c>
      <c r="DQ148" s="21" t="s">
        <v>2955</v>
      </c>
      <c r="DR148" s="21">
        <v>45090</v>
      </c>
      <c r="DS148" s="21">
        <v>45090</v>
      </c>
      <c r="DT148" s="21">
        <v>45090</v>
      </c>
      <c r="DU148" s="21">
        <v>45090</v>
      </c>
      <c r="DV148" s="21">
        <v>45090</v>
      </c>
      <c r="DW148" s="21">
        <v>45090</v>
      </c>
      <c r="DX148" s="21">
        <v>45090</v>
      </c>
      <c r="DY148" s="21">
        <v>45090</v>
      </c>
      <c r="DZ148" s="21">
        <v>45090</v>
      </c>
      <c r="EA148" s="8">
        <v>390</v>
      </c>
      <c r="EB148" s="8">
        <v>390</v>
      </c>
      <c r="EC148" s="8">
        <v>390</v>
      </c>
      <c r="ED148" s="8">
        <v>390</v>
      </c>
      <c r="EE148" s="8">
        <v>390</v>
      </c>
      <c r="EF148" s="8">
        <v>390</v>
      </c>
      <c r="EG148" s="8">
        <v>1000</v>
      </c>
      <c r="EH148" s="8">
        <v>390</v>
      </c>
      <c r="EI148" s="8">
        <v>390</v>
      </c>
      <c r="EJ148" s="8">
        <v>2</v>
      </c>
      <c r="EK148" s="8" t="s">
        <v>2624</v>
      </c>
      <c r="EL148" s="8">
        <v>147</v>
      </c>
      <c r="EM148" s="8">
        <v>294</v>
      </c>
      <c r="EN148" s="8">
        <v>102</v>
      </c>
      <c r="EO148" s="8">
        <v>102</v>
      </c>
      <c r="EP148" s="8">
        <v>102</v>
      </c>
      <c r="EQ148" s="8">
        <v>102</v>
      </c>
      <c r="ER148" s="8">
        <v>102</v>
      </c>
      <c r="ES148" s="8">
        <v>102</v>
      </c>
      <c r="ET148" s="8">
        <v>712</v>
      </c>
      <c r="EU148" s="8">
        <v>102</v>
      </c>
      <c r="EV148" s="8">
        <v>102</v>
      </c>
    </row>
    <row r="149" spans="1:152" x14ac:dyDescent="0.15">
      <c r="A149" s="8">
        <f>ROW([2]!tbl_DPSAC[[#This Row],[Sl. No.]])-1</f>
        <v>148</v>
      </c>
      <c r="B149" s="9" t="s">
        <v>196</v>
      </c>
      <c r="C149" s="9" t="s">
        <v>941</v>
      </c>
      <c r="D149" s="9" t="s">
        <v>942</v>
      </c>
      <c r="E149" s="9" t="s">
        <v>943</v>
      </c>
      <c r="F149" s="9" t="s">
        <v>161</v>
      </c>
      <c r="G149" s="10" t="s">
        <v>944</v>
      </c>
      <c r="H149" s="10" t="e">
        <f>_xlfn.XLOOKUP(C149,'[1]E&amp;DPSAC'!$K:$K,'[1]E&amp;DPSAC'!$E:$E,,0)</f>
        <v>#N/A</v>
      </c>
      <c r="I149" s="10"/>
      <c r="J149" s="10">
        <v>9431453972</v>
      </c>
      <c r="K149" s="10" t="str">
        <f>_xlfn.XLOOKUP(C149,'[1]E&amp;DPSAC'!$K:$K,'[1]E&amp;DPSAC'!$G:$G,"",0)</f>
        <v/>
      </c>
      <c r="L149" s="9" t="str">
        <f t="shared" ca="1" si="8"/>
        <v>Non - Warranty</v>
      </c>
      <c r="M149" s="11">
        <v>42063</v>
      </c>
      <c r="N149" s="12">
        <v>24</v>
      </c>
      <c r="O149" s="11">
        <f t="shared" si="9"/>
        <v>42794</v>
      </c>
      <c r="P149" s="8" t="s">
        <v>681</v>
      </c>
      <c r="Q149" s="16" t="s">
        <v>143</v>
      </c>
      <c r="R149" s="15" t="s">
        <v>143</v>
      </c>
      <c r="S149" s="14" t="s">
        <v>143</v>
      </c>
      <c r="T149" s="15" t="s">
        <v>143</v>
      </c>
      <c r="U149" s="14" t="s">
        <v>143</v>
      </c>
      <c r="V149" s="14">
        <v>6770</v>
      </c>
      <c r="W149" s="17">
        <v>45940.584027777775</v>
      </c>
      <c r="X149" s="14" t="s">
        <v>143</v>
      </c>
      <c r="Y149" s="14">
        <v>0</v>
      </c>
      <c r="Z149" s="14" t="s">
        <v>2692</v>
      </c>
      <c r="AA149" s="18">
        <v>4050</v>
      </c>
      <c r="AB149" s="18" t="s">
        <v>2697</v>
      </c>
      <c r="AC149" s="8">
        <f>tbl_DPSAC[[#This Row],[Current Month Due Count]]</f>
        <v>0</v>
      </c>
      <c r="AD149" s="8">
        <f>tbl_DPSAC[[#This Row],[Next Month Due2]]</f>
        <v>0</v>
      </c>
      <c r="AE149" s="8">
        <f t="shared" si="10"/>
        <v>1</v>
      </c>
      <c r="AF149" s="8">
        <v>2</v>
      </c>
      <c r="AG149" s="14">
        <f t="shared" ca="1" si="11"/>
        <v>7115</v>
      </c>
      <c r="AH149" s="8">
        <v>0</v>
      </c>
      <c r="AI149" s="8">
        <v>0</v>
      </c>
      <c r="AJ149" s="8">
        <v>0</v>
      </c>
      <c r="AK149" s="8">
        <v>0</v>
      </c>
      <c r="AL149" s="8">
        <v>0</v>
      </c>
      <c r="AM149" s="8">
        <v>0</v>
      </c>
      <c r="AN149" s="8">
        <v>0</v>
      </c>
      <c r="AO149" s="8">
        <v>0</v>
      </c>
      <c r="AP149" s="8">
        <v>0</v>
      </c>
      <c r="AQ149" s="8">
        <v>0</v>
      </c>
      <c r="AR149" s="8">
        <v>0</v>
      </c>
      <c r="AS149" s="8">
        <v>0</v>
      </c>
      <c r="AT149" s="8">
        <v>0</v>
      </c>
      <c r="AU149" s="8">
        <v>0</v>
      </c>
      <c r="AV149" s="8">
        <v>0</v>
      </c>
      <c r="AW149" s="8">
        <v>0</v>
      </c>
      <c r="AX149" s="8" t="s">
        <v>2977</v>
      </c>
      <c r="AY149" s="14">
        <v>3000</v>
      </c>
      <c r="AZ149" s="19">
        <v>44255</v>
      </c>
      <c r="BA149" s="14"/>
      <c r="BB149" s="14">
        <v>3000</v>
      </c>
      <c r="BC149" s="19">
        <v>44255</v>
      </c>
      <c r="BD149" s="14"/>
      <c r="BE149" s="14">
        <v>3000</v>
      </c>
      <c r="BF149" s="19">
        <v>44255</v>
      </c>
      <c r="BG149" s="14"/>
      <c r="BH149" s="14"/>
      <c r="BI149" s="19"/>
      <c r="BJ149" s="14"/>
      <c r="BK149" s="14">
        <v>3000</v>
      </c>
      <c r="BL149" s="19">
        <v>44255</v>
      </c>
      <c r="BM149" s="14"/>
      <c r="BN149" s="27">
        <v>44435</v>
      </c>
      <c r="BO149" s="27">
        <v>44435</v>
      </c>
      <c r="BP149" s="27">
        <v>44435</v>
      </c>
      <c r="BQ149" s="27" t="s">
        <v>143</v>
      </c>
      <c r="BR149" s="27">
        <v>44620</v>
      </c>
      <c r="BS149" s="28">
        <v>-3365</v>
      </c>
      <c r="BT149" s="29">
        <v>-2615</v>
      </c>
      <c r="BU149" s="29">
        <v>-3365</v>
      </c>
      <c r="BV149" s="29" t="s">
        <v>143</v>
      </c>
      <c r="BW149" s="29">
        <v>-2615</v>
      </c>
      <c r="BX149" s="30" t="s">
        <v>173</v>
      </c>
      <c r="BY149" s="8">
        <v>4</v>
      </c>
      <c r="BZ149" s="8">
        <v>0</v>
      </c>
      <c r="CA149" s="8">
        <v>0</v>
      </c>
      <c r="CB149" s="21">
        <v>0</v>
      </c>
      <c r="CC149" s="21">
        <v>0</v>
      </c>
      <c r="CD149" s="21">
        <v>0</v>
      </c>
      <c r="CE149" s="21">
        <v>0</v>
      </c>
      <c r="CF149" s="21">
        <v>0</v>
      </c>
      <c r="CG149" s="21">
        <v>0</v>
      </c>
      <c r="CH149" s="21">
        <v>0</v>
      </c>
      <c r="CI149" s="21">
        <v>0</v>
      </c>
      <c r="CJ149" s="21">
        <v>0</v>
      </c>
      <c r="CK149" s="22" t="s">
        <v>3036</v>
      </c>
      <c r="CL149" s="22" t="s">
        <v>3036</v>
      </c>
      <c r="CM149" s="22" t="s">
        <v>3036</v>
      </c>
      <c r="CN149" s="22" t="s">
        <v>3036</v>
      </c>
      <c r="CO149" s="22" t="s">
        <v>3036</v>
      </c>
      <c r="CP149" s="22" t="s">
        <v>3075</v>
      </c>
      <c r="CQ149" s="22" t="s">
        <v>2953</v>
      </c>
      <c r="CR149" s="22" t="s">
        <v>3075</v>
      </c>
      <c r="CS149" s="22" t="s">
        <v>3075</v>
      </c>
      <c r="CT149" s="22">
        <v>2</v>
      </c>
      <c r="CU149" s="21">
        <v>46099</v>
      </c>
      <c r="CV149" s="21">
        <v>46076</v>
      </c>
      <c r="CW149" s="21">
        <v>46076</v>
      </c>
      <c r="CX149" s="21">
        <v>46099</v>
      </c>
      <c r="CY149" s="21">
        <v>46099</v>
      </c>
      <c r="CZ149" s="21">
        <v>46148</v>
      </c>
      <c r="DA149" s="21">
        <v>46033</v>
      </c>
      <c r="DB149" s="21">
        <v>46058</v>
      </c>
      <c r="DC149" s="21">
        <v>46106</v>
      </c>
      <c r="DD149" s="8">
        <v>1</v>
      </c>
      <c r="DE149" s="8">
        <v>1</v>
      </c>
      <c r="DF149" s="8">
        <v>1</v>
      </c>
      <c r="DG149" s="8">
        <v>8</v>
      </c>
      <c r="DH149" s="8">
        <v>0</v>
      </c>
      <c r="DI149" s="8">
        <v>1</v>
      </c>
      <c r="DJ149" s="8" t="s">
        <v>3025</v>
      </c>
      <c r="DK149" s="21">
        <v>42063</v>
      </c>
      <c r="DL149" s="21">
        <v>42037</v>
      </c>
      <c r="DM149" s="21">
        <v>45940</v>
      </c>
      <c r="DN149" s="18">
        <v>6770</v>
      </c>
      <c r="DO149" s="21">
        <v>0</v>
      </c>
      <c r="DP149" s="21">
        <v>0</v>
      </c>
      <c r="DQ149" s="21">
        <v>0</v>
      </c>
      <c r="DR149" s="21">
        <v>0</v>
      </c>
      <c r="DS149" s="21">
        <v>0</v>
      </c>
      <c r="DT149" s="21">
        <v>0</v>
      </c>
      <c r="DU149" s="21">
        <v>0</v>
      </c>
      <c r="DV149" s="21">
        <v>0</v>
      </c>
      <c r="DW149" s="21">
        <v>0</v>
      </c>
      <c r="DX149" s="21">
        <v>0</v>
      </c>
      <c r="DY149" s="21">
        <v>0</v>
      </c>
      <c r="DZ149" s="21">
        <v>0</v>
      </c>
      <c r="EA149" s="8">
        <v>510</v>
      </c>
      <c r="EB149" s="8">
        <v>510</v>
      </c>
      <c r="EC149" s="8">
        <v>510</v>
      </c>
      <c r="ED149" s="8">
        <v>510</v>
      </c>
      <c r="EE149" s="8">
        <v>510</v>
      </c>
      <c r="EF149" s="8">
        <v>810</v>
      </c>
      <c r="EG149" s="8">
        <v>1000</v>
      </c>
      <c r="EH149" s="8">
        <v>810</v>
      </c>
      <c r="EI149" s="8">
        <v>810</v>
      </c>
      <c r="EJ149" s="8">
        <v>2</v>
      </c>
      <c r="EK149" s="8" t="s">
        <v>2624</v>
      </c>
      <c r="EL149" s="8">
        <v>172</v>
      </c>
      <c r="EM149" s="8">
        <v>344</v>
      </c>
      <c r="EN149" s="8">
        <v>222</v>
      </c>
      <c r="EO149" s="8">
        <v>222</v>
      </c>
      <c r="EP149" s="8">
        <v>222</v>
      </c>
      <c r="EQ149" s="8">
        <v>222</v>
      </c>
      <c r="ER149" s="8">
        <v>222</v>
      </c>
      <c r="ES149" s="8">
        <v>522</v>
      </c>
      <c r="ET149" s="8">
        <v>712</v>
      </c>
      <c r="EU149" s="8">
        <v>522</v>
      </c>
      <c r="EV149" s="8">
        <v>522</v>
      </c>
    </row>
    <row r="150" spans="1:152" x14ac:dyDescent="0.15">
      <c r="A150" s="8">
        <f>ROW([2]!tbl_DPSAC[[#This Row],[Sl. No.]])-1</f>
        <v>149</v>
      </c>
      <c r="B150" s="9" t="s">
        <v>196</v>
      </c>
      <c r="C150" s="9" t="s">
        <v>945</v>
      </c>
      <c r="D150" s="9" t="s">
        <v>857</v>
      </c>
      <c r="E150" s="9" t="s">
        <v>170</v>
      </c>
      <c r="F150" s="9" t="s">
        <v>161</v>
      </c>
      <c r="G150" s="10" t="s">
        <v>944</v>
      </c>
      <c r="H150" s="10" t="str">
        <f>_xlfn.XLOOKUP(C150,'[1]E&amp;DPSAC'!$K:$K,'[1]E&amp;DPSAC'!$E:$E,,0)</f>
        <v>GAYA</v>
      </c>
      <c r="I150" s="10"/>
      <c r="J150" s="10">
        <v>9431453972</v>
      </c>
      <c r="K150" s="10">
        <f>_xlfn.XLOOKUP(C150,'[1]E&amp;DPSAC'!$K:$K,'[1]E&amp;DPSAC'!$G:$G,"",0)</f>
        <v>6801665105</v>
      </c>
      <c r="L150" s="9" t="str">
        <f t="shared" ca="1" si="8"/>
        <v>Non - Warranty</v>
      </c>
      <c r="M150" s="11">
        <v>42438</v>
      </c>
      <c r="N150" s="12">
        <v>24</v>
      </c>
      <c r="O150" s="11">
        <f t="shared" si="9"/>
        <v>43190</v>
      </c>
      <c r="P150" s="8" t="s">
        <v>681</v>
      </c>
      <c r="Q150" s="16" t="s">
        <v>946</v>
      </c>
      <c r="R150" s="15">
        <v>45266.479421296302</v>
      </c>
      <c r="S150" s="14">
        <v>2988</v>
      </c>
      <c r="T150" s="15">
        <v>45266</v>
      </c>
      <c r="U150" s="14">
        <v>2988</v>
      </c>
      <c r="V150" s="14">
        <v>5650</v>
      </c>
      <c r="W150" s="17">
        <v>45940.586805555555</v>
      </c>
      <c r="X150" s="14" t="s">
        <v>2771</v>
      </c>
      <c r="Y150" s="14">
        <v>-1912</v>
      </c>
      <c r="Z150" s="14" t="s">
        <v>2697</v>
      </c>
      <c r="AA150" s="18">
        <v>846.52057870369754</v>
      </c>
      <c r="AB150" s="18" t="s">
        <v>2697</v>
      </c>
      <c r="AC150" s="8">
        <f>tbl_DPSAC[[#This Row],[Current Month Due Count]]</f>
        <v>0</v>
      </c>
      <c r="AD150" s="8">
        <f>tbl_DPSAC[[#This Row],[Next Month Due2]]</f>
        <v>0</v>
      </c>
      <c r="AE150" s="8">
        <f t="shared" si="10"/>
        <v>1</v>
      </c>
      <c r="AF150" s="8">
        <v>4</v>
      </c>
      <c r="AG150" s="14">
        <f t="shared" ca="1" si="11"/>
        <v>6340</v>
      </c>
      <c r="AH150" s="8">
        <v>0</v>
      </c>
      <c r="AI150" s="8">
        <v>0</v>
      </c>
      <c r="AJ150" s="8">
        <v>0</v>
      </c>
      <c r="AK150" s="8">
        <v>0</v>
      </c>
      <c r="AL150" s="8">
        <v>0</v>
      </c>
      <c r="AM150" s="8">
        <v>0</v>
      </c>
      <c r="AN150" s="8">
        <v>0</v>
      </c>
      <c r="AO150" s="8">
        <v>0</v>
      </c>
      <c r="AP150" s="8">
        <v>0</v>
      </c>
      <c r="AQ150" s="8">
        <v>0</v>
      </c>
      <c r="AR150" s="8">
        <v>0</v>
      </c>
      <c r="AS150" s="8">
        <v>0</v>
      </c>
      <c r="AT150" s="8">
        <v>0</v>
      </c>
      <c r="AU150" s="8">
        <v>0</v>
      </c>
      <c r="AV150" s="8">
        <v>0</v>
      </c>
      <c r="AW150" s="8">
        <v>0</v>
      </c>
      <c r="AX150" s="8" t="s">
        <v>2977</v>
      </c>
      <c r="AY150" s="14">
        <v>2988</v>
      </c>
      <c r="AZ150" s="19">
        <v>45266</v>
      </c>
      <c r="BA150" s="14" t="s">
        <v>946</v>
      </c>
      <c r="BB150" s="14">
        <v>3103</v>
      </c>
      <c r="BC150" s="19">
        <v>44254</v>
      </c>
      <c r="BD150" s="14"/>
      <c r="BE150" s="14">
        <v>2988</v>
      </c>
      <c r="BF150" s="19">
        <v>45266</v>
      </c>
      <c r="BG150" s="14" t="s">
        <v>946</v>
      </c>
      <c r="BH150" s="14"/>
      <c r="BI150" s="19"/>
      <c r="BJ150" s="14"/>
      <c r="BK150" s="14">
        <v>3103</v>
      </c>
      <c r="BL150" s="19">
        <v>44254</v>
      </c>
      <c r="BM150" s="14"/>
      <c r="BN150" s="27">
        <v>45446</v>
      </c>
      <c r="BO150" s="27">
        <v>44434</v>
      </c>
      <c r="BP150" s="27">
        <v>45446</v>
      </c>
      <c r="BQ150" s="27" t="s">
        <v>143</v>
      </c>
      <c r="BR150" s="27">
        <v>44619</v>
      </c>
      <c r="BS150" s="28">
        <v>-2602</v>
      </c>
      <c r="BT150" s="29">
        <v>-1737</v>
      </c>
      <c r="BU150" s="29">
        <v>-2602</v>
      </c>
      <c r="BV150" s="29" t="s">
        <v>143</v>
      </c>
      <c r="BW150" s="29">
        <v>-1737</v>
      </c>
      <c r="BX150" s="30" t="s">
        <v>173</v>
      </c>
      <c r="BY150" s="8">
        <v>4</v>
      </c>
      <c r="BZ150" s="8">
        <v>0</v>
      </c>
      <c r="CA150" s="8">
        <v>0</v>
      </c>
      <c r="CB150" s="21">
        <v>45265.770833333299</v>
      </c>
      <c r="CC150" s="21">
        <v>45265.770833333299</v>
      </c>
      <c r="CD150" s="21">
        <v>0</v>
      </c>
      <c r="CE150" s="21">
        <v>45265.770833333299</v>
      </c>
      <c r="CF150" s="21">
        <v>45265.770833333299</v>
      </c>
      <c r="CG150" s="21">
        <v>0</v>
      </c>
      <c r="CH150" s="21">
        <v>0</v>
      </c>
      <c r="CI150" s="21">
        <v>0</v>
      </c>
      <c r="CJ150" s="21">
        <v>0</v>
      </c>
      <c r="CK150" s="22" t="s">
        <v>3076</v>
      </c>
      <c r="CL150" s="22" t="s">
        <v>3076</v>
      </c>
      <c r="CM150" s="22" t="s">
        <v>3076</v>
      </c>
      <c r="CN150" s="22" t="s">
        <v>3076</v>
      </c>
      <c r="CO150" s="22" t="s">
        <v>3076</v>
      </c>
      <c r="CP150" s="22" t="s">
        <v>3077</v>
      </c>
      <c r="CQ150" s="22" t="s">
        <v>2953</v>
      </c>
      <c r="CR150" s="22" t="s">
        <v>3077</v>
      </c>
      <c r="CS150" s="22" t="s">
        <v>3077</v>
      </c>
      <c r="CT150" s="22">
        <v>2</v>
      </c>
      <c r="CU150" s="21">
        <v>45445</v>
      </c>
      <c r="CV150" s="21">
        <v>45445</v>
      </c>
      <c r="CW150" s="21">
        <v>46085</v>
      </c>
      <c r="CX150" s="21">
        <v>45445</v>
      </c>
      <c r="CY150" s="21">
        <v>45445</v>
      </c>
      <c r="CZ150" s="21">
        <v>46175</v>
      </c>
      <c r="DA150" s="21">
        <v>46033</v>
      </c>
      <c r="DB150" s="21">
        <v>46085</v>
      </c>
      <c r="DC150" s="21">
        <v>46134</v>
      </c>
      <c r="DD150" s="8">
        <v>1</v>
      </c>
      <c r="DE150" s="8">
        <v>0</v>
      </c>
      <c r="DF150" s="8">
        <v>1</v>
      </c>
      <c r="DG150" s="8">
        <v>7</v>
      </c>
      <c r="DH150" s="8">
        <v>1</v>
      </c>
      <c r="DI150" s="8">
        <v>0</v>
      </c>
      <c r="DJ150" s="8" t="s">
        <v>3025</v>
      </c>
      <c r="DK150" s="21">
        <v>42438</v>
      </c>
      <c r="DL150" s="21">
        <v>42346</v>
      </c>
      <c r="DM150" s="21">
        <v>45940</v>
      </c>
      <c r="DN150" s="18">
        <v>5650</v>
      </c>
      <c r="DO150" s="21">
        <v>0</v>
      </c>
      <c r="DP150" s="21">
        <v>0</v>
      </c>
      <c r="DQ150" s="21" t="s">
        <v>2955</v>
      </c>
      <c r="DR150" s="21">
        <v>45266</v>
      </c>
      <c r="DS150" s="21">
        <v>45266</v>
      </c>
      <c r="DT150" s="21">
        <v>0</v>
      </c>
      <c r="DU150" s="21">
        <v>45266</v>
      </c>
      <c r="DV150" s="21">
        <v>45266</v>
      </c>
      <c r="DW150" s="21">
        <v>0</v>
      </c>
      <c r="DX150" s="21">
        <v>0</v>
      </c>
      <c r="DY150" s="21">
        <v>0</v>
      </c>
      <c r="DZ150" s="21">
        <v>0</v>
      </c>
      <c r="EA150" s="8">
        <v>610</v>
      </c>
      <c r="EB150" s="8">
        <v>610</v>
      </c>
      <c r="EC150" s="8">
        <v>610</v>
      </c>
      <c r="ED150" s="8">
        <v>610</v>
      </c>
      <c r="EE150" s="8">
        <v>610</v>
      </c>
      <c r="EF150" s="8">
        <v>1110</v>
      </c>
      <c r="EG150" s="8">
        <v>1000</v>
      </c>
      <c r="EH150" s="8">
        <v>1110</v>
      </c>
      <c r="EI150" s="8">
        <v>1110</v>
      </c>
      <c r="EJ150" s="8">
        <v>2</v>
      </c>
      <c r="EK150" s="8" t="s">
        <v>2624</v>
      </c>
      <c r="EL150" s="8">
        <v>172</v>
      </c>
      <c r="EM150" s="8">
        <v>688</v>
      </c>
      <c r="EN150" s="8">
        <v>322</v>
      </c>
      <c r="EO150" s="8">
        <v>322</v>
      </c>
      <c r="EP150" s="8">
        <v>322</v>
      </c>
      <c r="EQ150" s="8">
        <v>322</v>
      </c>
      <c r="ER150" s="8">
        <v>322</v>
      </c>
      <c r="ES150" s="8">
        <v>822</v>
      </c>
      <c r="ET150" s="8">
        <v>712</v>
      </c>
      <c r="EU150" s="8">
        <v>822</v>
      </c>
      <c r="EV150" s="8">
        <v>822</v>
      </c>
    </row>
    <row r="151" spans="1:152" x14ac:dyDescent="0.15">
      <c r="A151" s="8">
        <f>ROW([2]!tbl_DPSAC[[#This Row],[Sl. No.]])-1</f>
        <v>150</v>
      </c>
      <c r="B151" s="9" t="s">
        <v>196</v>
      </c>
      <c r="C151" s="9" t="s">
        <v>947</v>
      </c>
      <c r="D151" s="9" t="s">
        <v>175</v>
      </c>
      <c r="E151" s="9" t="s">
        <v>176</v>
      </c>
      <c r="F151" s="9" t="s">
        <v>140</v>
      </c>
      <c r="G151" s="10" t="s">
        <v>948</v>
      </c>
      <c r="H151" s="10" t="str">
        <f>_xlfn.XLOOKUP(C151,'[1]E&amp;DPSAC'!$K:$K,'[1]E&amp;DPSAC'!$E:$E,,0)</f>
        <v>DHANBAD</v>
      </c>
      <c r="I151" s="10" t="s">
        <v>949</v>
      </c>
      <c r="J151" s="10" t="s">
        <v>143</v>
      </c>
      <c r="K151" s="10">
        <f>_xlfn.XLOOKUP(C151,'[1]E&amp;DPSAC'!$K:$K,'[1]E&amp;DPSAC'!$G:$G,"",0)</f>
        <v>9470475729</v>
      </c>
      <c r="L151" s="9" t="str">
        <f t="shared" ca="1" si="8"/>
        <v>Non - Warranty</v>
      </c>
      <c r="M151" s="11">
        <v>43012</v>
      </c>
      <c r="N151" s="12">
        <v>36</v>
      </c>
      <c r="O151" s="11">
        <f t="shared" si="9"/>
        <v>44135</v>
      </c>
      <c r="P151" s="8" t="s">
        <v>681</v>
      </c>
      <c r="Q151" s="16" t="s">
        <v>2639</v>
      </c>
      <c r="R151" s="15">
        <v>44965.468449074098</v>
      </c>
      <c r="S151" s="14">
        <v>3355</v>
      </c>
      <c r="T151" s="15">
        <v>44965</v>
      </c>
      <c r="U151" s="14">
        <v>3355</v>
      </c>
      <c r="V151" s="14">
        <v>5140</v>
      </c>
      <c r="W151" s="17">
        <v>45940.589583333334</v>
      </c>
      <c r="X151" s="14" t="s">
        <v>2775</v>
      </c>
      <c r="Y151" s="14">
        <v>-1035</v>
      </c>
      <c r="Z151" s="14" t="s">
        <v>2697</v>
      </c>
      <c r="AA151" s="18">
        <v>1147.5315509259017</v>
      </c>
      <c r="AB151" s="18" t="s">
        <v>2697</v>
      </c>
      <c r="AC151" s="8">
        <f>tbl_DPSAC[[#This Row],[Current Month Due Count]]</f>
        <v>0</v>
      </c>
      <c r="AD151" s="8">
        <f>tbl_DPSAC[[#This Row],[Next Month Due2]]</f>
        <v>0</v>
      </c>
      <c r="AE151" s="8">
        <f t="shared" si="10"/>
        <v>1</v>
      </c>
      <c r="AF151" s="8">
        <v>0</v>
      </c>
      <c r="AG151" s="14">
        <f t="shared" ca="1" si="11"/>
        <v>5140</v>
      </c>
      <c r="AH151" s="8">
        <v>0</v>
      </c>
      <c r="AI151" s="8">
        <v>0</v>
      </c>
      <c r="AJ151" s="8">
        <v>0</v>
      </c>
      <c r="AK151" s="8" t="s">
        <v>950</v>
      </c>
      <c r="AL151" s="8">
        <v>0</v>
      </c>
      <c r="AM151" s="8">
        <v>0</v>
      </c>
      <c r="AN151" s="8">
        <v>0</v>
      </c>
      <c r="AO151" s="8">
        <v>0</v>
      </c>
      <c r="AP151" s="8">
        <v>0</v>
      </c>
      <c r="AQ151" s="8">
        <v>0</v>
      </c>
      <c r="AR151" s="8">
        <v>0</v>
      </c>
      <c r="AS151" s="8">
        <v>0</v>
      </c>
      <c r="AT151" s="8">
        <v>0</v>
      </c>
      <c r="AU151" s="8">
        <v>0</v>
      </c>
      <c r="AV151" s="8">
        <v>0</v>
      </c>
      <c r="AW151" s="8">
        <v>0</v>
      </c>
      <c r="AX151" s="8" t="s">
        <v>2961</v>
      </c>
      <c r="AY151" s="14">
        <v>3305</v>
      </c>
      <c r="AZ151" s="19">
        <v>44939</v>
      </c>
      <c r="BA151" s="14" t="s">
        <v>951</v>
      </c>
      <c r="BB151" s="14">
        <v>3305</v>
      </c>
      <c r="BC151" s="19">
        <v>44939</v>
      </c>
      <c r="BD151" s="14" t="s">
        <v>951</v>
      </c>
      <c r="BE151" s="14">
        <v>3305</v>
      </c>
      <c r="BF151" s="19">
        <v>44939</v>
      </c>
      <c r="BG151" s="14" t="s">
        <v>951</v>
      </c>
      <c r="BH151" s="14">
        <v>3305</v>
      </c>
      <c r="BI151" s="19">
        <v>44939</v>
      </c>
      <c r="BJ151" s="14" t="s">
        <v>951</v>
      </c>
      <c r="BK151" s="14">
        <v>3305</v>
      </c>
      <c r="BL151" s="19">
        <v>44939</v>
      </c>
      <c r="BM151" s="14" t="s">
        <v>951</v>
      </c>
      <c r="BN151" s="27">
        <v>45119</v>
      </c>
      <c r="BO151" s="27">
        <v>45119</v>
      </c>
      <c r="BP151" s="27">
        <v>45119</v>
      </c>
      <c r="BQ151" s="27">
        <v>45119</v>
      </c>
      <c r="BR151" s="27">
        <v>45304</v>
      </c>
      <c r="BS151" s="28">
        <v>-1085</v>
      </c>
      <c r="BT151" s="29">
        <v>-335</v>
      </c>
      <c r="BU151" s="29">
        <v>-1085</v>
      </c>
      <c r="BV151" s="29">
        <v>-1085</v>
      </c>
      <c r="BW151" s="29">
        <v>-335</v>
      </c>
      <c r="BX151" s="30" t="s">
        <v>172</v>
      </c>
      <c r="BY151" s="8">
        <v>5</v>
      </c>
      <c r="BZ151" s="8">
        <v>0</v>
      </c>
      <c r="CA151" s="8">
        <v>0</v>
      </c>
      <c r="CB151" s="21">
        <v>44964.770833333299</v>
      </c>
      <c r="CC151" s="21">
        <v>44964.770833333299</v>
      </c>
      <c r="CD151" s="21">
        <v>44964.770833333299</v>
      </c>
      <c r="CE151" s="21">
        <v>44964.770833333299</v>
      </c>
      <c r="CF151" s="21">
        <v>44964.770833333299</v>
      </c>
      <c r="CG151" s="21">
        <v>44964.770833333299</v>
      </c>
      <c r="CH151" s="21">
        <v>0</v>
      </c>
      <c r="CI151" s="21">
        <v>0</v>
      </c>
      <c r="CJ151" s="21">
        <v>0</v>
      </c>
      <c r="CK151" s="22" t="s">
        <v>3055</v>
      </c>
      <c r="CL151" s="22" t="s">
        <v>3055</v>
      </c>
      <c r="CM151" s="22" t="s">
        <v>3055</v>
      </c>
      <c r="CN151" s="22" t="s">
        <v>3055</v>
      </c>
      <c r="CO151" s="22" t="s">
        <v>3055</v>
      </c>
      <c r="CP151" s="22" t="s">
        <v>2958</v>
      </c>
      <c r="CQ151" s="22" t="s">
        <v>2953</v>
      </c>
      <c r="CR151" s="22" t="s">
        <v>2958</v>
      </c>
      <c r="CS151" s="22" t="s">
        <v>2958</v>
      </c>
      <c r="CT151" s="22">
        <v>0</v>
      </c>
      <c r="CU151" s="21">
        <v>0</v>
      </c>
      <c r="CV151" s="21">
        <v>0</v>
      </c>
      <c r="CW151" s="21">
        <v>0</v>
      </c>
      <c r="CX151" s="21">
        <v>0</v>
      </c>
      <c r="CY151" s="21">
        <v>0</v>
      </c>
      <c r="CZ151" s="21">
        <v>0</v>
      </c>
      <c r="DA151" s="21">
        <v>0</v>
      </c>
      <c r="DB151" s="21">
        <v>0</v>
      </c>
      <c r="DC151" s="21">
        <v>0</v>
      </c>
      <c r="DD151" s="8">
        <v>0</v>
      </c>
      <c r="DE151" s="8">
        <v>0</v>
      </c>
      <c r="DF151" s="8">
        <v>0</v>
      </c>
      <c r="DG151" s="8">
        <v>9</v>
      </c>
      <c r="DH151" s="8">
        <v>0</v>
      </c>
      <c r="DI151" s="8">
        <v>0</v>
      </c>
      <c r="DJ151" s="8" t="s">
        <v>3025</v>
      </c>
      <c r="DK151" s="21">
        <v>43012</v>
      </c>
      <c r="DL151" s="21">
        <v>42933</v>
      </c>
      <c r="DM151" s="21">
        <v>45940</v>
      </c>
      <c r="DN151" s="18">
        <v>5140</v>
      </c>
      <c r="DO151" s="21">
        <v>0</v>
      </c>
      <c r="DP151" s="21">
        <v>0</v>
      </c>
      <c r="DQ151" s="21" t="s">
        <v>2955</v>
      </c>
      <c r="DR151" s="21">
        <v>44965</v>
      </c>
      <c r="DS151" s="21">
        <v>44965</v>
      </c>
      <c r="DT151" s="21">
        <v>44965</v>
      </c>
      <c r="DU151" s="21">
        <v>44965</v>
      </c>
      <c r="DV151" s="21">
        <v>44965</v>
      </c>
      <c r="DW151" s="21">
        <v>44965</v>
      </c>
      <c r="DX151" s="21">
        <v>0</v>
      </c>
      <c r="DY151" s="21">
        <v>0</v>
      </c>
      <c r="DZ151" s="21">
        <v>0</v>
      </c>
      <c r="EA151" s="8">
        <v>280</v>
      </c>
      <c r="EB151" s="8">
        <v>280</v>
      </c>
      <c r="EC151" s="8">
        <v>280</v>
      </c>
      <c r="ED151" s="8">
        <v>280</v>
      </c>
      <c r="EE151" s="8">
        <v>280</v>
      </c>
      <c r="EF151" s="8">
        <v>780</v>
      </c>
      <c r="EG151" s="8">
        <v>1000</v>
      </c>
      <c r="EH151" s="8">
        <v>780</v>
      </c>
      <c r="EI151" s="8">
        <v>780</v>
      </c>
      <c r="EJ151" s="8">
        <v>0</v>
      </c>
      <c r="EK151" s="8" t="s">
        <v>2624</v>
      </c>
      <c r="EL151" s="8">
        <v>172</v>
      </c>
      <c r="EM151" s="8">
        <v>0</v>
      </c>
      <c r="EN151" s="8">
        <v>-8</v>
      </c>
      <c r="EO151" s="8">
        <v>-8</v>
      </c>
      <c r="EP151" s="8">
        <v>-8</v>
      </c>
      <c r="EQ151" s="8">
        <v>-8</v>
      </c>
      <c r="ER151" s="8">
        <v>-8</v>
      </c>
      <c r="ES151" s="8">
        <v>492</v>
      </c>
      <c r="ET151" s="8">
        <v>712</v>
      </c>
      <c r="EU151" s="8">
        <v>492</v>
      </c>
      <c r="EV151" s="8">
        <v>492</v>
      </c>
    </row>
    <row r="152" spans="1:152" x14ac:dyDescent="0.15">
      <c r="A152" s="8">
        <f>ROW([2]!tbl_DPSAC[[#This Row],[Sl. No.]])-1</f>
        <v>151</v>
      </c>
      <c r="B152" s="9" t="s">
        <v>136</v>
      </c>
      <c r="C152" s="9" t="s">
        <v>952</v>
      </c>
      <c r="D152" s="9" t="s">
        <v>251</v>
      </c>
      <c r="E152" s="9" t="s">
        <v>147</v>
      </c>
      <c r="F152" s="9" t="s">
        <v>140</v>
      </c>
      <c r="G152" s="10" t="s">
        <v>953</v>
      </c>
      <c r="H152" s="10" t="str">
        <f>_xlfn.XLOOKUP(C152,'[1]E&amp;DPSAC'!$K:$K,'[1]E&amp;DPSAC'!$E:$E,,0)</f>
        <v>PUNDAG, RANCHI</v>
      </c>
      <c r="I152" s="10"/>
      <c r="J152" s="10">
        <v>9471171432</v>
      </c>
      <c r="K152" s="10">
        <f>_xlfn.XLOOKUP(C152,'[1]E&amp;DPSAC'!$K:$K,'[1]E&amp;DPSAC'!$G:$G,"",0)</f>
        <v>9471171432</v>
      </c>
      <c r="L152" s="9" t="str">
        <f t="shared" ca="1" si="8"/>
        <v>Non - Warranty</v>
      </c>
      <c r="M152" s="11">
        <v>42614</v>
      </c>
      <c r="N152" s="12">
        <v>36</v>
      </c>
      <c r="O152" s="11">
        <f t="shared" si="9"/>
        <v>43708</v>
      </c>
      <c r="P152" s="8" t="s">
        <v>681</v>
      </c>
      <c r="Q152" s="16" t="s">
        <v>954</v>
      </c>
      <c r="R152" s="15">
        <v>45265.551018518498</v>
      </c>
      <c r="S152" s="14">
        <v>4180</v>
      </c>
      <c r="T152" s="15">
        <v>45265</v>
      </c>
      <c r="U152" s="14">
        <v>4180</v>
      </c>
      <c r="V152" s="14">
        <v>6100</v>
      </c>
      <c r="W152" s="17">
        <v>45965.71875</v>
      </c>
      <c r="X152" s="14" t="s">
        <v>2776</v>
      </c>
      <c r="Y152" s="14">
        <v>-1170</v>
      </c>
      <c r="Z152" s="14" t="s">
        <v>2697</v>
      </c>
      <c r="AA152" s="18">
        <v>847.44898148150241</v>
      </c>
      <c r="AB152" s="18" t="s">
        <v>2697</v>
      </c>
      <c r="AC152" s="8">
        <f>tbl_DPSAC[[#This Row],[Current Month Due Count]]</f>
        <v>0</v>
      </c>
      <c r="AD152" s="8">
        <f>tbl_DPSAC[[#This Row],[Next Month Due2]]</f>
        <v>0</v>
      </c>
      <c r="AE152" s="8">
        <f t="shared" si="10"/>
        <v>1</v>
      </c>
      <c r="AF152" s="8">
        <v>3</v>
      </c>
      <c r="AG152" s="14">
        <f t="shared" ca="1" si="11"/>
        <v>6542</v>
      </c>
      <c r="AH152" s="8">
        <v>0</v>
      </c>
      <c r="AI152" s="8">
        <v>0</v>
      </c>
      <c r="AJ152" s="8">
        <v>0</v>
      </c>
      <c r="AK152" s="8">
        <v>0</v>
      </c>
      <c r="AL152" s="8">
        <v>0</v>
      </c>
      <c r="AM152" s="8">
        <v>0</v>
      </c>
      <c r="AN152" s="8">
        <v>0</v>
      </c>
      <c r="AO152" s="8">
        <v>0</v>
      </c>
      <c r="AP152" s="8">
        <v>0</v>
      </c>
      <c r="AQ152" s="8">
        <v>0</v>
      </c>
      <c r="AR152" s="8">
        <v>0</v>
      </c>
      <c r="AS152" s="8">
        <v>0</v>
      </c>
      <c r="AT152" s="8">
        <v>0</v>
      </c>
      <c r="AU152" s="8">
        <v>0</v>
      </c>
      <c r="AV152" s="8">
        <v>0</v>
      </c>
      <c r="AW152" s="8">
        <v>0</v>
      </c>
      <c r="AX152" s="8" t="s">
        <v>2977</v>
      </c>
      <c r="AY152" s="14">
        <v>4180</v>
      </c>
      <c r="AZ152" s="19">
        <v>45265</v>
      </c>
      <c r="BA152" s="14" t="s">
        <v>954</v>
      </c>
      <c r="BB152" s="14">
        <v>3000</v>
      </c>
      <c r="BC152" s="19">
        <v>44399</v>
      </c>
      <c r="BD152" s="14"/>
      <c r="BE152" s="14">
        <v>4180</v>
      </c>
      <c r="BF152" s="19">
        <v>45265</v>
      </c>
      <c r="BG152" s="14" t="s">
        <v>954</v>
      </c>
      <c r="BH152" s="14"/>
      <c r="BI152" s="19"/>
      <c r="BJ152" s="14"/>
      <c r="BK152" s="14">
        <v>3000</v>
      </c>
      <c r="BL152" s="19">
        <v>44399</v>
      </c>
      <c r="BM152" s="14"/>
      <c r="BN152" s="27">
        <v>45445</v>
      </c>
      <c r="BO152" s="27">
        <v>44579</v>
      </c>
      <c r="BP152" s="27">
        <v>45445</v>
      </c>
      <c r="BQ152" s="27" t="s">
        <v>143</v>
      </c>
      <c r="BR152" s="27">
        <v>44764</v>
      </c>
      <c r="BS152" s="28">
        <v>-1612</v>
      </c>
      <c r="BT152" s="29">
        <v>-2042</v>
      </c>
      <c r="BU152" s="29">
        <v>-1612</v>
      </c>
      <c r="BV152" s="29" t="s">
        <v>143</v>
      </c>
      <c r="BW152" s="29">
        <v>-2042</v>
      </c>
      <c r="BX152" s="30" t="s">
        <v>173</v>
      </c>
      <c r="BY152" s="8">
        <v>4</v>
      </c>
      <c r="BZ152" s="8">
        <v>0</v>
      </c>
      <c r="CA152" s="8">
        <v>0</v>
      </c>
      <c r="CB152" s="21">
        <v>45264.770833333299</v>
      </c>
      <c r="CC152" s="21">
        <v>45264.770833333299</v>
      </c>
      <c r="CD152" s="21">
        <v>0</v>
      </c>
      <c r="CE152" s="21">
        <v>45264.770833333299</v>
      </c>
      <c r="CF152" s="21">
        <v>45264.770833333299</v>
      </c>
      <c r="CG152" s="21">
        <v>45055.770833333299</v>
      </c>
      <c r="CH152" s="21">
        <v>0</v>
      </c>
      <c r="CI152" s="21">
        <v>0</v>
      </c>
      <c r="CJ152" s="21">
        <v>0</v>
      </c>
      <c r="CK152" s="22" t="s">
        <v>3078</v>
      </c>
      <c r="CL152" s="22" t="s">
        <v>3078</v>
      </c>
      <c r="CM152" s="22" t="s">
        <v>3078</v>
      </c>
      <c r="CN152" s="22" t="s">
        <v>3078</v>
      </c>
      <c r="CO152" s="22" t="s">
        <v>3078</v>
      </c>
      <c r="CP152" s="22" t="s">
        <v>3020</v>
      </c>
      <c r="CQ152" s="22" t="s">
        <v>2953</v>
      </c>
      <c r="CR152" s="22" t="s">
        <v>3020</v>
      </c>
      <c r="CS152" s="22" t="s">
        <v>3020</v>
      </c>
      <c r="CT152" s="22">
        <v>3</v>
      </c>
      <c r="CU152" s="21">
        <v>45444</v>
      </c>
      <c r="CV152" s="21">
        <v>45444</v>
      </c>
      <c r="CW152" s="21">
        <v>46021</v>
      </c>
      <c r="CX152" s="21">
        <v>45444</v>
      </c>
      <c r="CY152" s="21">
        <v>45444</v>
      </c>
      <c r="CZ152" s="21">
        <v>45325</v>
      </c>
      <c r="DA152" s="21">
        <v>46058</v>
      </c>
      <c r="DB152" s="21">
        <v>46064</v>
      </c>
      <c r="DC152" s="21">
        <v>46112</v>
      </c>
      <c r="DD152" s="8">
        <v>1</v>
      </c>
      <c r="DE152" s="8">
        <v>1</v>
      </c>
      <c r="DF152" s="8">
        <v>1</v>
      </c>
      <c r="DG152" s="8">
        <v>9</v>
      </c>
      <c r="DH152" s="8">
        <v>0</v>
      </c>
      <c r="DI152" s="8">
        <v>0</v>
      </c>
      <c r="DJ152" s="8" t="s">
        <v>3025</v>
      </c>
      <c r="DK152" s="21">
        <v>42614</v>
      </c>
      <c r="DL152" s="21">
        <v>42601</v>
      </c>
      <c r="DM152" s="21">
        <v>45965</v>
      </c>
      <c r="DN152" s="18">
        <v>6100</v>
      </c>
      <c r="DO152" s="21">
        <v>0</v>
      </c>
      <c r="DP152" s="21">
        <v>0</v>
      </c>
      <c r="DQ152" s="21" t="s">
        <v>2955</v>
      </c>
      <c r="DR152" s="21">
        <v>45265</v>
      </c>
      <c r="DS152" s="21">
        <v>45265</v>
      </c>
      <c r="DT152" s="21">
        <v>0</v>
      </c>
      <c r="DU152" s="21">
        <v>45265</v>
      </c>
      <c r="DV152" s="21">
        <v>45265</v>
      </c>
      <c r="DW152" s="21">
        <v>45056</v>
      </c>
      <c r="DX152" s="21">
        <v>0</v>
      </c>
      <c r="DY152" s="21">
        <v>0</v>
      </c>
      <c r="DZ152" s="21">
        <v>0</v>
      </c>
      <c r="EA152" s="8">
        <v>170</v>
      </c>
      <c r="EB152" s="8">
        <v>170</v>
      </c>
      <c r="EC152" s="8">
        <v>170</v>
      </c>
      <c r="ED152" s="8">
        <v>170</v>
      </c>
      <c r="EE152" s="8">
        <v>170</v>
      </c>
      <c r="EF152" s="8">
        <v>600</v>
      </c>
      <c r="EG152" s="8">
        <v>1000</v>
      </c>
      <c r="EH152" s="8">
        <v>600</v>
      </c>
      <c r="EI152" s="8">
        <v>600</v>
      </c>
      <c r="EJ152" s="8">
        <v>3</v>
      </c>
      <c r="EK152" s="8" t="s">
        <v>2624</v>
      </c>
      <c r="EL152" s="8">
        <v>147</v>
      </c>
      <c r="EM152" s="8">
        <v>441</v>
      </c>
      <c r="EN152" s="8">
        <v>-118</v>
      </c>
      <c r="EO152" s="8">
        <v>-118</v>
      </c>
      <c r="EP152" s="8">
        <v>-118</v>
      </c>
      <c r="EQ152" s="8">
        <v>-118</v>
      </c>
      <c r="ER152" s="8">
        <v>-118</v>
      </c>
      <c r="ES152" s="8">
        <v>312</v>
      </c>
      <c r="ET152" s="8">
        <v>712</v>
      </c>
      <c r="EU152" s="8">
        <v>312</v>
      </c>
      <c r="EV152" s="8">
        <v>312</v>
      </c>
    </row>
    <row r="153" spans="1:152" x14ac:dyDescent="0.15">
      <c r="A153" s="8">
        <f>ROW([2]!tbl_DPSAC[[#This Row],[Sl. No.]])-1</f>
        <v>152</v>
      </c>
      <c r="B153" s="9" t="s">
        <v>136</v>
      </c>
      <c r="C153" s="9" t="s">
        <v>955</v>
      </c>
      <c r="D153" s="9" t="s">
        <v>697</v>
      </c>
      <c r="E153" s="9" t="s">
        <v>176</v>
      </c>
      <c r="F153" s="9" t="s">
        <v>140</v>
      </c>
      <c r="G153" s="10" t="s">
        <v>956</v>
      </c>
      <c r="H153" s="10" t="str">
        <f>_xlfn.XLOOKUP(C153,'[1]E&amp;DPSAC'!$K:$K,'[1]E&amp;DPSAC'!$E:$E,,0)</f>
        <v>DHANBAD</v>
      </c>
      <c r="I153" s="10"/>
      <c r="J153" s="10">
        <v>7491904110</v>
      </c>
      <c r="K153" s="10">
        <f>_xlfn.XLOOKUP(C153,'[1]E&amp;DPSAC'!$K:$K,'[1]E&amp;DPSAC'!$G:$G,"",0)</f>
        <v>7979892986</v>
      </c>
      <c r="L153" s="9" t="str">
        <f t="shared" ca="1" si="8"/>
        <v>Non - Warranty</v>
      </c>
      <c r="M153" s="11">
        <v>42705</v>
      </c>
      <c r="N153" s="12">
        <v>36</v>
      </c>
      <c r="O153" s="11">
        <f t="shared" si="9"/>
        <v>43799</v>
      </c>
      <c r="P153" s="8" t="s">
        <v>715</v>
      </c>
      <c r="Q153" s="16" t="s">
        <v>957</v>
      </c>
      <c r="R153" s="15">
        <v>45265.546145833301</v>
      </c>
      <c r="S153" s="14">
        <v>8310</v>
      </c>
      <c r="T153" s="15">
        <v>45265</v>
      </c>
      <c r="U153" s="14">
        <v>8310</v>
      </c>
      <c r="V153" s="14">
        <v>9215</v>
      </c>
      <c r="W153" s="17">
        <v>45448.688784722202</v>
      </c>
      <c r="X153" s="14" t="s">
        <v>2708</v>
      </c>
      <c r="Y153" s="14">
        <v>-155</v>
      </c>
      <c r="Z153" s="14" t="s">
        <v>2697</v>
      </c>
      <c r="AA153" s="18">
        <v>847.45385416669887</v>
      </c>
      <c r="AB153" s="18" t="s">
        <v>2697</v>
      </c>
      <c r="AC153" s="8">
        <f>tbl_DPSAC[[#This Row],[Current Month Due Count]]</f>
        <v>0</v>
      </c>
      <c r="AD153" s="8">
        <f>tbl_DPSAC[[#This Row],[Next Month Due2]]</f>
        <v>0</v>
      </c>
      <c r="AE153" s="8">
        <f t="shared" si="10"/>
        <v>1</v>
      </c>
      <c r="AF153" s="8">
        <v>5</v>
      </c>
      <c r="AG153" s="14">
        <f t="shared" ca="1" si="11"/>
        <v>12537</v>
      </c>
      <c r="AH153" s="8">
        <v>0</v>
      </c>
      <c r="AI153" s="8">
        <v>0</v>
      </c>
      <c r="AJ153" s="8">
        <v>0</v>
      </c>
      <c r="AK153" s="8">
        <v>0</v>
      </c>
      <c r="AL153" s="8">
        <v>0</v>
      </c>
      <c r="AM153" s="8">
        <v>0</v>
      </c>
      <c r="AN153" s="8">
        <v>0</v>
      </c>
      <c r="AO153" s="8">
        <v>0</v>
      </c>
      <c r="AP153" s="8">
        <v>0</v>
      </c>
      <c r="AQ153" s="8">
        <v>0</v>
      </c>
      <c r="AR153" s="8">
        <v>0</v>
      </c>
      <c r="AS153" s="8">
        <v>0</v>
      </c>
      <c r="AT153" s="8">
        <v>0</v>
      </c>
      <c r="AU153" s="8">
        <v>0</v>
      </c>
      <c r="AV153" s="8">
        <v>0</v>
      </c>
      <c r="AW153" s="8">
        <v>0</v>
      </c>
      <c r="AX153" s="8" t="s">
        <v>2961</v>
      </c>
      <c r="AY153" s="14">
        <v>8310</v>
      </c>
      <c r="AZ153" s="19">
        <v>45265</v>
      </c>
      <c r="BA153" s="14" t="s">
        <v>957</v>
      </c>
      <c r="BB153" s="14">
        <v>4500</v>
      </c>
      <c r="BC153" s="19">
        <v>44355.694953703707</v>
      </c>
      <c r="BD153" s="14"/>
      <c r="BE153" s="14">
        <v>8310</v>
      </c>
      <c r="BF153" s="19">
        <v>45265</v>
      </c>
      <c r="BG153" s="14" t="s">
        <v>957</v>
      </c>
      <c r="BH153" s="14">
        <v>8310</v>
      </c>
      <c r="BI153" s="19">
        <v>45265</v>
      </c>
      <c r="BJ153" s="14" t="s">
        <v>957</v>
      </c>
      <c r="BK153" s="14">
        <v>4500</v>
      </c>
      <c r="BL153" s="19">
        <v>44355.694953703707</v>
      </c>
      <c r="BM153" s="14"/>
      <c r="BN153" s="27">
        <v>45445</v>
      </c>
      <c r="BO153" s="27">
        <v>44535.694953703707</v>
      </c>
      <c r="BP153" s="27">
        <v>45445</v>
      </c>
      <c r="BQ153" s="27">
        <v>45445</v>
      </c>
      <c r="BR153" s="27">
        <v>44720.694953703707</v>
      </c>
      <c r="BS153" s="28">
        <v>-3477</v>
      </c>
      <c r="BT153" s="29">
        <v>-6537</v>
      </c>
      <c r="BU153" s="29">
        <v>-3477</v>
      </c>
      <c r="BV153" s="29">
        <v>-3477</v>
      </c>
      <c r="BW153" s="29">
        <v>-6537</v>
      </c>
      <c r="BX153" s="30" t="s">
        <v>715</v>
      </c>
      <c r="BY153" s="8">
        <v>5</v>
      </c>
      <c r="BZ153" s="8">
        <v>0</v>
      </c>
      <c r="CA153" s="8">
        <v>0</v>
      </c>
      <c r="CB153" s="21">
        <v>45264.770833333299</v>
      </c>
      <c r="CC153" s="21">
        <v>45264.770833333299</v>
      </c>
      <c r="CD153" s="21">
        <v>45264.770833333299</v>
      </c>
      <c r="CE153" s="21">
        <v>45264.770833333299</v>
      </c>
      <c r="CF153" s="21">
        <v>45264.770833333299</v>
      </c>
      <c r="CG153" s="21">
        <v>45055.770833333299</v>
      </c>
      <c r="CH153" s="21">
        <v>0</v>
      </c>
      <c r="CI153" s="21">
        <v>45055.770833333299</v>
      </c>
      <c r="CJ153" s="21">
        <v>0</v>
      </c>
      <c r="CK153" s="22" t="s">
        <v>3019</v>
      </c>
      <c r="CL153" s="22" t="s">
        <v>3019</v>
      </c>
      <c r="CM153" s="22" t="s">
        <v>3019</v>
      </c>
      <c r="CN153" s="22" t="s">
        <v>3019</v>
      </c>
      <c r="CO153" s="22" t="s">
        <v>3019</v>
      </c>
      <c r="CP153" s="22" t="s">
        <v>3079</v>
      </c>
      <c r="CQ153" s="22" t="s">
        <v>3079</v>
      </c>
      <c r="CR153" s="22" t="s">
        <v>3079</v>
      </c>
      <c r="CS153" s="22" t="s">
        <v>3079</v>
      </c>
      <c r="CT153" s="22">
        <v>6</v>
      </c>
      <c r="CU153" s="21">
        <v>45444</v>
      </c>
      <c r="CV153" s="21">
        <v>45444</v>
      </c>
      <c r="CW153" s="21">
        <v>45444</v>
      </c>
      <c r="CX153" s="21">
        <v>45444</v>
      </c>
      <c r="CY153" s="21">
        <v>45444</v>
      </c>
      <c r="CZ153" s="21">
        <v>45325</v>
      </c>
      <c r="DA153" s="21">
        <v>45523</v>
      </c>
      <c r="DB153" s="21">
        <v>45235</v>
      </c>
      <c r="DC153" s="21">
        <v>45581</v>
      </c>
      <c r="DD153" s="8">
        <v>1</v>
      </c>
      <c r="DE153" s="8">
        <v>0</v>
      </c>
      <c r="DF153" s="8">
        <v>0</v>
      </c>
      <c r="DG153" s="8">
        <v>9</v>
      </c>
      <c r="DH153" s="8">
        <v>0</v>
      </c>
      <c r="DI153" s="8">
        <v>0</v>
      </c>
      <c r="DJ153" s="8" t="s">
        <v>3025</v>
      </c>
      <c r="DK153" s="21">
        <v>42705</v>
      </c>
      <c r="DL153" s="21">
        <v>42560</v>
      </c>
      <c r="DM153" s="21">
        <v>45448</v>
      </c>
      <c r="DN153" s="18">
        <v>9215</v>
      </c>
      <c r="DO153" s="21">
        <v>0</v>
      </c>
      <c r="DP153" s="21">
        <v>0</v>
      </c>
      <c r="DQ153" s="21" t="s">
        <v>2955</v>
      </c>
      <c r="DR153" s="21">
        <v>45265</v>
      </c>
      <c r="DS153" s="21">
        <v>45265</v>
      </c>
      <c r="DT153" s="21">
        <v>45265</v>
      </c>
      <c r="DU153" s="21">
        <v>45265</v>
      </c>
      <c r="DV153" s="21">
        <v>45265</v>
      </c>
      <c r="DW153" s="21">
        <v>45056</v>
      </c>
      <c r="DX153" s="21">
        <v>0</v>
      </c>
      <c r="DY153" s="21">
        <v>45056</v>
      </c>
      <c r="DZ153" s="21">
        <v>0</v>
      </c>
      <c r="EA153" s="8">
        <v>300</v>
      </c>
      <c r="EB153" s="8">
        <v>300</v>
      </c>
      <c r="EC153" s="8">
        <v>300</v>
      </c>
      <c r="ED153" s="8">
        <v>300</v>
      </c>
      <c r="EE153" s="8">
        <v>300</v>
      </c>
      <c r="EF153" s="8">
        <v>800</v>
      </c>
      <c r="EG153" s="8">
        <v>800</v>
      </c>
      <c r="EH153" s="8">
        <v>800</v>
      </c>
      <c r="EI153" s="8">
        <v>800</v>
      </c>
      <c r="EJ153" s="8">
        <v>6</v>
      </c>
      <c r="EK153" s="8" t="s">
        <v>715</v>
      </c>
      <c r="EL153" s="8">
        <v>664</v>
      </c>
      <c r="EM153" s="8">
        <v>3320</v>
      </c>
      <c r="EN153" s="8">
        <v>12</v>
      </c>
      <c r="EO153" s="8">
        <v>12</v>
      </c>
      <c r="EP153" s="8">
        <v>12</v>
      </c>
      <c r="EQ153" s="8">
        <v>12</v>
      </c>
      <c r="ER153" s="8">
        <v>12</v>
      </c>
      <c r="ES153" s="8">
        <v>512</v>
      </c>
      <c r="ET153" s="8">
        <v>512</v>
      </c>
      <c r="EU153" s="8">
        <v>512</v>
      </c>
      <c r="EV153" s="8">
        <v>512</v>
      </c>
    </row>
    <row r="154" spans="1:152" x14ac:dyDescent="0.15">
      <c r="A154" s="8">
        <f>ROW([2]!tbl_DPSAC[[#This Row],[Sl. No.]])-1</f>
        <v>153</v>
      </c>
      <c r="B154" s="9" t="s">
        <v>136</v>
      </c>
      <c r="C154" s="9" t="s">
        <v>958</v>
      </c>
      <c r="D154" s="9" t="s">
        <v>169</v>
      </c>
      <c r="E154" s="9" t="s">
        <v>170</v>
      </c>
      <c r="F154" s="9" t="s">
        <v>161</v>
      </c>
      <c r="G154" s="10" t="s">
        <v>959</v>
      </c>
      <c r="H154" s="10" t="str">
        <f>_xlfn.XLOOKUP(C154,'[1]E&amp;DPSAC'!$K:$K,'[1]E&amp;DPSAC'!$E:$E,,0)</f>
        <v>DURGA STONE, DEOGRAH</v>
      </c>
      <c r="I154" s="10"/>
      <c r="J154" s="10" t="s">
        <v>143</v>
      </c>
      <c r="K154" s="10">
        <f>_xlfn.XLOOKUP(C154,'[1]E&amp;DPSAC'!$K:$K,'[1]E&amp;DPSAC'!$G:$G,"",0)</f>
        <v>9334751136</v>
      </c>
      <c r="L154" s="9" t="str">
        <f t="shared" ca="1" si="8"/>
        <v>Non - Warranty</v>
      </c>
      <c r="M154" s="11">
        <v>42899</v>
      </c>
      <c r="N154" s="12">
        <v>24</v>
      </c>
      <c r="O154" s="11">
        <f t="shared" si="9"/>
        <v>43646</v>
      </c>
      <c r="P154" s="8" t="s">
        <v>142</v>
      </c>
      <c r="Q154" s="16" t="s">
        <v>961</v>
      </c>
      <c r="R154" s="15">
        <v>45955.681250000001</v>
      </c>
      <c r="S154" s="14">
        <v>6680</v>
      </c>
      <c r="T154" s="15">
        <v>45420</v>
      </c>
      <c r="U154" s="14">
        <v>5298</v>
      </c>
      <c r="V154" s="14">
        <v>6710</v>
      </c>
      <c r="W154" s="17">
        <v>45966.430555555555</v>
      </c>
      <c r="X154" s="14" t="s">
        <v>2766</v>
      </c>
      <c r="Y154" s="14">
        <v>720</v>
      </c>
      <c r="Z154" s="14" t="s">
        <v>2692</v>
      </c>
      <c r="AA154" s="18">
        <v>157.31874999999854</v>
      </c>
      <c r="AB154" s="18" t="s">
        <v>2692</v>
      </c>
      <c r="AC154" s="8">
        <f>tbl_DPSAC[[#This Row],[Current Month Due Count]]</f>
        <v>4</v>
      </c>
      <c r="AD154" s="8">
        <f>tbl_DPSAC[[#This Row],[Next Month Due2]]</f>
        <v>0</v>
      </c>
      <c r="AE154" s="8">
        <f t="shared" si="10"/>
        <v>0</v>
      </c>
      <c r="AF154" s="8">
        <v>3</v>
      </c>
      <c r="AG154" s="14">
        <f t="shared" ca="1" si="11"/>
        <v>7150</v>
      </c>
      <c r="AH154" s="8">
        <v>0</v>
      </c>
      <c r="AI154" s="8">
        <v>0</v>
      </c>
      <c r="AJ154" s="8">
        <v>0</v>
      </c>
      <c r="AK154" s="8">
        <v>0</v>
      </c>
      <c r="AL154" s="8" t="s">
        <v>960</v>
      </c>
      <c r="AM154" s="8">
        <v>0</v>
      </c>
      <c r="AN154" s="8">
        <v>0</v>
      </c>
      <c r="AO154" s="8">
        <v>0</v>
      </c>
      <c r="AP154" s="8">
        <v>0</v>
      </c>
      <c r="AQ154" s="8">
        <v>0</v>
      </c>
      <c r="AR154" s="8">
        <v>0</v>
      </c>
      <c r="AS154" s="8">
        <v>0</v>
      </c>
      <c r="AT154" s="8">
        <v>0</v>
      </c>
      <c r="AU154" s="8">
        <v>0</v>
      </c>
      <c r="AV154" s="8">
        <v>0</v>
      </c>
      <c r="AW154" s="8">
        <v>0</v>
      </c>
      <c r="AX154" s="8" t="s">
        <v>2007</v>
      </c>
      <c r="AY154" s="14">
        <v>6680</v>
      </c>
      <c r="AZ154" s="19">
        <v>45955</v>
      </c>
      <c r="BA154" s="14" t="s">
        <v>961</v>
      </c>
      <c r="BB154" s="14">
        <v>6680</v>
      </c>
      <c r="BC154" s="19">
        <v>45955</v>
      </c>
      <c r="BD154" s="14" t="s">
        <v>961</v>
      </c>
      <c r="BE154" s="14">
        <v>6680</v>
      </c>
      <c r="BF154" s="19">
        <v>45955</v>
      </c>
      <c r="BG154" s="14" t="s">
        <v>961</v>
      </c>
      <c r="BH154" s="14">
        <v>6680</v>
      </c>
      <c r="BI154" s="19">
        <v>45955</v>
      </c>
      <c r="BJ154" s="14" t="s">
        <v>961</v>
      </c>
      <c r="BK154" s="14">
        <v>6680</v>
      </c>
      <c r="BL154" s="19">
        <v>45955</v>
      </c>
      <c r="BM154" s="14" t="s">
        <v>961</v>
      </c>
      <c r="BN154" s="27">
        <v>46135</v>
      </c>
      <c r="BO154" s="27">
        <v>46135</v>
      </c>
      <c r="BP154" s="27">
        <v>46135</v>
      </c>
      <c r="BQ154" s="27">
        <v>46135</v>
      </c>
      <c r="BR154" s="27">
        <v>46320</v>
      </c>
      <c r="BS154" s="28">
        <v>280</v>
      </c>
      <c r="BT154" s="29">
        <v>1030</v>
      </c>
      <c r="BU154" s="29">
        <v>280</v>
      </c>
      <c r="BV154" s="29">
        <v>280</v>
      </c>
      <c r="BW154" s="29">
        <v>1030</v>
      </c>
      <c r="BX154" s="30" t="s">
        <v>172</v>
      </c>
      <c r="BY154" s="8">
        <v>0</v>
      </c>
      <c r="BZ154" s="8">
        <v>4</v>
      </c>
      <c r="CA154" s="8">
        <v>0</v>
      </c>
      <c r="CB154" s="21">
        <v>45954.770833333299</v>
      </c>
      <c r="CC154" s="21">
        <v>45954.770833333299</v>
      </c>
      <c r="CD154" s="21">
        <v>45954.770833333299</v>
      </c>
      <c r="CE154" s="21">
        <v>45954.770833333299</v>
      </c>
      <c r="CF154" s="21">
        <v>45954.770833333299</v>
      </c>
      <c r="CG154" s="21">
        <v>45954.770833333299</v>
      </c>
      <c r="CH154" s="21">
        <v>45954.770833333299</v>
      </c>
      <c r="CI154" s="21">
        <v>45954.770833333299</v>
      </c>
      <c r="CJ154" s="21">
        <v>45954.770833333299</v>
      </c>
      <c r="CK154" s="22" t="s">
        <v>3000</v>
      </c>
      <c r="CL154" s="22" t="s">
        <v>3080</v>
      </c>
      <c r="CM154" s="22" t="s">
        <v>3080</v>
      </c>
      <c r="CN154" s="22" t="s">
        <v>3080</v>
      </c>
      <c r="CO154" s="22" t="s">
        <v>3080</v>
      </c>
      <c r="CP154" s="22" t="s">
        <v>3000</v>
      </c>
      <c r="CQ154" s="22" t="s">
        <v>2953</v>
      </c>
      <c r="CR154" s="22" t="s">
        <v>3000</v>
      </c>
      <c r="CS154" s="22" t="s">
        <v>3000</v>
      </c>
      <c r="CT154" s="22">
        <v>2</v>
      </c>
      <c r="CU154" s="21">
        <v>46134</v>
      </c>
      <c r="CV154" s="21">
        <v>46134</v>
      </c>
      <c r="CW154" s="21">
        <v>46134</v>
      </c>
      <c r="CX154" s="21">
        <v>46134</v>
      </c>
      <c r="CY154" s="21">
        <v>46134</v>
      </c>
      <c r="CZ154" s="21">
        <v>46224</v>
      </c>
      <c r="DA154" s="21">
        <v>46319</v>
      </c>
      <c r="DB154" s="21">
        <v>46134</v>
      </c>
      <c r="DC154" s="21">
        <v>46319</v>
      </c>
      <c r="DD154" s="8">
        <v>0</v>
      </c>
      <c r="DE154" s="8">
        <v>0</v>
      </c>
      <c r="DF154" s="8">
        <v>0</v>
      </c>
      <c r="DG154" s="8">
        <v>0</v>
      </c>
      <c r="DH154" s="8">
        <v>6</v>
      </c>
      <c r="DI154" s="8">
        <v>0</v>
      </c>
      <c r="DJ154" s="8" t="s">
        <v>2954</v>
      </c>
      <c r="DK154" s="21">
        <v>42899</v>
      </c>
      <c r="DL154" s="21">
        <v>42879</v>
      </c>
      <c r="DM154" s="21">
        <v>45966</v>
      </c>
      <c r="DN154" s="18">
        <v>6710</v>
      </c>
      <c r="DO154" s="21">
        <v>0</v>
      </c>
      <c r="DP154" s="21">
        <v>0</v>
      </c>
      <c r="DQ154" s="21" t="s">
        <v>2955</v>
      </c>
      <c r="DR154" s="21">
        <v>45955</v>
      </c>
      <c r="DS154" s="21">
        <v>45955</v>
      </c>
      <c r="DT154" s="21">
        <v>45955</v>
      </c>
      <c r="DU154" s="21">
        <v>45955</v>
      </c>
      <c r="DV154" s="21">
        <v>45955</v>
      </c>
      <c r="DW154" s="21">
        <v>45955</v>
      </c>
      <c r="DX154" s="21">
        <v>45955</v>
      </c>
      <c r="DY154" s="21">
        <v>45955</v>
      </c>
      <c r="DZ154" s="21">
        <v>45955</v>
      </c>
      <c r="EA154" s="8">
        <v>1470</v>
      </c>
      <c r="EB154" s="8">
        <v>720</v>
      </c>
      <c r="EC154" s="8">
        <v>720</v>
      </c>
      <c r="ED154" s="8">
        <v>720</v>
      </c>
      <c r="EE154" s="8">
        <v>720</v>
      </c>
      <c r="EF154" s="8">
        <v>1470</v>
      </c>
      <c r="EG154" s="8">
        <v>1000</v>
      </c>
      <c r="EH154" s="8">
        <v>1470</v>
      </c>
      <c r="EI154" s="8">
        <v>1470</v>
      </c>
      <c r="EJ154" s="8">
        <v>2</v>
      </c>
      <c r="EK154" s="8" t="s">
        <v>2624</v>
      </c>
      <c r="EL154" s="8">
        <v>147</v>
      </c>
      <c r="EM154" s="8">
        <v>441</v>
      </c>
      <c r="EN154" s="8">
        <v>1182</v>
      </c>
      <c r="EO154" s="8">
        <v>432</v>
      </c>
      <c r="EP154" s="8">
        <v>432</v>
      </c>
      <c r="EQ154" s="8">
        <v>432</v>
      </c>
      <c r="ER154" s="8">
        <v>432</v>
      </c>
      <c r="ES154" s="8">
        <v>1182</v>
      </c>
      <c r="ET154" s="8">
        <v>712</v>
      </c>
      <c r="EU154" s="8">
        <v>1182</v>
      </c>
      <c r="EV154" s="8">
        <v>1182</v>
      </c>
    </row>
    <row r="155" spans="1:152" x14ac:dyDescent="0.15">
      <c r="A155" s="8">
        <f>ROW([2]!tbl_DPSAC[[#This Row],[Sl. No.]])-1</f>
        <v>154</v>
      </c>
      <c r="B155" s="9" t="s">
        <v>136</v>
      </c>
      <c r="C155" s="9" t="s">
        <v>962</v>
      </c>
      <c r="D155" s="9" t="s">
        <v>251</v>
      </c>
      <c r="E155" s="9" t="s">
        <v>147</v>
      </c>
      <c r="F155" s="9" t="s">
        <v>140</v>
      </c>
      <c r="G155" s="10" t="s">
        <v>963</v>
      </c>
      <c r="H155" s="10" t="str">
        <f>_xlfn.XLOOKUP(C155,'[1]E&amp;DPSAC'!$K:$K,'[1]E&amp;DPSAC'!$E:$E,,0)</f>
        <v>ITI MORE, CHAS</v>
      </c>
      <c r="I155" s="10"/>
      <c r="J155" s="10">
        <v>9708999798</v>
      </c>
      <c r="K155" s="10">
        <f>_xlfn.XLOOKUP(C155,'[1]E&amp;DPSAC'!$K:$K,'[1]E&amp;DPSAC'!$G:$G,"",0)</f>
        <v>9708999798</v>
      </c>
      <c r="L155" s="9" t="str">
        <f t="shared" ca="1" si="8"/>
        <v>Non - Warranty</v>
      </c>
      <c r="M155" s="11">
        <v>43122</v>
      </c>
      <c r="N155" s="12">
        <v>36</v>
      </c>
      <c r="O155" s="11">
        <f t="shared" si="9"/>
        <v>44227</v>
      </c>
      <c r="P155" s="8" t="s">
        <v>157</v>
      </c>
      <c r="Q155" s="16" t="s">
        <v>965</v>
      </c>
      <c r="R155" s="15">
        <v>45056.5536111111</v>
      </c>
      <c r="S155" s="14">
        <v>4350</v>
      </c>
      <c r="T155" s="15">
        <v>45056</v>
      </c>
      <c r="U155" s="14">
        <v>4350</v>
      </c>
      <c r="V155" s="14">
        <v>4800</v>
      </c>
      <c r="W155" s="17">
        <v>45171.582581018498</v>
      </c>
      <c r="X155" s="14" t="s">
        <v>2777</v>
      </c>
      <c r="Y155" s="14">
        <v>300</v>
      </c>
      <c r="Z155" s="14" t="s">
        <v>2692</v>
      </c>
      <c r="AA155" s="18">
        <v>1056.4463888889004</v>
      </c>
      <c r="AB155" s="18" t="s">
        <v>2697</v>
      </c>
      <c r="AC155" s="8">
        <f>tbl_DPSAC[[#This Row],[Current Month Due Count]]</f>
        <v>0</v>
      </c>
      <c r="AD155" s="8">
        <f>tbl_DPSAC[[#This Row],[Next Month Due2]]</f>
        <v>0</v>
      </c>
      <c r="AE155" s="8">
        <f t="shared" si="10"/>
        <v>1</v>
      </c>
      <c r="AF155" s="8">
        <v>4</v>
      </c>
      <c r="AG155" s="14">
        <f t="shared" ca="1" si="11"/>
        <v>8566</v>
      </c>
      <c r="AH155" s="8">
        <v>0</v>
      </c>
      <c r="AI155" s="8">
        <v>0</v>
      </c>
      <c r="AJ155" s="8">
        <v>0</v>
      </c>
      <c r="AK155" s="8">
        <v>0</v>
      </c>
      <c r="AL155" s="8">
        <v>0</v>
      </c>
      <c r="AM155" s="8">
        <v>0</v>
      </c>
      <c r="AN155" s="8">
        <v>0</v>
      </c>
      <c r="AO155" s="8">
        <v>0</v>
      </c>
      <c r="AP155" s="8">
        <v>0</v>
      </c>
      <c r="AQ155" s="8">
        <v>0</v>
      </c>
      <c r="AR155" s="8">
        <v>0</v>
      </c>
      <c r="AS155" s="8">
        <v>0</v>
      </c>
      <c r="AT155" s="8">
        <v>0</v>
      </c>
      <c r="AU155" s="8" t="s">
        <v>964</v>
      </c>
      <c r="AV155" s="8">
        <v>0</v>
      </c>
      <c r="AW155" s="8">
        <v>0</v>
      </c>
      <c r="AX155" s="8" t="s">
        <v>2977</v>
      </c>
      <c r="AY155" s="14">
        <v>4350</v>
      </c>
      <c r="AZ155" s="19">
        <v>45056</v>
      </c>
      <c r="BA155" s="14" t="s">
        <v>965</v>
      </c>
      <c r="BB155" s="14">
        <v>3528</v>
      </c>
      <c r="BC155" s="19">
        <v>44625</v>
      </c>
      <c r="BD155" s="14"/>
      <c r="BE155" s="14">
        <v>4350</v>
      </c>
      <c r="BF155" s="19">
        <v>45056</v>
      </c>
      <c r="BG155" s="14" t="s">
        <v>965</v>
      </c>
      <c r="BH155" s="14"/>
      <c r="BI155" s="19"/>
      <c r="BJ155" s="14"/>
      <c r="BK155" s="14">
        <v>3528</v>
      </c>
      <c r="BL155" s="19">
        <v>44625</v>
      </c>
      <c r="BM155" s="14"/>
      <c r="BN155" s="27">
        <v>45236</v>
      </c>
      <c r="BO155" s="27">
        <v>44805</v>
      </c>
      <c r="BP155" s="27">
        <v>45236</v>
      </c>
      <c r="BQ155" s="27" t="s">
        <v>143</v>
      </c>
      <c r="BR155" s="27">
        <v>44990</v>
      </c>
      <c r="BS155" s="28">
        <v>-3466</v>
      </c>
      <c r="BT155" s="29">
        <v>-3538</v>
      </c>
      <c r="BU155" s="29">
        <v>-3466</v>
      </c>
      <c r="BV155" s="29" t="s">
        <v>143</v>
      </c>
      <c r="BW155" s="29">
        <v>-3538</v>
      </c>
      <c r="BX155" s="30" t="s">
        <v>159</v>
      </c>
      <c r="BY155" s="8">
        <v>4</v>
      </c>
      <c r="BZ155" s="8">
        <v>0</v>
      </c>
      <c r="CA155" s="8">
        <v>0</v>
      </c>
      <c r="CB155" s="21" t="s">
        <v>143</v>
      </c>
      <c r="CC155" s="21" t="s">
        <v>143</v>
      </c>
      <c r="CD155" s="21" t="s">
        <v>143</v>
      </c>
      <c r="CE155" s="21" t="s">
        <v>143</v>
      </c>
      <c r="CF155" s="21" t="s">
        <v>143</v>
      </c>
      <c r="CG155" s="21" t="s">
        <v>143</v>
      </c>
      <c r="CH155" s="21" t="s">
        <v>143</v>
      </c>
      <c r="CI155" s="21" t="s">
        <v>143</v>
      </c>
      <c r="CJ155" s="21" t="s">
        <v>143</v>
      </c>
      <c r="CK155" s="22" t="s">
        <v>143</v>
      </c>
      <c r="CL155" s="22" t="s">
        <v>143</v>
      </c>
      <c r="CM155" s="22" t="s">
        <v>143</v>
      </c>
      <c r="CN155" s="22" t="s">
        <v>143</v>
      </c>
      <c r="CO155" s="22" t="s">
        <v>143</v>
      </c>
      <c r="CP155" s="22" t="s">
        <v>143</v>
      </c>
      <c r="CQ155" s="22" t="s">
        <v>143</v>
      </c>
      <c r="CR155" s="22" t="s">
        <v>143</v>
      </c>
      <c r="CS155" s="22" t="s">
        <v>143</v>
      </c>
      <c r="CT155" s="22" t="s">
        <v>143</v>
      </c>
      <c r="CU155" s="21" t="s">
        <v>143</v>
      </c>
      <c r="CV155" s="21" t="s">
        <v>143</v>
      </c>
      <c r="CW155" s="21" t="s">
        <v>143</v>
      </c>
      <c r="CX155" s="21" t="s">
        <v>143</v>
      </c>
      <c r="CY155" s="21" t="s">
        <v>143</v>
      </c>
      <c r="CZ155" s="21" t="s">
        <v>143</v>
      </c>
      <c r="DA155" s="21" t="s">
        <v>143</v>
      </c>
      <c r="DB155" s="21" t="s">
        <v>143</v>
      </c>
      <c r="DC155" s="21" t="s">
        <v>143</v>
      </c>
      <c r="DD155" s="8" t="s">
        <v>143</v>
      </c>
      <c r="DE155" s="8" t="s">
        <v>143</v>
      </c>
      <c r="DF155" s="8" t="s">
        <v>143</v>
      </c>
      <c r="DG155" s="8">
        <v>0</v>
      </c>
      <c r="DH155" s="8">
        <v>0</v>
      </c>
      <c r="DI155" s="8">
        <v>0</v>
      </c>
      <c r="DJ155" s="8" t="s">
        <v>143</v>
      </c>
      <c r="DK155" s="21" t="s">
        <v>143</v>
      </c>
      <c r="DL155" s="21" t="s">
        <v>143</v>
      </c>
      <c r="DM155" s="21" t="s">
        <v>143</v>
      </c>
      <c r="DN155" s="18" t="s">
        <v>143</v>
      </c>
      <c r="DO155" s="21" t="s">
        <v>143</v>
      </c>
      <c r="DP155" s="21" t="s">
        <v>143</v>
      </c>
      <c r="DQ155" s="21" t="s">
        <v>143</v>
      </c>
      <c r="DR155" s="21" t="s">
        <v>143</v>
      </c>
      <c r="DS155" s="21" t="s">
        <v>143</v>
      </c>
      <c r="DT155" s="21" t="s">
        <v>143</v>
      </c>
      <c r="DU155" s="21" t="s">
        <v>143</v>
      </c>
      <c r="DV155" s="21" t="s">
        <v>143</v>
      </c>
      <c r="DW155" s="21" t="s">
        <v>143</v>
      </c>
      <c r="DX155" s="21" t="s">
        <v>143</v>
      </c>
      <c r="DY155" s="21" t="s">
        <v>143</v>
      </c>
      <c r="DZ155" s="21" t="s">
        <v>143</v>
      </c>
      <c r="EA155" s="8" t="s">
        <v>143</v>
      </c>
      <c r="EB155" s="8" t="s">
        <v>143</v>
      </c>
      <c r="EC155" s="8" t="s">
        <v>143</v>
      </c>
      <c r="ED155" s="8" t="s">
        <v>143</v>
      </c>
      <c r="EE155" s="8" t="s">
        <v>143</v>
      </c>
      <c r="EF155" s="8" t="s">
        <v>143</v>
      </c>
      <c r="EG155" s="8" t="s">
        <v>143</v>
      </c>
      <c r="EH155" s="8" t="s">
        <v>143</v>
      </c>
      <c r="EI155" s="8" t="s">
        <v>143</v>
      </c>
      <c r="EJ155" s="8" t="s">
        <v>143</v>
      </c>
      <c r="EK155" s="8" t="s">
        <v>157</v>
      </c>
      <c r="EL155" s="8">
        <v>941</v>
      </c>
      <c r="EM155" s="8">
        <v>3764</v>
      </c>
      <c r="EN155" s="8" t="s">
        <v>143</v>
      </c>
      <c r="EO155" s="8" t="s">
        <v>143</v>
      </c>
      <c r="EP155" s="8" t="s">
        <v>143</v>
      </c>
      <c r="EQ155" s="8" t="s">
        <v>143</v>
      </c>
      <c r="ER155" s="8" t="s">
        <v>143</v>
      </c>
      <c r="ES155" s="8" t="s">
        <v>143</v>
      </c>
      <c r="ET155" s="8" t="s">
        <v>143</v>
      </c>
      <c r="EU155" s="8" t="s">
        <v>143</v>
      </c>
      <c r="EV155" s="8" t="s">
        <v>143</v>
      </c>
    </row>
    <row r="156" spans="1:152" x14ac:dyDescent="0.15">
      <c r="A156" s="8">
        <f>ROW([2]!tbl_DPSAC[[#This Row],[Sl. No.]])-1</f>
        <v>155</v>
      </c>
      <c r="B156" s="9" t="s">
        <v>136</v>
      </c>
      <c r="C156" s="9" t="s">
        <v>966</v>
      </c>
      <c r="D156" s="9" t="s">
        <v>175</v>
      </c>
      <c r="E156" s="9" t="s">
        <v>176</v>
      </c>
      <c r="F156" s="9" t="s">
        <v>161</v>
      </c>
      <c r="G156" s="10" t="s">
        <v>967</v>
      </c>
      <c r="H156" s="10" t="str">
        <f>_xlfn.XLOOKUP(C156,'[1]E&amp;DPSAC'!$K:$K,'[1]E&amp;DPSAC'!$E:$E,,0)</f>
        <v>DHANBAD</v>
      </c>
      <c r="I156" s="10"/>
      <c r="J156" s="10" t="s">
        <v>143</v>
      </c>
      <c r="K156" s="10">
        <f>_xlfn.XLOOKUP(C156,'[1]E&amp;DPSAC'!$K:$K,'[1]E&amp;DPSAC'!$G:$G,"",0)</f>
        <v>9801996592</v>
      </c>
      <c r="L156" s="9" t="str">
        <f t="shared" ca="1" si="8"/>
        <v>Non - Warranty</v>
      </c>
      <c r="M156" s="11">
        <v>43073</v>
      </c>
      <c r="N156" s="12">
        <v>24</v>
      </c>
      <c r="O156" s="11">
        <f t="shared" si="9"/>
        <v>43830</v>
      </c>
      <c r="P156" s="8" t="s">
        <v>681</v>
      </c>
      <c r="Q156" s="16" t="s">
        <v>968</v>
      </c>
      <c r="R156" s="15">
        <v>45983.418796296297</v>
      </c>
      <c r="S156" s="14">
        <v>7600</v>
      </c>
      <c r="T156" s="15">
        <v>45365</v>
      </c>
      <c r="U156" s="14">
        <v>5375</v>
      </c>
      <c r="V156" s="14">
        <v>7830</v>
      </c>
      <c r="W156" s="17">
        <v>46041.716307870403</v>
      </c>
      <c r="X156" s="14" t="s">
        <v>2751</v>
      </c>
      <c r="Y156" s="14">
        <v>520</v>
      </c>
      <c r="Z156" s="14" t="s">
        <v>2692</v>
      </c>
      <c r="AA156" s="18">
        <v>129.58120370370307</v>
      </c>
      <c r="AB156" s="18" t="s">
        <v>2692</v>
      </c>
      <c r="AC156" s="8">
        <f>tbl_DPSAC[[#This Row],[Current Month Due Count]]</f>
        <v>0</v>
      </c>
      <c r="AD156" s="8">
        <f>tbl_DPSAC[[#This Row],[Next Month Due2]]</f>
        <v>4</v>
      </c>
      <c r="AE156" s="8">
        <f t="shared" si="10"/>
        <v>0</v>
      </c>
      <c r="AF156" s="8">
        <v>4</v>
      </c>
      <c r="AG156" s="14">
        <f t="shared" ca="1" si="11"/>
        <v>8115</v>
      </c>
      <c r="AH156" s="8">
        <v>0</v>
      </c>
      <c r="AI156" s="8">
        <v>0</v>
      </c>
      <c r="AJ156" s="8">
        <v>0</v>
      </c>
      <c r="AK156" s="8">
        <v>0</v>
      </c>
      <c r="AL156" s="8">
        <v>0</v>
      </c>
      <c r="AM156" s="8">
        <v>0</v>
      </c>
      <c r="AN156" s="8">
        <v>0</v>
      </c>
      <c r="AO156" s="8">
        <v>0</v>
      </c>
      <c r="AP156" s="8">
        <v>0</v>
      </c>
      <c r="AQ156" s="8">
        <v>0</v>
      </c>
      <c r="AR156" s="8">
        <v>0</v>
      </c>
      <c r="AS156" s="8">
        <v>0</v>
      </c>
      <c r="AT156" s="8">
        <v>0</v>
      </c>
      <c r="AU156" s="8">
        <v>0</v>
      </c>
      <c r="AV156" s="8">
        <v>0</v>
      </c>
      <c r="AW156" s="8">
        <v>0</v>
      </c>
      <c r="AX156" s="8" t="s">
        <v>2007</v>
      </c>
      <c r="AY156" s="14">
        <v>7600</v>
      </c>
      <c r="AZ156" s="19">
        <v>45983</v>
      </c>
      <c r="BA156" s="14" t="s">
        <v>968</v>
      </c>
      <c r="BB156" s="14">
        <v>7600</v>
      </c>
      <c r="BC156" s="19">
        <v>45983</v>
      </c>
      <c r="BD156" s="14" t="s">
        <v>968</v>
      </c>
      <c r="BE156" s="14">
        <v>7600</v>
      </c>
      <c r="BF156" s="19">
        <v>45983</v>
      </c>
      <c r="BG156" s="14" t="s">
        <v>968</v>
      </c>
      <c r="BH156" s="14">
        <v>7600</v>
      </c>
      <c r="BI156" s="19">
        <v>45983</v>
      </c>
      <c r="BJ156" s="14" t="s">
        <v>968</v>
      </c>
      <c r="BK156" s="14">
        <v>7600</v>
      </c>
      <c r="BL156" s="19">
        <v>45983</v>
      </c>
      <c r="BM156" s="14" t="s">
        <v>968</v>
      </c>
      <c r="BN156" s="27">
        <v>46163</v>
      </c>
      <c r="BO156" s="27">
        <v>46163</v>
      </c>
      <c r="BP156" s="27">
        <v>46163</v>
      </c>
      <c r="BQ156" s="27">
        <v>46163</v>
      </c>
      <c r="BR156" s="27">
        <v>46348</v>
      </c>
      <c r="BS156" s="28">
        <v>235</v>
      </c>
      <c r="BT156" s="29">
        <v>985</v>
      </c>
      <c r="BU156" s="29">
        <v>235</v>
      </c>
      <c r="BV156" s="29">
        <v>235</v>
      </c>
      <c r="BW156" s="29">
        <v>985</v>
      </c>
      <c r="BX156" s="30" t="s">
        <v>172</v>
      </c>
      <c r="BY156" s="8">
        <v>0</v>
      </c>
      <c r="BZ156" s="8">
        <v>0</v>
      </c>
      <c r="CA156" s="8">
        <v>4</v>
      </c>
      <c r="CB156" s="21">
        <v>45982.770833333299</v>
      </c>
      <c r="CC156" s="21">
        <v>45982.770833333299</v>
      </c>
      <c r="CD156" s="21">
        <v>45982.770833333299</v>
      </c>
      <c r="CE156" s="21">
        <v>45982.770833333299</v>
      </c>
      <c r="CF156" s="21">
        <v>45982.770833333299</v>
      </c>
      <c r="CG156" s="21">
        <v>45982.770833333299</v>
      </c>
      <c r="CH156" s="21">
        <v>45982.770833333299</v>
      </c>
      <c r="CI156" s="21">
        <v>45982.770833333299</v>
      </c>
      <c r="CJ156" s="21">
        <v>45982.770833333299</v>
      </c>
      <c r="CK156" s="22" t="s">
        <v>3081</v>
      </c>
      <c r="CL156" s="22" t="s">
        <v>3081</v>
      </c>
      <c r="CM156" s="22" t="s">
        <v>3081</v>
      </c>
      <c r="CN156" s="22" t="s">
        <v>3081</v>
      </c>
      <c r="CO156" s="22" t="s">
        <v>3081</v>
      </c>
      <c r="CP156" s="22" t="s">
        <v>3082</v>
      </c>
      <c r="CQ156" s="22" t="s">
        <v>2953</v>
      </c>
      <c r="CR156" s="22" t="s">
        <v>3082</v>
      </c>
      <c r="CS156" s="22" t="s">
        <v>3082</v>
      </c>
      <c r="CT156" s="22">
        <v>4</v>
      </c>
      <c r="CU156" s="21">
        <v>46162</v>
      </c>
      <c r="CV156" s="21">
        <v>46162</v>
      </c>
      <c r="CW156" s="21">
        <v>46162</v>
      </c>
      <c r="CX156" s="21">
        <v>46162</v>
      </c>
      <c r="CY156" s="21">
        <v>46162</v>
      </c>
      <c r="CZ156" s="21">
        <v>46252</v>
      </c>
      <c r="DA156" s="21">
        <v>46291</v>
      </c>
      <c r="DB156" s="21">
        <v>46162</v>
      </c>
      <c r="DC156" s="21">
        <v>46347</v>
      </c>
      <c r="DD156" s="8">
        <v>0</v>
      </c>
      <c r="DE156" s="8">
        <v>0</v>
      </c>
      <c r="DF156" s="8">
        <v>0</v>
      </c>
      <c r="DG156" s="8">
        <v>0</v>
      </c>
      <c r="DH156" s="8">
        <v>0</v>
      </c>
      <c r="DI156" s="8">
        <v>6</v>
      </c>
      <c r="DJ156" s="8" t="s">
        <v>3025</v>
      </c>
      <c r="DK156" s="21">
        <v>43073</v>
      </c>
      <c r="DL156" s="21">
        <v>43066</v>
      </c>
      <c r="DM156" s="21">
        <v>46041</v>
      </c>
      <c r="DN156" s="18">
        <v>7830</v>
      </c>
      <c r="DO156" s="21">
        <v>0</v>
      </c>
      <c r="DP156" s="21">
        <v>0</v>
      </c>
      <c r="DQ156" s="21" t="s">
        <v>2955</v>
      </c>
      <c r="DR156" s="21">
        <v>45983</v>
      </c>
      <c r="DS156" s="21">
        <v>45983</v>
      </c>
      <c r="DT156" s="21">
        <v>45983</v>
      </c>
      <c r="DU156" s="21">
        <v>45983</v>
      </c>
      <c r="DV156" s="21">
        <v>45983</v>
      </c>
      <c r="DW156" s="21">
        <v>45983</v>
      </c>
      <c r="DX156" s="21">
        <v>45983</v>
      </c>
      <c r="DY156" s="21">
        <v>45983</v>
      </c>
      <c r="DZ156" s="21">
        <v>45983</v>
      </c>
      <c r="EA156" s="8">
        <v>520</v>
      </c>
      <c r="EB156" s="8">
        <v>520</v>
      </c>
      <c r="EC156" s="8">
        <v>520</v>
      </c>
      <c r="ED156" s="8">
        <v>520</v>
      </c>
      <c r="EE156" s="8">
        <v>520</v>
      </c>
      <c r="EF156" s="8">
        <v>1270</v>
      </c>
      <c r="EG156" s="8">
        <v>1000</v>
      </c>
      <c r="EH156" s="8">
        <v>1270</v>
      </c>
      <c r="EI156" s="8">
        <v>1270</v>
      </c>
      <c r="EJ156" s="8">
        <v>4</v>
      </c>
      <c r="EK156" s="8" t="s">
        <v>2624</v>
      </c>
      <c r="EL156" s="8">
        <v>71</v>
      </c>
      <c r="EM156" s="8">
        <v>284</v>
      </c>
      <c r="EN156" s="8">
        <v>232</v>
      </c>
      <c r="EO156" s="8">
        <v>232</v>
      </c>
      <c r="EP156" s="8">
        <v>232</v>
      </c>
      <c r="EQ156" s="8">
        <v>232</v>
      </c>
      <c r="ER156" s="8">
        <v>232</v>
      </c>
      <c r="ES156" s="8">
        <v>982</v>
      </c>
      <c r="ET156" s="8">
        <v>712</v>
      </c>
      <c r="EU156" s="8">
        <v>982</v>
      </c>
      <c r="EV156" s="8">
        <v>982</v>
      </c>
    </row>
    <row r="157" spans="1:152" x14ac:dyDescent="0.15">
      <c r="A157" s="8">
        <f>ROW([2]!tbl_DPSAC[[#This Row],[Sl. No.]])-1</f>
        <v>156</v>
      </c>
      <c r="B157" s="9" t="s">
        <v>136</v>
      </c>
      <c r="C157" s="9" t="s">
        <v>969</v>
      </c>
      <c r="D157" s="9" t="s">
        <v>251</v>
      </c>
      <c r="E157" s="9" t="s">
        <v>147</v>
      </c>
      <c r="F157" s="9" t="s">
        <v>140</v>
      </c>
      <c r="G157" s="10" t="s">
        <v>970</v>
      </c>
      <c r="H157" s="10" t="str">
        <f>_xlfn.XLOOKUP(C157,'[1]E&amp;DPSAC'!$K:$K,'[1]E&amp;DPSAC'!$E:$E,,0)</f>
        <v>PIPARWAR,JHARKHAND
BAHERA, BENTI, PIPARWAR, CHATRA
825321</v>
      </c>
      <c r="I157" s="10"/>
      <c r="J157" s="10" t="s">
        <v>143</v>
      </c>
      <c r="K157" s="10">
        <f>_xlfn.XLOOKUP(C157,'[1]E&amp;DPSAC'!$K:$K,'[1]E&amp;DPSAC'!$G:$G,"",0)</f>
        <v>9430197163</v>
      </c>
      <c r="L157" s="9" t="str">
        <f t="shared" ca="1" si="8"/>
        <v>Non - Warranty</v>
      </c>
      <c r="M157" s="11">
        <v>42408</v>
      </c>
      <c r="N157" s="12">
        <v>36</v>
      </c>
      <c r="O157" s="11">
        <f t="shared" si="9"/>
        <v>43524</v>
      </c>
      <c r="P157" s="8" t="s">
        <v>142</v>
      </c>
      <c r="Q157" s="16" t="s">
        <v>972</v>
      </c>
      <c r="R157" s="15">
        <v>45289.460613425901</v>
      </c>
      <c r="S157" s="14">
        <v>8225</v>
      </c>
      <c r="T157" s="15">
        <v>45289</v>
      </c>
      <c r="U157" s="14">
        <v>8225</v>
      </c>
      <c r="V157" s="14">
        <v>10080</v>
      </c>
      <c r="W157" s="17">
        <v>46042.488090277802</v>
      </c>
      <c r="X157" s="14" t="s">
        <v>2778</v>
      </c>
      <c r="Y157" s="14">
        <v>-1105</v>
      </c>
      <c r="Z157" s="14" t="s">
        <v>2697</v>
      </c>
      <c r="AA157" s="18">
        <v>823.5393865740989</v>
      </c>
      <c r="AB157" s="18" t="s">
        <v>2697</v>
      </c>
      <c r="AC157" s="8">
        <f>tbl_DPSAC[[#This Row],[Current Month Due Count]]</f>
        <v>0</v>
      </c>
      <c r="AD157" s="8">
        <f>tbl_DPSAC[[#This Row],[Next Month Due2]]</f>
        <v>0</v>
      </c>
      <c r="AE157" s="8">
        <f t="shared" si="10"/>
        <v>1</v>
      </c>
      <c r="AF157" s="8">
        <v>2</v>
      </c>
      <c r="AG157" s="14">
        <f t="shared" ca="1" si="11"/>
        <v>10221</v>
      </c>
      <c r="AH157" s="8">
        <v>0</v>
      </c>
      <c r="AI157" s="8">
        <v>0</v>
      </c>
      <c r="AJ157" s="8">
        <v>0</v>
      </c>
      <c r="AK157" s="8">
        <v>0</v>
      </c>
      <c r="AL157" s="8">
        <v>0</v>
      </c>
      <c r="AM157" s="8">
        <v>0</v>
      </c>
      <c r="AN157" s="8">
        <v>0</v>
      </c>
      <c r="AO157" s="8">
        <v>0</v>
      </c>
      <c r="AP157" s="8">
        <v>0</v>
      </c>
      <c r="AQ157" s="8">
        <v>0</v>
      </c>
      <c r="AR157" s="8">
        <v>0</v>
      </c>
      <c r="AS157" s="8">
        <v>0</v>
      </c>
      <c r="AT157" s="8" t="s">
        <v>971</v>
      </c>
      <c r="AU157" s="8">
        <v>0</v>
      </c>
      <c r="AV157" s="8">
        <v>0</v>
      </c>
      <c r="AW157" s="8">
        <v>0</v>
      </c>
      <c r="AX157" s="8" t="s">
        <v>2961</v>
      </c>
      <c r="AY157" s="14">
        <v>8225</v>
      </c>
      <c r="AZ157" s="19">
        <v>45279</v>
      </c>
      <c r="BA157" s="14" t="s">
        <v>972</v>
      </c>
      <c r="BB157" s="14">
        <v>7870</v>
      </c>
      <c r="BC157" s="19">
        <v>45199</v>
      </c>
      <c r="BD157" s="14" t="s">
        <v>973</v>
      </c>
      <c r="BE157" s="14">
        <v>8225</v>
      </c>
      <c r="BF157" s="19">
        <v>45279</v>
      </c>
      <c r="BG157" s="14" t="s">
        <v>972</v>
      </c>
      <c r="BH157" s="14">
        <v>7870</v>
      </c>
      <c r="BI157" s="19">
        <v>45199</v>
      </c>
      <c r="BJ157" s="14" t="s">
        <v>973</v>
      </c>
      <c r="BK157" s="14">
        <v>7870</v>
      </c>
      <c r="BL157" s="19">
        <v>45199</v>
      </c>
      <c r="BM157" s="14" t="s">
        <v>973</v>
      </c>
      <c r="BN157" s="27">
        <v>45459</v>
      </c>
      <c r="BO157" s="27">
        <v>45379</v>
      </c>
      <c r="BP157" s="27">
        <v>45459</v>
      </c>
      <c r="BQ157" s="27">
        <v>45379</v>
      </c>
      <c r="BR157" s="27">
        <v>45564</v>
      </c>
      <c r="BS157" s="28">
        <v>-1246</v>
      </c>
      <c r="BT157" s="29">
        <v>-851</v>
      </c>
      <c r="BU157" s="29">
        <v>-1246</v>
      </c>
      <c r="BV157" s="29">
        <v>-1601</v>
      </c>
      <c r="BW157" s="29">
        <v>-851</v>
      </c>
      <c r="BX157" s="30" t="e">
        <v>#N/A</v>
      </c>
      <c r="BY157" s="8">
        <v>5</v>
      </c>
      <c r="BZ157" s="8">
        <v>0</v>
      </c>
      <c r="CA157" s="8">
        <v>0</v>
      </c>
      <c r="CB157" s="21">
        <v>45288.770833333299</v>
      </c>
      <c r="CC157" s="21">
        <v>45288.770833333299</v>
      </c>
      <c r="CD157" s="21">
        <v>44930.770833333299</v>
      </c>
      <c r="CE157" s="21">
        <v>45288.770833333299</v>
      </c>
      <c r="CF157" s="21">
        <v>45288.770833333299</v>
      </c>
      <c r="CG157" s="21">
        <v>45198.770833333299</v>
      </c>
      <c r="CH157" s="21">
        <v>45198.770833333299</v>
      </c>
      <c r="CI157" s="21">
        <v>45198.770833333299</v>
      </c>
      <c r="CJ157" s="21">
        <v>45198.770833333299</v>
      </c>
      <c r="CK157" s="22" t="s">
        <v>3083</v>
      </c>
      <c r="CL157" s="22" t="s">
        <v>3083</v>
      </c>
      <c r="CM157" s="22" t="s">
        <v>3083</v>
      </c>
      <c r="CN157" s="22" t="s">
        <v>3083</v>
      </c>
      <c r="CO157" s="22" t="s">
        <v>3083</v>
      </c>
      <c r="CP157" s="22" t="s">
        <v>3083</v>
      </c>
      <c r="CQ157" s="22" t="s">
        <v>2953</v>
      </c>
      <c r="CR157" s="22" t="s">
        <v>3083</v>
      </c>
      <c r="CS157" s="22" t="s">
        <v>3083</v>
      </c>
      <c r="CT157" s="22">
        <v>2</v>
      </c>
      <c r="CU157" s="21">
        <v>45468</v>
      </c>
      <c r="CV157" s="21">
        <v>45468</v>
      </c>
      <c r="CW157" s="21">
        <v>45110</v>
      </c>
      <c r="CX157" s="21">
        <v>45468</v>
      </c>
      <c r="CY157" s="21">
        <v>45468</v>
      </c>
      <c r="CZ157" s="21">
        <v>45468</v>
      </c>
      <c r="DA157" s="21">
        <v>45563</v>
      </c>
      <c r="DB157" s="21">
        <v>45378</v>
      </c>
      <c r="DC157" s="21">
        <v>45563</v>
      </c>
      <c r="DD157" s="8">
        <v>1</v>
      </c>
      <c r="DE157" s="8">
        <v>0</v>
      </c>
      <c r="DF157" s="8">
        <v>0</v>
      </c>
      <c r="DG157" s="8">
        <v>9</v>
      </c>
      <c r="DH157" s="8">
        <v>0</v>
      </c>
      <c r="DI157" s="8">
        <v>0</v>
      </c>
      <c r="DJ157" s="8" t="s">
        <v>2954</v>
      </c>
      <c r="DK157" s="21">
        <v>42408</v>
      </c>
      <c r="DL157" s="21">
        <v>42369</v>
      </c>
      <c r="DM157" s="21">
        <v>46042</v>
      </c>
      <c r="DN157" s="18">
        <v>10080</v>
      </c>
      <c r="DO157" s="21">
        <v>0</v>
      </c>
      <c r="DP157" s="21">
        <v>0</v>
      </c>
      <c r="DQ157" s="21" t="s">
        <v>2955</v>
      </c>
      <c r="DR157" s="21">
        <v>45289</v>
      </c>
      <c r="DS157" s="21">
        <v>45289</v>
      </c>
      <c r="DT157" s="21">
        <v>44931</v>
      </c>
      <c r="DU157" s="21">
        <v>45289</v>
      </c>
      <c r="DV157" s="21">
        <v>45289</v>
      </c>
      <c r="DW157" s="21">
        <v>45199</v>
      </c>
      <c r="DX157" s="21">
        <v>45199</v>
      </c>
      <c r="DY157" s="21">
        <v>45199</v>
      </c>
      <c r="DZ157" s="21">
        <v>45199</v>
      </c>
      <c r="EA157" s="8">
        <v>100</v>
      </c>
      <c r="EB157" s="8">
        <v>100</v>
      </c>
      <c r="EC157" s="8">
        <v>100</v>
      </c>
      <c r="ED157" s="8">
        <v>100</v>
      </c>
      <c r="EE157" s="8">
        <v>100</v>
      </c>
      <c r="EF157" s="8">
        <v>100</v>
      </c>
      <c r="EG157" s="8">
        <v>1000</v>
      </c>
      <c r="EH157" s="8">
        <v>100</v>
      </c>
      <c r="EI157" s="8">
        <v>100</v>
      </c>
      <c r="EJ157" s="8">
        <v>2</v>
      </c>
      <c r="EK157" s="8" t="s">
        <v>2624</v>
      </c>
      <c r="EL157" s="8">
        <v>71</v>
      </c>
      <c r="EM157" s="8">
        <v>142</v>
      </c>
      <c r="EN157" s="8">
        <v>-188</v>
      </c>
      <c r="EO157" s="8">
        <v>-188</v>
      </c>
      <c r="EP157" s="8">
        <v>-188</v>
      </c>
      <c r="EQ157" s="8">
        <v>-188</v>
      </c>
      <c r="ER157" s="8">
        <v>-188</v>
      </c>
      <c r="ES157" s="8">
        <v>-188</v>
      </c>
      <c r="ET157" s="8">
        <v>712</v>
      </c>
      <c r="EU157" s="8">
        <v>-188</v>
      </c>
      <c r="EV157" s="8">
        <v>-188</v>
      </c>
    </row>
    <row r="158" spans="1:152" x14ac:dyDescent="0.15">
      <c r="A158" s="8">
        <f>ROW([2]!tbl_DPSAC[[#This Row],[Sl. No.]])-1</f>
        <v>157</v>
      </c>
      <c r="B158" s="9" t="s">
        <v>136</v>
      </c>
      <c r="C158" s="9" t="s">
        <v>974</v>
      </c>
      <c r="D158" s="9" t="s">
        <v>138</v>
      </c>
      <c r="E158" s="9" t="s">
        <v>139</v>
      </c>
      <c r="F158" s="9" t="s">
        <v>161</v>
      </c>
      <c r="G158" s="10" t="s">
        <v>596</v>
      </c>
      <c r="H158" s="10" t="str">
        <f>_xlfn.XLOOKUP(C158,'[1]E&amp;DPSAC'!$K:$K,'[1]E&amp;DPSAC'!$E:$E,,0)</f>
        <v xml:space="preserve">TOPIN SOUTH  </v>
      </c>
      <c r="I158" s="10" t="s">
        <v>597</v>
      </c>
      <c r="J158" s="10">
        <v>9102400908</v>
      </c>
      <c r="K158" s="10">
        <f>_xlfn.XLOOKUP(C158,'[1]E&amp;DPSAC'!$K:$K,'[1]E&amp;DPSAC'!$G:$G,"",0)</f>
        <v>9102994453</v>
      </c>
      <c r="L158" s="9" t="str">
        <f t="shared" ca="1" si="8"/>
        <v>Non - Warranty</v>
      </c>
      <c r="M158" s="11">
        <v>43768</v>
      </c>
      <c r="N158" s="12">
        <v>24</v>
      </c>
      <c r="O158" s="11">
        <f t="shared" si="9"/>
        <v>44500</v>
      </c>
      <c r="P158" s="8" t="s">
        <v>142</v>
      </c>
      <c r="Q158" s="16" t="s">
        <v>975</v>
      </c>
      <c r="R158" s="15">
        <v>46007.692997685197</v>
      </c>
      <c r="S158" s="14">
        <v>7060</v>
      </c>
      <c r="T158" s="15">
        <v>46007</v>
      </c>
      <c r="U158" s="14">
        <v>7060</v>
      </c>
      <c r="V158" s="14">
        <v>7060</v>
      </c>
      <c r="W158" s="17">
        <v>46007.692997685197</v>
      </c>
      <c r="X158" s="14" t="s">
        <v>2739</v>
      </c>
      <c r="Y158" s="14">
        <v>750</v>
      </c>
      <c r="Z158" s="14" t="s">
        <v>2692</v>
      </c>
      <c r="AA158" s="18">
        <v>105.30700231480296</v>
      </c>
      <c r="AB158" s="18" t="s">
        <v>2692</v>
      </c>
      <c r="AC158" s="8">
        <f>tbl_DPSAC[[#This Row],[Current Month Due Count]]</f>
        <v>0</v>
      </c>
      <c r="AD158" s="8">
        <f>tbl_DPSAC[[#This Row],[Next Month Due2]]</f>
        <v>0</v>
      </c>
      <c r="AE158" s="8">
        <f t="shared" si="10"/>
        <v>0</v>
      </c>
      <c r="AF158" s="8">
        <v>0</v>
      </c>
      <c r="AG158" s="14">
        <f t="shared" ca="1" si="11"/>
        <v>7060</v>
      </c>
      <c r="AH158" s="8">
        <v>0</v>
      </c>
      <c r="AI158" s="8">
        <v>0</v>
      </c>
      <c r="AJ158" s="8">
        <v>0</v>
      </c>
      <c r="AK158" s="8">
        <v>0</v>
      </c>
      <c r="AL158" s="8">
        <v>0</v>
      </c>
      <c r="AM158" s="8">
        <v>0</v>
      </c>
      <c r="AN158" s="8">
        <v>0</v>
      </c>
      <c r="AO158" s="8">
        <v>0</v>
      </c>
      <c r="AP158" s="8">
        <v>0</v>
      </c>
      <c r="AQ158" s="8">
        <v>0</v>
      </c>
      <c r="AR158" s="8">
        <v>0</v>
      </c>
      <c r="AS158" s="8">
        <v>0</v>
      </c>
      <c r="AT158" s="8">
        <v>0</v>
      </c>
      <c r="AU158" s="8">
        <v>0</v>
      </c>
      <c r="AV158" s="8">
        <v>0</v>
      </c>
      <c r="AW158" s="8">
        <v>0</v>
      </c>
      <c r="AX158" s="8" t="s">
        <v>2007</v>
      </c>
      <c r="AY158" s="14">
        <v>7060</v>
      </c>
      <c r="AZ158" s="19">
        <v>46007</v>
      </c>
      <c r="BA158" s="14" t="s">
        <v>975</v>
      </c>
      <c r="BB158" s="14">
        <v>7060</v>
      </c>
      <c r="BC158" s="19">
        <v>46007</v>
      </c>
      <c r="BD158" s="14" t="s">
        <v>975</v>
      </c>
      <c r="BE158" s="14">
        <v>7060</v>
      </c>
      <c r="BF158" s="19">
        <v>46007</v>
      </c>
      <c r="BG158" s="14" t="s">
        <v>975</v>
      </c>
      <c r="BH158" s="14">
        <v>7060</v>
      </c>
      <c r="BI158" s="19">
        <v>46007</v>
      </c>
      <c r="BJ158" s="14" t="s">
        <v>975</v>
      </c>
      <c r="BK158" s="14">
        <v>7060</v>
      </c>
      <c r="BL158" s="19">
        <v>46007</v>
      </c>
      <c r="BM158" s="14" t="s">
        <v>975</v>
      </c>
      <c r="BN158" s="27">
        <v>46187</v>
      </c>
      <c r="BO158" s="27">
        <v>46187</v>
      </c>
      <c r="BP158" s="27">
        <v>46187</v>
      </c>
      <c r="BQ158" s="27">
        <v>46187</v>
      </c>
      <c r="BR158" s="27">
        <v>46372</v>
      </c>
      <c r="BS158" s="28">
        <v>750</v>
      </c>
      <c r="BT158" s="29">
        <v>1500</v>
      </c>
      <c r="BU158" s="29">
        <v>750</v>
      </c>
      <c r="BV158" s="29">
        <v>750</v>
      </c>
      <c r="BW158" s="29">
        <v>1500</v>
      </c>
      <c r="BX158" s="30" t="e">
        <v>#N/A</v>
      </c>
      <c r="BY158" s="8">
        <v>0</v>
      </c>
      <c r="BZ158" s="8">
        <v>0</v>
      </c>
      <c r="CA158" s="8">
        <v>0</v>
      </c>
      <c r="CB158" s="21">
        <v>46006.770833333299</v>
      </c>
      <c r="CC158" s="21">
        <v>46006.770833333299</v>
      </c>
      <c r="CD158" s="21">
        <v>46006.770833333299</v>
      </c>
      <c r="CE158" s="21">
        <v>46006.770833333299</v>
      </c>
      <c r="CF158" s="21">
        <v>46006.770833333299</v>
      </c>
      <c r="CG158" s="21">
        <v>46006.770833333299</v>
      </c>
      <c r="CH158" s="21">
        <v>46006.770833333299</v>
      </c>
      <c r="CI158" s="21">
        <v>46006.770833333299</v>
      </c>
      <c r="CJ158" s="21">
        <v>46006.770833333299</v>
      </c>
      <c r="CK158" s="22" t="s">
        <v>2956</v>
      </c>
      <c r="CL158" s="22" t="s">
        <v>2957</v>
      </c>
      <c r="CM158" s="22" t="s">
        <v>2957</v>
      </c>
      <c r="CN158" s="22" t="s">
        <v>2957</v>
      </c>
      <c r="CO158" s="22" t="s">
        <v>2957</v>
      </c>
      <c r="CP158" s="22" t="s">
        <v>2956</v>
      </c>
      <c r="CQ158" s="22" t="s">
        <v>2953</v>
      </c>
      <c r="CR158" s="22" t="s">
        <v>2956</v>
      </c>
      <c r="CS158" s="22" t="s">
        <v>2956</v>
      </c>
      <c r="CT158" s="22">
        <v>4</v>
      </c>
      <c r="CU158" s="21">
        <v>46186</v>
      </c>
      <c r="CV158" s="21">
        <v>46186</v>
      </c>
      <c r="CW158" s="21">
        <v>46186</v>
      </c>
      <c r="CX158" s="21">
        <v>46186</v>
      </c>
      <c r="CY158" s="21">
        <v>46186</v>
      </c>
      <c r="CZ158" s="21">
        <v>46276</v>
      </c>
      <c r="DA158" s="21">
        <v>46257</v>
      </c>
      <c r="DB158" s="21">
        <v>46186</v>
      </c>
      <c r="DC158" s="21">
        <v>46371</v>
      </c>
      <c r="DD158" s="8">
        <v>0</v>
      </c>
      <c r="DE158" s="8">
        <v>0</v>
      </c>
      <c r="DF158" s="8">
        <v>0</v>
      </c>
      <c r="DG158" s="8">
        <v>0</v>
      </c>
      <c r="DH158" s="8">
        <v>0</v>
      </c>
      <c r="DI158" s="8">
        <v>0</v>
      </c>
      <c r="DJ158" s="8" t="s">
        <v>2954</v>
      </c>
      <c r="DK158" s="21">
        <v>43768</v>
      </c>
      <c r="DL158" s="21">
        <v>43700.229166666664</v>
      </c>
      <c r="DM158" s="21">
        <v>46007</v>
      </c>
      <c r="DN158" s="18">
        <v>7060</v>
      </c>
      <c r="DO158" s="21">
        <v>0</v>
      </c>
      <c r="DP158" s="21">
        <v>0</v>
      </c>
      <c r="DQ158" s="21" t="s">
        <v>2955</v>
      </c>
      <c r="DR158" s="21">
        <v>46007</v>
      </c>
      <c r="DS158" s="21">
        <v>46007</v>
      </c>
      <c r="DT158" s="21">
        <v>46007</v>
      </c>
      <c r="DU158" s="21">
        <v>46007</v>
      </c>
      <c r="DV158" s="21">
        <v>46007</v>
      </c>
      <c r="DW158" s="21">
        <v>46007</v>
      </c>
      <c r="DX158" s="21">
        <v>46007</v>
      </c>
      <c r="DY158" s="21">
        <v>46007</v>
      </c>
      <c r="DZ158" s="21">
        <v>46007</v>
      </c>
      <c r="EA158" s="8">
        <v>1500</v>
      </c>
      <c r="EB158" s="8">
        <v>750</v>
      </c>
      <c r="EC158" s="8">
        <v>750</v>
      </c>
      <c r="ED158" s="8">
        <v>750</v>
      </c>
      <c r="EE158" s="8">
        <v>750</v>
      </c>
      <c r="EF158" s="8">
        <v>1500</v>
      </c>
      <c r="EG158" s="8">
        <v>1000</v>
      </c>
      <c r="EH158" s="8">
        <v>1500</v>
      </c>
      <c r="EI158" s="8">
        <v>1500</v>
      </c>
      <c r="EJ158" s="8">
        <v>4</v>
      </c>
      <c r="EK158" s="8" t="s">
        <v>2624</v>
      </c>
      <c r="EL158" s="8">
        <v>105</v>
      </c>
      <c r="EM158" s="8">
        <v>0</v>
      </c>
      <c r="EN158" s="8">
        <v>1212</v>
      </c>
      <c r="EO158" s="8">
        <v>462</v>
      </c>
      <c r="EP158" s="8">
        <v>462</v>
      </c>
      <c r="EQ158" s="8">
        <v>462</v>
      </c>
      <c r="ER158" s="8">
        <v>462</v>
      </c>
      <c r="ES158" s="8">
        <v>1212</v>
      </c>
      <c r="ET158" s="8">
        <v>712</v>
      </c>
      <c r="EU158" s="8">
        <v>1212</v>
      </c>
      <c r="EV158" s="8">
        <v>1212</v>
      </c>
    </row>
    <row r="159" spans="1:152" x14ac:dyDescent="0.15">
      <c r="A159" s="8">
        <f>ROW([2]!tbl_DPSAC[[#This Row],[Sl. No.]])-1</f>
        <v>158</v>
      </c>
      <c r="B159" s="9" t="s">
        <v>136</v>
      </c>
      <c r="C159" s="9" t="s">
        <v>976</v>
      </c>
      <c r="D159" s="9" t="s">
        <v>169</v>
      </c>
      <c r="E159" s="9" t="s">
        <v>170</v>
      </c>
      <c r="F159" s="9" t="s">
        <v>161</v>
      </c>
      <c r="G159" s="10" t="s">
        <v>977</v>
      </c>
      <c r="H159" s="10" t="str">
        <f>_xlfn.XLOOKUP(C159,'[1]E&amp;DPSAC'!$K:$K,'[1]E&amp;DPSAC'!$E:$E,,0)</f>
        <v>NIMIAGHAT,GIRIDIH</v>
      </c>
      <c r="I159" s="10"/>
      <c r="J159" s="10">
        <v>9798869433</v>
      </c>
      <c r="K159" s="10">
        <f>_xlfn.XLOOKUP(C159,'[1]E&amp;DPSAC'!$K:$K,'[1]E&amp;DPSAC'!$G:$G,"",0)</f>
        <v>9279550963</v>
      </c>
      <c r="L159" s="9" t="str">
        <f t="shared" ca="1" si="8"/>
        <v>Non - Warranty</v>
      </c>
      <c r="M159" s="11">
        <v>43509</v>
      </c>
      <c r="N159" s="12">
        <v>24</v>
      </c>
      <c r="O159" s="11">
        <f t="shared" si="9"/>
        <v>44255</v>
      </c>
      <c r="P159" s="8" t="s">
        <v>681</v>
      </c>
      <c r="Q159" s="16" t="s">
        <v>981</v>
      </c>
      <c r="R159" s="15">
        <v>45954.281944444447</v>
      </c>
      <c r="S159" s="14">
        <v>7821</v>
      </c>
      <c r="T159" s="15">
        <v>45954</v>
      </c>
      <c r="U159" s="14">
        <v>7821</v>
      </c>
      <c r="V159" s="14">
        <v>7830</v>
      </c>
      <c r="W159" s="17">
        <v>45966.435416666667</v>
      </c>
      <c r="X159" s="14" t="s">
        <v>2779</v>
      </c>
      <c r="Y159" s="14">
        <v>741</v>
      </c>
      <c r="Z159" s="14" t="s">
        <v>2692</v>
      </c>
      <c r="AA159" s="18">
        <v>158.71805555555329</v>
      </c>
      <c r="AB159" s="18" t="s">
        <v>2692</v>
      </c>
      <c r="AC159" s="8">
        <f>tbl_DPSAC[[#This Row],[Current Month Due Count]]</f>
        <v>4</v>
      </c>
      <c r="AD159" s="8">
        <f>tbl_DPSAC[[#This Row],[Next Month Due2]]</f>
        <v>0</v>
      </c>
      <c r="AE159" s="8">
        <f t="shared" si="10"/>
        <v>0</v>
      </c>
      <c r="AF159" s="8">
        <v>1</v>
      </c>
      <c r="AG159" s="14">
        <f t="shared" ca="1" si="11"/>
        <v>7977</v>
      </c>
      <c r="AH159" s="8">
        <v>0</v>
      </c>
      <c r="AI159" s="8" t="s">
        <v>978</v>
      </c>
      <c r="AJ159" s="8">
        <v>0</v>
      </c>
      <c r="AK159" s="8" t="s">
        <v>979</v>
      </c>
      <c r="AL159" s="8" t="s">
        <v>980</v>
      </c>
      <c r="AM159" s="8">
        <v>0</v>
      </c>
      <c r="AN159" s="8">
        <v>0</v>
      </c>
      <c r="AO159" s="8">
        <v>0</v>
      </c>
      <c r="AP159" s="8">
        <v>0</v>
      </c>
      <c r="AQ159" s="8">
        <v>0</v>
      </c>
      <c r="AR159" s="8">
        <v>0</v>
      </c>
      <c r="AS159" s="8">
        <v>0</v>
      </c>
      <c r="AT159" s="8">
        <v>0</v>
      </c>
      <c r="AU159" s="8">
        <v>0</v>
      </c>
      <c r="AV159" s="8">
        <v>0</v>
      </c>
      <c r="AW159" s="8">
        <v>0</v>
      </c>
      <c r="AX159" s="8" t="s">
        <v>2007</v>
      </c>
      <c r="AY159" s="14">
        <v>7821</v>
      </c>
      <c r="AZ159" s="19">
        <v>45954</v>
      </c>
      <c r="BA159" s="14" t="s">
        <v>981</v>
      </c>
      <c r="BB159" s="14">
        <v>7821</v>
      </c>
      <c r="BC159" s="19">
        <v>45954</v>
      </c>
      <c r="BD159" s="14" t="s">
        <v>981</v>
      </c>
      <c r="BE159" s="14">
        <v>7821</v>
      </c>
      <c r="BF159" s="19">
        <v>45954</v>
      </c>
      <c r="BG159" s="14" t="s">
        <v>981</v>
      </c>
      <c r="BH159" s="14">
        <v>7821</v>
      </c>
      <c r="BI159" s="19">
        <v>45954</v>
      </c>
      <c r="BJ159" s="14" t="s">
        <v>981</v>
      </c>
      <c r="BK159" s="14">
        <v>7821</v>
      </c>
      <c r="BL159" s="19">
        <v>45954</v>
      </c>
      <c r="BM159" s="14" t="s">
        <v>981</v>
      </c>
      <c r="BN159" s="27">
        <v>46134</v>
      </c>
      <c r="BO159" s="27">
        <v>46134</v>
      </c>
      <c r="BP159" s="27">
        <v>46134</v>
      </c>
      <c r="BQ159" s="27">
        <v>46134</v>
      </c>
      <c r="BR159" s="27">
        <v>46319</v>
      </c>
      <c r="BS159" s="28">
        <v>594</v>
      </c>
      <c r="BT159" s="29">
        <v>1344</v>
      </c>
      <c r="BU159" s="29">
        <v>594</v>
      </c>
      <c r="BV159" s="29">
        <v>594</v>
      </c>
      <c r="BW159" s="29">
        <v>1344</v>
      </c>
      <c r="BX159" s="30" t="e">
        <v>#N/A</v>
      </c>
      <c r="BY159" s="8">
        <v>0</v>
      </c>
      <c r="BZ159" s="8">
        <v>4</v>
      </c>
      <c r="CA159" s="8">
        <v>0</v>
      </c>
      <c r="CB159" s="21">
        <v>45952.770833333299</v>
      </c>
      <c r="CC159" s="21">
        <v>45953.770833333299</v>
      </c>
      <c r="CD159" s="21">
        <v>45953.770833333299</v>
      </c>
      <c r="CE159" s="21">
        <v>45953.770833333299</v>
      </c>
      <c r="CF159" s="21">
        <v>45953.770833333299</v>
      </c>
      <c r="CG159" s="21">
        <v>45953.770833333299</v>
      </c>
      <c r="CH159" s="21">
        <v>45953.770833333299</v>
      </c>
      <c r="CI159" s="21">
        <v>45953.770833333299</v>
      </c>
      <c r="CJ159" s="21">
        <v>45953.770833333299</v>
      </c>
      <c r="CK159" s="22" t="s">
        <v>2993</v>
      </c>
      <c r="CL159" s="22" t="s">
        <v>2992</v>
      </c>
      <c r="CM159" s="22" t="s">
        <v>2992</v>
      </c>
      <c r="CN159" s="22" t="s">
        <v>2992</v>
      </c>
      <c r="CO159" s="22" t="s">
        <v>2992</v>
      </c>
      <c r="CP159" s="22" t="s">
        <v>2993</v>
      </c>
      <c r="CQ159" s="22" t="s">
        <v>2953</v>
      </c>
      <c r="CR159" s="22" t="s">
        <v>2993</v>
      </c>
      <c r="CS159" s="22" t="s">
        <v>2993</v>
      </c>
      <c r="CT159" s="22">
        <v>2</v>
      </c>
      <c r="CU159" s="21">
        <v>46132</v>
      </c>
      <c r="CV159" s="21">
        <v>46133</v>
      </c>
      <c r="CW159" s="21">
        <v>46133</v>
      </c>
      <c r="CX159" s="21">
        <v>46133</v>
      </c>
      <c r="CY159" s="21">
        <v>46133</v>
      </c>
      <c r="CZ159" s="21">
        <v>46223</v>
      </c>
      <c r="DA159" s="21">
        <v>46318</v>
      </c>
      <c r="DB159" s="21">
        <v>46133</v>
      </c>
      <c r="DC159" s="21">
        <v>46318</v>
      </c>
      <c r="DD159" s="8">
        <v>0</v>
      </c>
      <c r="DE159" s="8">
        <v>0</v>
      </c>
      <c r="DF159" s="8">
        <v>0</v>
      </c>
      <c r="DG159" s="8">
        <v>0</v>
      </c>
      <c r="DH159" s="8">
        <v>6</v>
      </c>
      <c r="DI159" s="8">
        <v>0</v>
      </c>
      <c r="DJ159" s="8" t="s">
        <v>3025</v>
      </c>
      <c r="DK159" s="21">
        <v>43509</v>
      </c>
      <c r="DL159" s="21">
        <v>43493.229166666664</v>
      </c>
      <c r="DM159" s="21">
        <v>45966</v>
      </c>
      <c r="DN159" s="18">
        <v>7830</v>
      </c>
      <c r="DO159" s="21">
        <v>0</v>
      </c>
      <c r="DP159" s="21">
        <v>0</v>
      </c>
      <c r="DQ159" s="21" t="s">
        <v>2955</v>
      </c>
      <c r="DR159" s="21">
        <v>45953</v>
      </c>
      <c r="DS159" s="21">
        <v>45954</v>
      </c>
      <c r="DT159" s="21">
        <v>45954</v>
      </c>
      <c r="DU159" s="21">
        <v>45954</v>
      </c>
      <c r="DV159" s="21">
        <v>45954</v>
      </c>
      <c r="DW159" s="21">
        <v>45954</v>
      </c>
      <c r="DX159" s="21">
        <v>45954</v>
      </c>
      <c r="DY159" s="21">
        <v>45954</v>
      </c>
      <c r="DZ159" s="21">
        <v>45954</v>
      </c>
      <c r="EA159" s="8">
        <v>1490</v>
      </c>
      <c r="EB159" s="8">
        <v>740</v>
      </c>
      <c r="EC159" s="8">
        <v>740</v>
      </c>
      <c r="ED159" s="8">
        <v>740</v>
      </c>
      <c r="EE159" s="8">
        <v>740</v>
      </c>
      <c r="EF159" s="8">
        <v>1490</v>
      </c>
      <c r="EG159" s="8">
        <v>1000</v>
      </c>
      <c r="EH159" s="8">
        <v>1490</v>
      </c>
      <c r="EI159" s="8">
        <v>1490</v>
      </c>
      <c r="EJ159" s="8">
        <v>2</v>
      </c>
      <c r="EK159" s="8" t="s">
        <v>2624</v>
      </c>
      <c r="EL159" s="8">
        <v>147</v>
      </c>
      <c r="EM159" s="8">
        <v>147</v>
      </c>
      <c r="EN159" s="8">
        <v>1202</v>
      </c>
      <c r="EO159" s="8">
        <v>452</v>
      </c>
      <c r="EP159" s="8">
        <v>452</v>
      </c>
      <c r="EQ159" s="8">
        <v>452</v>
      </c>
      <c r="ER159" s="8">
        <v>452</v>
      </c>
      <c r="ES159" s="8">
        <v>1202</v>
      </c>
      <c r="ET159" s="8">
        <v>712</v>
      </c>
      <c r="EU159" s="8">
        <v>1202</v>
      </c>
      <c r="EV159" s="8">
        <v>1202</v>
      </c>
    </row>
    <row r="160" spans="1:152" x14ac:dyDescent="0.15">
      <c r="A160" s="8">
        <f>ROW([2]!tbl_DPSAC[[#This Row],[Sl. No.]])-1</f>
        <v>159</v>
      </c>
      <c r="B160" s="9" t="s">
        <v>196</v>
      </c>
      <c r="C160" s="9" t="s">
        <v>982</v>
      </c>
      <c r="D160" s="9" t="s">
        <v>983</v>
      </c>
      <c r="E160" s="9" t="s">
        <v>984</v>
      </c>
      <c r="F160" s="9" t="s">
        <v>161</v>
      </c>
      <c r="G160" s="10" t="s">
        <v>218</v>
      </c>
      <c r="H160" s="10" t="str">
        <f>_xlfn.XLOOKUP(C160,'[1]E&amp;DPSAC'!$K:$K,'[1]E&amp;DPSAC'!$E:$E,,0)</f>
        <v>BIHAR, BEGUSARAI</v>
      </c>
      <c r="I160" s="10" t="s">
        <v>219</v>
      </c>
      <c r="J160" s="10">
        <v>8877841639</v>
      </c>
      <c r="K160" s="10">
        <f>_xlfn.XLOOKUP(C160,'[1]E&amp;DPSAC'!$K:$K,'[1]E&amp;DPSAC'!$G:$G,"",0)</f>
        <v>8877841639</v>
      </c>
      <c r="L160" s="9" t="str">
        <f t="shared" ca="1" si="8"/>
        <v>Non - Warranty</v>
      </c>
      <c r="M160" s="11">
        <v>43761</v>
      </c>
      <c r="N160" s="12">
        <v>24</v>
      </c>
      <c r="O160" s="11">
        <f t="shared" si="9"/>
        <v>44500</v>
      </c>
      <c r="P160" s="8" t="s">
        <v>157</v>
      </c>
      <c r="Q160" s="16" t="s">
        <v>143</v>
      </c>
      <c r="R160" s="15" t="s">
        <v>143</v>
      </c>
      <c r="S160" s="14" t="s">
        <v>143</v>
      </c>
      <c r="T160" s="15">
        <v>44665</v>
      </c>
      <c r="U160" s="14">
        <v>1909</v>
      </c>
      <c r="V160" s="14">
        <v>2247</v>
      </c>
      <c r="W160" s="17">
        <v>45231.684016203697</v>
      </c>
      <c r="X160" s="14" t="s">
        <v>143</v>
      </c>
      <c r="Y160" s="14">
        <v>0</v>
      </c>
      <c r="Z160" s="14" t="s">
        <v>2692</v>
      </c>
      <c r="AA160" s="18">
        <v>2352</v>
      </c>
      <c r="AB160" s="18" t="s">
        <v>2697</v>
      </c>
      <c r="AC160" s="8">
        <f>tbl_DPSAC[[#This Row],[Current Month Due Count]]</f>
        <v>0</v>
      </c>
      <c r="AD160" s="8">
        <f>tbl_DPSAC[[#This Row],[Next Month Due2]]</f>
        <v>0</v>
      </c>
      <c r="AE160" s="8">
        <f t="shared" si="10"/>
        <v>1</v>
      </c>
      <c r="AF160" s="8">
        <v>2</v>
      </c>
      <c r="AG160" s="14">
        <f t="shared" ca="1" si="11"/>
        <v>4010</v>
      </c>
      <c r="AH160" s="8">
        <v>0</v>
      </c>
      <c r="AI160" s="8">
        <v>0</v>
      </c>
      <c r="AJ160" s="8">
        <v>0</v>
      </c>
      <c r="AK160" s="8">
        <v>0</v>
      </c>
      <c r="AL160" s="8">
        <v>0</v>
      </c>
      <c r="AM160" s="8">
        <v>0</v>
      </c>
      <c r="AN160" s="8">
        <v>0</v>
      </c>
      <c r="AO160" s="8">
        <v>0</v>
      </c>
      <c r="AP160" s="8">
        <v>0</v>
      </c>
      <c r="AQ160" s="8">
        <v>0</v>
      </c>
      <c r="AR160" s="8">
        <v>0</v>
      </c>
      <c r="AS160" s="8">
        <v>0</v>
      </c>
      <c r="AT160" s="8">
        <v>0</v>
      </c>
      <c r="AU160" s="8">
        <v>0</v>
      </c>
      <c r="AV160" s="8">
        <v>0</v>
      </c>
      <c r="AW160" s="8">
        <v>0</v>
      </c>
      <c r="AX160" s="8" t="s">
        <v>2977</v>
      </c>
      <c r="AY160" s="14">
        <v>1500</v>
      </c>
      <c r="AZ160" s="19">
        <v>44791</v>
      </c>
      <c r="BA160" s="14"/>
      <c r="BB160" s="14">
        <v>1500</v>
      </c>
      <c r="BC160" s="19">
        <v>44791</v>
      </c>
      <c r="BD160" s="14"/>
      <c r="BE160" s="14">
        <v>1500</v>
      </c>
      <c r="BF160" s="19">
        <v>44791</v>
      </c>
      <c r="BG160" s="14"/>
      <c r="BH160" s="14"/>
      <c r="BI160" s="19"/>
      <c r="BJ160" s="14"/>
      <c r="BK160" s="14">
        <v>1500</v>
      </c>
      <c r="BL160" s="19">
        <v>44791</v>
      </c>
      <c r="BM160" s="14"/>
      <c r="BN160" s="27">
        <v>44971</v>
      </c>
      <c r="BO160" s="27">
        <v>44971</v>
      </c>
      <c r="BP160" s="27">
        <v>44971</v>
      </c>
      <c r="BQ160" s="27" t="s">
        <v>143</v>
      </c>
      <c r="BR160" s="27">
        <v>45156</v>
      </c>
      <c r="BS160" s="28">
        <v>-1760</v>
      </c>
      <c r="BT160" s="29">
        <v>-1010</v>
      </c>
      <c r="BU160" s="29">
        <v>-1760</v>
      </c>
      <c r="BV160" s="29" t="s">
        <v>143</v>
      </c>
      <c r="BW160" s="29">
        <v>-1010</v>
      </c>
      <c r="BX160" s="30" t="s">
        <v>985</v>
      </c>
      <c r="BY160" s="8">
        <v>4</v>
      </c>
      <c r="BZ160" s="8">
        <v>0</v>
      </c>
      <c r="CA160" s="8">
        <v>0</v>
      </c>
      <c r="CB160" s="21" t="s">
        <v>143</v>
      </c>
      <c r="CC160" s="21" t="s">
        <v>143</v>
      </c>
      <c r="CD160" s="21" t="s">
        <v>143</v>
      </c>
      <c r="CE160" s="21" t="s">
        <v>143</v>
      </c>
      <c r="CF160" s="21" t="s">
        <v>143</v>
      </c>
      <c r="CG160" s="21" t="s">
        <v>143</v>
      </c>
      <c r="CH160" s="21" t="s">
        <v>143</v>
      </c>
      <c r="CI160" s="21" t="s">
        <v>143</v>
      </c>
      <c r="CJ160" s="21" t="s">
        <v>143</v>
      </c>
      <c r="CK160" s="22" t="s">
        <v>143</v>
      </c>
      <c r="CL160" s="22" t="s">
        <v>143</v>
      </c>
      <c r="CM160" s="22" t="s">
        <v>143</v>
      </c>
      <c r="CN160" s="22" t="s">
        <v>143</v>
      </c>
      <c r="CO160" s="22" t="s">
        <v>143</v>
      </c>
      <c r="CP160" s="22" t="s">
        <v>143</v>
      </c>
      <c r="CQ160" s="22" t="s">
        <v>143</v>
      </c>
      <c r="CR160" s="22" t="s">
        <v>143</v>
      </c>
      <c r="CS160" s="22" t="s">
        <v>143</v>
      </c>
      <c r="CT160" s="22" t="s">
        <v>143</v>
      </c>
      <c r="CU160" s="21" t="s">
        <v>143</v>
      </c>
      <c r="CV160" s="21" t="s">
        <v>143</v>
      </c>
      <c r="CW160" s="21" t="s">
        <v>143</v>
      </c>
      <c r="CX160" s="21" t="s">
        <v>143</v>
      </c>
      <c r="CY160" s="21" t="s">
        <v>143</v>
      </c>
      <c r="CZ160" s="21" t="s">
        <v>143</v>
      </c>
      <c r="DA160" s="21" t="s">
        <v>143</v>
      </c>
      <c r="DB160" s="21" t="s">
        <v>143</v>
      </c>
      <c r="DC160" s="21" t="s">
        <v>143</v>
      </c>
      <c r="DD160" s="8" t="s">
        <v>143</v>
      </c>
      <c r="DE160" s="8" t="s">
        <v>143</v>
      </c>
      <c r="DF160" s="8" t="s">
        <v>143</v>
      </c>
      <c r="DG160" s="8">
        <v>0</v>
      </c>
      <c r="DH160" s="8">
        <v>0</v>
      </c>
      <c r="DI160" s="8">
        <v>0</v>
      </c>
      <c r="DJ160" s="8" t="s">
        <v>143</v>
      </c>
      <c r="DK160" s="21" t="s">
        <v>143</v>
      </c>
      <c r="DL160" s="21" t="s">
        <v>143</v>
      </c>
      <c r="DM160" s="21" t="s">
        <v>143</v>
      </c>
      <c r="DN160" s="18" t="s">
        <v>143</v>
      </c>
      <c r="DO160" s="21" t="s">
        <v>143</v>
      </c>
      <c r="DP160" s="21" t="s">
        <v>143</v>
      </c>
      <c r="DQ160" s="21" t="s">
        <v>143</v>
      </c>
      <c r="DR160" s="21" t="s">
        <v>143</v>
      </c>
      <c r="DS160" s="21" t="s">
        <v>143</v>
      </c>
      <c r="DT160" s="21" t="s">
        <v>143</v>
      </c>
      <c r="DU160" s="21" t="s">
        <v>143</v>
      </c>
      <c r="DV160" s="21" t="s">
        <v>143</v>
      </c>
      <c r="DW160" s="21" t="s">
        <v>143</v>
      </c>
      <c r="DX160" s="21" t="s">
        <v>143</v>
      </c>
      <c r="DY160" s="21" t="s">
        <v>143</v>
      </c>
      <c r="DZ160" s="21" t="s">
        <v>143</v>
      </c>
      <c r="EA160" s="8" t="s">
        <v>143</v>
      </c>
      <c r="EB160" s="8" t="s">
        <v>143</v>
      </c>
      <c r="EC160" s="8" t="s">
        <v>143</v>
      </c>
      <c r="ED160" s="8" t="s">
        <v>143</v>
      </c>
      <c r="EE160" s="8" t="s">
        <v>143</v>
      </c>
      <c r="EF160" s="8" t="s">
        <v>143</v>
      </c>
      <c r="EG160" s="8" t="s">
        <v>143</v>
      </c>
      <c r="EH160" s="8" t="s">
        <v>143</v>
      </c>
      <c r="EI160" s="8" t="s">
        <v>143</v>
      </c>
      <c r="EJ160" s="8" t="s">
        <v>143</v>
      </c>
      <c r="EK160" s="8" t="s">
        <v>157</v>
      </c>
      <c r="EL160" s="8">
        <v>881</v>
      </c>
      <c r="EM160" s="8">
        <v>1762</v>
      </c>
      <c r="EN160" s="8" t="s">
        <v>143</v>
      </c>
      <c r="EO160" s="8" t="s">
        <v>143</v>
      </c>
      <c r="EP160" s="8" t="s">
        <v>143</v>
      </c>
      <c r="EQ160" s="8" t="s">
        <v>143</v>
      </c>
      <c r="ER160" s="8" t="s">
        <v>143</v>
      </c>
      <c r="ES160" s="8" t="s">
        <v>143</v>
      </c>
      <c r="ET160" s="8" t="s">
        <v>143</v>
      </c>
      <c r="EU160" s="8" t="s">
        <v>143</v>
      </c>
      <c r="EV160" s="8" t="s">
        <v>143</v>
      </c>
    </row>
    <row r="161" spans="1:152" x14ac:dyDescent="0.15">
      <c r="A161" s="8">
        <f>ROW([2]!tbl_DPSAC[[#This Row],[Sl. No.]])-1</f>
        <v>160</v>
      </c>
      <c r="B161" s="9" t="s">
        <v>196</v>
      </c>
      <c r="C161" s="9" t="s">
        <v>986</v>
      </c>
      <c r="D161" s="9" t="s">
        <v>198</v>
      </c>
      <c r="E161" s="9" t="s">
        <v>199</v>
      </c>
      <c r="F161" s="9" t="s">
        <v>161</v>
      </c>
      <c r="G161" s="10" t="s">
        <v>218</v>
      </c>
      <c r="H161" s="10" t="str">
        <f>_xlfn.XLOOKUP(C161,'[1]E&amp;DPSAC'!$K:$K,'[1]E&amp;DPSAC'!$E:$E,,0)</f>
        <v>BIHAR</v>
      </c>
      <c r="I161" s="10" t="s">
        <v>219</v>
      </c>
      <c r="J161" s="10">
        <v>0</v>
      </c>
      <c r="K161" s="10">
        <f>_xlfn.XLOOKUP(C161,'[1]E&amp;DPSAC'!$K:$K,'[1]E&amp;DPSAC'!$G:$G,"",0)</f>
        <v>0</v>
      </c>
      <c r="L161" s="9" t="str">
        <f t="shared" ca="1" si="8"/>
        <v>Non - Warranty</v>
      </c>
      <c r="M161" s="11">
        <v>43460</v>
      </c>
      <c r="N161" s="12">
        <v>24</v>
      </c>
      <c r="O161" s="11">
        <f t="shared" si="9"/>
        <v>44196</v>
      </c>
      <c r="P161" s="8" t="s">
        <v>213</v>
      </c>
      <c r="Q161" s="16" t="s">
        <v>987</v>
      </c>
      <c r="R161" s="15">
        <v>45339.646979166697</v>
      </c>
      <c r="S161" s="14">
        <v>4578</v>
      </c>
      <c r="T161" s="15">
        <v>45339</v>
      </c>
      <c r="U161" s="14">
        <v>4578</v>
      </c>
      <c r="V161" s="14">
        <v>6300</v>
      </c>
      <c r="W161" s="17">
        <v>45940.597916666666</v>
      </c>
      <c r="X161" s="14" t="s">
        <v>2769</v>
      </c>
      <c r="Y161" s="14">
        <v>-972</v>
      </c>
      <c r="Z161" s="14" t="s">
        <v>2697</v>
      </c>
      <c r="AA161" s="18">
        <v>773.35302083330316</v>
      </c>
      <c r="AB161" s="18" t="s">
        <v>2697</v>
      </c>
      <c r="AC161" s="8">
        <f>tbl_DPSAC[[#This Row],[Current Month Due Count]]</f>
        <v>0</v>
      </c>
      <c r="AD161" s="8">
        <f>tbl_DPSAC[[#This Row],[Next Month Due2]]</f>
        <v>0</v>
      </c>
      <c r="AE161" s="8">
        <f t="shared" si="10"/>
        <v>1</v>
      </c>
      <c r="AF161" s="8">
        <v>0</v>
      </c>
      <c r="AG161" s="14">
        <f t="shared" ca="1" si="11"/>
        <v>6300</v>
      </c>
      <c r="AH161" s="8">
        <v>0</v>
      </c>
      <c r="AI161" s="8">
        <v>0</v>
      </c>
      <c r="AJ161" s="8">
        <v>0</v>
      </c>
      <c r="AK161" s="8">
        <v>0</v>
      </c>
      <c r="AL161" s="8">
        <v>0</v>
      </c>
      <c r="AM161" s="8">
        <v>0</v>
      </c>
      <c r="AN161" s="8">
        <v>0</v>
      </c>
      <c r="AO161" s="8">
        <v>0</v>
      </c>
      <c r="AP161" s="8">
        <v>0</v>
      </c>
      <c r="AQ161" s="8">
        <v>0</v>
      </c>
      <c r="AR161" s="8">
        <v>0</v>
      </c>
      <c r="AS161" s="8">
        <v>0</v>
      </c>
      <c r="AT161" s="8">
        <v>0</v>
      </c>
      <c r="AU161" s="8">
        <v>0</v>
      </c>
      <c r="AV161" s="8">
        <v>0</v>
      </c>
      <c r="AW161" s="8">
        <v>0</v>
      </c>
      <c r="AX161" s="8" t="s">
        <v>2961</v>
      </c>
      <c r="AY161" s="14">
        <v>4216</v>
      </c>
      <c r="AZ161" s="19">
        <v>45339</v>
      </c>
      <c r="BA161" s="14" t="s">
        <v>987</v>
      </c>
      <c r="BB161" s="14">
        <v>4216</v>
      </c>
      <c r="BC161" s="19">
        <v>45339</v>
      </c>
      <c r="BD161" s="14" t="s">
        <v>987</v>
      </c>
      <c r="BE161" s="14">
        <v>4216</v>
      </c>
      <c r="BF161" s="19">
        <v>45339</v>
      </c>
      <c r="BG161" s="14" t="s">
        <v>987</v>
      </c>
      <c r="BH161" s="14">
        <v>4216</v>
      </c>
      <c r="BI161" s="19">
        <v>45339</v>
      </c>
      <c r="BJ161" s="14" t="s">
        <v>987</v>
      </c>
      <c r="BK161" s="14">
        <v>4216</v>
      </c>
      <c r="BL161" s="19">
        <v>45339</v>
      </c>
      <c r="BM161" s="14" t="s">
        <v>987</v>
      </c>
      <c r="BN161" s="27">
        <v>45519</v>
      </c>
      <c r="BO161" s="27">
        <v>45519</v>
      </c>
      <c r="BP161" s="27">
        <v>45519</v>
      </c>
      <c r="BQ161" s="27">
        <v>45519</v>
      </c>
      <c r="BR161" s="27">
        <v>45704</v>
      </c>
      <c r="BS161" s="28">
        <v>-1334</v>
      </c>
      <c r="BT161" s="29">
        <v>-584</v>
      </c>
      <c r="BU161" s="29">
        <v>-1334</v>
      </c>
      <c r="BV161" s="29">
        <v>-1334</v>
      </c>
      <c r="BW161" s="29">
        <v>-584</v>
      </c>
      <c r="BX161" s="30" t="e">
        <v>#N/A</v>
      </c>
      <c r="BY161" s="8">
        <v>5</v>
      </c>
      <c r="BZ161" s="8">
        <v>0</v>
      </c>
      <c r="CA161" s="8">
        <v>0</v>
      </c>
      <c r="CB161" s="21">
        <v>45338.770833333299</v>
      </c>
      <c r="CC161" s="21">
        <v>45338.770833333299</v>
      </c>
      <c r="CD161" s="21">
        <v>45338.770833333299</v>
      </c>
      <c r="CE161" s="21">
        <v>45338.770833333299</v>
      </c>
      <c r="CF161" s="21">
        <v>45338.770833333299</v>
      </c>
      <c r="CG161" s="21">
        <v>45338.770833333299</v>
      </c>
      <c r="CH161" s="21">
        <v>45338.770833333299</v>
      </c>
      <c r="CI161" s="21">
        <v>45338.770833333299</v>
      </c>
      <c r="CJ161" s="21">
        <v>45338.770833333299</v>
      </c>
      <c r="CK161" s="22" t="s">
        <v>2986</v>
      </c>
      <c r="CL161" s="22" t="s">
        <v>2986</v>
      </c>
      <c r="CM161" s="22" t="s">
        <v>2986</v>
      </c>
      <c r="CN161" s="22" t="s">
        <v>2986</v>
      </c>
      <c r="CO161" s="22" t="s">
        <v>2986</v>
      </c>
      <c r="CP161" s="22" t="s">
        <v>2986</v>
      </c>
      <c r="CQ161" s="22" t="s">
        <v>2953</v>
      </c>
      <c r="CR161" s="22" t="s">
        <v>2986</v>
      </c>
      <c r="CS161" s="22" t="s">
        <v>2986</v>
      </c>
      <c r="CT161" s="22">
        <v>0</v>
      </c>
      <c r="CU161" s="21">
        <v>0</v>
      </c>
      <c r="CV161" s="21">
        <v>0</v>
      </c>
      <c r="CW161" s="21">
        <v>0</v>
      </c>
      <c r="CX161" s="21">
        <v>0</v>
      </c>
      <c r="CY161" s="21">
        <v>0</v>
      </c>
      <c r="CZ161" s="21">
        <v>0</v>
      </c>
      <c r="DA161" s="21">
        <v>0</v>
      </c>
      <c r="DB161" s="21">
        <v>0</v>
      </c>
      <c r="DC161" s="21">
        <v>0</v>
      </c>
      <c r="DD161" s="8">
        <v>0</v>
      </c>
      <c r="DE161" s="8">
        <v>0</v>
      </c>
      <c r="DF161" s="8">
        <v>0</v>
      </c>
      <c r="DG161" s="8">
        <v>9</v>
      </c>
      <c r="DH161" s="8">
        <v>0</v>
      </c>
      <c r="DI161" s="8">
        <v>0</v>
      </c>
      <c r="DJ161" s="8" t="s">
        <v>2976</v>
      </c>
      <c r="DK161" s="21">
        <v>43460</v>
      </c>
      <c r="DL161" s="21">
        <v>43423.229166666664</v>
      </c>
      <c r="DM161" s="21">
        <v>45940</v>
      </c>
      <c r="DN161" s="18">
        <v>6300</v>
      </c>
      <c r="DO161" s="21">
        <v>0</v>
      </c>
      <c r="DP161" s="21">
        <v>0</v>
      </c>
      <c r="DQ161" s="21" t="s">
        <v>2955</v>
      </c>
      <c r="DR161" s="21">
        <v>45339</v>
      </c>
      <c r="DS161" s="21">
        <v>45339</v>
      </c>
      <c r="DT161" s="21">
        <v>45339</v>
      </c>
      <c r="DU161" s="21">
        <v>45339</v>
      </c>
      <c r="DV161" s="21">
        <v>45339</v>
      </c>
      <c r="DW161" s="21">
        <v>45339</v>
      </c>
      <c r="DX161" s="21">
        <v>45339</v>
      </c>
      <c r="DY161" s="21">
        <v>45339</v>
      </c>
      <c r="DZ161" s="21">
        <v>45339</v>
      </c>
      <c r="EA161" s="8">
        <v>580</v>
      </c>
      <c r="EB161" s="8">
        <v>580</v>
      </c>
      <c r="EC161" s="8">
        <v>580</v>
      </c>
      <c r="ED161" s="8">
        <v>580</v>
      </c>
      <c r="EE161" s="8">
        <v>580</v>
      </c>
      <c r="EF161" s="8">
        <v>580</v>
      </c>
      <c r="EG161" s="8">
        <v>1000</v>
      </c>
      <c r="EH161" s="8">
        <v>580</v>
      </c>
      <c r="EI161" s="8">
        <v>580</v>
      </c>
      <c r="EJ161" s="8">
        <v>0</v>
      </c>
      <c r="EK161" s="8" t="s">
        <v>2624</v>
      </c>
      <c r="EL161" s="8">
        <v>172</v>
      </c>
      <c r="EM161" s="8">
        <v>0</v>
      </c>
      <c r="EN161" s="8">
        <v>292</v>
      </c>
      <c r="EO161" s="8">
        <v>292</v>
      </c>
      <c r="EP161" s="8">
        <v>292</v>
      </c>
      <c r="EQ161" s="8">
        <v>292</v>
      </c>
      <c r="ER161" s="8">
        <v>292</v>
      </c>
      <c r="ES161" s="8">
        <v>292</v>
      </c>
      <c r="ET161" s="8">
        <v>712</v>
      </c>
      <c r="EU161" s="8">
        <v>292</v>
      </c>
      <c r="EV161" s="8">
        <v>292</v>
      </c>
    </row>
    <row r="162" spans="1:152" x14ac:dyDescent="0.15">
      <c r="A162" s="8">
        <f>ROW([2]!tbl_DPSAC[[#This Row],[Sl. No.]])-1</f>
        <v>161</v>
      </c>
      <c r="B162" s="9" t="s">
        <v>136</v>
      </c>
      <c r="C162" s="9" t="s">
        <v>988</v>
      </c>
      <c r="D162" s="9" t="s">
        <v>169</v>
      </c>
      <c r="E162" s="9" t="s">
        <v>170</v>
      </c>
      <c r="F162" s="9" t="s">
        <v>161</v>
      </c>
      <c r="G162" s="10" t="s">
        <v>989</v>
      </c>
      <c r="H162" s="10" t="str">
        <f>_xlfn.XLOOKUP(C162,'[1]E&amp;DPSAC'!$K:$K,'[1]E&amp;DPSAC'!$E:$E,,0)</f>
        <v>HATIA, RANCHI</v>
      </c>
      <c r="I162" s="10"/>
      <c r="J162" s="10">
        <v>9424125068</v>
      </c>
      <c r="K162" s="10">
        <f>_xlfn.XLOOKUP(C162,'[1]E&amp;DPSAC'!$K:$K,'[1]E&amp;DPSAC'!$G:$G,"",0)</f>
        <v>9106214798</v>
      </c>
      <c r="L162" s="9" t="str">
        <f t="shared" ca="1" si="8"/>
        <v>Non - Warranty</v>
      </c>
      <c r="M162" s="11">
        <v>42704</v>
      </c>
      <c r="N162" s="12">
        <v>24</v>
      </c>
      <c r="O162" s="11">
        <f t="shared" si="9"/>
        <v>43434</v>
      </c>
      <c r="P162" s="8" t="s">
        <v>681</v>
      </c>
      <c r="Q162" s="16" t="s">
        <v>990</v>
      </c>
      <c r="R162" s="15">
        <v>45495.520138888889</v>
      </c>
      <c r="S162" s="14">
        <v>6797</v>
      </c>
      <c r="T162" s="15">
        <v>45495</v>
      </c>
      <c r="U162" s="14">
        <v>3097</v>
      </c>
      <c r="V162" s="14">
        <v>7830</v>
      </c>
      <c r="W162" s="17">
        <v>45966.439583333333</v>
      </c>
      <c r="X162" s="14" t="s">
        <v>2780</v>
      </c>
      <c r="Y162" s="14">
        <v>-283</v>
      </c>
      <c r="Z162" s="14" t="s">
        <v>2697</v>
      </c>
      <c r="AA162" s="18">
        <v>617.47986111111095</v>
      </c>
      <c r="AB162" s="18" t="s">
        <v>2697</v>
      </c>
      <c r="AC162" s="8">
        <f>tbl_DPSAC[[#This Row],[Current Month Due Count]]</f>
        <v>0</v>
      </c>
      <c r="AD162" s="8">
        <f>tbl_DPSAC[[#This Row],[Next Month Due2]]</f>
        <v>0</v>
      </c>
      <c r="AE162" s="8">
        <f t="shared" si="10"/>
        <v>1</v>
      </c>
      <c r="AF162" s="8">
        <v>0</v>
      </c>
      <c r="AG162" s="14">
        <f t="shared" ca="1" si="11"/>
        <v>7830</v>
      </c>
      <c r="AH162" s="8">
        <v>0</v>
      </c>
      <c r="AI162" s="8">
        <v>0</v>
      </c>
      <c r="AJ162" s="8">
        <v>0</v>
      </c>
      <c r="AK162" s="8">
        <v>0</v>
      </c>
      <c r="AL162" s="8">
        <v>0</v>
      </c>
      <c r="AM162" s="8">
        <v>0</v>
      </c>
      <c r="AN162" s="8">
        <v>0</v>
      </c>
      <c r="AO162" s="8">
        <v>0</v>
      </c>
      <c r="AP162" s="8">
        <v>0</v>
      </c>
      <c r="AQ162" s="8">
        <v>0</v>
      </c>
      <c r="AR162" s="8">
        <v>0</v>
      </c>
      <c r="AS162" s="8">
        <v>0</v>
      </c>
      <c r="AT162" s="8">
        <v>0</v>
      </c>
      <c r="AU162" s="8">
        <v>0</v>
      </c>
      <c r="AV162" s="8">
        <v>0</v>
      </c>
      <c r="AW162" s="8">
        <v>0</v>
      </c>
      <c r="AX162" s="8" t="s">
        <v>2980</v>
      </c>
      <c r="AY162" s="14">
        <v>6797</v>
      </c>
      <c r="AZ162" s="19">
        <v>45495</v>
      </c>
      <c r="BA162" s="14" t="s">
        <v>990</v>
      </c>
      <c r="BB162" s="14">
        <v>6797</v>
      </c>
      <c r="BC162" s="19">
        <v>45495</v>
      </c>
      <c r="BD162" s="14" t="s">
        <v>990</v>
      </c>
      <c r="BE162" s="14">
        <v>6797</v>
      </c>
      <c r="BF162" s="19">
        <v>45495</v>
      </c>
      <c r="BG162" s="14" t="s">
        <v>990</v>
      </c>
      <c r="BH162" s="14">
        <v>6797</v>
      </c>
      <c r="BI162" s="19">
        <v>45495</v>
      </c>
      <c r="BJ162" s="14" t="s">
        <v>990</v>
      </c>
      <c r="BK162" s="14">
        <v>6797</v>
      </c>
      <c r="BL162" s="19">
        <v>45495</v>
      </c>
      <c r="BM162" s="14" t="s">
        <v>990</v>
      </c>
      <c r="BN162" s="27">
        <v>45675</v>
      </c>
      <c r="BO162" s="27">
        <v>45675</v>
      </c>
      <c r="BP162" s="27">
        <v>45675</v>
      </c>
      <c r="BQ162" s="27">
        <v>45675</v>
      </c>
      <c r="BR162" s="27">
        <v>45860</v>
      </c>
      <c r="BS162" s="28">
        <v>-283</v>
      </c>
      <c r="BT162" s="29">
        <v>467</v>
      </c>
      <c r="BU162" s="29">
        <v>-283</v>
      </c>
      <c r="BV162" s="29">
        <v>-283</v>
      </c>
      <c r="BW162" s="29">
        <v>467</v>
      </c>
      <c r="BX162" s="30" t="s">
        <v>173</v>
      </c>
      <c r="BY162" s="8">
        <v>5</v>
      </c>
      <c r="BZ162" s="8">
        <v>0</v>
      </c>
      <c r="CA162" s="8">
        <v>0</v>
      </c>
      <c r="CB162" s="21">
        <v>45288.770833333299</v>
      </c>
      <c r="CC162" s="21">
        <v>45494.770833333299</v>
      </c>
      <c r="CD162" s="21">
        <v>45494.770833333299</v>
      </c>
      <c r="CE162" s="21">
        <v>45494.770833333299</v>
      </c>
      <c r="CF162" s="21">
        <v>45494.770833333299</v>
      </c>
      <c r="CG162" s="21">
        <v>45494.770833333299</v>
      </c>
      <c r="CH162" s="21">
        <v>45494.770833333299</v>
      </c>
      <c r="CI162" s="21">
        <v>45494.770833333299</v>
      </c>
      <c r="CJ162" s="21">
        <v>45288.770833333299</v>
      </c>
      <c r="CK162" s="22" t="s">
        <v>3084</v>
      </c>
      <c r="CL162" s="22" t="s">
        <v>3084</v>
      </c>
      <c r="CM162" s="22" t="s">
        <v>3084</v>
      </c>
      <c r="CN162" s="22" t="s">
        <v>3084</v>
      </c>
      <c r="CO162" s="22" t="s">
        <v>3084</v>
      </c>
      <c r="CP162" s="22" t="s">
        <v>3084</v>
      </c>
      <c r="CQ162" s="22" t="s">
        <v>2953</v>
      </c>
      <c r="CR162" s="22" t="s">
        <v>3084</v>
      </c>
      <c r="CS162" s="22" t="s">
        <v>3084</v>
      </c>
      <c r="CT162" s="22">
        <v>0</v>
      </c>
      <c r="CU162" s="21">
        <v>0</v>
      </c>
      <c r="CV162" s="21">
        <v>0</v>
      </c>
      <c r="CW162" s="21">
        <v>0</v>
      </c>
      <c r="CX162" s="21">
        <v>0</v>
      </c>
      <c r="CY162" s="21">
        <v>0</v>
      </c>
      <c r="CZ162" s="21">
        <v>0</v>
      </c>
      <c r="DA162" s="21">
        <v>0</v>
      </c>
      <c r="DB162" s="21">
        <v>0</v>
      </c>
      <c r="DC162" s="21">
        <v>0</v>
      </c>
      <c r="DD162" s="8">
        <v>0</v>
      </c>
      <c r="DE162" s="8">
        <v>0</v>
      </c>
      <c r="DF162" s="8">
        <v>0</v>
      </c>
      <c r="DG162" s="8">
        <v>9</v>
      </c>
      <c r="DH162" s="8">
        <v>0</v>
      </c>
      <c r="DI162" s="8">
        <v>0</v>
      </c>
      <c r="DJ162" s="8" t="s">
        <v>3025</v>
      </c>
      <c r="DK162" s="21">
        <v>42704</v>
      </c>
      <c r="DL162" s="21">
        <v>42654</v>
      </c>
      <c r="DM162" s="21">
        <v>45966</v>
      </c>
      <c r="DN162" s="18">
        <v>7830</v>
      </c>
      <c r="DO162" s="21">
        <v>0</v>
      </c>
      <c r="DP162" s="21">
        <v>0</v>
      </c>
      <c r="DQ162" s="21" t="s">
        <v>2955</v>
      </c>
      <c r="DR162" s="21">
        <v>45289</v>
      </c>
      <c r="DS162" s="21">
        <v>45495</v>
      </c>
      <c r="DT162" s="21">
        <v>45495</v>
      </c>
      <c r="DU162" s="21">
        <v>45495</v>
      </c>
      <c r="DV162" s="21">
        <v>45495</v>
      </c>
      <c r="DW162" s="21">
        <v>45495</v>
      </c>
      <c r="DX162" s="21">
        <v>45495</v>
      </c>
      <c r="DY162" s="21">
        <v>45495</v>
      </c>
      <c r="DZ162" s="21">
        <v>45289</v>
      </c>
      <c r="EA162" s="8">
        <v>470</v>
      </c>
      <c r="EB162" s="8">
        <v>470</v>
      </c>
      <c r="EC162" s="8">
        <v>470</v>
      </c>
      <c r="ED162" s="8">
        <v>470</v>
      </c>
      <c r="EE162" s="8">
        <v>470</v>
      </c>
      <c r="EF162" s="8">
        <v>470</v>
      </c>
      <c r="EG162" s="8">
        <v>1000</v>
      </c>
      <c r="EH162" s="8">
        <v>470</v>
      </c>
      <c r="EI162" s="8">
        <v>470</v>
      </c>
      <c r="EJ162" s="8">
        <v>0</v>
      </c>
      <c r="EK162" s="8" t="s">
        <v>2624</v>
      </c>
      <c r="EL162" s="8">
        <v>147</v>
      </c>
      <c r="EM162" s="8">
        <v>0</v>
      </c>
      <c r="EN162" s="8">
        <v>182</v>
      </c>
      <c r="EO162" s="8">
        <v>182</v>
      </c>
      <c r="EP162" s="8">
        <v>182</v>
      </c>
      <c r="EQ162" s="8">
        <v>182</v>
      </c>
      <c r="ER162" s="8">
        <v>182</v>
      </c>
      <c r="ES162" s="8">
        <v>182</v>
      </c>
      <c r="ET162" s="8">
        <v>712</v>
      </c>
      <c r="EU162" s="8">
        <v>182</v>
      </c>
      <c r="EV162" s="8">
        <v>182</v>
      </c>
    </row>
    <row r="163" spans="1:152" x14ac:dyDescent="0.15">
      <c r="A163" s="8">
        <f>ROW([2]!tbl_DPSAC[[#This Row],[Sl. No.]])-1</f>
        <v>162</v>
      </c>
      <c r="B163" s="9" t="s">
        <v>136</v>
      </c>
      <c r="C163" s="9" t="s">
        <v>991</v>
      </c>
      <c r="D163" s="9" t="s">
        <v>697</v>
      </c>
      <c r="E163" s="9" t="s">
        <v>176</v>
      </c>
      <c r="F163" s="9" t="s">
        <v>140</v>
      </c>
      <c r="G163" s="10" t="s">
        <v>992</v>
      </c>
      <c r="H163" s="10" t="str">
        <f>_xlfn.XLOOKUP(C163,'[1]E&amp;DPSAC'!$K:$K,'[1]E&amp;DPSAC'!$E:$E,,0)</f>
        <v>MANIKA</v>
      </c>
      <c r="I163" s="10"/>
      <c r="J163" s="10">
        <v>9718681124</v>
      </c>
      <c r="K163" s="10">
        <f>_xlfn.XLOOKUP(C163,'[1]E&amp;DPSAC'!$K:$K,'[1]E&amp;DPSAC'!$G:$G,"",0)</f>
        <v>7766039887</v>
      </c>
      <c r="L163" s="9" t="str">
        <f t="shared" ca="1" si="8"/>
        <v>Non - Warranty</v>
      </c>
      <c r="M163" s="11">
        <v>43397</v>
      </c>
      <c r="N163" s="12">
        <v>36</v>
      </c>
      <c r="O163" s="11">
        <f t="shared" si="9"/>
        <v>44500</v>
      </c>
      <c r="P163" s="8" t="s">
        <v>213</v>
      </c>
      <c r="Q163" s="16" t="s">
        <v>993</v>
      </c>
      <c r="R163" s="15">
        <v>45983.419976851903</v>
      </c>
      <c r="S163" s="14">
        <v>7400</v>
      </c>
      <c r="T163" s="15">
        <v>45199</v>
      </c>
      <c r="U163" s="14">
        <v>5854</v>
      </c>
      <c r="V163" s="14">
        <v>7400</v>
      </c>
      <c r="W163" s="17">
        <v>45983.419976851903</v>
      </c>
      <c r="X163" s="14" t="s">
        <v>2751</v>
      </c>
      <c r="Y163" s="14">
        <v>750</v>
      </c>
      <c r="Z163" s="14" t="s">
        <v>2692</v>
      </c>
      <c r="AA163" s="18">
        <v>129.5800231480971</v>
      </c>
      <c r="AB163" s="18" t="s">
        <v>2692</v>
      </c>
      <c r="AC163" s="8">
        <f>tbl_DPSAC[[#This Row],[Current Month Due Count]]</f>
        <v>0</v>
      </c>
      <c r="AD163" s="8">
        <f>tbl_DPSAC[[#This Row],[Next Month Due2]]</f>
        <v>4</v>
      </c>
      <c r="AE163" s="8">
        <f t="shared" si="10"/>
        <v>0</v>
      </c>
      <c r="AF163" s="8">
        <v>2</v>
      </c>
      <c r="AG163" s="14">
        <f t="shared" ca="1" si="11"/>
        <v>7659</v>
      </c>
      <c r="AH163" s="8">
        <v>0</v>
      </c>
      <c r="AI163" s="8">
        <v>0</v>
      </c>
      <c r="AJ163" s="8">
        <v>0</v>
      </c>
      <c r="AK163" s="8">
        <v>0</v>
      </c>
      <c r="AL163" s="8">
        <v>0</v>
      </c>
      <c r="AM163" s="8">
        <v>0</v>
      </c>
      <c r="AN163" s="8">
        <v>0</v>
      </c>
      <c r="AO163" s="8">
        <v>0</v>
      </c>
      <c r="AP163" s="8">
        <v>0</v>
      </c>
      <c r="AQ163" s="8">
        <v>0</v>
      </c>
      <c r="AR163" s="8">
        <v>0</v>
      </c>
      <c r="AS163" s="8">
        <v>0</v>
      </c>
      <c r="AT163" s="8">
        <v>0</v>
      </c>
      <c r="AU163" s="8">
        <v>0</v>
      </c>
      <c r="AV163" s="8">
        <v>0</v>
      </c>
      <c r="AW163" s="8">
        <v>0</v>
      </c>
      <c r="AX163" s="8" t="s">
        <v>2007</v>
      </c>
      <c r="AY163" s="14">
        <v>7400</v>
      </c>
      <c r="AZ163" s="19">
        <v>45983</v>
      </c>
      <c r="BA163" s="14" t="s">
        <v>993</v>
      </c>
      <c r="BB163" s="14">
        <v>7400</v>
      </c>
      <c r="BC163" s="19">
        <v>45983</v>
      </c>
      <c r="BD163" s="14" t="s">
        <v>993</v>
      </c>
      <c r="BE163" s="14">
        <v>7400</v>
      </c>
      <c r="BF163" s="19">
        <v>45983</v>
      </c>
      <c r="BG163" s="14" t="s">
        <v>993</v>
      </c>
      <c r="BH163" s="14">
        <v>7400</v>
      </c>
      <c r="BI163" s="19">
        <v>45983</v>
      </c>
      <c r="BJ163" s="14" t="s">
        <v>993</v>
      </c>
      <c r="BK163" s="14">
        <v>7400</v>
      </c>
      <c r="BL163" s="19">
        <v>45983</v>
      </c>
      <c r="BM163" s="14" t="s">
        <v>993</v>
      </c>
      <c r="BN163" s="27">
        <v>46163</v>
      </c>
      <c r="BO163" s="27">
        <v>46163</v>
      </c>
      <c r="BP163" s="27">
        <v>46163</v>
      </c>
      <c r="BQ163" s="27">
        <v>46163</v>
      </c>
      <c r="BR163" s="27">
        <v>46348</v>
      </c>
      <c r="BS163" s="28">
        <v>491</v>
      </c>
      <c r="BT163" s="29">
        <v>1241</v>
      </c>
      <c r="BU163" s="29">
        <v>491</v>
      </c>
      <c r="BV163" s="29">
        <v>491</v>
      </c>
      <c r="BW163" s="29">
        <v>1241</v>
      </c>
      <c r="BX163" s="30" t="e">
        <v>#N/A</v>
      </c>
      <c r="BY163" s="8">
        <v>0</v>
      </c>
      <c r="BZ163" s="8">
        <v>0</v>
      </c>
      <c r="CA163" s="8">
        <v>4</v>
      </c>
      <c r="CB163" s="21">
        <v>45982.770833333299</v>
      </c>
      <c r="CC163" s="21">
        <v>45982.770833333299</v>
      </c>
      <c r="CD163" s="21">
        <v>45982.770833333299</v>
      </c>
      <c r="CE163" s="21">
        <v>45982.770833333299</v>
      </c>
      <c r="CF163" s="21">
        <v>45982.770833333299</v>
      </c>
      <c r="CG163" s="21">
        <v>45982.770833333299</v>
      </c>
      <c r="CH163" s="21">
        <v>45982.770833333299</v>
      </c>
      <c r="CI163" s="21">
        <v>45982.770833333299</v>
      </c>
      <c r="CJ163" s="21">
        <v>45982.770833333299</v>
      </c>
      <c r="CK163" s="22" t="s">
        <v>2956</v>
      </c>
      <c r="CL163" s="22" t="s">
        <v>2957</v>
      </c>
      <c r="CM163" s="22" t="s">
        <v>2959</v>
      </c>
      <c r="CN163" s="22" t="s">
        <v>2957</v>
      </c>
      <c r="CO163" s="22" t="s">
        <v>2957</v>
      </c>
      <c r="CP163" s="22" t="s">
        <v>2956</v>
      </c>
      <c r="CQ163" s="22" t="s">
        <v>2953</v>
      </c>
      <c r="CR163" s="22" t="s">
        <v>2956</v>
      </c>
      <c r="CS163" s="22" t="s">
        <v>2960</v>
      </c>
      <c r="CT163" s="22">
        <v>3</v>
      </c>
      <c r="CU163" s="21">
        <v>46162</v>
      </c>
      <c r="CV163" s="21">
        <v>46162</v>
      </c>
      <c r="CW163" s="21">
        <v>46149</v>
      </c>
      <c r="CX163" s="21">
        <v>46162</v>
      </c>
      <c r="CY163" s="21">
        <v>46162</v>
      </c>
      <c r="CZ163" s="21">
        <v>46252</v>
      </c>
      <c r="DA163" s="21">
        <v>46316</v>
      </c>
      <c r="DB163" s="21">
        <v>46162</v>
      </c>
      <c r="DC163" s="21">
        <v>46347</v>
      </c>
      <c r="DD163" s="8">
        <v>0</v>
      </c>
      <c r="DE163" s="8">
        <v>0</v>
      </c>
      <c r="DF163" s="8">
        <v>0</v>
      </c>
      <c r="DG163" s="8">
        <v>0</v>
      </c>
      <c r="DH163" s="8">
        <v>0</v>
      </c>
      <c r="DI163" s="8">
        <v>6</v>
      </c>
      <c r="DJ163" s="8" t="s">
        <v>2976</v>
      </c>
      <c r="DK163" s="21">
        <v>43397</v>
      </c>
      <c r="DL163" s="21">
        <v>43264</v>
      </c>
      <c r="DM163" s="21">
        <v>45983</v>
      </c>
      <c r="DN163" s="18">
        <v>7400</v>
      </c>
      <c r="DO163" s="21">
        <v>0</v>
      </c>
      <c r="DP163" s="21">
        <v>0</v>
      </c>
      <c r="DQ163" s="21" t="s">
        <v>2955</v>
      </c>
      <c r="DR163" s="21">
        <v>45983</v>
      </c>
      <c r="DS163" s="21">
        <v>45983</v>
      </c>
      <c r="DT163" s="21">
        <v>45983</v>
      </c>
      <c r="DU163" s="21">
        <v>45983</v>
      </c>
      <c r="DV163" s="21">
        <v>45983</v>
      </c>
      <c r="DW163" s="21">
        <v>45983</v>
      </c>
      <c r="DX163" s="21">
        <v>45983</v>
      </c>
      <c r="DY163" s="21">
        <v>45983</v>
      </c>
      <c r="DZ163" s="21">
        <v>45983</v>
      </c>
      <c r="EA163" s="8">
        <v>1500</v>
      </c>
      <c r="EB163" s="8">
        <v>750</v>
      </c>
      <c r="EC163" s="8">
        <v>500</v>
      </c>
      <c r="ED163" s="8">
        <v>750</v>
      </c>
      <c r="EE163" s="8">
        <v>750</v>
      </c>
      <c r="EF163" s="8">
        <v>1500</v>
      </c>
      <c r="EG163" s="8">
        <v>1000</v>
      </c>
      <c r="EH163" s="8">
        <v>1500</v>
      </c>
      <c r="EI163" s="8">
        <v>3000</v>
      </c>
      <c r="EJ163" s="8">
        <v>3</v>
      </c>
      <c r="EK163" s="8" t="s">
        <v>2624</v>
      </c>
      <c r="EL163" s="8">
        <v>130</v>
      </c>
      <c r="EM163" s="8">
        <v>260</v>
      </c>
      <c r="EN163" s="8">
        <v>1212</v>
      </c>
      <c r="EO163" s="8">
        <v>462</v>
      </c>
      <c r="EP163" s="8">
        <v>212</v>
      </c>
      <c r="EQ163" s="8">
        <v>462</v>
      </c>
      <c r="ER163" s="8">
        <v>462</v>
      </c>
      <c r="ES163" s="8">
        <v>1212</v>
      </c>
      <c r="ET163" s="8">
        <v>712</v>
      </c>
      <c r="EU163" s="8">
        <v>1212</v>
      </c>
      <c r="EV163" s="8">
        <v>2712</v>
      </c>
    </row>
    <row r="164" spans="1:152" x14ac:dyDescent="0.15">
      <c r="A164" s="8">
        <f>ROW([2]!tbl_DPSAC[[#This Row],[Sl. No.]])-1</f>
        <v>163</v>
      </c>
      <c r="B164" s="9" t="s">
        <v>136</v>
      </c>
      <c r="C164" s="9" t="s">
        <v>994</v>
      </c>
      <c r="D164" s="9" t="s">
        <v>138</v>
      </c>
      <c r="E164" s="9" t="s">
        <v>139</v>
      </c>
      <c r="F164" s="9" t="s">
        <v>140</v>
      </c>
      <c r="G164" s="10" t="s">
        <v>141</v>
      </c>
      <c r="H164" s="10" t="str">
        <f>_xlfn.XLOOKUP(C164,'[1]E&amp;DPSAC'!$K:$K,'[1]E&amp;DPSAC'!$E:$E,,0)</f>
        <v>DHANBAD, CONT PERSON :MR. IKTEKHAR AHMAD, PH.NO :9431316718</v>
      </c>
      <c r="I164" s="10"/>
      <c r="J164" s="10">
        <v>8210567144</v>
      </c>
      <c r="K164" s="10">
        <f>_xlfn.XLOOKUP(C164,'[1]E&amp;DPSAC'!$K:$K,'[1]E&amp;DPSAC'!$G:$G,"",0)</f>
        <v>7402773991</v>
      </c>
      <c r="L164" s="9" t="str">
        <f t="shared" ca="1" si="8"/>
        <v>Non - Warranty</v>
      </c>
      <c r="M164" s="11">
        <v>43113</v>
      </c>
      <c r="N164" s="12">
        <v>36</v>
      </c>
      <c r="O164" s="11">
        <f t="shared" si="9"/>
        <v>44227</v>
      </c>
      <c r="P164" s="8" t="s">
        <v>142</v>
      </c>
      <c r="Q164" s="16" t="s">
        <v>996</v>
      </c>
      <c r="R164" s="15">
        <v>45954.727083333331</v>
      </c>
      <c r="S164" s="14">
        <v>7890</v>
      </c>
      <c r="T164" s="15">
        <v>45493</v>
      </c>
      <c r="U164" s="14">
        <v>6846</v>
      </c>
      <c r="V164" s="14">
        <v>7980</v>
      </c>
      <c r="W164" s="17">
        <v>46042.490358796298</v>
      </c>
      <c r="X164" s="14" t="s">
        <v>2699</v>
      </c>
      <c r="Y164" s="14">
        <v>660</v>
      </c>
      <c r="Z164" s="14" t="s">
        <v>2692</v>
      </c>
      <c r="AA164" s="18">
        <v>158.27291666666861</v>
      </c>
      <c r="AB164" s="18" t="s">
        <v>2692</v>
      </c>
      <c r="AC164" s="8">
        <f>tbl_DPSAC[[#This Row],[Current Month Due Count]]</f>
        <v>4</v>
      </c>
      <c r="AD164" s="8">
        <f>tbl_DPSAC[[#This Row],[Next Month Due2]]</f>
        <v>0</v>
      </c>
      <c r="AE164" s="8">
        <f t="shared" si="10"/>
        <v>0</v>
      </c>
      <c r="AF164" s="8">
        <v>1</v>
      </c>
      <c r="AG164" s="14">
        <f t="shared" ca="1" si="11"/>
        <v>8051</v>
      </c>
      <c r="AH164" s="8">
        <v>0</v>
      </c>
      <c r="AI164" s="8">
        <v>0</v>
      </c>
      <c r="AJ164" s="8">
        <v>0</v>
      </c>
      <c r="AK164" s="8">
        <v>0</v>
      </c>
      <c r="AL164" s="8">
        <v>0</v>
      </c>
      <c r="AM164" s="8">
        <v>0</v>
      </c>
      <c r="AN164" s="8">
        <v>0</v>
      </c>
      <c r="AO164" s="8">
        <v>0</v>
      </c>
      <c r="AP164" s="8" t="s">
        <v>995</v>
      </c>
      <c r="AQ164" s="8">
        <v>0</v>
      </c>
      <c r="AR164" s="8">
        <v>0</v>
      </c>
      <c r="AS164" s="8">
        <v>0</v>
      </c>
      <c r="AT164" s="8">
        <v>0</v>
      </c>
      <c r="AU164" s="8">
        <v>0</v>
      </c>
      <c r="AV164" s="8">
        <v>0</v>
      </c>
      <c r="AW164" s="8">
        <v>0</v>
      </c>
      <c r="AX164" s="8" t="s">
        <v>2007</v>
      </c>
      <c r="AY164" s="14">
        <v>7890</v>
      </c>
      <c r="AZ164" s="19">
        <v>45954</v>
      </c>
      <c r="BA164" s="14" t="s">
        <v>996</v>
      </c>
      <c r="BB164" s="14">
        <v>7890</v>
      </c>
      <c r="BC164" s="19">
        <v>45954</v>
      </c>
      <c r="BD164" s="14" t="s">
        <v>996</v>
      </c>
      <c r="BE164" s="14">
        <v>7890</v>
      </c>
      <c r="BF164" s="19">
        <v>45954</v>
      </c>
      <c r="BG164" s="14" t="s">
        <v>996</v>
      </c>
      <c r="BH164" s="14">
        <v>7890</v>
      </c>
      <c r="BI164" s="19">
        <v>45954</v>
      </c>
      <c r="BJ164" s="14" t="s">
        <v>996</v>
      </c>
      <c r="BK164" s="14">
        <v>7890</v>
      </c>
      <c r="BL164" s="19">
        <v>45954</v>
      </c>
      <c r="BM164" s="14" t="s">
        <v>996</v>
      </c>
      <c r="BN164" s="27">
        <v>46134</v>
      </c>
      <c r="BO164" s="27">
        <v>46134</v>
      </c>
      <c r="BP164" s="27">
        <v>46134</v>
      </c>
      <c r="BQ164" s="27">
        <v>46134</v>
      </c>
      <c r="BR164" s="27">
        <v>46319</v>
      </c>
      <c r="BS164" s="28">
        <v>589</v>
      </c>
      <c r="BT164" s="29">
        <v>1339</v>
      </c>
      <c r="BU164" s="29">
        <v>589</v>
      </c>
      <c r="BV164" s="29">
        <v>589</v>
      </c>
      <c r="BW164" s="29">
        <v>1339</v>
      </c>
      <c r="BX164" s="30" t="e">
        <v>#N/A</v>
      </c>
      <c r="BY164" s="8">
        <v>0</v>
      </c>
      <c r="BZ164" s="8">
        <v>4</v>
      </c>
      <c r="CA164" s="8">
        <v>0</v>
      </c>
      <c r="CB164" s="21">
        <v>45954.770833333299</v>
      </c>
      <c r="CC164" s="21">
        <v>45954.770833333299</v>
      </c>
      <c r="CD164" s="21">
        <v>45954.770833333299</v>
      </c>
      <c r="CE164" s="21">
        <v>45954.770833333299</v>
      </c>
      <c r="CF164" s="21">
        <v>45954.770833333299</v>
      </c>
      <c r="CG164" s="21">
        <v>45810.770833333299</v>
      </c>
      <c r="CH164" s="21">
        <v>45810.770833333299</v>
      </c>
      <c r="CI164" s="21">
        <v>45810.770833333299</v>
      </c>
      <c r="CJ164" s="21">
        <v>45810.770833333299</v>
      </c>
      <c r="CK164" s="22" t="s">
        <v>3085</v>
      </c>
      <c r="CL164" s="22" t="s">
        <v>3085</v>
      </c>
      <c r="CM164" s="22" t="s">
        <v>3085</v>
      </c>
      <c r="CN164" s="22" t="s">
        <v>3085</v>
      </c>
      <c r="CO164" s="22" t="s">
        <v>3085</v>
      </c>
      <c r="CP164" s="22" t="s">
        <v>3086</v>
      </c>
      <c r="CQ164" s="22" t="s">
        <v>2953</v>
      </c>
      <c r="CR164" s="22" t="s">
        <v>3086</v>
      </c>
      <c r="CS164" s="22" t="s">
        <v>3086</v>
      </c>
      <c r="CT164" s="22">
        <v>2</v>
      </c>
      <c r="CU164" s="21">
        <v>46134</v>
      </c>
      <c r="CV164" s="21">
        <v>46134</v>
      </c>
      <c r="CW164" s="21">
        <v>46134</v>
      </c>
      <c r="CX164" s="21">
        <v>46134</v>
      </c>
      <c r="CY164" s="21">
        <v>46134</v>
      </c>
      <c r="CZ164" s="21">
        <v>46080</v>
      </c>
      <c r="DA164" s="21">
        <v>46175</v>
      </c>
      <c r="DB164" s="21">
        <v>45990</v>
      </c>
      <c r="DC164" s="21">
        <v>46175</v>
      </c>
      <c r="DD164" s="8">
        <v>1</v>
      </c>
      <c r="DE164" s="8">
        <v>1</v>
      </c>
      <c r="DF164" s="8">
        <v>0</v>
      </c>
      <c r="DG164" s="8">
        <v>2</v>
      </c>
      <c r="DH164" s="8">
        <v>5</v>
      </c>
      <c r="DI164" s="8">
        <v>0</v>
      </c>
      <c r="DJ164" s="8" t="s">
        <v>2954</v>
      </c>
      <c r="DK164" s="21">
        <v>43113</v>
      </c>
      <c r="DL164" s="21">
        <v>43098</v>
      </c>
      <c r="DM164" s="21">
        <v>46042</v>
      </c>
      <c r="DN164" s="18">
        <v>7980</v>
      </c>
      <c r="DO164" s="21">
        <v>0</v>
      </c>
      <c r="DP164" s="21">
        <v>0</v>
      </c>
      <c r="DQ164" s="21" t="s">
        <v>2955</v>
      </c>
      <c r="DR164" s="21">
        <v>45955</v>
      </c>
      <c r="DS164" s="21">
        <v>45955</v>
      </c>
      <c r="DT164" s="21">
        <v>45955</v>
      </c>
      <c r="DU164" s="21">
        <v>45955</v>
      </c>
      <c r="DV164" s="21">
        <v>45955</v>
      </c>
      <c r="DW164" s="21">
        <v>45811</v>
      </c>
      <c r="DX164" s="21">
        <v>45811</v>
      </c>
      <c r="DY164" s="21">
        <v>45811</v>
      </c>
      <c r="DZ164" s="21">
        <v>45811</v>
      </c>
      <c r="EA164" s="8">
        <v>660</v>
      </c>
      <c r="EB164" s="8">
        <v>660</v>
      </c>
      <c r="EC164" s="8">
        <v>660</v>
      </c>
      <c r="ED164" s="8">
        <v>660</v>
      </c>
      <c r="EE164" s="8">
        <v>660</v>
      </c>
      <c r="EF164" s="8">
        <v>1410</v>
      </c>
      <c r="EG164" s="8">
        <v>1000</v>
      </c>
      <c r="EH164" s="8">
        <v>1410</v>
      </c>
      <c r="EI164" s="8">
        <v>1410</v>
      </c>
      <c r="EJ164" s="8">
        <v>2</v>
      </c>
      <c r="EK164" s="8" t="s">
        <v>2624</v>
      </c>
      <c r="EL164" s="8">
        <v>71</v>
      </c>
      <c r="EM164" s="8">
        <v>71</v>
      </c>
      <c r="EN164" s="8">
        <v>372</v>
      </c>
      <c r="EO164" s="8">
        <v>372</v>
      </c>
      <c r="EP164" s="8">
        <v>372</v>
      </c>
      <c r="EQ164" s="8">
        <v>372</v>
      </c>
      <c r="ER164" s="8">
        <v>372</v>
      </c>
      <c r="ES164" s="8">
        <v>1122</v>
      </c>
      <c r="ET164" s="8">
        <v>712</v>
      </c>
      <c r="EU164" s="8">
        <v>1122</v>
      </c>
      <c r="EV164" s="8">
        <v>1122</v>
      </c>
    </row>
    <row r="165" spans="1:152" x14ac:dyDescent="0.15">
      <c r="A165" s="8">
        <f>ROW([2]!tbl_DPSAC[[#This Row],[Sl. No.]])-1</f>
        <v>164</v>
      </c>
      <c r="B165" s="9" t="s">
        <v>136</v>
      </c>
      <c r="C165" s="9" t="s">
        <v>997</v>
      </c>
      <c r="D165" s="9" t="s">
        <v>175</v>
      </c>
      <c r="E165" s="9" t="s">
        <v>176</v>
      </c>
      <c r="F165" s="9" t="s">
        <v>161</v>
      </c>
      <c r="G165" s="10" t="s">
        <v>998</v>
      </c>
      <c r="H165" s="10" t="str">
        <f>_xlfn.XLOOKUP(C165,'[1]E&amp;DPSAC'!$K:$K,'[1]E&amp;DPSAC'!$E:$E,,0)</f>
        <v>DUMRI, JHARKHAND</v>
      </c>
      <c r="I165" s="10"/>
      <c r="J165" s="10">
        <v>6204545670</v>
      </c>
      <c r="K165" s="10">
        <f>_xlfn.XLOOKUP(C165,'[1]E&amp;DPSAC'!$K:$K,'[1]E&amp;DPSAC'!$G:$G,"",0)</f>
        <v>9608325210</v>
      </c>
      <c r="L165" s="9" t="str">
        <f t="shared" ca="1" si="8"/>
        <v>Non - Warranty</v>
      </c>
      <c r="M165" s="11">
        <v>43790</v>
      </c>
      <c r="N165" s="12">
        <v>24</v>
      </c>
      <c r="O165" s="11">
        <f t="shared" si="9"/>
        <v>44530</v>
      </c>
      <c r="P165" s="8" t="s">
        <v>142</v>
      </c>
      <c r="Q165" s="16" t="s">
        <v>2640</v>
      </c>
      <c r="R165" s="15">
        <v>44965.4666319444</v>
      </c>
      <c r="S165" s="14">
        <v>3910</v>
      </c>
      <c r="T165" s="15">
        <v>45625</v>
      </c>
      <c r="U165" s="14">
        <v>4372</v>
      </c>
      <c r="V165" s="14">
        <v>6300</v>
      </c>
      <c r="W165" s="17">
        <v>46042.4927314815</v>
      </c>
      <c r="X165" s="14" t="s">
        <v>2781</v>
      </c>
      <c r="Y165" s="14">
        <v>-1640</v>
      </c>
      <c r="Z165" s="14" t="s">
        <v>2697</v>
      </c>
      <c r="AA165" s="18">
        <v>1147.5333680555996</v>
      </c>
      <c r="AB165" s="18" t="s">
        <v>2697</v>
      </c>
      <c r="AC165" s="8">
        <f>tbl_DPSAC[[#This Row],[Current Month Due Count]]</f>
        <v>0</v>
      </c>
      <c r="AD165" s="8">
        <f>tbl_DPSAC[[#This Row],[Next Month Due2]]</f>
        <v>0</v>
      </c>
      <c r="AE165" s="8">
        <f t="shared" si="10"/>
        <v>1</v>
      </c>
      <c r="AF165" s="8">
        <v>0</v>
      </c>
      <c r="AG165" s="14">
        <f t="shared" ca="1" si="11"/>
        <v>6300</v>
      </c>
      <c r="AH165" s="8">
        <v>0</v>
      </c>
      <c r="AI165" s="8">
        <v>0</v>
      </c>
      <c r="AJ165" s="8">
        <v>0</v>
      </c>
      <c r="AK165" s="8">
        <v>0</v>
      </c>
      <c r="AL165" s="8">
        <v>0</v>
      </c>
      <c r="AM165" s="8">
        <v>0</v>
      </c>
      <c r="AN165" s="8">
        <v>0</v>
      </c>
      <c r="AO165" s="8">
        <v>0</v>
      </c>
      <c r="AP165" s="8">
        <v>0</v>
      </c>
      <c r="AQ165" s="8">
        <v>0</v>
      </c>
      <c r="AR165" s="8">
        <v>0</v>
      </c>
      <c r="AS165" s="8">
        <v>0</v>
      </c>
      <c r="AT165" s="8">
        <v>0</v>
      </c>
      <c r="AU165" s="8">
        <v>0</v>
      </c>
      <c r="AV165" s="8">
        <v>0</v>
      </c>
      <c r="AW165" s="8">
        <v>0</v>
      </c>
      <c r="AX165" s="8" t="s">
        <v>2961</v>
      </c>
      <c r="AY165" s="14">
        <v>3890</v>
      </c>
      <c r="AZ165" s="19">
        <v>44943</v>
      </c>
      <c r="BA165" s="14"/>
      <c r="BB165" s="14">
        <v>3586</v>
      </c>
      <c r="BC165" s="19">
        <v>44688</v>
      </c>
      <c r="BD165" s="14"/>
      <c r="BE165" s="14">
        <v>3890</v>
      </c>
      <c r="BF165" s="19">
        <v>44943</v>
      </c>
      <c r="BG165" s="14"/>
      <c r="BH165" s="14">
        <v>3890</v>
      </c>
      <c r="BI165" s="19">
        <v>44943</v>
      </c>
      <c r="BJ165" s="14"/>
      <c r="BK165" s="14">
        <v>3586</v>
      </c>
      <c r="BL165" s="19">
        <v>44688</v>
      </c>
      <c r="BM165" s="14"/>
      <c r="BN165" s="27">
        <v>45123</v>
      </c>
      <c r="BO165" s="27">
        <v>44868</v>
      </c>
      <c r="BP165" s="27">
        <v>45123</v>
      </c>
      <c r="BQ165" s="27">
        <v>45123</v>
      </c>
      <c r="BR165" s="27">
        <v>45053</v>
      </c>
      <c r="BS165" s="28">
        <v>-1660</v>
      </c>
      <c r="BT165" s="29">
        <v>-1214</v>
      </c>
      <c r="BU165" s="29">
        <v>-1660</v>
      </c>
      <c r="BV165" s="29">
        <v>-1660</v>
      </c>
      <c r="BW165" s="29">
        <v>-1214</v>
      </c>
      <c r="BX165" s="30" t="s">
        <v>172</v>
      </c>
      <c r="BY165" s="8">
        <v>5</v>
      </c>
      <c r="BZ165" s="8">
        <v>0</v>
      </c>
      <c r="CA165" s="8">
        <v>0</v>
      </c>
      <c r="CB165" s="21">
        <v>44964.770833333299</v>
      </c>
      <c r="CC165" s="21">
        <v>44964.770833333299</v>
      </c>
      <c r="CD165" s="21">
        <v>44964.770833333299</v>
      </c>
      <c r="CE165" s="21">
        <v>44964.770833333299</v>
      </c>
      <c r="CF165" s="21">
        <v>44964.770833333299</v>
      </c>
      <c r="CG165" s="21">
        <v>0</v>
      </c>
      <c r="CH165" s="21">
        <v>0</v>
      </c>
      <c r="CI165" s="21">
        <v>0</v>
      </c>
      <c r="CJ165" s="21">
        <v>0</v>
      </c>
      <c r="CK165" s="22" t="s">
        <v>3085</v>
      </c>
      <c r="CL165" s="22" t="s">
        <v>3085</v>
      </c>
      <c r="CM165" s="22" t="s">
        <v>3085</v>
      </c>
      <c r="CN165" s="22" t="s">
        <v>3085</v>
      </c>
      <c r="CO165" s="22" t="s">
        <v>3085</v>
      </c>
      <c r="CP165" s="22" t="s">
        <v>3026</v>
      </c>
      <c r="CQ165" s="22" t="s">
        <v>2953</v>
      </c>
      <c r="CR165" s="22" t="s">
        <v>3026</v>
      </c>
      <c r="CS165" s="22" t="s">
        <v>3026</v>
      </c>
      <c r="CT165" s="22">
        <v>0</v>
      </c>
      <c r="CU165" s="21">
        <v>0</v>
      </c>
      <c r="CV165" s="21">
        <v>0</v>
      </c>
      <c r="CW165" s="21">
        <v>0</v>
      </c>
      <c r="CX165" s="21">
        <v>0</v>
      </c>
      <c r="CY165" s="21">
        <v>0</v>
      </c>
      <c r="CZ165" s="21">
        <v>0</v>
      </c>
      <c r="DA165" s="21">
        <v>0</v>
      </c>
      <c r="DB165" s="21">
        <v>0</v>
      </c>
      <c r="DC165" s="21">
        <v>0</v>
      </c>
      <c r="DD165" s="8">
        <v>0</v>
      </c>
      <c r="DE165" s="8">
        <v>0</v>
      </c>
      <c r="DF165" s="8">
        <v>0</v>
      </c>
      <c r="DG165" s="8">
        <v>9</v>
      </c>
      <c r="DH165" s="8">
        <v>0</v>
      </c>
      <c r="DI165" s="8">
        <v>0</v>
      </c>
      <c r="DJ165" s="8" t="s">
        <v>2954</v>
      </c>
      <c r="DK165" s="21">
        <v>43790</v>
      </c>
      <c r="DL165" s="21">
        <v>43690.229166666664</v>
      </c>
      <c r="DM165" s="21">
        <v>46042</v>
      </c>
      <c r="DN165" s="18">
        <v>6300</v>
      </c>
      <c r="DO165" s="21">
        <v>0</v>
      </c>
      <c r="DP165" s="21">
        <v>0</v>
      </c>
      <c r="DQ165" s="21" t="s">
        <v>2955</v>
      </c>
      <c r="DR165" s="21">
        <v>44965</v>
      </c>
      <c r="DS165" s="21">
        <v>44965</v>
      </c>
      <c r="DT165" s="21">
        <v>44965</v>
      </c>
      <c r="DU165" s="21">
        <v>44965</v>
      </c>
      <c r="DV165" s="21">
        <v>44965</v>
      </c>
      <c r="DW165" s="21">
        <v>0</v>
      </c>
      <c r="DX165" s="21">
        <v>0</v>
      </c>
      <c r="DY165" s="21">
        <v>0</v>
      </c>
      <c r="DZ165" s="21">
        <v>0</v>
      </c>
      <c r="EA165" s="8">
        <v>660</v>
      </c>
      <c r="EB165" s="8">
        <v>660</v>
      </c>
      <c r="EC165" s="8">
        <v>660</v>
      </c>
      <c r="ED165" s="8">
        <v>660</v>
      </c>
      <c r="EE165" s="8">
        <v>660</v>
      </c>
      <c r="EF165" s="8">
        <v>1200</v>
      </c>
      <c r="EG165" s="8">
        <v>1000</v>
      </c>
      <c r="EH165" s="8">
        <v>1200</v>
      </c>
      <c r="EI165" s="8">
        <v>1200</v>
      </c>
      <c r="EJ165" s="8">
        <v>0</v>
      </c>
      <c r="EK165" s="8" t="s">
        <v>2624</v>
      </c>
      <c r="EL165" s="8">
        <v>71</v>
      </c>
      <c r="EM165" s="8">
        <v>0</v>
      </c>
      <c r="EN165" s="8">
        <v>372</v>
      </c>
      <c r="EO165" s="8">
        <v>372</v>
      </c>
      <c r="EP165" s="8">
        <v>372</v>
      </c>
      <c r="EQ165" s="8">
        <v>372</v>
      </c>
      <c r="ER165" s="8">
        <v>372</v>
      </c>
      <c r="ES165" s="8">
        <v>912</v>
      </c>
      <c r="ET165" s="8">
        <v>712</v>
      </c>
      <c r="EU165" s="8">
        <v>912</v>
      </c>
      <c r="EV165" s="8">
        <v>912</v>
      </c>
    </row>
    <row r="166" spans="1:152" x14ac:dyDescent="0.15">
      <c r="A166" s="8">
        <f>ROW([2]!tbl_DPSAC[[#This Row],[Sl. No.]])-1</f>
        <v>165</v>
      </c>
      <c r="B166" s="9" t="s">
        <v>136</v>
      </c>
      <c r="C166" s="9" t="s">
        <v>999</v>
      </c>
      <c r="D166" s="9" t="s">
        <v>138</v>
      </c>
      <c r="E166" s="9" t="s">
        <v>139</v>
      </c>
      <c r="F166" s="9" t="s">
        <v>161</v>
      </c>
      <c r="G166" s="10" t="s">
        <v>1000</v>
      </c>
      <c r="H166" s="10" t="str">
        <f>_xlfn.XLOOKUP(C166,'[1]E&amp;DPSAC'!$K:$K,'[1]E&amp;DPSAC'!$E:$E,,0)</f>
        <v>LALMATIYA</v>
      </c>
      <c r="I166" s="10" t="s">
        <v>1001</v>
      </c>
      <c r="J166" s="10">
        <v>9110992783</v>
      </c>
      <c r="K166" s="10">
        <f>_xlfn.XLOOKUP(C166,'[1]E&amp;DPSAC'!$K:$K,'[1]E&amp;DPSAC'!$G:$G,"",0)</f>
        <v>9110992783</v>
      </c>
      <c r="L166" s="9" t="str">
        <f t="shared" ca="1" si="8"/>
        <v>Non - Warranty</v>
      </c>
      <c r="M166" s="11">
        <v>43224</v>
      </c>
      <c r="N166" s="12">
        <v>24</v>
      </c>
      <c r="O166" s="11">
        <f t="shared" si="9"/>
        <v>43982</v>
      </c>
      <c r="P166" s="8" t="s">
        <v>157</v>
      </c>
      <c r="Q166" s="16" t="s">
        <v>2641</v>
      </c>
      <c r="R166" s="15">
        <v>43531.489814814799</v>
      </c>
      <c r="S166" s="14">
        <v>2000</v>
      </c>
      <c r="T166" s="15">
        <v>43991</v>
      </c>
      <c r="U166" s="14">
        <v>4130</v>
      </c>
      <c r="V166" s="14">
        <v>7015</v>
      </c>
      <c r="W166" s="17">
        <v>45134.681365740696</v>
      </c>
      <c r="X166" s="14">
        <v>0</v>
      </c>
      <c r="Y166" s="14">
        <v>-4265</v>
      </c>
      <c r="Z166" s="14" t="s">
        <v>2697</v>
      </c>
      <c r="AA166" s="18">
        <v>2581.5101851852014</v>
      </c>
      <c r="AB166" s="18" t="s">
        <v>2697</v>
      </c>
      <c r="AC166" s="8">
        <f>tbl_DPSAC[[#This Row],[Current Month Due Count]]</f>
        <v>0</v>
      </c>
      <c r="AD166" s="8">
        <f>tbl_DPSAC[[#This Row],[Next Month Due2]]</f>
        <v>0</v>
      </c>
      <c r="AE166" s="8">
        <f t="shared" si="10"/>
        <v>1</v>
      </c>
      <c r="AF166" s="8">
        <v>0</v>
      </c>
      <c r="AG166" s="14">
        <f t="shared" ca="1" si="11"/>
        <v>7015</v>
      </c>
      <c r="AH166" s="8">
        <v>0</v>
      </c>
      <c r="AI166" s="8">
        <v>0</v>
      </c>
      <c r="AJ166" s="8">
        <v>0</v>
      </c>
      <c r="AK166" s="8">
        <v>0</v>
      </c>
      <c r="AL166" s="8" t="s">
        <v>1002</v>
      </c>
      <c r="AM166" s="8">
        <v>0</v>
      </c>
      <c r="AN166" s="8">
        <v>0</v>
      </c>
      <c r="AO166" s="8">
        <v>0</v>
      </c>
      <c r="AP166" s="8">
        <v>0</v>
      </c>
      <c r="AQ166" s="8">
        <v>0</v>
      </c>
      <c r="AR166" s="8">
        <v>0</v>
      </c>
      <c r="AS166" s="8">
        <v>0</v>
      </c>
      <c r="AT166" s="8">
        <v>0</v>
      </c>
      <c r="AU166" s="8">
        <v>0</v>
      </c>
      <c r="AV166" s="8">
        <v>0</v>
      </c>
      <c r="AW166" s="8">
        <v>0</v>
      </c>
      <c r="AX166" s="8" t="s">
        <v>2961</v>
      </c>
      <c r="AY166" s="14">
        <v>3000</v>
      </c>
      <c r="AZ166" s="19">
        <v>44262.489814814813</v>
      </c>
      <c r="BA166" s="14"/>
      <c r="BB166" s="14">
        <v>3000</v>
      </c>
      <c r="BC166" s="19">
        <v>44262.489814814813</v>
      </c>
      <c r="BD166" s="14"/>
      <c r="BE166" s="14">
        <v>3000</v>
      </c>
      <c r="BF166" s="19">
        <v>44262.489814814813</v>
      </c>
      <c r="BG166" s="14"/>
      <c r="BH166" s="14">
        <v>3000</v>
      </c>
      <c r="BI166" s="19">
        <v>44262.489814814813</v>
      </c>
      <c r="BJ166" s="14"/>
      <c r="BK166" s="14">
        <v>3000</v>
      </c>
      <c r="BL166" s="19">
        <v>44262.489814814813</v>
      </c>
      <c r="BM166" s="14"/>
      <c r="BN166" s="27">
        <v>44442.489814814813</v>
      </c>
      <c r="BO166" s="27">
        <v>44442.489814814813</v>
      </c>
      <c r="BP166" s="27">
        <v>44442.489814814813</v>
      </c>
      <c r="BQ166" s="27">
        <v>44442.489814814813</v>
      </c>
      <c r="BR166" s="27">
        <v>44627.489814814813</v>
      </c>
      <c r="BS166" s="28">
        <v>-3265</v>
      </c>
      <c r="BT166" s="29">
        <v>-2515</v>
      </c>
      <c r="BU166" s="29">
        <v>-3265</v>
      </c>
      <c r="BV166" s="29">
        <v>-3265</v>
      </c>
      <c r="BW166" s="29">
        <v>-2515</v>
      </c>
      <c r="BX166" s="31" t="s">
        <v>1003</v>
      </c>
      <c r="BY166" s="8">
        <v>5</v>
      </c>
      <c r="BZ166" s="8">
        <v>0</v>
      </c>
      <c r="CA166" s="8">
        <v>0</v>
      </c>
      <c r="CB166" s="21" t="s">
        <v>143</v>
      </c>
      <c r="CC166" s="21" t="s">
        <v>143</v>
      </c>
      <c r="CD166" s="21" t="s">
        <v>143</v>
      </c>
      <c r="CE166" s="21" t="s">
        <v>143</v>
      </c>
      <c r="CF166" s="21" t="s">
        <v>143</v>
      </c>
      <c r="CG166" s="21" t="s">
        <v>143</v>
      </c>
      <c r="CH166" s="21" t="s">
        <v>143</v>
      </c>
      <c r="CI166" s="21" t="s">
        <v>143</v>
      </c>
      <c r="CJ166" s="21" t="s">
        <v>143</v>
      </c>
      <c r="CK166" s="22" t="s">
        <v>143</v>
      </c>
      <c r="CL166" s="22" t="s">
        <v>143</v>
      </c>
      <c r="CM166" s="22" t="s">
        <v>143</v>
      </c>
      <c r="CN166" s="22" t="s">
        <v>143</v>
      </c>
      <c r="CO166" s="22" t="s">
        <v>143</v>
      </c>
      <c r="CP166" s="22" t="s">
        <v>143</v>
      </c>
      <c r="CQ166" s="22" t="s">
        <v>143</v>
      </c>
      <c r="CR166" s="22" t="s">
        <v>143</v>
      </c>
      <c r="CS166" s="22" t="s">
        <v>143</v>
      </c>
      <c r="CT166" s="22" t="s">
        <v>143</v>
      </c>
      <c r="CU166" s="21" t="s">
        <v>143</v>
      </c>
      <c r="CV166" s="21" t="s">
        <v>143</v>
      </c>
      <c r="CW166" s="21" t="s">
        <v>143</v>
      </c>
      <c r="CX166" s="21" t="s">
        <v>143</v>
      </c>
      <c r="CY166" s="21" t="s">
        <v>143</v>
      </c>
      <c r="CZ166" s="21" t="s">
        <v>143</v>
      </c>
      <c r="DA166" s="21" t="s">
        <v>143</v>
      </c>
      <c r="DB166" s="21" t="s">
        <v>143</v>
      </c>
      <c r="DC166" s="21" t="s">
        <v>143</v>
      </c>
      <c r="DD166" s="8" t="s">
        <v>143</v>
      </c>
      <c r="DE166" s="8" t="s">
        <v>143</v>
      </c>
      <c r="DF166" s="8" t="s">
        <v>143</v>
      </c>
      <c r="DG166" s="8">
        <v>0</v>
      </c>
      <c r="DH166" s="8">
        <v>0</v>
      </c>
      <c r="DI166" s="8">
        <v>0</v>
      </c>
      <c r="DJ166" s="8" t="s">
        <v>143</v>
      </c>
      <c r="DK166" s="21" t="s">
        <v>143</v>
      </c>
      <c r="DL166" s="21" t="s">
        <v>143</v>
      </c>
      <c r="DM166" s="21" t="s">
        <v>143</v>
      </c>
      <c r="DN166" s="18" t="s">
        <v>143</v>
      </c>
      <c r="DO166" s="21" t="s">
        <v>143</v>
      </c>
      <c r="DP166" s="21" t="s">
        <v>143</v>
      </c>
      <c r="DQ166" s="21" t="s">
        <v>143</v>
      </c>
      <c r="DR166" s="21" t="s">
        <v>143</v>
      </c>
      <c r="DS166" s="21" t="s">
        <v>143</v>
      </c>
      <c r="DT166" s="21" t="s">
        <v>143</v>
      </c>
      <c r="DU166" s="21" t="s">
        <v>143</v>
      </c>
      <c r="DV166" s="21" t="s">
        <v>143</v>
      </c>
      <c r="DW166" s="21" t="s">
        <v>143</v>
      </c>
      <c r="DX166" s="21" t="s">
        <v>143</v>
      </c>
      <c r="DY166" s="21" t="s">
        <v>143</v>
      </c>
      <c r="DZ166" s="21" t="s">
        <v>143</v>
      </c>
      <c r="EA166" s="8" t="s">
        <v>143</v>
      </c>
      <c r="EB166" s="8" t="s">
        <v>143</v>
      </c>
      <c r="EC166" s="8" t="s">
        <v>143</v>
      </c>
      <c r="ED166" s="8" t="s">
        <v>143</v>
      </c>
      <c r="EE166" s="8" t="s">
        <v>143</v>
      </c>
      <c r="EF166" s="8" t="s">
        <v>143</v>
      </c>
      <c r="EG166" s="8" t="s">
        <v>143</v>
      </c>
      <c r="EH166" s="8" t="s">
        <v>143</v>
      </c>
      <c r="EI166" s="8" t="s">
        <v>143</v>
      </c>
      <c r="EJ166" s="8" t="s">
        <v>143</v>
      </c>
      <c r="EK166" s="8" t="s">
        <v>157</v>
      </c>
      <c r="EL166" s="8">
        <v>978</v>
      </c>
      <c r="EM166" s="8">
        <v>0</v>
      </c>
      <c r="EN166" s="8" t="s">
        <v>143</v>
      </c>
      <c r="EO166" s="8" t="s">
        <v>143</v>
      </c>
      <c r="EP166" s="8" t="s">
        <v>143</v>
      </c>
      <c r="EQ166" s="8" t="s">
        <v>143</v>
      </c>
      <c r="ER166" s="8" t="s">
        <v>143</v>
      </c>
      <c r="ES166" s="8" t="s">
        <v>143</v>
      </c>
      <c r="ET166" s="8" t="s">
        <v>143</v>
      </c>
      <c r="EU166" s="8" t="s">
        <v>143</v>
      </c>
      <c r="EV166" s="8" t="s">
        <v>143</v>
      </c>
    </row>
    <row r="167" spans="1:152" x14ac:dyDescent="0.15">
      <c r="A167" s="8">
        <f>ROW([2]!tbl_DPSAC[[#This Row],[Sl. No.]])-1</f>
        <v>166</v>
      </c>
      <c r="B167" s="9" t="s">
        <v>196</v>
      </c>
      <c r="C167" s="9" t="s">
        <v>1004</v>
      </c>
      <c r="D167" s="9" t="s">
        <v>216</v>
      </c>
      <c r="E167" s="9" t="s">
        <v>217</v>
      </c>
      <c r="F167" s="9" t="s">
        <v>161</v>
      </c>
      <c r="G167" s="10" t="s">
        <v>1005</v>
      </c>
      <c r="H167" s="10" t="str">
        <f>_xlfn.XLOOKUP(C167,'[1]E&amp;DPSAC'!$K:$K,'[1]E&amp;DPSAC'!$E:$E,,0)</f>
        <v>PAWAN KUMAR MISHRA,, KAHALGAON, BHAGALPUR, BIHAR - 813 203</v>
      </c>
      <c r="I167" s="10"/>
      <c r="J167" s="10">
        <v>6206698729</v>
      </c>
      <c r="K167" s="10">
        <f>_xlfn.XLOOKUP(C167,'[1]E&amp;DPSAC'!$K:$K,'[1]E&amp;DPSAC'!$G:$G,"",0)</f>
        <v>6206698729</v>
      </c>
      <c r="L167" s="9" t="str">
        <f t="shared" ca="1" si="8"/>
        <v>Non - Warranty</v>
      </c>
      <c r="M167" s="11">
        <v>43677</v>
      </c>
      <c r="N167" s="12">
        <v>24</v>
      </c>
      <c r="O167" s="11">
        <f t="shared" si="9"/>
        <v>44408</v>
      </c>
      <c r="P167" s="8" t="s">
        <v>681</v>
      </c>
      <c r="Q167" s="16" t="s">
        <v>1006</v>
      </c>
      <c r="R167" s="15">
        <v>45266.500162037002</v>
      </c>
      <c r="S167" s="14">
        <v>2750</v>
      </c>
      <c r="T167" s="15">
        <v>45266</v>
      </c>
      <c r="U167" s="14">
        <v>2750</v>
      </c>
      <c r="V167" s="14">
        <v>3420</v>
      </c>
      <c r="W167" s="17">
        <v>45940.634722222225</v>
      </c>
      <c r="X167" s="14" t="s">
        <v>2771</v>
      </c>
      <c r="Y167" s="14">
        <v>80</v>
      </c>
      <c r="Z167" s="14" t="s">
        <v>2692</v>
      </c>
      <c r="AA167" s="18">
        <v>846.49983796299784</v>
      </c>
      <c r="AB167" s="18" t="s">
        <v>2697</v>
      </c>
      <c r="AC167" s="8">
        <f>tbl_DPSAC[[#This Row],[Current Month Due Count]]</f>
        <v>0</v>
      </c>
      <c r="AD167" s="8">
        <f>tbl_DPSAC[[#This Row],[Next Month Due2]]</f>
        <v>0</v>
      </c>
      <c r="AE167" s="8">
        <f t="shared" si="10"/>
        <v>1</v>
      </c>
      <c r="AF167" s="8">
        <v>1</v>
      </c>
      <c r="AG167" s="14">
        <f t="shared" ca="1" si="11"/>
        <v>3592</v>
      </c>
      <c r="AH167" s="8">
        <v>0</v>
      </c>
      <c r="AI167" s="8">
        <v>0</v>
      </c>
      <c r="AJ167" s="8">
        <v>0</v>
      </c>
      <c r="AK167" s="8">
        <v>0</v>
      </c>
      <c r="AL167" s="8">
        <v>0</v>
      </c>
      <c r="AM167" s="8">
        <v>0</v>
      </c>
      <c r="AN167" s="8">
        <v>0</v>
      </c>
      <c r="AO167" s="8">
        <v>0</v>
      </c>
      <c r="AP167" s="8">
        <v>0</v>
      </c>
      <c r="AQ167" s="8">
        <v>0</v>
      </c>
      <c r="AR167" s="8">
        <v>0</v>
      </c>
      <c r="AS167" s="8">
        <v>0</v>
      </c>
      <c r="AT167" s="8">
        <v>0</v>
      </c>
      <c r="AU167" s="8">
        <v>0</v>
      </c>
      <c r="AV167" s="8">
        <v>0</v>
      </c>
      <c r="AW167" s="8">
        <v>0</v>
      </c>
      <c r="AX167" s="8" t="s">
        <v>2977</v>
      </c>
      <c r="AY167" s="14">
        <v>2750</v>
      </c>
      <c r="AZ167" s="19">
        <v>45266</v>
      </c>
      <c r="BA167" s="14" t="s">
        <v>1006</v>
      </c>
      <c r="BB167" s="14">
        <v>820</v>
      </c>
      <c r="BC167" s="19">
        <v>44631</v>
      </c>
      <c r="BD167" s="14"/>
      <c r="BE167" s="14">
        <v>2750</v>
      </c>
      <c r="BF167" s="19">
        <v>45266</v>
      </c>
      <c r="BG167" s="14" t="s">
        <v>1006</v>
      </c>
      <c r="BH167" s="14"/>
      <c r="BI167" s="19"/>
      <c r="BJ167" s="14"/>
      <c r="BK167" s="14">
        <v>820</v>
      </c>
      <c r="BL167" s="19">
        <v>44631</v>
      </c>
      <c r="BM167" s="14"/>
      <c r="BN167" s="27">
        <v>45446</v>
      </c>
      <c r="BO167" s="27">
        <v>44811</v>
      </c>
      <c r="BP167" s="27">
        <v>45446</v>
      </c>
      <c r="BQ167" s="27" t="s">
        <v>143</v>
      </c>
      <c r="BR167" s="27">
        <v>44996</v>
      </c>
      <c r="BS167" s="28">
        <v>-92</v>
      </c>
      <c r="BT167" s="29">
        <v>-1272</v>
      </c>
      <c r="BU167" s="29">
        <v>-92</v>
      </c>
      <c r="BV167" s="29" t="s">
        <v>143</v>
      </c>
      <c r="BW167" s="29">
        <v>-1272</v>
      </c>
      <c r="BX167" s="30" t="s">
        <v>173</v>
      </c>
      <c r="BY167" s="8">
        <v>4</v>
      </c>
      <c r="BZ167" s="8">
        <v>0</v>
      </c>
      <c r="CA167" s="8">
        <v>0</v>
      </c>
      <c r="CB167" s="21">
        <v>45265.770833333299</v>
      </c>
      <c r="CC167" s="21">
        <v>45265.770833333299</v>
      </c>
      <c r="CD167" s="21">
        <v>0</v>
      </c>
      <c r="CE167" s="21">
        <v>44630.770833333299</v>
      </c>
      <c r="CF167" s="21">
        <v>45265.770833333299</v>
      </c>
      <c r="CG167" s="21">
        <v>44630.770833333299</v>
      </c>
      <c r="CH167" s="21">
        <v>44630.770833333299</v>
      </c>
      <c r="CI167" s="21">
        <v>44630.770833333299</v>
      </c>
      <c r="CJ167" s="21">
        <v>0</v>
      </c>
      <c r="CK167" s="22" t="s">
        <v>3087</v>
      </c>
      <c r="CL167" s="22" t="s">
        <v>3087</v>
      </c>
      <c r="CM167" s="22" t="s">
        <v>3087</v>
      </c>
      <c r="CN167" s="22" t="s">
        <v>3087</v>
      </c>
      <c r="CO167" s="22" t="s">
        <v>3087</v>
      </c>
      <c r="CP167" s="22" t="s">
        <v>3087</v>
      </c>
      <c r="CQ167" s="22" t="s">
        <v>2953</v>
      </c>
      <c r="CR167" s="22" t="s">
        <v>3087</v>
      </c>
      <c r="CS167" s="22" t="s">
        <v>3087</v>
      </c>
      <c r="CT167" s="22">
        <v>1</v>
      </c>
      <c r="CU167" s="21">
        <v>45445</v>
      </c>
      <c r="CV167" s="21">
        <v>45445</v>
      </c>
      <c r="CW167" s="21">
        <v>46020</v>
      </c>
      <c r="CX167" s="21">
        <v>44810</v>
      </c>
      <c r="CY167" s="21">
        <v>45445</v>
      </c>
      <c r="CZ167" s="21">
        <v>44900</v>
      </c>
      <c r="DA167" s="21">
        <v>44995</v>
      </c>
      <c r="DB167" s="21">
        <v>44810</v>
      </c>
      <c r="DC167" s="21">
        <v>46020</v>
      </c>
      <c r="DD167" s="8">
        <v>1</v>
      </c>
      <c r="DE167" s="8">
        <v>0</v>
      </c>
      <c r="DF167" s="8">
        <v>0</v>
      </c>
      <c r="DG167" s="8">
        <v>9</v>
      </c>
      <c r="DH167" s="8">
        <v>0</v>
      </c>
      <c r="DI167" s="8">
        <v>0</v>
      </c>
      <c r="DJ167" s="8" t="s">
        <v>3025</v>
      </c>
      <c r="DK167" s="21">
        <v>43677</v>
      </c>
      <c r="DL167" s="21">
        <v>43626.229166666664</v>
      </c>
      <c r="DM167" s="21">
        <v>45940</v>
      </c>
      <c r="DN167" s="18">
        <v>3420</v>
      </c>
      <c r="DO167" s="21">
        <v>0</v>
      </c>
      <c r="DP167" s="21">
        <v>0</v>
      </c>
      <c r="DQ167" s="21" t="s">
        <v>2955</v>
      </c>
      <c r="DR167" s="21">
        <v>45266</v>
      </c>
      <c r="DS167" s="21">
        <v>45266</v>
      </c>
      <c r="DT167" s="21">
        <v>0</v>
      </c>
      <c r="DU167" s="21">
        <v>44631</v>
      </c>
      <c r="DV167" s="21">
        <v>45266</v>
      </c>
      <c r="DW167" s="21">
        <v>44631</v>
      </c>
      <c r="DX167" s="21">
        <v>44631</v>
      </c>
      <c r="DY167" s="21">
        <v>44631</v>
      </c>
      <c r="DZ167" s="21">
        <v>0</v>
      </c>
      <c r="EA167" s="8">
        <v>80</v>
      </c>
      <c r="EB167" s="8">
        <v>80</v>
      </c>
      <c r="EC167" s="8">
        <v>80</v>
      </c>
      <c r="ED167" s="8">
        <v>80</v>
      </c>
      <c r="EE167" s="8">
        <v>80</v>
      </c>
      <c r="EF167" s="8">
        <v>80</v>
      </c>
      <c r="EG167" s="8">
        <v>1000</v>
      </c>
      <c r="EH167" s="8">
        <v>80</v>
      </c>
      <c r="EI167" s="8">
        <v>80</v>
      </c>
      <c r="EJ167" s="8">
        <v>1</v>
      </c>
      <c r="EK167" s="8" t="s">
        <v>2624</v>
      </c>
      <c r="EL167" s="8">
        <v>172</v>
      </c>
      <c r="EM167" s="8">
        <v>172</v>
      </c>
      <c r="EN167" s="8">
        <v>-208</v>
      </c>
      <c r="EO167" s="8">
        <v>-208</v>
      </c>
      <c r="EP167" s="8">
        <v>-208</v>
      </c>
      <c r="EQ167" s="8">
        <v>-208</v>
      </c>
      <c r="ER167" s="8">
        <v>-208</v>
      </c>
      <c r="ES167" s="8">
        <v>-208</v>
      </c>
      <c r="ET167" s="8">
        <v>712</v>
      </c>
      <c r="EU167" s="8">
        <v>-208</v>
      </c>
      <c r="EV167" s="8">
        <v>-208</v>
      </c>
    </row>
    <row r="168" spans="1:152" x14ac:dyDescent="0.15">
      <c r="A168" s="8">
        <f>ROW([2]!tbl_DPSAC[[#This Row],[Sl. No.]])-1</f>
        <v>167</v>
      </c>
      <c r="B168" s="9" t="s">
        <v>136</v>
      </c>
      <c r="C168" s="9" t="s">
        <v>1007</v>
      </c>
      <c r="D168" s="9" t="s">
        <v>138</v>
      </c>
      <c r="E168" s="9" t="s">
        <v>139</v>
      </c>
      <c r="F168" s="9" t="s">
        <v>161</v>
      </c>
      <c r="G168" s="10" t="s">
        <v>1008</v>
      </c>
      <c r="H168" s="10" t="str">
        <f>_xlfn.XLOOKUP(C168,'[1]E&amp;DPSAC'!$K:$K,'[1]E&amp;DPSAC'!$E:$E,,0)</f>
        <v>DHANBAD</v>
      </c>
      <c r="I168" s="10"/>
      <c r="J168" s="10">
        <v>9585918025</v>
      </c>
      <c r="K168" s="10">
        <f>_xlfn.XLOOKUP(C168,'[1]E&amp;DPSAC'!$K:$K,'[1]E&amp;DPSAC'!$G:$G,"",0)</f>
        <v>9585918025</v>
      </c>
      <c r="L168" s="9" t="str">
        <f t="shared" ca="1" si="8"/>
        <v>Non - Warranty</v>
      </c>
      <c r="M168" s="11">
        <v>43382</v>
      </c>
      <c r="N168" s="12">
        <v>24</v>
      </c>
      <c r="O168" s="11">
        <f t="shared" si="9"/>
        <v>44135</v>
      </c>
      <c r="P168" s="8" t="s">
        <v>157</v>
      </c>
      <c r="Q168" s="16" t="s">
        <v>1015</v>
      </c>
      <c r="R168" s="15">
        <v>45266.490324074097</v>
      </c>
      <c r="S168" s="14">
        <v>7452</v>
      </c>
      <c r="T168" s="15">
        <v>45266</v>
      </c>
      <c r="U168" s="14">
        <v>7452</v>
      </c>
      <c r="V168" s="14">
        <v>8200</v>
      </c>
      <c r="W168" s="17">
        <v>45360.550833333298</v>
      </c>
      <c r="X168" s="14" t="s">
        <v>2713</v>
      </c>
      <c r="Y168" s="14">
        <v>2</v>
      </c>
      <c r="Z168" s="14" t="s">
        <v>2692</v>
      </c>
      <c r="AA168" s="18">
        <v>846.50967592590314</v>
      </c>
      <c r="AB168" s="18" t="s">
        <v>2697</v>
      </c>
      <c r="AC168" s="8">
        <f>tbl_DPSAC[[#This Row],[Current Month Due Count]]</f>
        <v>0</v>
      </c>
      <c r="AD168" s="8">
        <f>tbl_DPSAC[[#This Row],[Next Month Due2]]</f>
        <v>0</v>
      </c>
      <c r="AE168" s="8">
        <f t="shared" si="10"/>
        <v>1</v>
      </c>
      <c r="AF168" s="8">
        <v>8</v>
      </c>
      <c r="AG168" s="14">
        <f t="shared" ca="1" si="11"/>
        <v>14220</v>
      </c>
      <c r="AH168" s="8" t="s">
        <v>1009</v>
      </c>
      <c r="AI168" s="8" t="s">
        <v>1010</v>
      </c>
      <c r="AJ168" s="8">
        <v>0</v>
      </c>
      <c r="AK168" s="8" t="s">
        <v>1011</v>
      </c>
      <c r="AL168" s="8">
        <v>0</v>
      </c>
      <c r="AM168" s="8">
        <v>0</v>
      </c>
      <c r="AN168" s="8" t="s">
        <v>1012</v>
      </c>
      <c r="AO168" s="8" t="s">
        <v>1013</v>
      </c>
      <c r="AP168" s="8" t="s">
        <v>1014</v>
      </c>
      <c r="AQ168" s="8">
        <v>0</v>
      </c>
      <c r="AR168" s="8">
        <v>0</v>
      </c>
      <c r="AS168" s="8">
        <v>0</v>
      </c>
      <c r="AT168" s="8">
        <v>0</v>
      </c>
      <c r="AU168" s="8">
        <v>0</v>
      </c>
      <c r="AV168" s="8">
        <v>0</v>
      </c>
      <c r="AW168" s="8">
        <v>0</v>
      </c>
      <c r="AX168" s="8" t="s">
        <v>2961</v>
      </c>
      <c r="AY168" s="14">
        <v>4700</v>
      </c>
      <c r="AZ168" s="19">
        <v>44810</v>
      </c>
      <c r="BA168" s="14"/>
      <c r="BB168" s="14">
        <v>7452</v>
      </c>
      <c r="BC168" s="19">
        <v>45266</v>
      </c>
      <c r="BD168" s="14" t="s">
        <v>1015</v>
      </c>
      <c r="BE168" s="14">
        <v>4700</v>
      </c>
      <c r="BF168" s="19">
        <v>44810</v>
      </c>
      <c r="BG168" s="14"/>
      <c r="BH168" s="14">
        <v>4700</v>
      </c>
      <c r="BI168" s="19">
        <v>44810</v>
      </c>
      <c r="BJ168" s="14"/>
      <c r="BK168" s="14">
        <v>7452</v>
      </c>
      <c r="BL168" s="19">
        <v>45266</v>
      </c>
      <c r="BM168" s="14" t="s">
        <v>1015</v>
      </c>
      <c r="BN168" s="27">
        <v>44990</v>
      </c>
      <c r="BO168" s="27">
        <v>45446</v>
      </c>
      <c r="BP168" s="27">
        <v>44990</v>
      </c>
      <c r="BQ168" s="27">
        <v>44990</v>
      </c>
      <c r="BR168" s="27">
        <v>45631</v>
      </c>
      <c r="BS168" s="28">
        <v>-8770</v>
      </c>
      <c r="BT168" s="29">
        <v>-5268</v>
      </c>
      <c r="BU168" s="29">
        <v>-8770</v>
      </c>
      <c r="BV168" s="29">
        <v>-8770</v>
      </c>
      <c r="BW168" s="29">
        <v>-5268</v>
      </c>
      <c r="BX168" s="8" t="s">
        <v>1016</v>
      </c>
      <c r="BY168" s="8">
        <v>5</v>
      </c>
      <c r="BZ168" s="8">
        <v>0</v>
      </c>
      <c r="CA168" s="8">
        <v>0</v>
      </c>
      <c r="CB168" s="21">
        <v>45265.770833333299</v>
      </c>
      <c r="CC168" s="21">
        <v>45089.770833333299</v>
      </c>
      <c r="CD168" s="21">
        <v>45089.770833333299</v>
      </c>
      <c r="CE168" s="21">
        <v>45089.770833333299</v>
      </c>
      <c r="CF168" s="21">
        <v>45089.770833333299</v>
      </c>
      <c r="CG168" s="21">
        <v>45265.770833333299</v>
      </c>
      <c r="CH168" s="21">
        <v>45265.770833333299</v>
      </c>
      <c r="CI168" s="21">
        <v>45265.770833333299</v>
      </c>
      <c r="CJ168" s="21">
        <v>45265.770833333299</v>
      </c>
      <c r="CK168" s="22" t="s">
        <v>3088</v>
      </c>
      <c r="CL168" s="22" t="s">
        <v>3088</v>
      </c>
      <c r="CM168" s="22" t="s">
        <v>3088</v>
      </c>
      <c r="CN168" s="22" t="s">
        <v>3088</v>
      </c>
      <c r="CO168" s="22" t="s">
        <v>3088</v>
      </c>
      <c r="CP168" s="22" t="s">
        <v>3089</v>
      </c>
      <c r="CQ168" s="22" t="s">
        <v>3089</v>
      </c>
      <c r="CR168" s="22" t="s">
        <v>3089</v>
      </c>
      <c r="CS168" s="22" t="s">
        <v>3089</v>
      </c>
      <c r="CT168" s="22">
        <v>8</v>
      </c>
      <c r="CU168" s="21">
        <v>45391</v>
      </c>
      <c r="CV168" s="21">
        <v>45269</v>
      </c>
      <c r="CW168" s="21">
        <v>45269</v>
      </c>
      <c r="CX168" s="21">
        <v>45269</v>
      </c>
      <c r="CY168" s="21">
        <v>45269</v>
      </c>
      <c r="CZ168" s="21">
        <v>45454</v>
      </c>
      <c r="DA168" s="21">
        <v>45454</v>
      </c>
      <c r="DB168" s="21">
        <v>45445</v>
      </c>
      <c r="DC168" s="21">
        <v>45454</v>
      </c>
      <c r="DD168" s="8">
        <v>1</v>
      </c>
      <c r="DE168" s="8">
        <v>0</v>
      </c>
      <c r="DF168" s="8">
        <v>0</v>
      </c>
      <c r="DG168" s="8">
        <v>9</v>
      </c>
      <c r="DH168" s="8">
        <v>0</v>
      </c>
      <c r="DI168" s="8">
        <v>0</v>
      </c>
      <c r="DJ168" s="8" t="s">
        <v>2976</v>
      </c>
      <c r="DK168" s="21">
        <v>43382</v>
      </c>
      <c r="DL168" s="21">
        <v>0</v>
      </c>
      <c r="DM168" s="21">
        <v>45360</v>
      </c>
      <c r="DN168" s="18">
        <v>8200</v>
      </c>
      <c r="DO168" s="21">
        <v>0</v>
      </c>
      <c r="DP168" s="21">
        <v>0</v>
      </c>
      <c r="DQ168" s="21" t="s">
        <v>2955</v>
      </c>
      <c r="DR168" s="21">
        <v>45266</v>
      </c>
      <c r="DS168" s="21">
        <v>45090</v>
      </c>
      <c r="DT168" s="21">
        <v>45090</v>
      </c>
      <c r="DU168" s="21">
        <v>45090</v>
      </c>
      <c r="DV168" s="21">
        <v>45090</v>
      </c>
      <c r="DW168" s="21">
        <v>45266</v>
      </c>
      <c r="DX168" s="21">
        <v>45266</v>
      </c>
      <c r="DY168" s="21">
        <v>45266</v>
      </c>
      <c r="DZ168" s="21">
        <v>45266</v>
      </c>
      <c r="EA168" s="8">
        <v>252</v>
      </c>
      <c r="EB168" s="8">
        <v>252</v>
      </c>
      <c r="EC168" s="8">
        <v>252</v>
      </c>
      <c r="ED168" s="8">
        <v>252</v>
      </c>
      <c r="EE168" s="8">
        <v>252</v>
      </c>
      <c r="EF168" s="8">
        <v>752</v>
      </c>
      <c r="EG168" s="8">
        <v>752</v>
      </c>
      <c r="EH168" s="8">
        <v>752</v>
      </c>
      <c r="EI168" s="8">
        <v>752</v>
      </c>
      <c r="EJ168" s="8">
        <v>8</v>
      </c>
      <c r="EK168" s="8" t="s">
        <v>157</v>
      </c>
      <c r="EL168" s="8">
        <v>752</v>
      </c>
      <c r="EM168" s="8">
        <v>6016</v>
      </c>
      <c r="EN168" s="8">
        <v>-36</v>
      </c>
      <c r="EO168" s="8">
        <v>-36</v>
      </c>
      <c r="EP168" s="8">
        <v>-36</v>
      </c>
      <c r="EQ168" s="8">
        <v>-36</v>
      </c>
      <c r="ER168" s="8">
        <v>-36</v>
      </c>
      <c r="ES168" s="8">
        <v>464</v>
      </c>
      <c r="ET168" s="8">
        <v>464</v>
      </c>
      <c r="EU168" s="8">
        <v>464</v>
      </c>
      <c r="EV168" s="8">
        <v>464</v>
      </c>
    </row>
    <row r="169" spans="1:152" x14ac:dyDescent="0.15">
      <c r="A169" s="8">
        <f>ROW([2]!tbl_DPSAC[[#This Row],[Sl. No.]])-1</f>
        <v>168</v>
      </c>
      <c r="B169" s="9" t="s">
        <v>136</v>
      </c>
      <c r="C169" s="9" t="s">
        <v>1017</v>
      </c>
      <c r="D169" s="9" t="s">
        <v>138</v>
      </c>
      <c r="E169" s="9" t="s">
        <v>139</v>
      </c>
      <c r="F169" s="9" t="s">
        <v>161</v>
      </c>
      <c r="G169" s="10" t="s">
        <v>1008</v>
      </c>
      <c r="H169" s="10" t="str">
        <f>_xlfn.XLOOKUP(C169,'[1]E&amp;DPSAC'!$K:$K,'[1]E&amp;DPSAC'!$E:$E,,0)</f>
        <v>CHANDMARI, JORAPHATAK,, DHANBAD</v>
      </c>
      <c r="I169" s="10"/>
      <c r="J169" s="10">
        <v>9585918025</v>
      </c>
      <c r="K169" s="10">
        <f>_xlfn.XLOOKUP(C169,'[1]E&amp;DPSAC'!$K:$K,'[1]E&amp;DPSAC'!$G:$G,"",0)</f>
        <v>9585918025</v>
      </c>
      <c r="L169" s="9" t="str">
        <f t="shared" ca="1" si="8"/>
        <v>Non - Warranty</v>
      </c>
      <c r="M169" s="11">
        <v>43383</v>
      </c>
      <c r="N169" s="12">
        <v>24</v>
      </c>
      <c r="O169" s="11">
        <f t="shared" si="9"/>
        <v>44135</v>
      </c>
      <c r="P169" s="8" t="s">
        <v>715</v>
      </c>
      <c r="Q169" s="16" t="s">
        <v>1018</v>
      </c>
      <c r="R169" s="15">
        <v>45339.647905092599</v>
      </c>
      <c r="S169" s="14">
        <v>6815</v>
      </c>
      <c r="T169" s="15">
        <v>45339</v>
      </c>
      <c r="U169" s="14">
        <v>6815</v>
      </c>
      <c r="V169" s="14">
        <v>6978</v>
      </c>
      <c r="W169" s="17">
        <v>45360.5533796296</v>
      </c>
      <c r="X169" s="14" t="s">
        <v>2769</v>
      </c>
      <c r="Y169" s="14">
        <v>587</v>
      </c>
      <c r="Z169" s="14" t="s">
        <v>2692</v>
      </c>
      <c r="AA169" s="18">
        <v>773.3520949074009</v>
      </c>
      <c r="AB169" s="18" t="s">
        <v>2697</v>
      </c>
      <c r="AC169" s="8">
        <f>tbl_DPSAC[[#This Row],[Current Month Due Count]]</f>
        <v>0</v>
      </c>
      <c r="AD169" s="8">
        <f>tbl_DPSAC[[#This Row],[Next Month Due2]]</f>
        <v>0</v>
      </c>
      <c r="AE169" s="8">
        <f t="shared" si="10"/>
        <v>1</v>
      </c>
      <c r="AF169" s="8">
        <v>8</v>
      </c>
      <c r="AG169" s="14">
        <f t="shared" ca="1" si="11"/>
        <v>12998</v>
      </c>
      <c r="AH169" s="8">
        <v>0</v>
      </c>
      <c r="AI169" s="8">
        <v>0</v>
      </c>
      <c r="AJ169" s="8">
        <v>0</v>
      </c>
      <c r="AK169" s="8">
        <v>0</v>
      </c>
      <c r="AL169" s="8">
        <v>0</v>
      </c>
      <c r="AM169" s="8">
        <v>0</v>
      </c>
      <c r="AN169" s="8">
        <v>0</v>
      </c>
      <c r="AO169" s="8">
        <v>0</v>
      </c>
      <c r="AP169" s="8">
        <v>0</v>
      </c>
      <c r="AQ169" s="8">
        <v>0</v>
      </c>
      <c r="AR169" s="8">
        <v>0</v>
      </c>
      <c r="AS169" s="8">
        <v>0</v>
      </c>
      <c r="AT169" s="8">
        <v>0</v>
      </c>
      <c r="AU169" s="8">
        <v>0</v>
      </c>
      <c r="AV169" s="8">
        <v>0</v>
      </c>
      <c r="AW169" s="8">
        <v>0</v>
      </c>
      <c r="AX169" s="8" t="s">
        <v>2961</v>
      </c>
      <c r="AY169" s="14">
        <v>6815</v>
      </c>
      <c r="AZ169" s="19">
        <v>45339</v>
      </c>
      <c r="BA169" s="14" t="s">
        <v>1018</v>
      </c>
      <c r="BB169" s="14">
        <v>6815</v>
      </c>
      <c r="BC169" s="19">
        <v>45339</v>
      </c>
      <c r="BD169" s="14" t="s">
        <v>1018</v>
      </c>
      <c r="BE169" s="14">
        <v>6815</v>
      </c>
      <c r="BF169" s="19">
        <v>45339</v>
      </c>
      <c r="BG169" s="14" t="s">
        <v>1018</v>
      </c>
      <c r="BH169" s="14">
        <v>6815</v>
      </c>
      <c r="BI169" s="19">
        <v>45339</v>
      </c>
      <c r="BJ169" s="14" t="s">
        <v>1018</v>
      </c>
      <c r="BK169" s="14">
        <v>6815</v>
      </c>
      <c r="BL169" s="19">
        <v>45339</v>
      </c>
      <c r="BM169" s="14" t="s">
        <v>1018</v>
      </c>
      <c r="BN169" s="27">
        <v>45519</v>
      </c>
      <c r="BO169" s="27">
        <v>45519</v>
      </c>
      <c r="BP169" s="27">
        <v>45519</v>
      </c>
      <c r="BQ169" s="27">
        <v>45519</v>
      </c>
      <c r="BR169" s="27">
        <v>45704</v>
      </c>
      <c r="BS169" s="28">
        <v>-5433</v>
      </c>
      <c r="BT169" s="29">
        <v>-4683</v>
      </c>
      <c r="BU169" s="29">
        <v>-5433</v>
      </c>
      <c r="BV169" s="29">
        <v>-5433</v>
      </c>
      <c r="BW169" s="29">
        <v>-4683</v>
      </c>
      <c r="BX169" s="8" t="s">
        <v>1016</v>
      </c>
      <c r="BY169" s="8">
        <v>5</v>
      </c>
      <c r="BZ169" s="8">
        <v>0</v>
      </c>
      <c r="CA169" s="8">
        <v>0</v>
      </c>
      <c r="CB169" s="21" t="s">
        <v>143</v>
      </c>
      <c r="CC169" s="21" t="s">
        <v>143</v>
      </c>
      <c r="CD169" s="21" t="s">
        <v>143</v>
      </c>
      <c r="CE169" s="21" t="s">
        <v>143</v>
      </c>
      <c r="CF169" s="21" t="s">
        <v>143</v>
      </c>
      <c r="CG169" s="21" t="s">
        <v>143</v>
      </c>
      <c r="CH169" s="21" t="s">
        <v>143</v>
      </c>
      <c r="CI169" s="21" t="s">
        <v>143</v>
      </c>
      <c r="CJ169" s="21" t="s">
        <v>143</v>
      </c>
      <c r="CK169" s="22" t="s">
        <v>143</v>
      </c>
      <c r="CL169" s="22" t="s">
        <v>143</v>
      </c>
      <c r="CM169" s="22" t="s">
        <v>143</v>
      </c>
      <c r="CN169" s="22" t="s">
        <v>143</v>
      </c>
      <c r="CO169" s="22" t="s">
        <v>143</v>
      </c>
      <c r="CP169" s="22" t="s">
        <v>143</v>
      </c>
      <c r="CQ169" s="22" t="s">
        <v>143</v>
      </c>
      <c r="CR169" s="22" t="s">
        <v>143</v>
      </c>
      <c r="CS169" s="22" t="s">
        <v>143</v>
      </c>
      <c r="CT169" s="22" t="s">
        <v>143</v>
      </c>
      <c r="CU169" s="21" t="s">
        <v>143</v>
      </c>
      <c r="CV169" s="21" t="s">
        <v>143</v>
      </c>
      <c r="CW169" s="21" t="s">
        <v>143</v>
      </c>
      <c r="CX169" s="21" t="s">
        <v>143</v>
      </c>
      <c r="CY169" s="21" t="s">
        <v>143</v>
      </c>
      <c r="CZ169" s="21" t="s">
        <v>143</v>
      </c>
      <c r="DA169" s="21" t="s">
        <v>143</v>
      </c>
      <c r="DB169" s="21" t="s">
        <v>143</v>
      </c>
      <c r="DC169" s="21" t="s">
        <v>143</v>
      </c>
      <c r="DD169" s="8" t="s">
        <v>143</v>
      </c>
      <c r="DE169" s="8" t="s">
        <v>143</v>
      </c>
      <c r="DF169" s="8" t="s">
        <v>143</v>
      </c>
      <c r="DG169" s="8">
        <v>0</v>
      </c>
      <c r="DH169" s="8">
        <v>0</v>
      </c>
      <c r="DI169" s="8">
        <v>0</v>
      </c>
      <c r="DJ169" s="8" t="s">
        <v>3032</v>
      </c>
      <c r="DK169" s="21">
        <v>43383</v>
      </c>
      <c r="DL169" s="21">
        <v>43272.333333333336</v>
      </c>
      <c r="DM169" s="21">
        <v>45360</v>
      </c>
      <c r="DN169" s="18">
        <v>6978</v>
      </c>
      <c r="DO169" s="21">
        <v>0</v>
      </c>
      <c r="DP169" s="21">
        <v>0</v>
      </c>
      <c r="DQ169" s="21" t="s">
        <v>2955</v>
      </c>
      <c r="DR169" s="21">
        <v>45339</v>
      </c>
      <c r="DS169" s="21">
        <v>45339</v>
      </c>
      <c r="DT169" s="21">
        <v>45339</v>
      </c>
      <c r="DU169" s="21">
        <v>45339</v>
      </c>
      <c r="DV169" s="21">
        <v>45339</v>
      </c>
      <c r="DW169" s="21">
        <v>45339</v>
      </c>
      <c r="DX169" s="21">
        <v>45339</v>
      </c>
      <c r="DY169" s="21">
        <v>45339</v>
      </c>
      <c r="DZ169" s="21">
        <v>45339</v>
      </c>
      <c r="EA169" s="8">
        <v>587</v>
      </c>
      <c r="EB169" s="8">
        <v>587</v>
      </c>
      <c r="EC169" s="8">
        <v>587</v>
      </c>
      <c r="ED169" s="8">
        <v>587</v>
      </c>
      <c r="EE169" s="8">
        <v>587</v>
      </c>
      <c r="EF169" s="8">
        <v>1337</v>
      </c>
      <c r="EG169" s="8">
        <v>1000</v>
      </c>
      <c r="EH169" s="8">
        <v>1337</v>
      </c>
      <c r="EI169" s="8">
        <v>1337</v>
      </c>
      <c r="EJ169" s="8">
        <v>8</v>
      </c>
      <c r="EK169" s="8" t="s">
        <v>715</v>
      </c>
      <c r="EL169" s="8">
        <v>752</v>
      </c>
      <c r="EM169" s="8">
        <v>6016</v>
      </c>
      <c r="EN169" s="8">
        <v>299</v>
      </c>
      <c r="EO169" s="8">
        <v>299</v>
      </c>
      <c r="EP169" s="8">
        <v>299</v>
      </c>
      <c r="EQ169" s="8">
        <v>299</v>
      </c>
      <c r="ER169" s="8">
        <v>299</v>
      </c>
      <c r="ES169" s="8">
        <v>1049</v>
      </c>
      <c r="ET169" s="8">
        <v>712</v>
      </c>
      <c r="EU169" s="8">
        <v>1049</v>
      </c>
      <c r="EV169" s="8">
        <v>1049</v>
      </c>
    </row>
    <row r="170" spans="1:152" x14ac:dyDescent="0.15">
      <c r="A170" s="8">
        <f>ROW([2]!tbl_DPSAC[[#This Row],[Sl. No.]])-1</f>
        <v>169</v>
      </c>
      <c r="B170" s="9" t="s">
        <v>136</v>
      </c>
      <c r="C170" s="9" t="s">
        <v>1019</v>
      </c>
      <c r="D170" s="9" t="s">
        <v>169</v>
      </c>
      <c r="E170" s="9" t="s">
        <v>170</v>
      </c>
      <c r="F170" s="9" t="s">
        <v>161</v>
      </c>
      <c r="G170" s="10" t="s">
        <v>1020</v>
      </c>
      <c r="H170" s="10" t="str">
        <f>_xlfn.XLOOKUP(C170,'[1]E&amp;DPSAC'!$K:$K,'[1]E&amp;DPSAC'!$E:$E,,0)</f>
        <v>KAMDE,RANCHI</v>
      </c>
      <c r="I170" s="10"/>
      <c r="J170" s="10">
        <v>9304197720</v>
      </c>
      <c r="K170" s="10">
        <f>_xlfn.XLOOKUP(C170,'[1]E&amp;DPSAC'!$K:$K,'[1]E&amp;DPSAC'!$G:$G,"",0)</f>
        <v>9304197723</v>
      </c>
      <c r="L170" s="9" t="str">
        <f t="shared" ca="1" si="8"/>
        <v>Non - Warranty</v>
      </c>
      <c r="M170" s="11">
        <v>43214</v>
      </c>
      <c r="N170" s="12">
        <v>24</v>
      </c>
      <c r="O170" s="11">
        <f t="shared" si="9"/>
        <v>43951</v>
      </c>
      <c r="P170" s="8" t="s">
        <v>681</v>
      </c>
      <c r="Q170" s="16" t="s">
        <v>1021</v>
      </c>
      <c r="R170" s="15">
        <v>45289.453831018502</v>
      </c>
      <c r="S170" s="14">
        <v>2250</v>
      </c>
      <c r="T170" s="15">
        <v>45289</v>
      </c>
      <c r="U170" s="14">
        <v>2250</v>
      </c>
      <c r="V170" s="14">
        <v>2250</v>
      </c>
      <c r="W170" s="17">
        <v>45289.453831018502</v>
      </c>
      <c r="X170" s="14" t="s">
        <v>2778</v>
      </c>
      <c r="Y170" s="14">
        <v>750</v>
      </c>
      <c r="Z170" s="14" t="s">
        <v>2692</v>
      </c>
      <c r="AA170" s="18">
        <v>823.54616898149834</v>
      </c>
      <c r="AB170" s="18" t="s">
        <v>2697</v>
      </c>
      <c r="AC170" s="8">
        <f>tbl_DPSAC[[#This Row],[Current Month Due Count]]</f>
        <v>0</v>
      </c>
      <c r="AD170" s="8">
        <f>tbl_DPSAC[[#This Row],[Next Month Due2]]</f>
        <v>0</v>
      </c>
      <c r="AE170" s="8">
        <f t="shared" si="10"/>
        <v>1</v>
      </c>
      <c r="AF170" s="8">
        <v>2</v>
      </c>
      <c r="AG170" s="14">
        <f t="shared" ca="1" si="11"/>
        <v>3897</v>
      </c>
      <c r="AH170" s="8">
        <v>0</v>
      </c>
      <c r="AI170" s="8">
        <v>0</v>
      </c>
      <c r="AJ170" s="8">
        <v>0</v>
      </c>
      <c r="AK170" s="8">
        <v>0</v>
      </c>
      <c r="AL170" s="8">
        <v>0</v>
      </c>
      <c r="AM170" s="8">
        <v>0</v>
      </c>
      <c r="AN170" s="8">
        <v>0</v>
      </c>
      <c r="AO170" s="8">
        <v>0</v>
      </c>
      <c r="AP170" s="8">
        <v>0</v>
      </c>
      <c r="AQ170" s="8">
        <v>0</v>
      </c>
      <c r="AR170" s="8">
        <v>0</v>
      </c>
      <c r="AS170" s="8">
        <v>0</v>
      </c>
      <c r="AT170" s="8">
        <v>0</v>
      </c>
      <c r="AU170" s="8">
        <v>0</v>
      </c>
      <c r="AV170" s="8">
        <v>0</v>
      </c>
      <c r="AW170" s="8">
        <v>0</v>
      </c>
      <c r="AX170" s="8" t="s">
        <v>2961</v>
      </c>
      <c r="AY170" s="14">
        <v>2250</v>
      </c>
      <c r="AZ170" s="19">
        <v>45289</v>
      </c>
      <c r="BA170" s="14" t="s">
        <v>1021</v>
      </c>
      <c r="BB170" s="14">
        <v>1555</v>
      </c>
      <c r="BC170" s="19">
        <v>45000</v>
      </c>
      <c r="BD170" s="14" t="s">
        <v>1022</v>
      </c>
      <c r="BE170" s="14">
        <v>2250</v>
      </c>
      <c r="BF170" s="19">
        <v>45289</v>
      </c>
      <c r="BG170" s="14" t="s">
        <v>1021</v>
      </c>
      <c r="BH170" s="14">
        <v>1555</v>
      </c>
      <c r="BI170" s="19">
        <v>45000</v>
      </c>
      <c r="BJ170" s="14" t="s">
        <v>1022</v>
      </c>
      <c r="BK170" s="14">
        <v>1555</v>
      </c>
      <c r="BL170" s="19">
        <v>45000</v>
      </c>
      <c r="BM170" s="14" t="s">
        <v>1022</v>
      </c>
      <c r="BN170" s="27">
        <v>45469</v>
      </c>
      <c r="BO170" s="27">
        <v>45180</v>
      </c>
      <c r="BP170" s="27">
        <v>45469</v>
      </c>
      <c r="BQ170" s="27">
        <v>45180</v>
      </c>
      <c r="BR170" s="27">
        <v>45365</v>
      </c>
      <c r="BS170" s="28">
        <v>-897</v>
      </c>
      <c r="BT170" s="29">
        <v>-842</v>
      </c>
      <c r="BU170" s="29">
        <v>-897</v>
      </c>
      <c r="BV170" s="29">
        <v>-1592</v>
      </c>
      <c r="BW170" s="29">
        <v>-842</v>
      </c>
      <c r="BX170" s="30" t="s">
        <v>173</v>
      </c>
      <c r="BY170" s="8">
        <v>5</v>
      </c>
      <c r="BZ170" s="8">
        <v>0</v>
      </c>
      <c r="CA170" s="8">
        <v>0</v>
      </c>
      <c r="CB170" s="21">
        <v>45288.770833333299</v>
      </c>
      <c r="CC170" s="21">
        <v>45288.770833333299</v>
      </c>
      <c r="CD170" s="21">
        <v>0</v>
      </c>
      <c r="CE170" s="21">
        <v>45288.770833333299</v>
      </c>
      <c r="CF170" s="21">
        <v>45288.770833333299</v>
      </c>
      <c r="CG170" s="21">
        <v>44999.770833333299</v>
      </c>
      <c r="CH170" s="21">
        <v>0</v>
      </c>
      <c r="CI170" s="21">
        <v>44999.770833333299</v>
      </c>
      <c r="CJ170" s="21">
        <v>0</v>
      </c>
      <c r="CK170" s="22" t="s">
        <v>2957</v>
      </c>
      <c r="CL170" s="22" t="s">
        <v>2957</v>
      </c>
      <c r="CM170" s="22" t="s">
        <v>2959</v>
      </c>
      <c r="CN170" s="22" t="s">
        <v>2957</v>
      </c>
      <c r="CO170" s="22" t="s">
        <v>2957</v>
      </c>
      <c r="CP170" s="22" t="s">
        <v>3090</v>
      </c>
      <c r="CQ170" s="22" t="s">
        <v>3090</v>
      </c>
      <c r="CR170" s="22" t="s">
        <v>3090</v>
      </c>
      <c r="CS170" s="22" t="s">
        <v>3090</v>
      </c>
      <c r="CT170" s="22">
        <v>8</v>
      </c>
      <c r="CU170" s="21">
        <v>45382</v>
      </c>
      <c r="CV170" s="21">
        <v>45382</v>
      </c>
      <c r="CW170" s="21">
        <v>45351</v>
      </c>
      <c r="CX170" s="21">
        <v>45382</v>
      </c>
      <c r="CY170" s="21">
        <v>45382</v>
      </c>
      <c r="CZ170" s="21">
        <v>45269</v>
      </c>
      <c r="DA170" s="21">
        <v>45255</v>
      </c>
      <c r="DB170" s="21">
        <v>45179</v>
      </c>
      <c r="DC170" s="21">
        <v>45380</v>
      </c>
      <c r="DD170" s="8">
        <v>1</v>
      </c>
      <c r="DE170" s="8">
        <v>0</v>
      </c>
      <c r="DF170" s="8">
        <v>0</v>
      </c>
      <c r="DG170" s="8">
        <v>9</v>
      </c>
      <c r="DH170" s="8">
        <v>0</v>
      </c>
      <c r="DI170" s="8">
        <v>0</v>
      </c>
      <c r="DJ170" s="8" t="s">
        <v>3025</v>
      </c>
      <c r="DK170" s="21">
        <v>43579</v>
      </c>
      <c r="DL170" s="21">
        <v>43507.229166666664</v>
      </c>
      <c r="DM170" s="21">
        <v>45289</v>
      </c>
      <c r="DN170" s="18">
        <v>2250</v>
      </c>
      <c r="DO170" s="21">
        <v>0</v>
      </c>
      <c r="DP170" s="21">
        <v>0</v>
      </c>
      <c r="DQ170" s="21" t="s">
        <v>2955</v>
      </c>
      <c r="DR170" s="21">
        <v>45289</v>
      </c>
      <c r="DS170" s="21">
        <v>45289</v>
      </c>
      <c r="DT170" s="21">
        <v>0</v>
      </c>
      <c r="DU170" s="21">
        <v>45289</v>
      </c>
      <c r="DV170" s="21">
        <v>45289</v>
      </c>
      <c r="DW170" s="21">
        <v>45000</v>
      </c>
      <c r="DX170" s="21">
        <v>0</v>
      </c>
      <c r="DY170" s="21">
        <v>45000</v>
      </c>
      <c r="DZ170" s="21">
        <v>0</v>
      </c>
      <c r="EA170" s="8">
        <v>750</v>
      </c>
      <c r="EB170" s="8">
        <v>750</v>
      </c>
      <c r="EC170" s="8">
        <v>500</v>
      </c>
      <c r="ED170" s="8">
        <v>750</v>
      </c>
      <c r="EE170" s="8">
        <v>750</v>
      </c>
      <c r="EF170" s="8">
        <v>805</v>
      </c>
      <c r="EG170" s="8">
        <v>805</v>
      </c>
      <c r="EH170" s="8">
        <v>805</v>
      </c>
      <c r="EI170" s="8">
        <v>805</v>
      </c>
      <c r="EJ170" s="8">
        <v>8</v>
      </c>
      <c r="EK170" s="8" t="s">
        <v>2624</v>
      </c>
      <c r="EL170" s="8">
        <v>824</v>
      </c>
      <c r="EM170" s="8">
        <v>1648</v>
      </c>
      <c r="EN170" s="8">
        <v>462</v>
      </c>
      <c r="EO170" s="8">
        <v>462</v>
      </c>
      <c r="EP170" s="8">
        <v>212</v>
      </c>
      <c r="EQ170" s="8">
        <v>462</v>
      </c>
      <c r="ER170" s="8">
        <v>462</v>
      </c>
      <c r="ES170" s="8">
        <v>517</v>
      </c>
      <c r="ET170" s="8">
        <v>517</v>
      </c>
      <c r="EU170" s="8">
        <v>517</v>
      </c>
      <c r="EV170" s="8">
        <v>517</v>
      </c>
    </row>
    <row r="171" spans="1:152" x14ac:dyDescent="0.15">
      <c r="A171" s="8">
        <f>ROW([2]!tbl_DPSAC[[#This Row],[Sl. No.]])-1</f>
        <v>170</v>
      </c>
      <c r="B171" s="9" t="s">
        <v>136</v>
      </c>
      <c r="C171" s="9" t="s">
        <v>1023</v>
      </c>
      <c r="D171" s="9" t="s">
        <v>169</v>
      </c>
      <c r="E171" s="9" t="s">
        <v>170</v>
      </c>
      <c r="F171" s="9" t="s">
        <v>161</v>
      </c>
      <c r="G171" s="10" t="s">
        <v>1020</v>
      </c>
      <c r="H171" s="10" t="str">
        <f>_xlfn.XLOOKUP(C171,'[1]E&amp;DPSAC'!$K:$K,'[1]E&amp;DPSAC'!$E:$E,,0)</f>
        <v>KIRIGARA, JHARKHAND</v>
      </c>
      <c r="I171" s="10"/>
      <c r="J171" s="10">
        <v>9304197720</v>
      </c>
      <c r="K171" s="10">
        <f>_xlfn.XLOOKUP(C171,'[1]E&amp;DPSAC'!$K:$K,'[1]E&amp;DPSAC'!$G:$G,"",0)</f>
        <v>9304197723</v>
      </c>
      <c r="L171" s="9" t="str">
        <f t="shared" ca="1" si="8"/>
        <v>Non - Warranty</v>
      </c>
      <c r="M171" s="11">
        <v>43423</v>
      </c>
      <c r="N171" s="12">
        <v>24</v>
      </c>
      <c r="O171" s="11">
        <f t="shared" si="9"/>
        <v>44165</v>
      </c>
      <c r="P171" s="8" t="s">
        <v>681</v>
      </c>
      <c r="Q171" s="16" t="s">
        <v>1024</v>
      </c>
      <c r="R171" s="15">
        <v>45289.450636574104</v>
      </c>
      <c r="S171" s="14">
        <v>3762</v>
      </c>
      <c r="T171" s="15">
        <v>45289</v>
      </c>
      <c r="U171" s="14">
        <v>3762</v>
      </c>
      <c r="V171" s="14">
        <v>3762</v>
      </c>
      <c r="W171" s="17">
        <v>45289.450636574104</v>
      </c>
      <c r="X171" s="14" t="s">
        <v>2782</v>
      </c>
      <c r="Y171" s="14">
        <v>750</v>
      </c>
      <c r="Z171" s="14" t="s">
        <v>2692</v>
      </c>
      <c r="AA171" s="18">
        <v>823.54936342589644</v>
      </c>
      <c r="AB171" s="18" t="s">
        <v>2697</v>
      </c>
      <c r="AC171" s="8">
        <f>tbl_DPSAC[[#This Row],[Current Month Due Count]]</f>
        <v>0</v>
      </c>
      <c r="AD171" s="8">
        <f>tbl_DPSAC[[#This Row],[Next Month Due2]]</f>
        <v>0</v>
      </c>
      <c r="AE171" s="8">
        <f t="shared" si="10"/>
        <v>1</v>
      </c>
      <c r="AF171" s="8">
        <v>3</v>
      </c>
      <c r="AG171" s="14">
        <f t="shared" ca="1" si="11"/>
        <v>6233</v>
      </c>
      <c r="AH171" s="8">
        <v>0</v>
      </c>
      <c r="AI171" s="8">
        <v>0</v>
      </c>
      <c r="AJ171" s="8">
        <v>0</v>
      </c>
      <c r="AK171" s="8">
        <v>0</v>
      </c>
      <c r="AL171" s="8">
        <v>0</v>
      </c>
      <c r="AM171" s="8">
        <v>0</v>
      </c>
      <c r="AN171" s="8">
        <v>0</v>
      </c>
      <c r="AO171" s="8">
        <v>0</v>
      </c>
      <c r="AP171" s="8">
        <v>0</v>
      </c>
      <c r="AQ171" s="8">
        <v>0</v>
      </c>
      <c r="AR171" s="8">
        <v>0</v>
      </c>
      <c r="AS171" s="8">
        <v>0</v>
      </c>
      <c r="AT171" s="8">
        <v>0</v>
      </c>
      <c r="AU171" s="8">
        <v>0</v>
      </c>
      <c r="AV171" s="8">
        <v>0</v>
      </c>
      <c r="AW171" s="8">
        <v>0</v>
      </c>
      <c r="AX171" s="8" t="s">
        <v>2961</v>
      </c>
      <c r="AY171" s="14">
        <v>3762</v>
      </c>
      <c r="AZ171" s="19">
        <v>45289</v>
      </c>
      <c r="BA171" s="14" t="s">
        <v>1024</v>
      </c>
      <c r="BB171" s="14">
        <v>2980</v>
      </c>
      <c r="BC171" s="19">
        <v>44954</v>
      </c>
      <c r="BD171" s="14" t="s">
        <v>1025</v>
      </c>
      <c r="BE171" s="14">
        <v>3762</v>
      </c>
      <c r="BF171" s="19">
        <v>45289</v>
      </c>
      <c r="BG171" s="14" t="s">
        <v>1024</v>
      </c>
      <c r="BH171" s="14">
        <v>2980</v>
      </c>
      <c r="BI171" s="19">
        <v>44954</v>
      </c>
      <c r="BJ171" s="14" t="s">
        <v>1025</v>
      </c>
      <c r="BK171" s="14">
        <v>2980</v>
      </c>
      <c r="BL171" s="19">
        <v>44954</v>
      </c>
      <c r="BM171" s="14" t="s">
        <v>1025</v>
      </c>
      <c r="BN171" s="27">
        <v>45469</v>
      </c>
      <c r="BO171" s="27">
        <v>45134</v>
      </c>
      <c r="BP171" s="27">
        <v>45469</v>
      </c>
      <c r="BQ171" s="27">
        <v>45134</v>
      </c>
      <c r="BR171" s="27">
        <v>45319</v>
      </c>
      <c r="BS171" s="28">
        <v>-1721</v>
      </c>
      <c r="BT171" s="29">
        <v>-1753</v>
      </c>
      <c r="BU171" s="29">
        <v>-1721</v>
      </c>
      <c r="BV171" s="29">
        <v>-2503</v>
      </c>
      <c r="BW171" s="29">
        <v>-1753</v>
      </c>
      <c r="BX171" s="30" t="s">
        <v>172</v>
      </c>
      <c r="BY171" s="8">
        <v>5</v>
      </c>
      <c r="BZ171" s="8">
        <v>0</v>
      </c>
      <c r="CA171" s="8">
        <v>0</v>
      </c>
      <c r="CB171" s="21">
        <v>45288.770833333299</v>
      </c>
      <c r="CC171" s="21">
        <v>45288.770833333299</v>
      </c>
      <c r="CD171" s="21">
        <v>0</v>
      </c>
      <c r="CE171" s="21">
        <v>45288.770833333299</v>
      </c>
      <c r="CF171" s="21">
        <v>45288.770833333299</v>
      </c>
      <c r="CG171" s="21">
        <v>44963.770833333299</v>
      </c>
      <c r="CH171" s="21">
        <v>0</v>
      </c>
      <c r="CI171" s="21">
        <v>0</v>
      </c>
      <c r="CJ171" s="21">
        <v>0</v>
      </c>
      <c r="CK171" s="22" t="s">
        <v>2957</v>
      </c>
      <c r="CL171" s="22" t="s">
        <v>2957</v>
      </c>
      <c r="CM171" s="22" t="s">
        <v>2959</v>
      </c>
      <c r="CN171" s="22" t="s">
        <v>2957</v>
      </c>
      <c r="CO171" s="22" t="s">
        <v>2957</v>
      </c>
      <c r="CP171" s="22" t="s">
        <v>3091</v>
      </c>
      <c r="CQ171" s="22" t="s">
        <v>2959</v>
      </c>
      <c r="CR171" s="22" t="s">
        <v>3091</v>
      </c>
      <c r="CS171" s="22" t="s">
        <v>3091</v>
      </c>
      <c r="CT171" s="22">
        <v>4</v>
      </c>
      <c r="CU171" s="21">
        <v>45468</v>
      </c>
      <c r="CV171" s="21">
        <v>45468</v>
      </c>
      <c r="CW171" s="21">
        <v>45414</v>
      </c>
      <c r="CX171" s="21">
        <v>45468</v>
      </c>
      <c r="CY171" s="21">
        <v>45468</v>
      </c>
      <c r="CZ171" s="21">
        <v>45233</v>
      </c>
      <c r="DA171" s="21">
        <v>45336</v>
      </c>
      <c r="DB171" s="21">
        <v>45398</v>
      </c>
      <c r="DC171" s="21">
        <v>45447</v>
      </c>
      <c r="DD171" s="8">
        <v>1</v>
      </c>
      <c r="DE171" s="8">
        <v>0</v>
      </c>
      <c r="DF171" s="8">
        <v>0</v>
      </c>
      <c r="DG171" s="8">
        <v>9</v>
      </c>
      <c r="DH171" s="8">
        <v>0</v>
      </c>
      <c r="DI171" s="8">
        <v>0</v>
      </c>
      <c r="DJ171" s="8" t="s">
        <v>3025</v>
      </c>
      <c r="DK171" s="21">
        <v>43423</v>
      </c>
      <c r="DL171" s="21">
        <v>0</v>
      </c>
      <c r="DM171" s="21">
        <v>45289</v>
      </c>
      <c r="DN171" s="18">
        <v>3762</v>
      </c>
      <c r="DO171" s="21">
        <v>0</v>
      </c>
      <c r="DP171" s="21">
        <v>0</v>
      </c>
      <c r="DQ171" s="21" t="s">
        <v>2955</v>
      </c>
      <c r="DR171" s="21">
        <v>45289</v>
      </c>
      <c r="DS171" s="21">
        <v>45289</v>
      </c>
      <c r="DT171" s="21">
        <v>0</v>
      </c>
      <c r="DU171" s="21">
        <v>45289</v>
      </c>
      <c r="DV171" s="21">
        <v>45289</v>
      </c>
      <c r="DW171" s="21">
        <v>44964</v>
      </c>
      <c r="DX171" s="21">
        <v>0</v>
      </c>
      <c r="DY171" s="21">
        <v>0</v>
      </c>
      <c r="DZ171" s="21">
        <v>0</v>
      </c>
      <c r="EA171" s="8">
        <v>750</v>
      </c>
      <c r="EB171" s="8">
        <v>750</v>
      </c>
      <c r="EC171" s="8">
        <v>500</v>
      </c>
      <c r="ED171" s="8">
        <v>750</v>
      </c>
      <c r="EE171" s="8">
        <v>750</v>
      </c>
      <c r="EF171" s="8">
        <v>718</v>
      </c>
      <c r="EG171" s="8">
        <v>500</v>
      </c>
      <c r="EH171" s="8">
        <v>718</v>
      </c>
      <c r="EI171" s="8">
        <v>718</v>
      </c>
      <c r="EJ171" s="8">
        <v>4</v>
      </c>
      <c r="EK171" s="8" t="s">
        <v>2624</v>
      </c>
      <c r="EL171" s="8">
        <v>824</v>
      </c>
      <c r="EM171" s="8">
        <v>2472</v>
      </c>
      <c r="EN171" s="8">
        <v>462</v>
      </c>
      <c r="EO171" s="8">
        <v>462</v>
      </c>
      <c r="EP171" s="8">
        <v>212</v>
      </c>
      <c r="EQ171" s="8">
        <v>462</v>
      </c>
      <c r="ER171" s="8">
        <v>462</v>
      </c>
      <c r="ES171" s="8">
        <v>430</v>
      </c>
      <c r="ET171" s="8">
        <v>212</v>
      </c>
      <c r="EU171" s="8">
        <v>430</v>
      </c>
      <c r="EV171" s="8">
        <v>430</v>
      </c>
    </row>
    <row r="172" spans="1:152" x14ac:dyDescent="0.15">
      <c r="A172" s="8">
        <f>ROW([2]!tbl_DPSAC[[#This Row],[Sl. No.]])-1</f>
        <v>171</v>
      </c>
      <c r="B172" s="9" t="s">
        <v>136</v>
      </c>
      <c r="C172" s="9" t="s">
        <v>1026</v>
      </c>
      <c r="D172" s="9" t="s">
        <v>169</v>
      </c>
      <c r="E172" s="9" t="s">
        <v>170</v>
      </c>
      <c r="F172" s="9" t="s">
        <v>161</v>
      </c>
      <c r="G172" s="10" t="s">
        <v>1027</v>
      </c>
      <c r="H172" s="10">
        <f>_xlfn.XLOOKUP(C172,'[1]E&amp;DPSAC'!$K:$K,'[1]E&amp;DPSAC'!$E:$E,,0)</f>
        <v>0</v>
      </c>
      <c r="I172" s="10"/>
      <c r="J172" s="10" t="s">
        <v>143</v>
      </c>
      <c r="K172" s="10">
        <f>_xlfn.XLOOKUP(C172,'[1]E&amp;DPSAC'!$K:$K,'[1]E&amp;DPSAC'!$G:$G,"",0)</f>
        <v>8294898658</v>
      </c>
      <c r="L172" s="9" t="str">
        <f t="shared" ca="1" si="8"/>
        <v>Non - Warranty</v>
      </c>
      <c r="M172" s="11">
        <v>42563</v>
      </c>
      <c r="N172" s="12">
        <v>24</v>
      </c>
      <c r="O172" s="11">
        <f t="shared" si="9"/>
        <v>43312</v>
      </c>
      <c r="P172" s="8" t="s">
        <v>681</v>
      </c>
      <c r="Q172" s="16" t="s">
        <v>1028</v>
      </c>
      <c r="R172" s="15">
        <v>45335.569872685199</v>
      </c>
      <c r="S172" s="14">
        <v>1080</v>
      </c>
      <c r="T172" s="15">
        <v>45054</v>
      </c>
      <c r="U172" s="14">
        <v>525</v>
      </c>
      <c r="V172" s="14">
        <v>2100</v>
      </c>
      <c r="W172" s="17">
        <v>45940.636805555558</v>
      </c>
      <c r="X172" s="14" t="s">
        <v>2783</v>
      </c>
      <c r="Y172" s="14">
        <v>-270</v>
      </c>
      <c r="Z172" s="14" t="s">
        <v>2697</v>
      </c>
      <c r="AA172" s="18">
        <v>777.43012731480121</v>
      </c>
      <c r="AB172" s="18" t="s">
        <v>2697</v>
      </c>
      <c r="AC172" s="8">
        <f>tbl_DPSAC[[#This Row],[Current Month Due Count]]</f>
        <v>0</v>
      </c>
      <c r="AD172" s="8">
        <f>tbl_DPSAC[[#This Row],[Next Month Due2]]</f>
        <v>0</v>
      </c>
      <c r="AE172" s="8">
        <f t="shared" si="10"/>
        <v>1</v>
      </c>
      <c r="AF172" s="8">
        <v>2</v>
      </c>
      <c r="AG172" s="14">
        <f t="shared" ca="1" si="11"/>
        <v>2445</v>
      </c>
      <c r="AH172" s="8">
        <v>0</v>
      </c>
      <c r="AI172" s="8">
        <v>0</v>
      </c>
      <c r="AJ172" s="8">
        <v>0</v>
      </c>
      <c r="AK172" s="8">
        <v>0</v>
      </c>
      <c r="AL172" s="8">
        <v>0</v>
      </c>
      <c r="AM172" s="8">
        <v>0</v>
      </c>
      <c r="AN172" s="8">
        <v>0</v>
      </c>
      <c r="AO172" s="8">
        <v>0</v>
      </c>
      <c r="AP172" s="8">
        <v>0</v>
      </c>
      <c r="AQ172" s="8">
        <v>0</v>
      </c>
      <c r="AR172" s="8">
        <v>0</v>
      </c>
      <c r="AS172" s="8">
        <v>0</v>
      </c>
      <c r="AT172" s="8">
        <v>0</v>
      </c>
      <c r="AU172" s="8">
        <v>0</v>
      </c>
      <c r="AV172" s="8">
        <v>0</v>
      </c>
      <c r="AW172" s="8">
        <v>0</v>
      </c>
      <c r="AX172" s="8" t="s">
        <v>2977</v>
      </c>
      <c r="AY172" s="14">
        <v>1080</v>
      </c>
      <c r="AZ172" s="19">
        <v>45335</v>
      </c>
      <c r="BA172" s="14" t="s">
        <v>1028</v>
      </c>
      <c r="BB172" s="14">
        <v>100</v>
      </c>
      <c r="BC172" s="19">
        <v>44380</v>
      </c>
      <c r="BD172" s="14"/>
      <c r="BE172" s="14">
        <v>1080</v>
      </c>
      <c r="BF172" s="19">
        <v>45335</v>
      </c>
      <c r="BG172" s="14" t="s">
        <v>1028</v>
      </c>
      <c r="BH172" s="14"/>
      <c r="BI172" s="19"/>
      <c r="BJ172" s="14"/>
      <c r="BK172" s="14">
        <v>100</v>
      </c>
      <c r="BL172" s="19">
        <v>44380</v>
      </c>
      <c r="BM172" s="14"/>
      <c r="BN172" s="27">
        <v>45515</v>
      </c>
      <c r="BO172" s="27">
        <v>44560</v>
      </c>
      <c r="BP172" s="27">
        <v>45515</v>
      </c>
      <c r="BQ172" s="27" t="s">
        <v>143</v>
      </c>
      <c r="BR172" s="27">
        <v>44745</v>
      </c>
      <c r="BS172" s="28">
        <v>-615</v>
      </c>
      <c r="BT172" s="29">
        <v>-845</v>
      </c>
      <c r="BU172" s="29">
        <v>-615</v>
      </c>
      <c r="BV172" s="29" t="s">
        <v>143</v>
      </c>
      <c r="BW172" s="29">
        <v>-845</v>
      </c>
      <c r="BX172" s="30" t="s">
        <v>173</v>
      </c>
      <c r="BY172" s="8">
        <v>4</v>
      </c>
      <c r="BZ172" s="8">
        <v>0</v>
      </c>
      <c r="CA172" s="8">
        <v>0</v>
      </c>
      <c r="CB172" s="21">
        <v>45334.770833333299</v>
      </c>
      <c r="CC172" s="21">
        <v>45334.770833333299</v>
      </c>
      <c r="CD172" s="21">
        <v>0</v>
      </c>
      <c r="CE172" s="21">
        <v>45334.770833333299</v>
      </c>
      <c r="CF172" s="21">
        <v>45334.770833333299</v>
      </c>
      <c r="CG172" s="21">
        <v>45053.770833333299</v>
      </c>
      <c r="CH172" s="21">
        <v>0</v>
      </c>
      <c r="CI172" s="21">
        <v>0</v>
      </c>
      <c r="CJ172" s="21">
        <v>0</v>
      </c>
      <c r="CK172" s="22" t="s">
        <v>3035</v>
      </c>
      <c r="CL172" s="22" t="s">
        <v>3035</v>
      </c>
      <c r="CM172" s="22" t="s">
        <v>3035</v>
      </c>
      <c r="CN172" s="22" t="s">
        <v>3035</v>
      </c>
      <c r="CO172" s="22" t="s">
        <v>3035</v>
      </c>
      <c r="CP172" s="22" t="s">
        <v>2959</v>
      </c>
      <c r="CQ172" s="22" t="s">
        <v>2953</v>
      </c>
      <c r="CR172" s="22" t="s">
        <v>2959</v>
      </c>
      <c r="CS172" s="22" t="s">
        <v>2959</v>
      </c>
      <c r="CT172" s="22">
        <v>3</v>
      </c>
      <c r="CU172" s="21">
        <v>45514</v>
      </c>
      <c r="CV172" s="21">
        <v>45514</v>
      </c>
      <c r="CW172" s="21">
        <v>46031</v>
      </c>
      <c r="CX172" s="21">
        <v>45514</v>
      </c>
      <c r="CY172" s="21">
        <v>45514</v>
      </c>
      <c r="CZ172" s="21">
        <v>45323</v>
      </c>
      <c r="DA172" s="21">
        <v>46033</v>
      </c>
      <c r="DB172" s="21">
        <v>46030</v>
      </c>
      <c r="DC172" s="21">
        <v>46078</v>
      </c>
      <c r="DD172" s="8">
        <v>1</v>
      </c>
      <c r="DE172" s="8">
        <v>1</v>
      </c>
      <c r="DF172" s="8">
        <v>0</v>
      </c>
      <c r="DG172" s="8">
        <v>9</v>
      </c>
      <c r="DH172" s="8">
        <v>0</v>
      </c>
      <c r="DI172" s="8">
        <v>0</v>
      </c>
      <c r="DJ172" s="8" t="s">
        <v>3025</v>
      </c>
      <c r="DK172" s="21">
        <v>42563</v>
      </c>
      <c r="DL172" s="21">
        <v>42548</v>
      </c>
      <c r="DM172" s="21">
        <v>45940</v>
      </c>
      <c r="DN172" s="18">
        <v>2100</v>
      </c>
      <c r="DO172" s="21">
        <v>0</v>
      </c>
      <c r="DP172" s="21">
        <v>0</v>
      </c>
      <c r="DQ172" s="21" t="s">
        <v>2955</v>
      </c>
      <c r="DR172" s="21">
        <v>45335</v>
      </c>
      <c r="DS172" s="21">
        <v>45335</v>
      </c>
      <c r="DT172" s="21">
        <v>0</v>
      </c>
      <c r="DU172" s="21">
        <v>45335</v>
      </c>
      <c r="DV172" s="21">
        <v>45335</v>
      </c>
      <c r="DW172" s="21">
        <v>45054</v>
      </c>
      <c r="DX172" s="21">
        <v>0</v>
      </c>
      <c r="DY172" s="21">
        <v>0</v>
      </c>
      <c r="DZ172" s="21">
        <v>0</v>
      </c>
      <c r="EA172" s="8">
        <v>275</v>
      </c>
      <c r="EB172" s="8">
        <v>275</v>
      </c>
      <c r="EC172" s="8">
        <v>275</v>
      </c>
      <c r="ED172" s="8">
        <v>275</v>
      </c>
      <c r="EE172" s="8">
        <v>275</v>
      </c>
      <c r="EF172" s="8">
        <v>500</v>
      </c>
      <c r="EG172" s="8">
        <v>1000</v>
      </c>
      <c r="EH172" s="8">
        <v>500</v>
      </c>
      <c r="EI172" s="8">
        <v>500</v>
      </c>
      <c r="EJ172" s="8">
        <v>3</v>
      </c>
      <c r="EK172" s="8" t="s">
        <v>2624</v>
      </c>
      <c r="EL172" s="8">
        <v>172</v>
      </c>
      <c r="EM172" s="8">
        <v>344</v>
      </c>
      <c r="EN172" s="8">
        <v>-13</v>
      </c>
      <c r="EO172" s="8">
        <v>-13</v>
      </c>
      <c r="EP172" s="8">
        <v>-13</v>
      </c>
      <c r="EQ172" s="8">
        <v>-13</v>
      </c>
      <c r="ER172" s="8">
        <v>-13</v>
      </c>
      <c r="ES172" s="8">
        <v>212</v>
      </c>
      <c r="ET172" s="8">
        <v>712</v>
      </c>
      <c r="EU172" s="8">
        <v>212</v>
      </c>
      <c r="EV172" s="8">
        <v>212</v>
      </c>
    </row>
    <row r="173" spans="1:152" x14ac:dyDescent="0.15">
      <c r="A173" s="8">
        <f>ROW([2]!tbl_DPSAC[[#This Row],[Sl. No.]])-1</f>
        <v>172</v>
      </c>
      <c r="B173" s="9" t="s">
        <v>196</v>
      </c>
      <c r="C173" s="9" t="s">
        <v>1029</v>
      </c>
      <c r="D173" s="9" t="s">
        <v>175</v>
      </c>
      <c r="E173" s="9" t="s">
        <v>176</v>
      </c>
      <c r="F173" s="9" t="s">
        <v>161</v>
      </c>
      <c r="G173" s="10" t="s">
        <v>1030</v>
      </c>
      <c r="H173" s="10" t="str">
        <f>_xlfn.XLOOKUP(C173,'[1]E&amp;DPSAC'!$K:$K,'[1]E&amp;DPSAC'!$E:$E,,0)</f>
        <v>MADANPUR</v>
      </c>
      <c r="I173" s="10"/>
      <c r="J173" s="10">
        <v>7004213534</v>
      </c>
      <c r="K173" s="10">
        <f>_xlfn.XLOOKUP(C173,'[1]E&amp;DPSAC'!$K:$K,'[1]E&amp;DPSAC'!$G:$G,"",0)</f>
        <v>7004213534</v>
      </c>
      <c r="L173" s="9" t="str">
        <f t="shared" ca="1" si="8"/>
        <v>Non - Warranty</v>
      </c>
      <c r="M173" s="11">
        <v>43832</v>
      </c>
      <c r="N173" s="12">
        <v>24</v>
      </c>
      <c r="O173" s="11">
        <f t="shared" si="9"/>
        <v>44592</v>
      </c>
      <c r="P173" s="8" t="s">
        <v>681</v>
      </c>
      <c r="Q173" s="16" t="s">
        <v>1031</v>
      </c>
      <c r="R173" s="15">
        <v>45983.413275462997</v>
      </c>
      <c r="S173" s="14">
        <v>6200</v>
      </c>
      <c r="T173" s="15">
        <v>45199</v>
      </c>
      <c r="U173" s="14">
        <v>5411</v>
      </c>
      <c r="V173" s="14">
        <v>6200</v>
      </c>
      <c r="W173" s="17">
        <v>45983.413275462997</v>
      </c>
      <c r="X173" s="14" t="s">
        <v>2751</v>
      </c>
      <c r="Y173" s="14">
        <v>750</v>
      </c>
      <c r="Z173" s="14" t="s">
        <v>2692</v>
      </c>
      <c r="AA173" s="18">
        <v>129.58672453700274</v>
      </c>
      <c r="AB173" s="18" t="s">
        <v>2692</v>
      </c>
      <c r="AC173" s="8">
        <f>tbl_DPSAC[[#This Row],[Current Month Due Count]]</f>
        <v>0</v>
      </c>
      <c r="AD173" s="8">
        <f>tbl_DPSAC[[#This Row],[Next Month Due2]]</f>
        <v>4</v>
      </c>
      <c r="AE173" s="8">
        <f t="shared" si="10"/>
        <v>0</v>
      </c>
      <c r="AF173" s="8">
        <v>1</v>
      </c>
      <c r="AG173" s="14">
        <f t="shared" ca="1" si="11"/>
        <v>6330</v>
      </c>
      <c r="AH173" s="8">
        <v>0</v>
      </c>
      <c r="AI173" s="8">
        <v>0</v>
      </c>
      <c r="AJ173" s="8">
        <v>0</v>
      </c>
      <c r="AK173" s="8">
        <v>0</v>
      </c>
      <c r="AL173" s="8">
        <v>0</v>
      </c>
      <c r="AM173" s="8">
        <v>0</v>
      </c>
      <c r="AN173" s="8">
        <v>0</v>
      </c>
      <c r="AO173" s="8">
        <v>0</v>
      </c>
      <c r="AP173" s="8">
        <v>0</v>
      </c>
      <c r="AQ173" s="8">
        <v>0</v>
      </c>
      <c r="AR173" s="8">
        <v>0</v>
      </c>
      <c r="AS173" s="8">
        <v>0</v>
      </c>
      <c r="AT173" s="8">
        <v>0</v>
      </c>
      <c r="AU173" s="8">
        <v>0</v>
      </c>
      <c r="AV173" s="8">
        <v>0</v>
      </c>
      <c r="AW173" s="8">
        <v>0</v>
      </c>
      <c r="AX173" s="8" t="s">
        <v>2007</v>
      </c>
      <c r="AY173" s="14">
        <v>6200</v>
      </c>
      <c r="AZ173" s="19">
        <v>45983</v>
      </c>
      <c r="BA173" s="14" t="s">
        <v>1031</v>
      </c>
      <c r="BB173" s="14">
        <v>6200</v>
      </c>
      <c r="BC173" s="19">
        <v>45983</v>
      </c>
      <c r="BD173" s="14" t="s">
        <v>1031</v>
      </c>
      <c r="BE173" s="14">
        <v>6200</v>
      </c>
      <c r="BF173" s="19">
        <v>45983</v>
      </c>
      <c r="BG173" s="14" t="s">
        <v>1031</v>
      </c>
      <c r="BH173" s="14">
        <v>6200</v>
      </c>
      <c r="BI173" s="19">
        <v>45983</v>
      </c>
      <c r="BJ173" s="14" t="s">
        <v>1031</v>
      </c>
      <c r="BK173" s="14">
        <v>6200</v>
      </c>
      <c r="BL173" s="19">
        <v>45983</v>
      </c>
      <c r="BM173" s="14" t="s">
        <v>1031</v>
      </c>
      <c r="BN173" s="27">
        <v>46163</v>
      </c>
      <c r="BO173" s="27">
        <v>46163</v>
      </c>
      <c r="BP173" s="27">
        <v>46163</v>
      </c>
      <c r="BQ173" s="27">
        <v>46163</v>
      </c>
      <c r="BR173" s="27">
        <v>46348</v>
      </c>
      <c r="BS173" s="28">
        <v>620</v>
      </c>
      <c r="BT173" s="29">
        <v>1370</v>
      </c>
      <c r="BU173" s="29">
        <v>620</v>
      </c>
      <c r="BV173" s="29">
        <v>620</v>
      </c>
      <c r="BW173" s="29">
        <v>1370</v>
      </c>
      <c r="BX173" s="30" t="s">
        <v>173</v>
      </c>
      <c r="BY173" s="8">
        <v>0</v>
      </c>
      <c r="BZ173" s="8">
        <v>0</v>
      </c>
      <c r="CA173" s="8">
        <v>4</v>
      </c>
      <c r="CB173" s="21">
        <v>45982.770833333299</v>
      </c>
      <c r="CC173" s="21">
        <v>45982.770833333299</v>
      </c>
      <c r="CD173" s="21">
        <v>45982.770833333299</v>
      </c>
      <c r="CE173" s="21">
        <v>45982.770833333299</v>
      </c>
      <c r="CF173" s="21">
        <v>45982.770833333299</v>
      </c>
      <c r="CG173" s="21">
        <v>45982.770833333299</v>
      </c>
      <c r="CH173" s="21">
        <v>45982.770833333299</v>
      </c>
      <c r="CI173" s="21">
        <v>45982.770833333299</v>
      </c>
      <c r="CJ173" s="21">
        <v>45982.770833333299</v>
      </c>
      <c r="CK173" s="22" t="s">
        <v>2956</v>
      </c>
      <c r="CL173" s="22" t="s">
        <v>2957</v>
      </c>
      <c r="CM173" s="22" t="s">
        <v>2959</v>
      </c>
      <c r="CN173" s="22" t="s">
        <v>2957</v>
      </c>
      <c r="CO173" s="22" t="s">
        <v>2957</v>
      </c>
      <c r="CP173" s="22" t="s">
        <v>2956</v>
      </c>
      <c r="CQ173" s="22" t="s">
        <v>2953</v>
      </c>
      <c r="CR173" s="22" t="s">
        <v>2956</v>
      </c>
      <c r="CS173" s="22" t="s">
        <v>2960</v>
      </c>
      <c r="CT173" s="22">
        <v>4</v>
      </c>
      <c r="CU173" s="21">
        <v>46162</v>
      </c>
      <c r="CV173" s="21">
        <v>46162</v>
      </c>
      <c r="CW173" s="21">
        <v>46108</v>
      </c>
      <c r="CX173" s="21">
        <v>46162</v>
      </c>
      <c r="CY173" s="21">
        <v>46162</v>
      </c>
      <c r="CZ173" s="21">
        <v>46252</v>
      </c>
      <c r="DA173" s="21">
        <v>46233</v>
      </c>
      <c r="DB173" s="21">
        <v>46162</v>
      </c>
      <c r="DC173" s="21">
        <v>46347</v>
      </c>
      <c r="DD173" s="8">
        <v>0</v>
      </c>
      <c r="DE173" s="8">
        <v>0</v>
      </c>
      <c r="DF173" s="8">
        <v>1</v>
      </c>
      <c r="DG173" s="8">
        <v>1</v>
      </c>
      <c r="DH173" s="8">
        <v>0</v>
      </c>
      <c r="DI173" s="8">
        <v>5</v>
      </c>
      <c r="DJ173" s="8" t="s">
        <v>3025</v>
      </c>
      <c r="DK173" s="21">
        <v>43832</v>
      </c>
      <c r="DL173" s="21">
        <v>43817.229166666664</v>
      </c>
      <c r="DM173" s="21">
        <v>45983</v>
      </c>
      <c r="DN173" s="18">
        <v>6200</v>
      </c>
      <c r="DO173" s="21">
        <v>0</v>
      </c>
      <c r="DP173" s="21">
        <v>0</v>
      </c>
      <c r="DQ173" s="21" t="s">
        <v>2955</v>
      </c>
      <c r="DR173" s="21">
        <v>45983</v>
      </c>
      <c r="DS173" s="21">
        <v>45983</v>
      </c>
      <c r="DT173" s="21">
        <v>45983</v>
      </c>
      <c r="DU173" s="21">
        <v>45983</v>
      </c>
      <c r="DV173" s="21">
        <v>45983</v>
      </c>
      <c r="DW173" s="21">
        <v>45983</v>
      </c>
      <c r="DX173" s="21">
        <v>45983</v>
      </c>
      <c r="DY173" s="21">
        <v>45983</v>
      </c>
      <c r="DZ173" s="21">
        <v>45983</v>
      </c>
      <c r="EA173" s="8">
        <v>1500</v>
      </c>
      <c r="EB173" s="8">
        <v>750</v>
      </c>
      <c r="EC173" s="8">
        <v>500</v>
      </c>
      <c r="ED173" s="8">
        <v>750</v>
      </c>
      <c r="EE173" s="8">
        <v>750</v>
      </c>
      <c r="EF173" s="8">
        <v>1500</v>
      </c>
      <c r="EG173" s="8">
        <v>1000</v>
      </c>
      <c r="EH173" s="8">
        <v>1500</v>
      </c>
      <c r="EI173" s="8">
        <v>3000</v>
      </c>
      <c r="EJ173" s="8">
        <v>4</v>
      </c>
      <c r="EK173" s="8" t="s">
        <v>2624</v>
      </c>
      <c r="EL173" s="8">
        <v>130</v>
      </c>
      <c r="EM173" s="8">
        <v>130</v>
      </c>
      <c r="EN173" s="8">
        <v>1212</v>
      </c>
      <c r="EO173" s="8">
        <v>462</v>
      </c>
      <c r="EP173" s="8">
        <v>212</v>
      </c>
      <c r="EQ173" s="8">
        <v>462</v>
      </c>
      <c r="ER173" s="8">
        <v>462</v>
      </c>
      <c r="ES173" s="8">
        <v>1212</v>
      </c>
      <c r="ET173" s="8">
        <v>712</v>
      </c>
      <c r="EU173" s="8">
        <v>1212</v>
      </c>
      <c r="EV173" s="8">
        <v>2712</v>
      </c>
    </row>
    <row r="174" spans="1:152" x14ac:dyDescent="0.15">
      <c r="A174" s="8">
        <f>ROW([2]!tbl_DPSAC[[#This Row],[Sl. No.]])-1</f>
        <v>173</v>
      </c>
      <c r="B174" s="9" t="s">
        <v>196</v>
      </c>
      <c r="C174" s="9" t="s">
        <v>1032</v>
      </c>
      <c r="D174" s="9" t="s">
        <v>169</v>
      </c>
      <c r="E174" s="9" t="s">
        <v>170</v>
      </c>
      <c r="F174" s="9" t="s">
        <v>161</v>
      </c>
      <c r="G174" s="10" t="s">
        <v>1033</v>
      </c>
      <c r="H174" s="10" t="e">
        <f>_xlfn.XLOOKUP(C174,'[1]E&amp;DPSAC'!$K:$K,'[1]E&amp;DPSAC'!$E:$E,,0)</f>
        <v>#N/A</v>
      </c>
      <c r="I174" s="10"/>
      <c r="J174" s="10" t="s">
        <v>143</v>
      </c>
      <c r="K174" s="10" t="str">
        <f>_xlfn.XLOOKUP(C174,'[1]E&amp;DPSAC'!$K:$K,'[1]E&amp;DPSAC'!$G:$G,"",0)</f>
        <v/>
      </c>
      <c r="L174" s="9" t="str">
        <f t="shared" ca="1" si="8"/>
        <v>Non - Warranty</v>
      </c>
      <c r="M174" s="11">
        <v>42527</v>
      </c>
      <c r="N174" s="12">
        <v>24</v>
      </c>
      <c r="O174" s="11">
        <f t="shared" si="9"/>
        <v>43281</v>
      </c>
      <c r="P174" s="8" t="s">
        <v>681</v>
      </c>
      <c r="Q174" s="16" t="s">
        <v>143</v>
      </c>
      <c r="R174" s="15" t="s">
        <v>143</v>
      </c>
      <c r="S174" s="14" t="s">
        <v>143</v>
      </c>
      <c r="T174" s="15" t="s">
        <v>143</v>
      </c>
      <c r="U174" s="14" t="s">
        <v>143</v>
      </c>
      <c r="V174" s="14">
        <v>5390</v>
      </c>
      <c r="W174" s="17">
        <v>45940.64166666667</v>
      </c>
      <c r="X174" s="14" t="s">
        <v>143</v>
      </c>
      <c r="Y174" s="14">
        <v>0</v>
      </c>
      <c r="Z174" s="14" t="s">
        <v>2692</v>
      </c>
      <c r="AA174" s="18">
        <v>3586</v>
      </c>
      <c r="AB174" s="18" t="s">
        <v>2697</v>
      </c>
      <c r="AC174" s="8">
        <f>tbl_DPSAC[[#This Row],[Current Month Due Count]]</f>
        <v>0</v>
      </c>
      <c r="AD174" s="8">
        <f>tbl_DPSAC[[#This Row],[Next Month Due2]]</f>
        <v>0</v>
      </c>
      <c r="AE174" s="8">
        <f t="shared" si="10"/>
        <v>1</v>
      </c>
      <c r="AF174" s="8">
        <v>0</v>
      </c>
      <c r="AG174" s="14">
        <f t="shared" ca="1" si="11"/>
        <v>5390</v>
      </c>
      <c r="AH174" s="8">
        <v>0</v>
      </c>
      <c r="AI174" s="8">
        <v>0</v>
      </c>
      <c r="AJ174" s="8">
        <v>0</v>
      </c>
      <c r="AK174" s="8">
        <v>0</v>
      </c>
      <c r="AL174" s="8">
        <v>0</v>
      </c>
      <c r="AM174" s="8">
        <v>0</v>
      </c>
      <c r="AN174" s="8">
        <v>0</v>
      </c>
      <c r="AO174" s="8">
        <v>0</v>
      </c>
      <c r="AP174" s="8">
        <v>0</v>
      </c>
      <c r="AQ174" s="8">
        <v>0</v>
      </c>
      <c r="AR174" s="8">
        <v>0</v>
      </c>
      <c r="AS174" s="8">
        <v>0</v>
      </c>
      <c r="AT174" s="8">
        <v>0</v>
      </c>
      <c r="AU174" s="8">
        <v>0</v>
      </c>
      <c r="AV174" s="8">
        <v>0</v>
      </c>
      <c r="AW174" s="8">
        <v>0</v>
      </c>
      <c r="AX174" s="8" t="s">
        <v>2977</v>
      </c>
      <c r="AY174" s="14">
        <v>4000</v>
      </c>
      <c r="AZ174" s="19">
        <v>44637</v>
      </c>
      <c r="BA174" s="14"/>
      <c r="BB174" s="14">
        <v>3000</v>
      </c>
      <c r="BC174" s="19">
        <v>44394</v>
      </c>
      <c r="BD174" s="14"/>
      <c r="BE174" s="14">
        <v>4000</v>
      </c>
      <c r="BF174" s="19">
        <v>44637</v>
      </c>
      <c r="BG174" s="14"/>
      <c r="BH174" s="14"/>
      <c r="BI174" s="19"/>
      <c r="BJ174" s="14"/>
      <c r="BK174" s="14">
        <v>3000</v>
      </c>
      <c r="BL174" s="19">
        <v>44394</v>
      </c>
      <c r="BM174" s="14"/>
      <c r="BN174" s="27">
        <v>44817</v>
      </c>
      <c r="BO174" s="27">
        <v>44574</v>
      </c>
      <c r="BP174" s="27">
        <v>44817</v>
      </c>
      <c r="BQ174" s="27" t="s">
        <v>143</v>
      </c>
      <c r="BR174" s="27">
        <v>44759</v>
      </c>
      <c r="BS174" s="28">
        <v>-640</v>
      </c>
      <c r="BT174" s="29">
        <v>-890</v>
      </c>
      <c r="BU174" s="29">
        <v>-640</v>
      </c>
      <c r="BV174" s="29" t="s">
        <v>143</v>
      </c>
      <c r="BW174" s="29">
        <v>-890</v>
      </c>
      <c r="BX174" s="30" t="s">
        <v>173</v>
      </c>
      <c r="BY174" s="8">
        <v>4</v>
      </c>
      <c r="BZ174" s="8">
        <v>0</v>
      </c>
      <c r="CA174" s="8">
        <v>0</v>
      </c>
      <c r="CB174" s="21">
        <v>0</v>
      </c>
      <c r="CC174" s="21">
        <v>0</v>
      </c>
      <c r="CD174" s="21">
        <v>0</v>
      </c>
      <c r="CE174" s="21">
        <v>0</v>
      </c>
      <c r="CF174" s="21">
        <v>0</v>
      </c>
      <c r="CG174" s="21">
        <v>0</v>
      </c>
      <c r="CH174" s="21">
        <v>0</v>
      </c>
      <c r="CI174" s="21">
        <v>0</v>
      </c>
      <c r="CJ174" s="21">
        <v>0</v>
      </c>
      <c r="CK174" s="22" t="s">
        <v>3092</v>
      </c>
      <c r="CL174" s="22" t="s">
        <v>3092</v>
      </c>
      <c r="CM174" s="22" t="s">
        <v>3092</v>
      </c>
      <c r="CN174" s="22" t="s">
        <v>3092</v>
      </c>
      <c r="CO174" s="22" t="s">
        <v>3092</v>
      </c>
      <c r="CP174" s="22" t="s">
        <v>3093</v>
      </c>
      <c r="CQ174" s="22" t="s">
        <v>2953</v>
      </c>
      <c r="CR174" s="22" t="s">
        <v>3093</v>
      </c>
      <c r="CS174" s="22" t="s">
        <v>3093</v>
      </c>
      <c r="CT174" s="22">
        <v>0</v>
      </c>
      <c r="CU174" s="21">
        <v>0</v>
      </c>
      <c r="CV174" s="21">
        <v>0</v>
      </c>
      <c r="CW174" s="21">
        <v>0</v>
      </c>
      <c r="CX174" s="21">
        <v>0</v>
      </c>
      <c r="CY174" s="21">
        <v>0</v>
      </c>
      <c r="CZ174" s="21">
        <v>0</v>
      </c>
      <c r="DA174" s="21">
        <v>0</v>
      </c>
      <c r="DB174" s="21">
        <v>0</v>
      </c>
      <c r="DC174" s="21">
        <v>0</v>
      </c>
      <c r="DD174" s="8">
        <v>0</v>
      </c>
      <c r="DE174" s="8">
        <v>0</v>
      </c>
      <c r="DF174" s="8">
        <v>0</v>
      </c>
      <c r="DG174" s="8">
        <v>9</v>
      </c>
      <c r="DH174" s="8">
        <v>0</v>
      </c>
      <c r="DI174" s="8">
        <v>0</v>
      </c>
      <c r="DJ174" s="8" t="s">
        <v>3025</v>
      </c>
      <c r="DK174" s="21">
        <v>42527</v>
      </c>
      <c r="DL174" s="21">
        <v>42517</v>
      </c>
      <c r="DM174" s="21">
        <v>45940</v>
      </c>
      <c r="DN174" s="18">
        <v>5390</v>
      </c>
      <c r="DO174" s="21">
        <v>0</v>
      </c>
      <c r="DP174" s="21">
        <v>0</v>
      </c>
      <c r="DQ174" s="21">
        <v>0</v>
      </c>
      <c r="DR174" s="21">
        <v>0</v>
      </c>
      <c r="DS174" s="21">
        <v>0</v>
      </c>
      <c r="DT174" s="21">
        <v>0</v>
      </c>
      <c r="DU174" s="21">
        <v>0</v>
      </c>
      <c r="DV174" s="21">
        <v>0</v>
      </c>
      <c r="DW174" s="21">
        <v>0</v>
      </c>
      <c r="DX174" s="21">
        <v>0</v>
      </c>
      <c r="DY174" s="21">
        <v>0</v>
      </c>
      <c r="DZ174" s="21">
        <v>0</v>
      </c>
      <c r="EA174" s="8">
        <v>640</v>
      </c>
      <c r="EB174" s="8">
        <v>640</v>
      </c>
      <c r="EC174" s="8">
        <v>640</v>
      </c>
      <c r="ED174" s="8">
        <v>640</v>
      </c>
      <c r="EE174" s="8">
        <v>640</v>
      </c>
      <c r="EF174" s="8">
        <v>140</v>
      </c>
      <c r="EG174" s="8">
        <v>1000</v>
      </c>
      <c r="EH174" s="8">
        <v>140</v>
      </c>
      <c r="EI174" s="8">
        <v>140</v>
      </c>
      <c r="EJ174" s="8">
        <v>0</v>
      </c>
      <c r="EK174" s="8" t="s">
        <v>2624</v>
      </c>
      <c r="EL174" s="8">
        <v>172</v>
      </c>
      <c r="EM174" s="8">
        <v>0</v>
      </c>
      <c r="EN174" s="8">
        <v>352</v>
      </c>
      <c r="EO174" s="8">
        <v>352</v>
      </c>
      <c r="EP174" s="8">
        <v>352</v>
      </c>
      <c r="EQ174" s="8">
        <v>352</v>
      </c>
      <c r="ER174" s="8">
        <v>352</v>
      </c>
      <c r="ES174" s="8">
        <v>-148</v>
      </c>
      <c r="ET174" s="8">
        <v>712</v>
      </c>
      <c r="EU174" s="8">
        <v>-148</v>
      </c>
      <c r="EV174" s="8">
        <v>-148</v>
      </c>
    </row>
    <row r="175" spans="1:152" x14ac:dyDescent="0.15">
      <c r="A175" s="8">
        <f>ROW([2]!tbl_DPSAC[[#This Row],[Sl. No.]])-1</f>
        <v>174</v>
      </c>
      <c r="B175" s="9" t="s">
        <v>136</v>
      </c>
      <c r="C175" s="9" t="s">
        <v>1034</v>
      </c>
      <c r="D175" s="9" t="s">
        <v>251</v>
      </c>
      <c r="E175" s="9" t="s">
        <v>147</v>
      </c>
      <c r="F175" s="9" t="s">
        <v>140</v>
      </c>
      <c r="G175" s="10" t="s">
        <v>1035</v>
      </c>
      <c r="H175" s="10" t="str">
        <f>_xlfn.XLOOKUP(C175,'[1]E&amp;DPSAC'!$K:$K,'[1]E&amp;DPSAC'!$E:$E,,0)</f>
        <v>CHAS BOKARO</v>
      </c>
      <c r="I175" s="10"/>
      <c r="J175" s="10">
        <v>9135780550</v>
      </c>
      <c r="K175" s="10">
        <f>_xlfn.XLOOKUP(C175,'[1]E&amp;DPSAC'!$K:$K,'[1]E&amp;DPSAC'!$G:$G,"",0)</f>
        <v>9135780550</v>
      </c>
      <c r="L175" s="9" t="str">
        <f t="shared" ca="1" si="8"/>
        <v>Non - Warranty</v>
      </c>
      <c r="M175" s="11">
        <v>42416</v>
      </c>
      <c r="N175" s="12">
        <v>36</v>
      </c>
      <c r="O175" s="11">
        <f t="shared" si="9"/>
        <v>43524</v>
      </c>
      <c r="P175" s="8" t="s">
        <v>142</v>
      </c>
      <c r="Q175" s="16" t="s">
        <v>1037</v>
      </c>
      <c r="R175" s="15">
        <v>45955.679166666669</v>
      </c>
      <c r="S175" s="14">
        <v>17145</v>
      </c>
      <c r="T175" s="15">
        <v>45615</v>
      </c>
      <c r="U175" s="14">
        <v>16700</v>
      </c>
      <c r="V175" s="14">
        <v>17145</v>
      </c>
      <c r="W175" s="17">
        <v>45966.444444444445</v>
      </c>
      <c r="X175" s="14" t="s">
        <v>2766</v>
      </c>
      <c r="Y175" s="14">
        <v>750</v>
      </c>
      <c r="Z175" s="14" t="s">
        <v>2692</v>
      </c>
      <c r="AA175" s="18">
        <v>157.32083333333139</v>
      </c>
      <c r="AB175" s="18" t="s">
        <v>2692</v>
      </c>
      <c r="AC175" s="8">
        <f>tbl_DPSAC[[#This Row],[Current Month Due Count]]</f>
        <v>4</v>
      </c>
      <c r="AD175" s="8">
        <f>tbl_DPSAC[[#This Row],[Next Month Due2]]</f>
        <v>0</v>
      </c>
      <c r="AE175" s="8">
        <f t="shared" si="10"/>
        <v>0</v>
      </c>
      <c r="AF175" s="8">
        <v>0</v>
      </c>
      <c r="AG175" s="14">
        <f t="shared" ca="1" si="11"/>
        <v>17145</v>
      </c>
      <c r="AH175" s="8">
        <v>0</v>
      </c>
      <c r="AI175" s="8">
        <v>0</v>
      </c>
      <c r="AJ175" s="8">
        <v>0</v>
      </c>
      <c r="AK175" s="8">
        <v>0</v>
      </c>
      <c r="AL175" s="8">
        <v>0</v>
      </c>
      <c r="AM175" s="8">
        <v>0</v>
      </c>
      <c r="AN175" s="8">
        <v>0</v>
      </c>
      <c r="AO175" s="8">
        <v>0</v>
      </c>
      <c r="AP175" s="8">
        <v>0</v>
      </c>
      <c r="AQ175" s="8">
        <v>0</v>
      </c>
      <c r="AR175" s="8">
        <v>0</v>
      </c>
      <c r="AS175" s="8">
        <v>0</v>
      </c>
      <c r="AT175" s="8">
        <v>0</v>
      </c>
      <c r="AU175" s="8" t="s">
        <v>1036</v>
      </c>
      <c r="AV175" s="8">
        <v>0</v>
      </c>
      <c r="AW175" s="8">
        <v>0</v>
      </c>
      <c r="AX175" s="8" t="s">
        <v>2007</v>
      </c>
      <c r="AY175" s="14">
        <v>17145</v>
      </c>
      <c r="AZ175" s="19">
        <v>45955</v>
      </c>
      <c r="BA175" s="14" t="s">
        <v>1037</v>
      </c>
      <c r="BB175" s="14">
        <v>17145</v>
      </c>
      <c r="BC175" s="19">
        <v>45955</v>
      </c>
      <c r="BD175" s="14" t="s">
        <v>1037</v>
      </c>
      <c r="BE175" s="14">
        <v>17145</v>
      </c>
      <c r="BF175" s="19">
        <v>45955</v>
      </c>
      <c r="BG175" s="14" t="s">
        <v>1037</v>
      </c>
      <c r="BH175" s="14">
        <v>17145</v>
      </c>
      <c r="BI175" s="19">
        <v>45955</v>
      </c>
      <c r="BJ175" s="14" t="s">
        <v>1037</v>
      </c>
      <c r="BK175" s="14">
        <v>17145</v>
      </c>
      <c r="BL175" s="19">
        <v>45955</v>
      </c>
      <c r="BM175" s="14" t="s">
        <v>1037</v>
      </c>
      <c r="BN175" s="27">
        <v>46135</v>
      </c>
      <c r="BO175" s="27">
        <v>46135</v>
      </c>
      <c r="BP175" s="27">
        <v>46135</v>
      </c>
      <c r="BQ175" s="27">
        <v>46135</v>
      </c>
      <c r="BR175" s="27">
        <v>46320</v>
      </c>
      <c r="BS175" s="28">
        <v>750</v>
      </c>
      <c r="BT175" s="29">
        <v>1500</v>
      </c>
      <c r="BU175" s="29">
        <v>750</v>
      </c>
      <c r="BV175" s="29">
        <v>750</v>
      </c>
      <c r="BW175" s="29">
        <v>1500</v>
      </c>
      <c r="BX175" s="30" t="s">
        <v>152</v>
      </c>
      <c r="BY175" s="8">
        <v>0</v>
      </c>
      <c r="BZ175" s="8">
        <v>4</v>
      </c>
      <c r="CA175" s="8">
        <v>0</v>
      </c>
      <c r="CB175" s="21">
        <v>45954.770833333299</v>
      </c>
      <c r="CC175" s="21">
        <v>45954.770833333299</v>
      </c>
      <c r="CD175" s="21">
        <v>45954.770833333299</v>
      </c>
      <c r="CE175" s="21">
        <v>45954.770833333299</v>
      </c>
      <c r="CF175" s="21">
        <v>45954.770833333299</v>
      </c>
      <c r="CG175" s="21">
        <v>45954.770833333299</v>
      </c>
      <c r="CH175" s="21">
        <v>45954.770833333299</v>
      </c>
      <c r="CI175" s="21">
        <v>45954.770833333299</v>
      </c>
      <c r="CJ175" s="21">
        <v>45954.770833333299</v>
      </c>
      <c r="CK175" s="22" t="s">
        <v>2956</v>
      </c>
      <c r="CL175" s="22" t="s">
        <v>2957</v>
      </c>
      <c r="CM175" s="22" t="s">
        <v>2957</v>
      </c>
      <c r="CN175" s="22" t="s">
        <v>2957</v>
      </c>
      <c r="CO175" s="22" t="s">
        <v>2957</v>
      </c>
      <c r="CP175" s="22" t="s">
        <v>2956</v>
      </c>
      <c r="CQ175" s="22" t="s">
        <v>2953</v>
      </c>
      <c r="CR175" s="22" t="s">
        <v>2956</v>
      </c>
      <c r="CS175" s="22" t="s">
        <v>2956</v>
      </c>
      <c r="CT175" s="22">
        <v>0</v>
      </c>
      <c r="CU175" s="21">
        <v>0</v>
      </c>
      <c r="CV175" s="21">
        <v>0</v>
      </c>
      <c r="CW175" s="21">
        <v>0</v>
      </c>
      <c r="CX175" s="21">
        <v>0</v>
      </c>
      <c r="CY175" s="21">
        <v>0</v>
      </c>
      <c r="CZ175" s="21">
        <v>0</v>
      </c>
      <c r="DA175" s="21">
        <v>0</v>
      </c>
      <c r="DB175" s="21">
        <v>0</v>
      </c>
      <c r="DC175" s="21">
        <v>0</v>
      </c>
      <c r="DD175" s="8">
        <v>0</v>
      </c>
      <c r="DE175" s="8">
        <v>0</v>
      </c>
      <c r="DF175" s="8">
        <v>0</v>
      </c>
      <c r="DG175" s="8">
        <v>9</v>
      </c>
      <c r="DH175" s="8">
        <v>0</v>
      </c>
      <c r="DI175" s="8">
        <v>0</v>
      </c>
      <c r="DJ175" s="8" t="s">
        <v>2954</v>
      </c>
      <c r="DK175" s="21">
        <v>42416</v>
      </c>
      <c r="DL175" s="21">
        <v>42397</v>
      </c>
      <c r="DM175" s="21">
        <v>45966</v>
      </c>
      <c r="DN175" s="18">
        <v>17145</v>
      </c>
      <c r="DO175" s="21">
        <v>0</v>
      </c>
      <c r="DP175" s="21">
        <v>0</v>
      </c>
      <c r="DQ175" s="21" t="s">
        <v>2955</v>
      </c>
      <c r="DR175" s="21">
        <v>45955</v>
      </c>
      <c r="DS175" s="21">
        <v>45955</v>
      </c>
      <c r="DT175" s="21">
        <v>45955</v>
      </c>
      <c r="DU175" s="21">
        <v>45955</v>
      </c>
      <c r="DV175" s="21">
        <v>45955</v>
      </c>
      <c r="DW175" s="21">
        <v>45955</v>
      </c>
      <c r="DX175" s="21">
        <v>45955</v>
      </c>
      <c r="DY175" s="21">
        <v>45955</v>
      </c>
      <c r="DZ175" s="21">
        <v>45955</v>
      </c>
      <c r="EA175" s="8">
        <v>1500</v>
      </c>
      <c r="EB175" s="8">
        <v>750</v>
      </c>
      <c r="EC175" s="8">
        <v>750</v>
      </c>
      <c r="ED175" s="8">
        <v>750</v>
      </c>
      <c r="EE175" s="8">
        <v>750</v>
      </c>
      <c r="EF175" s="8">
        <v>1500</v>
      </c>
      <c r="EG175" s="8">
        <v>1000</v>
      </c>
      <c r="EH175" s="8">
        <v>1500</v>
      </c>
      <c r="EI175" s="8">
        <v>1500</v>
      </c>
      <c r="EJ175" s="8">
        <v>0</v>
      </c>
      <c r="EK175" s="8" t="s">
        <v>2624</v>
      </c>
      <c r="EL175" s="8">
        <v>147</v>
      </c>
      <c r="EM175" s="8">
        <v>0</v>
      </c>
      <c r="EN175" s="8">
        <v>1212</v>
      </c>
      <c r="EO175" s="8">
        <v>462</v>
      </c>
      <c r="EP175" s="8">
        <v>462</v>
      </c>
      <c r="EQ175" s="8">
        <v>462</v>
      </c>
      <c r="ER175" s="8">
        <v>462</v>
      </c>
      <c r="ES175" s="8">
        <v>1212</v>
      </c>
      <c r="ET175" s="8">
        <v>712</v>
      </c>
      <c r="EU175" s="8">
        <v>1212</v>
      </c>
      <c r="EV175" s="8">
        <v>1212</v>
      </c>
    </row>
    <row r="176" spans="1:152" x14ac:dyDescent="0.15">
      <c r="A176" s="8">
        <f>ROW([2]!tbl_DPSAC[[#This Row],[Sl. No.]])-1</f>
        <v>175</v>
      </c>
      <c r="B176" s="9" t="s">
        <v>136</v>
      </c>
      <c r="C176" s="9" t="s">
        <v>1038</v>
      </c>
      <c r="D176" s="9" t="s">
        <v>251</v>
      </c>
      <c r="E176" s="9" t="s">
        <v>147</v>
      </c>
      <c r="F176" s="9" t="s">
        <v>140</v>
      </c>
      <c r="G176" s="10" t="s">
        <v>1035</v>
      </c>
      <c r="H176" s="10" t="str">
        <f>_xlfn.XLOOKUP(C176,'[1]E&amp;DPSAC'!$K:$K,'[1]E&amp;DPSAC'!$E:$E,,0)</f>
        <v>CHAS BOKARO</v>
      </c>
      <c r="I176" s="10"/>
      <c r="J176" s="10">
        <v>9135780530</v>
      </c>
      <c r="K176" s="10">
        <f>_xlfn.XLOOKUP(C176,'[1]E&amp;DPSAC'!$K:$K,'[1]E&amp;DPSAC'!$G:$G,"",0)</f>
        <v>9135780530</v>
      </c>
      <c r="L176" s="9" t="str">
        <f t="shared" ca="1" si="8"/>
        <v>Non - Warranty</v>
      </c>
      <c r="M176" s="11">
        <v>42811</v>
      </c>
      <c r="N176" s="12">
        <v>36</v>
      </c>
      <c r="O176" s="11">
        <f t="shared" si="9"/>
        <v>43921</v>
      </c>
      <c r="P176" s="8" t="s">
        <v>142</v>
      </c>
      <c r="Q176" s="16" t="s">
        <v>1039</v>
      </c>
      <c r="R176" s="15">
        <v>45266.496898148202</v>
      </c>
      <c r="S176" s="14">
        <v>13330</v>
      </c>
      <c r="T176" s="15">
        <v>45304</v>
      </c>
      <c r="U176" s="14">
        <v>13335</v>
      </c>
      <c r="V176" s="14">
        <v>138220</v>
      </c>
      <c r="W176" s="17">
        <v>45966.447222222225</v>
      </c>
      <c r="X176" s="14" t="s">
        <v>2771</v>
      </c>
      <c r="Y176" s="14">
        <v>-124140</v>
      </c>
      <c r="Z176" s="14" t="s">
        <v>2697</v>
      </c>
      <c r="AA176" s="18">
        <v>846.50310185179842</v>
      </c>
      <c r="AB176" s="18" t="s">
        <v>2697</v>
      </c>
      <c r="AC176" s="8">
        <f>tbl_DPSAC[[#This Row],[Current Month Due Count]]</f>
        <v>0</v>
      </c>
      <c r="AD176" s="8">
        <f>tbl_DPSAC[[#This Row],[Next Month Due2]]</f>
        <v>0</v>
      </c>
      <c r="AE176" s="8">
        <f t="shared" si="10"/>
        <v>1</v>
      </c>
      <c r="AF176" s="8">
        <v>0</v>
      </c>
      <c r="AG176" s="14">
        <f t="shared" ca="1" si="11"/>
        <v>138220</v>
      </c>
      <c r="AH176" s="8">
        <v>0</v>
      </c>
      <c r="AI176" s="8">
        <v>0</v>
      </c>
      <c r="AJ176" s="8">
        <v>0</v>
      </c>
      <c r="AK176" s="8">
        <v>0</v>
      </c>
      <c r="AL176" s="8">
        <v>0</v>
      </c>
      <c r="AM176" s="8">
        <v>0</v>
      </c>
      <c r="AN176" s="8">
        <v>0</v>
      </c>
      <c r="AO176" s="8">
        <v>0</v>
      </c>
      <c r="AP176" s="8">
        <v>0</v>
      </c>
      <c r="AQ176" s="8">
        <v>0</v>
      </c>
      <c r="AR176" s="8">
        <v>0</v>
      </c>
      <c r="AS176" s="8">
        <v>0</v>
      </c>
      <c r="AT176" s="8">
        <v>0</v>
      </c>
      <c r="AU176" s="8">
        <v>0</v>
      </c>
      <c r="AV176" s="8">
        <v>0</v>
      </c>
      <c r="AW176" s="8">
        <v>0</v>
      </c>
      <c r="AX176" s="8" t="s">
        <v>2977</v>
      </c>
      <c r="AY176" s="14">
        <v>13330</v>
      </c>
      <c r="AZ176" s="19">
        <v>45266</v>
      </c>
      <c r="BA176" s="14" t="s">
        <v>1039</v>
      </c>
      <c r="BB176" s="14">
        <v>11500</v>
      </c>
      <c r="BC176" s="19">
        <v>44621</v>
      </c>
      <c r="BD176" s="14"/>
      <c r="BE176" s="14">
        <v>13330</v>
      </c>
      <c r="BF176" s="19">
        <v>45266</v>
      </c>
      <c r="BG176" s="14" t="s">
        <v>1039</v>
      </c>
      <c r="BH176" s="14"/>
      <c r="BI176" s="19"/>
      <c r="BJ176" s="14"/>
      <c r="BK176" s="14">
        <v>11500</v>
      </c>
      <c r="BL176" s="19">
        <v>44621</v>
      </c>
      <c r="BM176" s="14"/>
      <c r="BN176" s="27">
        <v>45446</v>
      </c>
      <c r="BO176" s="27">
        <v>44801</v>
      </c>
      <c r="BP176" s="27">
        <v>45446</v>
      </c>
      <c r="BQ176" s="27" t="s">
        <v>143</v>
      </c>
      <c r="BR176" s="27">
        <v>44986</v>
      </c>
      <c r="BS176" s="28">
        <v>-124140</v>
      </c>
      <c r="BT176" s="29">
        <v>-125220</v>
      </c>
      <c r="BU176" s="29">
        <v>-124140</v>
      </c>
      <c r="BV176" s="29" t="s">
        <v>143</v>
      </c>
      <c r="BW176" s="29">
        <v>-125220</v>
      </c>
      <c r="BX176" s="30" t="s">
        <v>173</v>
      </c>
      <c r="BY176" s="8">
        <v>4</v>
      </c>
      <c r="BZ176" s="8">
        <v>0</v>
      </c>
      <c r="CA176" s="8">
        <v>0</v>
      </c>
      <c r="CB176" s="21">
        <v>45265.770833333299</v>
      </c>
      <c r="CC176" s="21">
        <v>45265.770833333299</v>
      </c>
      <c r="CD176" s="21">
        <v>0</v>
      </c>
      <c r="CE176" s="21">
        <v>45265.770833333299</v>
      </c>
      <c r="CF176" s="21">
        <v>45265.770833333299</v>
      </c>
      <c r="CG176" s="21">
        <v>0</v>
      </c>
      <c r="CH176" s="21">
        <v>0</v>
      </c>
      <c r="CI176" s="21">
        <v>0</v>
      </c>
      <c r="CJ176" s="21">
        <v>0</v>
      </c>
      <c r="CK176" s="22" t="s">
        <v>3069</v>
      </c>
      <c r="CL176" s="22" t="s">
        <v>3069</v>
      </c>
      <c r="CM176" s="22" t="s">
        <v>3069</v>
      </c>
      <c r="CN176" s="22" t="s">
        <v>3069</v>
      </c>
      <c r="CO176" s="22" t="s">
        <v>3069</v>
      </c>
      <c r="CP176" s="22" t="s">
        <v>3069</v>
      </c>
      <c r="CQ176" s="22" t="s">
        <v>2953</v>
      </c>
      <c r="CR176" s="22" t="s">
        <v>3069</v>
      </c>
      <c r="CS176" s="22" t="s">
        <v>3069</v>
      </c>
      <c r="CT176" s="22">
        <v>0</v>
      </c>
      <c r="CU176" s="21">
        <v>0</v>
      </c>
      <c r="CV176" s="21">
        <v>0</v>
      </c>
      <c r="CW176" s="21">
        <v>0</v>
      </c>
      <c r="CX176" s="21">
        <v>0</v>
      </c>
      <c r="CY176" s="21">
        <v>0</v>
      </c>
      <c r="CZ176" s="21">
        <v>0</v>
      </c>
      <c r="DA176" s="21">
        <v>0</v>
      </c>
      <c r="DB176" s="21">
        <v>0</v>
      </c>
      <c r="DC176" s="21">
        <v>0</v>
      </c>
      <c r="DD176" s="8">
        <v>0</v>
      </c>
      <c r="DE176" s="8">
        <v>0</v>
      </c>
      <c r="DF176" s="8">
        <v>0</v>
      </c>
      <c r="DG176" s="8">
        <v>9</v>
      </c>
      <c r="DH176" s="8">
        <v>0</v>
      </c>
      <c r="DI176" s="8">
        <v>0</v>
      </c>
      <c r="DJ176" s="8" t="s">
        <v>2954</v>
      </c>
      <c r="DK176" s="21">
        <v>42811</v>
      </c>
      <c r="DL176" s="21">
        <v>42773</v>
      </c>
      <c r="DM176" s="21">
        <v>45966</v>
      </c>
      <c r="DN176" s="18">
        <v>138220</v>
      </c>
      <c r="DO176" s="21">
        <v>0</v>
      </c>
      <c r="DP176" s="21">
        <v>0</v>
      </c>
      <c r="DQ176" s="21" t="s">
        <v>3049</v>
      </c>
      <c r="DR176" s="21">
        <v>45266</v>
      </c>
      <c r="DS176" s="21">
        <v>45266</v>
      </c>
      <c r="DT176" s="21">
        <v>0</v>
      </c>
      <c r="DU176" s="21">
        <v>45266</v>
      </c>
      <c r="DV176" s="21">
        <v>45266</v>
      </c>
      <c r="DW176" s="21">
        <v>0</v>
      </c>
      <c r="DX176" s="21">
        <v>0</v>
      </c>
      <c r="DY176" s="21">
        <v>0</v>
      </c>
      <c r="DZ176" s="21">
        <v>0</v>
      </c>
      <c r="EA176" s="8">
        <v>250</v>
      </c>
      <c r="EB176" s="8">
        <v>250</v>
      </c>
      <c r="EC176" s="8">
        <v>250</v>
      </c>
      <c r="ED176" s="8">
        <v>250</v>
      </c>
      <c r="EE176" s="8">
        <v>250</v>
      </c>
      <c r="EF176" s="8">
        <v>250</v>
      </c>
      <c r="EG176" s="8">
        <v>1000</v>
      </c>
      <c r="EH176" s="8">
        <v>250</v>
      </c>
      <c r="EI176" s="8">
        <v>250</v>
      </c>
      <c r="EJ176" s="8">
        <v>0</v>
      </c>
      <c r="EK176" s="8" t="s">
        <v>2624</v>
      </c>
      <c r="EL176" s="8">
        <v>147</v>
      </c>
      <c r="EM176" s="8">
        <v>0</v>
      </c>
      <c r="EN176" s="8">
        <v>-38</v>
      </c>
      <c r="EO176" s="8">
        <v>-38</v>
      </c>
      <c r="EP176" s="8">
        <v>-38</v>
      </c>
      <c r="EQ176" s="8">
        <v>-38</v>
      </c>
      <c r="ER176" s="8">
        <v>-38</v>
      </c>
      <c r="ES176" s="8">
        <v>-38</v>
      </c>
      <c r="ET176" s="8">
        <v>712</v>
      </c>
      <c r="EU176" s="8">
        <v>-38</v>
      </c>
      <c r="EV176" s="8">
        <v>-38</v>
      </c>
    </row>
    <row r="177" spans="1:152" x14ac:dyDescent="0.15">
      <c r="A177" s="8">
        <f>ROW([2]!tbl_DPSAC[[#This Row],[Sl. No.]])-1</f>
        <v>176</v>
      </c>
      <c r="B177" s="9" t="s">
        <v>136</v>
      </c>
      <c r="C177" s="9" t="s">
        <v>1040</v>
      </c>
      <c r="D177" s="9" t="s">
        <v>1041</v>
      </c>
      <c r="E177" s="9" t="s">
        <v>1042</v>
      </c>
      <c r="F177" s="9" t="s">
        <v>161</v>
      </c>
      <c r="G177" s="10" t="s">
        <v>1043</v>
      </c>
      <c r="H177" s="10" t="str">
        <f>_xlfn.XLOOKUP(C177,'[1]E&amp;DPSAC'!$K:$K,'[1]E&amp;DPSAC'!$E:$E,,0)</f>
        <v>BIHAR</v>
      </c>
      <c r="I177" s="10"/>
      <c r="J177" s="10" t="s">
        <v>143</v>
      </c>
      <c r="K177" s="10">
        <f>_xlfn.XLOOKUP(C177,'[1]E&amp;DPSAC'!$K:$K,'[1]E&amp;DPSAC'!$G:$G,"",0)</f>
        <v>8294516077</v>
      </c>
      <c r="L177" s="9" t="str">
        <f t="shared" ca="1" si="8"/>
        <v>Non - Warranty</v>
      </c>
      <c r="M177" s="11">
        <v>42171</v>
      </c>
      <c r="N177" s="12">
        <v>24</v>
      </c>
      <c r="O177" s="11">
        <f t="shared" si="9"/>
        <v>42916</v>
      </c>
      <c r="P177" s="8" t="s">
        <v>681</v>
      </c>
      <c r="Q177" s="16" t="s">
        <v>1044</v>
      </c>
      <c r="R177" s="15">
        <v>45289.452199074098</v>
      </c>
      <c r="S177" s="14">
        <v>8361</v>
      </c>
      <c r="T177" s="15">
        <v>45289</v>
      </c>
      <c r="U177" s="14">
        <v>8361</v>
      </c>
      <c r="V177" s="14">
        <v>8860</v>
      </c>
      <c r="W177" s="17">
        <v>45966.45</v>
      </c>
      <c r="X177" s="14" t="s">
        <v>2724</v>
      </c>
      <c r="Y177" s="14">
        <v>251</v>
      </c>
      <c r="Z177" s="14" t="s">
        <v>2692</v>
      </c>
      <c r="AA177" s="18">
        <v>823.54780092590227</v>
      </c>
      <c r="AB177" s="18" t="s">
        <v>2697</v>
      </c>
      <c r="AC177" s="8">
        <f>tbl_DPSAC[[#This Row],[Current Month Due Count]]</f>
        <v>0</v>
      </c>
      <c r="AD177" s="8">
        <f>tbl_DPSAC[[#This Row],[Next Month Due2]]</f>
        <v>0</v>
      </c>
      <c r="AE177" s="8">
        <f t="shared" si="10"/>
        <v>1</v>
      </c>
      <c r="AF177" s="8">
        <v>4</v>
      </c>
      <c r="AG177" s="14">
        <f t="shared" ca="1" si="11"/>
        <v>9446</v>
      </c>
      <c r="AH177" s="8">
        <v>0</v>
      </c>
      <c r="AI177" s="8">
        <v>0</v>
      </c>
      <c r="AJ177" s="8">
        <v>0</v>
      </c>
      <c r="AK177" s="8">
        <v>0</v>
      </c>
      <c r="AL177" s="8">
        <v>0</v>
      </c>
      <c r="AM177" s="8">
        <v>0</v>
      </c>
      <c r="AN177" s="8">
        <v>0</v>
      </c>
      <c r="AO177" s="8">
        <v>0</v>
      </c>
      <c r="AP177" s="8">
        <v>0</v>
      </c>
      <c r="AQ177" s="8">
        <v>0</v>
      </c>
      <c r="AR177" s="8">
        <v>0</v>
      </c>
      <c r="AS177" s="8">
        <v>0</v>
      </c>
      <c r="AT177" s="8">
        <v>0</v>
      </c>
      <c r="AU177" s="8">
        <v>0</v>
      </c>
      <c r="AV177" s="8">
        <v>0</v>
      </c>
      <c r="AW177" s="8">
        <v>0</v>
      </c>
      <c r="AX177" s="8" t="s">
        <v>2980</v>
      </c>
      <c r="AY177" s="14">
        <v>8361</v>
      </c>
      <c r="AZ177" s="19">
        <v>45289</v>
      </c>
      <c r="BA177" s="14" t="s">
        <v>1044</v>
      </c>
      <c r="BB177" s="14">
        <v>8361</v>
      </c>
      <c r="BC177" s="19">
        <v>45289</v>
      </c>
      <c r="BD177" s="14" t="s">
        <v>1044</v>
      </c>
      <c r="BE177" s="14">
        <v>8361</v>
      </c>
      <c r="BF177" s="19">
        <v>45289</v>
      </c>
      <c r="BG177" s="14" t="s">
        <v>1044</v>
      </c>
      <c r="BH177" s="14">
        <v>8361</v>
      </c>
      <c r="BI177" s="19">
        <v>45289</v>
      </c>
      <c r="BJ177" s="14" t="s">
        <v>1044</v>
      </c>
      <c r="BK177" s="14">
        <v>8361</v>
      </c>
      <c r="BL177" s="19">
        <v>45289</v>
      </c>
      <c r="BM177" s="14" t="s">
        <v>1044</v>
      </c>
      <c r="BN177" s="27">
        <v>45469</v>
      </c>
      <c r="BO177" s="27">
        <v>45469</v>
      </c>
      <c r="BP177" s="27">
        <v>45469</v>
      </c>
      <c r="BQ177" s="27">
        <v>45469</v>
      </c>
      <c r="BR177" s="27">
        <v>45654</v>
      </c>
      <c r="BS177" s="28">
        <v>-335</v>
      </c>
      <c r="BT177" s="29">
        <v>415</v>
      </c>
      <c r="BU177" s="29">
        <v>-335</v>
      </c>
      <c r="BV177" s="29">
        <v>-335</v>
      </c>
      <c r="BW177" s="29">
        <v>415</v>
      </c>
      <c r="BX177" s="30" t="s">
        <v>173</v>
      </c>
      <c r="BY177" s="8">
        <v>5</v>
      </c>
      <c r="BZ177" s="8">
        <v>0</v>
      </c>
      <c r="CA177" s="8">
        <v>0</v>
      </c>
      <c r="CB177" s="21">
        <v>45952.770833333299</v>
      </c>
      <c r="CC177" s="21">
        <v>45288.770833333299</v>
      </c>
      <c r="CD177" s="21">
        <v>0</v>
      </c>
      <c r="CE177" s="21">
        <v>45288.770833333299</v>
      </c>
      <c r="CF177" s="21">
        <v>45288.770833333299</v>
      </c>
      <c r="CG177" s="21">
        <v>45288.770833333299</v>
      </c>
      <c r="CH177" s="21">
        <v>45288.770833333299</v>
      </c>
      <c r="CI177" s="21">
        <v>45288.770833333299</v>
      </c>
      <c r="CJ177" s="21">
        <v>45288.770833333299</v>
      </c>
      <c r="CK177" s="22" t="s">
        <v>3059</v>
      </c>
      <c r="CL177" s="22" t="s">
        <v>3069</v>
      </c>
      <c r="CM177" s="22" t="s">
        <v>3069</v>
      </c>
      <c r="CN177" s="22" t="s">
        <v>3069</v>
      </c>
      <c r="CO177" s="22" t="s">
        <v>3069</v>
      </c>
      <c r="CP177" s="22" t="s">
        <v>3094</v>
      </c>
      <c r="CQ177" s="22" t="s">
        <v>2953</v>
      </c>
      <c r="CR177" s="22" t="s">
        <v>3094</v>
      </c>
      <c r="CS177" s="22" t="s">
        <v>3094</v>
      </c>
      <c r="CT177" s="22">
        <v>4</v>
      </c>
      <c r="CU177" s="21">
        <v>46132</v>
      </c>
      <c r="CV177" s="21">
        <v>45468</v>
      </c>
      <c r="CW177" s="21">
        <v>46028</v>
      </c>
      <c r="CX177" s="21">
        <v>45468</v>
      </c>
      <c r="CY177" s="21">
        <v>45468</v>
      </c>
      <c r="CZ177" s="21">
        <v>45558</v>
      </c>
      <c r="DA177" s="21">
        <v>45653</v>
      </c>
      <c r="DB177" s="21">
        <v>45468</v>
      </c>
      <c r="DC177" s="21">
        <v>45653</v>
      </c>
      <c r="DD177" s="8">
        <v>1</v>
      </c>
      <c r="DE177" s="8">
        <v>0</v>
      </c>
      <c r="DF177" s="8">
        <v>0</v>
      </c>
      <c r="DG177" s="8">
        <v>8</v>
      </c>
      <c r="DH177" s="8">
        <v>1</v>
      </c>
      <c r="DI177" s="8">
        <v>0</v>
      </c>
      <c r="DJ177" s="8" t="s">
        <v>3025</v>
      </c>
      <c r="DK177" s="21">
        <v>42171</v>
      </c>
      <c r="DL177" s="21">
        <v>42144</v>
      </c>
      <c r="DM177" s="21">
        <v>45966</v>
      </c>
      <c r="DN177" s="18">
        <v>8860</v>
      </c>
      <c r="DO177" s="21">
        <v>0</v>
      </c>
      <c r="DP177" s="21">
        <v>0</v>
      </c>
      <c r="DQ177" s="21" t="s">
        <v>2955</v>
      </c>
      <c r="DR177" s="21">
        <v>45953</v>
      </c>
      <c r="DS177" s="21">
        <v>45289</v>
      </c>
      <c r="DT177" s="21">
        <v>0</v>
      </c>
      <c r="DU177" s="21">
        <v>45289</v>
      </c>
      <c r="DV177" s="21">
        <v>45289</v>
      </c>
      <c r="DW177" s="21">
        <v>45289</v>
      </c>
      <c r="DX177" s="21">
        <v>45289</v>
      </c>
      <c r="DY177" s="21">
        <v>45289</v>
      </c>
      <c r="DZ177" s="21">
        <v>45289</v>
      </c>
      <c r="EA177" s="8">
        <v>1450</v>
      </c>
      <c r="EB177" s="8">
        <v>250</v>
      </c>
      <c r="EC177" s="8">
        <v>250</v>
      </c>
      <c r="ED177" s="8">
        <v>250</v>
      </c>
      <c r="EE177" s="8">
        <v>250</v>
      </c>
      <c r="EF177" s="8">
        <v>995</v>
      </c>
      <c r="EG177" s="8">
        <v>1000</v>
      </c>
      <c r="EH177" s="8">
        <v>995</v>
      </c>
      <c r="EI177" s="8">
        <v>995</v>
      </c>
      <c r="EJ177" s="8">
        <v>4</v>
      </c>
      <c r="EK177" s="8" t="s">
        <v>2624</v>
      </c>
      <c r="EL177" s="8">
        <v>147</v>
      </c>
      <c r="EM177" s="8">
        <v>588</v>
      </c>
      <c r="EN177" s="8">
        <v>1162</v>
      </c>
      <c r="EO177" s="8">
        <v>-38</v>
      </c>
      <c r="EP177" s="8">
        <v>-38</v>
      </c>
      <c r="EQ177" s="8">
        <v>-38</v>
      </c>
      <c r="ER177" s="8">
        <v>-38</v>
      </c>
      <c r="ES177" s="8">
        <v>707</v>
      </c>
      <c r="ET177" s="8">
        <v>712</v>
      </c>
      <c r="EU177" s="8">
        <v>707</v>
      </c>
      <c r="EV177" s="8">
        <v>707</v>
      </c>
    </row>
    <row r="178" spans="1:152" x14ac:dyDescent="0.15">
      <c r="A178" s="8">
        <f>ROW([2]!tbl_DPSAC[[#This Row],[Sl. No.]])-1</f>
        <v>177</v>
      </c>
      <c r="B178" s="9" t="s">
        <v>136</v>
      </c>
      <c r="C178" s="9" t="s">
        <v>1045</v>
      </c>
      <c r="D178" s="9" t="s">
        <v>697</v>
      </c>
      <c r="E178" s="9" t="s">
        <v>176</v>
      </c>
      <c r="F178" s="9" t="s">
        <v>140</v>
      </c>
      <c r="G178" s="10" t="s">
        <v>1046</v>
      </c>
      <c r="H178" s="10" t="str">
        <f>_xlfn.XLOOKUP(C178,'[1]E&amp;DPSAC'!$K:$K,'[1]E&amp;DPSAC'!$E:$E,,0)</f>
        <v>CHAS BOKARO</v>
      </c>
      <c r="I178" s="10"/>
      <c r="J178" s="10">
        <v>7004290575</v>
      </c>
      <c r="K178" s="10">
        <f>_xlfn.XLOOKUP(C178,'[1]E&amp;DPSAC'!$K:$K,'[1]E&amp;DPSAC'!$G:$G,"",0)</f>
        <v>7004290575</v>
      </c>
      <c r="L178" s="9" t="str">
        <f t="shared" ca="1" si="8"/>
        <v>Non - Warranty</v>
      </c>
      <c r="M178" s="11">
        <v>42799</v>
      </c>
      <c r="N178" s="12">
        <v>36</v>
      </c>
      <c r="O178" s="11">
        <f t="shared" si="9"/>
        <v>43921</v>
      </c>
      <c r="P178" s="8" t="s">
        <v>213</v>
      </c>
      <c r="Q178" s="16" t="s">
        <v>1048</v>
      </c>
      <c r="R178" s="15">
        <v>45954.731944444444</v>
      </c>
      <c r="S178" s="14">
        <v>11170</v>
      </c>
      <c r="T178" s="15">
        <v>45199</v>
      </c>
      <c r="U178" s="14">
        <v>8950</v>
      </c>
      <c r="V178" s="14">
        <v>11205</v>
      </c>
      <c r="W178" s="17">
        <v>45966.454861111109</v>
      </c>
      <c r="X178" s="14" t="s">
        <v>2699</v>
      </c>
      <c r="Y178" s="14">
        <v>715</v>
      </c>
      <c r="Z178" s="14" t="s">
        <v>2692</v>
      </c>
      <c r="AA178" s="18">
        <v>158.2680555555562</v>
      </c>
      <c r="AB178" s="18" t="s">
        <v>2692</v>
      </c>
      <c r="AC178" s="8">
        <f>tbl_DPSAC[[#This Row],[Current Month Due Count]]</f>
        <v>4</v>
      </c>
      <c r="AD178" s="8">
        <f>tbl_DPSAC[[#This Row],[Next Month Due2]]</f>
        <v>0</v>
      </c>
      <c r="AE178" s="8">
        <f t="shared" si="10"/>
        <v>0</v>
      </c>
      <c r="AF178" s="8">
        <v>3</v>
      </c>
      <c r="AG178" s="14">
        <f t="shared" ca="1" si="11"/>
        <v>11645</v>
      </c>
      <c r="AH178" s="8">
        <v>0</v>
      </c>
      <c r="AI178" s="8">
        <v>0</v>
      </c>
      <c r="AJ178" s="8">
        <v>0</v>
      </c>
      <c r="AK178" s="8">
        <v>0</v>
      </c>
      <c r="AL178" s="8">
        <v>0</v>
      </c>
      <c r="AM178" s="8">
        <v>0</v>
      </c>
      <c r="AN178" s="8">
        <v>0</v>
      </c>
      <c r="AO178" s="8">
        <v>0</v>
      </c>
      <c r="AP178" s="8">
        <v>0</v>
      </c>
      <c r="AQ178" s="8">
        <v>0</v>
      </c>
      <c r="AR178" s="8">
        <v>0</v>
      </c>
      <c r="AS178" s="8">
        <v>0</v>
      </c>
      <c r="AT178" s="8" t="s">
        <v>1047</v>
      </c>
      <c r="AU178" s="8">
        <v>0</v>
      </c>
      <c r="AV178" s="8">
        <v>0</v>
      </c>
      <c r="AW178" s="8">
        <v>0</v>
      </c>
      <c r="AX178" s="8" t="s">
        <v>2007</v>
      </c>
      <c r="AY178" s="14">
        <v>11170</v>
      </c>
      <c r="AZ178" s="19">
        <v>45954</v>
      </c>
      <c r="BA178" s="14" t="s">
        <v>1048</v>
      </c>
      <c r="BB178" s="14">
        <v>11170</v>
      </c>
      <c r="BC178" s="19">
        <v>45954</v>
      </c>
      <c r="BD178" s="14" t="s">
        <v>1048</v>
      </c>
      <c r="BE178" s="14">
        <v>11170</v>
      </c>
      <c r="BF178" s="19">
        <v>45954</v>
      </c>
      <c r="BG178" s="14" t="s">
        <v>1048</v>
      </c>
      <c r="BH178" s="14">
        <v>11170</v>
      </c>
      <c r="BI178" s="19">
        <v>45954</v>
      </c>
      <c r="BJ178" s="14" t="s">
        <v>1048</v>
      </c>
      <c r="BK178" s="14">
        <v>11170</v>
      </c>
      <c r="BL178" s="19">
        <v>45954</v>
      </c>
      <c r="BM178" s="14" t="s">
        <v>1048</v>
      </c>
      <c r="BN178" s="27">
        <v>46134</v>
      </c>
      <c r="BO178" s="27">
        <v>46134</v>
      </c>
      <c r="BP178" s="27">
        <v>46134</v>
      </c>
      <c r="BQ178" s="27">
        <v>46134</v>
      </c>
      <c r="BR178" s="27">
        <v>46319</v>
      </c>
      <c r="BS178" s="28">
        <v>275</v>
      </c>
      <c r="BT178" s="29">
        <v>1025</v>
      </c>
      <c r="BU178" s="29">
        <v>275</v>
      </c>
      <c r="BV178" s="29">
        <v>275</v>
      </c>
      <c r="BW178" s="29">
        <v>1025</v>
      </c>
      <c r="BX178" s="30" t="s">
        <v>173</v>
      </c>
      <c r="BY178" s="8">
        <v>0</v>
      </c>
      <c r="BZ178" s="8">
        <v>4</v>
      </c>
      <c r="CA178" s="8">
        <v>0</v>
      </c>
      <c r="CB178" s="21">
        <v>45954.770833333299</v>
      </c>
      <c r="CC178" s="21">
        <v>45954.770833333299</v>
      </c>
      <c r="CD178" s="21">
        <v>45954.770833333299</v>
      </c>
      <c r="CE178" s="21">
        <v>45954.770833333299</v>
      </c>
      <c r="CF178" s="21">
        <v>45954.770833333299</v>
      </c>
      <c r="CG178" s="21">
        <v>45954.770833333299</v>
      </c>
      <c r="CH178" s="21">
        <v>45954.770833333299</v>
      </c>
      <c r="CI178" s="21">
        <v>45954.770833333299</v>
      </c>
      <c r="CJ178" s="21">
        <v>45954.770833333299</v>
      </c>
      <c r="CK178" s="22" t="s">
        <v>3095</v>
      </c>
      <c r="CL178" s="22" t="s">
        <v>3096</v>
      </c>
      <c r="CM178" s="22" t="s">
        <v>3096</v>
      </c>
      <c r="CN178" s="22" t="s">
        <v>3096</v>
      </c>
      <c r="CO178" s="22" t="s">
        <v>3096</v>
      </c>
      <c r="CP178" s="22" t="s">
        <v>3095</v>
      </c>
      <c r="CQ178" s="22" t="s">
        <v>2953</v>
      </c>
      <c r="CR178" s="22" t="s">
        <v>3095</v>
      </c>
      <c r="CS178" s="22" t="s">
        <v>3095</v>
      </c>
      <c r="CT178" s="22">
        <v>3</v>
      </c>
      <c r="CU178" s="21">
        <v>46134</v>
      </c>
      <c r="CV178" s="21">
        <v>46134</v>
      </c>
      <c r="CW178" s="21">
        <v>46134</v>
      </c>
      <c r="CX178" s="21">
        <v>46134</v>
      </c>
      <c r="CY178" s="21">
        <v>46134</v>
      </c>
      <c r="CZ178" s="21">
        <v>46224</v>
      </c>
      <c r="DA178" s="21">
        <v>46299</v>
      </c>
      <c r="DB178" s="21">
        <v>46134</v>
      </c>
      <c r="DC178" s="21">
        <v>46319</v>
      </c>
      <c r="DD178" s="8">
        <v>0</v>
      </c>
      <c r="DE178" s="8">
        <v>0</v>
      </c>
      <c r="DF178" s="8">
        <v>0</v>
      </c>
      <c r="DG178" s="8">
        <v>0</v>
      </c>
      <c r="DH178" s="8">
        <v>6</v>
      </c>
      <c r="DI178" s="8">
        <v>0</v>
      </c>
      <c r="DJ178" s="8" t="s">
        <v>2976</v>
      </c>
      <c r="DK178" s="21">
        <v>42799</v>
      </c>
      <c r="DL178" s="21">
        <v>42782</v>
      </c>
      <c r="DM178" s="21">
        <v>45966</v>
      </c>
      <c r="DN178" s="18">
        <v>11205</v>
      </c>
      <c r="DO178" s="21">
        <v>0</v>
      </c>
      <c r="DP178" s="21">
        <v>0</v>
      </c>
      <c r="DQ178" s="21" t="s">
        <v>2955</v>
      </c>
      <c r="DR178" s="21">
        <v>45955</v>
      </c>
      <c r="DS178" s="21">
        <v>45955</v>
      </c>
      <c r="DT178" s="21">
        <v>45955</v>
      </c>
      <c r="DU178" s="21">
        <v>45955</v>
      </c>
      <c r="DV178" s="21">
        <v>45955</v>
      </c>
      <c r="DW178" s="21">
        <v>45955</v>
      </c>
      <c r="DX178" s="21">
        <v>45955</v>
      </c>
      <c r="DY178" s="21">
        <v>45955</v>
      </c>
      <c r="DZ178" s="21">
        <v>45955</v>
      </c>
      <c r="EA178" s="8">
        <v>1460</v>
      </c>
      <c r="EB178" s="8">
        <v>710</v>
      </c>
      <c r="EC178" s="8">
        <v>710</v>
      </c>
      <c r="ED178" s="8">
        <v>710</v>
      </c>
      <c r="EE178" s="8">
        <v>710</v>
      </c>
      <c r="EF178" s="8">
        <v>1460</v>
      </c>
      <c r="EG178" s="8">
        <v>1000</v>
      </c>
      <c r="EH178" s="8">
        <v>1460</v>
      </c>
      <c r="EI178" s="8">
        <v>1460</v>
      </c>
      <c r="EJ178" s="8">
        <v>3</v>
      </c>
      <c r="EK178" s="8" t="s">
        <v>2624</v>
      </c>
      <c r="EL178" s="8">
        <v>147</v>
      </c>
      <c r="EM178" s="8">
        <v>441</v>
      </c>
      <c r="EN178" s="8">
        <v>1172</v>
      </c>
      <c r="EO178" s="8">
        <v>422</v>
      </c>
      <c r="EP178" s="8">
        <v>422</v>
      </c>
      <c r="EQ178" s="8">
        <v>422</v>
      </c>
      <c r="ER178" s="8">
        <v>422</v>
      </c>
      <c r="ES178" s="8">
        <v>1172</v>
      </c>
      <c r="ET178" s="8">
        <v>712</v>
      </c>
      <c r="EU178" s="8">
        <v>1172</v>
      </c>
      <c r="EV178" s="8">
        <v>1172</v>
      </c>
    </row>
    <row r="179" spans="1:152" x14ac:dyDescent="0.15">
      <c r="A179" s="8">
        <f>ROW([2]!tbl_DPSAC[[#This Row],[Sl. No.]])-1</f>
        <v>178</v>
      </c>
      <c r="B179" s="9" t="s">
        <v>136</v>
      </c>
      <c r="C179" s="9" t="s">
        <v>1049</v>
      </c>
      <c r="D179" s="9" t="s">
        <v>138</v>
      </c>
      <c r="E179" s="9" t="s">
        <v>139</v>
      </c>
      <c r="F179" s="9" t="s">
        <v>161</v>
      </c>
      <c r="G179" s="10" t="s">
        <v>241</v>
      </c>
      <c r="H179" s="10" t="str">
        <f>_xlfn.XLOOKUP(C179,'[1]E&amp;DPSAC'!$K:$K,'[1]E&amp;DPSAC'!$E:$E,,0)</f>
        <v>KATRAS, DHANBAD</v>
      </c>
      <c r="I179" s="10"/>
      <c r="J179" s="10">
        <v>9304207050</v>
      </c>
      <c r="K179" s="10">
        <f>_xlfn.XLOOKUP(C179,'[1]E&amp;DPSAC'!$K:$K,'[1]E&amp;DPSAC'!$G:$G,"",0)</f>
        <v>6299066158</v>
      </c>
      <c r="L179" s="9" t="str">
        <f t="shared" ca="1" si="8"/>
        <v>Non - Warranty</v>
      </c>
      <c r="M179" s="11">
        <v>43557</v>
      </c>
      <c r="N179" s="12">
        <v>24</v>
      </c>
      <c r="O179" s="11">
        <f t="shared" si="9"/>
        <v>44316</v>
      </c>
      <c r="P179" s="8" t="s">
        <v>142</v>
      </c>
      <c r="Q179" s="16" t="s">
        <v>1057</v>
      </c>
      <c r="R179" s="15">
        <v>45371.492256944402</v>
      </c>
      <c r="S179" s="14">
        <v>10274</v>
      </c>
      <c r="T179" s="15">
        <v>45848</v>
      </c>
      <c r="U179" s="14">
        <v>12040</v>
      </c>
      <c r="V179" s="14">
        <v>12825</v>
      </c>
      <c r="W179" s="17">
        <v>46042.495567129597</v>
      </c>
      <c r="X179" s="14" t="s">
        <v>2750</v>
      </c>
      <c r="Y179" s="14">
        <v>-1801</v>
      </c>
      <c r="Z179" s="14" t="s">
        <v>2697</v>
      </c>
      <c r="AA179" s="18">
        <v>741.50774305559753</v>
      </c>
      <c r="AB179" s="18" t="s">
        <v>2697</v>
      </c>
      <c r="AC179" s="8">
        <f>tbl_DPSAC[[#This Row],[Current Month Due Count]]</f>
        <v>0</v>
      </c>
      <c r="AD179" s="8">
        <f>tbl_DPSAC[[#This Row],[Next Month Due2]]</f>
        <v>0</v>
      </c>
      <c r="AE179" s="8">
        <f t="shared" si="10"/>
        <v>1</v>
      </c>
      <c r="AF179" s="8">
        <v>4</v>
      </c>
      <c r="AG179" s="14">
        <f t="shared" ca="1" si="11"/>
        <v>13107</v>
      </c>
      <c r="AH179" s="8" t="s">
        <v>1050</v>
      </c>
      <c r="AI179" s="8" t="s">
        <v>1051</v>
      </c>
      <c r="AJ179" s="8">
        <v>0</v>
      </c>
      <c r="AK179" s="8" t="s">
        <v>1052</v>
      </c>
      <c r="AL179" s="8" t="s">
        <v>1053</v>
      </c>
      <c r="AM179" s="8" t="s">
        <v>1054</v>
      </c>
      <c r="AN179" s="8" t="s">
        <v>1055</v>
      </c>
      <c r="AO179" s="8" t="s">
        <v>1056</v>
      </c>
      <c r="AP179" s="8">
        <v>0</v>
      </c>
      <c r="AQ179" s="8">
        <v>0</v>
      </c>
      <c r="AR179" s="8">
        <v>0</v>
      </c>
      <c r="AS179" s="8">
        <v>0</v>
      </c>
      <c r="AT179" s="8">
        <v>0</v>
      </c>
      <c r="AU179" s="8">
        <v>0</v>
      </c>
      <c r="AV179" s="8">
        <v>0</v>
      </c>
      <c r="AW179" s="8">
        <v>0</v>
      </c>
      <c r="AX179" s="8" t="s">
        <v>2961</v>
      </c>
      <c r="AY179" s="14">
        <v>10274</v>
      </c>
      <c r="AZ179" s="19">
        <v>45371</v>
      </c>
      <c r="BA179" s="14" t="s">
        <v>1057</v>
      </c>
      <c r="BB179" s="14">
        <v>10274</v>
      </c>
      <c r="BC179" s="19">
        <v>45371</v>
      </c>
      <c r="BD179" s="14" t="s">
        <v>1057</v>
      </c>
      <c r="BE179" s="14">
        <v>10274</v>
      </c>
      <c r="BF179" s="19">
        <v>45371</v>
      </c>
      <c r="BG179" s="14" t="s">
        <v>1057</v>
      </c>
      <c r="BH179" s="14">
        <v>10274</v>
      </c>
      <c r="BI179" s="19">
        <v>45371</v>
      </c>
      <c r="BJ179" s="14" t="s">
        <v>1057</v>
      </c>
      <c r="BK179" s="14">
        <v>10274</v>
      </c>
      <c r="BL179" s="19">
        <v>45371</v>
      </c>
      <c r="BM179" s="14" t="s">
        <v>1057</v>
      </c>
      <c r="BN179" s="27">
        <v>45551</v>
      </c>
      <c r="BO179" s="27">
        <v>45551</v>
      </c>
      <c r="BP179" s="27">
        <v>45551</v>
      </c>
      <c r="BQ179" s="27">
        <v>45551</v>
      </c>
      <c r="BR179" s="27">
        <v>45736</v>
      </c>
      <c r="BS179" s="28">
        <v>-2083</v>
      </c>
      <c r="BT179" s="29">
        <v>-1333</v>
      </c>
      <c r="BU179" s="29">
        <v>-2083</v>
      </c>
      <c r="BV179" s="29">
        <v>-2083</v>
      </c>
      <c r="BW179" s="29">
        <v>-1333</v>
      </c>
      <c r="BX179" s="30" t="s">
        <v>1058</v>
      </c>
      <c r="BY179" s="8">
        <v>5</v>
      </c>
      <c r="BZ179" s="8">
        <v>0</v>
      </c>
      <c r="CA179" s="8">
        <v>0</v>
      </c>
      <c r="CB179" s="21">
        <v>45370.770833333299</v>
      </c>
      <c r="CC179" s="21">
        <v>45370.770833333299</v>
      </c>
      <c r="CD179" s="21">
        <v>45370.770833333299</v>
      </c>
      <c r="CE179" s="21">
        <v>45370.770833333299</v>
      </c>
      <c r="CF179" s="21">
        <v>45370.770833333299</v>
      </c>
      <c r="CG179" s="21">
        <v>45370.770833333299</v>
      </c>
      <c r="CH179" s="21">
        <v>45370.770833333299</v>
      </c>
      <c r="CI179" s="21">
        <v>45370.770833333299</v>
      </c>
      <c r="CJ179" s="21">
        <v>45370.770833333299</v>
      </c>
      <c r="CK179" s="22" t="s">
        <v>2978</v>
      </c>
      <c r="CL179" s="22" t="s">
        <v>2978</v>
      </c>
      <c r="CM179" s="22" t="s">
        <v>2978</v>
      </c>
      <c r="CN179" s="22" t="s">
        <v>2978</v>
      </c>
      <c r="CO179" s="22" t="s">
        <v>2978</v>
      </c>
      <c r="CP179" s="22" t="s">
        <v>3011</v>
      </c>
      <c r="CQ179" s="22" t="s">
        <v>2953</v>
      </c>
      <c r="CR179" s="22" t="s">
        <v>3011</v>
      </c>
      <c r="CS179" s="22" t="s">
        <v>3011</v>
      </c>
      <c r="CT179" s="22">
        <v>0</v>
      </c>
      <c r="CU179" s="21">
        <v>0</v>
      </c>
      <c r="CV179" s="21">
        <v>0</v>
      </c>
      <c r="CW179" s="21">
        <v>0</v>
      </c>
      <c r="CX179" s="21">
        <v>0</v>
      </c>
      <c r="CY179" s="21">
        <v>0</v>
      </c>
      <c r="CZ179" s="21">
        <v>0</v>
      </c>
      <c r="DA179" s="21">
        <v>0</v>
      </c>
      <c r="DB179" s="21">
        <v>0</v>
      </c>
      <c r="DC179" s="21">
        <v>0</v>
      </c>
      <c r="DD179" s="8">
        <v>0</v>
      </c>
      <c r="DE179" s="8">
        <v>0</v>
      </c>
      <c r="DF179" s="8">
        <v>0</v>
      </c>
      <c r="DG179" s="8">
        <v>9</v>
      </c>
      <c r="DH179" s="8">
        <v>0</v>
      </c>
      <c r="DI179" s="8">
        <v>0</v>
      </c>
      <c r="DJ179" s="8" t="s">
        <v>2954</v>
      </c>
      <c r="DK179" s="21">
        <v>43557</v>
      </c>
      <c r="DL179" s="21">
        <v>43524.229166666664</v>
      </c>
      <c r="DM179" s="21">
        <v>46042</v>
      </c>
      <c r="DN179" s="18">
        <v>12825</v>
      </c>
      <c r="DO179" s="21">
        <v>0</v>
      </c>
      <c r="DP179" s="21">
        <v>0</v>
      </c>
      <c r="DQ179" s="21" t="s">
        <v>2955</v>
      </c>
      <c r="DR179" s="21">
        <v>45371</v>
      </c>
      <c r="DS179" s="21">
        <v>45371</v>
      </c>
      <c r="DT179" s="21">
        <v>45371</v>
      </c>
      <c r="DU179" s="21">
        <v>45371</v>
      </c>
      <c r="DV179" s="21">
        <v>45371</v>
      </c>
      <c r="DW179" s="21">
        <v>45371</v>
      </c>
      <c r="DX179" s="21">
        <v>45371</v>
      </c>
      <c r="DY179" s="21">
        <v>45371</v>
      </c>
      <c r="DZ179" s="21">
        <v>45371</v>
      </c>
      <c r="EA179" s="8">
        <v>350</v>
      </c>
      <c r="EB179" s="8">
        <v>350</v>
      </c>
      <c r="EC179" s="8">
        <v>350</v>
      </c>
      <c r="ED179" s="8">
        <v>350</v>
      </c>
      <c r="EE179" s="8">
        <v>350</v>
      </c>
      <c r="EF179" s="8">
        <v>150</v>
      </c>
      <c r="EG179" s="8">
        <v>1000</v>
      </c>
      <c r="EH179" s="8">
        <v>150</v>
      </c>
      <c r="EI179" s="8">
        <v>150</v>
      </c>
      <c r="EJ179" s="8">
        <v>0</v>
      </c>
      <c r="EK179" s="8" t="s">
        <v>2624</v>
      </c>
      <c r="EL179" s="8">
        <v>71</v>
      </c>
      <c r="EM179" s="8">
        <v>284</v>
      </c>
      <c r="EN179" s="8">
        <v>62</v>
      </c>
      <c r="EO179" s="8">
        <v>62</v>
      </c>
      <c r="EP179" s="8">
        <v>62</v>
      </c>
      <c r="EQ179" s="8">
        <v>62</v>
      </c>
      <c r="ER179" s="8">
        <v>62</v>
      </c>
      <c r="ES179" s="8">
        <v>-138</v>
      </c>
      <c r="ET179" s="8">
        <v>712</v>
      </c>
      <c r="EU179" s="8">
        <v>-138</v>
      </c>
      <c r="EV179" s="8">
        <v>-138</v>
      </c>
    </row>
    <row r="180" spans="1:152" x14ac:dyDescent="0.15">
      <c r="A180" s="8">
        <f>ROW([2]!tbl_DPSAC[[#This Row],[Sl. No.]])-1</f>
        <v>179</v>
      </c>
      <c r="B180" s="9" t="s">
        <v>136</v>
      </c>
      <c r="C180" s="9" t="s">
        <v>1059</v>
      </c>
      <c r="D180" s="9" t="s">
        <v>175</v>
      </c>
      <c r="E180" s="9" t="s">
        <v>176</v>
      </c>
      <c r="F180" s="9" t="s">
        <v>161</v>
      </c>
      <c r="G180" s="10" t="s">
        <v>1060</v>
      </c>
      <c r="H180" s="10" t="e">
        <f>_xlfn.XLOOKUP(C180,'[1]E&amp;DPSAC'!$K:$K,'[1]E&amp;DPSAC'!$E:$E,,0)</f>
        <v>#N/A</v>
      </c>
      <c r="I180" s="10"/>
      <c r="J180" s="10">
        <v>9470939873</v>
      </c>
      <c r="K180" s="10" t="str">
        <f>_xlfn.XLOOKUP(C180,'[1]E&amp;DPSAC'!$K:$K,'[1]E&amp;DPSAC'!$G:$G,"",0)</f>
        <v/>
      </c>
      <c r="L180" s="9" t="str">
        <f t="shared" ca="1" si="8"/>
        <v>Non - Warranty</v>
      </c>
      <c r="M180" s="11">
        <v>42723</v>
      </c>
      <c r="N180" s="12">
        <v>24</v>
      </c>
      <c r="O180" s="11">
        <f t="shared" si="9"/>
        <v>43465</v>
      </c>
      <c r="P180" s="8" t="s">
        <v>681</v>
      </c>
      <c r="Q180" s="16" t="s">
        <v>2642</v>
      </c>
      <c r="R180" s="15">
        <v>45054.567777777796</v>
      </c>
      <c r="S180" s="14">
        <v>7180</v>
      </c>
      <c r="T180" s="15" t="s">
        <v>143</v>
      </c>
      <c r="U180" s="14" t="s">
        <v>143</v>
      </c>
      <c r="V180" s="14">
        <v>10910</v>
      </c>
      <c r="W180" s="17">
        <v>45966.458333333336</v>
      </c>
      <c r="X180" s="14" t="s">
        <v>2770</v>
      </c>
      <c r="Y180" s="14">
        <v>-2980</v>
      </c>
      <c r="Z180" s="14" t="s">
        <v>2697</v>
      </c>
      <c r="AA180" s="18">
        <v>1058.4322222222036</v>
      </c>
      <c r="AB180" s="18" t="s">
        <v>2697</v>
      </c>
      <c r="AC180" s="8">
        <f>tbl_DPSAC[[#This Row],[Current Month Due Count]]</f>
        <v>0</v>
      </c>
      <c r="AD180" s="8">
        <f>tbl_DPSAC[[#This Row],[Next Month Due2]]</f>
        <v>0</v>
      </c>
      <c r="AE180" s="8">
        <f t="shared" si="10"/>
        <v>1</v>
      </c>
      <c r="AF180" s="8">
        <v>4</v>
      </c>
      <c r="AG180" s="14">
        <f t="shared" ca="1" si="11"/>
        <v>11496</v>
      </c>
      <c r="AH180" s="8">
        <v>0</v>
      </c>
      <c r="AI180" s="8">
        <v>0</v>
      </c>
      <c r="AJ180" s="8">
        <v>0</v>
      </c>
      <c r="AK180" s="8">
        <v>0</v>
      </c>
      <c r="AL180" s="8">
        <v>0</v>
      </c>
      <c r="AM180" s="8">
        <v>0</v>
      </c>
      <c r="AN180" s="8">
        <v>0</v>
      </c>
      <c r="AO180" s="8">
        <v>0</v>
      </c>
      <c r="AP180" s="8">
        <v>0</v>
      </c>
      <c r="AQ180" s="8">
        <v>0</v>
      </c>
      <c r="AR180" s="8">
        <v>0</v>
      </c>
      <c r="AS180" s="8">
        <v>0</v>
      </c>
      <c r="AT180" s="8">
        <v>0</v>
      </c>
      <c r="AU180" s="8">
        <v>0</v>
      </c>
      <c r="AV180" s="8">
        <v>0</v>
      </c>
      <c r="AW180" s="8">
        <v>0</v>
      </c>
      <c r="AX180" s="8" t="s">
        <v>2961</v>
      </c>
      <c r="AY180" s="14">
        <v>6398</v>
      </c>
      <c r="AZ180" s="19">
        <v>44633</v>
      </c>
      <c r="BA180" s="14" t="s">
        <v>1061</v>
      </c>
      <c r="BB180" s="14">
        <v>6150</v>
      </c>
      <c r="BC180" s="19">
        <v>44390</v>
      </c>
      <c r="BD180" s="14"/>
      <c r="BE180" s="14">
        <v>6398</v>
      </c>
      <c r="BF180" s="19">
        <v>44633</v>
      </c>
      <c r="BG180" s="14" t="s">
        <v>1061</v>
      </c>
      <c r="BH180" s="14">
        <v>6398</v>
      </c>
      <c r="BI180" s="19">
        <v>44633</v>
      </c>
      <c r="BJ180" s="14" t="s">
        <v>1061</v>
      </c>
      <c r="BK180" s="14">
        <v>6150</v>
      </c>
      <c r="BL180" s="19">
        <v>44390</v>
      </c>
      <c r="BM180" s="14"/>
      <c r="BN180" s="27">
        <v>44813</v>
      </c>
      <c r="BO180" s="27">
        <v>44570</v>
      </c>
      <c r="BP180" s="27">
        <v>44813</v>
      </c>
      <c r="BQ180" s="27">
        <v>44813</v>
      </c>
      <c r="BR180" s="27">
        <v>44755</v>
      </c>
      <c r="BS180" s="28">
        <v>-4348</v>
      </c>
      <c r="BT180" s="29">
        <v>-3846</v>
      </c>
      <c r="BU180" s="29">
        <v>-4348</v>
      </c>
      <c r="BV180" s="29">
        <v>-4348</v>
      </c>
      <c r="BW180" s="29">
        <v>-3846</v>
      </c>
      <c r="BX180" s="30" t="s">
        <v>173</v>
      </c>
      <c r="BY180" s="8">
        <v>5</v>
      </c>
      <c r="BZ180" s="8">
        <v>0</v>
      </c>
      <c r="CA180" s="8">
        <v>0</v>
      </c>
      <c r="CB180" s="21">
        <v>45053.770833333299</v>
      </c>
      <c r="CC180" s="21">
        <v>45053.770833333299</v>
      </c>
      <c r="CD180" s="21">
        <v>45053.770833333299</v>
      </c>
      <c r="CE180" s="21">
        <v>45053.770833333299</v>
      </c>
      <c r="CF180" s="21">
        <v>45053.770833333299</v>
      </c>
      <c r="CG180" s="21">
        <v>45053.770833333299</v>
      </c>
      <c r="CH180" s="21">
        <v>0</v>
      </c>
      <c r="CI180" s="21">
        <v>45053.770833333299</v>
      </c>
      <c r="CJ180" s="21">
        <v>0</v>
      </c>
      <c r="CK180" s="22" t="s">
        <v>3097</v>
      </c>
      <c r="CL180" s="22" t="s">
        <v>3097</v>
      </c>
      <c r="CM180" s="22" t="s">
        <v>3097</v>
      </c>
      <c r="CN180" s="22" t="s">
        <v>3097</v>
      </c>
      <c r="CO180" s="22" t="s">
        <v>3097</v>
      </c>
      <c r="CP180" s="22" t="s">
        <v>3097</v>
      </c>
      <c r="CQ180" s="22" t="s">
        <v>2953</v>
      </c>
      <c r="CR180" s="22" t="s">
        <v>3097</v>
      </c>
      <c r="CS180" s="22" t="s">
        <v>3097</v>
      </c>
      <c r="CT180" s="22">
        <v>2</v>
      </c>
      <c r="CU180" s="21">
        <v>45233</v>
      </c>
      <c r="CV180" s="21">
        <v>45233</v>
      </c>
      <c r="CW180" s="21">
        <v>45233</v>
      </c>
      <c r="CX180" s="21">
        <v>45233</v>
      </c>
      <c r="CY180" s="21">
        <v>45233</v>
      </c>
      <c r="CZ180" s="21">
        <v>45323</v>
      </c>
      <c r="DA180" s="21">
        <v>46059</v>
      </c>
      <c r="DB180" s="21">
        <v>45233</v>
      </c>
      <c r="DC180" s="21">
        <v>46091</v>
      </c>
      <c r="DD180" s="8">
        <v>1</v>
      </c>
      <c r="DE180" s="8">
        <v>1</v>
      </c>
      <c r="DF180" s="8">
        <v>1</v>
      </c>
      <c r="DG180" s="8">
        <v>9</v>
      </c>
      <c r="DH180" s="8">
        <v>0</v>
      </c>
      <c r="DI180" s="8">
        <v>0</v>
      </c>
      <c r="DJ180" s="8" t="s">
        <v>3025</v>
      </c>
      <c r="DK180" s="21">
        <v>42723</v>
      </c>
      <c r="DL180" s="21">
        <v>42594</v>
      </c>
      <c r="DM180" s="21">
        <v>45966</v>
      </c>
      <c r="DN180" s="18">
        <v>10910</v>
      </c>
      <c r="DO180" s="21">
        <v>0</v>
      </c>
      <c r="DP180" s="21">
        <v>0</v>
      </c>
      <c r="DQ180" s="21" t="s">
        <v>2955</v>
      </c>
      <c r="DR180" s="21">
        <v>45054</v>
      </c>
      <c r="DS180" s="21">
        <v>45054</v>
      </c>
      <c r="DT180" s="21">
        <v>45054</v>
      </c>
      <c r="DU180" s="21">
        <v>45054</v>
      </c>
      <c r="DV180" s="21">
        <v>45054</v>
      </c>
      <c r="DW180" s="21">
        <v>45054</v>
      </c>
      <c r="DX180" s="21">
        <v>0</v>
      </c>
      <c r="DY180" s="21">
        <v>45054</v>
      </c>
      <c r="DZ180" s="21">
        <v>0</v>
      </c>
      <c r="EA180" s="8">
        <v>360</v>
      </c>
      <c r="EB180" s="8">
        <v>360</v>
      </c>
      <c r="EC180" s="8">
        <v>360</v>
      </c>
      <c r="ED180" s="8">
        <v>360</v>
      </c>
      <c r="EE180" s="8">
        <v>360</v>
      </c>
      <c r="EF180" s="8">
        <v>360</v>
      </c>
      <c r="EG180" s="8">
        <v>1000</v>
      </c>
      <c r="EH180" s="8">
        <v>360</v>
      </c>
      <c r="EI180" s="8">
        <v>360</v>
      </c>
      <c r="EJ180" s="8">
        <v>2</v>
      </c>
      <c r="EK180" s="8" t="s">
        <v>2624</v>
      </c>
      <c r="EL180" s="8">
        <v>147</v>
      </c>
      <c r="EM180" s="8">
        <v>588</v>
      </c>
      <c r="EN180" s="8">
        <v>72</v>
      </c>
      <c r="EO180" s="8">
        <v>72</v>
      </c>
      <c r="EP180" s="8">
        <v>72</v>
      </c>
      <c r="EQ180" s="8">
        <v>72</v>
      </c>
      <c r="ER180" s="8">
        <v>72</v>
      </c>
      <c r="ES180" s="8">
        <v>72</v>
      </c>
      <c r="ET180" s="8">
        <v>712</v>
      </c>
      <c r="EU180" s="8">
        <v>72</v>
      </c>
      <c r="EV180" s="8">
        <v>72</v>
      </c>
    </row>
    <row r="181" spans="1:152" x14ac:dyDescent="0.15">
      <c r="A181" s="8">
        <f>ROW([2]!tbl_DPSAC[[#This Row],[Sl. No.]])-1</f>
        <v>180</v>
      </c>
      <c r="B181" s="9" t="s">
        <v>136</v>
      </c>
      <c r="C181" s="9" t="s">
        <v>1062</v>
      </c>
      <c r="D181" s="9" t="s">
        <v>138</v>
      </c>
      <c r="E181" s="9" t="s">
        <v>139</v>
      </c>
      <c r="F181" s="9" t="s">
        <v>161</v>
      </c>
      <c r="G181" s="10" t="s">
        <v>1063</v>
      </c>
      <c r="H181" s="10" t="str">
        <f>_xlfn.XLOOKUP(C181,'[1]E&amp;DPSAC'!$K:$K,'[1]E&amp;DPSAC'!$E:$E,,0)</f>
        <v>COLLIEARY, DHANBAD</v>
      </c>
      <c r="I181" s="10"/>
      <c r="J181" s="10">
        <v>9573347055</v>
      </c>
      <c r="K181" s="10">
        <f>_xlfn.XLOOKUP(C181,'[1]E&amp;DPSAC'!$K:$K,'[1]E&amp;DPSAC'!$G:$G,"",0)</f>
        <v>9573347055</v>
      </c>
      <c r="L181" s="9" t="str">
        <f t="shared" ca="1" si="8"/>
        <v>Non - Warranty</v>
      </c>
      <c r="M181" s="11">
        <v>42802</v>
      </c>
      <c r="N181" s="12">
        <v>24</v>
      </c>
      <c r="O181" s="11">
        <f t="shared" si="9"/>
        <v>43555</v>
      </c>
      <c r="P181" s="8" t="s">
        <v>142</v>
      </c>
      <c r="Q181" s="16" t="s">
        <v>1064</v>
      </c>
      <c r="R181" s="15">
        <v>45954.724999999999</v>
      </c>
      <c r="S181" s="14">
        <v>8275</v>
      </c>
      <c r="T181" s="15">
        <v>45371</v>
      </c>
      <c r="U181" s="14">
        <v>6429</v>
      </c>
      <c r="V181" s="14">
        <v>8320</v>
      </c>
      <c r="W181" s="17">
        <v>45966.461111111108</v>
      </c>
      <c r="X181" s="14" t="s">
        <v>2699</v>
      </c>
      <c r="Y181" s="14">
        <v>705</v>
      </c>
      <c r="Z181" s="14" t="s">
        <v>2692</v>
      </c>
      <c r="AA181" s="18">
        <v>158.27500000000146</v>
      </c>
      <c r="AB181" s="18" t="s">
        <v>2692</v>
      </c>
      <c r="AC181" s="8">
        <f>tbl_DPSAC[[#This Row],[Current Month Due Count]]</f>
        <v>4</v>
      </c>
      <c r="AD181" s="8">
        <f>tbl_DPSAC[[#This Row],[Next Month Due2]]</f>
        <v>0</v>
      </c>
      <c r="AE181" s="8">
        <f t="shared" si="10"/>
        <v>0</v>
      </c>
      <c r="AF181" s="8">
        <v>4</v>
      </c>
      <c r="AG181" s="14">
        <f t="shared" ca="1" si="11"/>
        <v>8906</v>
      </c>
      <c r="AH181" s="8">
        <v>0</v>
      </c>
      <c r="AI181" s="8">
        <v>0</v>
      </c>
      <c r="AJ181" s="8">
        <v>0</v>
      </c>
      <c r="AK181" s="8">
        <v>0</v>
      </c>
      <c r="AL181" s="8">
        <v>0</v>
      </c>
      <c r="AM181" s="8">
        <v>0</v>
      </c>
      <c r="AN181" s="8">
        <v>0</v>
      </c>
      <c r="AO181" s="8">
        <v>0</v>
      </c>
      <c r="AP181" s="8">
        <v>0</v>
      </c>
      <c r="AQ181" s="8">
        <v>0</v>
      </c>
      <c r="AR181" s="8">
        <v>0</v>
      </c>
      <c r="AS181" s="8">
        <v>0</v>
      </c>
      <c r="AT181" s="8">
        <v>0</v>
      </c>
      <c r="AU181" s="8">
        <v>0</v>
      </c>
      <c r="AV181" s="8">
        <v>0</v>
      </c>
      <c r="AW181" s="8">
        <v>0</v>
      </c>
      <c r="AX181" s="8" t="s">
        <v>2007</v>
      </c>
      <c r="AY181" s="14">
        <v>8275</v>
      </c>
      <c r="AZ181" s="19">
        <v>45954</v>
      </c>
      <c r="BA181" s="14" t="s">
        <v>1064</v>
      </c>
      <c r="BB181" s="14">
        <v>8275</v>
      </c>
      <c r="BC181" s="19">
        <v>45954</v>
      </c>
      <c r="BD181" s="14" t="s">
        <v>1064</v>
      </c>
      <c r="BE181" s="14">
        <v>8275</v>
      </c>
      <c r="BF181" s="19">
        <v>45954</v>
      </c>
      <c r="BG181" s="14" t="s">
        <v>1064</v>
      </c>
      <c r="BH181" s="14">
        <v>8275</v>
      </c>
      <c r="BI181" s="19">
        <v>45954</v>
      </c>
      <c r="BJ181" s="14" t="s">
        <v>1064</v>
      </c>
      <c r="BK181" s="14">
        <v>8275</v>
      </c>
      <c r="BL181" s="19">
        <v>45954</v>
      </c>
      <c r="BM181" s="14" t="s">
        <v>1064</v>
      </c>
      <c r="BN181" s="27">
        <v>46134</v>
      </c>
      <c r="BO181" s="27">
        <v>46134</v>
      </c>
      <c r="BP181" s="27">
        <v>46134</v>
      </c>
      <c r="BQ181" s="27">
        <v>46134</v>
      </c>
      <c r="BR181" s="27">
        <v>46319</v>
      </c>
      <c r="BS181" s="28">
        <v>119</v>
      </c>
      <c r="BT181" s="29">
        <v>869</v>
      </c>
      <c r="BU181" s="29">
        <v>119</v>
      </c>
      <c r="BV181" s="29">
        <v>119</v>
      </c>
      <c r="BW181" s="29">
        <v>869</v>
      </c>
      <c r="BX181" s="30" t="s">
        <v>173</v>
      </c>
      <c r="BY181" s="8">
        <v>0</v>
      </c>
      <c r="BZ181" s="8">
        <v>4</v>
      </c>
      <c r="CA181" s="8">
        <v>0</v>
      </c>
      <c r="CB181" s="21">
        <v>45954.770833333299</v>
      </c>
      <c r="CC181" s="21">
        <v>45953.770833333299</v>
      </c>
      <c r="CD181" s="21">
        <v>45953.770833333299</v>
      </c>
      <c r="CE181" s="21">
        <v>45953.770833333299</v>
      </c>
      <c r="CF181" s="21">
        <v>45953.770833333299</v>
      </c>
      <c r="CG181" s="21">
        <v>45953.770833333299</v>
      </c>
      <c r="CH181" s="21">
        <v>45953.770833333299</v>
      </c>
      <c r="CI181" s="21">
        <v>45953.770833333299</v>
      </c>
      <c r="CJ181" s="21">
        <v>45953.770833333299</v>
      </c>
      <c r="CK181" s="22" t="s">
        <v>3098</v>
      </c>
      <c r="CL181" s="22" t="s">
        <v>3099</v>
      </c>
      <c r="CM181" s="22" t="s">
        <v>3099</v>
      </c>
      <c r="CN181" s="22" t="s">
        <v>3099</v>
      </c>
      <c r="CO181" s="22" t="s">
        <v>3099</v>
      </c>
      <c r="CP181" s="22" t="s">
        <v>3098</v>
      </c>
      <c r="CQ181" s="22" t="s">
        <v>2953</v>
      </c>
      <c r="CR181" s="22" t="s">
        <v>3098</v>
      </c>
      <c r="CS181" s="22" t="s">
        <v>3098</v>
      </c>
      <c r="CT181" s="22">
        <v>4</v>
      </c>
      <c r="CU181" s="21">
        <v>46134</v>
      </c>
      <c r="CV181" s="21">
        <v>46133</v>
      </c>
      <c r="CW181" s="21">
        <v>46133</v>
      </c>
      <c r="CX181" s="21">
        <v>46133</v>
      </c>
      <c r="CY181" s="21">
        <v>46133</v>
      </c>
      <c r="CZ181" s="21">
        <v>46223</v>
      </c>
      <c r="DA181" s="21">
        <v>46216</v>
      </c>
      <c r="DB181" s="21">
        <v>46133</v>
      </c>
      <c r="DC181" s="21">
        <v>46318</v>
      </c>
      <c r="DD181" s="8">
        <v>0</v>
      </c>
      <c r="DE181" s="8">
        <v>0</v>
      </c>
      <c r="DF181" s="8">
        <v>0</v>
      </c>
      <c r="DG181" s="8">
        <v>0</v>
      </c>
      <c r="DH181" s="8">
        <v>6</v>
      </c>
      <c r="DI181" s="8">
        <v>0</v>
      </c>
      <c r="DJ181" s="8" t="s">
        <v>2954</v>
      </c>
      <c r="DK181" s="21">
        <v>42950</v>
      </c>
      <c r="DL181" s="21">
        <v>42901</v>
      </c>
      <c r="DM181" s="21">
        <v>45966</v>
      </c>
      <c r="DN181" s="18">
        <v>8320</v>
      </c>
      <c r="DO181" s="21">
        <v>0</v>
      </c>
      <c r="DP181" s="21">
        <v>0</v>
      </c>
      <c r="DQ181" s="21" t="s">
        <v>2955</v>
      </c>
      <c r="DR181" s="21">
        <v>45955</v>
      </c>
      <c r="DS181" s="21">
        <v>45954</v>
      </c>
      <c r="DT181" s="21">
        <v>45954</v>
      </c>
      <c r="DU181" s="21">
        <v>45954</v>
      </c>
      <c r="DV181" s="21">
        <v>45954</v>
      </c>
      <c r="DW181" s="21">
        <v>45954</v>
      </c>
      <c r="DX181" s="21">
        <v>45954</v>
      </c>
      <c r="DY181" s="21">
        <v>45954</v>
      </c>
      <c r="DZ181" s="21">
        <v>45954</v>
      </c>
      <c r="EA181" s="8">
        <v>1455</v>
      </c>
      <c r="EB181" s="8">
        <v>705</v>
      </c>
      <c r="EC181" s="8">
        <v>705</v>
      </c>
      <c r="ED181" s="8">
        <v>705</v>
      </c>
      <c r="EE181" s="8">
        <v>705</v>
      </c>
      <c r="EF181" s="8">
        <v>1455</v>
      </c>
      <c r="EG181" s="8">
        <v>1000</v>
      </c>
      <c r="EH181" s="8">
        <v>1455</v>
      </c>
      <c r="EI181" s="8">
        <v>1455</v>
      </c>
      <c r="EJ181" s="8">
        <v>4</v>
      </c>
      <c r="EK181" s="8" t="s">
        <v>2624</v>
      </c>
      <c r="EL181" s="8">
        <v>147</v>
      </c>
      <c r="EM181" s="8">
        <v>588</v>
      </c>
      <c r="EN181" s="8">
        <v>1167</v>
      </c>
      <c r="EO181" s="8">
        <v>417</v>
      </c>
      <c r="EP181" s="8">
        <v>417</v>
      </c>
      <c r="EQ181" s="8">
        <v>417</v>
      </c>
      <c r="ER181" s="8">
        <v>417</v>
      </c>
      <c r="ES181" s="8">
        <v>1167</v>
      </c>
      <c r="ET181" s="8">
        <v>712</v>
      </c>
      <c r="EU181" s="8">
        <v>1167</v>
      </c>
      <c r="EV181" s="8">
        <v>1167</v>
      </c>
    </row>
    <row r="182" spans="1:152" x14ac:dyDescent="0.15">
      <c r="A182" s="8">
        <f>ROW([2]!tbl_DPSAC[[#This Row],[Sl. No.]])-1</f>
        <v>181</v>
      </c>
      <c r="B182" s="9" t="s">
        <v>136</v>
      </c>
      <c r="C182" s="9" t="s">
        <v>1065</v>
      </c>
      <c r="D182" s="9" t="s">
        <v>169</v>
      </c>
      <c r="E182" s="9" t="s">
        <v>170</v>
      </c>
      <c r="F182" s="9" t="s">
        <v>161</v>
      </c>
      <c r="G182" s="10" t="s">
        <v>1066</v>
      </c>
      <c r="H182" s="10" t="str">
        <f>_xlfn.XLOOKUP(C182,'[1]E&amp;DPSAC'!$K:$K,'[1]E&amp;DPSAC'!$E:$E,,0)</f>
        <v>ADITYAPUR KANDRA ROAD
831013</v>
      </c>
      <c r="I182" s="10" t="s">
        <v>1067</v>
      </c>
      <c r="J182" s="10">
        <v>8709350884</v>
      </c>
      <c r="K182" s="10">
        <f>_xlfn.XLOOKUP(C182,'[1]E&amp;DPSAC'!$K:$K,'[1]E&amp;DPSAC'!$G:$G,"",0)</f>
        <v>8709350884</v>
      </c>
      <c r="L182" s="9" t="str">
        <f t="shared" ca="1" si="8"/>
        <v>Non - Warranty</v>
      </c>
      <c r="M182" s="11">
        <v>43378</v>
      </c>
      <c r="N182" s="12">
        <v>24</v>
      </c>
      <c r="O182" s="11">
        <f t="shared" si="9"/>
        <v>44135</v>
      </c>
      <c r="P182" s="8" t="s">
        <v>157</v>
      </c>
      <c r="Q182" s="16" t="s">
        <v>1068</v>
      </c>
      <c r="R182" s="15">
        <v>46067.718993055598</v>
      </c>
      <c r="S182" s="14">
        <v>2530</v>
      </c>
      <c r="T182" s="15">
        <v>46070</v>
      </c>
      <c r="U182" s="14">
        <v>2530</v>
      </c>
      <c r="V182" s="14">
        <v>2530</v>
      </c>
      <c r="W182" s="17">
        <v>46067.718993055598</v>
      </c>
      <c r="X182" s="14" t="s">
        <v>2784</v>
      </c>
      <c r="Y182" s="14">
        <v>750</v>
      </c>
      <c r="Z182" s="14" t="s">
        <v>2692</v>
      </c>
      <c r="AA182" s="18">
        <v>45.281006944402179</v>
      </c>
      <c r="AB182" s="18" t="s">
        <v>2692</v>
      </c>
      <c r="AC182" s="8">
        <f>tbl_DPSAC[[#This Row],[Current Month Due Count]]</f>
        <v>0</v>
      </c>
      <c r="AD182" s="8">
        <f>tbl_DPSAC[[#This Row],[Next Month Due2]]</f>
        <v>0</v>
      </c>
      <c r="AE182" s="8">
        <f t="shared" si="10"/>
        <v>0</v>
      </c>
      <c r="AF182" s="8">
        <v>4</v>
      </c>
      <c r="AG182" s="14">
        <f t="shared" ca="1" si="11"/>
        <v>2711</v>
      </c>
      <c r="AH182" s="8">
        <v>0</v>
      </c>
      <c r="AI182" s="8">
        <v>0</v>
      </c>
      <c r="AJ182" s="8">
        <v>0</v>
      </c>
      <c r="AK182" s="8">
        <v>0</v>
      </c>
      <c r="AL182" s="8">
        <v>0</v>
      </c>
      <c r="AM182" s="8">
        <v>0</v>
      </c>
      <c r="AN182" s="8">
        <v>0</v>
      </c>
      <c r="AO182" s="8">
        <v>0</v>
      </c>
      <c r="AP182" s="8">
        <v>0</v>
      </c>
      <c r="AQ182" s="8">
        <v>0</v>
      </c>
      <c r="AR182" s="8">
        <v>0</v>
      </c>
      <c r="AS182" s="8">
        <v>0</v>
      </c>
      <c r="AT182" s="8">
        <v>0</v>
      </c>
      <c r="AU182" s="8">
        <v>0</v>
      </c>
      <c r="AV182" s="8">
        <v>0</v>
      </c>
      <c r="AW182" s="8">
        <v>0</v>
      </c>
      <c r="AX182" s="8" t="s">
        <v>2007</v>
      </c>
      <c r="AY182" s="14">
        <v>2530</v>
      </c>
      <c r="AZ182" s="19">
        <v>46067</v>
      </c>
      <c r="BA182" s="14" t="s">
        <v>1068</v>
      </c>
      <c r="BB182" s="14">
        <v>2530</v>
      </c>
      <c r="BC182" s="19">
        <v>46067</v>
      </c>
      <c r="BD182" s="14" t="s">
        <v>1068</v>
      </c>
      <c r="BE182" s="14">
        <v>2530</v>
      </c>
      <c r="BF182" s="19">
        <v>46067</v>
      </c>
      <c r="BG182" s="14" t="s">
        <v>1068</v>
      </c>
      <c r="BH182" s="14">
        <v>2530</v>
      </c>
      <c r="BI182" s="19">
        <v>46067</v>
      </c>
      <c r="BJ182" s="14" t="s">
        <v>1068</v>
      </c>
      <c r="BK182" s="14">
        <v>2530</v>
      </c>
      <c r="BL182" s="19">
        <v>46067</v>
      </c>
      <c r="BM182" s="14" t="s">
        <v>1068</v>
      </c>
      <c r="BN182" s="27">
        <v>46247</v>
      </c>
      <c r="BO182" s="27">
        <v>46247</v>
      </c>
      <c r="BP182" s="27">
        <v>46247</v>
      </c>
      <c r="BQ182" s="27">
        <v>46247</v>
      </c>
      <c r="BR182" s="27">
        <v>46432</v>
      </c>
      <c r="BS182" s="28">
        <v>569</v>
      </c>
      <c r="BT182" s="29">
        <v>1319</v>
      </c>
      <c r="BU182" s="29">
        <v>569</v>
      </c>
      <c r="BV182" s="29">
        <v>569</v>
      </c>
      <c r="BW182" s="29">
        <v>1319</v>
      </c>
      <c r="BX182" s="30" t="s">
        <v>159</v>
      </c>
      <c r="BY182" s="8">
        <v>0</v>
      </c>
      <c r="BZ182" s="8">
        <v>0</v>
      </c>
      <c r="CA182" s="8">
        <v>0</v>
      </c>
      <c r="CB182" s="21">
        <v>45371.770833333299</v>
      </c>
      <c r="CC182" s="21">
        <v>45371.770833333299</v>
      </c>
      <c r="CD182" s="21">
        <v>45130.770833333299</v>
      </c>
      <c r="CE182" s="21">
        <v>45371.770833333299</v>
      </c>
      <c r="CF182" s="21">
        <v>45371.770833333299</v>
      </c>
      <c r="CG182" s="21">
        <v>0</v>
      </c>
      <c r="CH182" s="21">
        <v>0</v>
      </c>
      <c r="CI182" s="21">
        <v>0</v>
      </c>
      <c r="CJ182" s="21">
        <v>0</v>
      </c>
      <c r="CK182" s="22" t="s">
        <v>2988</v>
      </c>
      <c r="CL182" s="22" t="s">
        <v>2988</v>
      </c>
      <c r="CM182" s="22" t="s">
        <v>2988</v>
      </c>
      <c r="CN182" s="22" t="s">
        <v>2988</v>
      </c>
      <c r="CO182" s="22" t="s">
        <v>2988</v>
      </c>
      <c r="CP182" s="22" t="s">
        <v>3066</v>
      </c>
      <c r="CQ182" s="22" t="s">
        <v>2953</v>
      </c>
      <c r="CR182" s="22" t="s">
        <v>3066</v>
      </c>
      <c r="CS182" s="22" t="s">
        <v>3100</v>
      </c>
      <c r="CT182" s="22">
        <v>5</v>
      </c>
      <c r="CU182" s="21">
        <v>45551</v>
      </c>
      <c r="CV182" s="21">
        <v>45551</v>
      </c>
      <c r="CW182" s="21">
        <v>45310</v>
      </c>
      <c r="CX182" s="21">
        <v>45551</v>
      </c>
      <c r="CY182" s="21">
        <v>45551</v>
      </c>
      <c r="CZ182" s="21">
        <v>46184</v>
      </c>
      <c r="DA182" s="21">
        <v>46163</v>
      </c>
      <c r="DB182" s="21">
        <v>46166</v>
      </c>
      <c r="DC182" s="21">
        <v>46351</v>
      </c>
      <c r="DD182" s="8">
        <v>1</v>
      </c>
      <c r="DE182" s="8">
        <v>0</v>
      </c>
      <c r="DF182" s="8">
        <v>0</v>
      </c>
      <c r="DG182" s="8">
        <v>5</v>
      </c>
      <c r="DH182" s="8">
        <v>0</v>
      </c>
      <c r="DI182" s="8">
        <v>2</v>
      </c>
      <c r="DJ182" s="8" t="s">
        <v>3025</v>
      </c>
      <c r="DK182" s="21">
        <v>43378</v>
      </c>
      <c r="DL182" s="21">
        <v>43277.333333333336</v>
      </c>
      <c r="DM182" s="21">
        <v>46070</v>
      </c>
      <c r="DN182" s="18">
        <v>2530</v>
      </c>
      <c r="DO182" s="21">
        <v>0</v>
      </c>
      <c r="DP182" s="21">
        <v>0</v>
      </c>
      <c r="DQ182" s="21" t="s">
        <v>2955</v>
      </c>
      <c r="DR182" s="21">
        <v>45372</v>
      </c>
      <c r="DS182" s="21">
        <v>45372</v>
      </c>
      <c r="DT182" s="21">
        <v>45131</v>
      </c>
      <c r="DU182" s="21">
        <v>45372</v>
      </c>
      <c r="DV182" s="21">
        <v>45372</v>
      </c>
      <c r="DW182" s="21">
        <v>0</v>
      </c>
      <c r="DX182" s="21">
        <v>0</v>
      </c>
      <c r="DY182" s="21">
        <v>0</v>
      </c>
      <c r="DZ182" s="21">
        <v>0</v>
      </c>
      <c r="EA182" s="8">
        <v>70</v>
      </c>
      <c r="EB182" s="8">
        <v>70</v>
      </c>
      <c r="EC182" s="8">
        <v>70</v>
      </c>
      <c r="ED182" s="8">
        <v>70</v>
      </c>
      <c r="EE182" s="8">
        <v>70</v>
      </c>
      <c r="EF182" s="8">
        <v>570</v>
      </c>
      <c r="EG182" s="8">
        <v>1000</v>
      </c>
      <c r="EH182" s="8">
        <v>570</v>
      </c>
      <c r="EI182" s="8">
        <v>2070</v>
      </c>
      <c r="EJ182" s="8">
        <v>5</v>
      </c>
      <c r="EK182" s="8" t="s">
        <v>157</v>
      </c>
      <c r="EL182" s="8">
        <v>45</v>
      </c>
      <c r="EM182" s="8">
        <v>180</v>
      </c>
      <c r="EN182" s="8">
        <v>-218</v>
      </c>
      <c r="EO182" s="8">
        <v>-218</v>
      </c>
      <c r="EP182" s="8">
        <v>-218</v>
      </c>
      <c r="EQ182" s="8">
        <v>-218</v>
      </c>
      <c r="ER182" s="8">
        <v>-218</v>
      </c>
      <c r="ES182" s="8">
        <v>282</v>
      </c>
      <c r="ET182" s="8">
        <v>712</v>
      </c>
      <c r="EU182" s="8">
        <v>282</v>
      </c>
      <c r="EV182" s="8">
        <v>1782</v>
      </c>
    </row>
    <row r="183" spans="1:152" x14ac:dyDescent="0.15">
      <c r="A183" s="8">
        <f>ROW([2]!tbl_DPSAC[[#This Row],[Sl. No.]])-1</f>
        <v>182</v>
      </c>
      <c r="B183" s="9" t="s">
        <v>136</v>
      </c>
      <c r="C183" s="9" t="s">
        <v>1069</v>
      </c>
      <c r="D183" s="9" t="s">
        <v>154</v>
      </c>
      <c r="E183" s="9" t="s">
        <v>155</v>
      </c>
      <c r="F183" s="9" t="s">
        <v>140</v>
      </c>
      <c r="G183" s="10" t="s">
        <v>156</v>
      </c>
      <c r="H183" s="10" t="str">
        <f>_xlfn.XLOOKUP(C183,'[1]E&amp;DPSAC'!$K:$K,'[1]E&amp;DPSAC'!$E:$E,,0)</f>
        <v>Govindpur, Dhanbad</v>
      </c>
      <c r="I183" s="10" t="s">
        <v>1070</v>
      </c>
      <c r="J183" s="10">
        <v>6380540177</v>
      </c>
      <c r="K183" s="10">
        <f>_xlfn.XLOOKUP(C183,'[1]E&amp;DPSAC'!$K:$K,'[1]E&amp;DPSAC'!$G:$G,"",0)</f>
        <v>6380540177</v>
      </c>
      <c r="L183" s="9" t="str">
        <f t="shared" ca="1" si="8"/>
        <v>Non - Warranty</v>
      </c>
      <c r="M183" s="11">
        <v>43112</v>
      </c>
      <c r="N183" s="12">
        <v>36</v>
      </c>
      <c r="O183" s="11">
        <f t="shared" si="9"/>
        <v>44227</v>
      </c>
      <c r="P183" s="8" t="s">
        <v>157</v>
      </c>
      <c r="Q183" s="16" t="s">
        <v>1164</v>
      </c>
      <c r="R183" s="15">
        <v>45335.570995370399</v>
      </c>
      <c r="S183" s="14">
        <v>10463</v>
      </c>
      <c r="T183" s="15">
        <v>45289</v>
      </c>
      <c r="U183" s="14">
        <v>10269</v>
      </c>
      <c r="V183" s="14">
        <v>12000</v>
      </c>
      <c r="W183" s="17">
        <v>46101.628657407397</v>
      </c>
      <c r="X183" s="14" t="s">
        <v>2785</v>
      </c>
      <c r="Y183" s="14">
        <v>-787</v>
      </c>
      <c r="Z183" s="14" t="s">
        <v>2697</v>
      </c>
      <c r="AA183" s="18">
        <v>777.42900462960097</v>
      </c>
      <c r="AB183" s="18" t="s">
        <v>2697</v>
      </c>
      <c r="AC183" s="8">
        <f>tbl_DPSAC[[#This Row],[Current Month Due Count]]</f>
        <v>0</v>
      </c>
      <c r="AD183" s="8">
        <f>tbl_DPSAC[[#This Row],[Next Month Due2]]</f>
        <v>0</v>
      </c>
      <c r="AE183" s="8">
        <f t="shared" si="10"/>
        <v>1</v>
      </c>
      <c r="AF183" s="8">
        <v>6</v>
      </c>
      <c r="AG183" s="14">
        <f t="shared" ca="1" si="11"/>
        <v>12068</v>
      </c>
      <c r="AH183" s="8">
        <v>0</v>
      </c>
      <c r="AI183" s="8">
        <v>0</v>
      </c>
      <c r="AJ183" s="8">
        <v>0</v>
      </c>
      <c r="AK183" s="8">
        <v>0</v>
      </c>
      <c r="AL183" s="8">
        <v>0</v>
      </c>
      <c r="AM183" s="8">
        <v>0</v>
      </c>
      <c r="AN183" s="8">
        <v>0</v>
      </c>
      <c r="AO183" s="8">
        <v>0</v>
      </c>
      <c r="AP183" s="8">
        <v>0</v>
      </c>
      <c r="AQ183" s="8">
        <v>0</v>
      </c>
      <c r="AR183" s="8" t="s">
        <v>1071</v>
      </c>
      <c r="AS183" s="8">
        <v>0</v>
      </c>
      <c r="AT183" s="8" t="s">
        <v>1072</v>
      </c>
      <c r="AU183" s="8">
        <v>0</v>
      </c>
      <c r="AV183" s="8">
        <v>0</v>
      </c>
      <c r="AW183" s="8">
        <v>0</v>
      </c>
      <c r="AX183" s="8" t="s">
        <v>2977</v>
      </c>
      <c r="AY183" s="14">
        <v>10463</v>
      </c>
      <c r="AZ183" s="19">
        <v>45335</v>
      </c>
      <c r="BA183" s="14" t="s">
        <v>1073</v>
      </c>
      <c r="BB183" s="14">
        <v>10269</v>
      </c>
      <c r="BC183" s="19">
        <v>45289</v>
      </c>
      <c r="BD183" s="14" t="s">
        <v>1074</v>
      </c>
      <c r="BE183" s="14">
        <v>10463</v>
      </c>
      <c r="BF183" s="19">
        <v>45335</v>
      </c>
      <c r="BG183" s="14" t="s">
        <v>1073</v>
      </c>
      <c r="BH183" s="14"/>
      <c r="BI183" s="19"/>
      <c r="BJ183" s="14" t="s">
        <v>1075</v>
      </c>
      <c r="BK183" s="14">
        <v>10269</v>
      </c>
      <c r="BL183" s="19">
        <v>45289</v>
      </c>
      <c r="BM183" s="14" t="s">
        <v>1074</v>
      </c>
      <c r="BN183" s="27">
        <v>45515</v>
      </c>
      <c r="BO183" s="27">
        <v>45469</v>
      </c>
      <c r="BP183" s="27">
        <v>45515</v>
      </c>
      <c r="BQ183" s="27" t="s">
        <v>143</v>
      </c>
      <c r="BR183" s="27">
        <v>45654</v>
      </c>
      <c r="BS183" s="28">
        <v>-855</v>
      </c>
      <c r="BT183" s="29">
        <v>-299</v>
      </c>
      <c r="BU183" s="29">
        <v>-855</v>
      </c>
      <c r="BV183" s="29" t="s">
        <v>143</v>
      </c>
      <c r="BW183" s="29">
        <v>-299</v>
      </c>
      <c r="BX183" s="30" t="s">
        <v>159</v>
      </c>
      <c r="BY183" s="8">
        <v>4</v>
      </c>
      <c r="BZ183" s="8">
        <v>0</v>
      </c>
      <c r="CA183" s="8">
        <v>0</v>
      </c>
      <c r="CB183" s="21">
        <v>45334.770833333299</v>
      </c>
      <c r="CC183" s="21">
        <v>45334.770833333299</v>
      </c>
      <c r="CD183" s="21">
        <v>44236.770833333299</v>
      </c>
      <c r="CE183" s="21">
        <v>45334.770833333299</v>
      </c>
      <c r="CF183" s="21">
        <v>45334.770833333299</v>
      </c>
      <c r="CG183" s="21">
        <v>44918.770833333299</v>
      </c>
      <c r="CH183" s="21">
        <v>45288.770833333299</v>
      </c>
      <c r="CI183" s="21">
        <v>45288.770833333299</v>
      </c>
      <c r="CJ183" s="21">
        <v>45288.770833333299</v>
      </c>
      <c r="CK183" s="22" t="s">
        <v>3097</v>
      </c>
      <c r="CL183" s="22" t="s">
        <v>3009</v>
      </c>
      <c r="CM183" s="22" t="s">
        <v>3009</v>
      </c>
      <c r="CN183" s="22" t="s">
        <v>3009</v>
      </c>
      <c r="CO183" s="22" t="s">
        <v>3009</v>
      </c>
      <c r="CP183" s="22" t="s">
        <v>3058</v>
      </c>
      <c r="CQ183" s="22" t="s">
        <v>3058</v>
      </c>
      <c r="CR183" s="22" t="s">
        <v>3058</v>
      </c>
      <c r="CS183" s="22" t="s">
        <v>3058</v>
      </c>
      <c r="CT183" s="22">
        <v>6</v>
      </c>
      <c r="CU183" s="21">
        <v>45514</v>
      </c>
      <c r="CV183" s="21">
        <v>45514</v>
      </c>
      <c r="CW183" s="21">
        <v>44416</v>
      </c>
      <c r="CX183" s="21">
        <v>45514</v>
      </c>
      <c r="CY183" s="21">
        <v>45514</v>
      </c>
      <c r="CZ183" s="21">
        <v>45188</v>
      </c>
      <c r="DA183" s="21">
        <v>45614</v>
      </c>
      <c r="DB183" s="21">
        <v>45468</v>
      </c>
      <c r="DC183" s="21">
        <v>45614</v>
      </c>
      <c r="DD183" s="8">
        <v>1</v>
      </c>
      <c r="DE183" s="8">
        <v>0</v>
      </c>
      <c r="DF183" s="8">
        <v>0</v>
      </c>
      <c r="DG183" s="8">
        <v>9</v>
      </c>
      <c r="DH183" s="8">
        <v>0</v>
      </c>
      <c r="DI183" s="8">
        <v>0</v>
      </c>
      <c r="DJ183" s="8" t="s">
        <v>2954</v>
      </c>
      <c r="DK183" s="21">
        <v>43112</v>
      </c>
      <c r="DL183" s="21">
        <v>43069</v>
      </c>
      <c r="DM183" s="21">
        <v>46111</v>
      </c>
      <c r="DN183" s="18">
        <v>12000</v>
      </c>
      <c r="DO183" s="21">
        <v>0</v>
      </c>
      <c r="DP183" s="21">
        <v>0</v>
      </c>
      <c r="DQ183" s="21" t="s">
        <v>2955</v>
      </c>
      <c r="DR183" s="21">
        <v>45335</v>
      </c>
      <c r="DS183" s="21">
        <v>45335</v>
      </c>
      <c r="DT183" s="21">
        <v>44237</v>
      </c>
      <c r="DU183" s="21">
        <v>45335</v>
      </c>
      <c r="DV183" s="21">
        <v>45335</v>
      </c>
      <c r="DW183" s="21">
        <v>44919</v>
      </c>
      <c r="DX183" s="21">
        <v>45289</v>
      </c>
      <c r="DY183" s="21">
        <v>45289</v>
      </c>
      <c r="DZ183" s="21">
        <v>45289</v>
      </c>
      <c r="EA183" s="8">
        <v>500</v>
      </c>
      <c r="EB183" s="8">
        <v>750</v>
      </c>
      <c r="EC183" s="8">
        <v>750</v>
      </c>
      <c r="ED183" s="8">
        <v>500</v>
      </c>
      <c r="EE183" s="8">
        <v>500</v>
      </c>
      <c r="EF183" s="8">
        <v>500</v>
      </c>
      <c r="EG183" s="8">
        <v>1000</v>
      </c>
      <c r="EH183" s="8">
        <v>500</v>
      </c>
      <c r="EI183" s="8">
        <v>2000</v>
      </c>
      <c r="EJ183" s="8">
        <v>8</v>
      </c>
      <c r="EK183" s="8" t="s">
        <v>157</v>
      </c>
      <c r="EL183" s="8">
        <v>11</v>
      </c>
      <c r="EM183" s="8">
        <v>66</v>
      </c>
      <c r="EN183" s="8">
        <v>212</v>
      </c>
      <c r="EO183" s="8">
        <v>462</v>
      </c>
      <c r="EP183" s="8">
        <v>462</v>
      </c>
      <c r="EQ183" s="8">
        <v>212</v>
      </c>
      <c r="ER183" s="8">
        <v>212</v>
      </c>
      <c r="ES183" s="8">
        <v>212</v>
      </c>
      <c r="ET183" s="8">
        <v>712</v>
      </c>
      <c r="EU183" s="8">
        <v>212</v>
      </c>
      <c r="EV183" s="8">
        <v>1712</v>
      </c>
    </row>
    <row r="184" spans="1:152" x14ac:dyDescent="0.15">
      <c r="A184" s="8">
        <f>ROW([2]!tbl_DPSAC[[#This Row],[Sl. No.]])-1</f>
        <v>183</v>
      </c>
      <c r="B184" s="9" t="s">
        <v>136</v>
      </c>
      <c r="C184" s="9" t="s">
        <v>1076</v>
      </c>
      <c r="D184" s="9" t="s">
        <v>697</v>
      </c>
      <c r="E184" s="9" t="s">
        <v>176</v>
      </c>
      <c r="F184" s="9" t="s">
        <v>161</v>
      </c>
      <c r="G184" s="10" t="s">
        <v>1077</v>
      </c>
      <c r="H184" s="10" t="str">
        <f>_xlfn.XLOOKUP(C184,'[1]E&amp;DPSAC'!$K:$K,'[1]E&amp;DPSAC'!$E:$E,,0)</f>
        <v>JAMSHEDPUR</v>
      </c>
      <c r="I184" s="10"/>
      <c r="J184" s="10">
        <v>7004637342</v>
      </c>
      <c r="K184" s="10">
        <f>_xlfn.XLOOKUP(C184,'[1]E&amp;DPSAC'!$K:$K,'[1]E&amp;DPSAC'!$G:$G,"",0)</f>
        <v>7004637342</v>
      </c>
      <c r="L184" s="9" t="str">
        <f t="shared" ca="1" si="8"/>
        <v>Non - Warranty</v>
      </c>
      <c r="M184" s="11">
        <v>42884</v>
      </c>
      <c r="N184" s="12">
        <v>24</v>
      </c>
      <c r="O184" s="11">
        <f t="shared" si="9"/>
        <v>43616</v>
      </c>
      <c r="P184" s="8" t="s">
        <v>681</v>
      </c>
      <c r="Q184" s="16" t="s">
        <v>1078</v>
      </c>
      <c r="R184" s="15">
        <v>45265.565254629597</v>
      </c>
      <c r="S184" s="14">
        <v>4285</v>
      </c>
      <c r="T184" s="15">
        <v>45265</v>
      </c>
      <c r="U184" s="14">
        <v>4285</v>
      </c>
      <c r="V184" s="14">
        <v>6920</v>
      </c>
      <c r="W184" s="17">
        <v>45966.469444444447</v>
      </c>
      <c r="X184" s="14" t="s">
        <v>2745</v>
      </c>
      <c r="Y184" s="14">
        <v>-1885</v>
      </c>
      <c r="Z184" s="14" t="s">
        <v>2697</v>
      </c>
      <c r="AA184" s="18">
        <v>847.43474537040311</v>
      </c>
      <c r="AB184" s="18" t="s">
        <v>2697</v>
      </c>
      <c r="AC184" s="8">
        <f>tbl_DPSAC[[#This Row],[Current Month Due Count]]</f>
        <v>0</v>
      </c>
      <c r="AD184" s="8">
        <f>tbl_DPSAC[[#This Row],[Next Month Due2]]</f>
        <v>0</v>
      </c>
      <c r="AE184" s="8">
        <f t="shared" si="10"/>
        <v>1</v>
      </c>
      <c r="AF184" s="8">
        <v>3.8</v>
      </c>
      <c r="AG184" s="14">
        <f t="shared" ca="1" si="11"/>
        <v>7477</v>
      </c>
      <c r="AH184" s="8">
        <v>0</v>
      </c>
      <c r="AI184" s="8">
        <v>0</v>
      </c>
      <c r="AJ184" s="8">
        <v>0</v>
      </c>
      <c r="AK184" s="8">
        <v>0</v>
      </c>
      <c r="AL184" s="8">
        <v>0</v>
      </c>
      <c r="AM184" s="8">
        <v>0</v>
      </c>
      <c r="AN184" s="8">
        <v>0</v>
      </c>
      <c r="AO184" s="8">
        <v>0</v>
      </c>
      <c r="AP184" s="8">
        <v>0</v>
      </c>
      <c r="AQ184" s="8">
        <v>0</v>
      </c>
      <c r="AR184" s="8">
        <v>0</v>
      </c>
      <c r="AS184" s="8">
        <v>0</v>
      </c>
      <c r="AT184" s="8">
        <v>0</v>
      </c>
      <c r="AU184" s="8">
        <v>0</v>
      </c>
      <c r="AV184" s="8">
        <v>0</v>
      </c>
      <c r="AW184" s="8">
        <v>0</v>
      </c>
      <c r="AX184" s="8" t="s">
        <v>2961</v>
      </c>
      <c r="AY184" s="14">
        <v>4285</v>
      </c>
      <c r="AZ184" s="19">
        <v>45265</v>
      </c>
      <c r="BA184" s="14" t="s">
        <v>1078</v>
      </c>
      <c r="BB184" s="14">
        <v>3160</v>
      </c>
      <c r="BC184" s="19">
        <v>44251.356678240743</v>
      </c>
      <c r="BD184" s="14" t="s">
        <v>1079</v>
      </c>
      <c r="BE184" s="14">
        <v>4285</v>
      </c>
      <c r="BF184" s="19">
        <v>45265</v>
      </c>
      <c r="BG184" s="14" t="s">
        <v>1078</v>
      </c>
      <c r="BH184" s="14">
        <v>4285</v>
      </c>
      <c r="BI184" s="19">
        <v>45265</v>
      </c>
      <c r="BJ184" s="14" t="s">
        <v>1078</v>
      </c>
      <c r="BK184" s="14">
        <v>3160</v>
      </c>
      <c r="BL184" s="19">
        <v>44251.356678240743</v>
      </c>
      <c r="BM184" s="14" t="s">
        <v>1079</v>
      </c>
      <c r="BN184" s="27">
        <v>45445</v>
      </c>
      <c r="BO184" s="27">
        <v>44431.356678240743</v>
      </c>
      <c r="BP184" s="27">
        <v>45445</v>
      </c>
      <c r="BQ184" s="27">
        <v>45445</v>
      </c>
      <c r="BR184" s="27">
        <v>44616.356678240743</v>
      </c>
      <c r="BS184" s="28">
        <v>-2442</v>
      </c>
      <c r="BT184" s="29">
        <v>-2817</v>
      </c>
      <c r="BU184" s="29">
        <v>-2442</v>
      </c>
      <c r="BV184" s="29">
        <v>-2442</v>
      </c>
      <c r="BW184" s="29">
        <v>-2817</v>
      </c>
      <c r="BX184" s="30" t="s">
        <v>281</v>
      </c>
      <c r="BY184" s="8">
        <v>5</v>
      </c>
      <c r="BZ184" s="8">
        <v>0</v>
      </c>
      <c r="CA184" s="8">
        <v>0</v>
      </c>
      <c r="CB184" s="21">
        <v>45264.770833333299</v>
      </c>
      <c r="CC184" s="21">
        <v>45264.770833333299</v>
      </c>
      <c r="CD184" s="21">
        <v>45264.770833333299</v>
      </c>
      <c r="CE184" s="21">
        <v>45264.770833333299</v>
      </c>
      <c r="CF184" s="21">
        <v>45264.770833333299</v>
      </c>
      <c r="CG184" s="21">
        <v>45053.770833333299</v>
      </c>
      <c r="CH184" s="21">
        <v>0</v>
      </c>
      <c r="CI184" s="21">
        <v>45053.770833333299</v>
      </c>
      <c r="CJ184" s="21">
        <v>0</v>
      </c>
      <c r="CK184" s="22" t="s">
        <v>2996</v>
      </c>
      <c r="CL184" s="22" t="s">
        <v>2972</v>
      </c>
      <c r="CM184" s="22" t="s">
        <v>2972</v>
      </c>
      <c r="CN184" s="22" t="s">
        <v>2972</v>
      </c>
      <c r="CO184" s="22" t="s">
        <v>2972</v>
      </c>
      <c r="CP184" s="22" t="s">
        <v>3101</v>
      </c>
      <c r="CQ184" s="22" t="s">
        <v>2953</v>
      </c>
      <c r="CR184" s="22" t="s">
        <v>3101</v>
      </c>
      <c r="CS184" s="22" t="s">
        <v>3101</v>
      </c>
      <c r="CT184" s="22">
        <v>3</v>
      </c>
      <c r="CU184" s="21">
        <v>45444</v>
      </c>
      <c r="CV184" s="21">
        <v>45444</v>
      </c>
      <c r="CW184" s="21">
        <v>45444</v>
      </c>
      <c r="CX184" s="21">
        <v>45444</v>
      </c>
      <c r="CY184" s="21">
        <v>45444</v>
      </c>
      <c r="CZ184" s="21">
        <v>45323</v>
      </c>
      <c r="DA184" s="21">
        <v>46059</v>
      </c>
      <c r="DB184" s="21">
        <v>45233</v>
      </c>
      <c r="DC184" s="21">
        <v>46139</v>
      </c>
      <c r="DD184" s="8">
        <v>1</v>
      </c>
      <c r="DE184" s="8">
        <v>1</v>
      </c>
      <c r="DF184" s="8">
        <v>0</v>
      </c>
      <c r="DG184" s="8">
        <v>8</v>
      </c>
      <c r="DH184" s="8">
        <v>1</v>
      </c>
      <c r="DI184" s="8">
        <v>0</v>
      </c>
      <c r="DJ184" s="8" t="s">
        <v>3025</v>
      </c>
      <c r="DK184" s="21">
        <v>42884</v>
      </c>
      <c r="DL184" s="21">
        <v>42864</v>
      </c>
      <c r="DM184" s="21">
        <v>45966</v>
      </c>
      <c r="DN184" s="18">
        <v>6920</v>
      </c>
      <c r="DO184" s="21">
        <v>0</v>
      </c>
      <c r="DP184" s="21">
        <v>0</v>
      </c>
      <c r="DQ184" s="21" t="s">
        <v>2955</v>
      </c>
      <c r="DR184" s="21">
        <v>45265</v>
      </c>
      <c r="DS184" s="21">
        <v>45265</v>
      </c>
      <c r="DT184" s="21">
        <v>45265</v>
      </c>
      <c r="DU184" s="21">
        <v>45265</v>
      </c>
      <c r="DV184" s="21">
        <v>45265</v>
      </c>
      <c r="DW184" s="21">
        <v>45054</v>
      </c>
      <c r="DX184" s="21">
        <v>0</v>
      </c>
      <c r="DY184" s="21">
        <v>45054</v>
      </c>
      <c r="DZ184" s="21">
        <v>0</v>
      </c>
      <c r="EA184" s="8">
        <v>330</v>
      </c>
      <c r="EB184" s="8">
        <v>380</v>
      </c>
      <c r="EC184" s="8">
        <v>380</v>
      </c>
      <c r="ED184" s="8">
        <v>380</v>
      </c>
      <c r="EE184" s="8">
        <v>380</v>
      </c>
      <c r="EF184" s="8">
        <v>880</v>
      </c>
      <c r="EG184" s="8">
        <v>1000</v>
      </c>
      <c r="EH184" s="8">
        <v>880</v>
      </c>
      <c r="EI184" s="8">
        <v>880</v>
      </c>
      <c r="EJ184" s="8">
        <v>3</v>
      </c>
      <c r="EK184" s="8" t="s">
        <v>2624</v>
      </c>
      <c r="EL184" s="8">
        <v>147</v>
      </c>
      <c r="EM184" s="8">
        <v>558.6</v>
      </c>
      <c r="EN184" s="8">
        <v>42</v>
      </c>
      <c r="EO184" s="8">
        <v>92</v>
      </c>
      <c r="EP184" s="8">
        <v>92</v>
      </c>
      <c r="EQ184" s="8">
        <v>92</v>
      </c>
      <c r="ER184" s="8">
        <v>92</v>
      </c>
      <c r="ES184" s="8">
        <v>592</v>
      </c>
      <c r="ET184" s="8">
        <v>712</v>
      </c>
      <c r="EU184" s="8">
        <v>592</v>
      </c>
      <c r="EV184" s="8">
        <v>592</v>
      </c>
    </row>
    <row r="185" spans="1:152" x14ac:dyDescent="0.15">
      <c r="A185" s="8">
        <f>ROW([2]!tbl_DPSAC[[#This Row],[Sl. No.]])-1</f>
        <v>184</v>
      </c>
      <c r="B185" s="9" t="s">
        <v>136</v>
      </c>
      <c r="C185" s="9" t="s">
        <v>1080</v>
      </c>
      <c r="D185" s="9" t="s">
        <v>697</v>
      </c>
      <c r="E185" s="9" t="s">
        <v>176</v>
      </c>
      <c r="F185" s="9" t="s">
        <v>140</v>
      </c>
      <c r="G185" s="10" t="s">
        <v>1081</v>
      </c>
      <c r="H185" s="10" t="str">
        <f>_xlfn.XLOOKUP(C185,'[1]E&amp;DPSAC'!$K:$K,'[1]E&amp;DPSAC'!$E:$E,,0)</f>
        <v>DEOGHAR</v>
      </c>
      <c r="I185" s="10"/>
      <c r="J185" s="10">
        <v>7261002856</v>
      </c>
      <c r="K185" s="10">
        <f>_xlfn.XLOOKUP(C185,'[1]E&amp;DPSAC'!$K:$K,'[1]E&amp;DPSAC'!$G:$G,"",0)</f>
        <v>7261002856</v>
      </c>
      <c r="L185" s="9" t="str">
        <f t="shared" ca="1" si="8"/>
        <v>Non - Warranty</v>
      </c>
      <c r="M185" s="11">
        <v>43384</v>
      </c>
      <c r="N185" s="12">
        <v>36</v>
      </c>
      <c r="O185" s="11">
        <f t="shared" si="9"/>
        <v>44500</v>
      </c>
      <c r="P185" s="8" t="s">
        <v>681</v>
      </c>
      <c r="Q185" s="16" t="s">
        <v>1082</v>
      </c>
      <c r="R185" s="15">
        <v>45955.678472222222</v>
      </c>
      <c r="S185" s="14">
        <v>6920</v>
      </c>
      <c r="T185" s="15">
        <v>45428</v>
      </c>
      <c r="U185" s="14">
        <v>5415</v>
      </c>
      <c r="V185" s="14">
        <v>6940</v>
      </c>
      <c r="W185" s="17">
        <v>45966.472916666666</v>
      </c>
      <c r="X185" s="14" t="s">
        <v>2766</v>
      </c>
      <c r="Y185" s="14">
        <v>730</v>
      </c>
      <c r="Z185" s="14" t="s">
        <v>2692</v>
      </c>
      <c r="AA185" s="18">
        <v>157.3215277777781</v>
      </c>
      <c r="AB185" s="18" t="s">
        <v>2692</v>
      </c>
      <c r="AC185" s="8">
        <f>tbl_DPSAC[[#This Row],[Current Month Due Count]]</f>
        <v>4</v>
      </c>
      <c r="AD185" s="8">
        <f>tbl_DPSAC[[#This Row],[Next Month Due2]]</f>
        <v>0</v>
      </c>
      <c r="AE185" s="8">
        <f t="shared" si="10"/>
        <v>0</v>
      </c>
      <c r="AF185" s="8">
        <v>2</v>
      </c>
      <c r="AG185" s="14">
        <f t="shared" ca="1" si="11"/>
        <v>7233</v>
      </c>
      <c r="AH185" s="8">
        <v>0</v>
      </c>
      <c r="AI185" s="8">
        <v>0</v>
      </c>
      <c r="AJ185" s="8">
        <v>0</v>
      </c>
      <c r="AK185" s="8">
        <v>0</v>
      </c>
      <c r="AL185" s="8">
        <v>0</v>
      </c>
      <c r="AM185" s="8">
        <v>0</v>
      </c>
      <c r="AN185" s="8">
        <v>0</v>
      </c>
      <c r="AO185" s="8">
        <v>0</v>
      </c>
      <c r="AP185" s="8">
        <v>0</v>
      </c>
      <c r="AQ185" s="8">
        <v>0</v>
      </c>
      <c r="AR185" s="8">
        <v>0</v>
      </c>
      <c r="AS185" s="8">
        <v>0</v>
      </c>
      <c r="AT185" s="8">
        <v>0</v>
      </c>
      <c r="AU185" s="8">
        <v>0</v>
      </c>
      <c r="AV185" s="8">
        <v>0</v>
      </c>
      <c r="AW185" s="8">
        <v>0</v>
      </c>
      <c r="AX185" s="8" t="s">
        <v>2007</v>
      </c>
      <c r="AY185" s="14">
        <v>6920</v>
      </c>
      <c r="AZ185" s="19">
        <v>45955</v>
      </c>
      <c r="BA185" s="14" t="s">
        <v>1082</v>
      </c>
      <c r="BB185" s="14">
        <v>6920</v>
      </c>
      <c r="BC185" s="19">
        <v>45955</v>
      </c>
      <c r="BD185" s="14" t="s">
        <v>1082</v>
      </c>
      <c r="BE185" s="14">
        <v>6920</v>
      </c>
      <c r="BF185" s="19">
        <v>45955</v>
      </c>
      <c r="BG185" s="14" t="s">
        <v>1082</v>
      </c>
      <c r="BH185" s="14">
        <v>6920</v>
      </c>
      <c r="BI185" s="19">
        <v>45955</v>
      </c>
      <c r="BJ185" s="14" t="s">
        <v>1082</v>
      </c>
      <c r="BK185" s="14">
        <v>6920</v>
      </c>
      <c r="BL185" s="19">
        <v>45955</v>
      </c>
      <c r="BM185" s="14" t="s">
        <v>1082</v>
      </c>
      <c r="BN185" s="27">
        <v>46135</v>
      </c>
      <c r="BO185" s="27">
        <v>46135</v>
      </c>
      <c r="BP185" s="27">
        <v>46135</v>
      </c>
      <c r="BQ185" s="27">
        <v>46135</v>
      </c>
      <c r="BR185" s="27">
        <v>46320</v>
      </c>
      <c r="BS185" s="28">
        <v>437</v>
      </c>
      <c r="BT185" s="29">
        <v>1187</v>
      </c>
      <c r="BU185" s="29">
        <v>437</v>
      </c>
      <c r="BV185" s="29">
        <v>437</v>
      </c>
      <c r="BW185" s="29">
        <v>1187</v>
      </c>
      <c r="BX185" s="30" t="s">
        <v>173</v>
      </c>
      <c r="BY185" s="8">
        <v>0</v>
      </c>
      <c r="BZ185" s="8">
        <v>4</v>
      </c>
      <c r="CA185" s="8">
        <v>0</v>
      </c>
      <c r="CB185" s="21">
        <v>45954.770833333299</v>
      </c>
      <c r="CC185" s="21">
        <v>45954.770833333299</v>
      </c>
      <c r="CD185" s="21">
        <v>45954.770833333299</v>
      </c>
      <c r="CE185" s="21">
        <v>45954.770833333299</v>
      </c>
      <c r="CF185" s="21">
        <v>45954.770833333299</v>
      </c>
      <c r="CG185" s="21">
        <v>45954.770833333299</v>
      </c>
      <c r="CH185" s="21">
        <v>45954.770833333299</v>
      </c>
      <c r="CI185" s="21">
        <v>45954.770833333299</v>
      </c>
      <c r="CJ185" s="21">
        <v>45954.770833333299</v>
      </c>
      <c r="CK185" s="22" t="s">
        <v>3000</v>
      </c>
      <c r="CL185" s="22" t="s">
        <v>2999</v>
      </c>
      <c r="CM185" s="22" t="s">
        <v>2999</v>
      </c>
      <c r="CN185" s="22" t="s">
        <v>2999</v>
      </c>
      <c r="CO185" s="22" t="s">
        <v>2999</v>
      </c>
      <c r="CP185" s="22" t="s">
        <v>3000</v>
      </c>
      <c r="CQ185" s="22" t="s">
        <v>2953</v>
      </c>
      <c r="CR185" s="22" t="s">
        <v>3000</v>
      </c>
      <c r="CS185" s="22" t="s">
        <v>3000</v>
      </c>
      <c r="CT185" s="22">
        <v>4</v>
      </c>
      <c r="CU185" s="21">
        <v>46134</v>
      </c>
      <c r="CV185" s="21">
        <v>46134</v>
      </c>
      <c r="CW185" s="21">
        <v>46134</v>
      </c>
      <c r="CX185" s="21">
        <v>46134</v>
      </c>
      <c r="CY185" s="21">
        <v>46134</v>
      </c>
      <c r="CZ185" s="21">
        <v>46224</v>
      </c>
      <c r="DA185" s="21">
        <v>46216</v>
      </c>
      <c r="DB185" s="21">
        <v>46134</v>
      </c>
      <c r="DC185" s="21">
        <v>46319</v>
      </c>
      <c r="DD185" s="8">
        <v>0</v>
      </c>
      <c r="DE185" s="8">
        <v>0</v>
      </c>
      <c r="DF185" s="8">
        <v>0</v>
      </c>
      <c r="DG185" s="8">
        <v>0</v>
      </c>
      <c r="DH185" s="8">
        <v>6</v>
      </c>
      <c r="DI185" s="8">
        <v>0</v>
      </c>
      <c r="DJ185" s="8" t="s">
        <v>3025</v>
      </c>
      <c r="DK185" s="21">
        <v>43384</v>
      </c>
      <c r="DL185" s="21">
        <v>43343.229166666664</v>
      </c>
      <c r="DM185" s="21">
        <v>45966</v>
      </c>
      <c r="DN185" s="18">
        <v>6940</v>
      </c>
      <c r="DO185" s="21">
        <v>0</v>
      </c>
      <c r="DP185" s="21">
        <v>0</v>
      </c>
      <c r="DQ185" s="21" t="s">
        <v>2955</v>
      </c>
      <c r="DR185" s="21">
        <v>45955</v>
      </c>
      <c r="DS185" s="21">
        <v>45955</v>
      </c>
      <c r="DT185" s="21">
        <v>45955</v>
      </c>
      <c r="DU185" s="21">
        <v>45955</v>
      </c>
      <c r="DV185" s="21">
        <v>45955</v>
      </c>
      <c r="DW185" s="21">
        <v>45955</v>
      </c>
      <c r="DX185" s="21">
        <v>45955</v>
      </c>
      <c r="DY185" s="21">
        <v>45955</v>
      </c>
      <c r="DZ185" s="21">
        <v>45955</v>
      </c>
      <c r="EA185" s="8">
        <v>1470</v>
      </c>
      <c r="EB185" s="8">
        <v>730</v>
      </c>
      <c r="EC185" s="8">
        <v>730</v>
      </c>
      <c r="ED185" s="8">
        <v>730</v>
      </c>
      <c r="EE185" s="8">
        <v>730</v>
      </c>
      <c r="EF185" s="8">
        <v>1470</v>
      </c>
      <c r="EG185" s="8">
        <v>1000</v>
      </c>
      <c r="EH185" s="8">
        <v>1470</v>
      </c>
      <c r="EI185" s="8">
        <v>1470</v>
      </c>
      <c r="EJ185" s="8">
        <v>4</v>
      </c>
      <c r="EK185" s="8" t="s">
        <v>2624</v>
      </c>
      <c r="EL185" s="8">
        <v>147</v>
      </c>
      <c r="EM185" s="8">
        <v>294</v>
      </c>
      <c r="EN185" s="8">
        <v>1182</v>
      </c>
      <c r="EO185" s="8">
        <v>442</v>
      </c>
      <c r="EP185" s="8">
        <v>442</v>
      </c>
      <c r="EQ185" s="8">
        <v>442</v>
      </c>
      <c r="ER185" s="8">
        <v>442</v>
      </c>
      <c r="ES185" s="8">
        <v>1182</v>
      </c>
      <c r="ET185" s="8">
        <v>712</v>
      </c>
      <c r="EU185" s="8">
        <v>1182</v>
      </c>
      <c r="EV185" s="8">
        <v>1182</v>
      </c>
    </row>
    <row r="186" spans="1:152" x14ac:dyDescent="0.15">
      <c r="A186" s="8">
        <f>ROW([2]!tbl_DPSAC[[#This Row],[Sl. No.]])-1</f>
        <v>185</v>
      </c>
      <c r="B186" s="9" t="s">
        <v>136</v>
      </c>
      <c r="C186" s="9" t="s">
        <v>1083</v>
      </c>
      <c r="D186" s="9" t="s">
        <v>138</v>
      </c>
      <c r="E186" s="9" t="s">
        <v>139</v>
      </c>
      <c r="F186" s="9" t="s">
        <v>161</v>
      </c>
      <c r="G186" s="10" t="s">
        <v>291</v>
      </c>
      <c r="H186" s="10" t="str">
        <f>_xlfn.XLOOKUP(C186,'[1]E&amp;DPSAC'!$K:$K,'[1]E&amp;DPSAC'!$E:$E,,0)</f>
        <v>KALYANI, PHUSHRO</v>
      </c>
      <c r="I186" s="10"/>
      <c r="J186" s="10">
        <v>7033918145</v>
      </c>
      <c r="K186" s="10">
        <f>_xlfn.XLOOKUP(C186,'[1]E&amp;DPSAC'!$K:$K,'[1]E&amp;DPSAC'!$G:$G,"",0)</f>
        <v>9282523267</v>
      </c>
      <c r="L186" s="9" t="str">
        <f t="shared" ca="1" si="8"/>
        <v>Non - Warranty</v>
      </c>
      <c r="M186" s="11">
        <v>43509</v>
      </c>
      <c r="N186" s="12">
        <v>24</v>
      </c>
      <c r="O186" s="11">
        <f t="shared" si="9"/>
        <v>44255</v>
      </c>
      <c r="P186" s="8" t="s">
        <v>157</v>
      </c>
      <c r="Q186" s="16" t="s">
        <v>1087</v>
      </c>
      <c r="R186" s="15">
        <v>45265.550046296303</v>
      </c>
      <c r="S186" s="14">
        <v>8980</v>
      </c>
      <c r="T186" s="15">
        <v>45265</v>
      </c>
      <c r="U186" s="14">
        <v>8980</v>
      </c>
      <c r="V186" s="14">
        <v>10020</v>
      </c>
      <c r="W186" s="17">
        <v>45475.480636574102</v>
      </c>
      <c r="X186" s="14" t="s">
        <v>2745</v>
      </c>
      <c r="Y186" s="14">
        <v>-290</v>
      </c>
      <c r="Z186" s="14" t="s">
        <v>2697</v>
      </c>
      <c r="AA186" s="18">
        <v>847.44995370369725</v>
      </c>
      <c r="AB186" s="18" t="s">
        <v>2697</v>
      </c>
      <c r="AC186" s="8">
        <f>tbl_DPSAC[[#This Row],[Current Month Due Count]]</f>
        <v>0</v>
      </c>
      <c r="AD186" s="8">
        <f>tbl_DPSAC[[#This Row],[Next Month Due2]]</f>
        <v>0</v>
      </c>
      <c r="AE186" s="8">
        <f t="shared" si="10"/>
        <v>1</v>
      </c>
      <c r="AF186" s="8">
        <v>5</v>
      </c>
      <c r="AG186" s="14">
        <f t="shared" ca="1" si="11"/>
        <v>13208</v>
      </c>
      <c r="AH186" s="8">
        <v>0</v>
      </c>
      <c r="AI186" s="8">
        <v>0</v>
      </c>
      <c r="AJ186" s="8">
        <v>0</v>
      </c>
      <c r="AK186" s="8" t="s">
        <v>1084</v>
      </c>
      <c r="AL186" s="8">
        <v>0</v>
      </c>
      <c r="AM186" s="8">
        <v>0</v>
      </c>
      <c r="AN186" s="8" t="s">
        <v>1085</v>
      </c>
      <c r="AO186" s="8">
        <v>0</v>
      </c>
      <c r="AP186" s="8">
        <v>0</v>
      </c>
      <c r="AQ186" s="8">
        <v>0</v>
      </c>
      <c r="AR186" s="8">
        <v>0</v>
      </c>
      <c r="AS186" s="8">
        <v>0</v>
      </c>
      <c r="AT186" s="8">
        <v>0</v>
      </c>
      <c r="AU186" s="8" t="s">
        <v>1086</v>
      </c>
      <c r="AV186" s="8">
        <v>0</v>
      </c>
      <c r="AW186" s="8">
        <v>0</v>
      </c>
      <c r="AX186" s="8" t="s">
        <v>2961</v>
      </c>
      <c r="AY186" s="14">
        <v>8980</v>
      </c>
      <c r="AZ186" s="19">
        <v>45265</v>
      </c>
      <c r="BA186" s="14" t="s">
        <v>1087</v>
      </c>
      <c r="BB186" s="14">
        <v>7000</v>
      </c>
      <c r="BC186" s="19">
        <v>44646</v>
      </c>
      <c r="BD186" s="14"/>
      <c r="BE186" s="14">
        <v>8980</v>
      </c>
      <c r="BF186" s="19">
        <v>45265</v>
      </c>
      <c r="BG186" s="14" t="s">
        <v>1087</v>
      </c>
      <c r="BH186" s="14">
        <v>8980</v>
      </c>
      <c r="BI186" s="19">
        <v>45265</v>
      </c>
      <c r="BJ186" s="14" t="s">
        <v>1087</v>
      </c>
      <c r="BK186" s="14">
        <v>7000</v>
      </c>
      <c r="BL186" s="19">
        <v>44646</v>
      </c>
      <c r="BM186" s="14"/>
      <c r="BN186" s="27">
        <v>45445</v>
      </c>
      <c r="BO186" s="27">
        <v>44826</v>
      </c>
      <c r="BP186" s="27">
        <v>45445</v>
      </c>
      <c r="BQ186" s="27">
        <v>45445</v>
      </c>
      <c r="BR186" s="27">
        <v>45011</v>
      </c>
      <c r="BS186" s="28">
        <v>-3478</v>
      </c>
      <c r="BT186" s="29">
        <v>-4708</v>
      </c>
      <c r="BU186" s="29">
        <v>-3478</v>
      </c>
      <c r="BV186" s="29">
        <v>-3478</v>
      </c>
      <c r="BW186" s="29">
        <v>-4708</v>
      </c>
      <c r="BX186" s="8" t="s">
        <v>1016</v>
      </c>
      <c r="BY186" s="8">
        <v>5</v>
      </c>
      <c r="BZ186" s="8">
        <v>0</v>
      </c>
      <c r="CA186" s="8">
        <v>0</v>
      </c>
      <c r="CB186" s="21">
        <v>45264.770833333299</v>
      </c>
      <c r="CC186" s="21">
        <v>45264.770833333299</v>
      </c>
      <c r="CD186" s="21">
        <v>45264.770833333299</v>
      </c>
      <c r="CE186" s="21">
        <v>45264.770833333299</v>
      </c>
      <c r="CF186" s="21">
        <v>45264.770833333299</v>
      </c>
      <c r="CG186" s="21">
        <v>0</v>
      </c>
      <c r="CH186" s="21">
        <v>0</v>
      </c>
      <c r="CI186" s="21">
        <v>0</v>
      </c>
      <c r="CJ186" s="21">
        <v>0</v>
      </c>
      <c r="CK186" s="22" t="s">
        <v>3055</v>
      </c>
      <c r="CL186" s="22" t="s">
        <v>3055</v>
      </c>
      <c r="CM186" s="22" t="s">
        <v>3055</v>
      </c>
      <c r="CN186" s="22" t="s">
        <v>3055</v>
      </c>
      <c r="CO186" s="22" t="s">
        <v>3055</v>
      </c>
      <c r="CP186" s="22" t="s">
        <v>3055</v>
      </c>
      <c r="CQ186" s="22" t="s">
        <v>3055</v>
      </c>
      <c r="CR186" s="22" t="s">
        <v>3055</v>
      </c>
      <c r="CS186" s="22" t="s">
        <v>3055</v>
      </c>
      <c r="CT186" s="22">
        <v>5</v>
      </c>
      <c r="CU186" s="21">
        <v>45444</v>
      </c>
      <c r="CV186" s="21">
        <v>45444</v>
      </c>
      <c r="CW186" s="21">
        <v>45444</v>
      </c>
      <c r="CX186" s="21">
        <v>45444</v>
      </c>
      <c r="CY186" s="21">
        <v>45444</v>
      </c>
      <c r="CZ186" s="21">
        <v>45531</v>
      </c>
      <c r="DA186" s="21">
        <v>45502</v>
      </c>
      <c r="DB186" s="21">
        <v>45531</v>
      </c>
      <c r="DC186" s="21">
        <v>45531</v>
      </c>
      <c r="DD186" s="8">
        <v>1</v>
      </c>
      <c r="DE186" s="8">
        <v>0</v>
      </c>
      <c r="DF186" s="8">
        <v>0</v>
      </c>
      <c r="DG186" s="8">
        <v>9</v>
      </c>
      <c r="DH186" s="8">
        <v>0</v>
      </c>
      <c r="DI186" s="8">
        <v>0</v>
      </c>
      <c r="DJ186" s="8" t="s">
        <v>2976</v>
      </c>
      <c r="DK186" s="21">
        <v>43509</v>
      </c>
      <c r="DL186" s="21">
        <v>43494.229166666664</v>
      </c>
      <c r="DM186" s="21">
        <v>45475</v>
      </c>
      <c r="DN186" s="18">
        <v>10020</v>
      </c>
      <c r="DO186" s="21">
        <v>0</v>
      </c>
      <c r="DP186" s="21">
        <v>0</v>
      </c>
      <c r="DQ186" s="21" t="s">
        <v>2955</v>
      </c>
      <c r="DR186" s="21">
        <v>45265</v>
      </c>
      <c r="DS186" s="21">
        <v>45265</v>
      </c>
      <c r="DT186" s="21">
        <v>45265</v>
      </c>
      <c r="DU186" s="21">
        <v>45265</v>
      </c>
      <c r="DV186" s="21">
        <v>45265</v>
      </c>
      <c r="DW186" s="21">
        <v>0</v>
      </c>
      <c r="DX186" s="21">
        <v>0</v>
      </c>
      <c r="DY186" s="21">
        <v>0</v>
      </c>
      <c r="DZ186" s="21">
        <v>0</v>
      </c>
      <c r="EA186" s="8">
        <v>280</v>
      </c>
      <c r="EB186" s="8">
        <v>280</v>
      </c>
      <c r="EC186" s="8">
        <v>280</v>
      </c>
      <c r="ED186" s="8">
        <v>280</v>
      </c>
      <c r="EE186" s="8">
        <v>280</v>
      </c>
      <c r="EF186" s="8">
        <v>280</v>
      </c>
      <c r="EG186" s="8">
        <v>280</v>
      </c>
      <c r="EH186" s="8">
        <v>280</v>
      </c>
      <c r="EI186" s="8">
        <v>280</v>
      </c>
      <c r="EJ186" s="8">
        <v>5</v>
      </c>
      <c r="EK186" s="8" t="s">
        <v>157</v>
      </c>
      <c r="EL186" s="8">
        <v>638</v>
      </c>
      <c r="EM186" s="8">
        <v>3190</v>
      </c>
      <c r="EN186" s="8">
        <v>-8</v>
      </c>
      <c r="EO186" s="8">
        <v>-8</v>
      </c>
      <c r="EP186" s="8">
        <v>-8</v>
      </c>
      <c r="EQ186" s="8">
        <v>-8</v>
      </c>
      <c r="ER186" s="8">
        <v>-8</v>
      </c>
      <c r="ES186" s="8">
        <v>-8</v>
      </c>
      <c r="ET186" s="8">
        <v>-8</v>
      </c>
      <c r="EU186" s="8">
        <v>-8</v>
      </c>
      <c r="EV186" s="8">
        <v>-8</v>
      </c>
    </row>
    <row r="187" spans="1:152" x14ac:dyDescent="0.15">
      <c r="A187" s="8">
        <f>ROW([2]!tbl_DPSAC[[#This Row],[Sl. No.]])-1</f>
        <v>186</v>
      </c>
      <c r="B187" s="9" t="s">
        <v>136</v>
      </c>
      <c r="C187" s="9" t="s">
        <v>1088</v>
      </c>
      <c r="D187" s="9" t="s">
        <v>138</v>
      </c>
      <c r="E187" s="9" t="s">
        <v>139</v>
      </c>
      <c r="F187" s="9" t="s">
        <v>161</v>
      </c>
      <c r="G187" s="10" t="s">
        <v>291</v>
      </c>
      <c r="H187" s="10" t="str">
        <f>_xlfn.XLOOKUP(C187,'[1]E&amp;DPSAC'!$K:$K,'[1]E&amp;DPSAC'!$E:$E,,0)</f>
        <v>KATRAS, DHANBAD</v>
      </c>
      <c r="I187" s="10"/>
      <c r="J187" s="10">
        <v>8210106692</v>
      </c>
      <c r="K187" s="10">
        <f>_xlfn.XLOOKUP(C187,'[1]E&amp;DPSAC'!$K:$K,'[1]E&amp;DPSAC'!$G:$G,"",0)</f>
        <v>9570178502</v>
      </c>
      <c r="L187" s="9" t="str">
        <f t="shared" ca="1" si="8"/>
        <v>Non - Warranty</v>
      </c>
      <c r="M187" s="11">
        <v>43269</v>
      </c>
      <c r="N187" s="12">
        <v>24</v>
      </c>
      <c r="O187" s="11">
        <f t="shared" si="9"/>
        <v>44012</v>
      </c>
      <c r="P187" s="8" t="s">
        <v>715</v>
      </c>
      <c r="Q187" s="16" t="s">
        <v>1096</v>
      </c>
      <c r="R187" s="15">
        <v>45167.479849536998</v>
      </c>
      <c r="S187" s="14">
        <v>12185</v>
      </c>
      <c r="T187" s="15">
        <v>45167</v>
      </c>
      <c r="U187" s="14">
        <v>12185</v>
      </c>
      <c r="V187" s="14">
        <v>13025</v>
      </c>
      <c r="W187" s="17">
        <v>45451.701631944401</v>
      </c>
      <c r="X187" s="14" t="s">
        <v>2786</v>
      </c>
      <c r="Y187" s="14">
        <v>-90</v>
      </c>
      <c r="Z187" s="14" t="s">
        <v>2697</v>
      </c>
      <c r="AA187" s="18">
        <v>945.52015046300221</v>
      </c>
      <c r="AB187" s="18" t="s">
        <v>2697</v>
      </c>
      <c r="AC187" s="8">
        <f>tbl_DPSAC[[#This Row],[Current Month Due Count]]</f>
        <v>0</v>
      </c>
      <c r="AD187" s="8">
        <f>tbl_DPSAC[[#This Row],[Next Month Due2]]</f>
        <v>0</v>
      </c>
      <c r="AE187" s="8">
        <f t="shared" si="10"/>
        <v>1</v>
      </c>
      <c r="AF187" s="8">
        <v>3</v>
      </c>
      <c r="AG187" s="14">
        <f t="shared" ca="1" si="11"/>
        <v>15009</v>
      </c>
      <c r="AH187" s="8" t="s">
        <v>1089</v>
      </c>
      <c r="AI187" s="8" t="s">
        <v>1090</v>
      </c>
      <c r="AJ187" s="8">
        <v>0</v>
      </c>
      <c r="AK187" s="8" t="s">
        <v>1091</v>
      </c>
      <c r="AL187" s="8" t="s">
        <v>1092</v>
      </c>
      <c r="AM187" s="8" t="s">
        <v>1093</v>
      </c>
      <c r="AN187" s="8" t="s">
        <v>1094</v>
      </c>
      <c r="AO187" s="8">
        <v>0</v>
      </c>
      <c r="AP187" s="8">
        <v>0</v>
      </c>
      <c r="AQ187" s="8">
        <v>0</v>
      </c>
      <c r="AR187" s="8">
        <v>0</v>
      </c>
      <c r="AS187" s="8">
        <v>0</v>
      </c>
      <c r="AT187" s="8">
        <v>0</v>
      </c>
      <c r="AU187" s="8" t="s">
        <v>1095</v>
      </c>
      <c r="AV187" s="8">
        <v>0</v>
      </c>
      <c r="AW187" s="8">
        <v>0</v>
      </c>
      <c r="AX187" s="8" t="s">
        <v>2961</v>
      </c>
      <c r="AY187" s="14">
        <v>12060</v>
      </c>
      <c r="AZ187" s="19">
        <v>45167</v>
      </c>
      <c r="BA187" s="14" t="s">
        <v>1096</v>
      </c>
      <c r="BB187" s="14">
        <v>10000</v>
      </c>
      <c r="BC187" s="19">
        <v>44646</v>
      </c>
      <c r="BD187" s="14"/>
      <c r="BE187" s="14">
        <v>12060</v>
      </c>
      <c r="BF187" s="19">
        <v>45167</v>
      </c>
      <c r="BG187" s="14" t="s">
        <v>1096</v>
      </c>
      <c r="BH187" s="14">
        <v>12060</v>
      </c>
      <c r="BI187" s="19">
        <v>45167</v>
      </c>
      <c r="BJ187" s="14" t="s">
        <v>1096</v>
      </c>
      <c r="BK187" s="14">
        <v>10000</v>
      </c>
      <c r="BL187" s="19">
        <v>44646</v>
      </c>
      <c r="BM187" s="14"/>
      <c r="BN187" s="27">
        <v>45347</v>
      </c>
      <c r="BO187" s="27">
        <v>44826</v>
      </c>
      <c r="BP187" s="27">
        <v>45347</v>
      </c>
      <c r="BQ187" s="27">
        <v>45347</v>
      </c>
      <c r="BR187" s="27">
        <v>45011</v>
      </c>
      <c r="BS187" s="28">
        <v>-2199</v>
      </c>
      <c r="BT187" s="29">
        <v>-3509</v>
      </c>
      <c r="BU187" s="29">
        <v>-2199</v>
      </c>
      <c r="BV187" s="29">
        <v>-2199</v>
      </c>
      <c r="BW187" s="29">
        <v>-3509</v>
      </c>
      <c r="BX187" s="30" t="s">
        <v>1097</v>
      </c>
      <c r="BY187" s="8">
        <v>5</v>
      </c>
      <c r="BZ187" s="8">
        <v>0</v>
      </c>
      <c r="CA187" s="8">
        <v>0</v>
      </c>
      <c r="CB187" s="21">
        <v>45166.770833333299</v>
      </c>
      <c r="CC187" s="21">
        <v>45166.770833333299</v>
      </c>
      <c r="CD187" s="21">
        <v>45166.770833333299</v>
      </c>
      <c r="CE187" s="21">
        <v>45166.770833333299</v>
      </c>
      <c r="CF187" s="21">
        <v>45166.770833333299</v>
      </c>
      <c r="CG187" s="21">
        <v>0</v>
      </c>
      <c r="CH187" s="21">
        <v>0</v>
      </c>
      <c r="CI187" s="21">
        <v>0</v>
      </c>
      <c r="CJ187" s="21">
        <v>0</v>
      </c>
      <c r="CK187" s="22" t="s">
        <v>3102</v>
      </c>
      <c r="CL187" s="22" t="s">
        <v>3102</v>
      </c>
      <c r="CM187" s="22" t="s">
        <v>3102</v>
      </c>
      <c r="CN187" s="22" t="s">
        <v>3102</v>
      </c>
      <c r="CO187" s="22" t="s">
        <v>3102</v>
      </c>
      <c r="CP187" s="22" t="s">
        <v>3103</v>
      </c>
      <c r="CQ187" s="22" t="s">
        <v>3103</v>
      </c>
      <c r="CR187" s="22" t="s">
        <v>3103</v>
      </c>
      <c r="CS187" s="22" t="s">
        <v>3103</v>
      </c>
      <c r="CT187" s="22">
        <v>3</v>
      </c>
      <c r="CU187" s="21">
        <v>45346</v>
      </c>
      <c r="CV187" s="21">
        <v>45346</v>
      </c>
      <c r="CW187" s="21">
        <v>45346</v>
      </c>
      <c r="CX187" s="21">
        <v>45346</v>
      </c>
      <c r="CY187" s="21">
        <v>45346</v>
      </c>
      <c r="CZ187" s="21">
        <v>45650</v>
      </c>
      <c r="DA187" s="21">
        <v>45518</v>
      </c>
      <c r="DB187" s="21">
        <v>45560</v>
      </c>
      <c r="DC187" s="21">
        <v>45609</v>
      </c>
      <c r="DD187" s="8">
        <v>1</v>
      </c>
      <c r="DE187" s="8">
        <v>0</v>
      </c>
      <c r="DF187" s="8">
        <v>0</v>
      </c>
      <c r="DG187" s="8">
        <v>9</v>
      </c>
      <c r="DH187" s="8">
        <v>0</v>
      </c>
      <c r="DI187" s="8">
        <v>0</v>
      </c>
      <c r="DJ187" s="8" t="s">
        <v>2976</v>
      </c>
      <c r="DK187" s="21">
        <v>43269</v>
      </c>
      <c r="DL187" s="21">
        <v>43244</v>
      </c>
      <c r="DM187" s="21">
        <v>45451</v>
      </c>
      <c r="DN187" s="18">
        <v>13025</v>
      </c>
      <c r="DO187" s="21">
        <v>0</v>
      </c>
      <c r="DP187" s="21">
        <v>0</v>
      </c>
      <c r="DQ187" s="21" t="s">
        <v>2955</v>
      </c>
      <c r="DR187" s="21">
        <v>45167</v>
      </c>
      <c r="DS187" s="21">
        <v>45167</v>
      </c>
      <c r="DT187" s="21">
        <v>45167</v>
      </c>
      <c r="DU187" s="21">
        <v>45167</v>
      </c>
      <c r="DV187" s="21">
        <v>45167</v>
      </c>
      <c r="DW187" s="21">
        <v>0</v>
      </c>
      <c r="DX187" s="21">
        <v>0</v>
      </c>
      <c r="DY187" s="21">
        <v>0</v>
      </c>
      <c r="DZ187" s="21">
        <v>0</v>
      </c>
      <c r="EA187" s="8">
        <v>215</v>
      </c>
      <c r="EB187" s="8">
        <v>215</v>
      </c>
      <c r="EC187" s="8">
        <v>215</v>
      </c>
      <c r="ED187" s="8">
        <v>215</v>
      </c>
      <c r="EE187" s="8">
        <v>215</v>
      </c>
      <c r="EF187" s="8">
        <v>715</v>
      </c>
      <c r="EG187" s="8">
        <v>715</v>
      </c>
      <c r="EH187" s="8">
        <v>715</v>
      </c>
      <c r="EI187" s="8">
        <v>715</v>
      </c>
      <c r="EJ187" s="8">
        <v>3</v>
      </c>
      <c r="EK187" s="8" t="s">
        <v>715</v>
      </c>
      <c r="EL187" s="8">
        <v>661</v>
      </c>
      <c r="EM187" s="8">
        <v>1983</v>
      </c>
      <c r="EN187" s="8">
        <v>-73</v>
      </c>
      <c r="EO187" s="8">
        <v>-73</v>
      </c>
      <c r="EP187" s="8">
        <v>-73</v>
      </c>
      <c r="EQ187" s="8">
        <v>-73</v>
      </c>
      <c r="ER187" s="8">
        <v>-73</v>
      </c>
      <c r="ES187" s="8">
        <v>427</v>
      </c>
      <c r="ET187" s="8">
        <v>427</v>
      </c>
      <c r="EU187" s="8">
        <v>427</v>
      </c>
      <c r="EV187" s="8">
        <v>427</v>
      </c>
    </row>
    <row r="188" spans="1:152" x14ac:dyDescent="0.15">
      <c r="A188" s="8">
        <f>ROW([2]!tbl_DPSAC[[#This Row],[Sl. No.]])-1</f>
        <v>187</v>
      </c>
      <c r="B188" s="9" t="s">
        <v>136</v>
      </c>
      <c r="C188" s="9" t="s">
        <v>1098</v>
      </c>
      <c r="D188" s="9" t="s">
        <v>138</v>
      </c>
      <c r="E188" s="9" t="s">
        <v>139</v>
      </c>
      <c r="F188" s="9" t="s">
        <v>161</v>
      </c>
      <c r="G188" s="10" t="s">
        <v>291</v>
      </c>
      <c r="H188" s="10" t="str">
        <f>_xlfn.XLOOKUP(C188,'[1]E&amp;DPSAC'!$K:$K,'[1]E&amp;DPSAC'!$E:$E,,0)</f>
        <v>KATRAS, DHANBAD</v>
      </c>
      <c r="I188" s="10"/>
      <c r="J188" s="10">
        <v>8210106692</v>
      </c>
      <c r="K188" s="10">
        <f>_xlfn.XLOOKUP(C188,'[1]E&amp;DPSAC'!$K:$K,'[1]E&amp;DPSAC'!$G:$G,"",0)</f>
        <v>9570178502</v>
      </c>
      <c r="L188" s="9" t="str">
        <f t="shared" ca="1" si="8"/>
        <v>Non - Warranty</v>
      </c>
      <c r="M188" s="11">
        <v>43269</v>
      </c>
      <c r="N188" s="12">
        <v>24</v>
      </c>
      <c r="O188" s="11">
        <f t="shared" si="9"/>
        <v>44012</v>
      </c>
      <c r="P188" s="8" t="s">
        <v>157</v>
      </c>
      <c r="Q188" s="16" t="s">
        <v>1100</v>
      </c>
      <c r="R188" s="15">
        <v>45167.4830671296</v>
      </c>
      <c r="S188" s="14">
        <v>10920</v>
      </c>
      <c r="T188" s="15">
        <v>45167</v>
      </c>
      <c r="U188" s="14">
        <v>10920</v>
      </c>
      <c r="V188" s="14">
        <v>11490</v>
      </c>
      <c r="W188" s="17">
        <v>45453.510625000003</v>
      </c>
      <c r="X188" s="14" t="s">
        <v>2786</v>
      </c>
      <c r="Y188" s="14">
        <v>180</v>
      </c>
      <c r="Z188" s="14" t="s">
        <v>2692</v>
      </c>
      <c r="AA188" s="18">
        <v>945.51693287039961</v>
      </c>
      <c r="AB188" s="18" t="s">
        <v>2697</v>
      </c>
      <c r="AC188" s="8">
        <f>tbl_DPSAC[[#This Row],[Current Month Due Count]]</f>
        <v>0</v>
      </c>
      <c r="AD188" s="8">
        <f>tbl_DPSAC[[#This Row],[Next Month Due2]]</f>
        <v>0</v>
      </c>
      <c r="AE188" s="8">
        <f t="shared" si="10"/>
        <v>1</v>
      </c>
      <c r="AF188" s="8">
        <v>2</v>
      </c>
      <c r="AG188" s="14">
        <f t="shared" ca="1" si="11"/>
        <v>12809</v>
      </c>
      <c r="AH188" s="8">
        <v>0</v>
      </c>
      <c r="AI188" s="8">
        <v>0</v>
      </c>
      <c r="AJ188" s="8">
        <v>0</v>
      </c>
      <c r="AK188" s="8">
        <v>0</v>
      </c>
      <c r="AL188" s="8">
        <v>0</v>
      </c>
      <c r="AM188" s="8">
        <v>0</v>
      </c>
      <c r="AN188" s="8">
        <v>0</v>
      </c>
      <c r="AO188" s="8">
        <v>0</v>
      </c>
      <c r="AP188" s="8">
        <v>0</v>
      </c>
      <c r="AQ188" s="8">
        <v>0</v>
      </c>
      <c r="AR188" s="8">
        <v>0</v>
      </c>
      <c r="AS188" s="8">
        <v>0</v>
      </c>
      <c r="AT188" s="8">
        <v>0</v>
      </c>
      <c r="AU188" s="8" t="s">
        <v>1099</v>
      </c>
      <c r="AV188" s="8">
        <v>0</v>
      </c>
      <c r="AW188" s="8">
        <v>0</v>
      </c>
      <c r="AX188" s="8" t="s">
        <v>2961</v>
      </c>
      <c r="AY188" s="14">
        <v>10920</v>
      </c>
      <c r="AZ188" s="19">
        <v>45167</v>
      </c>
      <c r="BA188" s="14" t="s">
        <v>1100</v>
      </c>
      <c r="BB188" s="14">
        <v>9000</v>
      </c>
      <c r="BC188" s="19">
        <v>44646</v>
      </c>
      <c r="BD188" s="14"/>
      <c r="BE188" s="14">
        <v>10920</v>
      </c>
      <c r="BF188" s="19">
        <v>45167</v>
      </c>
      <c r="BG188" s="14" t="s">
        <v>1100</v>
      </c>
      <c r="BH188" s="14">
        <v>10920</v>
      </c>
      <c r="BI188" s="19">
        <v>45167</v>
      </c>
      <c r="BJ188" s="14" t="s">
        <v>1100</v>
      </c>
      <c r="BK188" s="14">
        <v>9000</v>
      </c>
      <c r="BL188" s="19">
        <v>44646</v>
      </c>
      <c r="BM188" s="14"/>
      <c r="BN188" s="27">
        <v>45347</v>
      </c>
      <c r="BO188" s="27">
        <v>44826</v>
      </c>
      <c r="BP188" s="27">
        <v>45347</v>
      </c>
      <c r="BQ188" s="27">
        <v>45347</v>
      </c>
      <c r="BR188" s="27">
        <v>45011</v>
      </c>
      <c r="BS188" s="28">
        <v>-1139</v>
      </c>
      <c r="BT188" s="29">
        <v>-2309</v>
      </c>
      <c r="BU188" s="29">
        <v>-1139</v>
      </c>
      <c r="BV188" s="29">
        <v>-1139</v>
      </c>
      <c r="BW188" s="29">
        <v>-2309</v>
      </c>
      <c r="BX188" s="8" t="s">
        <v>1016</v>
      </c>
      <c r="BY188" s="8">
        <v>5</v>
      </c>
      <c r="BZ188" s="8">
        <v>0</v>
      </c>
      <c r="CA188" s="8">
        <v>0</v>
      </c>
      <c r="CB188" s="21">
        <v>45166.770833333299</v>
      </c>
      <c r="CC188" s="21">
        <v>45166.770833333299</v>
      </c>
      <c r="CD188" s="21">
        <v>45166.770833333299</v>
      </c>
      <c r="CE188" s="21">
        <v>45166.770833333299</v>
      </c>
      <c r="CF188" s="21">
        <v>45166.770833333299</v>
      </c>
      <c r="CG188" s="21">
        <v>0</v>
      </c>
      <c r="CH188" s="21">
        <v>0</v>
      </c>
      <c r="CI188" s="21">
        <v>43464.770833333299</v>
      </c>
      <c r="CJ188" s="21">
        <v>44160.770833333299</v>
      </c>
      <c r="CK188" s="22" t="s">
        <v>3054</v>
      </c>
      <c r="CL188" s="22" t="s">
        <v>3058</v>
      </c>
      <c r="CM188" s="22" t="s">
        <v>3058</v>
      </c>
      <c r="CN188" s="22" t="s">
        <v>3058</v>
      </c>
      <c r="CO188" s="22" t="s">
        <v>3058</v>
      </c>
      <c r="CP188" s="22" t="s">
        <v>3042</v>
      </c>
      <c r="CQ188" s="22" t="s">
        <v>3042</v>
      </c>
      <c r="CR188" s="22" t="s">
        <v>3042</v>
      </c>
      <c r="CS188" s="22" t="s">
        <v>3042</v>
      </c>
      <c r="CT188" s="22">
        <v>2</v>
      </c>
      <c r="CU188" s="21">
        <v>45346</v>
      </c>
      <c r="CV188" s="21">
        <v>45346</v>
      </c>
      <c r="CW188" s="21">
        <v>45346</v>
      </c>
      <c r="CX188" s="21">
        <v>45346</v>
      </c>
      <c r="CY188" s="21">
        <v>45346</v>
      </c>
      <c r="CZ188" s="21">
        <v>45650</v>
      </c>
      <c r="DA188" s="21">
        <v>45518</v>
      </c>
      <c r="DB188" s="21">
        <v>43644</v>
      </c>
      <c r="DC188" s="21">
        <v>44525</v>
      </c>
      <c r="DD188" s="8">
        <v>1</v>
      </c>
      <c r="DE188" s="8">
        <v>0</v>
      </c>
      <c r="DF188" s="8">
        <v>0</v>
      </c>
      <c r="DG188" s="8">
        <v>9</v>
      </c>
      <c r="DH188" s="8">
        <v>0</v>
      </c>
      <c r="DI188" s="8">
        <v>0</v>
      </c>
      <c r="DJ188" s="8" t="s">
        <v>2976</v>
      </c>
      <c r="DK188" s="21">
        <v>43269</v>
      </c>
      <c r="DL188" s="21">
        <v>43242</v>
      </c>
      <c r="DM188" s="21">
        <v>45453</v>
      </c>
      <c r="DN188" s="18">
        <v>11490</v>
      </c>
      <c r="DO188" s="21">
        <v>0</v>
      </c>
      <c r="DP188" s="21">
        <v>0</v>
      </c>
      <c r="DQ188" s="21" t="s">
        <v>2955</v>
      </c>
      <c r="DR188" s="21">
        <v>45167</v>
      </c>
      <c r="DS188" s="21">
        <v>45167</v>
      </c>
      <c r="DT188" s="21">
        <v>45167</v>
      </c>
      <c r="DU188" s="21">
        <v>45167</v>
      </c>
      <c r="DV188" s="21">
        <v>45167</v>
      </c>
      <c r="DW188" s="21">
        <v>0</v>
      </c>
      <c r="DX188" s="21">
        <v>0</v>
      </c>
      <c r="DY188" s="21">
        <v>43465</v>
      </c>
      <c r="DZ188" s="21">
        <v>44161</v>
      </c>
      <c r="EA188" s="8">
        <v>180</v>
      </c>
      <c r="EB188" s="8">
        <v>190</v>
      </c>
      <c r="EC188" s="8">
        <v>190</v>
      </c>
      <c r="ED188" s="8">
        <v>190</v>
      </c>
      <c r="EE188" s="8">
        <v>190</v>
      </c>
      <c r="EF188" s="8">
        <v>690</v>
      </c>
      <c r="EG188" s="8">
        <v>690</v>
      </c>
      <c r="EH188" s="8">
        <v>690</v>
      </c>
      <c r="EI188" s="8">
        <v>690</v>
      </c>
      <c r="EJ188" s="8">
        <v>2</v>
      </c>
      <c r="EK188" s="8" t="s">
        <v>157</v>
      </c>
      <c r="EL188" s="8">
        <v>659</v>
      </c>
      <c r="EM188" s="8">
        <v>1318</v>
      </c>
      <c r="EN188" s="8">
        <v>-108</v>
      </c>
      <c r="EO188" s="8">
        <v>-98</v>
      </c>
      <c r="EP188" s="8">
        <v>-98</v>
      </c>
      <c r="EQ188" s="8">
        <v>-98</v>
      </c>
      <c r="ER188" s="8">
        <v>-98</v>
      </c>
      <c r="ES188" s="8">
        <v>402</v>
      </c>
      <c r="ET188" s="8">
        <v>402</v>
      </c>
      <c r="EU188" s="8">
        <v>402</v>
      </c>
      <c r="EV188" s="8">
        <v>402</v>
      </c>
    </row>
    <row r="189" spans="1:152" x14ac:dyDescent="0.15">
      <c r="A189" s="8">
        <f>ROW([2]!tbl_DPSAC[[#This Row],[Sl. No.]])-1</f>
        <v>188</v>
      </c>
      <c r="B189" s="9" t="s">
        <v>136</v>
      </c>
      <c r="C189" s="9" t="s">
        <v>1101</v>
      </c>
      <c r="D189" s="9" t="s">
        <v>138</v>
      </c>
      <c r="E189" s="9" t="s">
        <v>139</v>
      </c>
      <c r="F189" s="9" t="s">
        <v>161</v>
      </c>
      <c r="G189" s="10" t="s">
        <v>291</v>
      </c>
      <c r="H189" s="10" t="str">
        <f>_xlfn.XLOOKUP(C189,'[1]E&amp;DPSAC'!$K:$K,'[1]E&amp;DPSAC'!$E:$E,,0)</f>
        <v>DHANBAD</v>
      </c>
      <c r="I189" s="10"/>
      <c r="J189" s="10">
        <v>9083506628</v>
      </c>
      <c r="K189" s="10">
        <f>_xlfn.XLOOKUP(C189,'[1]E&amp;DPSAC'!$K:$K,'[1]E&amp;DPSAC'!$G:$G,"",0)</f>
        <v>9162523267</v>
      </c>
      <c r="L189" s="9" t="str">
        <f t="shared" ca="1" si="8"/>
        <v>Non - Warranty</v>
      </c>
      <c r="M189" s="11">
        <v>43446</v>
      </c>
      <c r="N189" s="12">
        <v>24</v>
      </c>
      <c r="O189" s="11">
        <f t="shared" si="9"/>
        <v>44196</v>
      </c>
      <c r="P189" s="8" t="s">
        <v>157</v>
      </c>
      <c r="Q189" s="16" t="s">
        <v>1103</v>
      </c>
      <c r="R189" s="15">
        <v>45167.487337963001</v>
      </c>
      <c r="S189" s="14">
        <v>6335</v>
      </c>
      <c r="T189" s="15">
        <v>45180</v>
      </c>
      <c r="U189" s="14">
        <v>6351</v>
      </c>
      <c r="V189" s="14">
        <v>7470</v>
      </c>
      <c r="W189" s="17">
        <v>45453.513946759304</v>
      </c>
      <c r="X189" s="14" t="s">
        <v>2786</v>
      </c>
      <c r="Y189" s="14">
        <v>-385</v>
      </c>
      <c r="Z189" s="14" t="s">
        <v>2697</v>
      </c>
      <c r="AA189" s="18">
        <v>945.51266203699925</v>
      </c>
      <c r="AB189" s="18" t="s">
        <v>2697</v>
      </c>
      <c r="AC189" s="8">
        <f>tbl_DPSAC[[#This Row],[Current Month Due Count]]</f>
        <v>0</v>
      </c>
      <c r="AD189" s="8">
        <f>tbl_DPSAC[[#This Row],[Next Month Due2]]</f>
        <v>0</v>
      </c>
      <c r="AE189" s="8">
        <f t="shared" si="10"/>
        <v>1</v>
      </c>
      <c r="AF189" s="8">
        <v>4</v>
      </c>
      <c r="AG189" s="14">
        <f t="shared" ca="1" si="11"/>
        <v>10108</v>
      </c>
      <c r="AH189" s="8">
        <v>0</v>
      </c>
      <c r="AI189" s="8">
        <v>0</v>
      </c>
      <c r="AJ189" s="8">
        <v>0</v>
      </c>
      <c r="AK189" s="8">
        <v>0</v>
      </c>
      <c r="AL189" s="8">
        <v>0</v>
      </c>
      <c r="AM189" s="8" t="s">
        <v>1102</v>
      </c>
      <c r="AN189" s="8">
        <v>0</v>
      </c>
      <c r="AO189" s="8">
        <v>0</v>
      </c>
      <c r="AP189" s="8">
        <v>0</v>
      </c>
      <c r="AQ189" s="8">
        <v>0</v>
      </c>
      <c r="AR189" s="8">
        <v>0</v>
      </c>
      <c r="AS189" s="8">
        <v>0</v>
      </c>
      <c r="AT189" s="8">
        <v>0</v>
      </c>
      <c r="AU189" s="8">
        <v>0</v>
      </c>
      <c r="AV189" s="8">
        <v>0</v>
      </c>
      <c r="AW189" s="8">
        <v>0</v>
      </c>
      <c r="AX189" s="8" t="s">
        <v>2961</v>
      </c>
      <c r="AY189" s="14">
        <v>6335</v>
      </c>
      <c r="AZ189" s="19">
        <v>45167</v>
      </c>
      <c r="BA189" s="14" t="s">
        <v>1103</v>
      </c>
      <c r="BB189" s="14">
        <v>4500</v>
      </c>
      <c r="BC189" s="19">
        <v>44646</v>
      </c>
      <c r="BD189" s="14"/>
      <c r="BE189" s="14">
        <v>6335</v>
      </c>
      <c r="BF189" s="19">
        <v>45167</v>
      </c>
      <c r="BG189" s="14" t="s">
        <v>1103</v>
      </c>
      <c r="BH189" s="14">
        <v>6335</v>
      </c>
      <c r="BI189" s="19">
        <v>45167</v>
      </c>
      <c r="BJ189" s="14" t="s">
        <v>1103</v>
      </c>
      <c r="BK189" s="14">
        <v>4500</v>
      </c>
      <c r="BL189" s="19">
        <v>44646</v>
      </c>
      <c r="BM189" s="14"/>
      <c r="BN189" s="27">
        <v>45347</v>
      </c>
      <c r="BO189" s="27">
        <v>44826</v>
      </c>
      <c r="BP189" s="27">
        <v>45347</v>
      </c>
      <c r="BQ189" s="27">
        <v>45347</v>
      </c>
      <c r="BR189" s="27">
        <v>45011</v>
      </c>
      <c r="BS189" s="28">
        <v>-3023</v>
      </c>
      <c r="BT189" s="29">
        <v>-4108</v>
      </c>
      <c r="BU189" s="29">
        <v>-3023</v>
      </c>
      <c r="BV189" s="29">
        <v>-3023</v>
      </c>
      <c r="BW189" s="29">
        <v>-4108</v>
      </c>
      <c r="BX189" s="8" t="s">
        <v>1016</v>
      </c>
      <c r="BY189" s="8">
        <v>5</v>
      </c>
      <c r="BZ189" s="8">
        <v>0</v>
      </c>
      <c r="CA189" s="8">
        <v>0</v>
      </c>
      <c r="CB189" s="21">
        <v>45166.770833333299</v>
      </c>
      <c r="CC189" s="21">
        <v>45166.770833333299</v>
      </c>
      <c r="CD189" s="21">
        <v>45166.770833333299</v>
      </c>
      <c r="CE189" s="21">
        <v>45166.770833333299</v>
      </c>
      <c r="CF189" s="21">
        <v>45166.770833333299</v>
      </c>
      <c r="CG189" s="21">
        <v>0</v>
      </c>
      <c r="CH189" s="21">
        <v>0</v>
      </c>
      <c r="CI189" s="21">
        <v>43865.770833333299</v>
      </c>
      <c r="CJ189" s="21">
        <v>0</v>
      </c>
      <c r="CK189" s="22" t="s">
        <v>2972</v>
      </c>
      <c r="CL189" s="22" t="s">
        <v>3074</v>
      </c>
      <c r="CM189" s="22" t="s">
        <v>3074</v>
      </c>
      <c r="CN189" s="22" t="s">
        <v>3074</v>
      </c>
      <c r="CO189" s="22" t="s">
        <v>3074</v>
      </c>
      <c r="CP189" s="22" t="s">
        <v>2998</v>
      </c>
      <c r="CQ189" s="22" t="s">
        <v>2998</v>
      </c>
      <c r="CR189" s="22" t="s">
        <v>2998</v>
      </c>
      <c r="CS189" s="22" t="s">
        <v>2998</v>
      </c>
      <c r="CT189" s="22">
        <v>4</v>
      </c>
      <c r="CU189" s="21">
        <v>45346</v>
      </c>
      <c r="CV189" s="21">
        <v>45346</v>
      </c>
      <c r="CW189" s="21">
        <v>45346</v>
      </c>
      <c r="CX189" s="21">
        <v>45346</v>
      </c>
      <c r="CY189" s="21">
        <v>45346</v>
      </c>
      <c r="CZ189" s="21">
        <v>45668</v>
      </c>
      <c r="DA189" s="21">
        <v>45536</v>
      </c>
      <c r="DB189" s="21">
        <v>44045</v>
      </c>
      <c r="DC189" s="21">
        <v>45627</v>
      </c>
      <c r="DD189" s="8">
        <v>1</v>
      </c>
      <c r="DE189" s="8">
        <v>0</v>
      </c>
      <c r="DF189" s="8">
        <v>0</v>
      </c>
      <c r="DG189" s="8">
        <v>9</v>
      </c>
      <c r="DH189" s="8">
        <v>0</v>
      </c>
      <c r="DI189" s="8">
        <v>0</v>
      </c>
      <c r="DJ189" s="8" t="s">
        <v>2954</v>
      </c>
      <c r="DK189" s="21">
        <v>43446</v>
      </c>
      <c r="DL189" s="21">
        <v>43354</v>
      </c>
      <c r="DM189" s="21">
        <v>45453</v>
      </c>
      <c r="DN189" s="18">
        <v>7470</v>
      </c>
      <c r="DO189" s="21">
        <v>0</v>
      </c>
      <c r="DP189" s="21">
        <v>0</v>
      </c>
      <c r="DQ189" s="21" t="s">
        <v>2955</v>
      </c>
      <c r="DR189" s="21">
        <v>45167</v>
      </c>
      <c r="DS189" s="21">
        <v>45167</v>
      </c>
      <c r="DT189" s="21">
        <v>45167</v>
      </c>
      <c r="DU189" s="21">
        <v>45167</v>
      </c>
      <c r="DV189" s="21">
        <v>45167</v>
      </c>
      <c r="DW189" s="21">
        <v>0</v>
      </c>
      <c r="DX189" s="21">
        <v>0</v>
      </c>
      <c r="DY189" s="21">
        <v>43866</v>
      </c>
      <c r="DZ189" s="21">
        <v>0</v>
      </c>
      <c r="EA189" s="8">
        <v>380</v>
      </c>
      <c r="EB189" s="8">
        <v>390</v>
      </c>
      <c r="EC189" s="8">
        <v>390</v>
      </c>
      <c r="ED189" s="8">
        <v>390</v>
      </c>
      <c r="EE189" s="8">
        <v>390</v>
      </c>
      <c r="EF189" s="8">
        <v>890</v>
      </c>
      <c r="EG189" s="8">
        <v>890</v>
      </c>
      <c r="EH189" s="8">
        <v>890</v>
      </c>
      <c r="EI189" s="8">
        <v>890</v>
      </c>
      <c r="EJ189" s="8">
        <v>4</v>
      </c>
      <c r="EK189" s="8" t="s">
        <v>157</v>
      </c>
      <c r="EL189" s="8">
        <v>659</v>
      </c>
      <c r="EM189" s="8">
        <v>2636</v>
      </c>
      <c r="EN189" s="8">
        <v>92</v>
      </c>
      <c r="EO189" s="8">
        <v>102</v>
      </c>
      <c r="EP189" s="8">
        <v>102</v>
      </c>
      <c r="EQ189" s="8">
        <v>102</v>
      </c>
      <c r="ER189" s="8">
        <v>102</v>
      </c>
      <c r="ES189" s="8">
        <v>602</v>
      </c>
      <c r="ET189" s="8">
        <v>602</v>
      </c>
      <c r="EU189" s="8">
        <v>602</v>
      </c>
      <c r="EV189" s="8">
        <v>602</v>
      </c>
    </row>
    <row r="190" spans="1:152" x14ac:dyDescent="0.15">
      <c r="A190" s="8">
        <f>ROW([2]!tbl_DPSAC[[#This Row],[Sl. No.]])-1</f>
        <v>189</v>
      </c>
      <c r="B190" s="9" t="s">
        <v>136</v>
      </c>
      <c r="C190" s="9" t="s">
        <v>1104</v>
      </c>
      <c r="D190" s="9" t="s">
        <v>154</v>
      </c>
      <c r="E190" s="9" t="s">
        <v>155</v>
      </c>
      <c r="F190" s="9" t="s">
        <v>140</v>
      </c>
      <c r="G190" s="10" t="s">
        <v>1105</v>
      </c>
      <c r="H190" s="10" t="str">
        <f>_xlfn.XLOOKUP(C190,'[1]E&amp;DPSAC'!$K:$K,'[1]E&amp;DPSAC'!$E:$E,,0)</f>
        <v>BARWADA, DHANBAD</v>
      </c>
      <c r="I190" s="10"/>
      <c r="J190" s="10">
        <v>9384385095</v>
      </c>
      <c r="K190" s="10">
        <f>_xlfn.XLOOKUP(C190,'[1]E&amp;DPSAC'!$K:$K,'[1]E&amp;DPSAC'!$G:$G,"",0)</f>
        <v>9384385095</v>
      </c>
      <c r="L190" s="9" t="str">
        <f t="shared" ca="1" si="8"/>
        <v>Non - Warranty</v>
      </c>
      <c r="M190" s="11">
        <v>43189</v>
      </c>
      <c r="N190" s="12">
        <v>36</v>
      </c>
      <c r="O190" s="11">
        <f t="shared" si="9"/>
        <v>44286</v>
      </c>
      <c r="P190" s="8" t="s">
        <v>157</v>
      </c>
      <c r="Q190" s="16" t="s">
        <v>2643</v>
      </c>
      <c r="R190" s="15">
        <v>43573.699062500003</v>
      </c>
      <c r="S190" s="14">
        <v>1343</v>
      </c>
      <c r="T190" s="15">
        <v>44535</v>
      </c>
      <c r="U190" s="14">
        <v>3581</v>
      </c>
      <c r="V190" s="14">
        <v>3700</v>
      </c>
      <c r="W190" s="17">
        <v>45008.749826388899</v>
      </c>
      <c r="X190" s="14">
        <v>0</v>
      </c>
      <c r="Y190" s="14">
        <v>-1607</v>
      </c>
      <c r="Z190" s="14" t="s">
        <v>2697</v>
      </c>
      <c r="AA190" s="18">
        <v>2539.3009374999965</v>
      </c>
      <c r="AB190" s="18" t="s">
        <v>2697</v>
      </c>
      <c r="AC190" s="8">
        <f>tbl_DPSAC[[#This Row],[Current Month Due Count]]</f>
        <v>0</v>
      </c>
      <c r="AD190" s="8">
        <f>tbl_DPSAC[[#This Row],[Next Month Due2]]</f>
        <v>0</v>
      </c>
      <c r="AE190" s="8">
        <f t="shared" si="10"/>
        <v>1</v>
      </c>
      <c r="AF190" s="8">
        <v>1</v>
      </c>
      <c r="AG190" s="14">
        <f t="shared" ca="1" si="11"/>
        <v>4804</v>
      </c>
      <c r="AH190" s="8">
        <v>0</v>
      </c>
      <c r="AI190" s="8">
        <v>0</v>
      </c>
      <c r="AJ190" s="8">
        <v>0</v>
      </c>
      <c r="AK190" s="8">
        <v>0</v>
      </c>
      <c r="AL190" s="8">
        <v>0</v>
      </c>
      <c r="AM190" s="8">
        <v>0</v>
      </c>
      <c r="AN190" s="8">
        <v>0</v>
      </c>
      <c r="AO190" s="8">
        <v>0</v>
      </c>
      <c r="AP190" s="8">
        <v>0</v>
      </c>
      <c r="AQ190" s="8">
        <v>0</v>
      </c>
      <c r="AR190" s="8">
        <v>0</v>
      </c>
      <c r="AS190" s="8">
        <v>0</v>
      </c>
      <c r="AT190" s="8">
        <v>0</v>
      </c>
      <c r="AU190" s="8">
        <v>0</v>
      </c>
      <c r="AV190" s="8">
        <v>0</v>
      </c>
      <c r="AW190" s="8">
        <v>0</v>
      </c>
      <c r="AX190" s="8" t="s">
        <v>3033</v>
      </c>
      <c r="AY190" s="14">
        <v>3581</v>
      </c>
      <c r="AZ190" s="19">
        <v>44539</v>
      </c>
      <c r="BA190" s="14" t="s">
        <v>1106</v>
      </c>
      <c r="BB190" s="14">
        <v>3581</v>
      </c>
      <c r="BC190" s="19">
        <v>44539</v>
      </c>
      <c r="BD190" s="14" t="s">
        <v>1106</v>
      </c>
      <c r="BE190" s="14">
        <v>3581</v>
      </c>
      <c r="BF190" s="19">
        <v>44539</v>
      </c>
      <c r="BG190" s="14" t="s">
        <v>1106</v>
      </c>
      <c r="BH190" s="14"/>
      <c r="BI190" s="19"/>
      <c r="BJ190" s="14"/>
      <c r="BK190" s="14">
        <v>3581</v>
      </c>
      <c r="BL190" s="19">
        <v>44539</v>
      </c>
      <c r="BM190" s="14" t="s">
        <v>1106</v>
      </c>
      <c r="BN190" s="27">
        <v>44719</v>
      </c>
      <c r="BO190" s="27">
        <v>44719</v>
      </c>
      <c r="BP190" s="27">
        <v>44719</v>
      </c>
      <c r="BQ190" s="27" t="s">
        <v>143</v>
      </c>
      <c r="BR190" s="27">
        <v>44904</v>
      </c>
      <c r="BS190" s="28">
        <v>-473</v>
      </c>
      <c r="BT190" s="29">
        <v>277</v>
      </c>
      <c r="BU190" s="29">
        <v>-473</v>
      </c>
      <c r="BV190" s="29" t="s">
        <v>143</v>
      </c>
      <c r="BW190" s="29">
        <v>277</v>
      </c>
      <c r="BX190" s="8" t="s">
        <v>1016</v>
      </c>
      <c r="BY190" s="8">
        <v>4</v>
      </c>
      <c r="BZ190" s="8">
        <v>0</v>
      </c>
      <c r="CA190" s="8">
        <v>0</v>
      </c>
      <c r="CB190" s="21" t="s">
        <v>143</v>
      </c>
      <c r="CC190" s="21" t="s">
        <v>143</v>
      </c>
      <c r="CD190" s="21" t="s">
        <v>143</v>
      </c>
      <c r="CE190" s="21" t="s">
        <v>143</v>
      </c>
      <c r="CF190" s="21" t="s">
        <v>143</v>
      </c>
      <c r="CG190" s="21" t="s">
        <v>143</v>
      </c>
      <c r="CH190" s="21" t="s">
        <v>143</v>
      </c>
      <c r="CI190" s="21" t="s">
        <v>143</v>
      </c>
      <c r="CJ190" s="21" t="s">
        <v>143</v>
      </c>
      <c r="CK190" s="22" t="s">
        <v>143</v>
      </c>
      <c r="CL190" s="22" t="s">
        <v>143</v>
      </c>
      <c r="CM190" s="22" t="s">
        <v>143</v>
      </c>
      <c r="CN190" s="22" t="s">
        <v>143</v>
      </c>
      <c r="CO190" s="22" t="s">
        <v>143</v>
      </c>
      <c r="CP190" s="22" t="s">
        <v>143</v>
      </c>
      <c r="CQ190" s="22" t="s">
        <v>143</v>
      </c>
      <c r="CR190" s="22" t="s">
        <v>143</v>
      </c>
      <c r="CS190" s="22" t="s">
        <v>143</v>
      </c>
      <c r="CT190" s="22" t="s">
        <v>143</v>
      </c>
      <c r="CU190" s="21" t="s">
        <v>143</v>
      </c>
      <c r="CV190" s="21" t="s">
        <v>143</v>
      </c>
      <c r="CW190" s="21" t="s">
        <v>143</v>
      </c>
      <c r="CX190" s="21" t="s">
        <v>143</v>
      </c>
      <c r="CY190" s="21" t="s">
        <v>143</v>
      </c>
      <c r="CZ190" s="21" t="s">
        <v>143</v>
      </c>
      <c r="DA190" s="21" t="s">
        <v>143</v>
      </c>
      <c r="DB190" s="21" t="s">
        <v>143</v>
      </c>
      <c r="DC190" s="21" t="s">
        <v>143</v>
      </c>
      <c r="DD190" s="8" t="s">
        <v>143</v>
      </c>
      <c r="DE190" s="8" t="s">
        <v>143</v>
      </c>
      <c r="DF190" s="8" t="s">
        <v>143</v>
      </c>
      <c r="DG190" s="8">
        <v>0</v>
      </c>
      <c r="DH190" s="8">
        <v>0</v>
      </c>
      <c r="DI190" s="8">
        <v>0</v>
      </c>
      <c r="DJ190" s="8" t="s">
        <v>143</v>
      </c>
      <c r="DK190" s="21" t="s">
        <v>143</v>
      </c>
      <c r="DL190" s="21" t="s">
        <v>143</v>
      </c>
      <c r="DM190" s="21" t="s">
        <v>143</v>
      </c>
      <c r="DN190" s="18" t="s">
        <v>143</v>
      </c>
      <c r="DO190" s="21" t="s">
        <v>143</v>
      </c>
      <c r="DP190" s="21" t="s">
        <v>143</v>
      </c>
      <c r="DQ190" s="21" t="s">
        <v>143</v>
      </c>
      <c r="DR190" s="21" t="s">
        <v>143</v>
      </c>
      <c r="DS190" s="21" t="s">
        <v>143</v>
      </c>
      <c r="DT190" s="21" t="s">
        <v>143</v>
      </c>
      <c r="DU190" s="21" t="s">
        <v>143</v>
      </c>
      <c r="DV190" s="21" t="s">
        <v>143</v>
      </c>
      <c r="DW190" s="21" t="s">
        <v>143</v>
      </c>
      <c r="DX190" s="21" t="s">
        <v>143</v>
      </c>
      <c r="DY190" s="21" t="s">
        <v>143</v>
      </c>
      <c r="DZ190" s="21" t="s">
        <v>143</v>
      </c>
      <c r="EA190" s="8" t="s">
        <v>143</v>
      </c>
      <c r="EB190" s="8" t="s">
        <v>143</v>
      </c>
      <c r="EC190" s="8" t="s">
        <v>143</v>
      </c>
      <c r="ED190" s="8" t="s">
        <v>143</v>
      </c>
      <c r="EE190" s="8" t="s">
        <v>143</v>
      </c>
      <c r="EF190" s="8" t="s">
        <v>143</v>
      </c>
      <c r="EG190" s="8" t="s">
        <v>143</v>
      </c>
      <c r="EH190" s="8" t="s">
        <v>143</v>
      </c>
      <c r="EI190" s="8" t="s">
        <v>143</v>
      </c>
      <c r="EJ190" s="8" t="s">
        <v>143</v>
      </c>
      <c r="EK190" s="8" t="s">
        <v>157</v>
      </c>
      <c r="EL190" s="8">
        <v>1104</v>
      </c>
      <c r="EM190" s="8">
        <v>1104</v>
      </c>
      <c r="EN190" s="8" t="s">
        <v>143</v>
      </c>
      <c r="EO190" s="8" t="s">
        <v>143</v>
      </c>
      <c r="EP190" s="8" t="s">
        <v>143</v>
      </c>
      <c r="EQ190" s="8" t="s">
        <v>143</v>
      </c>
      <c r="ER190" s="8" t="s">
        <v>143</v>
      </c>
      <c r="ES190" s="8" t="s">
        <v>143</v>
      </c>
      <c r="ET190" s="8" t="s">
        <v>143</v>
      </c>
      <c r="EU190" s="8" t="s">
        <v>143</v>
      </c>
      <c r="EV190" s="8" t="s">
        <v>143</v>
      </c>
    </row>
    <row r="191" spans="1:152" x14ac:dyDescent="0.15">
      <c r="A191" s="8">
        <f>ROW([2]!tbl_DPSAC[[#This Row],[Sl. No.]])-1</f>
        <v>190</v>
      </c>
      <c r="B191" s="9" t="s">
        <v>136</v>
      </c>
      <c r="C191" s="9" t="s">
        <v>1107</v>
      </c>
      <c r="D191" s="9" t="s">
        <v>138</v>
      </c>
      <c r="E191" s="9" t="s">
        <v>139</v>
      </c>
      <c r="F191" s="9" t="s">
        <v>140</v>
      </c>
      <c r="G191" s="10" t="s">
        <v>1108</v>
      </c>
      <c r="H191" s="10" t="str">
        <f>_xlfn.XLOOKUP(C191,'[1]E&amp;DPSAC'!$K:$K,'[1]E&amp;DPSAC'!$E:$E,,0)</f>
        <v>JAMTARA</v>
      </c>
      <c r="I191" s="10"/>
      <c r="J191" s="10">
        <v>8789065274</v>
      </c>
      <c r="K191" s="10">
        <f>_xlfn.XLOOKUP(C191,'[1]E&amp;DPSAC'!$K:$K,'[1]E&amp;DPSAC'!$G:$G,"",0)</f>
        <v>8789065274</v>
      </c>
      <c r="L191" s="9" t="str">
        <f t="shared" ca="1" si="8"/>
        <v>Non - Warranty</v>
      </c>
      <c r="M191" s="11">
        <v>43349</v>
      </c>
      <c r="N191" s="12">
        <v>36</v>
      </c>
      <c r="O191" s="11">
        <f t="shared" si="9"/>
        <v>44469</v>
      </c>
      <c r="P191" s="8" t="s">
        <v>681</v>
      </c>
      <c r="Q191" s="16" t="s">
        <v>1109</v>
      </c>
      <c r="R191" s="15">
        <v>45265.548506944397</v>
      </c>
      <c r="S191" s="14">
        <v>5135</v>
      </c>
      <c r="T191" s="15">
        <v>45265</v>
      </c>
      <c r="U191" s="14">
        <v>5135</v>
      </c>
      <c r="V191" s="14">
        <v>7910</v>
      </c>
      <c r="W191" s="17">
        <v>45966.477083333331</v>
      </c>
      <c r="X191" s="14" t="s">
        <v>2745</v>
      </c>
      <c r="Y191" s="14">
        <v>-2025</v>
      </c>
      <c r="Z191" s="14" t="s">
        <v>2697</v>
      </c>
      <c r="AA191" s="18">
        <v>847.45149305560335</v>
      </c>
      <c r="AB191" s="18" t="s">
        <v>2697</v>
      </c>
      <c r="AC191" s="8">
        <f>tbl_DPSAC[[#This Row],[Current Month Due Count]]</f>
        <v>0</v>
      </c>
      <c r="AD191" s="8">
        <f>tbl_DPSAC[[#This Row],[Next Month Due2]]</f>
        <v>0</v>
      </c>
      <c r="AE191" s="8">
        <f t="shared" si="10"/>
        <v>1</v>
      </c>
      <c r="AF191" s="8">
        <v>4</v>
      </c>
      <c r="AG191" s="14">
        <f t="shared" ca="1" si="11"/>
        <v>8496</v>
      </c>
      <c r="AH191" s="8">
        <v>0</v>
      </c>
      <c r="AI191" s="8">
        <v>0</v>
      </c>
      <c r="AJ191" s="8">
        <v>0</v>
      </c>
      <c r="AK191" s="8">
        <v>0</v>
      </c>
      <c r="AL191" s="8">
        <v>0</v>
      </c>
      <c r="AM191" s="8">
        <v>0</v>
      </c>
      <c r="AN191" s="8">
        <v>0</v>
      </c>
      <c r="AO191" s="8">
        <v>0</v>
      </c>
      <c r="AP191" s="8">
        <v>0</v>
      </c>
      <c r="AQ191" s="8">
        <v>0</v>
      </c>
      <c r="AR191" s="8">
        <v>0</v>
      </c>
      <c r="AS191" s="8">
        <v>0</v>
      </c>
      <c r="AT191" s="8">
        <v>0</v>
      </c>
      <c r="AU191" s="8">
        <v>0</v>
      </c>
      <c r="AV191" s="8">
        <v>0</v>
      </c>
      <c r="AW191" s="8">
        <v>0</v>
      </c>
      <c r="AX191" s="8" t="s">
        <v>2961</v>
      </c>
      <c r="AY191" s="14">
        <v>5135</v>
      </c>
      <c r="AZ191" s="19">
        <v>45265</v>
      </c>
      <c r="BA191" s="14" t="s">
        <v>1109</v>
      </c>
      <c r="BB191" s="14">
        <v>3213</v>
      </c>
      <c r="BC191" s="19">
        <v>44353.590601851851</v>
      </c>
      <c r="BD191" s="14" t="s">
        <v>1110</v>
      </c>
      <c r="BE191" s="14">
        <v>5135</v>
      </c>
      <c r="BF191" s="19">
        <v>45265</v>
      </c>
      <c r="BG191" s="14" t="s">
        <v>1109</v>
      </c>
      <c r="BH191" s="14">
        <v>5135</v>
      </c>
      <c r="BI191" s="19">
        <v>45265</v>
      </c>
      <c r="BJ191" s="14" t="s">
        <v>1109</v>
      </c>
      <c r="BK191" s="14">
        <v>3213</v>
      </c>
      <c r="BL191" s="19">
        <v>44353.590601851851</v>
      </c>
      <c r="BM191" s="14" t="s">
        <v>1110</v>
      </c>
      <c r="BN191" s="27">
        <v>45445</v>
      </c>
      <c r="BO191" s="27">
        <v>44533.590601851851</v>
      </c>
      <c r="BP191" s="27">
        <v>45445</v>
      </c>
      <c r="BQ191" s="27">
        <v>45445</v>
      </c>
      <c r="BR191" s="27">
        <v>44718.590601851851</v>
      </c>
      <c r="BS191" s="28">
        <v>-2611</v>
      </c>
      <c r="BT191" s="29">
        <v>-3783</v>
      </c>
      <c r="BU191" s="29">
        <v>-2611</v>
      </c>
      <c r="BV191" s="29">
        <v>-2611</v>
      </c>
      <c r="BW191" s="29">
        <v>-3783</v>
      </c>
      <c r="BX191" s="30" t="s">
        <v>281</v>
      </c>
      <c r="BY191" s="8">
        <v>5</v>
      </c>
      <c r="BZ191" s="8">
        <v>0</v>
      </c>
      <c r="CA191" s="8">
        <v>0</v>
      </c>
      <c r="CB191" s="21">
        <v>45264.770833333299</v>
      </c>
      <c r="CC191" s="21">
        <v>45264.770833333299</v>
      </c>
      <c r="CD191" s="21">
        <v>45264.770833333299</v>
      </c>
      <c r="CE191" s="21">
        <v>45264.770833333299</v>
      </c>
      <c r="CF191" s="21">
        <v>45264.770833333299</v>
      </c>
      <c r="CG191" s="21">
        <v>0</v>
      </c>
      <c r="CH191" s="21">
        <v>0</v>
      </c>
      <c r="CI191" s="21">
        <v>0</v>
      </c>
      <c r="CJ191" s="21">
        <v>0</v>
      </c>
      <c r="CK191" s="22" t="s">
        <v>3104</v>
      </c>
      <c r="CL191" s="22" t="s">
        <v>3104</v>
      </c>
      <c r="CM191" s="22" t="s">
        <v>3104</v>
      </c>
      <c r="CN191" s="22" t="s">
        <v>3104</v>
      </c>
      <c r="CO191" s="22" t="s">
        <v>3104</v>
      </c>
      <c r="CP191" s="22" t="s">
        <v>2951</v>
      </c>
      <c r="CQ191" s="22" t="s">
        <v>2953</v>
      </c>
      <c r="CR191" s="22" t="s">
        <v>2951</v>
      </c>
      <c r="CS191" s="22" t="s">
        <v>2951</v>
      </c>
      <c r="CT191" s="22">
        <v>2</v>
      </c>
      <c r="CU191" s="21">
        <v>45444</v>
      </c>
      <c r="CV191" s="21">
        <v>45444</v>
      </c>
      <c r="CW191" s="21">
        <v>45444</v>
      </c>
      <c r="CX191" s="21">
        <v>45444</v>
      </c>
      <c r="CY191" s="21">
        <v>45444</v>
      </c>
      <c r="CZ191" s="21">
        <v>46156</v>
      </c>
      <c r="DA191" s="21">
        <v>46059</v>
      </c>
      <c r="DB191" s="21">
        <v>46066</v>
      </c>
      <c r="DC191" s="21">
        <v>46115</v>
      </c>
      <c r="DD191" s="8">
        <v>1</v>
      </c>
      <c r="DE191" s="8">
        <v>1</v>
      </c>
      <c r="DF191" s="8">
        <v>0</v>
      </c>
      <c r="DG191" s="8">
        <v>7</v>
      </c>
      <c r="DH191" s="8">
        <v>1</v>
      </c>
      <c r="DI191" s="8">
        <v>1</v>
      </c>
      <c r="DJ191" s="8" t="s">
        <v>3025</v>
      </c>
      <c r="DK191" s="21">
        <v>43349</v>
      </c>
      <c r="DL191" s="21">
        <v>0</v>
      </c>
      <c r="DM191" s="21">
        <v>45966</v>
      </c>
      <c r="DN191" s="18">
        <v>7910</v>
      </c>
      <c r="DO191" s="21">
        <v>0</v>
      </c>
      <c r="DP191" s="21">
        <v>0</v>
      </c>
      <c r="DQ191" s="21" t="s">
        <v>2955</v>
      </c>
      <c r="DR191" s="21">
        <v>45265</v>
      </c>
      <c r="DS191" s="21">
        <v>45265</v>
      </c>
      <c r="DT191" s="21">
        <v>45265</v>
      </c>
      <c r="DU191" s="21">
        <v>45265</v>
      </c>
      <c r="DV191" s="21">
        <v>45265</v>
      </c>
      <c r="DW191" s="21">
        <v>0</v>
      </c>
      <c r="DX191" s="21">
        <v>0</v>
      </c>
      <c r="DY191" s="21">
        <v>0</v>
      </c>
      <c r="DZ191" s="21">
        <v>0</v>
      </c>
      <c r="EA191" s="8">
        <v>120</v>
      </c>
      <c r="EB191" s="8">
        <v>120</v>
      </c>
      <c r="EC191" s="8">
        <v>120</v>
      </c>
      <c r="ED191" s="8">
        <v>120</v>
      </c>
      <c r="EE191" s="8">
        <v>120</v>
      </c>
      <c r="EF191" s="8">
        <v>620</v>
      </c>
      <c r="EG191" s="8">
        <v>1000</v>
      </c>
      <c r="EH191" s="8">
        <v>620</v>
      </c>
      <c r="EI191" s="8">
        <v>620</v>
      </c>
      <c r="EJ191" s="8">
        <v>2</v>
      </c>
      <c r="EK191" s="8" t="s">
        <v>2624</v>
      </c>
      <c r="EL191" s="8">
        <v>147</v>
      </c>
      <c r="EM191" s="8">
        <v>588</v>
      </c>
      <c r="EN191" s="8">
        <v>-168</v>
      </c>
      <c r="EO191" s="8">
        <v>-168</v>
      </c>
      <c r="EP191" s="8">
        <v>-168</v>
      </c>
      <c r="EQ191" s="8">
        <v>-168</v>
      </c>
      <c r="ER191" s="8">
        <v>-168</v>
      </c>
      <c r="ES191" s="8">
        <v>332</v>
      </c>
      <c r="ET191" s="8">
        <v>712</v>
      </c>
      <c r="EU191" s="8">
        <v>332</v>
      </c>
      <c r="EV191" s="8">
        <v>332</v>
      </c>
    </row>
    <row r="192" spans="1:152" x14ac:dyDescent="0.15">
      <c r="A192" s="8">
        <f>ROW([2]!tbl_DPSAC[[#This Row],[Sl. No.]])-1</f>
        <v>191</v>
      </c>
      <c r="B192" s="9" t="s">
        <v>136</v>
      </c>
      <c r="C192" s="9" t="s">
        <v>1111</v>
      </c>
      <c r="D192" s="9" t="s">
        <v>138</v>
      </c>
      <c r="E192" s="9" t="s">
        <v>139</v>
      </c>
      <c r="F192" s="9" t="s">
        <v>161</v>
      </c>
      <c r="G192" s="10" t="s">
        <v>1112</v>
      </c>
      <c r="H192" s="10" t="str">
        <f>_xlfn.XLOOKUP(C192,'[1]E&amp;DPSAC'!$K:$K,'[1]E&amp;DPSAC'!$E:$E,,0)</f>
        <v>NIRSA</v>
      </c>
      <c r="I192" s="10"/>
      <c r="J192" s="10">
        <v>8210106692</v>
      </c>
      <c r="K192" s="10">
        <f>_xlfn.XLOOKUP(C192,'[1]E&amp;DPSAC'!$K:$K,'[1]E&amp;DPSAC'!$G:$G,"",0)</f>
        <v>7873039065</v>
      </c>
      <c r="L192" s="9" t="str">
        <f t="shared" ca="1" si="8"/>
        <v>Non - Warranty</v>
      </c>
      <c r="M192" s="11">
        <v>43773</v>
      </c>
      <c r="N192" s="12">
        <v>24</v>
      </c>
      <c r="O192" s="11">
        <f t="shared" si="9"/>
        <v>44530</v>
      </c>
      <c r="P192" s="8" t="s">
        <v>142</v>
      </c>
      <c r="Q192" s="16" t="s">
        <v>1119</v>
      </c>
      <c r="R192" s="15">
        <v>46052.510428240697</v>
      </c>
      <c r="S192" s="14">
        <v>7880</v>
      </c>
      <c r="T192" s="15">
        <v>46053</v>
      </c>
      <c r="U192" s="14">
        <v>9103</v>
      </c>
      <c r="V192" s="14">
        <v>7880</v>
      </c>
      <c r="W192" s="17">
        <v>46052.510428240697</v>
      </c>
      <c r="X192" s="14" t="s">
        <v>2705</v>
      </c>
      <c r="Y192" s="14">
        <v>750</v>
      </c>
      <c r="Z192" s="14" t="s">
        <v>2692</v>
      </c>
      <c r="AA192" s="18">
        <v>60.489571759302635</v>
      </c>
      <c r="AB192" s="18" t="s">
        <v>2692</v>
      </c>
      <c r="AC192" s="8">
        <f>tbl_DPSAC[[#This Row],[Current Month Due Count]]</f>
        <v>0</v>
      </c>
      <c r="AD192" s="8">
        <f>tbl_DPSAC[[#This Row],[Next Month Due2]]</f>
        <v>0</v>
      </c>
      <c r="AE192" s="8">
        <f t="shared" si="10"/>
        <v>0</v>
      </c>
      <c r="AF192" s="8">
        <v>2</v>
      </c>
      <c r="AG192" s="14">
        <f t="shared" ca="1" si="11"/>
        <v>8001</v>
      </c>
      <c r="AH192" s="8" t="s">
        <v>1113</v>
      </c>
      <c r="AI192" s="8" t="s">
        <v>1114</v>
      </c>
      <c r="AJ192" s="8" t="s">
        <v>1115</v>
      </c>
      <c r="AK192" s="8" t="s">
        <v>1116</v>
      </c>
      <c r="AL192" s="8" t="s">
        <v>1117</v>
      </c>
      <c r="AM192" s="8" t="s">
        <v>1118</v>
      </c>
      <c r="AN192" s="8">
        <v>0</v>
      </c>
      <c r="AO192" s="8">
        <v>0</v>
      </c>
      <c r="AP192" s="8">
        <v>0</v>
      </c>
      <c r="AQ192" s="8">
        <v>0</v>
      </c>
      <c r="AR192" s="8">
        <v>0</v>
      </c>
      <c r="AS192" s="8">
        <v>0</v>
      </c>
      <c r="AT192" s="8">
        <v>0</v>
      </c>
      <c r="AU192" s="8">
        <v>0</v>
      </c>
      <c r="AV192" s="8">
        <v>0</v>
      </c>
      <c r="AW192" s="8">
        <v>0</v>
      </c>
      <c r="AX192" s="8" t="s">
        <v>2007</v>
      </c>
      <c r="AY192" s="14">
        <v>7880</v>
      </c>
      <c r="AZ192" s="19">
        <v>46052</v>
      </c>
      <c r="BA192" s="14" t="s">
        <v>1119</v>
      </c>
      <c r="BB192" s="14">
        <v>7880</v>
      </c>
      <c r="BC192" s="19">
        <v>46052</v>
      </c>
      <c r="BD192" s="14" t="s">
        <v>1119</v>
      </c>
      <c r="BE192" s="14">
        <v>7880</v>
      </c>
      <c r="BF192" s="19">
        <v>46052</v>
      </c>
      <c r="BG192" s="14" t="s">
        <v>1119</v>
      </c>
      <c r="BH192" s="14">
        <v>7880</v>
      </c>
      <c r="BI192" s="19">
        <v>46052</v>
      </c>
      <c r="BJ192" s="14" t="s">
        <v>1119</v>
      </c>
      <c r="BK192" s="14">
        <v>7880</v>
      </c>
      <c r="BL192" s="19">
        <v>46052</v>
      </c>
      <c r="BM192" s="14" t="s">
        <v>1119</v>
      </c>
      <c r="BN192" s="27">
        <v>46232</v>
      </c>
      <c r="BO192" s="27">
        <v>46232</v>
      </c>
      <c r="BP192" s="27">
        <v>46232</v>
      </c>
      <c r="BQ192" s="27">
        <v>46232</v>
      </c>
      <c r="BR192" s="27">
        <v>46417</v>
      </c>
      <c r="BS192" s="28">
        <v>629</v>
      </c>
      <c r="BT192" s="29">
        <v>1379</v>
      </c>
      <c r="BU192" s="29">
        <v>629</v>
      </c>
      <c r="BV192" s="29">
        <v>629</v>
      </c>
      <c r="BW192" s="29">
        <v>1379</v>
      </c>
      <c r="BX192" s="30" t="s">
        <v>172</v>
      </c>
      <c r="BY192" s="8">
        <v>0</v>
      </c>
      <c r="BZ192" s="8">
        <v>0</v>
      </c>
      <c r="CA192" s="8">
        <v>0</v>
      </c>
      <c r="CB192" s="21">
        <v>46051.770833333299</v>
      </c>
      <c r="CC192" s="21">
        <v>46051.770833333299</v>
      </c>
      <c r="CD192" s="21">
        <v>46051.770833333299</v>
      </c>
      <c r="CE192" s="21">
        <v>46051.770833333299</v>
      </c>
      <c r="CF192" s="21">
        <v>46051.770833333299</v>
      </c>
      <c r="CG192" s="21">
        <v>46051.770833333299</v>
      </c>
      <c r="CH192" s="21">
        <v>46051.770833333299</v>
      </c>
      <c r="CI192" s="21">
        <v>46051.770833333299</v>
      </c>
      <c r="CJ192" s="21">
        <v>46051.770833333299</v>
      </c>
      <c r="CK192" s="22" t="s">
        <v>2956</v>
      </c>
      <c r="CL192" s="22" t="s">
        <v>2957</v>
      </c>
      <c r="CM192" s="22" t="s">
        <v>2959</v>
      </c>
      <c r="CN192" s="22" t="s">
        <v>2957</v>
      </c>
      <c r="CO192" s="22" t="s">
        <v>2957</v>
      </c>
      <c r="CP192" s="22" t="s">
        <v>2956</v>
      </c>
      <c r="CQ192" s="22" t="s">
        <v>2953</v>
      </c>
      <c r="CR192" s="22" t="s">
        <v>2956</v>
      </c>
      <c r="CS192" s="22" t="s">
        <v>2960</v>
      </c>
      <c r="CT192" s="22">
        <v>4</v>
      </c>
      <c r="CU192" s="21">
        <v>46231</v>
      </c>
      <c r="CV192" s="21">
        <v>46231</v>
      </c>
      <c r="CW192" s="21">
        <v>46178</v>
      </c>
      <c r="CX192" s="21">
        <v>46231</v>
      </c>
      <c r="CY192" s="21">
        <v>46231</v>
      </c>
      <c r="CZ192" s="21">
        <v>46321</v>
      </c>
      <c r="DA192" s="21">
        <v>46303</v>
      </c>
      <c r="DB192" s="21">
        <v>46231</v>
      </c>
      <c r="DC192" s="21">
        <v>46416</v>
      </c>
      <c r="DD192" s="8">
        <v>0</v>
      </c>
      <c r="DE192" s="8">
        <v>0</v>
      </c>
      <c r="DF192" s="8">
        <v>0</v>
      </c>
      <c r="DG192" s="8">
        <v>0</v>
      </c>
      <c r="DH192" s="8">
        <v>0</v>
      </c>
      <c r="DI192" s="8">
        <v>0</v>
      </c>
      <c r="DJ192" s="8" t="s">
        <v>2954</v>
      </c>
      <c r="DK192" s="21">
        <v>43773</v>
      </c>
      <c r="DL192" s="21">
        <v>43662.229166666664</v>
      </c>
      <c r="DM192" s="21">
        <v>46053</v>
      </c>
      <c r="DN192" s="18">
        <v>7880</v>
      </c>
      <c r="DO192" s="21">
        <v>0</v>
      </c>
      <c r="DP192" s="21">
        <v>0</v>
      </c>
      <c r="DQ192" s="21" t="s">
        <v>2955</v>
      </c>
      <c r="DR192" s="21">
        <v>46052</v>
      </c>
      <c r="DS192" s="21">
        <v>46052</v>
      </c>
      <c r="DT192" s="21">
        <v>46052</v>
      </c>
      <c r="DU192" s="21">
        <v>46052</v>
      </c>
      <c r="DV192" s="21">
        <v>46052</v>
      </c>
      <c r="DW192" s="21">
        <v>46052</v>
      </c>
      <c r="DX192" s="21">
        <v>46052</v>
      </c>
      <c r="DY192" s="21">
        <v>46052</v>
      </c>
      <c r="DZ192" s="21">
        <v>46052</v>
      </c>
      <c r="EA192" s="8">
        <v>1500</v>
      </c>
      <c r="EB192" s="8">
        <v>750</v>
      </c>
      <c r="EC192" s="8">
        <v>500</v>
      </c>
      <c r="ED192" s="8">
        <v>750</v>
      </c>
      <c r="EE192" s="8">
        <v>750</v>
      </c>
      <c r="EF192" s="8">
        <v>1500</v>
      </c>
      <c r="EG192" s="8">
        <v>1000</v>
      </c>
      <c r="EH192" s="8">
        <v>1500</v>
      </c>
      <c r="EI192" s="8">
        <v>3000</v>
      </c>
      <c r="EJ192" s="8">
        <v>4</v>
      </c>
      <c r="EK192" s="8" t="s">
        <v>2624</v>
      </c>
      <c r="EL192" s="8">
        <v>60</v>
      </c>
      <c r="EM192" s="8">
        <v>120</v>
      </c>
      <c r="EN192" s="8">
        <v>1212</v>
      </c>
      <c r="EO192" s="8">
        <v>462</v>
      </c>
      <c r="EP192" s="8">
        <v>212</v>
      </c>
      <c r="EQ192" s="8">
        <v>462</v>
      </c>
      <c r="ER192" s="8">
        <v>462</v>
      </c>
      <c r="ES192" s="8">
        <v>1212</v>
      </c>
      <c r="ET192" s="8">
        <v>712</v>
      </c>
      <c r="EU192" s="8">
        <v>1212</v>
      </c>
      <c r="EV192" s="8">
        <v>2712</v>
      </c>
    </row>
    <row r="193" spans="1:152" x14ac:dyDescent="0.15">
      <c r="A193" s="8">
        <f>ROW([2]!tbl_DPSAC[[#This Row],[Sl. No.]])-1</f>
        <v>192</v>
      </c>
      <c r="B193" s="9" t="s">
        <v>136</v>
      </c>
      <c r="C193" s="9" t="s">
        <v>1120</v>
      </c>
      <c r="D193" s="9" t="s">
        <v>154</v>
      </c>
      <c r="E193" s="9" t="s">
        <v>155</v>
      </c>
      <c r="F193" s="9" t="s">
        <v>140</v>
      </c>
      <c r="G193" s="10" t="s">
        <v>1121</v>
      </c>
      <c r="H193" s="10" t="str">
        <f>_xlfn.XLOOKUP(C193,'[1]E&amp;DPSAC'!$K:$K,'[1]E&amp;DPSAC'!$E:$E,,0)</f>
        <v>JHAJHA BIHAR</v>
      </c>
      <c r="I193" s="10"/>
      <c r="J193" s="10">
        <v>9430312599</v>
      </c>
      <c r="K193" s="10">
        <f>_xlfn.XLOOKUP(C193,'[1]E&amp;DPSAC'!$K:$K,'[1]E&amp;DPSAC'!$G:$G,"",0)</f>
        <v>9430312599</v>
      </c>
      <c r="L193" s="9" t="str">
        <f t="shared" ca="1" si="8"/>
        <v>Non - Warranty</v>
      </c>
      <c r="M193" s="11">
        <v>43179</v>
      </c>
      <c r="N193" s="12">
        <v>36</v>
      </c>
      <c r="O193" s="11">
        <f t="shared" si="9"/>
        <v>44286</v>
      </c>
      <c r="P193" s="8" t="s">
        <v>715</v>
      </c>
      <c r="Q193" s="16" t="s">
        <v>1125</v>
      </c>
      <c r="R193" s="15">
        <v>45266.494606481501</v>
      </c>
      <c r="S193" s="14">
        <v>7025</v>
      </c>
      <c r="T193" s="15">
        <v>45266</v>
      </c>
      <c r="U193" s="14">
        <v>7025</v>
      </c>
      <c r="V193" s="14">
        <v>9595</v>
      </c>
      <c r="W193" s="17">
        <v>45940.646527777775</v>
      </c>
      <c r="X193" s="14" t="s">
        <v>2771</v>
      </c>
      <c r="Y193" s="14">
        <v>-1820</v>
      </c>
      <c r="Z193" s="14" t="s">
        <v>2697</v>
      </c>
      <c r="AA193" s="18">
        <v>846.50539351849875</v>
      </c>
      <c r="AB193" s="18" t="s">
        <v>2697</v>
      </c>
      <c r="AC193" s="8">
        <f>tbl_DPSAC[[#This Row],[Current Month Due Count]]</f>
        <v>0</v>
      </c>
      <c r="AD193" s="8">
        <f>tbl_DPSAC[[#This Row],[Next Month Due2]]</f>
        <v>0</v>
      </c>
      <c r="AE193" s="8">
        <f t="shared" si="10"/>
        <v>1</v>
      </c>
      <c r="AF193" s="8">
        <v>4</v>
      </c>
      <c r="AG193" s="14">
        <f t="shared" ca="1" si="11"/>
        <v>10284</v>
      </c>
      <c r="AH193" s="8">
        <v>0</v>
      </c>
      <c r="AI193" s="8">
        <v>0</v>
      </c>
      <c r="AJ193" s="8">
        <v>0</v>
      </c>
      <c r="AK193" s="8" t="s">
        <v>1122</v>
      </c>
      <c r="AL193" s="8">
        <v>0</v>
      </c>
      <c r="AM193" s="8">
        <v>0</v>
      </c>
      <c r="AN193" s="8" t="s">
        <v>1123</v>
      </c>
      <c r="AO193" s="8" t="s">
        <v>1124</v>
      </c>
      <c r="AP193" s="8">
        <v>0</v>
      </c>
      <c r="AQ193" s="8">
        <v>0</v>
      </c>
      <c r="AR193" s="8">
        <v>0</v>
      </c>
      <c r="AS193" s="8">
        <v>0</v>
      </c>
      <c r="AT193" s="8">
        <v>0</v>
      </c>
      <c r="AU193" s="8">
        <v>0</v>
      </c>
      <c r="AV193" s="8">
        <v>0</v>
      </c>
      <c r="AW193" s="8">
        <v>0</v>
      </c>
      <c r="AX193" s="8" t="s">
        <v>2977</v>
      </c>
      <c r="AY193" s="14">
        <v>7025</v>
      </c>
      <c r="AZ193" s="19">
        <v>45266</v>
      </c>
      <c r="BA193" s="14" t="s">
        <v>1125</v>
      </c>
      <c r="BB193" s="14">
        <v>5817</v>
      </c>
      <c r="BC193" s="19">
        <v>44659</v>
      </c>
      <c r="BD193" s="14" t="s">
        <v>1126</v>
      </c>
      <c r="BE193" s="14">
        <v>7025</v>
      </c>
      <c r="BF193" s="19">
        <v>45266</v>
      </c>
      <c r="BG193" s="14" t="s">
        <v>1125</v>
      </c>
      <c r="BH193" s="14"/>
      <c r="BI193" s="19"/>
      <c r="BJ193" s="14" t="s">
        <v>1127</v>
      </c>
      <c r="BK193" s="14">
        <v>5817</v>
      </c>
      <c r="BL193" s="19">
        <v>44659</v>
      </c>
      <c r="BM193" s="14" t="s">
        <v>1126</v>
      </c>
      <c r="BN193" s="27">
        <v>45446</v>
      </c>
      <c r="BO193" s="27">
        <v>44839</v>
      </c>
      <c r="BP193" s="27">
        <v>45446</v>
      </c>
      <c r="BQ193" s="27" t="s">
        <v>143</v>
      </c>
      <c r="BR193" s="27">
        <v>45024</v>
      </c>
      <c r="BS193" s="28">
        <v>-2509</v>
      </c>
      <c r="BT193" s="29">
        <v>-2967</v>
      </c>
      <c r="BU193" s="29">
        <v>-2509</v>
      </c>
      <c r="BV193" s="29" t="s">
        <v>143</v>
      </c>
      <c r="BW193" s="29">
        <v>-2967</v>
      </c>
      <c r="BX193" s="30" t="s">
        <v>152</v>
      </c>
      <c r="BY193" s="8">
        <v>4</v>
      </c>
      <c r="BZ193" s="8">
        <v>0</v>
      </c>
      <c r="CA193" s="8">
        <v>0</v>
      </c>
      <c r="CB193" s="21" t="s">
        <v>143</v>
      </c>
      <c r="CC193" s="21" t="s">
        <v>143</v>
      </c>
      <c r="CD193" s="21" t="s">
        <v>143</v>
      </c>
      <c r="CE193" s="21" t="s">
        <v>143</v>
      </c>
      <c r="CF193" s="21" t="s">
        <v>143</v>
      </c>
      <c r="CG193" s="21" t="s">
        <v>143</v>
      </c>
      <c r="CH193" s="21" t="s">
        <v>143</v>
      </c>
      <c r="CI193" s="21" t="s">
        <v>143</v>
      </c>
      <c r="CJ193" s="21" t="s">
        <v>143</v>
      </c>
      <c r="CK193" s="22" t="s">
        <v>143</v>
      </c>
      <c r="CL193" s="22" t="s">
        <v>143</v>
      </c>
      <c r="CM193" s="22" t="s">
        <v>143</v>
      </c>
      <c r="CN193" s="22" t="s">
        <v>143</v>
      </c>
      <c r="CO193" s="22" t="s">
        <v>143</v>
      </c>
      <c r="CP193" s="22" t="s">
        <v>143</v>
      </c>
      <c r="CQ193" s="22" t="s">
        <v>143</v>
      </c>
      <c r="CR193" s="22" t="s">
        <v>143</v>
      </c>
      <c r="CS193" s="22" t="s">
        <v>143</v>
      </c>
      <c r="CT193" s="22" t="s">
        <v>143</v>
      </c>
      <c r="CU193" s="21" t="s">
        <v>143</v>
      </c>
      <c r="CV193" s="21" t="s">
        <v>143</v>
      </c>
      <c r="CW193" s="21" t="s">
        <v>143</v>
      </c>
      <c r="CX193" s="21" t="s">
        <v>143</v>
      </c>
      <c r="CY193" s="21" t="s">
        <v>143</v>
      </c>
      <c r="CZ193" s="21" t="s">
        <v>143</v>
      </c>
      <c r="DA193" s="21" t="s">
        <v>143</v>
      </c>
      <c r="DB193" s="21" t="s">
        <v>143</v>
      </c>
      <c r="DC193" s="21" t="s">
        <v>143</v>
      </c>
      <c r="DD193" s="8" t="s">
        <v>143</v>
      </c>
      <c r="DE193" s="8" t="s">
        <v>143</v>
      </c>
      <c r="DF193" s="8" t="s">
        <v>143</v>
      </c>
      <c r="DG193" s="8">
        <v>0</v>
      </c>
      <c r="DH193" s="8">
        <v>0</v>
      </c>
      <c r="DI193" s="8">
        <v>0</v>
      </c>
      <c r="DJ193" s="8" t="s">
        <v>3032</v>
      </c>
      <c r="DK193" s="21">
        <v>43179</v>
      </c>
      <c r="DL193" s="21">
        <v>43123</v>
      </c>
      <c r="DM193" s="21">
        <v>45940</v>
      </c>
      <c r="DN193" s="18">
        <v>9595</v>
      </c>
      <c r="DO193" s="21">
        <v>0</v>
      </c>
      <c r="DP193" s="21">
        <v>0</v>
      </c>
      <c r="DQ193" s="21" t="s">
        <v>2955</v>
      </c>
      <c r="DR193" s="21">
        <v>45266</v>
      </c>
      <c r="DS193" s="21">
        <v>45266</v>
      </c>
      <c r="DT193" s="21">
        <v>44673</v>
      </c>
      <c r="DU193" s="21">
        <v>45266</v>
      </c>
      <c r="DV193" s="21">
        <v>45266</v>
      </c>
      <c r="DW193" s="21">
        <v>44673</v>
      </c>
      <c r="DX193" s="21">
        <v>44673</v>
      </c>
      <c r="DY193" s="21">
        <v>43580</v>
      </c>
      <c r="DZ193" s="21">
        <v>44022</v>
      </c>
      <c r="EA193" s="8">
        <v>275</v>
      </c>
      <c r="EB193" s="8">
        <v>510</v>
      </c>
      <c r="EC193" s="8">
        <v>510</v>
      </c>
      <c r="ED193" s="8">
        <v>510</v>
      </c>
      <c r="EE193" s="8">
        <v>510</v>
      </c>
      <c r="EF193" s="8">
        <v>275</v>
      </c>
      <c r="EG193" s="8">
        <v>1000</v>
      </c>
      <c r="EH193" s="8">
        <v>275</v>
      </c>
      <c r="EI193" s="8">
        <v>275</v>
      </c>
      <c r="EJ193" s="8">
        <v>4</v>
      </c>
      <c r="EK193" s="8" t="s">
        <v>715</v>
      </c>
      <c r="EL193" s="8">
        <v>172</v>
      </c>
      <c r="EM193" s="8">
        <v>688</v>
      </c>
      <c r="EN193" s="8">
        <v>-13</v>
      </c>
      <c r="EO193" s="8">
        <v>222</v>
      </c>
      <c r="EP193" s="8">
        <v>222</v>
      </c>
      <c r="EQ193" s="8">
        <v>222</v>
      </c>
      <c r="ER193" s="8">
        <v>222</v>
      </c>
      <c r="ES193" s="8">
        <v>-13</v>
      </c>
      <c r="ET193" s="8">
        <v>712</v>
      </c>
      <c r="EU193" s="8">
        <v>-13</v>
      </c>
      <c r="EV193" s="8">
        <v>-13</v>
      </c>
    </row>
    <row r="194" spans="1:152" x14ac:dyDescent="0.15">
      <c r="A194" s="8">
        <f>ROW([2]!tbl_DPSAC[[#This Row],[Sl. No.]])-1</f>
        <v>193</v>
      </c>
      <c r="B194" s="9" t="s">
        <v>136</v>
      </c>
      <c r="C194" s="9" t="s">
        <v>1128</v>
      </c>
      <c r="D194" s="9" t="s">
        <v>138</v>
      </c>
      <c r="E194" s="9" t="s">
        <v>139</v>
      </c>
      <c r="F194" s="9" t="s">
        <v>161</v>
      </c>
      <c r="G194" s="10" t="s">
        <v>1129</v>
      </c>
      <c r="H194" s="10" t="str">
        <f>_xlfn.XLOOKUP(C194,'[1]E&amp;DPSAC'!$K:$K,'[1]E&amp;DPSAC'!$E:$E,,0)</f>
        <v>TOPA MINES, RAMGARH</v>
      </c>
      <c r="I194" s="10"/>
      <c r="J194" s="10">
        <v>9425513941</v>
      </c>
      <c r="K194" s="10">
        <f>_xlfn.XLOOKUP(C194,'[1]E&amp;DPSAC'!$K:$K,'[1]E&amp;DPSAC'!$G:$G,"",0)</f>
        <v>9425513941</v>
      </c>
      <c r="L194" s="9" t="str">
        <f t="shared" ref="L194:L257" ca="1" si="12">IF(O194&gt;=TODAY(),"Warranty","Non - Warranty")</f>
        <v>Non - Warranty</v>
      </c>
      <c r="M194" s="11">
        <v>43119</v>
      </c>
      <c r="N194" s="12">
        <v>24</v>
      </c>
      <c r="O194" s="11">
        <f t="shared" ref="O194:O257" si="13">EOMONTH(DATE(YEAR(M194)+SUM(N194/12),MONTH(M194),DAY(M194))-1,0)</f>
        <v>43861</v>
      </c>
      <c r="P194" s="8" t="s">
        <v>213</v>
      </c>
      <c r="Q194" s="16" t="s">
        <v>1131</v>
      </c>
      <c r="R194" s="15">
        <v>46045.4765625</v>
      </c>
      <c r="S194" s="14">
        <v>7580</v>
      </c>
      <c r="T194" s="15">
        <v>44965</v>
      </c>
      <c r="U194" s="14">
        <v>3610</v>
      </c>
      <c r="V194" s="14">
        <v>7580</v>
      </c>
      <c r="W194" s="17">
        <v>46045.4765625</v>
      </c>
      <c r="X194" s="14" t="s">
        <v>2787</v>
      </c>
      <c r="Y194" s="14">
        <v>750</v>
      </c>
      <c r="Z194" s="14" t="s">
        <v>2692</v>
      </c>
      <c r="AA194" s="18">
        <v>67.5234375</v>
      </c>
      <c r="AB194" s="18" t="s">
        <v>2692</v>
      </c>
      <c r="AC194" s="8">
        <f>tbl_DPSAC[[#This Row],[Current Month Due Count]]</f>
        <v>0</v>
      </c>
      <c r="AD194" s="8">
        <f>tbl_DPSAC[[#This Row],[Next Month Due2]]</f>
        <v>0</v>
      </c>
      <c r="AE194" s="8">
        <f t="shared" ref="AE194:AE257" si="14">IF(AB194="Due",1,0)</f>
        <v>0</v>
      </c>
      <c r="AF194" s="8">
        <v>4</v>
      </c>
      <c r="AG194" s="14">
        <f t="shared" ref="AG194:AG257" ca="1" si="15">IFERROR(IF(V194&gt;=1,ROUND(SUM(SUM(TODAY()-W194)*AF194)+V194,0),""),"")</f>
        <v>7850</v>
      </c>
      <c r="AH194" s="8">
        <v>0</v>
      </c>
      <c r="AI194" s="8">
        <v>0</v>
      </c>
      <c r="AJ194" s="8" t="s">
        <v>1130</v>
      </c>
      <c r="AK194" s="8">
        <v>0</v>
      </c>
      <c r="AL194" s="8">
        <v>0</v>
      </c>
      <c r="AM194" s="8">
        <v>0</v>
      </c>
      <c r="AN194" s="8">
        <v>0</v>
      </c>
      <c r="AO194" s="8">
        <v>0</v>
      </c>
      <c r="AP194" s="8">
        <v>0</v>
      </c>
      <c r="AQ194" s="8">
        <v>0</v>
      </c>
      <c r="AR194" s="8">
        <v>0</v>
      </c>
      <c r="AS194" s="8">
        <v>0</v>
      </c>
      <c r="AT194" s="8">
        <v>0</v>
      </c>
      <c r="AU194" s="8">
        <v>0</v>
      </c>
      <c r="AV194" s="8">
        <v>0</v>
      </c>
      <c r="AW194" s="8">
        <v>0</v>
      </c>
      <c r="AX194" s="8" t="s">
        <v>2007</v>
      </c>
      <c r="AY194" s="14">
        <v>7594</v>
      </c>
      <c r="AZ194" s="19">
        <v>46045</v>
      </c>
      <c r="BA194" s="14" t="s">
        <v>1131</v>
      </c>
      <c r="BB194" s="14">
        <v>7594</v>
      </c>
      <c r="BC194" s="19">
        <v>46045</v>
      </c>
      <c r="BD194" s="14" t="s">
        <v>1131</v>
      </c>
      <c r="BE194" s="14">
        <v>7594</v>
      </c>
      <c r="BF194" s="19">
        <v>46045</v>
      </c>
      <c r="BG194" s="14" t="s">
        <v>1131</v>
      </c>
      <c r="BH194" s="14">
        <v>7594</v>
      </c>
      <c r="BI194" s="19">
        <v>46045</v>
      </c>
      <c r="BJ194" s="14" t="s">
        <v>1131</v>
      </c>
      <c r="BK194" s="14">
        <v>7594</v>
      </c>
      <c r="BL194" s="19">
        <v>46045</v>
      </c>
      <c r="BM194" s="14" t="s">
        <v>1131</v>
      </c>
      <c r="BN194" s="27">
        <v>46225</v>
      </c>
      <c r="BO194" s="27">
        <v>46225</v>
      </c>
      <c r="BP194" s="27">
        <v>46225</v>
      </c>
      <c r="BQ194" s="27">
        <v>46225</v>
      </c>
      <c r="BR194" s="27">
        <v>46410</v>
      </c>
      <c r="BS194" s="28">
        <v>494</v>
      </c>
      <c r="BT194" s="29">
        <v>1244</v>
      </c>
      <c r="BU194" s="29">
        <v>494</v>
      </c>
      <c r="BV194" s="29">
        <v>494</v>
      </c>
      <c r="BW194" s="29">
        <v>1244</v>
      </c>
      <c r="BX194" s="30" t="s">
        <v>152</v>
      </c>
      <c r="BY194" s="8">
        <v>0</v>
      </c>
      <c r="BZ194" s="8">
        <v>0</v>
      </c>
      <c r="CA194" s="8">
        <v>0</v>
      </c>
      <c r="CB194" s="21">
        <v>46044.770833333299</v>
      </c>
      <c r="CC194" s="21">
        <v>46044.770833333299</v>
      </c>
      <c r="CD194" s="21">
        <v>46044.770833333299</v>
      </c>
      <c r="CE194" s="21">
        <v>46044.770833333299</v>
      </c>
      <c r="CF194" s="21">
        <v>46044.770833333299</v>
      </c>
      <c r="CG194" s="21">
        <v>46044.770833333299</v>
      </c>
      <c r="CH194" s="21">
        <v>46044.770833333299</v>
      </c>
      <c r="CI194" s="21">
        <v>46044.770833333299</v>
      </c>
      <c r="CJ194" s="21">
        <v>46044.770833333299</v>
      </c>
      <c r="CK194" s="22" t="s">
        <v>2956</v>
      </c>
      <c r="CL194" s="22" t="s">
        <v>2957</v>
      </c>
      <c r="CM194" s="22" t="s">
        <v>2959</v>
      </c>
      <c r="CN194" s="22" t="s">
        <v>2957</v>
      </c>
      <c r="CO194" s="22" t="s">
        <v>2957</v>
      </c>
      <c r="CP194" s="22" t="s">
        <v>2956</v>
      </c>
      <c r="CQ194" s="22" t="s">
        <v>2953</v>
      </c>
      <c r="CR194" s="22" t="s">
        <v>2956</v>
      </c>
      <c r="CS194" s="22" t="s">
        <v>2960</v>
      </c>
      <c r="CT194" s="22">
        <v>6</v>
      </c>
      <c r="CU194" s="21">
        <v>46224</v>
      </c>
      <c r="CV194" s="21">
        <v>46170</v>
      </c>
      <c r="CW194" s="21">
        <v>46128</v>
      </c>
      <c r="CX194" s="21">
        <v>46170</v>
      </c>
      <c r="CY194" s="21">
        <v>46170</v>
      </c>
      <c r="CZ194" s="21">
        <v>46295</v>
      </c>
      <c r="DA194" s="21">
        <v>46211</v>
      </c>
      <c r="DB194" s="21">
        <v>46224</v>
      </c>
      <c r="DC194" s="21">
        <v>46409</v>
      </c>
      <c r="DD194" s="8">
        <v>0</v>
      </c>
      <c r="DE194" s="8">
        <v>0</v>
      </c>
      <c r="DF194" s="8">
        <v>0</v>
      </c>
      <c r="DG194" s="8">
        <v>0</v>
      </c>
      <c r="DH194" s="8">
        <v>1</v>
      </c>
      <c r="DI194" s="8">
        <v>3</v>
      </c>
      <c r="DJ194" s="8" t="s">
        <v>2976</v>
      </c>
      <c r="DK194" s="21">
        <v>43119</v>
      </c>
      <c r="DL194" s="21">
        <v>43099</v>
      </c>
      <c r="DM194" s="21">
        <v>46045</v>
      </c>
      <c r="DN194" s="18">
        <v>7580</v>
      </c>
      <c r="DO194" s="21">
        <v>0</v>
      </c>
      <c r="DP194" s="21">
        <v>0</v>
      </c>
      <c r="DQ194" s="21" t="s">
        <v>2955</v>
      </c>
      <c r="DR194" s="21">
        <v>46045</v>
      </c>
      <c r="DS194" s="21">
        <v>46045</v>
      </c>
      <c r="DT194" s="21">
        <v>46045</v>
      </c>
      <c r="DU194" s="21">
        <v>46045</v>
      </c>
      <c r="DV194" s="21">
        <v>46045</v>
      </c>
      <c r="DW194" s="21">
        <v>46045</v>
      </c>
      <c r="DX194" s="21">
        <v>46045</v>
      </c>
      <c r="DY194" s="21">
        <v>46045</v>
      </c>
      <c r="DZ194" s="21">
        <v>46045</v>
      </c>
      <c r="EA194" s="8">
        <v>1500</v>
      </c>
      <c r="EB194" s="8">
        <v>750</v>
      </c>
      <c r="EC194" s="8">
        <v>500</v>
      </c>
      <c r="ED194" s="8">
        <v>750</v>
      </c>
      <c r="EE194" s="8">
        <v>750</v>
      </c>
      <c r="EF194" s="8">
        <v>1500</v>
      </c>
      <c r="EG194" s="8">
        <v>1000</v>
      </c>
      <c r="EH194" s="8">
        <v>1500</v>
      </c>
      <c r="EI194" s="8">
        <v>3000</v>
      </c>
      <c r="EJ194" s="8">
        <v>6</v>
      </c>
      <c r="EK194" s="8" t="s">
        <v>2624</v>
      </c>
      <c r="EL194" s="8">
        <v>68</v>
      </c>
      <c r="EM194" s="8">
        <v>272</v>
      </c>
      <c r="EN194" s="8">
        <v>1212</v>
      </c>
      <c r="EO194" s="8">
        <v>462</v>
      </c>
      <c r="EP194" s="8">
        <v>212</v>
      </c>
      <c r="EQ194" s="8">
        <v>462</v>
      </c>
      <c r="ER194" s="8">
        <v>462</v>
      </c>
      <c r="ES194" s="8">
        <v>1212</v>
      </c>
      <c r="ET194" s="8">
        <v>712</v>
      </c>
      <c r="EU194" s="8">
        <v>1212</v>
      </c>
      <c r="EV194" s="8">
        <v>2712</v>
      </c>
    </row>
    <row r="195" spans="1:152" x14ac:dyDescent="0.15">
      <c r="A195" s="8">
        <f>ROW([2]!tbl_DPSAC[[#This Row],[Sl. No.]])-1</f>
        <v>194</v>
      </c>
      <c r="B195" s="9" t="s">
        <v>136</v>
      </c>
      <c r="C195" s="9" t="s">
        <v>1132</v>
      </c>
      <c r="D195" s="9" t="s">
        <v>138</v>
      </c>
      <c r="E195" s="9" t="s">
        <v>139</v>
      </c>
      <c r="F195" s="9" t="s">
        <v>161</v>
      </c>
      <c r="G195" s="10" t="s">
        <v>1129</v>
      </c>
      <c r="H195" s="10" t="str">
        <f>_xlfn.XLOOKUP(C195,'[1]E&amp;DPSAC'!$K:$K,'[1]E&amp;DPSAC'!$E:$E,,0)</f>
        <v>TOPA MINES, RAMGARH</v>
      </c>
      <c r="I195" s="10"/>
      <c r="J195" s="10">
        <v>7857919459</v>
      </c>
      <c r="K195" s="10">
        <f>_xlfn.XLOOKUP(C195,'[1]E&amp;DPSAC'!$K:$K,'[1]E&amp;DPSAC'!$G:$G,"",0)</f>
        <v>6204542366</v>
      </c>
      <c r="L195" s="9" t="str">
        <f t="shared" ca="1" si="12"/>
        <v>Non - Warranty</v>
      </c>
      <c r="M195" s="11">
        <v>43564</v>
      </c>
      <c r="N195" s="12">
        <v>24</v>
      </c>
      <c r="O195" s="11">
        <f t="shared" si="13"/>
        <v>44316</v>
      </c>
      <c r="P195" s="8" t="s">
        <v>213</v>
      </c>
      <c r="Q195" s="16" t="s">
        <v>1133</v>
      </c>
      <c r="R195" s="15">
        <v>46045.4854513889</v>
      </c>
      <c r="S195" s="14">
        <v>11244</v>
      </c>
      <c r="T195" s="15">
        <v>45266</v>
      </c>
      <c r="U195" s="14">
        <v>8265</v>
      </c>
      <c r="V195" s="14">
        <v>11244</v>
      </c>
      <c r="W195" s="17">
        <v>46045.4854513889</v>
      </c>
      <c r="X195" s="14" t="s">
        <v>2787</v>
      </c>
      <c r="Y195" s="14">
        <v>750</v>
      </c>
      <c r="Z195" s="14" t="s">
        <v>2692</v>
      </c>
      <c r="AA195" s="18">
        <v>67.514548611099599</v>
      </c>
      <c r="AB195" s="18" t="s">
        <v>2692</v>
      </c>
      <c r="AC195" s="8">
        <f>tbl_DPSAC[[#This Row],[Current Month Due Count]]</f>
        <v>0</v>
      </c>
      <c r="AD195" s="8">
        <f>tbl_DPSAC[[#This Row],[Next Month Due2]]</f>
        <v>0</v>
      </c>
      <c r="AE195" s="8">
        <f t="shared" si="14"/>
        <v>0</v>
      </c>
      <c r="AF195" s="8">
        <v>4</v>
      </c>
      <c r="AG195" s="14">
        <f t="shared" ca="1" si="15"/>
        <v>11514</v>
      </c>
      <c r="AH195" s="8">
        <v>0</v>
      </c>
      <c r="AI195" s="8">
        <v>0</v>
      </c>
      <c r="AJ195" s="8">
        <v>0</v>
      </c>
      <c r="AK195" s="8">
        <v>0</v>
      </c>
      <c r="AL195" s="8">
        <v>0</v>
      </c>
      <c r="AM195" s="8">
        <v>0</v>
      </c>
      <c r="AN195" s="8">
        <v>0</v>
      </c>
      <c r="AO195" s="8">
        <v>0</v>
      </c>
      <c r="AP195" s="8">
        <v>0</v>
      </c>
      <c r="AQ195" s="8">
        <v>0</v>
      </c>
      <c r="AR195" s="8">
        <v>0</v>
      </c>
      <c r="AS195" s="8">
        <v>0</v>
      </c>
      <c r="AT195" s="8">
        <v>0</v>
      </c>
      <c r="AU195" s="8">
        <v>0</v>
      </c>
      <c r="AV195" s="8">
        <v>0</v>
      </c>
      <c r="AW195" s="8">
        <v>0</v>
      </c>
      <c r="AX195" s="8" t="s">
        <v>2007</v>
      </c>
      <c r="AY195" s="14">
        <v>11244</v>
      </c>
      <c r="AZ195" s="19">
        <v>46045</v>
      </c>
      <c r="BA195" s="14" t="s">
        <v>1133</v>
      </c>
      <c r="BB195" s="14">
        <v>11244</v>
      </c>
      <c r="BC195" s="19">
        <v>46045</v>
      </c>
      <c r="BD195" s="14" t="s">
        <v>1133</v>
      </c>
      <c r="BE195" s="14">
        <v>11244</v>
      </c>
      <c r="BF195" s="19">
        <v>46045</v>
      </c>
      <c r="BG195" s="14" t="s">
        <v>1133</v>
      </c>
      <c r="BH195" s="14">
        <v>11244</v>
      </c>
      <c r="BI195" s="19">
        <v>46045</v>
      </c>
      <c r="BJ195" s="14" t="s">
        <v>1133</v>
      </c>
      <c r="BK195" s="14">
        <v>11244</v>
      </c>
      <c r="BL195" s="19">
        <v>46045</v>
      </c>
      <c r="BM195" s="14" t="s">
        <v>1133</v>
      </c>
      <c r="BN195" s="27">
        <v>46225</v>
      </c>
      <c r="BO195" s="27">
        <v>46225</v>
      </c>
      <c r="BP195" s="27">
        <v>46225</v>
      </c>
      <c r="BQ195" s="27">
        <v>46225</v>
      </c>
      <c r="BR195" s="27">
        <v>46410</v>
      </c>
      <c r="BS195" s="28">
        <v>480</v>
      </c>
      <c r="BT195" s="29">
        <v>1230</v>
      </c>
      <c r="BU195" s="29">
        <v>480</v>
      </c>
      <c r="BV195" s="29">
        <v>480</v>
      </c>
      <c r="BW195" s="29">
        <v>1230</v>
      </c>
      <c r="BX195" s="30" t="s">
        <v>173</v>
      </c>
      <c r="BY195" s="8">
        <v>0</v>
      </c>
      <c r="BZ195" s="8">
        <v>0</v>
      </c>
      <c r="CA195" s="8">
        <v>0</v>
      </c>
      <c r="CB195" s="21">
        <v>46044.770833333299</v>
      </c>
      <c r="CC195" s="21">
        <v>46044.770833333299</v>
      </c>
      <c r="CD195" s="21">
        <v>46044.770833333299</v>
      </c>
      <c r="CE195" s="21">
        <v>46044.770833333299</v>
      </c>
      <c r="CF195" s="21">
        <v>46044.770833333299</v>
      </c>
      <c r="CG195" s="21">
        <v>46044.770833333299</v>
      </c>
      <c r="CH195" s="21">
        <v>46044.770833333299</v>
      </c>
      <c r="CI195" s="21">
        <v>46044.770833333299</v>
      </c>
      <c r="CJ195" s="21">
        <v>46044.770833333299</v>
      </c>
      <c r="CK195" s="22" t="s">
        <v>2956</v>
      </c>
      <c r="CL195" s="22" t="s">
        <v>2957</v>
      </c>
      <c r="CM195" s="22" t="s">
        <v>2959</v>
      </c>
      <c r="CN195" s="22" t="s">
        <v>2957</v>
      </c>
      <c r="CO195" s="22" t="s">
        <v>2957</v>
      </c>
      <c r="CP195" s="22" t="s">
        <v>2956</v>
      </c>
      <c r="CQ195" s="22" t="s">
        <v>2953</v>
      </c>
      <c r="CR195" s="22" t="s">
        <v>2956</v>
      </c>
      <c r="CS195" s="22" t="s">
        <v>2960</v>
      </c>
      <c r="CT195" s="22">
        <v>7</v>
      </c>
      <c r="CU195" s="21">
        <v>46224</v>
      </c>
      <c r="CV195" s="21">
        <v>46152</v>
      </c>
      <c r="CW195" s="21">
        <v>46116</v>
      </c>
      <c r="CX195" s="21">
        <v>46152</v>
      </c>
      <c r="CY195" s="21">
        <v>46152</v>
      </c>
      <c r="CZ195" s="21">
        <v>46259</v>
      </c>
      <c r="DA195" s="21">
        <v>46187</v>
      </c>
      <c r="DB195" s="21">
        <v>46224</v>
      </c>
      <c r="DC195" s="21">
        <v>46409</v>
      </c>
      <c r="DD195" s="8">
        <v>0</v>
      </c>
      <c r="DE195" s="8">
        <v>0</v>
      </c>
      <c r="DF195" s="8">
        <v>0</v>
      </c>
      <c r="DG195" s="8">
        <v>0</v>
      </c>
      <c r="DH195" s="8">
        <v>1</v>
      </c>
      <c r="DI195" s="8">
        <v>3</v>
      </c>
      <c r="DJ195" s="8" t="s">
        <v>2976</v>
      </c>
      <c r="DK195" s="21">
        <v>43564</v>
      </c>
      <c r="DL195" s="21">
        <v>43528.229166666664</v>
      </c>
      <c r="DM195" s="21">
        <v>46045</v>
      </c>
      <c r="DN195" s="18">
        <v>11244</v>
      </c>
      <c r="DO195" s="21">
        <v>0</v>
      </c>
      <c r="DP195" s="21">
        <v>0</v>
      </c>
      <c r="DQ195" s="21" t="s">
        <v>2955</v>
      </c>
      <c r="DR195" s="21">
        <v>46045</v>
      </c>
      <c r="DS195" s="21">
        <v>46045</v>
      </c>
      <c r="DT195" s="21">
        <v>46045</v>
      </c>
      <c r="DU195" s="21">
        <v>46045</v>
      </c>
      <c r="DV195" s="21">
        <v>46045</v>
      </c>
      <c r="DW195" s="21">
        <v>46045</v>
      </c>
      <c r="DX195" s="21">
        <v>46045</v>
      </c>
      <c r="DY195" s="21">
        <v>46045</v>
      </c>
      <c r="DZ195" s="21">
        <v>46045</v>
      </c>
      <c r="EA195" s="8">
        <v>1500</v>
      </c>
      <c r="EB195" s="8">
        <v>750</v>
      </c>
      <c r="EC195" s="8">
        <v>500</v>
      </c>
      <c r="ED195" s="8">
        <v>750</v>
      </c>
      <c r="EE195" s="8">
        <v>750</v>
      </c>
      <c r="EF195" s="8">
        <v>1500</v>
      </c>
      <c r="EG195" s="8">
        <v>1000</v>
      </c>
      <c r="EH195" s="8">
        <v>1500</v>
      </c>
      <c r="EI195" s="8">
        <v>3000</v>
      </c>
      <c r="EJ195" s="8">
        <v>7</v>
      </c>
      <c r="EK195" s="8" t="s">
        <v>2624</v>
      </c>
      <c r="EL195" s="8">
        <v>68</v>
      </c>
      <c r="EM195" s="8">
        <v>272</v>
      </c>
      <c r="EN195" s="8">
        <v>1212</v>
      </c>
      <c r="EO195" s="8">
        <v>462</v>
      </c>
      <c r="EP195" s="8">
        <v>212</v>
      </c>
      <c r="EQ195" s="8">
        <v>462</v>
      </c>
      <c r="ER195" s="8">
        <v>462</v>
      </c>
      <c r="ES195" s="8">
        <v>1212</v>
      </c>
      <c r="ET195" s="8">
        <v>712</v>
      </c>
      <c r="EU195" s="8">
        <v>1212</v>
      </c>
      <c r="EV195" s="8">
        <v>2712</v>
      </c>
    </row>
    <row r="196" spans="1:152" x14ac:dyDescent="0.15">
      <c r="A196" s="8">
        <f>ROW([2]!tbl_DPSAC[[#This Row],[Sl. No.]])-1</f>
        <v>195</v>
      </c>
      <c r="B196" s="9" t="s">
        <v>136</v>
      </c>
      <c r="C196" s="9" t="s">
        <v>1134</v>
      </c>
      <c r="D196" s="9" t="s">
        <v>146</v>
      </c>
      <c r="E196" s="9" t="s">
        <v>147</v>
      </c>
      <c r="F196" s="9" t="s">
        <v>140</v>
      </c>
      <c r="G196" s="10" t="s">
        <v>1135</v>
      </c>
      <c r="H196" s="10" t="str">
        <f>_xlfn.XLOOKUP(C196,'[1]E&amp;DPSAC'!$K:$K,'[1]E&amp;DPSAC'!$E:$E,,0)</f>
        <v>ASHOK NAGAR, RANCHI</v>
      </c>
      <c r="I196" s="10"/>
      <c r="J196" s="10">
        <v>7643943375</v>
      </c>
      <c r="K196" s="10">
        <f>_xlfn.XLOOKUP(C196,'[1]E&amp;DPSAC'!$K:$K,'[1]E&amp;DPSAC'!$G:$G,"",0)</f>
        <v>9352389271</v>
      </c>
      <c r="L196" s="9" t="str">
        <f t="shared" ca="1" si="12"/>
        <v>Non - Warranty</v>
      </c>
      <c r="M196" s="11">
        <v>42857</v>
      </c>
      <c r="N196" s="12">
        <v>36</v>
      </c>
      <c r="O196" s="11">
        <f t="shared" si="13"/>
        <v>43982</v>
      </c>
      <c r="P196" s="8" t="s">
        <v>142</v>
      </c>
      <c r="Q196" s="16" t="s">
        <v>1139</v>
      </c>
      <c r="R196" s="15">
        <v>45955.681944444441</v>
      </c>
      <c r="S196" s="14">
        <v>8830</v>
      </c>
      <c r="T196" s="15">
        <v>45565</v>
      </c>
      <c r="U196" s="14">
        <v>7593</v>
      </c>
      <c r="V196" s="14">
        <v>9125</v>
      </c>
      <c r="W196" s="17">
        <v>46042.503564814797</v>
      </c>
      <c r="X196" s="14" t="s">
        <v>2766</v>
      </c>
      <c r="Y196" s="14">
        <v>455</v>
      </c>
      <c r="Z196" s="14" t="s">
        <v>2692</v>
      </c>
      <c r="AA196" s="18">
        <v>157.31805555555911</v>
      </c>
      <c r="AB196" s="18" t="s">
        <v>2692</v>
      </c>
      <c r="AC196" s="8">
        <f>tbl_DPSAC[[#This Row],[Current Month Due Count]]</f>
        <v>4</v>
      </c>
      <c r="AD196" s="8">
        <f>tbl_DPSAC[[#This Row],[Next Month Due2]]</f>
        <v>0</v>
      </c>
      <c r="AE196" s="8">
        <f t="shared" si="14"/>
        <v>0</v>
      </c>
      <c r="AF196" s="8">
        <v>3.4</v>
      </c>
      <c r="AG196" s="14">
        <f t="shared" ca="1" si="15"/>
        <v>9365</v>
      </c>
      <c r="AH196" s="8">
        <v>0</v>
      </c>
      <c r="AI196" s="8">
        <v>0</v>
      </c>
      <c r="AJ196" s="8">
        <v>0</v>
      </c>
      <c r="AK196" s="8" t="s">
        <v>1136</v>
      </c>
      <c r="AL196" s="8" t="s">
        <v>1137</v>
      </c>
      <c r="AM196" s="8" t="s">
        <v>1138</v>
      </c>
      <c r="AN196" s="8">
        <v>0</v>
      </c>
      <c r="AO196" s="8">
        <v>0</v>
      </c>
      <c r="AP196" s="8">
        <v>0</v>
      </c>
      <c r="AQ196" s="8">
        <v>0</v>
      </c>
      <c r="AR196" s="8">
        <v>0</v>
      </c>
      <c r="AS196" s="8">
        <v>0</v>
      </c>
      <c r="AT196" s="8">
        <v>0</v>
      </c>
      <c r="AU196" s="8">
        <v>0</v>
      </c>
      <c r="AV196" s="8">
        <v>0</v>
      </c>
      <c r="AW196" s="8">
        <v>0</v>
      </c>
      <c r="AX196" s="8" t="s">
        <v>2007</v>
      </c>
      <c r="AY196" s="14">
        <v>8830</v>
      </c>
      <c r="AZ196" s="19">
        <v>45955</v>
      </c>
      <c r="BA196" s="14" t="s">
        <v>1139</v>
      </c>
      <c r="BB196" s="14">
        <v>8830</v>
      </c>
      <c r="BC196" s="19">
        <v>45955</v>
      </c>
      <c r="BD196" s="14" t="s">
        <v>1139</v>
      </c>
      <c r="BE196" s="14">
        <v>8830</v>
      </c>
      <c r="BF196" s="19">
        <v>45955</v>
      </c>
      <c r="BG196" s="14" t="s">
        <v>1139</v>
      </c>
      <c r="BH196" s="14">
        <v>8830</v>
      </c>
      <c r="BI196" s="19">
        <v>45955</v>
      </c>
      <c r="BJ196" s="14" t="s">
        <v>1139</v>
      </c>
      <c r="BK196" s="14">
        <v>8830</v>
      </c>
      <c r="BL196" s="19">
        <v>45955</v>
      </c>
      <c r="BM196" s="14" t="s">
        <v>1139</v>
      </c>
      <c r="BN196" s="27">
        <v>46135</v>
      </c>
      <c r="BO196" s="27">
        <v>46135</v>
      </c>
      <c r="BP196" s="27">
        <v>46135</v>
      </c>
      <c r="BQ196" s="27">
        <v>46135</v>
      </c>
      <c r="BR196" s="27">
        <v>46320</v>
      </c>
      <c r="BS196" s="28">
        <v>215</v>
      </c>
      <c r="BT196" s="29">
        <v>965</v>
      </c>
      <c r="BU196" s="29">
        <v>215</v>
      </c>
      <c r="BV196" s="29">
        <v>215</v>
      </c>
      <c r="BW196" s="29">
        <v>965</v>
      </c>
      <c r="BX196" s="30" t="s">
        <v>172</v>
      </c>
      <c r="BY196" s="8">
        <v>0</v>
      </c>
      <c r="BZ196" s="8">
        <v>4</v>
      </c>
      <c r="CA196" s="8">
        <v>0</v>
      </c>
      <c r="CB196" s="21">
        <v>45954.770833333299</v>
      </c>
      <c r="CC196" s="21">
        <v>45954.770833333299</v>
      </c>
      <c r="CD196" s="21">
        <v>45851.770833333299</v>
      </c>
      <c r="CE196" s="21">
        <v>45954.770833333299</v>
      </c>
      <c r="CF196" s="21">
        <v>45954.770833333299</v>
      </c>
      <c r="CG196" s="21">
        <v>45851.770833333299</v>
      </c>
      <c r="CH196" s="21">
        <v>45851.770833333299</v>
      </c>
      <c r="CI196" s="21">
        <v>45851.770833333299</v>
      </c>
      <c r="CJ196" s="21">
        <v>45851.770833333299</v>
      </c>
      <c r="CK196" s="22" t="s">
        <v>2990</v>
      </c>
      <c r="CL196" s="22" t="s">
        <v>3105</v>
      </c>
      <c r="CM196" s="22" t="s">
        <v>3105</v>
      </c>
      <c r="CN196" s="22" t="s">
        <v>3105</v>
      </c>
      <c r="CO196" s="22" t="s">
        <v>3105</v>
      </c>
      <c r="CP196" s="22" t="s">
        <v>2990</v>
      </c>
      <c r="CQ196" s="22" t="s">
        <v>2953</v>
      </c>
      <c r="CR196" s="22" t="s">
        <v>2990</v>
      </c>
      <c r="CS196" s="22" t="s">
        <v>2990</v>
      </c>
      <c r="CT196" s="22">
        <v>4</v>
      </c>
      <c r="CU196" s="21">
        <v>46134</v>
      </c>
      <c r="CV196" s="21">
        <v>46134</v>
      </c>
      <c r="CW196" s="21">
        <v>46031</v>
      </c>
      <c r="CX196" s="21">
        <v>46134</v>
      </c>
      <c r="CY196" s="21">
        <v>46134</v>
      </c>
      <c r="CZ196" s="21">
        <v>46121</v>
      </c>
      <c r="DA196" s="21">
        <v>46216</v>
      </c>
      <c r="DB196" s="21">
        <v>46031</v>
      </c>
      <c r="DC196" s="21">
        <v>46216</v>
      </c>
      <c r="DD196" s="8">
        <v>1</v>
      </c>
      <c r="DE196" s="8">
        <v>0</v>
      </c>
      <c r="DF196" s="8">
        <v>0</v>
      </c>
      <c r="DG196" s="8">
        <v>2</v>
      </c>
      <c r="DH196" s="8">
        <v>5</v>
      </c>
      <c r="DI196" s="8">
        <v>0</v>
      </c>
      <c r="DJ196" s="8" t="s">
        <v>2954</v>
      </c>
      <c r="DK196" s="21">
        <v>42857</v>
      </c>
      <c r="DL196" s="21">
        <v>42843</v>
      </c>
      <c r="DM196" s="21">
        <v>46042</v>
      </c>
      <c r="DN196" s="18">
        <v>9125</v>
      </c>
      <c r="DO196" s="21">
        <v>0</v>
      </c>
      <c r="DP196" s="21">
        <v>0</v>
      </c>
      <c r="DQ196" s="21" t="s">
        <v>2955</v>
      </c>
      <c r="DR196" s="21">
        <v>45955</v>
      </c>
      <c r="DS196" s="21">
        <v>45955</v>
      </c>
      <c r="DT196" s="21">
        <v>45852</v>
      </c>
      <c r="DU196" s="21">
        <v>45955</v>
      </c>
      <c r="DV196" s="21">
        <v>45955</v>
      </c>
      <c r="DW196" s="21">
        <v>45852</v>
      </c>
      <c r="DX196" s="21">
        <v>45852</v>
      </c>
      <c r="DY196" s="21">
        <v>45852</v>
      </c>
      <c r="DZ196" s="21">
        <v>45852</v>
      </c>
      <c r="EA196" s="8">
        <v>1210</v>
      </c>
      <c r="EB196" s="8">
        <v>460</v>
      </c>
      <c r="EC196" s="8">
        <v>460</v>
      </c>
      <c r="ED196" s="8">
        <v>460</v>
      </c>
      <c r="EE196" s="8">
        <v>460</v>
      </c>
      <c r="EF196" s="8">
        <v>1210</v>
      </c>
      <c r="EG196" s="8">
        <v>1000</v>
      </c>
      <c r="EH196" s="8">
        <v>1210</v>
      </c>
      <c r="EI196" s="8">
        <v>1210</v>
      </c>
      <c r="EJ196" s="8">
        <v>4</v>
      </c>
      <c r="EK196" s="8" t="s">
        <v>2624</v>
      </c>
      <c r="EL196" s="8">
        <v>70</v>
      </c>
      <c r="EM196" s="8">
        <v>238</v>
      </c>
      <c r="EN196" s="8">
        <v>922</v>
      </c>
      <c r="EO196" s="8">
        <v>172</v>
      </c>
      <c r="EP196" s="8">
        <v>172</v>
      </c>
      <c r="EQ196" s="8">
        <v>172</v>
      </c>
      <c r="ER196" s="8">
        <v>172</v>
      </c>
      <c r="ES196" s="8">
        <v>922</v>
      </c>
      <c r="ET196" s="8">
        <v>712</v>
      </c>
      <c r="EU196" s="8">
        <v>922</v>
      </c>
      <c r="EV196" s="8">
        <v>922</v>
      </c>
    </row>
    <row r="197" spans="1:152" x14ac:dyDescent="0.15">
      <c r="A197" s="8">
        <f>ROW([2]!tbl_DPSAC[[#This Row],[Sl. No.]])-1</f>
        <v>196</v>
      </c>
      <c r="B197" s="9" t="s">
        <v>136</v>
      </c>
      <c r="C197" s="9" t="s">
        <v>1140</v>
      </c>
      <c r="D197" s="9" t="s">
        <v>154</v>
      </c>
      <c r="E197" s="9" t="s">
        <v>155</v>
      </c>
      <c r="F197" s="9" t="s">
        <v>140</v>
      </c>
      <c r="G197" s="10" t="s">
        <v>1135</v>
      </c>
      <c r="H197" s="10" t="str">
        <f>_xlfn.XLOOKUP(C197,'[1]E&amp;DPSAC'!$K:$K,'[1]E&amp;DPSAC'!$E:$E,,0)</f>
        <v>ASHOK NAGAR, RANCHI</v>
      </c>
      <c r="I197" s="10"/>
      <c r="J197" s="10">
        <v>9334701321</v>
      </c>
      <c r="K197" s="10">
        <f>_xlfn.XLOOKUP(C197,'[1]E&amp;DPSAC'!$K:$K,'[1]E&amp;DPSAC'!$G:$G,"",0)</f>
        <v>9304011261</v>
      </c>
      <c r="L197" s="9" t="str">
        <f t="shared" ca="1" si="12"/>
        <v>Non - Warranty</v>
      </c>
      <c r="M197" s="11">
        <v>43425</v>
      </c>
      <c r="N197" s="12">
        <v>36</v>
      </c>
      <c r="O197" s="11">
        <f t="shared" si="13"/>
        <v>44530</v>
      </c>
      <c r="P197" s="8" t="s">
        <v>213</v>
      </c>
      <c r="Q197" s="16" t="s">
        <v>1141</v>
      </c>
      <c r="R197" s="15">
        <v>46030.476493055598</v>
      </c>
      <c r="S197" s="14">
        <v>7480</v>
      </c>
      <c r="T197" s="15">
        <v>45786</v>
      </c>
      <c r="U197" s="14">
        <v>6510</v>
      </c>
      <c r="V197" s="14">
        <v>7480</v>
      </c>
      <c r="W197" s="17">
        <v>46030.476493055598</v>
      </c>
      <c r="X197" s="14" t="s">
        <v>2788</v>
      </c>
      <c r="Y197" s="14">
        <v>750</v>
      </c>
      <c r="Z197" s="14" t="s">
        <v>2692</v>
      </c>
      <c r="AA197" s="18">
        <v>82.52350694440247</v>
      </c>
      <c r="AB197" s="18" t="s">
        <v>2692</v>
      </c>
      <c r="AC197" s="8">
        <f>tbl_DPSAC[[#This Row],[Current Month Due Count]]</f>
        <v>0</v>
      </c>
      <c r="AD197" s="8">
        <f>tbl_DPSAC[[#This Row],[Next Month Due2]]</f>
        <v>0</v>
      </c>
      <c r="AE197" s="8">
        <f t="shared" si="14"/>
        <v>0</v>
      </c>
      <c r="AF197" s="8">
        <v>4</v>
      </c>
      <c r="AG197" s="14">
        <f t="shared" ca="1" si="15"/>
        <v>7810</v>
      </c>
      <c r="AH197" s="8">
        <v>0</v>
      </c>
      <c r="AI197" s="8">
        <v>0</v>
      </c>
      <c r="AJ197" s="8">
        <v>0</v>
      </c>
      <c r="AK197" s="8">
        <v>0</v>
      </c>
      <c r="AL197" s="8">
        <v>0</v>
      </c>
      <c r="AM197" s="8">
        <v>0</v>
      </c>
      <c r="AN197" s="8">
        <v>0</v>
      </c>
      <c r="AO197" s="8">
        <v>0</v>
      </c>
      <c r="AP197" s="8">
        <v>0</v>
      </c>
      <c r="AQ197" s="8">
        <v>0</v>
      </c>
      <c r="AR197" s="8">
        <v>0</v>
      </c>
      <c r="AS197" s="8">
        <v>0</v>
      </c>
      <c r="AT197" s="8">
        <v>0</v>
      </c>
      <c r="AU197" s="8">
        <v>0</v>
      </c>
      <c r="AV197" s="8">
        <v>0</v>
      </c>
      <c r="AW197" s="8">
        <v>0</v>
      </c>
      <c r="AX197" s="8" t="s">
        <v>2007</v>
      </c>
      <c r="AY197" s="14">
        <v>7480</v>
      </c>
      <c r="AZ197" s="19">
        <v>46030</v>
      </c>
      <c r="BA197" s="14" t="s">
        <v>1141</v>
      </c>
      <c r="BB197" s="14">
        <v>7480</v>
      </c>
      <c r="BC197" s="19">
        <v>46030</v>
      </c>
      <c r="BD197" s="14" t="s">
        <v>1141</v>
      </c>
      <c r="BE197" s="14">
        <v>7480</v>
      </c>
      <c r="BF197" s="19">
        <v>46030</v>
      </c>
      <c r="BG197" s="14" t="s">
        <v>1141</v>
      </c>
      <c r="BH197" s="14">
        <v>7480</v>
      </c>
      <c r="BI197" s="19">
        <v>46030</v>
      </c>
      <c r="BJ197" s="14" t="s">
        <v>1141</v>
      </c>
      <c r="BK197" s="14">
        <v>7480</v>
      </c>
      <c r="BL197" s="19">
        <v>46030</v>
      </c>
      <c r="BM197" s="14" t="s">
        <v>1141</v>
      </c>
      <c r="BN197" s="27">
        <v>46210</v>
      </c>
      <c r="BO197" s="27">
        <v>46210</v>
      </c>
      <c r="BP197" s="27">
        <v>46210</v>
      </c>
      <c r="BQ197" s="27">
        <v>46210</v>
      </c>
      <c r="BR197" s="27">
        <v>46395</v>
      </c>
      <c r="BS197" s="28">
        <v>420</v>
      </c>
      <c r="BT197" s="29">
        <v>1170</v>
      </c>
      <c r="BU197" s="29">
        <v>420</v>
      </c>
      <c r="BV197" s="29">
        <v>420</v>
      </c>
      <c r="BW197" s="29">
        <v>1170</v>
      </c>
      <c r="BX197" s="30" t="e">
        <v>#N/A</v>
      </c>
      <c r="BY197" s="8">
        <v>0</v>
      </c>
      <c r="BZ197" s="8">
        <v>0</v>
      </c>
      <c r="CA197" s="8">
        <v>0</v>
      </c>
      <c r="CB197" s="21">
        <v>46029.770833333299</v>
      </c>
      <c r="CC197" s="21">
        <v>46029.770833333299</v>
      </c>
      <c r="CD197" s="21">
        <v>46029.770833333299</v>
      </c>
      <c r="CE197" s="21">
        <v>46029.770833333299</v>
      </c>
      <c r="CF197" s="21">
        <v>46029.770833333299</v>
      </c>
      <c r="CG197" s="21">
        <v>46029.770833333299</v>
      </c>
      <c r="CH197" s="21">
        <v>46029.770833333299</v>
      </c>
      <c r="CI197" s="21">
        <v>46029.770833333299</v>
      </c>
      <c r="CJ197" s="21">
        <v>46029.770833333299</v>
      </c>
      <c r="CK197" s="22" t="s">
        <v>2956</v>
      </c>
      <c r="CL197" s="22" t="s">
        <v>2957</v>
      </c>
      <c r="CM197" s="22" t="s">
        <v>2957</v>
      </c>
      <c r="CN197" s="22" t="s">
        <v>2957</v>
      </c>
      <c r="CO197" s="22" t="s">
        <v>2957</v>
      </c>
      <c r="CP197" s="22" t="s">
        <v>2956</v>
      </c>
      <c r="CQ197" s="22" t="s">
        <v>2953</v>
      </c>
      <c r="CR197" s="22" t="s">
        <v>2956</v>
      </c>
      <c r="CS197" s="22" t="s">
        <v>2960</v>
      </c>
      <c r="CT197" s="22">
        <v>5</v>
      </c>
      <c r="CU197" s="21">
        <v>46209</v>
      </c>
      <c r="CV197" s="21">
        <v>46180</v>
      </c>
      <c r="CW197" s="21">
        <v>46180</v>
      </c>
      <c r="CX197" s="21">
        <v>46180</v>
      </c>
      <c r="CY197" s="21">
        <v>46180</v>
      </c>
      <c r="CZ197" s="21">
        <v>46299</v>
      </c>
      <c r="DA197" s="21">
        <v>46230</v>
      </c>
      <c r="DB197" s="21">
        <v>46209</v>
      </c>
      <c r="DC197" s="21">
        <v>46394</v>
      </c>
      <c r="DD197" s="8">
        <v>0</v>
      </c>
      <c r="DE197" s="8">
        <v>0</v>
      </c>
      <c r="DF197" s="8">
        <v>0</v>
      </c>
      <c r="DG197" s="8">
        <v>0</v>
      </c>
      <c r="DH197" s="8">
        <v>0</v>
      </c>
      <c r="DI197" s="8">
        <v>0</v>
      </c>
      <c r="DJ197" s="8" t="s">
        <v>2976</v>
      </c>
      <c r="DK197" s="21">
        <v>43425</v>
      </c>
      <c r="DL197" s="21">
        <v>43399</v>
      </c>
      <c r="DM197" s="21">
        <v>46030</v>
      </c>
      <c r="DN197" s="18">
        <v>7480</v>
      </c>
      <c r="DO197" s="21">
        <v>0</v>
      </c>
      <c r="DP197" s="21">
        <v>0</v>
      </c>
      <c r="DQ197" s="21" t="s">
        <v>2955</v>
      </c>
      <c r="DR197" s="21">
        <v>46030</v>
      </c>
      <c r="DS197" s="21">
        <v>46030</v>
      </c>
      <c r="DT197" s="21">
        <v>46030</v>
      </c>
      <c r="DU197" s="21">
        <v>46030</v>
      </c>
      <c r="DV197" s="21">
        <v>46030</v>
      </c>
      <c r="DW197" s="21">
        <v>46030</v>
      </c>
      <c r="DX197" s="21">
        <v>46030</v>
      </c>
      <c r="DY197" s="21">
        <v>46030</v>
      </c>
      <c r="DZ197" s="21">
        <v>46030</v>
      </c>
      <c r="EA197" s="8">
        <v>1500</v>
      </c>
      <c r="EB197" s="8">
        <v>750</v>
      </c>
      <c r="EC197" s="8">
        <v>750</v>
      </c>
      <c r="ED197" s="8">
        <v>750</v>
      </c>
      <c r="EE197" s="8">
        <v>750</v>
      </c>
      <c r="EF197" s="8">
        <v>1500</v>
      </c>
      <c r="EG197" s="8">
        <v>1000</v>
      </c>
      <c r="EH197" s="8">
        <v>1500</v>
      </c>
      <c r="EI197" s="8">
        <v>3000</v>
      </c>
      <c r="EJ197" s="8">
        <v>5</v>
      </c>
      <c r="EK197" s="8" t="s">
        <v>2624</v>
      </c>
      <c r="EL197" s="8">
        <v>83</v>
      </c>
      <c r="EM197" s="8">
        <v>332</v>
      </c>
      <c r="EN197" s="8">
        <v>1212</v>
      </c>
      <c r="EO197" s="8">
        <v>462</v>
      </c>
      <c r="EP197" s="8">
        <v>462</v>
      </c>
      <c r="EQ197" s="8">
        <v>462</v>
      </c>
      <c r="ER197" s="8">
        <v>462</v>
      </c>
      <c r="ES197" s="8">
        <v>1212</v>
      </c>
      <c r="ET197" s="8">
        <v>712</v>
      </c>
      <c r="EU197" s="8">
        <v>1212</v>
      </c>
      <c r="EV197" s="8">
        <v>2712</v>
      </c>
    </row>
    <row r="198" spans="1:152" x14ac:dyDescent="0.15">
      <c r="A198" s="8">
        <f>ROW([2]!tbl_DPSAC[[#This Row],[Sl. No.]])-1</f>
        <v>197</v>
      </c>
      <c r="B198" s="9" t="s">
        <v>136</v>
      </c>
      <c r="C198" s="9" t="s">
        <v>1142</v>
      </c>
      <c r="D198" s="9" t="s">
        <v>146</v>
      </c>
      <c r="E198" s="9" t="s">
        <v>147</v>
      </c>
      <c r="F198" s="9" t="s">
        <v>140</v>
      </c>
      <c r="G198" s="10" t="s">
        <v>1135</v>
      </c>
      <c r="H198" s="10" t="str">
        <f>_xlfn.XLOOKUP(C198,'[1]E&amp;DPSAC'!$K:$K,'[1]E&amp;DPSAC'!$E:$E,,0)</f>
        <v>ASHOK NAGAR, RANCHI</v>
      </c>
      <c r="I198" s="10"/>
      <c r="J198" s="10">
        <v>9471356821</v>
      </c>
      <c r="K198" s="10">
        <f>_xlfn.XLOOKUP(C198,'[1]E&amp;DPSAC'!$K:$K,'[1]E&amp;DPSAC'!$G:$G,"",0)</f>
        <v>9304011261</v>
      </c>
      <c r="L198" s="9" t="str">
        <f t="shared" ca="1" si="12"/>
        <v>Non - Warranty</v>
      </c>
      <c r="M198" s="11">
        <v>42489</v>
      </c>
      <c r="N198" s="12">
        <v>36</v>
      </c>
      <c r="O198" s="11">
        <f t="shared" si="13"/>
        <v>43585</v>
      </c>
      <c r="P198" s="8" t="s">
        <v>142</v>
      </c>
      <c r="Q198" s="16" t="s">
        <v>1145</v>
      </c>
      <c r="R198" s="15">
        <v>46073.646874999999</v>
      </c>
      <c r="S198" s="14">
        <v>8515</v>
      </c>
      <c r="T198" s="15">
        <v>46073</v>
      </c>
      <c r="U198" s="14">
        <v>8515</v>
      </c>
      <c r="V198" s="14">
        <v>8515</v>
      </c>
      <c r="W198" s="17">
        <v>46073.646874999999</v>
      </c>
      <c r="X198" s="14" t="s">
        <v>2727</v>
      </c>
      <c r="Y198" s="14">
        <v>750</v>
      </c>
      <c r="Z198" s="14" t="s">
        <v>2692</v>
      </c>
      <c r="AA198" s="18">
        <v>39.353125000001455</v>
      </c>
      <c r="AB198" s="18" t="s">
        <v>2692</v>
      </c>
      <c r="AC198" s="8">
        <f>tbl_DPSAC[[#This Row],[Current Month Due Count]]</f>
        <v>0</v>
      </c>
      <c r="AD198" s="8">
        <f>tbl_DPSAC[[#This Row],[Next Month Due2]]</f>
        <v>0</v>
      </c>
      <c r="AE198" s="8">
        <f t="shared" si="14"/>
        <v>0</v>
      </c>
      <c r="AF198" s="8">
        <v>3</v>
      </c>
      <c r="AG198" s="14">
        <f t="shared" ca="1" si="15"/>
        <v>8633</v>
      </c>
      <c r="AH198" s="8">
        <v>0</v>
      </c>
      <c r="AI198" s="8">
        <v>0</v>
      </c>
      <c r="AJ198" s="8">
        <v>0</v>
      </c>
      <c r="AK198" s="8">
        <v>0</v>
      </c>
      <c r="AL198" s="8">
        <v>0</v>
      </c>
      <c r="AM198" s="8">
        <v>0</v>
      </c>
      <c r="AN198" s="8" t="s">
        <v>1143</v>
      </c>
      <c r="AO198" s="8" t="s">
        <v>1144</v>
      </c>
      <c r="AP198" s="8">
        <v>0</v>
      </c>
      <c r="AQ198" s="8">
        <v>0</v>
      </c>
      <c r="AR198" s="8">
        <v>0</v>
      </c>
      <c r="AS198" s="8">
        <v>0</v>
      </c>
      <c r="AT198" s="8">
        <v>0</v>
      </c>
      <c r="AU198" s="8">
        <v>0</v>
      </c>
      <c r="AV198" s="8">
        <v>0</v>
      </c>
      <c r="AW198" s="8">
        <v>0</v>
      </c>
      <c r="AX198" s="8" t="s">
        <v>2007</v>
      </c>
      <c r="AY198" s="14">
        <v>8515</v>
      </c>
      <c r="AZ198" s="19">
        <v>46073</v>
      </c>
      <c r="BA198" s="14" t="s">
        <v>1145</v>
      </c>
      <c r="BB198" s="14">
        <v>8515</v>
      </c>
      <c r="BC198" s="19">
        <v>46073</v>
      </c>
      <c r="BD198" s="14" t="s">
        <v>1145</v>
      </c>
      <c r="BE198" s="14">
        <v>8515</v>
      </c>
      <c r="BF198" s="19">
        <v>46073</v>
      </c>
      <c r="BG198" s="14" t="s">
        <v>1145</v>
      </c>
      <c r="BH198" s="14">
        <v>8515</v>
      </c>
      <c r="BI198" s="19">
        <v>46073</v>
      </c>
      <c r="BJ198" s="14" t="s">
        <v>1145</v>
      </c>
      <c r="BK198" s="14">
        <v>8515</v>
      </c>
      <c r="BL198" s="19">
        <v>46073</v>
      </c>
      <c r="BM198" s="14" t="s">
        <v>1145</v>
      </c>
      <c r="BN198" s="27">
        <v>46253</v>
      </c>
      <c r="BO198" s="27">
        <v>46253</v>
      </c>
      <c r="BP198" s="27">
        <v>46253</v>
      </c>
      <c r="BQ198" s="27">
        <v>46253</v>
      </c>
      <c r="BR198" s="27">
        <v>46438</v>
      </c>
      <c r="BS198" s="28">
        <v>632</v>
      </c>
      <c r="BT198" s="29">
        <v>1382</v>
      </c>
      <c r="BU198" s="29">
        <v>632</v>
      </c>
      <c r="BV198" s="29">
        <v>632</v>
      </c>
      <c r="BW198" s="29">
        <v>1382</v>
      </c>
      <c r="BX198" s="30" t="e">
        <v>#N/A</v>
      </c>
      <c r="BY198" s="8">
        <v>0</v>
      </c>
      <c r="BZ198" s="8">
        <v>0</v>
      </c>
      <c r="CA198" s="8">
        <v>0</v>
      </c>
      <c r="CB198" s="21">
        <v>46072.770833333299</v>
      </c>
      <c r="CC198" s="21">
        <v>46072.770833333299</v>
      </c>
      <c r="CD198" s="21">
        <v>46072.770833333299</v>
      </c>
      <c r="CE198" s="21">
        <v>46072.770833333299</v>
      </c>
      <c r="CF198" s="21">
        <v>46072.770833333299</v>
      </c>
      <c r="CG198" s="21">
        <v>46072.770833333299</v>
      </c>
      <c r="CH198" s="21">
        <v>46072.770833333299</v>
      </c>
      <c r="CI198" s="21">
        <v>46072.770833333299</v>
      </c>
      <c r="CJ198" s="21">
        <v>46072.770833333299</v>
      </c>
      <c r="CK198" s="22" t="s">
        <v>2956</v>
      </c>
      <c r="CL198" s="22" t="s">
        <v>2957</v>
      </c>
      <c r="CM198" s="22" t="s">
        <v>2959</v>
      </c>
      <c r="CN198" s="22" t="s">
        <v>2957</v>
      </c>
      <c r="CO198" s="22" t="s">
        <v>2957</v>
      </c>
      <c r="CP198" s="22" t="s">
        <v>2956</v>
      </c>
      <c r="CQ198" s="22" t="s">
        <v>2953</v>
      </c>
      <c r="CR198" s="22" t="s">
        <v>2956</v>
      </c>
      <c r="CS198" s="22" t="s">
        <v>2960</v>
      </c>
      <c r="CT198" s="22">
        <v>14</v>
      </c>
      <c r="CU198" s="21">
        <v>46180</v>
      </c>
      <c r="CV198" s="21">
        <v>46126</v>
      </c>
      <c r="CW198" s="21">
        <v>46108</v>
      </c>
      <c r="CX198" s="21">
        <v>46126</v>
      </c>
      <c r="CY198" s="21">
        <v>46126</v>
      </c>
      <c r="CZ198" s="21">
        <v>46180</v>
      </c>
      <c r="DA198" s="21">
        <v>46144</v>
      </c>
      <c r="DB198" s="21">
        <v>46180</v>
      </c>
      <c r="DC198" s="21">
        <v>46287</v>
      </c>
      <c r="DD198" s="8">
        <v>0</v>
      </c>
      <c r="DE198" s="8">
        <v>0</v>
      </c>
      <c r="DF198" s="8">
        <v>1</v>
      </c>
      <c r="DG198" s="8">
        <v>1</v>
      </c>
      <c r="DH198" s="8">
        <v>3</v>
      </c>
      <c r="DI198" s="8">
        <v>1</v>
      </c>
      <c r="DJ198" s="8" t="s">
        <v>2954</v>
      </c>
      <c r="DK198" s="21">
        <v>42489</v>
      </c>
      <c r="DL198" s="21">
        <v>42475</v>
      </c>
      <c r="DM198" s="21">
        <v>46073</v>
      </c>
      <c r="DN198" s="18">
        <v>8515</v>
      </c>
      <c r="DO198" s="21">
        <v>0</v>
      </c>
      <c r="DP198" s="21">
        <v>0</v>
      </c>
      <c r="DQ198" s="21" t="s">
        <v>2955</v>
      </c>
      <c r="DR198" s="21">
        <v>46073</v>
      </c>
      <c r="DS198" s="21">
        <v>46073</v>
      </c>
      <c r="DT198" s="21">
        <v>46073</v>
      </c>
      <c r="DU198" s="21">
        <v>46073</v>
      </c>
      <c r="DV198" s="21">
        <v>46073</v>
      </c>
      <c r="DW198" s="21">
        <v>46073</v>
      </c>
      <c r="DX198" s="21">
        <v>46073</v>
      </c>
      <c r="DY198" s="21">
        <v>46073</v>
      </c>
      <c r="DZ198" s="21">
        <v>46073</v>
      </c>
      <c r="EA198" s="8">
        <v>1500</v>
      </c>
      <c r="EB198" s="8">
        <v>750</v>
      </c>
      <c r="EC198" s="8">
        <v>500</v>
      </c>
      <c r="ED198" s="8">
        <v>750</v>
      </c>
      <c r="EE198" s="8">
        <v>750</v>
      </c>
      <c r="EF198" s="8">
        <v>1500</v>
      </c>
      <c r="EG198" s="8">
        <v>1000</v>
      </c>
      <c r="EH198" s="8">
        <v>1500</v>
      </c>
      <c r="EI198" s="8">
        <v>3000</v>
      </c>
      <c r="EJ198" s="8">
        <v>14</v>
      </c>
      <c r="EK198" s="8" t="s">
        <v>2624</v>
      </c>
      <c r="EL198" s="8">
        <v>39</v>
      </c>
      <c r="EM198" s="8">
        <v>117</v>
      </c>
      <c r="EN198" s="8">
        <v>1212</v>
      </c>
      <c r="EO198" s="8">
        <v>462</v>
      </c>
      <c r="EP198" s="8">
        <v>212</v>
      </c>
      <c r="EQ198" s="8">
        <v>462</v>
      </c>
      <c r="ER198" s="8">
        <v>462</v>
      </c>
      <c r="ES198" s="8">
        <v>1212</v>
      </c>
      <c r="ET198" s="8">
        <v>712</v>
      </c>
      <c r="EU198" s="8">
        <v>1212</v>
      </c>
      <c r="EV198" s="8">
        <v>2712</v>
      </c>
    </row>
    <row r="199" spans="1:152" x14ac:dyDescent="0.15">
      <c r="A199" s="8">
        <f>ROW([2]!tbl_DPSAC[[#This Row],[Sl. No.]])-1</f>
        <v>198</v>
      </c>
      <c r="B199" s="9" t="s">
        <v>136</v>
      </c>
      <c r="C199" s="9" t="s">
        <v>1146</v>
      </c>
      <c r="D199" s="9" t="s">
        <v>146</v>
      </c>
      <c r="E199" s="9" t="s">
        <v>147</v>
      </c>
      <c r="F199" s="9" t="s">
        <v>140</v>
      </c>
      <c r="G199" s="10" t="s">
        <v>1135</v>
      </c>
      <c r="H199" s="10" t="str">
        <f>_xlfn.XLOOKUP(C199,'[1]E&amp;DPSAC'!$K:$K,'[1]E&amp;DPSAC'!$E:$E,,0)</f>
        <v>ASHOK NAGAR, RANCHI</v>
      </c>
      <c r="I199" s="10"/>
      <c r="J199" s="10">
        <v>9334701321</v>
      </c>
      <c r="K199" s="10">
        <f>_xlfn.XLOOKUP(C199,'[1]E&amp;DPSAC'!$K:$K,'[1]E&amp;DPSAC'!$G:$G,"",0)</f>
        <v>8005942996</v>
      </c>
      <c r="L199" s="9" t="str">
        <f t="shared" ca="1" si="12"/>
        <v>Non - Warranty</v>
      </c>
      <c r="M199" s="11">
        <v>42865</v>
      </c>
      <c r="N199" s="12">
        <v>36</v>
      </c>
      <c r="O199" s="11">
        <f t="shared" si="13"/>
        <v>43982</v>
      </c>
      <c r="P199" s="8" t="s">
        <v>142</v>
      </c>
      <c r="Q199" s="16" t="s">
        <v>1147</v>
      </c>
      <c r="R199" s="15">
        <v>45955.680555555555</v>
      </c>
      <c r="S199" s="14">
        <v>6000</v>
      </c>
      <c r="T199" s="15">
        <v>45372</v>
      </c>
      <c r="U199" s="14">
        <v>4069</v>
      </c>
      <c r="V199" s="14">
        <v>6240</v>
      </c>
      <c r="W199" s="17">
        <v>46042.508344907401</v>
      </c>
      <c r="X199" s="14" t="s">
        <v>2766</v>
      </c>
      <c r="Y199" s="14">
        <v>510</v>
      </c>
      <c r="Z199" s="14" t="s">
        <v>2692</v>
      </c>
      <c r="AA199" s="18">
        <v>157.31944444444525</v>
      </c>
      <c r="AB199" s="18" t="s">
        <v>2692</v>
      </c>
      <c r="AC199" s="8">
        <f>tbl_DPSAC[[#This Row],[Current Month Due Count]]</f>
        <v>4</v>
      </c>
      <c r="AD199" s="8">
        <f>tbl_DPSAC[[#This Row],[Next Month Due2]]</f>
        <v>0</v>
      </c>
      <c r="AE199" s="8">
        <f t="shared" si="14"/>
        <v>0</v>
      </c>
      <c r="AF199" s="8">
        <v>2.8</v>
      </c>
      <c r="AG199" s="14">
        <f t="shared" ca="1" si="15"/>
        <v>6437</v>
      </c>
      <c r="AH199" s="8">
        <v>0</v>
      </c>
      <c r="AI199" s="8">
        <v>0</v>
      </c>
      <c r="AJ199" s="8">
        <v>0</v>
      </c>
      <c r="AK199" s="8">
        <v>0</v>
      </c>
      <c r="AL199" s="8">
        <v>0</v>
      </c>
      <c r="AM199" s="8">
        <v>0</v>
      </c>
      <c r="AN199" s="8">
        <v>0</v>
      </c>
      <c r="AO199" s="8">
        <v>0</v>
      </c>
      <c r="AP199" s="8">
        <v>0</v>
      </c>
      <c r="AQ199" s="8">
        <v>0</v>
      </c>
      <c r="AR199" s="8">
        <v>0</v>
      </c>
      <c r="AS199" s="8">
        <v>0</v>
      </c>
      <c r="AT199" s="8">
        <v>0</v>
      </c>
      <c r="AU199" s="8">
        <v>0</v>
      </c>
      <c r="AV199" s="8">
        <v>0</v>
      </c>
      <c r="AW199" s="8">
        <v>0</v>
      </c>
      <c r="AX199" s="8" t="s">
        <v>2007</v>
      </c>
      <c r="AY199" s="14">
        <v>6000</v>
      </c>
      <c r="AZ199" s="19">
        <v>45955</v>
      </c>
      <c r="BA199" s="14" t="s">
        <v>1147</v>
      </c>
      <c r="BB199" s="14">
        <v>6000</v>
      </c>
      <c r="BC199" s="19">
        <v>45955</v>
      </c>
      <c r="BD199" s="14" t="s">
        <v>1147</v>
      </c>
      <c r="BE199" s="14">
        <v>6000</v>
      </c>
      <c r="BF199" s="19">
        <v>45955</v>
      </c>
      <c r="BG199" s="14" t="s">
        <v>1147</v>
      </c>
      <c r="BH199" s="14">
        <v>6000</v>
      </c>
      <c r="BI199" s="19">
        <v>45955</v>
      </c>
      <c r="BJ199" s="14" t="s">
        <v>1147</v>
      </c>
      <c r="BK199" s="14">
        <v>6000</v>
      </c>
      <c r="BL199" s="19">
        <v>45955</v>
      </c>
      <c r="BM199" s="14" t="s">
        <v>1147</v>
      </c>
      <c r="BN199" s="27">
        <v>46135</v>
      </c>
      <c r="BO199" s="27">
        <v>46135</v>
      </c>
      <c r="BP199" s="27">
        <v>46135</v>
      </c>
      <c r="BQ199" s="27">
        <v>46135</v>
      </c>
      <c r="BR199" s="27">
        <v>46320</v>
      </c>
      <c r="BS199" s="28">
        <v>313</v>
      </c>
      <c r="BT199" s="29">
        <v>1063</v>
      </c>
      <c r="BU199" s="29">
        <v>313</v>
      </c>
      <c r="BV199" s="29">
        <v>313</v>
      </c>
      <c r="BW199" s="29">
        <v>1063</v>
      </c>
      <c r="BX199" s="30" t="s">
        <v>152</v>
      </c>
      <c r="BY199" s="8">
        <v>0</v>
      </c>
      <c r="BZ199" s="8">
        <v>4</v>
      </c>
      <c r="CA199" s="8">
        <v>0</v>
      </c>
      <c r="CB199" s="21">
        <v>45954.770833333299</v>
      </c>
      <c r="CC199" s="21">
        <v>45954.770833333299</v>
      </c>
      <c r="CD199" s="21">
        <v>45755.770833333299</v>
      </c>
      <c r="CE199" s="21">
        <v>45954.770833333299</v>
      </c>
      <c r="CF199" s="21">
        <v>45954.770833333299</v>
      </c>
      <c r="CG199" s="21">
        <v>45755.770833333299</v>
      </c>
      <c r="CH199" s="21">
        <v>45755.770833333299</v>
      </c>
      <c r="CI199" s="21">
        <v>45755.770833333299</v>
      </c>
      <c r="CJ199" s="21">
        <v>45755.770833333299</v>
      </c>
      <c r="CK199" s="22" t="s">
        <v>3036</v>
      </c>
      <c r="CL199" s="22" t="s">
        <v>3036</v>
      </c>
      <c r="CM199" s="22" t="s">
        <v>3036</v>
      </c>
      <c r="CN199" s="22" t="s">
        <v>3036</v>
      </c>
      <c r="CO199" s="22" t="s">
        <v>3036</v>
      </c>
      <c r="CP199" s="22" t="s">
        <v>2997</v>
      </c>
      <c r="CQ199" s="22" t="s">
        <v>2953</v>
      </c>
      <c r="CR199" s="22" t="s">
        <v>2997</v>
      </c>
      <c r="CS199" s="22" t="s">
        <v>2997</v>
      </c>
      <c r="CT199" s="22">
        <v>4</v>
      </c>
      <c r="CU199" s="21">
        <v>46134</v>
      </c>
      <c r="CV199" s="21">
        <v>46134</v>
      </c>
      <c r="CW199" s="21">
        <v>45935</v>
      </c>
      <c r="CX199" s="21">
        <v>46134</v>
      </c>
      <c r="CY199" s="21">
        <v>46134</v>
      </c>
      <c r="CZ199" s="21">
        <v>46025</v>
      </c>
      <c r="DA199" s="21">
        <v>46120</v>
      </c>
      <c r="DB199" s="21">
        <v>45935</v>
      </c>
      <c r="DC199" s="21">
        <v>46120</v>
      </c>
      <c r="DD199" s="8">
        <v>1</v>
      </c>
      <c r="DE199" s="8">
        <v>0</v>
      </c>
      <c r="DF199" s="8">
        <v>0</v>
      </c>
      <c r="DG199" s="8">
        <v>3</v>
      </c>
      <c r="DH199" s="8">
        <v>6</v>
      </c>
      <c r="DI199" s="8">
        <v>0</v>
      </c>
      <c r="DJ199" s="8" t="s">
        <v>2954</v>
      </c>
      <c r="DK199" s="21">
        <v>42865</v>
      </c>
      <c r="DL199" s="21">
        <v>42849</v>
      </c>
      <c r="DM199" s="21">
        <v>46042</v>
      </c>
      <c r="DN199" s="18">
        <v>6240</v>
      </c>
      <c r="DO199" s="21">
        <v>0</v>
      </c>
      <c r="DP199" s="21">
        <v>0</v>
      </c>
      <c r="DQ199" s="21" t="s">
        <v>2955</v>
      </c>
      <c r="DR199" s="21">
        <v>45955</v>
      </c>
      <c r="DS199" s="21">
        <v>45955</v>
      </c>
      <c r="DT199" s="21">
        <v>45756</v>
      </c>
      <c r="DU199" s="21">
        <v>45955</v>
      </c>
      <c r="DV199" s="21">
        <v>45955</v>
      </c>
      <c r="DW199" s="21">
        <v>45756</v>
      </c>
      <c r="DX199" s="21">
        <v>45756</v>
      </c>
      <c r="DY199" s="21">
        <v>45756</v>
      </c>
      <c r="DZ199" s="21">
        <v>45756</v>
      </c>
      <c r="EA199" s="8">
        <v>510</v>
      </c>
      <c r="EB199" s="8">
        <v>510</v>
      </c>
      <c r="EC199" s="8">
        <v>510</v>
      </c>
      <c r="ED199" s="8">
        <v>510</v>
      </c>
      <c r="EE199" s="8">
        <v>510</v>
      </c>
      <c r="EF199" s="8">
        <v>1260</v>
      </c>
      <c r="EG199" s="8">
        <v>1000</v>
      </c>
      <c r="EH199" s="8">
        <v>1260</v>
      </c>
      <c r="EI199" s="8">
        <v>1260</v>
      </c>
      <c r="EJ199" s="8">
        <v>4</v>
      </c>
      <c r="EK199" s="8" t="s">
        <v>2624</v>
      </c>
      <c r="EL199" s="8">
        <v>70</v>
      </c>
      <c r="EM199" s="8">
        <v>196</v>
      </c>
      <c r="EN199" s="8">
        <v>222</v>
      </c>
      <c r="EO199" s="8">
        <v>222</v>
      </c>
      <c r="EP199" s="8">
        <v>222</v>
      </c>
      <c r="EQ199" s="8">
        <v>222</v>
      </c>
      <c r="ER199" s="8">
        <v>222</v>
      </c>
      <c r="ES199" s="8">
        <v>972</v>
      </c>
      <c r="ET199" s="8">
        <v>712</v>
      </c>
      <c r="EU199" s="8">
        <v>972</v>
      </c>
      <c r="EV199" s="8">
        <v>972</v>
      </c>
    </row>
    <row r="200" spans="1:152" x14ac:dyDescent="0.15">
      <c r="A200" s="8">
        <f>ROW([2]!tbl_DPSAC[[#This Row],[Sl. No.]])-1</f>
        <v>199</v>
      </c>
      <c r="B200" s="9" t="s">
        <v>196</v>
      </c>
      <c r="C200" s="9" t="s">
        <v>1148</v>
      </c>
      <c r="D200" s="9" t="s">
        <v>697</v>
      </c>
      <c r="E200" s="9" t="s">
        <v>176</v>
      </c>
      <c r="F200" s="9" t="s">
        <v>140</v>
      </c>
      <c r="G200" s="10" t="s">
        <v>1149</v>
      </c>
      <c r="H200" s="10" t="str">
        <f>_xlfn.XLOOKUP(C200,'[1]E&amp;DPSAC'!$K:$K,'[1]E&amp;DPSAC'!$E:$E,,0)</f>
        <v>AP COLONY GAYA BIHAR</v>
      </c>
      <c r="I200" s="10"/>
      <c r="J200" s="10">
        <v>9431266779</v>
      </c>
      <c r="K200" s="10">
        <f>_xlfn.XLOOKUP(C200,'[1]E&amp;DPSAC'!$K:$K,'[1]E&amp;DPSAC'!$G:$G,"",0)</f>
        <v>9431266779</v>
      </c>
      <c r="L200" s="9" t="str">
        <f t="shared" ca="1" si="12"/>
        <v>Non - Warranty</v>
      </c>
      <c r="M200" s="11">
        <v>43194</v>
      </c>
      <c r="N200" s="12">
        <v>36</v>
      </c>
      <c r="O200" s="11">
        <f t="shared" si="13"/>
        <v>44316</v>
      </c>
      <c r="P200" s="8" t="s">
        <v>715</v>
      </c>
      <c r="Q200" s="16" t="s">
        <v>1150</v>
      </c>
      <c r="R200" s="15">
        <v>45954.736111111109</v>
      </c>
      <c r="S200" s="14">
        <v>6200</v>
      </c>
      <c r="T200" s="15">
        <v>45199</v>
      </c>
      <c r="U200" s="14">
        <v>4054</v>
      </c>
      <c r="V200" s="14">
        <v>6200</v>
      </c>
      <c r="W200" s="17">
        <v>45954.736111111109</v>
      </c>
      <c r="X200" s="14" t="s">
        <v>2699</v>
      </c>
      <c r="Y200" s="14">
        <v>750</v>
      </c>
      <c r="Z200" s="14" t="s">
        <v>2692</v>
      </c>
      <c r="AA200" s="18">
        <v>158.26388888889051</v>
      </c>
      <c r="AB200" s="18" t="s">
        <v>2692</v>
      </c>
      <c r="AC200" s="8">
        <f>tbl_DPSAC[[#This Row],[Current Month Due Count]]</f>
        <v>4</v>
      </c>
      <c r="AD200" s="8">
        <f>tbl_DPSAC[[#This Row],[Next Month Due2]]</f>
        <v>0</v>
      </c>
      <c r="AE200" s="8">
        <f t="shared" si="14"/>
        <v>0</v>
      </c>
      <c r="AF200" s="8">
        <v>3</v>
      </c>
      <c r="AG200" s="14">
        <f t="shared" ca="1" si="15"/>
        <v>6675</v>
      </c>
      <c r="AH200" s="8">
        <v>0</v>
      </c>
      <c r="AI200" s="8">
        <v>0</v>
      </c>
      <c r="AJ200" s="8">
        <v>0</v>
      </c>
      <c r="AK200" s="8">
        <v>0</v>
      </c>
      <c r="AL200" s="8">
        <v>0</v>
      </c>
      <c r="AM200" s="8">
        <v>0</v>
      </c>
      <c r="AN200" s="8">
        <v>0</v>
      </c>
      <c r="AO200" s="8">
        <v>0</v>
      </c>
      <c r="AP200" s="8">
        <v>0</v>
      </c>
      <c r="AQ200" s="8">
        <v>0</v>
      </c>
      <c r="AR200" s="8">
        <v>0</v>
      </c>
      <c r="AS200" s="8">
        <v>0</v>
      </c>
      <c r="AT200" s="8">
        <v>0</v>
      </c>
      <c r="AU200" s="8">
        <v>0</v>
      </c>
      <c r="AV200" s="8">
        <v>0</v>
      </c>
      <c r="AW200" s="8">
        <v>0</v>
      </c>
      <c r="AX200" s="8" t="s">
        <v>2007</v>
      </c>
      <c r="AY200" s="14">
        <v>6200</v>
      </c>
      <c r="AZ200" s="19">
        <v>45954</v>
      </c>
      <c r="BA200" s="14" t="s">
        <v>1150</v>
      </c>
      <c r="BB200" s="14">
        <v>6200</v>
      </c>
      <c r="BC200" s="19">
        <v>45954</v>
      </c>
      <c r="BD200" s="14" t="s">
        <v>1150</v>
      </c>
      <c r="BE200" s="14">
        <v>6200</v>
      </c>
      <c r="BF200" s="19">
        <v>45954</v>
      </c>
      <c r="BG200" s="14" t="s">
        <v>1150</v>
      </c>
      <c r="BH200" s="14">
        <v>6200</v>
      </c>
      <c r="BI200" s="19">
        <v>45954</v>
      </c>
      <c r="BJ200" s="14" t="s">
        <v>1150</v>
      </c>
      <c r="BK200" s="14">
        <v>6200</v>
      </c>
      <c r="BL200" s="19">
        <v>45954</v>
      </c>
      <c r="BM200" s="14" t="s">
        <v>1150</v>
      </c>
      <c r="BN200" s="27">
        <v>46134</v>
      </c>
      <c r="BO200" s="27">
        <v>46134</v>
      </c>
      <c r="BP200" s="27">
        <v>46134</v>
      </c>
      <c r="BQ200" s="27">
        <v>46134</v>
      </c>
      <c r="BR200" s="27">
        <v>46319</v>
      </c>
      <c r="BS200" s="28">
        <v>275</v>
      </c>
      <c r="BT200" s="29">
        <v>1025</v>
      </c>
      <c r="BU200" s="29">
        <v>275</v>
      </c>
      <c r="BV200" s="29">
        <v>275</v>
      </c>
      <c r="BW200" s="29">
        <v>1025</v>
      </c>
      <c r="BX200" s="30" t="s">
        <v>172</v>
      </c>
      <c r="BY200" s="8">
        <v>0</v>
      </c>
      <c r="BZ200" s="8">
        <v>4</v>
      </c>
      <c r="CA200" s="8">
        <v>0</v>
      </c>
      <c r="CB200" s="21" t="s">
        <v>143</v>
      </c>
      <c r="CC200" s="21" t="s">
        <v>143</v>
      </c>
      <c r="CD200" s="21" t="s">
        <v>143</v>
      </c>
      <c r="CE200" s="21" t="s">
        <v>143</v>
      </c>
      <c r="CF200" s="21" t="s">
        <v>143</v>
      </c>
      <c r="CG200" s="21" t="s">
        <v>143</v>
      </c>
      <c r="CH200" s="21" t="s">
        <v>143</v>
      </c>
      <c r="CI200" s="21" t="s">
        <v>143</v>
      </c>
      <c r="CJ200" s="21" t="s">
        <v>143</v>
      </c>
      <c r="CK200" s="22" t="s">
        <v>143</v>
      </c>
      <c r="CL200" s="22" t="s">
        <v>143</v>
      </c>
      <c r="CM200" s="22" t="s">
        <v>143</v>
      </c>
      <c r="CN200" s="22" t="s">
        <v>143</v>
      </c>
      <c r="CO200" s="22" t="s">
        <v>143</v>
      </c>
      <c r="CP200" s="22" t="s">
        <v>143</v>
      </c>
      <c r="CQ200" s="22" t="s">
        <v>143</v>
      </c>
      <c r="CR200" s="22" t="s">
        <v>143</v>
      </c>
      <c r="CS200" s="22" t="s">
        <v>143</v>
      </c>
      <c r="CT200" s="22" t="s">
        <v>143</v>
      </c>
      <c r="CU200" s="21" t="s">
        <v>143</v>
      </c>
      <c r="CV200" s="21" t="s">
        <v>143</v>
      </c>
      <c r="CW200" s="21" t="s">
        <v>143</v>
      </c>
      <c r="CX200" s="21" t="s">
        <v>143</v>
      </c>
      <c r="CY200" s="21" t="s">
        <v>143</v>
      </c>
      <c r="CZ200" s="21" t="s">
        <v>143</v>
      </c>
      <c r="DA200" s="21" t="s">
        <v>143</v>
      </c>
      <c r="DB200" s="21" t="s">
        <v>143</v>
      </c>
      <c r="DC200" s="21" t="s">
        <v>143</v>
      </c>
      <c r="DD200" s="8" t="s">
        <v>143</v>
      </c>
      <c r="DE200" s="8" t="s">
        <v>143</v>
      </c>
      <c r="DF200" s="8" t="s">
        <v>143</v>
      </c>
      <c r="DG200" s="8">
        <v>0</v>
      </c>
      <c r="DH200" s="8">
        <v>0</v>
      </c>
      <c r="DI200" s="8">
        <v>0</v>
      </c>
      <c r="DJ200" s="8" t="s">
        <v>3032</v>
      </c>
      <c r="DK200" s="21">
        <v>43194</v>
      </c>
      <c r="DL200" s="21">
        <v>43181</v>
      </c>
      <c r="DM200" s="21">
        <v>45955</v>
      </c>
      <c r="DN200" s="18">
        <v>6200</v>
      </c>
      <c r="DO200" s="21">
        <v>0</v>
      </c>
      <c r="DP200" s="21">
        <v>0</v>
      </c>
      <c r="DQ200" s="21" t="s">
        <v>2955</v>
      </c>
      <c r="DR200" s="21">
        <v>45955</v>
      </c>
      <c r="DS200" s="21">
        <v>45955</v>
      </c>
      <c r="DT200" s="21">
        <v>45955</v>
      </c>
      <c r="DU200" s="21">
        <v>45955</v>
      </c>
      <c r="DV200" s="21">
        <v>45955</v>
      </c>
      <c r="DW200" s="21">
        <v>45847</v>
      </c>
      <c r="DX200" s="21">
        <v>45847</v>
      </c>
      <c r="DY200" s="21">
        <v>45847</v>
      </c>
      <c r="DZ200" s="21">
        <v>45847</v>
      </c>
      <c r="EA200" s="8">
        <v>1500</v>
      </c>
      <c r="EB200" s="8">
        <v>750</v>
      </c>
      <c r="EC200" s="8">
        <v>500</v>
      </c>
      <c r="ED200" s="8">
        <v>750</v>
      </c>
      <c r="EE200" s="8">
        <v>750</v>
      </c>
      <c r="EF200" s="8">
        <v>400</v>
      </c>
      <c r="EG200" s="8">
        <v>1000</v>
      </c>
      <c r="EH200" s="8">
        <v>400</v>
      </c>
      <c r="EI200" s="8">
        <v>400</v>
      </c>
      <c r="EJ200" s="8">
        <v>2</v>
      </c>
      <c r="EK200" s="8" t="s">
        <v>715</v>
      </c>
      <c r="EL200" s="8">
        <v>158</v>
      </c>
      <c r="EM200" s="8">
        <v>474</v>
      </c>
      <c r="EN200" s="8">
        <v>1212</v>
      </c>
      <c r="EO200" s="8">
        <v>462</v>
      </c>
      <c r="EP200" s="8">
        <v>212</v>
      </c>
      <c r="EQ200" s="8">
        <v>462</v>
      </c>
      <c r="ER200" s="8">
        <v>462</v>
      </c>
      <c r="ES200" s="8">
        <v>112</v>
      </c>
      <c r="ET200" s="8">
        <v>712</v>
      </c>
      <c r="EU200" s="8">
        <v>112</v>
      </c>
      <c r="EV200" s="8">
        <v>112</v>
      </c>
    </row>
    <row r="201" spans="1:152" x14ac:dyDescent="0.15">
      <c r="A201" s="8">
        <f>ROW([2]!tbl_DPSAC[[#This Row],[Sl. No.]])-1</f>
        <v>200</v>
      </c>
      <c r="B201" s="9" t="s">
        <v>136</v>
      </c>
      <c r="C201" s="9" t="s">
        <v>1151</v>
      </c>
      <c r="D201" s="9" t="s">
        <v>138</v>
      </c>
      <c r="E201" s="9" t="s">
        <v>139</v>
      </c>
      <c r="F201" s="9" t="s">
        <v>140</v>
      </c>
      <c r="G201" s="10" t="s">
        <v>1152</v>
      </c>
      <c r="H201" s="10" t="str">
        <f>_xlfn.XLOOKUP(C201,'[1]E&amp;DPSAC'!$K:$K,'[1]E&amp;DPSAC'!$E:$E,,0)</f>
        <v>DHANBAD</v>
      </c>
      <c r="I201" s="10"/>
      <c r="J201" s="10">
        <v>9546535031</v>
      </c>
      <c r="K201" s="10">
        <f>_xlfn.XLOOKUP(C201,'[1]E&amp;DPSAC'!$K:$K,'[1]E&amp;DPSAC'!$G:$G,"",0)</f>
        <v>9546535031</v>
      </c>
      <c r="L201" s="9" t="str">
        <f t="shared" ca="1" si="12"/>
        <v>Non - Warranty</v>
      </c>
      <c r="M201" s="11">
        <v>43251</v>
      </c>
      <c r="N201" s="12">
        <v>36</v>
      </c>
      <c r="O201" s="11">
        <f t="shared" si="13"/>
        <v>44347</v>
      </c>
      <c r="P201" s="8" t="s">
        <v>681</v>
      </c>
      <c r="Q201" s="16" t="s">
        <v>1154</v>
      </c>
      <c r="R201" s="15">
        <v>45954.738194444442</v>
      </c>
      <c r="S201" s="14">
        <v>7230</v>
      </c>
      <c r="T201" s="15">
        <v>45199</v>
      </c>
      <c r="U201" s="14">
        <v>5660</v>
      </c>
      <c r="V201" s="14">
        <v>7275</v>
      </c>
      <c r="W201" s="17">
        <v>45966.484722222223</v>
      </c>
      <c r="X201" s="14" t="s">
        <v>2699</v>
      </c>
      <c r="Y201" s="14">
        <v>705</v>
      </c>
      <c r="Z201" s="14" t="s">
        <v>2692</v>
      </c>
      <c r="AA201" s="18">
        <v>158.26180555555766</v>
      </c>
      <c r="AB201" s="18" t="s">
        <v>2692</v>
      </c>
      <c r="AC201" s="8">
        <f>tbl_DPSAC[[#This Row],[Current Month Due Count]]</f>
        <v>4</v>
      </c>
      <c r="AD201" s="8">
        <f>tbl_DPSAC[[#This Row],[Next Month Due2]]</f>
        <v>0</v>
      </c>
      <c r="AE201" s="8">
        <f t="shared" si="14"/>
        <v>0</v>
      </c>
      <c r="AF201" s="8">
        <v>4</v>
      </c>
      <c r="AG201" s="14">
        <f t="shared" ca="1" si="15"/>
        <v>7861</v>
      </c>
      <c r="AH201" s="8">
        <v>0</v>
      </c>
      <c r="AI201" s="8">
        <v>0</v>
      </c>
      <c r="AJ201" s="8">
        <v>0</v>
      </c>
      <c r="AK201" s="8">
        <v>0</v>
      </c>
      <c r="AL201" s="8">
        <v>0</v>
      </c>
      <c r="AM201" s="8">
        <v>0</v>
      </c>
      <c r="AN201" s="8">
        <v>0</v>
      </c>
      <c r="AO201" s="8" t="s">
        <v>1153</v>
      </c>
      <c r="AP201" s="8">
        <v>0</v>
      </c>
      <c r="AQ201" s="8">
        <v>0</v>
      </c>
      <c r="AR201" s="8">
        <v>0</v>
      </c>
      <c r="AS201" s="8">
        <v>0</v>
      </c>
      <c r="AT201" s="8">
        <v>0</v>
      </c>
      <c r="AU201" s="8">
        <v>0</v>
      </c>
      <c r="AV201" s="8">
        <v>0</v>
      </c>
      <c r="AW201" s="8">
        <v>0</v>
      </c>
      <c r="AX201" s="8" t="s">
        <v>2007</v>
      </c>
      <c r="AY201" s="14">
        <v>7230</v>
      </c>
      <c r="AZ201" s="19">
        <v>45954</v>
      </c>
      <c r="BA201" s="14" t="s">
        <v>1154</v>
      </c>
      <c r="BB201" s="14">
        <v>7230</v>
      </c>
      <c r="BC201" s="19">
        <v>45954</v>
      </c>
      <c r="BD201" s="14" t="s">
        <v>1154</v>
      </c>
      <c r="BE201" s="14">
        <v>7230</v>
      </c>
      <c r="BF201" s="19">
        <v>45954</v>
      </c>
      <c r="BG201" s="14" t="s">
        <v>1154</v>
      </c>
      <c r="BH201" s="14">
        <v>7230</v>
      </c>
      <c r="BI201" s="19">
        <v>45954</v>
      </c>
      <c r="BJ201" s="14" t="s">
        <v>1154</v>
      </c>
      <c r="BK201" s="14">
        <v>7230</v>
      </c>
      <c r="BL201" s="19">
        <v>45954</v>
      </c>
      <c r="BM201" s="14" t="s">
        <v>1154</v>
      </c>
      <c r="BN201" s="27">
        <v>46134</v>
      </c>
      <c r="BO201" s="27">
        <v>46134</v>
      </c>
      <c r="BP201" s="27">
        <v>46134</v>
      </c>
      <c r="BQ201" s="27">
        <v>46134</v>
      </c>
      <c r="BR201" s="27">
        <v>46319</v>
      </c>
      <c r="BS201" s="28">
        <v>119</v>
      </c>
      <c r="BT201" s="29">
        <v>869</v>
      </c>
      <c r="BU201" s="29">
        <v>119</v>
      </c>
      <c r="BV201" s="29">
        <v>119</v>
      </c>
      <c r="BW201" s="29">
        <v>869</v>
      </c>
      <c r="BX201" s="30" t="s">
        <v>173</v>
      </c>
      <c r="BY201" s="8">
        <v>0</v>
      </c>
      <c r="BZ201" s="8">
        <v>4</v>
      </c>
      <c r="CA201" s="8">
        <v>0</v>
      </c>
      <c r="CB201" s="21">
        <v>45954.770833333299</v>
      </c>
      <c r="CC201" s="21">
        <v>45954.770833333299</v>
      </c>
      <c r="CD201" s="21">
        <v>45954.770833333299</v>
      </c>
      <c r="CE201" s="21">
        <v>45954.770833333299</v>
      </c>
      <c r="CF201" s="21">
        <v>45954.770833333299</v>
      </c>
      <c r="CG201" s="21">
        <v>45954.770833333299</v>
      </c>
      <c r="CH201" s="21">
        <v>45744.770833333299</v>
      </c>
      <c r="CI201" s="21">
        <v>45954.770833333299</v>
      </c>
      <c r="CJ201" s="21">
        <v>45954.770833333299</v>
      </c>
      <c r="CK201" s="22" t="s">
        <v>3098</v>
      </c>
      <c r="CL201" s="22" t="s">
        <v>3099</v>
      </c>
      <c r="CM201" s="22" t="s">
        <v>3099</v>
      </c>
      <c r="CN201" s="22" t="s">
        <v>3099</v>
      </c>
      <c r="CO201" s="22" t="s">
        <v>3099</v>
      </c>
      <c r="CP201" s="22" t="s">
        <v>3098</v>
      </c>
      <c r="CQ201" s="22" t="s">
        <v>2953</v>
      </c>
      <c r="CR201" s="22" t="s">
        <v>3098</v>
      </c>
      <c r="CS201" s="22" t="s">
        <v>3098</v>
      </c>
      <c r="CT201" s="22">
        <v>4</v>
      </c>
      <c r="CU201" s="21">
        <v>46134</v>
      </c>
      <c r="CV201" s="21">
        <v>46134</v>
      </c>
      <c r="CW201" s="21">
        <v>46134</v>
      </c>
      <c r="CX201" s="21">
        <v>46134</v>
      </c>
      <c r="CY201" s="21">
        <v>46134</v>
      </c>
      <c r="CZ201" s="21">
        <v>46224</v>
      </c>
      <c r="DA201" s="21">
        <v>46109</v>
      </c>
      <c r="DB201" s="21">
        <v>46134</v>
      </c>
      <c r="DC201" s="21">
        <v>46319</v>
      </c>
      <c r="DD201" s="8">
        <v>0</v>
      </c>
      <c r="DE201" s="8">
        <v>0</v>
      </c>
      <c r="DF201" s="8">
        <v>1</v>
      </c>
      <c r="DG201" s="8">
        <v>1</v>
      </c>
      <c r="DH201" s="8">
        <v>6</v>
      </c>
      <c r="DI201" s="8">
        <v>0</v>
      </c>
      <c r="DJ201" s="8" t="s">
        <v>3025</v>
      </c>
      <c r="DK201" s="21">
        <v>43251</v>
      </c>
      <c r="DL201" s="21">
        <v>43210</v>
      </c>
      <c r="DM201" s="21">
        <v>45966</v>
      </c>
      <c r="DN201" s="18">
        <v>7275</v>
      </c>
      <c r="DO201" s="21">
        <v>0</v>
      </c>
      <c r="DP201" s="21">
        <v>0</v>
      </c>
      <c r="DQ201" s="21" t="s">
        <v>2955</v>
      </c>
      <c r="DR201" s="21">
        <v>45955</v>
      </c>
      <c r="DS201" s="21">
        <v>45955</v>
      </c>
      <c r="DT201" s="21">
        <v>45955</v>
      </c>
      <c r="DU201" s="21">
        <v>45955</v>
      </c>
      <c r="DV201" s="21">
        <v>45955</v>
      </c>
      <c r="DW201" s="21">
        <v>45955</v>
      </c>
      <c r="DX201" s="21">
        <v>45745</v>
      </c>
      <c r="DY201" s="21">
        <v>45955</v>
      </c>
      <c r="DZ201" s="21">
        <v>45955</v>
      </c>
      <c r="EA201" s="8">
        <v>1455</v>
      </c>
      <c r="EB201" s="8">
        <v>705</v>
      </c>
      <c r="EC201" s="8">
        <v>705</v>
      </c>
      <c r="ED201" s="8">
        <v>705</v>
      </c>
      <c r="EE201" s="8">
        <v>705</v>
      </c>
      <c r="EF201" s="8">
        <v>1455</v>
      </c>
      <c r="EG201" s="8">
        <v>1000</v>
      </c>
      <c r="EH201" s="8">
        <v>1455</v>
      </c>
      <c r="EI201" s="8">
        <v>1455</v>
      </c>
      <c r="EJ201" s="8">
        <v>4</v>
      </c>
      <c r="EK201" s="8" t="s">
        <v>2624</v>
      </c>
      <c r="EL201" s="8">
        <v>147</v>
      </c>
      <c r="EM201" s="8">
        <v>588</v>
      </c>
      <c r="EN201" s="8">
        <v>1167</v>
      </c>
      <c r="EO201" s="8">
        <v>417</v>
      </c>
      <c r="EP201" s="8">
        <v>417</v>
      </c>
      <c r="EQ201" s="8">
        <v>417</v>
      </c>
      <c r="ER201" s="8">
        <v>417</v>
      </c>
      <c r="ES201" s="8">
        <v>1167</v>
      </c>
      <c r="ET201" s="8">
        <v>712</v>
      </c>
      <c r="EU201" s="8">
        <v>1167</v>
      </c>
      <c r="EV201" s="8">
        <v>1167</v>
      </c>
    </row>
    <row r="202" spans="1:152" x14ac:dyDescent="0.15">
      <c r="A202" s="8">
        <f>ROW([2]!tbl_DPSAC[[#This Row],[Sl. No.]])-1</f>
        <v>201</v>
      </c>
      <c r="B202" s="9" t="s">
        <v>136</v>
      </c>
      <c r="C202" s="9" t="s">
        <v>1155</v>
      </c>
      <c r="D202" s="9" t="s">
        <v>138</v>
      </c>
      <c r="E202" s="9" t="s">
        <v>139</v>
      </c>
      <c r="F202" s="9" t="s">
        <v>161</v>
      </c>
      <c r="G202" s="10" t="s">
        <v>166</v>
      </c>
      <c r="H202" s="10" t="str">
        <f>_xlfn.XLOOKUP(C202,'[1]E&amp;DPSAC'!$K:$K,'[1]E&amp;DPSAC'!$E:$E,,0)</f>
        <v>ANGAR PATRA,DHANBAD</v>
      </c>
      <c r="I202" s="10"/>
      <c r="J202" s="10">
        <v>6207308280</v>
      </c>
      <c r="K202" s="10">
        <f>_xlfn.XLOOKUP(C202,'[1]E&amp;DPSAC'!$K:$K,'[1]E&amp;DPSAC'!$G:$G,"",0)</f>
        <v>7004686028</v>
      </c>
      <c r="L202" s="9" t="str">
        <f t="shared" ca="1" si="12"/>
        <v>Non - Warranty</v>
      </c>
      <c r="M202" s="11">
        <v>43801</v>
      </c>
      <c r="N202" s="12">
        <v>24</v>
      </c>
      <c r="O202" s="11">
        <f t="shared" si="13"/>
        <v>44561</v>
      </c>
      <c r="P202" s="8" t="s">
        <v>142</v>
      </c>
      <c r="Q202" s="16" t="s">
        <v>1156</v>
      </c>
      <c r="R202" s="15">
        <v>45372.539548611101</v>
      </c>
      <c r="S202" s="14">
        <v>5853</v>
      </c>
      <c r="T202" s="15">
        <v>45848</v>
      </c>
      <c r="U202" s="14">
        <v>7059</v>
      </c>
      <c r="V202" s="14">
        <v>9400</v>
      </c>
      <c r="W202" s="17">
        <v>46042.510625000003</v>
      </c>
      <c r="X202" s="14" t="s">
        <v>2722</v>
      </c>
      <c r="Y202" s="14">
        <v>-2797</v>
      </c>
      <c r="Z202" s="14" t="s">
        <v>2697</v>
      </c>
      <c r="AA202" s="18">
        <v>740.46045138889895</v>
      </c>
      <c r="AB202" s="18" t="s">
        <v>2697</v>
      </c>
      <c r="AC202" s="8">
        <f>tbl_DPSAC[[#This Row],[Current Month Due Count]]</f>
        <v>0</v>
      </c>
      <c r="AD202" s="8">
        <f>tbl_DPSAC[[#This Row],[Next Month Due2]]</f>
        <v>0</v>
      </c>
      <c r="AE202" s="8">
        <f t="shared" si="14"/>
        <v>1</v>
      </c>
      <c r="AF202" s="8">
        <v>2</v>
      </c>
      <c r="AG202" s="14">
        <f t="shared" ca="1" si="15"/>
        <v>9541</v>
      </c>
      <c r="AH202" s="8">
        <v>0</v>
      </c>
      <c r="AI202" s="8">
        <v>0</v>
      </c>
      <c r="AJ202" s="8">
        <v>0</v>
      </c>
      <c r="AK202" s="8">
        <v>0</v>
      </c>
      <c r="AL202" s="8">
        <v>0</v>
      </c>
      <c r="AM202" s="8">
        <v>0</v>
      </c>
      <c r="AN202" s="8">
        <v>0</v>
      </c>
      <c r="AO202" s="8">
        <v>0</v>
      </c>
      <c r="AP202" s="8">
        <v>0</v>
      </c>
      <c r="AQ202" s="8">
        <v>0</v>
      </c>
      <c r="AR202" s="8">
        <v>0</v>
      </c>
      <c r="AS202" s="8">
        <v>0</v>
      </c>
      <c r="AT202" s="8">
        <v>0</v>
      </c>
      <c r="AU202" s="8">
        <v>0</v>
      </c>
      <c r="AV202" s="8">
        <v>0</v>
      </c>
      <c r="AW202" s="8">
        <v>0</v>
      </c>
      <c r="AX202" s="8" t="s">
        <v>2961</v>
      </c>
      <c r="AY202" s="14">
        <v>5853</v>
      </c>
      <c r="AZ202" s="19">
        <v>45372</v>
      </c>
      <c r="BA202" s="14" t="s">
        <v>1156</v>
      </c>
      <c r="BB202" s="14">
        <v>5015</v>
      </c>
      <c r="BC202" s="19">
        <v>45266</v>
      </c>
      <c r="BD202" s="14" t="s">
        <v>1157</v>
      </c>
      <c r="BE202" s="14">
        <v>5853</v>
      </c>
      <c r="BF202" s="19">
        <v>45372</v>
      </c>
      <c r="BG202" s="14" t="s">
        <v>1156</v>
      </c>
      <c r="BH202" s="14">
        <v>5853</v>
      </c>
      <c r="BI202" s="19">
        <v>45372</v>
      </c>
      <c r="BJ202" s="14" t="s">
        <v>1156</v>
      </c>
      <c r="BK202" s="14">
        <v>5015</v>
      </c>
      <c r="BL202" s="19">
        <v>45266</v>
      </c>
      <c r="BM202" s="14" t="s">
        <v>1157</v>
      </c>
      <c r="BN202" s="27">
        <v>45552</v>
      </c>
      <c r="BO202" s="27">
        <v>45446</v>
      </c>
      <c r="BP202" s="27">
        <v>45552</v>
      </c>
      <c r="BQ202" s="27">
        <v>45552</v>
      </c>
      <c r="BR202" s="27">
        <v>45631</v>
      </c>
      <c r="BS202" s="28">
        <v>-2938</v>
      </c>
      <c r="BT202" s="29">
        <v>-3026</v>
      </c>
      <c r="BU202" s="29">
        <v>-2938</v>
      </c>
      <c r="BV202" s="29">
        <v>-2938</v>
      </c>
      <c r="BW202" s="29">
        <v>-3026</v>
      </c>
      <c r="BX202" s="30" t="s">
        <v>152</v>
      </c>
      <c r="BY202" s="8">
        <v>5</v>
      </c>
      <c r="BZ202" s="8">
        <v>0</v>
      </c>
      <c r="CA202" s="8">
        <v>0</v>
      </c>
      <c r="CB202" s="21">
        <v>45371.770833333299</v>
      </c>
      <c r="CC202" s="21">
        <v>45371.770833333299</v>
      </c>
      <c r="CD202" s="21">
        <v>45371.770833333299</v>
      </c>
      <c r="CE202" s="21">
        <v>45371.770833333299</v>
      </c>
      <c r="CF202" s="21">
        <v>0</v>
      </c>
      <c r="CG202" s="21">
        <v>45265.770833333299</v>
      </c>
      <c r="CH202" s="21">
        <v>45265.770833333299</v>
      </c>
      <c r="CI202" s="21">
        <v>45265.770833333299</v>
      </c>
      <c r="CJ202" s="21">
        <v>45265.770833333299</v>
      </c>
      <c r="CK202" s="22" t="s">
        <v>3004</v>
      </c>
      <c r="CL202" s="22" t="s">
        <v>3106</v>
      </c>
      <c r="CM202" s="22" t="s">
        <v>3106</v>
      </c>
      <c r="CN202" s="22" t="s">
        <v>3106</v>
      </c>
      <c r="CO202" s="22" t="s">
        <v>3106</v>
      </c>
      <c r="CP202" s="22" t="s">
        <v>3004</v>
      </c>
      <c r="CQ202" s="22" t="s">
        <v>2953</v>
      </c>
      <c r="CR202" s="22" t="s">
        <v>3004</v>
      </c>
      <c r="CS202" s="22" t="s">
        <v>3004</v>
      </c>
      <c r="CT202" s="22">
        <v>2</v>
      </c>
      <c r="CU202" s="21">
        <v>45551</v>
      </c>
      <c r="CV202" s="21">
        <v>45551</v>
      </c>
      <c r="CW202" s="21">
        <v>45551</v>
      </c>
      <c r="CX202" s="21">
        <v>45551</v>
      </c>
      <c r="CY202" s="21">
        <v>46147</v>
      </c>
      <c r="CZ202" s="21">
        <v>45535</v>
      </c>
      <c r="DA202" s="21">
        <v>45630</v>
      </c>
      <c r="DB202" s="21">
        <v>45445</v>
      </c>
      <c r="DC202" s="21">
        <v>45630</v>
      </c>
      <c r="DD202" s="8">
        <v>1</v>
      </c>
      <c r="DE202" s="8">
        <v>0</v>
      </c>
      <c r="DF202" s="8">
        <v>0</v>
      </c>
      <c r="DG202" s="8">
        <v>8</v>
      </c>
      <c r="DH202" s="8">
        <v>0</v>
      </c>
      <c r="DI202" s="8">
        <v>1</v>
      </c>
      <c r="DJ202" s="8" t="s">
        <v>2954</v>
      </c>
      <c r="DK202" s="21">
        <v>43801</v>
      </c>
      <c r="DL202" s="21">
        <v>43724.229166666664</v>
      </c>
      <c r="DM202" s="21">
        <v>46042</v>
      </c>
      <c r="DN202" s="18">
        <v>9400</v>
      </c>
      <c r="DO202" s="21">
        <v>0</v>
      </c>
      <c r="DP202" s="21">
        <v>0</v>
      </c>
      <c r="DQ202" s="21" t="s">
        <v>3107</v>
      </c>
      <c r="DR202" s="21">
        <v>45372</v>
      </c>
      <c r="DS202" s="21">
        <v>45372</v>
      </c>
      <c r="DT202" s="21">
        <v>45372</v>
      </c>
      <c r="DU202" s="21">
        <v>45372</v>
      </c>
      <c r="DV202" s="21">
        <v>0</v>
      </c>
      <c r="DW202" s="21">
        <v>45266</v>
      </c>
      <c r="DX202" s="21">
        <v>45266</v>
      </c>
      <c r="DY202" s="21">
        <v>45266</v>
      </c>
      <c r="DZ202" s="21">
        <v>45266</v>
      </c>
      <c r="EA202" s="8">
        <v>680</v>
      </c>
      <c r="EB202" s="8">
        <v>210</v>
      </c>
      <c r="EC202" s="8">
        <v>210</v>
      </c>
      <c r="ED202" s="8">
        <v>210</v>
      </c>
      <c r="EE202" s="8">
        <v>210</v>
      </c>
      <c r="EF202" s="8">
        <v>680</v>
      </c>
      <c r="EG202" s="8">
        <v>1000</v>
      </c>
      <c r="EH202" s="8">
        <v>680</v>
      </c>
      <c r="EI202" s="8">
        <v>680</v>
      </c>
      <c r="EJ202" s="8">
        <v>2</v>
      </c>
      <c r="EK202" s="8" t="s">
        <v>2624</v>
      </c>
      <c r="EL202" s="8">
        <v>70</v>
      </c>
      <c r="EM202" s="8">
        <v>140</v>
      </c>
      <c r="EN202" s="8">
        <v>392</v>
      </c>
      <c r="EO202" s="8">
        <v>-78</v>
      </c>
      <c r="EP202" s="8">
        <v>-78</v>
      </c>
      <c r="EQ202" s="8">
        <v>-78</v>
      </c>
      <c r="ER202" s="8">
        <v>-78</v>
      </c>
      <c r="ES202" s="8">
        <v>392</v>
      </c>
      <c r="ET202" s="8">
        <v>712</v>
      </c>
      <c r="EU202" s="8">
        <v>392</v>
      </c>
      <c r="EV202" s="8">
        <v>392</v>
      </c>
    </row>
    <row r="203" spans="1:152" x14ac:dyDescent="0.15">
      <c r="A203" s="8">
        <f>ROW([2]!tbl_DPSAC[[#This Row],[Sl. No.]])-1</f>
        <v>202</v>
      </c>
      <c r="B203" s="9" t="s">
        <v>136</v>
      </c>
      <c r="C203" s="9" t="s">
        <v>1158</v>
      </c>
      <c r="D203" s="9" t="s">
        <v>138</v>
      </c>
      <c r="E203" s="9" t="s">
        <v>139</v>
      </c>
      <c r="F203" s="9" t="s">
        <v>161</v>
      </c>
      <c r="G203" s="10" t="s">
        <v>166</v>
      </c>
      <c r="H203" s="10" t="str">
        <f>_xlfn.XLOOKUP(C203,'[1]E&amp;DPSAC'!$K:$K,'[1]E&amp;DPSAC'!$E:$E,,0)</f>
        <v>BHOWRA</v>
      </c>
      <c r="I203" s="10"/>
      <c r="J203" s="10">
        <v>9931519401</v>
      </c>
      <c r="K203" s="10">
        <f>_xlfn.XLOOKUP(C203,'[1]E&amp;DPSAC'!$K:$K,'[1]E&amp;DPSAC'!$G:$G,"",0)</f>
        <v>9931519401</v>
      </c>
      <c r="L203" s="9" t="str">
        <f t="shared" ca="1" si="12"/>
        <v>Non - Warranty</v>
      </c>
      <c r="M203" s="11">
        <v>43822</v>
      </c>
      <c r="N203" s="12">
        <v>24</v>
      </c>
      <c r="O203" s="11">
        <f t="shared" si="13"/>
        <v>44561</v>
      </c>
      <c r="P203" s="8" t="s">
        <v>142</v>
      </c>
      <c r="Q203" s="16" t="s">
        <v>1160</v>
      </c>
      <c r="R203" s="15">
        <v>45266.509085648097</v>
      </c>
      <c r="S203" s="14">
        <v>8140</v>
      </c>
      <c r="T203" s="15">
        <v>45266</v>
      </c>
      <c r="U203" s="14">
        <v>8140</v>
      </c>
      <c r="V203" s="14">
        <v>9760</v>
      </c>
      <c r="W203" s="17">
        <v>46042.512754629599</v>
      </c>
      <c r="X203" s="14" t="s">
        <v>2713</v>
      </c>
      <c r="Y203" s="14">
        <v>-870</v>
      </c>
      <c r="Z203" s="14" t="s">
        <v>2697</v>
      </c>
      <c r="AA203" s="18">
        <v>846.49091435190348</v>
      </c>
      <c r="AB203" s="18" t="s">
        <v>2697</v>
      </c>
      <c r="AC203" s="8">
        <f>tbl_DPSAC[[#This Row],[Current Month Due Count]]</f>
        <v>0</v>
      </c>
      <c r="AD203" s="8">
        <f>tbl_DPSAC[[#This Row],[Next Month Due2]]</f>
        <v>0</v>
      </c>
      <c r="AE203" s="8">
        <f t="shared" si="14"/>
        <v>1</v>
      </c>
      <c r="AF203" s="8">
        <v>2</v>
      </c>
      <c r="AG203" s="14">
        <f t="shared" ca="1" si="15"/>
        <v>9901</v>
      </c>
      <c r="AH203" s="8">
        <v>0</v>
      </c>
      <c r="AI203" s="8">
        <v>0</v>
      </c>
      <c r="AJ203" s="8">
        <v>0</v>
      </c>
      <c r="AK203" s="8">
        <v>0</v>
      </c>
      <c r="AL203" s="8">
        <v>0</v>
      </c>
      <c r="AM203" s="8">
        <v>0</v>
      </c>
      <c r="AN203" s="8">
        <v>0</v>
      </c>
      <c r="AO203" s="8">
        <v>0</v>
      </c>
      <c r="AP203" s="8">
        <v>0</v>
      </c>
      <c r="AQ203" s="8">
        <v>0</v>
      </c>
      <c r="AR203" s="8">
        <v>0</v>
      </c>
      <c r="AS203" s="8">
        <v>0</v>
      </c>
      <c r="AT203" s="8">
        <v>0</v>
      </c>
      <c r="AU203" s="8">
        <v>0</v>
      </c>
      <c r="AV203" s="8">
        <v>0</v>
      </c>
      <c r="AW203" s="8">
        <v>0</v>
      </c>
      <c r="AX203" s="8" t="s">
        <v>2961</v>
      </c>
      <c r="AY203" s="14">
        <v>7505</v>
      </c>
      <c r="AZ203" s="19">
        <v>44888</v>
      </c>
      <c r="BA203" s="14" t="s">
        <v>1159</v>
      </c>
      <c r="BB203" s="14">
        <v>8140</v>
      </c>
      <c r="BC203" s="19">
        <v>45266</v>
      </c>
      <c r="BD203" s="14" t="s">
        <v>1160</v>
      </c>
      <c r="BE203" s="14">
        <v>7505</v>
      </c>
      <c r="BF203" s="19">
        <v>44888</v>
      </c>
      <c r="BG203" s="14" t="s">
        <v>1159</v>
      </c>
      <c r="BH203" s="14">
        <v>7505</v>
      </c>
      <c r="BI203" s="19">
        <v>44888</v>
      </c>
      <c r="BJ203" s="14" t="s">
        <v>1159</v>
      </c>
      <c r="BK203" s="14">
        <v>8140</v>
      </c>
      <c r="BL203" s="19">
        <v>45266</v>
      </c>
      <c r="BM203" s="14" t="s">
        <v>1160</v>
      </c>
      <c r="BN203" s="27">
        <v>45068</v>
      </c>
      <c r="BO203" s="27">
        <v>45446</v>
      </c>
      <c r="BP203" s="27">
        <v>45068</v>
      </c>
      <c r="BQ203" s="27">
        <v>45068</v>
      </c>
      <c r="BR203" s="27">
        <v>45631</v>
      </c>
      <c r="BS203" s="28">
        <v>-1646</v>
      </c>
      <c r="BT203" s="29">
        <v>-261</v>
      </c>
      <c r="BU203" s="29">
        <v>-1646</v>
      </c>
      <c r="BV203" s="29">
        <v>-1646</v>
      </c>
      <c r="BW203" s="29">
        <v>-261</v>
      </c>
      <c r="BX203" s="30" t="e">
        <v>#N/A</v>
      </c>
      <c r="BY203" s="8">
        <v>5</v>
      </c>
      <c r="BZ203" s="8">
        <v>0</v>
      </c>
      <c r="CA203" s="8">
        <v>0</v>
      </c>
      <c r="CB203" s="21">
        <v>45265.770833333299</v>
      </c>
      <c r="CC203" s="21">
        <v>44871.770833333299</v>
      </c>
      <c r="CD203" s="21">
        <v>44871.770833333299</v>
      </c>
      <c r="CE203" s="21">
        <v>44871.770833333299</v>
      </c>
      <c r="CF203" s="21">
        <v>44871.770833333299</v>
      </c>
      <c r="CG203" s="21">
        <v>45265.770833333299</v>
      </c>
      <c r="CH203" s="21">
        <v>45265.770833333299</v>
      </c>
      <c r="CI203" s="21">
        <v>45265.770833333299</v>
      </c>
      <c r="CJ203" s="21">
        <v>45265.770833333299</v>
      </c>
      <c r="CK203" s="22" t="s">
        <v>2959</v>
      </c>
      <c r="CL203" s="22" t="s">
        <v>2959</v>
      </c>
      <c r="CM203" s="22" t="s">
        <v>2959</v>
      </c>
      <c r="CN203" s="22" t="s">
        <v>2959</v>
      </c>
      <c r="CO203" s="22" t="s">
        <v>2959</v>
      </c>
      <c r="CP203" s="22" t="s">
        <v>2959</v>
      </c>
      <c r="CQ203" s="22" t="s">
        <v>2953</v>
      </c>
      <c r="CR203" s="22" t="s">
        <v>2959</v>
      </c>
      <c r="CS203" s="22" t="s">
        <v>2959</v>
      </c>
      <c r="CT203" s="22">
        <v>3</v>
      </c>
      <c r="CU203" s="21">
        <v>45445</v>
      </c>
      <c r="CV203" s="21">
        <v>45051</v>
      </c>
      <c r="CW203" s="21">
        <v>45051</v>
      </c>
      <c r="CX203" s="21">
        <v>45051</v>
      </c>
      <c r="CY203" s="21">
        <v>45051</v>
      </c>
      <c r="CZ203" s="21">
        <v>45535</v>
      </c>
      <c r="DA203" s="21">
        <v>45630</v>
      </c>
      <c r="DB203" s="21">
        <v>45445</v>
      </c>
      <c r="DC203" s="21">
        <v>45630</v>
      </c>
      <c r="DD203" s="8">
        <v>1</v>
      </c>
      <c r="DE203" s="8">
        <v>0</v>
      </c>
      <c r="DF203" s="8">
        <v>0</v>
      </c>
      <c r="DG203" s="8">
        <v>9</v>
      </c>
      <c r="DH203" s="8">
        <v>0</v>
      </c>
      <c r="DI203" s="8">
        <v>0</v>
      </c>
      <c r="DJ203" s="8" t="s">
        <v>2954</v>
      </c>
      <c r="DK203" s="21">
        <v>43822</v>
      </c>
      <c r="DL203" s="21">
        <v>43728.229166666664</v>
      </c>
      <c r="DM203" s="21">
        <v>46042</v>
      </c>
      <c r="DN203" s="18">
        <v>9760</v>
      </c>
      <c r="DO203" s="21">
        <v>0</v>
      </c>
      <c r="DP203" s="21">
        <v>0</v>
      </c>
      <c r="DQ203" s="21" t="s">
        <v>2955</v>
      </c>
      <c r="DR203" s="21">
        <v>45266</v>
      </c>
      <c r="DS203" s="21">
        <v>44872</v>
      </c>
      <c r="DT203" s="21">
        <v>44872</v>
      </c>
      <c r="DU203" s="21">
        <v>44872</v>
      </c>
      <c r="DV203" s="21">
        <v>44872</v>
      </c>
      <c r="DW203" s="21">
        <v>45266</v>
      </c>
      <c r="DX203" s="21">
        <v>45266</v>
      </c>
      <c r="DY203" s="21">
        <v>45266</v>
      </c>
      <c r="DZ203" s="21">
        <v>45266</v>
      </c>
      <c r="EA203" s="8">
        <v>500</v>
      </c>
      <c r="EB203" s="8">
        <v>500</v>
      </c>
      <c r="EC203" s="8">
        <v>500</v>
      </c>
      <c r="ED203" s="8">
        <v>500</v>
      </c>
      <c r="EE203" s="8">
        <v>500</v>
      </c>
      <c r="EF203" s="8">
        <v>500</v>
      </c>
      <c r="EG203" s="8">
        <v>1000</v>
      </c>
      <c r="EH203" s="8">
        <v>500</v>
      </c>
      <c r="EI203" s="8">
        <v>500</v>
      </c>
      <c r="EJ203" s="8">
        <v>3</v>
      </c>
      <c r="EK203" s="8" t="s">
        <v>2624</v>
      </c>
      <c r="EL203" s="8">
        <v>70</v>
      </c>
      <c r="EM203" s="8">
        <v>140</v>
      </c>
      <c r="EN203" s="8">
        <v>212</v>
      </c>
      <c r="EO203" s="8">
        <v>212</v>
      </c>
      <c r="EP203" s="8">
        <v>212</v>
      </c>
      <c r="EQ203" s="8">
        <v>212</v>
      </c>
      <c r="ER203" s="8">
        <v>212</v>
      </c>
      <c r="ES203" s="8">
        <v>212</v>
      </c>
      <c r="ET203" s="8">
        <v>712</v>
      </c>
      <c r="EU203" s="8">
        <v>212</v>
      </c>
      <c r="EV203" s="8">
        <v>212</v>
      </c>
    </row>
    <row r="204" spans="1:152" x14ac:dyDescent="0.15">
      <c r="A204" s="8">
        <f>ROW([2]!tbl_DPSAC[[#This Row],[Sl. No.]])-1</f>
        <v>203</v>
      </c>
      <c r="B204" s="9" t="s">
        <v>136</v>
      </c>
      <c r="C204" s="9" t="s">
        <v>1161</v>
      </c>
      <c r="D204" s="9" t="s">
        <v>146</v>
      </c>
      <c r="E204" s="9" t="s">
        <v>147</v>
      </c>
      <c r="F204" s="9" t="s">
        <v>140</v>
      </c>
      <c r="G204" s="10" t="s">
        <v>1162</v>
      </c>
      <c r="H204" s="10" t="str">
        <f>_xlfn.XLOOKUP(C204,'[1]E&amp;DPSAC'!$K:$K,'[1]E&amp;DPSAC'!$E:$E,,0)</f>
        <v>TIPUDANA RANCHI</v>
      </c>
      <c r="I204" s="10"/>
      <c r="J204" s="10">
        <v>9334745488</v>
      </c>
      <c r="K204" s="10">
        <f>_xlfn.XLOOKUP(C204,'[1]E&amp;DPSAC'!$K:$K,'[1]E&amp;DPSAC'!$G:$G,"",0)</f>
        <v>6200592790</v>
      </c>
      <c r="L204" s="9" t="str">
        <f t="shared" ca="1" si="12"/>
        <v>Non - Warranty</v>
      </c>
      <c r="M204" s="11">
        <v>42620</v>
      </c>
      <c r="N204" s="12">
        <v>36</v>
      </c>
      <c r="O204" s="11">
        <f t="shared" si="13"/>
        <v>43738</v>
      </c>
      <c r="P204" s="8" t="s">
        <v>213</v>
      </c>
      <c r="Q204" s="16" t="s">
        <v>1073</v>
      </c>
      <c r="R204" s="15">
        <v>45335.571736111102</v>
      </c>
      <c r="S204" s="14">
        <v>8075</v>
      </c>
      <c r="T204" s="15">
        <v>45113</v>
      </c>
      <c r="U204" s="14">
        <v>7420</v>
      </c>
      <c r="V204" s="14">
        <v>10160</v>
      </c>
      <c r="W204" s="17">
        <v>46042.515011574098</v>
      </c>
      <c r="X204" s="14" t="s">
        <v>2785</v>
      </c>
      <c r="Y204" s="14">
        <v>-1335</v>
      </c>
      <c r="Z204" s="14" t="s">
        <v>2697</v>
      </c>
      <c r="AA204" s="18">
        <v>777.42826388889807</v>
      </c>
      <c r="AB204" s="18" t="s">
        <v>2697</v>
      </c>
      <c r="AC204" s="8">
        <f>tbl_DPSAC[[#This Row],[Current Month Due Count]]</f>
        <v>0</v>
      </c>
      <c r="AD204" s="8">
        <f>tbl_DPSAC[[#This Row],[Next Month Due2]]</f>
        <v>0</v>
      </c>
      <c r="AE204" s="8">
        <f t="shared" si="14"/>
        <v>1</v>
      </c>
      <c r="AF204" s="8">
        <v>3</v>
      </c>
      <c r="AG204" s="14">
        <f t="shared" ca="1" si="15"/>
        <v>10371</v>
      </c>
      <c r="AH204" s="8">
        <v>0</v>
      </c>
      <c r="AI204" s="8">
        <v>0</v>
      </c>
      <c r="AJ204" s="8">
        <v>0</v>
      </c>
      <c r="AK204" s="8">
        <v>0</v>
      </c>
      <c r="AL204" s="8">
        <v>0</v>
      </c>
      <c r="AM204" s="8">
        <v>0</v>
      </c>
      <c r="AN204" s="8">
        <v>0</v>
      </c>
      <c r="AO204" s="8">
        <v>0</v>
      </c>
      <c r="AP204" s="8">
        <v>0</v>
      </c>
      <c r="AQ204" s="8">
        <v>0</v>
      </c>
      <c r="AR204" s="8">
        <v>0</v>
      </c>
      <c r="AS204" s="8">
        <v>0</v>
      </c>
      <c r="AT204" s="8">
        <v>0</v>
      </c>
      <c r="AU204" s="8" t="s">
        <v>1163</v>
      </c>
      <c r="AV204" s="8">
        <v>0</v>
      </c>
      <c r="AW204" s="8">
        <v>0</v>
      </c>
      <c r="AX204" s="8" t="s">
        <v>2961</v>
      </c>
      <c r="AY204" s="14">
        <v>8075</v>
      </c>
      <c r="AZ204" s="19">
        <v>45335</v>
      </c>
      <c r="BA204" s="14" t="s">
        <v>1164</v>
      </c>
      <c r="BB204" s="14">
        <v>7420</v>
      </c>
      <c r="BC204" s="19">
        <v>45113</v>
      </c>
      <c r="BD204" s="14" t="s">
        <v>1165</v>
      </c>
      <c r="BE204" s="14">
        <v>8075</v>
      </c>
      <c r="BF204" s="19">
        <v>45335</v>
      </c>
      <c r="BG204" s="14" t="s">
        <v>1164</v>
      </c>
      <c r="BH204" s="14">
        <v>7066</v>
      </c>
      <c r="BI204" s="19">
        <v>45002</v>
      </c>
      <c r="BJ204" s="14" t="s">
        <v>1166</v>
      </c>
      <c r="BK204" s="14">
        <v>7420</v>
      </c>
      <c r="BL204" s="19">
        <v>45113</v>
      </c>
      <c r="BM204" s="14" t="s">
        <v>1165</v>
      </c>
      <c r="BN204" s="27">
        <v>45515</v>
      </c>
      <c r="BO204" s="27">
        <v>45293</v>
      </c>
      <c r="BP204" s="27">
        <v>45515</v>
      </c>
      <c r="BQ204" s="27">
        <v>45182</v>
      </c>
      <c r="BR204" s="27">
        <v>45478</v>
      </c>
      <c r="BS204" s="28">
        <v>-1546</v>
      </c>
      <c r="BT204" s="29">
        <v>-1451</v>
      </c>
      <c r="BU204" s="29">
        <v>-1546</v>
      </c>
      <c r="BV204" s="29">
        <v>-2555</v>
      </c>
      <c r="BW204" s="29">
        <v>-1451</v>
      </c>
      <c r="BX204" s="30" t="e">
        <v>#N/A</v>
      </c>
      <c r="BY204" s="8">
        <v>5</v>
      </c>
      <c r="BZ204" s="8">
        <v>0</v>
      </c>
      <c r="CA204" s="8">
        <v>0</v>
      </c>
      <c r="CB204" s="21">
        <v>45334.770833333299</v>
      </c>
      <c r="CC204" s="21">
        <v>45334.770833333299</v>
      </c>
      <c r="CD204" s="21">
        <v>45001.770833333299</v>
      </c>
      <c r="CE204" s="21">
        <v>45334.770833333299</v>
      </c>
      <c r="CF204" s="21">
        <v>45334.770833333299</v>
      </c>
      <c r="CG204" s="21">
        <v>45112.770833333299</v>
      </c>
      <c r="CH204" s="21">
        <v>0</v>
      </c>
      <c r="CI204" s="21">
        <v>45112.770833333299</v>
      </c>
      <c r="CJ204" s="21">
        <v>45112.770833333299</v>
      </c>
      <c r="CK204" s="22" t="s">
        <v>2971</v>
      </c>
      <c r="CL204" s="22" t="s">
        <v>3108</v>
      </c>
      <c r="CM204" s="22" t="s">
        <v>3108</v>
      </c>
      <c r="CN204" s="22" t="s">
        <v>3108</v>
      </c>
      <c r="CO204" s="22" t="s">
        <v>3108</v>
      </c>
      <c r="CP204" s="22" t="s">
        <v>2971</v>
      </c>
      <c r="CQ204" s="22" t="s">
        <v>2953</v>
      </c>
      <c r="CR204" s="22" t="s">
        <v>2971</v>
      </c>
      <c r="CS204" s="22" t="s">
        <v>2971</v>
      </c>
      <c r="CT204" s="22">
        <v>3</v>
      </c>
      <c r="CU204" s="21">
        <v>45514</v>
      </c>
      <c r="CV204" s="21">
        <v>45514</v>
      </c>
      <c r="CW204" s="21">
        <v>45181</v>
      </c>
      <c r="CX204" s="21">
        <v>45514</v>
      </c>
      <c r="CY204" s="21">
        <v>45514</v>
      </c>
      <c r="CZ204" s="21">
        <v>45382</v>
      </c>
      <c r="DA204" s="21">
        <v>46135</v>
      </c>
      <c r="DB204" s="21">
        <v>45292</v>
      </c>
      <c r="DC204" s="21">
        <v>45477</v>
      </c>
      <c r="DD204" s="8">
        <v>1</v>
      </c>
      <c r="DE204" s="8">
        <v>0</v>
      </c>
      <c r="DF204" s="8">
        <v>0</v>
      </c>
      <c r="DG204" s="8">
        <v>8</v>
      </c>
      <c r="DH204" s="8">
        <v>1</v>
      </c>
      <c r="DI204" s="8">
        <v>0</v>
      </c>
      <c r="DJ204" s="8" t="s">
        <v>2976</v>
      </c>
      <c r="DK204" s="21">
        <v>42620</v>
      </c>
      <c r="DL204" s="21">
        <v>42599</v>
      </c>
      <c r="DM204" s="21">
        <v>46042</v>
      </c>
      <c r="DN204" s="18">
        <v>10160</v>
      </c>
      <c r="DO204" s="21">
        <v>0</v>
      </c>
      <c r="DP204" s="21">
        <v>0</v>
      </c>
      <c r="DQ204" s="21" t="s">
        <v>2955</v>
      </c>
      <c r="DR204" s="21">
        <v>45335</v>
      </c>
      <c r="DS204" s="21">
        <v>45335</v>
      </c>
      <c r="DT204" s="21">
        <v>45002</v>
      </c>
      <c r="DU204" s="21">
        <v>45335</v>
      </c>
      <c r="DV204" s="21">
        <v>45335</v>
      </c>
      <c r="DW204" s="21">
        <v>45113</v>
      </c>
      <c r="DX204" s="21">
        <v>0</v>
      </c>
      <c r="DY204" s="21">
        <v>45113</v>
      </c>
      <c r="DZ204" s="21">
        <v>45113</v>
      </c>
      <c r="EA204" s="8">
        <v>230</v>
      </c>
      <c r="EB204" s="8">
        <v>335</v>
      </c>
      <c r="EC204" s="8">
        <v>335</v>
      </c>
      <c r="ED204" s="8">
        <v>335</v>
      </c>
      <c r="EE204" s="8">
        <v>335</v>
      </c>
      <c r="EF204" s="8">
        <v>230</v>
      </c>
      <c r="EG204" s="8">
        <v>1000</v>
      </c>
      <c r="EH204" s="8">
        <v>230</v>
      </c>
      <c r="EI204" s="8">
        <v>230</v>
      </c>
      <c r="EJ204" s="8">
        <v>3</v>
      </c>
      <c r="EK204" s="8" t="s">
        <v>2624</v>
      </c>
      <c r="EL204" s="8">
        <v>70</v>
      </c>
      <c r="EM204" s="8">
        <v>210</v>
      </c>
      <c r="EN204" s="8">
        <v>-58</v>
      </c>
      <c r="EO204" s="8">
        <v>47</v>
      </c>
      <c r="EP204" s="8">
        <v>47</v>
      </c>
      <c r="EQ204" s="8">
        <v>47</v>
      </c>
      <c r="ER204" s="8">
        <v>47</v>
      </c>
      <c r="ES204" s="8">
        <v>-58</v>
      </c>
      <c r="ET204" s="8">
        <v>712</v>
      </c>
      <c r="EU204" s="8">
        <v>-58</v>
      </c>
      <c r="EV204" s="8">
        <v>-58</v>
      </c>
    </row>
    <row r="205" spans="1:152" x14ac:dyDescent="0.15">
      <c r="A205" s="8">
        <f>ROW([2]!tbl_DPSAC[[#This Row],[Sl. No.]])-1</f>
        <v>204</v>
      </c>
      <c r="B205" s="9" t="s">
        <v>136</v>
      </c>
      <c r="C205" s="9" t="s">
        <v>1167</v>
      </c>
      <c r="D205" s="9" t="s">
        <v>837</v>
      </c>
      <c r="E205" s="9" t="s">
        <v>147</v>
      </c>
      <c r="F205" s="9" t="s">
        <v>140</v>
      </c>
      <c r="G205" s="10" t="s">
        <v>1162</v>
      </c>
      <c r="H205" s="10" t="str">
        <f>_xlfn.XLOOKUP(C205,'[1]E&amp;DPSAC'!$K:$K,'[1]E&amp;DPSAC'!$E:$E,,0)</f>
        <v>CHUTIA, RANCHI</v>
      </c>
      <c r="I205" s="10"/>
      <c r="J205" s="10" t="s">
        <v>143</v>
      </c>
      <c r="K205" s="10">
        <f>_xlfn.XLOOKUP(C205,'[1]E&amp;DPSAC'!$K:$K,'[1]E&amp;DPSAC'!$G:$G,"",0)</f>
        <v>9334745488</v>
      </c>
      <c r="L205" s="9" t="str">
        <f t="shared" ca="1" si="12"/>
        <v>Non - Warranty</v>
      </c>
      <c r="M205" s="11">
        <v>41543</v>
      </c>
      <c r="N205" s="12">
        <v>36</v>
      </c>
      <c r="O205" s="11">
        <f t="shared" si="13"/>
        <v>42643</v>
      </c>
      <c r="P205" s="8" t="s">
        <v>715</v>
      </c>
      <c r="Q205" s="16" t="s">
        <v>1168</v>
      </c>
      <c r="R205" s="15">
        <v>45955.685416666667</v>
      </c>
      <c r="S205" s="14">
        <v>9850</v>
      </c>
      <c r="T205" s="15">
        <v>45266</v>
      </c>
      <c r="U205" s="14">
        <v>8485</v>
      </c>
      <c r="V205" s="14">
        <v>9880</v>
      </c>
      <c r="W205" s="17">
        <v>45966.487500000003</v>
      </c>
      <c r="X205" s="14" t="s">
        <v>2766</v>
      </c>
      <c r="Y205" s="14">
        <v>720</v>
      </c>
      <c r="Z205" s="14" t="s">
        <v>2692</v>
      </c>
      <c r="AA205" s="18">
        <v>157.31458333333285</v>
      </c>
      <c r="AB205" s="18" t="s">
        <v>2692</v>
      </c>
      <c r="AC205" s="8">
        <f>tbl_DPSAC[[#This Row],[Current Month Due Count]]</f>
        <v>4</v>
      </c>
      <c r="AD205" s="8">
        <f>tbl_DPSAC[[#This Row],[Next Month Due2]]</f>
        <v>0</v>
      </c>
      <c r="AE205" s="8">
        <f t="shared" si="14"/>
        <v>0</v>
      </c>
      <c r="AF205" s="8">
        <v>3</v>
      </c>
      <c r="AG205" s="14">
        <f t="shared" ca="1" si="15"/>
        <v>10320</v>
      </c>
      <c r="AH205" s="8">
        <v>0</v>
      </c>
      <c r="AI205" s="8">
        <v>0</v>
      </c>
      <c r="AJ205" s="8">
        <v>0</v>
      </c>
      <c r="AK205" s="8">
        <v>0</v>
      </c>
      <c r="AL205" s="8">
        <v>0</v>
      </c>
      <c r="AM205" s="8">
        <v>0</v>
      </c>
      <c r="AN205" s="8">
        <v>0</v>
      </c>
      <c r="AO205" s="8">
        <v>0</v>
      </c>
      <c r="AP205" s="8">
        <v>0</v>
      </c>
      <c r="AQ205" s="8">
        <v>0</v>
      </c>
      <c r="AR205" s="8">
        <v>0</v>
      </c>
      <c r="AS205" s="8">
        <v>0</v>
      </c>
      <c r="AT205" s="8">
        <v>0</v>
      </c>
      <c r="AU205" s="8">
        <v>0</v>
      </c>
      <c r="AV205" s="8">
        <v>0</v>
      </c>
      <c r="AW205" s="8">
        <v>0</v>
      </c>
      <c r="AX205" s="8" t="s">
        <v>2007</v>
      </c>
      <c r="AY205" s="14">
        <v>9850</v>
      </c>
      <c r="AZ205" s="19">
        <v>45955</v>
      </c>
      <c r="BA205" s="14" t="s">
        <v>1168</v>
      </c>
      <c r="BB205" s="14">
        <v>9850</v>
      </c>
      <c r="BC205" s="19">
        <v>45955</v>
      </c>
      <c r="BD205" s="14" t="s">
        <v>1168</v>
      </c>
      <c r="BE205" s="14">
        <v>9850</v>
      </c>
      <c r="BF205" s="19">
        <v>45955</v>
      </c>
      <c r="BG205" s="14" t="s">
        <v>1168</v>
      </c>
      <c r="BH205" s="14">
        <v>9850</v>
      </c>
      <c r="BI205" s="19">
        <v>45955</v>
      </c>
      <c r="BJ205" s="14" t="s">
        <v>1168</v>
      </c>
      <c r="BK205" s="14">
        <v>9850</v>
      </c>
      <c r="BL205" s="19">
        <v>45955</v>
      </c>
      <c r="BM205" s="14" t="s">
        <v>1168</v>
      </c>
      <c r="BN205" s="27">
        <v>46135</v>
      </c>
      <c r="BO205" s="27">
        <v>46135</v>
      </c>
      <c r="BP205" s="27">
        <v>46135</v>
      </c>
      <c r="BQ205" s="27">
        <v>46135</v>
      </c>
      <c r="BR205" s="27">
        <v>46320</v>
      </c>
      <c r="BS205" s="28">
        <v>280</v>
      </c>
      <c r="BT205" s="29">
        <v>1030</v>
      </c>
      <c r="BU205" s="29">
        <v>280</v>
      </c>
      <c r="BV205" s="29">
        <v>280</v>
      </c>
      <c r="BW205" s="29">
        <v>1030</v>
      </c>
      <c r="BX205" s="30" t="e">
        <v>#N/A</v>
      </c>
      <c r="BY205" s="8">
        <v>0</v>
      </c>
      <c r="BZ205" s="8">
        <v>4</v>
      </c>
      <c r="CA205" s="8">
        <v>0</v>
      </c>
      <c r="CB205" s="21" t="s">
        <v>143</v>
      </c>
      <c r="CC205" s="21" t="s">
        <v>143</v>
      </c>
      <c r="CD205" s="21" t="s">
        <v>143</v>
      </c>
      <c r="CE205" s="21" t="s">
        <v>143</v>
      </c>
      <c r="CF205" s="21" t="s">
        <v>143</v>
      </c>
      <c r="CG205" s="21" t="s">
        <v>143</v>
      </c>
      <c r="CH205" s="21" t="s">
        <v>143</v>
      </c>
      <c r="CI205" s="21" t="s">
        <v>143</v>
      </c>
      <c r="CJ205" s="21" t="s">
        <v>143</v>
      </c>
      <c r="CK205" s="22" t="s">
        <v>143</v>
      </c>
      <c r="CL205" s="22" t="s">
        <v>143</v>
      </c>
      <c r="CM205" s="22" t="s">
        <v>143</v>
      </c>
      <c r="CN205" s="22" t="s">
        <v>143</v>
      </c>
      <c r="CO205" s="22" t="s">
        <v>143</v>
      </c>
      <c r="CP205" s="22" t="s">
        <v>143</v>
      </c>
      <c r="CQ205" s="22" t="s">
        <v>143</v>
      </c>
      <c r="CR205" s="22" t="s">
        <v>143</v>
      </c>
      <c r="CS205" s="22" t="s">
        <v>143</v>
      </c>
      <c r="CT205" s="22" t="s">
        <v>143</v>
      </c>
      <c r="CU205" s="21" t="s">
        <v>143</v>
      </c>
      <c r="CV205" s="21" t="s">
        <v>143</v>
      </c>
      <c r="CW205" s="21" t="s">
        <v>143</v>
      </c>
      <c r="CX205" s="21" t="s">
        <v>143</v>
      </c>
      <c r="CY205" s="21" t="s">
        <v>143</v>
      </c>
      <c r="CZ205" s="21" t="s">
        <v>143</v>
      </c>
      <c r="DA205" s="21" t="s">
        <v>143</v>
      </c>
      <c r="DB205" s="21" t="s">
        <v>143</v>
      </c>
      <c r="DC205" s="21" t="s">
        <v>143</v>
      </c>
      <c r="DD205" s="8" t="s">
        <v>143</v>
      </c>
      <c r="DE205" s="8" t="s">
        <v>143</v>
      </c>
      <c r="DF205" s="8" t="s">
        <v>143</v>
      </c>
      <c r="DG205" s="8">
        <v>0</v>
      </c>
      <c r="DH205" s="8">
        <v>0</v>
      </c>
      <c r="DI205" s="8">
        <v>0</v>
      </c>
      <c r="DJ205" s="8" t="s">
        <v>3032</v>
      </c>
      <c r="DK205" s="21">
        <v>41543</v>
      </c>
      <c r="DL205" s="21">
        <v>41515</v>
      </c>
      <c r="DM205" s="21">
        <v>45966</v>
      </c>
      <c r="DN205" s="18">
        <v>9880</v>
      </c>
      <c r="DO205" s="21">
        <v>0</v>
      </c>
      <c r="DP205" s="21">
        <v>0</v>
      </c>
      <c r="DQ205" s="21" t="s">
        <v>2955</v>
      </c>
      <c r="DR205" s="21">
        <v>45955</v>
      </c>
      <c r="DS205" s="21">
        <v>45955</v>
      </c>
      <c r="DT205" s="21">
        <v>45955</v>
      </c>
      <c r="DU205" s="21">
        <v>45955</v>
      </c>
      <c r="DV205" s="21">
        <v>45955</v>
      </c>
      <c r="DW205" s="21">
        <v>45955</v>
      </c>
      <c r="DX205" s="21">
        <v>45955</v>
      </c>
      <c r="DY205" s="21">
        <v>45955</v>
      </c>
      <c r="DZ205" s="21">
        <v>45955</v>
      </c>
      <c r="EA205" s="8">
        <v>1470</v>
      </c>
      <c r="EB205" s="8">
        <v>720</v>
      </c>
      <c r="EC205" s="8">
        <v>720</v>
      </c>
      <c r="ED205" s="8">
        <v>720</v>
      </c>
      <c r="EE205" s="8">
        <v>720</v>
      </c>
      <c r="EF205" s="8">
        <v>1470</v>
      </c>
      <c r="EG205" s="8">
        <v>1000</v>
      </c>
      <c r="EH205" s="8">
        <v>1470</v>
      </c>
      <c r="EI205" s="8">
        <v>1470</v>
      </c>
      <c r="EJ205" s="8">
        <v>2</v>
      </c>
      <c r="EK205" s="8" t="s">
        <v>715</v>
      </c>
      <c r="EL205" s="8">
        <v>147</v>
      </c>
      <c r="EM205" s="8">
        <v>441</v>
      </c>
      <c r="EN205" s="8">
        <v>1182</v>
      </c>
      <c r="EO205" s="8">
        <v>432</v>
      </c>
      <c r="EP205" s="8">
        <v>432</v>
      </c>
      <c r="EQ205" s="8">
        <v>432</v>
      </c>
      <c r="ER205" s="8">
        <v>432</v>
      </c>
      <c r="ES205" s="8">
        <v>1182</v>
      </c>
      <c r="ET205" s="8">
        <v>712</v>
      </c>
      <c r="EU205" s="8">
        <v>1182</v>
      </c>
      <c r="EV205" s="8">
        <v>1182</v>
      </c>
    </row>
    <row r="206" spans="1:152" x14ac:dyDescent="0.15">
      <c r="A206" s="8">
        <f>ROW([2]!tbl_DPSAC[[#This Row],[Sl. No.]])-1</f>
        <v>205</v>
      </c>
      <c r="B206" s="9" t="s">
        <v>136</v>
      </c>
      <c r="C206" s="9" t="s">
        <v>1169</v>
      </c>
      <c r="D206" s="9" t="s">
        <v>198</v>
      </c>
      <c r="E206" s="9" t="s">
        <v>199</v>
      </c>
      <c r="F206" s="9" t="s">
        <v>161</v>
      </c>
      <c r="G206" s="10" t="s">
        <v>1170</v>
      </c>
      <c r="H206" s="10" t="str">
        <f>_xlfn.XLOOKUP(C206,'[1]E&amp;DPSAC'!$K:$K,'[1]E&amp;DPSAC'!$E:$E,,0)</f>
        <v>PAKUR, JHARKHAND</v>
      </c>
      <c r="I206" s="10" t="s">
        <v>1171</v>
      </c>
      <c r="J206" s="10">
        <v>9708578832</v>
      </c>
      <c r="K206" s="10">
        <f>_xlfn.XLOOKUP(C206,'[1]E&amp;DPSAC'!$K:$K,'[1]E&amp;DPSAC'!$G:$G,"",0)</f>
        <v>9708578832</v>
      </c>
      <c r="L206" s="9" t="str">
        <f t="shared" ca="1" si="12"/>
        <v>Non - Warranty</v>
      </c>
      <c r="M206" s="11">
        <v>42795</v>
      </c>
      <c r="N206" s="12">
        <v>24</v>
      </c>
      <c r="O206" s="11">
        <f t="shared" si="13"/>
        <v>43524</v>
      </c>
      <c r="P206" s="8" t="s">
        <v>681</v>
      </c>
      <c r="Q206" s="16" t="s">
        <v>1172</v>
      </c>
      <c r="R206" s="15">
        <v>45265.549270833297</v>
      </c>
      <c r="S206" s="14">
        <v>5415</v>
      </c>
      <c r="T206" s="15">
        <v>45265</v>
      </c>
      <c r="U206" s="14">
        <v>5415</v>
      </c>
      <c r="V206" s="14">
        <v>6222</v>
      </c>
      <c r="W206" s="17">
        <v>45966.490972222222</v>
      </c>
      <c r="X206" s="14" t="s">
        <v>2745</v>
      </c>
      <c r="Y206" s="14">
        <v>-57</v>
      </c>
      <c r="Z206" s="14" t="s">
        <v>2697</v>
      </c>
      <c r="AA206" s="18">
        <v>847.45072916670324</v>
      </c>
      <c r="AB206" s="18" t="s">
        <v>2697</v>
      </c>
      <c r="AC206" s="8">
        <f>tbl_DPSAC[[#This Row],[Current Month Due Count]]</f>
        <v>0</v>
      </c>
      <c r="AD206" s="8">
        <f>tbl_DPSAC[[#This Row],[Next Month Due2]]</f>
        <v>0</v>
      </c>
      <c r="AE206" s="8">
        <f t="shared" si="14"/>
        <v>1</v>
      </c>
      <c r="AF206" s="8">
        <v>0</v>
      </c>
      <c r="AG206" s="14">
        <f t="shared" ca="1" si="15"/>
        <v>6222</v>
      </c>
      <c r="AH206" s="8">
        <v>0</v>
      </c>
      <c r="AI206" s="8">
        <v>0</v>
      </c>
      <c r="AJ206" s="8">
        <v>0</v>
      </c>
      <c r="AK206" s="8">
        <v>0</v>
      </c>
      <c r="AL206" s="8">
        <v>0</v>
      </c>
      <c r="AM206" s="8">
        <v>0</v>
      </c>
      <c r="AN206" s="8">
        <v>0</v>
      </c>
      <c r="AO206" s="8">
        <v>0</v>
      </c>
      <c r="AP206" s="8">
        <v>0</v>
      </c>
      <c r="AQ206" s="8">
        <v>0</v>
      </c>
      <c r="AR206" s="8">
        <v>0</v>
      </c>
      <c r="AS206" s="8">
        <v>0</v>
      </c>
      <c r="AT206" s="8">
        <v>0</v>
      </c>
      <c r="AU206" s="8">
        <v>0</v>
      </c>
      <c r="AV206" s="8">
        <v>0</v>
      </c>
      <c r="AW206" s="8">
        <v>0</v>
      </c>
      <c r="AX206" s="8" t="s">
        <v>2961</v>
      </c>
      <c r="AY206" s="14">
        <v>5415</v>
      </c>
      <c r="AZ206" s="19">
        <v>45265</v>
      </c>
      <c r="BA206" s="14" t="s">
        <v>1172</v>
      </c>
      <c r="BB206" s="14">
        <v>3537</v>
      </c>
      <c r="BC206" s="19">
        <v>44371.528668981482</v>
      </c>
      <c r="BD206" s="14"/>
      <c r="BE206" s="14">
        <v>5415</v>
      </c>
      <c r="BF206" s="19">
        <v>45265</v>
      </c>
      <c r="BG206" s="14" t="s">
        <v>1172</v>
      </c>
      <c r="BH206" s="14">
        <v>5415</v>
      </c>
      <c r="BI206" s="19">
        <v>45265</v>
      </c>
      <c r="BJ206" s="14" t="s">
        <v>1172</v>
      </c>
      <c r="BK206" s="14">
        <v>3537</v>
      </c>
      <c r="BL206" s="19">
        <v>44371.528668981482</v>
      </c>
      <c r="BM206" s="14"/>
      <c r="BN206" s="27">
        <v>45445</v>
      </c>
      <c r="BO206" s="27">
        <v>44551.528668981482</v>
      </c>
      <c r="BP206" s="27">
        <v>45445</v>
      </c>
      <c r="BQ206" s="27">
        <v>45445</v>
      </c>
      <c r="BR206" s="27">
        <v>44736.528668981482</v>
      </c>
      <c r="BS206" s="28">
        <v>-57</v>
      </c>
      <c r="BT206" s="29">
        <v>-1185</v>
      </c>
      <c r="BU206" s="29">
        <v>-57</v>
      </c>
      <c r="BV206" s="29">
        <v>-57</v>
      </c>
      <c r="BW206" s="29">
        <v>-1185</v>
      </c>
      <c r="BX206" s="30" t="s">
        <v>281</v>
      </c>
      <c r="BY206" s="8">
        <v>5</v>
      </c>
      <c r="BZ206" s="8">
        <v>0</v>
      </c>
      <c r="CA206" s="8">
        <v>0</v>
      </c>
      <c r="CB206" s="21">
        <v>45264.770833333299</v>
      </c>
      <c r="CC206" s="21">
        <v>45264.770833333299</v>
      </c>
      <c r="CD206" s="21">
        <v>45264.770833333299</v>
      </c>
      <c r="CE206" s="21">
        <v>45264.770833333299</v>
      </c>
      <c r="CF206" s="21">
        <v>45264.770833333299</v>
      </c>
      <c r="CG206" s="21">
        <v>0</v>
      </c>
      <c r="CH206" s="21">
        <v>0</v>
      </c>
      <c r="CI206" s="21">
        <v>0</v>
      </c>
      <c r="CJ206" s="21">
        <v>0</v>
      </c>
      <c r="CK206" s="22" t="s">
        <v>3011</v>
      </c>
      <c r="CL206" s="22" t="s">
        <v>3011</v>
      </c>
      <c r="CM206" s="22" t="s">
        <v>3011</v>
      </c>
      <c r="CN206" s="22" t="s">
        <v>3011</v>
      </c>
      <c r="CO206" s="22" t="s">
        <v>3011</v>
      </c>
      <c r="CP206" s="22" t="s">
        <v>3007</v>
      </c>
      <c r="CQ206" s="22" t="s">
        <v>2953</v>
      </c>
      <c r="CR206" s="22" t="s">
        <v>3007</v>
      </c>
      <c r="CS206" s="22" t="s">
        <v>3007</v>
      </c>
      <c r="CT206" s="22">
        <v>2</v>
      </c>
      <c r="CU206" s="21">
        <v>45444</v>
      </c>
      <c r="CV206" s="21">
        <v>45444</v>
      </c>
      <c r="CW206" s="21">
        <v>45444</v>
      </c>
      <c r="CX206" s="21">
        <v>45444</v>
      </c>
      <c r="CY206" s="21">
        <v>45444</v>
      </c>
      <c r="CZ206" s="21">
        <v>46159</v>
      </c>
      <c r="DA206" s="21">
        <v>46059</v>
      </c>
      <c r="DB206" s="21">
        <v>46069</v>
      </c>
      <c r="DC206" s="21">
        <v>46118</v>
      </c>
      <c r="DD206" s="8">
        <v>1</v>
      </c>
      <c r="DE206" s="8">
        <v>1</v>
      </c>
      <c r="DF206" s="8">
        <v>0</v>
      </c>
      <c r="DG206" s="8">
        <v>7</v>
      </c>
      <c r="DH206" s="8">
        <v>1</v>
      </c>
      <c r="DI206" s="8">
        <v>1</v>
      </c>
      <c r="DJ206" s="8" t="s">
        <v>3025</v>
      </c>
      <c r="DK206" s="21">
        <v>42795</v>
      </c>
      <c r="DL206" s="21">
        <v>42773</v>
      </c>
      <c r="DM206" s="21">
        <v>45966</v>
      </c>
      <c r="DN206" s="18">
        <v>6222</v>
      </c>
      <c r="DO206" s="21">
        <v>0</v>
      </c>
      <c r="DP206" s="21">
        <v>0</v>
      </c>
      <c r="DQ206" s="21" t="s">
        <v>2955</v>
      </c>
      <c r="DR206" s="21">
        <v>45265</v>
      </c>
      <c r="DS206" s="21">
        <v>45265</v>
      </c>
      <c r="DT206" s="21">
        <v>45265</v>
      </c>
      <c r="DU206" s="21">
        <v>45265</v>
      </c>
      <c r="DV206" s="21">
        <v>45265</v>
      </c>
      <c r="DW206" s="21">
        <v>0</v>
      </c>
      <c r="DX206" s="21">
        <v>0</v>
      </c>
      <c r="DY206" s="21">
        <v>0</v>
      </c>
      <c r="DZ206" s="21">
        <v>0</v>
      </c>
      <c r="EA206" s="8">
        <v>150</v>
      </c>
      <c r="EB206" s="8">
        <v>150</v>
      </c>
      <c r="EC206" s="8">
        <v>150</v>
      </c>
      <c r="ED206" s="8">
        <v>150</v>
      </c>
      <c r="EE206" s="8">
        <v>150</v>
      </c>
      <c r="EF206" s="8">
        <v>650</v>
      </c>
      <c r="EG206" s="8">
        <v>1000</v>
      </c>
      <c r="EH206" s="8">
        <v>650</v>
      </c>
      <c r="EI206" s="8">
        <v>650</v>
      </c>
      <c r="EJ206" s="8">
        <v>2</v>
      </c>
      <c r="EK206" s="8" t="s">
        <v>2624</v>
      </c>
      <c r="EL206" s="8">
        <v>147</v>
      </c>
      <c r="EM206" s="8">
        <v>0</v>
      </c>
      <c r="EN206" s="8">
        <v>-138</v>
      </c>
      <c r="EO206" s="8">
        <v>-138</v>
      </c>
      <c r="EP206" s="8">
        <v>-138</v>
      </c>
      <c r="EQ206" s="8">
        <v>-138</v>
      </c>
      <c r="ER206" s="8">
        <v>-138</v>
      </c>
      <c r="ES206" s="8">
        <v>362</v>
      </c>
      <c r="ET206" s="8">
        <v>712</v>
      </c>
      <c r="EU206" s="8">
        <v>362</v>
      </c>
      <c r="EV206" s="8">
        <v>362</v>
      </c>
    </row>
    <row r="207" spans="1:152" x14ac:dyDescent="0.15">
      <c r="A207" s="8">
        <f>ROW([2]!tbl_DPSAC[[#This Row],[Sl. No.]])-1</f>
        <v>206</v>
      </c>
      <c r="B207" s="9" t="s">
        <v>136</v>
      </c>
      <c r="C207" s="9" t="s">
        <v>1173</v>
      </c>
      <c r="D207" s="9" t="s">
        <v>175</v>
      </c>
      <c r="E207" s="9" t="s">
        <v>176</v>
      </c>
      <c r="F207" s="9" t="s">
        <v>161</v>
      </c>
      <c r="G207" s="10" t="s">
        <v>1174</v>
      </c>
      <c r="H207" s="10" t="str">
        <f>_xlfn.XLOOKUP(C207,'[1]E&amp;DPSAC'!$K:$K,'[1]E&amp;DPSAC'!$E:$E,,0)</f>
        <v>PATRATU</v>
      </c>
      <c r="I207" s="10"/>
      <c r="J207" s="10">
        <v>9667825845</v>
      </c>
      <c r="K207" s="10">
        <f>_xlfn.XLOOKUP(C207,'[1]E&amp;DPSAC'!$K:$K,'[1]E&amp;DPSAC'!$G:$G,"",0)</f>
        <v>9546335099</v>
      </c>
      <c r="L207" s="9" t="str">
        <f t="shared" ca="1" si="12"/>
        <v>Non - Warranty</v>
      </c>
      <c r="M207" s="11">
        <v>43431</v>
      </c>
      <c r="N207" s="12">
        <v>24</v>
      </c>
      <c r="O207" s="11">
        <f t="shared" si="13"/>
        <v>44165</v>
      </c>
      <c r="P207" s="8" t="s">
        <v>681</v>
      </c>
      <c r="Q207" s="16" t="s">
        <v>2644</v>
      </c>
      <c r="R207" s="15">
        <v>43640.534629629597</v>
      </c>
      <c r="S207" s="14">
        <v>866</v>
      </c>
      <c r="T207" s="15">
        <v>46046</v>
      </c>
      <c r="U207" s="14">
        <v>4446</v>
      </c>
      <c r="V207" s="14">
        <v>10600</v>
      </c>
      <c r="W207" s="17">
        <v>45966.493750000001</v>
      </c>
      <c r="X207" s="14">
        <v>0</v>
      </c>
      <c r="Y207" s="14">
        <v>-8984</v>
      </c>
      <c r="Z207" s="14" t="s">
        <v>2697</v>
      </c>
      <c r="AA207" s="18">
        <v>2472.4653703704025</v>
      </c>
      <c r="AB207" s="18" t="s">
        <v>2697</v>
      </c>
      <c r="AC207" s="8">
        <f>tbl_DPSAC[[#This Row],[Current Month Due Count]]</f>
        <v>0</v>
      </c>
      <c r="AD207" s="8">
        <f>tbl_DPSAC[[#This Row],[Next Month Due2]]</f>
        <v>0</v>
      </c>
      <c r="AE207" s="8">
        <f t="shared" si="14"/>
        <v>1</v>
      </c>
      <c r="AF207" s="8">
        <v>2</v>
      </c>
      <c r="AG207" s="14">
        <f t="shared" ca="1" si="15"/>
        <v>10893</v>
      </c>
      <c r="AH207" s="8" t="s">
        <v>1175</v>
      </c>
      <c r="AI207" s="8" t="s">
        <v>1176</v>
      </c>
      <c r="AJ207" s="8">
        <v>0</v>
      </c>
      <c r="AK207" s="8">
        <v>0</v>
      </c>
      <c r="AL207" s="8">
        <v>0</v>
      </c>
      <c r="AM207" s="8">
        <v>0</v>
      </c>
      <c r="AN207" s="8">
        <v>0</v>
      </c>
      <c r="AO207" s="8">
        <v>0</v>
      </c>
      <c r="AP207" s="8" t="s">
        <v>1177</v>
      </c>
      <c r="AQ207" s="8">
        <v>0</v>
      </c>
      <c r="AR207" s="8">
        <v>0</v>
      </c>
      <c r="AS207" s="8">
        <v>0</v>
      </c>
      <c r="AT207" s="8">
        <v>0</v>
      </c>
      <c r="AU207" s="8">
        <v>0</v>
      </c>
      <c r="AV207" s="8">
        <v>0</v>
      </c>
      <c r="AW207" s="8">
        <v>0</v>
      </c>
      <c r="AX207" s="8" t="s">
        <v>2961</v>
      </c>
      <c r="AY207" s="14">
        <v>2014</v>
      </c>
      <c r="AZ207" s="19">
        <v>44371.534629629627</v>
      </c>
      <c r="BA207" s="14"/>
      <c r="BB207" s="14">
        <v>2014</v>
      </c>
      <c r="BC207" s="19">
        <v>44371.534629629627</v>
      </c>
      <c r="BD207" s="14"/>
      <c r="BE207" s="14">
        <v>2014</v>
      </c>
      <c r="BF207" s="19">
        <v>44371.534629629627</v>
      </c>
      <c r="BG207" s="14"/>
      <c r="BH207" s="14">
        <v>2014</v>
      </c>
      <c r="BI207" s="19">
        <v>44371.534629629627</v>
      </c>
      <c r="BJ207" s="14"/>
      <c r="BK207" s="14">
        <v>2014</v>
      </c>
      <c r="BL207" s="19">
        <v>44371.534629629627</v>
      </c>
      <c r="BM207" s="14"/>
      <c r="BN207" s="27">
        <v>44551.534629629627</v>
      </c>
      <c r="BO207" s="27">
        <v>44551.534629629627</v>
      </c>
      <c r="BP207" s="27">
        <v>44551.534629629627</v>
      </c>
      <c r="BQ207" s="27">
        <v>44551.534629629627</v>
      </c>
      <c r="BR207" s="27">
        <v>44736.534629629627</v>
      </c>
      <c r="BS207" s="28">
        <v>-8129</v>
      </c>
      <c r="BT207" s="29">
        <v>-7379</v>
      </c>
      <c r="BU207" s="29">
        <v>-8129</v>
      </c>
      <c r="BV207" s="29">
        <v>-8129</v>
      </c>
      <c r="BW207" s="29">
        <v>-7379</v>
      </c>
      <c r="BX207" s="30" t="s">
        <v>173</v>
      </c>
      <c r="BY207" s="8">
        <v>5</v>
      </c>
      <c r="BZ207" s="8">
        <v>0</v>
      </c>
      <c r="CA207" s="8">
        <v>0</v>
      </c>
      <c r="CB207" s="21">
        <v>0</v>
      </c>
      <c r="CC207" s="21">
        <v>0</v>
      </c>
      <c r="CD207" s="21">
        <v>0</v>
      </c>
      <c r="CE207" s="21">
        <v>0</v>
      </c>
      <c r="CF207" s="21">
        <v>0</v>
      </c>
      <c r="CG207" s="21">
        <v>0</v>
      </c>
      <c r="CH207" s="21">
        <v>0</v>
      </c>
      <c r="CI207" s="21">
        <v>0</v>
      </c>
      <c r="CJ207" s="21">
        <v>0</v>
      </c>
      <c r="CK207" s="22" t="s">
        <v>3109</v>
      </c>
      <c r="CL207" s="22" t="s">
        <v>3109</v>
      </c>
      <c r="CM207" s="22" t="s">
        <v>3109</v>
      </c>
      <c r="CN207" s="22" t="s">
        <v>3109</v>
      </c>
      <c r="CO207" s="22" t="s">
        <v>3109</v>
      </c>
      <c r="CP207" s="22" t="s">
        <v>3109</v>
      </c>
      <c r="CQ207" s="22" t="s">
        <v>2953</v>
      </c>
      <c r="CR207" s="22" t="s">
        <v>3109</v>
      </c>
      <c r="CS207" s="22" t="s">
        <v>3109</v>
      </c>
      <c r="CT207" s="22">
        <v>2</v>
      </c>
      <c r="CU207" s="21">
        <v>46118</v>
      </c>
      <c r="CV207" s="21">
        <v>46095</v>
      </c>
      <c r="CW207" s="21">
        <v>46095</v>
      </c>
      <c r="CX207" s="21">
        <v>46118</v>
      </c>
      <c r="CY207" s="21">
        <v>46118</v>
      </c>
      <c r="CZ207" s="21">
        <v>46140</v>
      </c>
      <c r="DA207" s="21">
        <v>46059</v>
      </c>
      <c r="DB207" s="21">
        <v>46050</v>
      </c>
      <c r="DC207" s="21">
        <v>46098</v>
      </c>
      <c r="DD207" s="8">
        <v>1</v>
      </c>
      <c r="DE207" s="8">
        <v>1</v>
      </c>
      <c r="DF207" s="8">
        <v>1</v>
      </c>
      <c r="DG207" s="8">
        <v>5</v>
      </c>
      <c r="DH207" s="8">
        <v>4</v>
      </c>
      <c r="DI207" s="8">
        <v>0</v>
      </c>
      <c r="DJ207" s="8" t="s">
        <v>3025</v>
      </c>
      <c r="DK207" s="21">
        <v>43431</v>
      </c>
      <c r="DL207" s="21">
        <v>43300</v>
      </c>
      <c r="DM207" s="21">
        <v>45966</v>
      </c>
      <c r="DN207" s="18">
        <v>10600</v>
      </c>
      <c r="DO207" s="21">
        <v>0</v>
      </c>
      <c r="DP207" s="21">
        <v>0</v>
      </c>
      <c r="DQ207" s="21">
        <v>0</v>
      </c>
      <c r="DR207" s="21">
        <v>0</v>
      </c>
      <c r="DS207" s="21">
        <v>0</v>
      </c>
      <c r="DT207" s="21">
        <v>0</v>
      </c>
      <c r="DU207" s="21">
        <v>0</v>
      </c>
      <c r="DV207" s="21">
        <v>0</v>
      </c>
      <c r="DW207" s="21">
        <v>0</v>
      </c>
      <c r="DX207" s="21">
        <v>0</v>
      </c>
      <c r="DY207" s="21">
        <v>0</v>
      </c>
      <c r="DZ207" s="21">
        <v>0</v>
      </c>
      <c r="EA207" s="8">
        <v>435</v>
      </c>
      <c r="EB207" s="8">
        <v>435</v>
      </c>
      <c r="EC207" s="8">
        <v>435</v>
      </c>
      <c r="ED207" s="8">
        <v>435</v>
      </c>
      <c r="EE207" s="8">
        <v>435</v>
      </c>
      <c r="EF207" s="8">
        <v>435</v>
      </c>
      <c r="EG207" s="8">
        <v>1000</v>
      </c>
      <c r="EH207" s="8">
        <v>435</v>
      </c>
      <c r="EI207" s="8">
        <v>435</v>
      </c>
      <c r="EJ207" s="8">
        <v>2</v>
      </c>
      <c r="EK207" s="8" t="s">
        <v>2624</v>
      </c>
      <c r="EL207" s="8">
        <v>147</v>
      </c>
      <c r="EM207" s="8">
        <v>294</v>
      </c>
      <c r="EN207" s="8">
        <v>147</v>
      </c>
      <c r="EO207" s="8">
        <v>147</v>
      </c>
      <c r="EP207" s="8">
        <v>147</v>
      </c>
      <c r="EQ207" s="8">
        <v>147</v>
      </c>
      <c r="ER207" s="8">
        <v>147</v>
      </c>
      <c r="ES207" s="8">
        <v>147</v>
      </c>
      <c r="ET207" s="8">
        <v>712</v>
      </c>
      <c r="EU207" s="8">
        <v>147</v>
      </c>
      <c r="EV207" s="8">
        <v>147</v>
      </c>
    </row>
    <row r="208" spans="1:152" x14ac:dyDescent="0.15">
      <c r="A208" s="8">
        <f>ROW([2]!tbl_DPSAC[[#This Row],[Sl. No.]])-1</f>
        <v>207</v>
      </c>
      <c r="B208" s="9" t="s">
        <v>136</v>
      </c>
      <c r="C208" s="9" t="s">
        <v>1178</v>
      </c>
      <c r="D208" s="9" t="s">
        <v>169</v>
      </c>
      <c r="E208" s="9" t="s">
        <v>170</v>
      </c>
      <c r="F208" s="9" t="s">
        <v>161</v>
      </c>
      <c r="G208" s="10" t="s">
        <v>177</v>
      </c>
      <c r="H208" s="10" t="str">
        <f>_xlfn.XLOOKUP(C208,'[1]E&amp;DPSAC'!$K:$K,'[1]E&amp;DPSAC'!$E:$E,,0)</f>
        <v>MIRJA CHOWK, SAHEBGANJ</v>
      </c>
      <c r="I208" s="10"/>
      <c r="J208" s="10" t="s">
        <v>143</v>
      </c>
      <c r="K208" s="10">
        <f>_xlfn.XLOOKUP(C208,'[1]E&amp;DPSAC'!$K:$K,'[1]E&amp;DPSAC'!$G:$G,"",0)</f>
        <v>0</v>
      </c>
      <c r="L208" s="9" t="str">
        <f t="shared" ca="1" si="12"/>
        <v>Non - Warranty</v>
      </c>
      <c r="M208" s="11">
        <v>42930</v>
      </c>
      <c r="N208" s="12">
        <v>24</v>
      </c>
      <c r="O208" s="11">
        <f t="shared" si="13"/>
        <v>43677</v>
      </c>
      <c r="P208" s="8" t="s">
        <v>681</v>
      </c>
      <c r="Q208" s="16" t="s">
        <v>1179</v>
      </c>
      <c r="R208" s="15">
        <v>46074.492164351897</v>
      </c>
      <c r="S208" s="14">
        <v>7920</v>
      </c>
      <c r="T208" s="15">
        <v>45000</v>
      </c>
      <c r="U208" s="14">
        <v>5210</v>
      </c>
      <c r="V208" s="14">
        <v>7920</v>
      </c>
      <c r="W208" s="17">
        <v>46074.492164351897</v>
      </c>
      <c r="X208" s="14" t="s">
        <v>2763</v>
      </c>
      <c r="Y208" s="14">
        <v>750</v>
      </c>
      <c r="Z208" s="14" t="s">
        <v>2692</v>
      </c>
      <c r="AA208" s="18">
        <v>38.507835648102628</v>
      </c>
      <c r="AB208" s="18" t="s">
        <v>2692</v>
      </c>
      <c r="AC208" s="8">
        <f>tbl_DPSAC[[#This Row],[Current Month Due Count]]</f>
        <v>0</v>
      </c>
      <c r="AD208" s="8">
        <f>tbl_DPSAC[[#This Row],[Next Month Due2]]</f>
        <v>0</v>
      </c>
      <c r="AE208" s="8">
        <f t="shared" si="14"/>
        <v>0</v>
      </c>
      <c r="AF208" s="8">
        <v>1</v>
      </c>
      <c r="AG208" s="14">
        <f t="shared" ca="1" si="15"/>
        <v>7959</v>
      </c>
      <c r="AH208" s="8">
        <v>0</v>
      </c>
      <c r="AI208" s="8">
        <v>0</v>
      </c>
      <c r="AJ208" s="8">
        <v>0</v>
      </c>
      <c r="AK208" s="8">
        <v>0</v>
      </c>
      <c r="AL208" s="8">
        <v>0</v>
      </c>
      <c r="AM208" s="8">
        <v>0</v>
      </c>
      <c r="AN208" s="8">
        <v>0</v>
      </c>
      <c r="AO208" s="8">
        <v>0</v>
      </c>
      <c r="AP208" s="8">
        <v>0</v>
      </c>
      <c r="AQ208" s="8">
        <v>0</v>
      </c>
      <c r="AR208" s="8">
        <v>0</v>
      </c>
      <c r="AS208" s="8">
        <v>0</v>
      </c>
      <c r="AT208" s="8">
        <v>0</v>
      </c>
      <c r="AU208" s="8">
        <v>0</v>
      </c>
      <c r="AV208" s="8">
        <v>0</v>
      </c>
      <c r="AW208" s="8">
        <v>0</v>
      </c>
      <c r="AX208" s="8" t="s">
        <v>2007</v>
      </c>
      <c r="AY208" s="14">
        <v>7920</v>
      </c>
      <c r="AZ208" s="19">
        <v>46074</v>
      </c>
      <c r="BA208" s="14" t="s">
        <v>1179</v>
      </c>
      <c r="BB208" s="14">
        <v>7920</v>
      </c>
      <c r="BC208" s="19">
        <v>46074</v>
      </c>
      <c r="BD208" s="14" t="s">
        <v>1179</v>
      </c>
      <c r="BE208" s="14">
        <v>7920</v>
      </c>
      <c r="BF208" s="19">
        <v>46074</v>
      </c>
      <c r="BG208" s="14" t="s">
        <v>1179</v>
      </c>
      <c r="BH208" s="14">
        <v>7920</v>
      </c>
      <c r="BI208" s="19">
        <v>46074</v>
      </c>
      <c r="BJ208" s="14" t="s">
        <v>1179</v>
      </c>
      <c r="BK208" s="14">
        <v>7920</v>
      </c>
      <c r="BL208" s="19">
        <v>46074</v>
      </c>
      <c r="BM208" s="14" t="s">
        <v>1179</v>
      </c>
      <c r="BN208" s="27">
        <v>46254</v>
      </c>
      <c r="BO208" s="27">
        <v>46254</v>
      </c>
      <c r="BP208" s="27">
        <v>46254</v>
      </c>
      <c r="BQ208" s="27">
        <v>46254</v>
      </c>
      <c r="BR208" s="27">
        <v>46439</v>
      </c>
      <c r="BS208" s="28">
        <v>711</v>
      </c>
      <c r="BT208" s="29">
        <v>1461</v>
      </c>
      <c r="BU208" s="29">
        <v>711</v>
      </c>
      <c r="BV208" s="29">
        <v>711</v>
      </c>
      <c r="BW208" s="29">
        <v>1461</v>
      </c>
      <c r="BX208" s="30" t="s">
        <v>152</v>
      </c>
      <c r="BY208" s="8">
        <v>0</v>
      </c>
      <c r="BZ208" s="8">
        <v>0</v>
      </c>
      <c r="CA208" s="8">
        <v>0</v>
      </c>
      <c r="CB208" s="21">
        <v>46073.770833333299</v>
      </c>
      <c r="CC208" s="21">
        <v>46073.770833333299</v>
      </c>
      <c r="CD208" s="21">
        <v>46073.770833333299</v>
      </c>
      <c r="CE208" s="21">
        <v>46073.770833333299</v>
      </c>
      <c r="CF208" s="21">
        <v>46073.770833333299</v>
      </c>
      <c r="CG208" s="21">
        <v>46073.770833333299</v>
      </c>
      <c r="CH208" s="21">
        <v>46073.770833333299</v>
      </c>
      <c r="CI208" s="21">
        <v>46073.770833333299</v>
      </c>
      <c r="CJ208" s="21">
        <v>46073.770833333299</v>
      </c>
      <c r="CK208" s="22" t="s">
        <v>2956</v>
      </c>
      <c r="CL208" s="22" t="s">
        <v>2957</v>
      </c>
      <c r="CM208" s="22" t="s">
        <v>2959</v>
      </c>
      <c r="CN208" s="22" t="s">
        <v>2957</v>
      </c>
      <c r="CO208" s="22" t="s">
        <v>2957</v>
      </c>
      <c r="CP208" s="22" t="s">
        <v>2956</v>
      </c>
      <c r="CQ208" s="22" t="s">
        <v>2953</v>
      </c>
      <c r="CR208" s="22" t="s">
        <v>2956</v>
      </c>
      <c r="CS208" s="22" t="s">
        <v>2960</v>
      </c>
      <c r="CT208" s="22">
        <v>3</v>
      </c>
      <c r="CU208" s="21">
        <v>46253</v>
      </c>
      <c r="CV208" s="21">
        <v>46253</v>
      </c>
      <c r="CW208" s="21">
        <v>46240</v>
      </c>
      <c r="CX208" s="21">
        <v>46253</v>
      </c>
      <c r="CY208" s="21">
        <v>46253</v>
      </c>
      <c r="CZ208" s="21">
        <v>46343</v>
      </c>
      <c r="DA208" s="21">
        <v>46407</v>
      </c>
      <c r="DB208" s="21">
        <v>46253</v>
      </c>
      <c r="DC208" s="21">
        <v>46438</v>
      </c>
      <c r="DD208" s="8">
        <v>0</v>
      </c>
      <c r="DE208" s="8">
        <v>0</v>
      </c>
      <c r="DF208" s="8">
        <v>0</v>
      </c>
      <c r="DG208" s="8">
        <v>0</v>
      </c>
      <c r="DH208" s="8">
        <v>0</v>
      </c>
      <c r="DI208" s="8">
        <v>0</v>
      </c>
      <c r="DJ208" s="8" t="s">
        <v>3025</v>
      </c>
      <c r="DK208" s="21">
        <v>42930</v>
      </c>
      <c r="DL208" s="21">
        <v>42864</v>
      </c>
      <c r="DM208" s="21">
        <v>46074</v>
      </c>
      <c r="DN208" s="18">
        <v>7920</v>
      </c>
      <c r="DO208" s="21">
        <v>0</v>
      </c>
      <c r="DP208" s="21">
        <v>0</v>
      </c>
      <c r="DQ208" s="21" t="s">
        <v>2955</v>
      </c>
      <c r="DR208" s="21">
        <v>46074</v>
      </c>
      <c r="DS208" s="21">
        <v>46074</v>
      </c>
      <c r="DT208" s="21">
        <v>46074</v>
      </c>
      <c r="DU208" s="21">
        <v>46074</v>
      </c>
      <c r="DV208" s="21">
        <v>46074</v>
      </c>
      <c r="DW208" s="21">
        <v>46074</v>
      </c>
      <c r="DX208" s="21">
        <v>46074</v>
      </c>
      <c r="DY208" s="21">
        <v>46074</v>
      </c>
      <c r="DZ208" s="21">
        <v>46074</v>
      </c>
      <c r="EA208" s="8">
        <v>1500</v>
      </c>
      <c r="EB208" s="8">
        <v>750</v>
      </c>
      <c r="EC208" s="8">
        <v>500</v>
      </c>
      <c r="ED208" s="8">
        <v>750</v>
      </c>
      <c r="EE208" s="8">
        <v>750</v>
      </c>
      <c r="EF208" s="8">
        <v>1500</v>
      </c>
      <c r="EG208" s="8">
        <v>1000</v>
      </c>
      <c r="EH208" s="8">
        <v>1500</v>
      </c>
      <c r="EI208" s="8">
        <v>3000</v>
      </c>
      <c r="EJ208" s="8">
        <v>3</v>
      </c>
      <c r="EK208" s="8" t="s">
        <v>2624</v>
      </c>
      <c r="EL208" s="8">
        <v>39</v>
      </c>
      <c r="EM208" s="8">
        <v>39</v>
      </c>
      <c r="EN208" s="8">
        <v>1212</v>
      </c>
      <c r="EO208" s="8">
        <v>462</v>
      </c>
      <c r="EP208" s="8">
        <v>212</v>
      </c>
      <c r="EQ208" s="8">
        <v>462</v>
      </c>
      <c r="ER208" s="8">
        <v>462</v>
      </c>
      <c r="ES208" s="8">
        <v>1212</v>
      </c>
      <c r="ET208" s="8">
        <v>712</v>
      </c>
      <c r="EU208" s="8">
        <v>1212</v>
      </c>
      <c r="EV208" s="8">
        <v>2712</v>
      </c>
    </row>
    <row r="209" spans="1:152" x14ac:dyDescent="0.15">
      <c r="A209" s="8">
        <f>ROW([2]!tbl_DPSAC[[#This Row],[Sl. No.]])-1</f>
        <v>208</v>
      </c>
      <c r="B209" s="9" t="s">
        <v>136</v>
      </c>
      <c r="C209" s="9" t="s">
        <v>1180</v>
      </c>
      <c r="D209" s="9" t="s">
        <v>1181</v>
      </c>
      <c r="E209" s="9" t="s">
        <v>1182</v>
      </c>
      <c r="F209" s="9" t="s">
        <v>161</v>
      </c>
      <c r="G209" s="10" t="s">
        <v>1183</v>
      </c>
      <c r="H209" s="10" t="str">
        <f>_xlfn.XLOOKUP(C209,'[1]E&amp;DPSAC'!$K:$K,'[1]E&amp;DPSAC'!$E:$E,,0)</f>
        <v>JAMSHEDPUR</v>
      </c>
      <c r="I209" s="10" t="s">
        <v>1184</v>
      </c>
      <c r="J209" s="10" t="s">
        <v>143</v>
      </c>
      <c r="K209" s="10">
        <f>_xlfn.XLOOKUP(C209,'[1]E&amp;DPSAC'!$K:$K,'[1]E&amp;DPSAC'!$G:$G,"",0)</f>
        <v>9234643909</v>
      </c>
      <c r="L209" s="9" t="str">
        <f t="shared" ca="1" si="12"/>
        <v>Non - Warranty</v>
      </c>
      <c r="M209" s="11">
        <v>41244</v>
      </c>
      <c r="N209" s="12">
        <v>24</v>
      </c>
      <c r="O209" s="11">
        <f t="shared" si="13"/>
        <v>41973</v>
      </c>
      <c r="P209" s="8" t="s">
        <v>715</v>
      </c>
      <c r="Q209" s="16" t="s">
        <v>1185</v>
      </c>
      <c r="R209" s="15">
        <v>45955.684027777781</v>
      </c>
      <c r="S209" s="14">
        <v>2160</v>
      </c>
      <c r="T209" s="15">
        <v>45199</v>
      </c>
      <c r="U209" s="14">
        <v>776</v>
      </c>
      <c r="V209" s="14">
        <v>2160</v>
      </c>
      <c r="W209" s="17">
        <v>45955.684027777781</v>
      </c>
      <c r="X209" s="14" t="s">
        <v>2766</v>
      </c>
      <c r="Y209" s="14">
        <v>750</v>
      </c>
      <c r="Z209" s="14" t="s">
        <v>2692</v>
      </c>
      <c r="AA209" s="18">
        <v>157.31597222221899</v>
      </c>
      <c r="AB209" s="18" t="s">
        <v>2692</v>
      </c>
      <c r="AC209" s="8">
        <f>tbl_DPSAC[[#This Row],[Current Month Due Count]]</f>
        <v>4</v>
      </c>
      <c r="AD209" s="8">
        <f>tbl_DPSAC[[#This Row],[Next Month Due2]]</f>
        <v>0</v>
      </c>
      <c r="AE209" s="8">
        <f t="shared" si="14"/>
        <v>0</v>
      </c>
      <c r="AF209" s="8">
        <v>2</v>
      </c>
      <c r="AG209" s="14">
        <f t="shared" ca="1" si="15"/>
        <v>2475</v>
      </c>
      <c r="AH209" s="8">
        <v>0</v>
      </c>
      <c r="AI209" s="8">
        <v>0</v>
      </c>
      <c r="AJ209" s="8">
        <v>0</v>
      </c>
      <c r="AK209" s="8">
        <v>0</v>
      </c>
      <c r="AL209" s="8">
        <v>0</v>
      </c>
      <c r="AM209" s="8">
        <v>0</v>
      </c>
      <c r="AN209" s="8">
        <v>0</v>
      </c>
      <c r="AO209" s="8">
        <v>0</v>
      </c>
      <c r="AP209" s="8">
        <v>0</v>
      </c>
      <c r="AQ209" s="8">
        <v>0</v>
      </c>
      <c r="AR209" s="8">
        <v>0</v>
      </c>
      <c r="AS209" s="8">
        <v>0</v>
      </c>
      <c r="AT209" s="8">
        <v>0</v>
      </c>
      <c r="AU209" s="8">
        <v>0</v>
      </c>
      <c r="AV209" s="8">
        <v>0</v>
      </c>
      <c r="AW209" s="8">
        <v>0</v>
      </c>
      <c r="AX209" s="8" t="s">
        <v>2007</v>
      </c>
      <c r="AY209" s="14">
        <v>2160</v>
      </c>
      <c r="AZ209" s="19">
        <v>45955</v>
      </c>
      <c r="BA209" s="14" t="s">
        <v>1185</v>
      </c>
      <c r="BB209" s="14">
        <v>2160</v>
      </c>
      <c r="BC209" s="19">
        <v>45955</v>
      </c>
      <c r="BD209" s="14" t="s">
        <v>1185</v>
      </c>
      <c r="BE209" s="14">
        <v>2160</v>
      </c>
      <c r="BF209" s="19">
        <v>45955</v>
      </c>
      <c r="BG209" s="14" t="s">
        <v>1185</v>
      </c>
      <c r="BH209" s="14">
        <v>2160</v>
      </c>
      <c r="BI209" s="19">
        <v>45955</v>
      </c>
      <c r="BJ209" s="14" t="s">
        <v>1185</v>
      </c>
      <c r="BK209" s="14">
        <v>2160</v>
      </c>
      <c r="BL209" s="19">
        <v>45955</v>
      </c>
      <c r="BM209" s="14" t="s">
        <v>1185</v>
      </c>
      <c r="BN209" s="27">
        <v>46135</v>
      </c>
      <c r="BO209" s="27">
        <v>46135</v>
      </c>
      <c r="BP209" s="27">
        <v>46135</v>
      </c>
      <c r="BQ209" s="27">
        <v>46135</v>
      </c>
      <c r="BR209" s="27">
        <v>46320</v>
      </c>
      <c r="BS209" s="28">
        <v>435</v>
      </c>
      <c r="BT209" s="29">
        <v>1185</v>
      </c>
      <c r="BU209" s="29">
        <v>435</v>
      </c>
      <c r="BV209" s="29">
        <v>435</v>
      </c>
      <c r="BW209" s="29">
        <v>1185</v>
      </c>
      <c r="BX209" s="30" t="s">
        <v>152</v>
      </c>
      <c r="BY209" s="8">
        <v>0</v>
      </c>
      <c r="BZ209" s="8">
        <v>4</v>
      </c>
      <c r="CA209" s="8">
        <v>0</v>
      </c>
      <c r="CB209" s="21" t="s">
        <v>143</v>
      </c>
      <c r="CC209" s="21" t="s">
        <v>143</v>
      </c>
      <c r="CD209" s="21" t="s">
        <v>143</v>
      </c>
      <c r="CE209" s="21" t="s">
        <v>143</v>
      </c>
      <c r="CF209" s="21" t="s">
        <v>143</v>
      </c>
      <c r="CG209" s="21" t="s">
        <v>143</v>
      </c>
      <c r="CH209" s="21" t="s">
        <v>143</v>
      </c>
      <c r="CI209" s="21" t="s">
        <v>143</v>
      </c>
      <c r="CJ209" s="21" t="s">
        <v>143</v>
      </c>
      <c r="CK209" s="22" t="s">
        <v>143</v>
      </c>
      <c r="CL209" s="22" t="s">
        <v>143</v>
      </c>
      <c r="CM209" s="22" t="s">
        <v>143</v>
      </c>
      <c r="CN209" s="22" t="s">
        <v>143</v>
      </c>
      <c r="CO209" s="22" t="s">
        <v>143</v>
      </c>
      <c r="CP209" s="22" t="s">
        <v>143</v>
      </c>
      <c r="CQ209" s="22" t="s">
        <v>143</v>
      </c>
      <c r="CR209" s="22" t="s">
        <v>143</v>
      </c>
      <c r="CS209" s="22" t="s">
        <v>143</v>
      </c>
      <c r="CT209" s="22" t="s">
        <v>143</v>
      </c>
      <c r="CU209" s="21" t="s">
        <v>143</v>
      </c>
      <c r="CV209" s="21" t="s">
        <v>143</v>
      </c>
      <c r="CW209" s="21" t="s">
        <v>143</v>
      </c>
      <c r="CX209" s="21" t="s">
        <v>143</v>
      </c>
      <c r="CY209" s="21" t="s">
        <v>143</v>
      </c>
      <c r="CZ209" s="21" t="s">
        <v>143</v>
      </c>
      <c r="DA209" s="21" t="s">
        <v>143</v>
      </c>
      <c r="DB209" s="21" t="s">
        <v>143</v>
      </c>
      <c r="DC209" s="21" t="s">
        <v>143</v>
      </c>
      <c r="DD209" s="8" t="s">
        <v>143</v>
      </c>
      <c r="DE209" s="8" t="s">
        <v>143</v>
      </c>
      <c r="DF209" s="8" t="s">
        <v>143</v>
      </c>
      <c r="DG209" s="8">
        <v>0</v>
      </c>
      <c r="DH209" s="8">
        <v>0</v>
      </c>
      <c r="DI209" s="8">
        <v>0</v>
      </c>
      <c r="DJ209" s="8" t="s">
        <v>3032</v>
      </c>
      <c r="DK209" s="21">
        <v>41244</v>
      </c>
      <c r="DL209" s="21">
        <v>41192</v>
      </c>
      <c r="DM209" s="21">
        <v>45955</v>
      </c>
      <c r="DN209" s="18">
        <v>2160</v>
      </c>
      <c r="DO209" s="21">
        <v>0</v>
      </c>
      <c r="DP209" s="21">
        <v>0</v>
      </c>
      <c r="DQ209" s="21" t="s">
        <v>2955</v>
      </c>
      <c r="DR209" s="21">
        <v>45955</v>
      </c>
      <c r="DS209" s="21">
        <v>45955</v>
      </c>
      <c r="DT209" s="21">
        <v>0</v>
      </c>
      <c r="DU209" s="21">
        <v>45670</v>
      </c>
      <c r="DV209" s="21">
        <v>45955</v>
      </c>
      <c r="DW209" s="21">
        <v>45670</v>
      </c>
      <c r="DX209" s="21">
        <v>45670</v>
      </c>
      <c r="DY209" s="21">
        <v>45670</v>
      </c>
      <c r="DZ209" s="21">
        <v>45670</v>
      </c>
      <c r="EA209" s="8">
        <v>1500</v>
      </c>
      <c r="EB209" s="8">
        <v>750</v>
      </c>
      <c r="EC209" s="8">
        <v>600</v>
      </c>
      <c r="ED209" s="8">
        <v>400</v>
      </c>
      <c r="EE209" s="8">
        <v>750</v>
      </c>
      <c r="EF209" s="8">
        <v>750</v>
      </c>
      <c r="EG209" s="8">
        <v>1000</v>
      </c>
      <c r="EH209" s="8">
        <v>1400</v>
      </c>
      <c r="EI209" s="8">
        <v>1400</v>
      </c>
      <c r="EJ209" s="8">
        <v>3</v>
      </c>
      <c r="EK209" s="8" t="s">
        <v>715</v>
      </c>
      <c r="EL209" s="8">
        <v>157</v>
      </c>
      <c r="EM209" s="8">
        <v>314</v>
      </c>
      <c r="EN209" s="8">
        <v>1212</v>
      </c>
      <c r="EO209" s="8">
        <v>462</v>
      </c>
      <c r="EP209" s="8">
        <v>312</v>
      </c>
      <c r="EQ209" s="8">
        <v>112</v>
      </c>
      <c r="ER209" s="8">
        <v>462</v>
      </c>
      <c r="ES209" s="8">
        <v>462</v>
      </c>
      <c r="ET209" s="8">
        <v>712</v>
      </c>
      <c r="EU209" s="8">
        <v>1112</v>
      </c>
      <c r="EV209" s="8">
        <v>1112</v>
      </c>
    </row>
    <row r="210" spans="1:152" x14ac:dyDescent="0.15">
      <c r="A210" s="8">
        <f>ROW([2]!tbl_DPSAC[[#This Row],[Sl. No.]])-1</f>
        <v>209</v>
      </c>
      <c r="B210" s="9" t="s">
        <v>136</v>
      </c>
      <c r="C210" s="9" t="s">
        <v>1186</v>
      </c>
      <c r="D210" s="9" t="s">
        <v>1181</v>
      </c>
      <c r="E210" s="9" t="s">
        <v>1182</v>
      </c>
      <c r="F210" s="9" t="s">
        <v>161</v>
      </c>
      <c r="G210" s="10" t="s">
        <v>1183</v>
      </c>
      <c r="H210" s="10" t="str">
        <f>_xlfn.XLOOKUP(C210,'[1]E&amp;DPSAC'!$K:$K,'[1]E&amp;DPSAC'!$E:$E,,0)</f>
        <v>JAMSHEDPUR</v>
      </c>
      <c r="I210" s="10" t="s">
        <v>1184</v>
      </c>
      <c r="J210" s="10" t="s">
        <v>143</v>
      </c>
      <c r="K210" s="10">
        <f>_xlfn.XLOOKUP(C210,'[1]E&amp;DPSAC'!$K:$K,'[1]E&amp;DPSAC'!$G:$G,"",0)</f>
        <v>9234643909</v>
      </c>
      <c r="L210" s="9" t="str">
        <f t="shared" ca="1" si="12"/>
        <v>Non - Warranty</v>
      </c>
      <c r="M210" s="11">
        <v>41244</v>
      </c>
      <c r="N210" s="12">
        <v>24</v>
      </c>
      <c r="O210" s="11">
        <f t="shared" si="13"/>
        <v>41973</v>
      </c>
      <c r="P210" s="8" t="s">
        <v>715</v>
      </c>
      <c r="Q210" s="16" t="s">
        <v>2645</v>
      </c>
      <c r="R210" s="15">
        <v>44965.640370370398</v>
      </c>
      <c r="S210" s="14">
        <v>405</v>
      </c>
      <c r="T210" s="15">
        <v>44965</v>
      </c>
      <c r="U210" s="14">
        <v>405</v>
      </c>
      <c r="V210" s="14">
        <v>530</v>
      </c>
      <c r="W210" s="17">
        <v>45110.704363425903</v>
      </c>
      <c r="X210" s="14" t="s">
        <v>2789</v>
      </c>
      <c r="Y210" s="14">
        <v>625</v>
      </c>
      <c r="Z210" s="14" t="s">
        <v>2692</v>
      </c>
      <c r="AA210" s="18">
        <v>1147.3596296296018</v>
      </c>
      <c r="AB210" s="18" t="s">
        <v>2697</v>
      </c>
      <c r="AC210" s="8">
        <f>tbl_DPSAC[[#This Row],[Current Month Due Count]]</f>
        <v>0</v>
      </c>
      <c r="AD210" s="8">
        <f>tbl_DPSAC[[#This Row],[Next Month Due2]]</f>
        <v>0</v>
      </c>
      <c r="AE210" s="8">
        <f t="shared" si="14"/>
        <v>1</v>
      </c>
      <c r="AF210" s="8">
        <v>2</v>
      </c>
      <c r="AG210" s="14">
        <f t="shared" ca="1" si="15"/>
        <v>2535</v>
      </c>
      <c r="AH210" s="8">
        <v>0</v>
      </c>
      <c r="AI210" s="8">
        <v>0</v>
      </c>
      <c r="AJ210" s="8">
        <v>0</v>
      </c>
      <c r="AK210" s="8">
        <v>0</v>
      </c>
      <c r="AL210" s="8">
        <v>0</v>
      </c>
      <c r="AM210" s="8">
        <v>0</v>
      </c>
      <c r="AN210" s="8">
        <v>0</v>
      </c>
      <c r="AO210" s="8">
        <v>0</v>
      </c>
      <c r="AP210" s="8">
        <v>0</v>
      </c>
      <c r="AQ210" s="8">
        <v>0</v>
      </c>
      <c r="AR210" s="8">
        <v>0</v>
      </c>
      <c r="AS210" s="8">
        <v>0</v>
      </c>
      <c r="AT210" s="8">
        <v>0</v>
      </c>
      <c r="AU210" s="8">
        <v>0</v>
      </c>
      <c r="AV210" s="8">
        <v>0</v>
      </c>
      <c r="AW210" s="8">
        <v>0</v>
      </c>
      <c r="AX210" s="8" t="s">
        <v>2977</v>
      </c>
      <c r="AY210" s="14">
        <v>75</v>
      </c>
      <c r="AZ210" s="19">
        <v>44937</v>
      </c>
      <c r="BA210" s="14" t="s">
        <v>1187</v>
      </c>
      <c r="BB210" s="14">
        <v>75</v>
      </c>
      <c r="BC210" s="19">
        <v>44937</v>
      </c>
      <c r="BD210" s="14" t="s">
        <v>1187</v>
      </c>
      <c r="BE210" s="14">
        <v>75</v>
      </c>
      <c r="BF210" s="19">
        <v>44937</v>
      </c>
      <c r="BG210" s="14" t="s">
        <v>1187</v>
      </c>
      <c r="BH210" s="14"/>
      <c r="BI210" s="19"/>
      <c r="BJ210" s="14"/>
      <c r="BK210" s="14">
        <v>75</v>
      </c>
      <c r="BL210" s="19">
        <v>44937</v>
      </c>
      <c r="BM210" s="14" t="s">
        <v>1187</v>
      </c>
      <c r="BN210" s="27">
        <v>45117</v>
      </c>
      <c r="BO210" s="27">
        <v>45117</v>
      </c>
      <c r="BP210" s="27">
        <v>45117</v>
      </c>
      <c r="BQ210" s="27" t="s">
        <v>143</v>
      </c>
      <c r="BR210" s="27">
        <v>45302</v>
      </c>
      <c r="BS210" s="28">
        <v>-1710</v>
      </c>
      <c r="BT210" s="29">
        <v>-960</v>
      </c>
      <c r="BU210" s="29">
        <v>-1710</v>
      </c>
      <c r="BV210" s="29" t="s">
        <v>143</v>
      </c>
      <c r="BW210" s="29">
        <v>-960</v>
      </c>
      <c r="BX210" s="30" t="s">
        <v>173</v>
      </c>
      <c r="BY210" s="8">
        <v>4</v>
      </c>
      <c r="BZ210" s="8">
        <v>0</v>
      </c>
      <c r="CA210" s="8">
        <v>0</v>
      </c>
      <c r="CB210" s="21" t="s">
        <v>143</v>
      </c>
      <c r="CC210" s="21" t="s">
        <v>143</v>
      </c>
      <c r="CD210" s="21" t="s">
        <v>143</v>
      </c>
      <c r="CE210" s="21" t="s">
        <v>143</v>
      </c>
      <c r="CF210" s="21" t="s">
        <v>143</v>
      </c>
      <c r="CG210" s="21" t="s">
        <v>143</v>
      </c>
      <c r="CH210" s="21" t="s">
        <v>143</v>
      </c>
      <c r="CI210" s="21" t="s">
        <v>143</v>
      </c>
      <c r="CJ210" s="21" t="s">
        <v>143</v>
      </c>
      <c r="CK210" s="22" t="s">
        <v>143</v>
      </c>
      <c r="CL210" s="22" t="s">
        <v>143</v>
      </c>
      <c r="CM210" s="22" t="s">
        <v>143</v>
      </c>
      <c r="CN210" s="22" t="s">
        <v>143</v>
      </c>
      <c r="CO210" s="22" t="s">
        <v>143</v>
      </c>
      <c r="CP210" s="22" t="s">
        <v>143</v>
      </c>
      <c r="CQ210" s="22" t="s">
        <v>143</v>
      </c>
      <c r="CR210" s="22" t="s">
        <v>143</v>
      </c>
      <c r="CS210" s="22" t="s">
        <v>143</v>
      </c>
      <c r="CT210" s="22" t="s">
        <v>143</v>
      </c>
      <c r="CU210" s="21" t="s">
        <v>143</v>
      </c>
      <c r="CV210" s="21" t="s">
        <v>143</v>
      </c>
      <c r="CW210" s="21" t="s">
        <v>143</v>
      </c>
      <c r="CX210" s="21" t="s">
        <v>143</v>
      </c>
      <c r="CY210" s="21" t="s">
        <v>143</v>
      </c>
      <c r="CZ210" s="21" t="s">
        <v>143</v>
      </c>
      <c r="DA210" s="21" t="s">
        <v>143</v>
      </c>
      <c r="DB210" s="21" t="s">
        <v>143</v>
      </c>
      <c r="DC210" s="21" t="s">
        <v>143</v>
      </c>
      <c r="DD210" s="8" t="s">
        <v>143</v>
      </c>
      <c r="DE210" s="8" t="s">
        <v>143</v>
      </c>
      <c r="DF210" s="8" t="s">
        <v>143</v>
      </c>
      <c r="DG210" s="8">
        <v>0</v>
      </c>
      <c r="DH210" s="8">
        <v>0</v>
      </c>
      <c r="DI210" s="8">
        <v>0</v>
      </c>
      <c r="DJ210" s="8" t="s">
        <v>3032</v>
      </c>
      <c r="DK210" s="21">
        <v>41244</v>
      </c>
      <c r="DL210" s="21">
        <v>41212</v>
      </c>
      <c r="DM210" s="21">
        <v>45110</v>
      </c>
      <c r="DN210" s="18">
        <v>530</v>
      </c>
      <c r="DO210" s="21">
        <v>0</v>
      </c>
      <c r="DP210" s="21">
        <v>0</v>
      </c>
      <c r="DQ210" s="21" t="s">
        <v>2955</v>
      </c>
      <c r="DR210" s="21">
        <v>44965</v>
      </c>
      <c r="DS210" s="21">
        <v>44965</v>
      </c>
      <c r="DT210" s="21">
        <v>0</v>
      </c>
      <c r="DU210" s="21">
        <v>44965</v>
      </c>
      <c r="DV210" s="21">
        <v>44965</v>
      </c>
      <c r="DW210" s="21">
        <v>0</v>
      </c>
      <c r="DX210" s="21">
        <v>0</v>
      </c>
      <c r="DY210" s="21">
        <v>0</v>
      </c>
      <c r="DZ210" s="21">
        <v>0</v>
      </c>
      <c r="EA210" s="8">
        <v>625</v>
      </c>
      <c r="EB210" s="8">
        <v>625</v>
      </c>
      <c r="EC210" s="8">
        <v>625</v>
      </c>
      <c r="ED210" s="8">
        <v>625</v>
      </c>
      <c r="EE210" s="8">
        <v>625</v>
      </c>
      <c r="EF210" s="8">
        <v>625</v>
      </c>
      <c r="EG210" s="8">
        <v>625</v>
      </c>
      <c r="EH210" s="8">
        <v>625</v>
      </c>
      <c r="EI210" s="8">
        <v>1625</v>
      </c>
      <c r="EJ210" s="8">
        <v>2</v>
      </c>
      <c r="EK210" s="8" t="s">
        <v>715</v>
      </c>
      <c r="EL210" s="8">
        <v>1002</v>
      </c>
      <c r="EM210" s="8">
        <v>2004</v>
      </c>
      <c r="EN210" s="8">
        <v>337</v>
      </c>
      <c r="EO210" s="8">
        <v>337</v>
      </c>
      <c r="EP210" s="8">
        <v>337</v>
      </c>
      <c r="EQ210" s="8">
        <v>337</v>
      </c>
      <c r="ER210" s="8">
        <v>337</v>
      </c>
      <c r="ES210" s="8">
        <v>337</v>
      </c>
      <c r="ET210" s="8">
        <v>337</v>
      </c>
      <c r="EU210" s="8">
        <v>337</v>
      </c>
      <c r="EV210" s="8">
        <v>1337</v>
      </c>
    </row>
    <row r="211" spans="1:152" x14ac:dyDescent="0.15">
      <c r="A211" s="8">
        <f>ROW([2]!tbl_DPSAC[[#This Row],[Sl. No.]])-1</f>
        <v>210</v>
      </c>
      <c r="B211" s="9" t="s">
        <v>136</v>
      </c>
      <c r="C211" s="9" t="s">
        <v>1188</v>
      </c>
      <c r="D211" s="9" t="s">
        <v>175</v>
      </c>
      <c r="E211" s="9" t="s">
        <v>176</v>
      </c>
      <c r="F211" s="9" t="s">
        <v>161</v>
      </c>
      <c r="G211" s="10" t="s">
        <v>1189</v>
      </c>
      <c r="H211" s="10" t="e">
        <f>_xlfn.XLOOKUP(C211,'[1]E&amp;DPSAC'!$K:$K,'[1]E&amp;DPSAC'!$E:$E,,0)</f>
        <v>#N/A</v>
      </c>
      <c r="I211" s="10"/>
      <c r="J211" s="10">
        <v>9534839419</v>
      </c>
      <c r="K211" s="10" t="str">
        <f>_xlfn.XLOOKUP(C211,'[1]E&amp;DPSAC'!$K:$K,'[1]E&amp;DPSAC'!$G:$G,"",0)</f>
        <v/>
      </c>
      <c r="L211" s="9" t="str">
        <f t="shared" ca="1" si="12"/>
        <v>Non - Warranty</v>
      </c>
      <c r="M211" s="11">
        <v>43059</v>
      </c>
      <c r="N211" s="12">
        <v>24</v>
      </c>
      <c r="O211" s="11">
        <f t="shared" si="13"/>
        <v>43799</v>
      </c>
      <c r="P211" s="8" t="s">
        <v>681</v>
      </c>
      <c r="Q211" s="16" t="s">
        <v>143</v>
      </c>
      <c r="R211" s="15" t="s">
        <v>143</v>
      </c>
      <c r="S211" s="14" t="s">
        <v>143</v>
      </c>
      <c r="T211" s="15" t="s">
        <v>143</v>
      </c>
      <c r="U211" s="14" t="s">
        <v>143</v>
      </c>
      <c r="V211" s="14">
        <v>5140</v>
      </c>
      <c r="W211" s="17">
        <v>45940.681944444441</v>
      </c>
      <c r="X211" s="14" t="s">
        <v>143</v>
      </c>
      <c r="Y211" s="14">
        <v>0</v>
      </c>
      <c r="Z211" s="14" t="s">
        <v>2692</v>
      </c>
      <c r="AA211" s="18">
        <v>3054</v>
      </c>
      <c r="AB211" s="18" t="s">
        <v>2697</v>
      </c>
      <c r="AC211" s="8">
        <f>tbl_DPSAC[[#This Row],[Current Month Due Count]]</f>
        <v>0</v>
      </c>
      <c r="AD211" s="8">
        <f>tbl_DPSAC[[#This Row],[Next Month Due2]]</f>
        <v>0</v>
      </c>
      <c r="AE211" s="8">
        <f t="shared" si="14"/>
        <v>1</v>
      </c>
      <c r="AF211" s="8">
        <v>3</v>
      </c>
      <c r="AG211" s="14">
        <f t="shared" ca="1" si="15"/>
        <v>5657</v>
      </c>
      <c r="AH211" s="8">
        <v>0</v>
      </c>
      <c r="AI211" s="8">
        <v>0</v>
      </c>
      <c r="AJ211" s="8">
        <v>0</v>
      </c>
      <c r="AK211" s="8">
        <v>0</v>
      </c>
      <c r="AL211" s="8">
        <v>0</v>
      </c>
      <c r="AM211" s="8">
        <v>0</v>
      </c>
      <c r="AN211" s="8">
        <v>0</v>
      </c>
      <c r="AO211" s="8">
        <v>0</v>
      </c>
      <c r="AP211" s="8">
        <v>0</v>
      </c>
      <c r="AQ211" s="8">
        <v>0</v>
      </c>
      <c r="AR211" s="8">
        <v>0</v>
      </c>
      <c r="AS211" s="8">
        <v>0</v>
      </c>
      <c r="AT211" s="8">
        <v>0</v>
      </c>
      <c r="AU211" s="8">
        <v>0</v>
      </c>
      <c r="AV211" s="8">
        <v>0</v>
      </c>
      <c r="AW211" s="8">
        <v>0</v>
      </c>
      <c r="AX211" s="8" t="s">
        <v>2961</v>
      </c>
      <c r="AY211" s="14">
        <v>3000</v>
      </c>
      <c r="AZ211" s="19">
        <v>44573</v>
      </c>
      <c r="BA211" s="14"/>
      <c r="BB211" s="14">
        <v>3000</v>
      </c>
      <c r="BC211" s="19">
        <v>44573</v>
      </c>
      <c r="BD211" s="14"/>
      <c r="BE211" s="14">
        <v>3000</v>
      </c>
      <c r="BF211" s="19">
        <v>44573</v>
      </c>
      <c r="BG211" s="14"/>
      <c r="BH211" s="14">
        <v>3000</v>
      </c>
      <c r="BI211" s="19">
        <v>44573</v>
      </c>
      <c r="BJ211" s="14"/>
      <c r="BK211" s="14">
        <v>3000</v>
      </c>
      <c r="BL211" s="19">
        <v>44573</v>
      </c>
      <c r="BM211" s="14"/>
      <c r="BN211" s="27">
        <v>44753</v>
      </c>
      <c r="BO211" s="27">
        <v>44753</v>
      </c>
      <c r="BP211" s="27">
        <v>44753</v>
      </c>
      <c r="BQ211" s="27">
        <v>44753</v>
      </c>
      <c r="BR211" s="27">
        <v>44938</v>
      </c>
      <c r="BS211" s="28">
        <v>-1907</v>
      </c>
      <c r="BT211" s="29">
        <v>-1157</v>
      </c>
      <c r="BU211" s="29">
        <v>-1907</v>
      </c>
      <c r="BV211" s="29">
        <v>-1907</v>
      </c>
      <c r="BW211" s="29">
        <v>-1157</v>
      </c>
      <c r="BX211" s="30" t="s">
        <v>173</v>
      </c>
      <c r="BY211" s="8">
        <v>5</v>
      </c>
      <c r="BZ211" s="8">
        <v>0</v>
      </c>
      <c r="CA211" s="8">
        <v>0</v>
      </c>
      <c r="CB211" s="21">
        <v>0</v>
      </c>
      <c r="CC211" s="21">
        <v>0</v>
      </c>
      <c r="CD211" s="21">
        <v>0</v>
      </c>
      <c r="CE211" s="21">
        <v>0</v>
      </c>
      <c r="CF211" s="21">
        <v>0</v>
      </c>
      <c r="CG211" s="21">
        <v>0</v>
      </c>
      <c r="CH211" s="21">
        <v>0</v>
      </c>
      <c r="CI211" s="21">
        <v>0</v>
      </c>
      <c r="CJ211" s="21">
        <v>0</v>
      </c>
      <c r="CK211" s="22" t="s">
        <v>3074</v>
      </c>
      <c r="CL211" s="22" t="s">
        <v>3074</v>
      </c>
      <c r="CM211" s="22" t="s">
        <v>3074</v>
      </c>
      <c r="CN211" s="22" t="s">
        <v>3074</v>
      </c>
      <c r="CO211" s="22" t="s">
        <v>3074</v>
      </c>
      <c r="CP211" s="22" t="s">
        <v>3092</v>
      </c>
      <c r="CQ211" s="22" t="s">
        <v>2953</v>
      </c>
      <c r="CR211" s="22" t="s">
        <v>3092</v>
      </c>
      <c r="CS211" s="22" t="s">
        <v>3092</v>
      </c>
      <c r="CT211" s="22">
        <v>3</v>
      </c>
      <c r="CU211" s="21">
        <v>46070</v>
      </c>
      <c r="CV211" s="21">
        <v>46065</v>
      </c>
      <c r="CW211" s="21">
        <v>46065</v>
      </c>
      <c r="CX211" s="21">
        <v>46070</v>
      </c>
      <c r="CY211" s="21">
        <v>46070</v>
      </c>
      <c r="CZ211" s="21">
        <v>46132</v>
      </c>
      <c r="DA211" s="21">
        <v>46033</v>
      </c>
      <c r="DB211" s="21">
        <v>46042</v>
      </c>
      <c r="DC211" s="21">
        <v>46091</v>
      </c>
      <c r="DD211" s="8">
        <v>1</v>
      </c>
      <c r="DE211" s="8">
        <v>1</v>
      </c>
      <c r="DF211" s="8">
        <v>1</v>
      </c>
      <c r="DG211" s="8">
        <v>8</v>
      </c>
      <c r="DH211" s="8">
        <v>1</v>
      </c>
      <c r="DI211" s="8">
        <v>0</v>
      </c>
      <c r="DJ211" s="8" t="s">
        <v>3025</v>
      </c>
      <c r="DK211" s="21">
        <v>43059</v>
      </c>
      <c r="DL211" s="21">
        <v>42927</v>
      </c>
      <c r="DM211" s="21">
        <v>45940</v>
      </c>
      <c r="DN211" s="18">
        <v>5140</v>
      </c>
      <c r="DO211" s="21">
        <v>0</v>
      </c>
      <c r="DP211" s="21">
        <v>0</v>
      </c>
      <c r="DQ211" s="21">
        <v>0</v>
      </c>
      <c r="DR211" s="21">
        <v>0</v>
      </c>
      <c r="DS211" s="21">
        <v>0</v>
      </c>
      <c r="DT211" s="21">
        <v>0</v>
      </c>
      <c r="DU211" s="21">
        <v>0</v>
      </c>
      <c r="DV211" s="21">
        <v>0</v>
      </c>
      <c r="DW211" s="21">
        <v>0</v>
      </c>
      <c r="DX211" s="21">
        <v>0</v>
      </c>
      <c r="DY211" s="21">
        <v>0</v>
      </c>
      <c r="DZ211" s="21">
        <v>0</v>
      </c>
      <c r="EA211" s="8">
        <v>390</v>
      </c>
      <c r="EB211" s="8">
        <v>390</v>
      </c>
      <c r="EC211" s="8">
        <v>390</v>
      </c>
      <c r="ED211" s="8">
        <v>390</v>
      </c>
      <c r="EE211" s="8">
        <v>390</v>
      </c>
      <c r="EF211" s="8">
        <v>640</v>
      </c>
      <c r="EG211" s="8">
        <v>1000</v>
      </c>
      <c r="EH211" s="8">
        <v>640</v>
      </c>
      <c r="EI211" s="8">
        <v>640</v>
      </c>
      <c r="EJ211" s="8">
        <v>3</v>
      </c>
      <c r="EK211" s="8" t="s">
        <v>2624</v>
      </c>
      <c r="EL211" s="8">
        <v>172</v>
      </c>
      <c r="EM211" s="8">
        <v>516</v>
      </c>
      <c r="EN211" s="8">
        <v>102</v>
      </c>
      <c r="EO211" s="8">
        <v>102</v>
      </c>
      <c r="EP211" s="8">
        <v>102</v>
      </c>
      <c r="EQ211" s="8">
        <v>102</v>
      </c>
      <c r="ER211" s="8">
        <v>102</v>
      </c>
      <c r="ES211" s="8">
        <v>352</v>
      </c>
      <c r="ET211" s="8">
        <v>712</v>
      </c>
      <c r="EU211" s="8">
        <v>352</v>
      </c>
      <c r="EV211" s="8">
        <v>352</v>
      </c>
    </row>
    <row r="212" spans="1:152" x14ac:dyDescent="0.15">
      <c r="A212" s="8">
        <f>ROW([2]!tbl_DPSAC[[#This Row],[Sl. No.]])-1</f>
        <v>211</v>
      </c>
      <c r="B212" s="9" t="s">
        <v>136</v>
      </c>
      <c r="C212" s="9" t="s">
        <v>1190</v>
      </c>
      <c r="D212" s="9" t="s">
        <v>175</v>
      </c>
      <c r="E212" s="9" t="s">
        <v>176</v>
      </c>
      <c r="F212" s="9" t="s">
        <v>161</v>
      </c>
      <c r="G212" s="10" t="s">
        <v>1189</v>
      </c>
      <c r="H212" s="10" t="str">
        <f>_xlfn.XLOOKUP(C212,'[1]E&amp;DPSAC'!$K:$K,'[1]E&amp;DPSAC'!$E:$E,,0)</f>
        <v>NAWADIH, CHATARPUR</v>
      </c>
      <c r="I212" s="10"/>
      <c r="J212" s="10">
        <v>6203240174</v>
      </c>
      <c r="K212" s="10">
        <f>_xlfn.XLOOKUP(C212,'[1]E&amp;DPSAC'!$K:$K,'[1]E&amp;DPSAC'!$G:$G,"",0)</f>
        <v>6203240174</v>
      </c>
      <c r="L212" s="9" t="str">
        <f t="shared" ca="1" si="12"/>
        <v>Non - Warranty</v>
      </c>
      <c r="M212" s="11">
        <v>43379</v>
      </c>
      <c r="N212" s="12">
        <v>24</v>
      </c>
      <c r="O212" s="11">
        <f t="shared" si="13"/>
        <v>44135</v>
      </c>
      <c r="P212" s="8" t="s">
        <v>681</v>
      </c>
      <c r="Q212" s="16" t="s">
        <v>2646</v>
      </c>
      <c r="R212" s="15">
        <v>43526.693761574097</v>
      </c>
      <c r="S212" s="14">
        <v>878</v>
      </c>
      <c r="T212" s="15">
        <v>44127</v>
      </c>
      <c r="U212" s="14">
        <v>2992.5</v>
      </c>
      <c r="V212" s="14">
        <v>8015</v>
      </c>
      <c r="W212" s="17">
        <v>45966.495833333334</v>
      </c>
      <c r="X212" s="14">
        <v>0</v>
      </c>
      <c r="Y212" s="14">
        <v>-6387</v>
      </c>
      <c r="Z212" s="14" t="s">
        <v>2697</v>
      </c>
      <c r="AA212" s="18">
        <v>2586.3062384259028</v>
      </c>
      <c r="AB212" s="18" t="s">
        <v>2697</v>
      </c>
      <c r="AC212" s="8">
        <f>tbl_DPSAC[[#This Row],[Current Month Due Count]]</f>
        <v>0</v>
      </c>
      <c r="AD212" s="8">
        <f>tbl_DPSAC[[#This Row],[Next Month Due2]]</f>
        <v>0</v>
      </c>
      <c r="AE212" s="8">
        <f t="shared" si="14"/>
        <v>1</v>
      </c>
      <c r="AF212" s="8">
        <v>2</v>
      </c>
      <c r="AG212" s="14">
        <f t="shared" ca="1" si="15"/>
        <v>8308</v>
      </c>
      <c r="AH212" s="8">
        <v>0</v>
      </c>
      <c r="AI212" s="8" t="s">
        <v>1191</v>
      </c>
      <c r="AJ212" s="8">
        <v>0</v>
      </c>
      <c r="AK212" s="8">
        <v>0</v>
      </c>
      <c r="AL212" s="8">
        <v>0</v>
      </c>
      <c r="AM212" s="8">
        <v>0</v>
      </c>
      <c r="AN212" s="8" t="s">
        <v>1192</v>
      </c>
      <c r="AO212" s="8">
        <v>0</v>
      </c>
      <c r="AP212" s="8">
        <v>0</v>
      </c>
      <c r="AQ212" s="8">
        <v>0</v>
      </c>
      <c r="AR212" s="8">
        <v>0</v>
      </c>
      <c r="AS212" s="8">
        <v>0</v>
      </c>
      <c r="AT212" s="8">
        <v>0</v>
      </c>
      <c r="AU212" s="8">
        <v>0</v>
      </c>
      <c r="AV212" s="8">
        <v>0</v>
      </c>
      <c r="AW212" s="8">
        <v>0</v>
      </c>
      <c r="AX212" s="8" t="s">
        <v>2961</v>
      </c>
      <c r="AY212" s="14">
        <v>2710</v>
      </c>
      <c r="AZ212" s="19">
        <v>44257.693761574075</v>
      </c>
      <c r="BA212" s="14"/>
      <c r="BB212" s="14">
        <v>2710</v>
      </c>
      <c r="BC212" s="19">
        <v>44257.693761574075</v>
      </c>
      <c r="BD212" s="14"/>
      <c r="BE212" s="14">
        <v>2710</v>
      </c>
      <c r="BF212" s="19">
        <v>44257.693761574075</v>
      </c>
      <c r="BG212" s="14"/>
      <c r="BH212" s="14">
        <v>2710</v>
      </c>
      <c r="BI212" s="19">
        <v>44257.693761574075</v>
      </c>
      <c r="BJ212" s="14"/>
      <c r="BK212" s="14">
        <v>2710</v>
      </c>
      <c r="BL212" s="19">
        <v>44257.693761574075</v>
      </c>
      <c r="BM212" s="14"/>
      <c r="BN212" s="27">
        <v>44437.693761574075</v>
      </c>
      <c r="BO212" s="27">
        <v>44437.693761574075</v>
      </c>
      <c r="BP212" s="27">
        <v>44437.693761574075</v>
      </c>
      <c r="BQ212" s="27">
        <v>44437.693761574075</v>
      </c>
      <c r="BR212" s="27">
        <v>44622.693761574075</v>
      </c>
      <c r="BS212" s="28">
        <v>-4848</v>
      </c>
      <c r="BT212" s="29">
        <v>-4098</v>
      </c>
      <c r="BU212" s="29">
        <v>-4848</v>
      </c>
      <c r="BV212" s="29">
        <v>-4848</v>
      </c>
      <c r="BW212" s="29">
        <v>-4098</v>
      </c>
      <c r="BX212" s="30" t="s">
        <v>173</v>
      </c>
      <c r="BY212" s="8">
        <v>5</v>
      </c>
      <c r="BZ212" s="8">
        <v>0</v>
      </c>
      <c r="CA212" s="8">
        <v>0</v>
      </c>
      <c r="CB212" s="21">
        <v>0</v>
      </c>
      <c r="CC212" s="21">
        <v>0</v>
      </c>
      <c r="CD212" s="21">
        <v>0</v>
      </c>
      <c r="CE212" s="21">
        <v>0</v>
      </c>
      <c r="CF212" s="21">
        <v>0</v>
      </c>
      <c r="CG212" s="21">
        <v>0</v>
      </c>
      <c r="CH212" s="21">
        <v>0</v>
      </c>
      <c r="CI212" s="21">
        <v>0</v>
      </c>
      <c r="CJ212" s="21">
        <v>0</v>
      </c>
      <c r="CK212" s="22" t="s">
        <v>3014</v>
      </c>
      <c r="CL212" s="22" t="s">
        <v>3014</v>
      </c>
      <c r="CM212" s="22" t="s">
        <v>3014</v>
      </c>
      <c r="CN212" s="22" t="s">
        <v>3014</v>
      </c>
      <c r="CO212" s="22" t="s">
        <v>3014</v>
      </c>
      <c r="CP212" s="22" t="s">
        <v>3014</v>
      </c>
      <c r="CQ212" s="22" t="s">
        <v>2953</v>
      </c>
      <c r="CR212" s="22" t="s">
        <v>3014</v>
      </c>
      <c r="CS212" s="22" t="s">
        <v>3014</v>
      </c>
      <c r="CT212" s="22">
        <v>3</v>
      </c>
      <c r="CU212" s="21">
        <v>46128</v>
      </c>
      <c r="CV212" s="21">
        <v>46106</v>
      </c>
      <c r="CW212" s="21">
        <v>46106</v>
      </c>
      <c r="CX212" s="21">
        <v>46128</v>
      </c>
      <c r="CY212" s="21">
        <v>46128</v>
      </c>
      <c r="CZ212" s="21">
        <v>46149</v>
      </c>
      <c r="DA212" s="21">
        <v>46059</v>
      </c>
      <c r="DB212" s="21">
        <v>46060</v>
      </c>
      <c r="DC212" s="21">
        <v>46109</v>
      </c>
      <c r="DD212" s="8">
        <v>0</v>
      </c>
      <c r="DE212" s="8">
        <v>1</v>
      </c>
      <c r="DF212" s="8">
        <v>1</v>
      </c>
      <c r="DG212" s="8">
        <v>5</v>
      </c>
      <c r="DH212" s="8">
        <v>3</v>
      </c>
      <c r="DI212" s="8">
        <v>1</v>
      </c>
      <c r="DJ212" s="8" t="s">
        <v>3025</v>
      </c>
      <c r="DK212" s="21">
        <v>43379</v>
      </c>
      <c r="DL212" s="21">
        <v>0</v>
      </c>
      <c r="DM212" s="21">
        <v>45966</v>
      </c>
      <c r="DN212" s="18">
        <v>8015</v>
      </c>
      <c r="DO212" s="21">
        <v>0</v>
      </c>
      <c r="DP212" s="21">
        <v>0</v>
      </c>
      <c r="DQ212" s="21">
        <v>0</v>
      </c>
      <c r="DR212" s="21">
        <v>0</v>
      </c>
      <c r="DS212" s="21">
        <v>0</v>
      </c>
      <c r="DT212" s="21">
        <v>0</v>
      </c>
      <c r="DU212" s="21">
        <v>0</v>
      </c>
      <c r="DV212" s="21">
        <v>0</v>
      </c>
      <c r="DW212" s="21">
        <v>0</v>
      </c>
      <c r="DX212" s="21">
        <v>0</v>
      </c>
      <c r="DY212" s="21">
        <v>0</v>
      </c>
      <c r="DZ212" s="21">
        <v>0</v>
      </c>
      <c r="EA212" s="8">
        <v>550</v>
      </c>
      <c r="EB212" s="8">
        <v>550</v>
      </c>
      <c r="EC212" s="8">
        <v>550</v>
      </c>
      <c r="ED212" s="8">
        <v>550</v>
      </c>
      <c r="EE212" s="8">
        <v>550</v>
      </c>
      <c r="EF212" s="8">
        <v>550</v>
      </c>
      <c r="EG212" s="8">
        <v>1000</v>
      </c>
      <c r="EH212" s="8">
        <v>550</v>
      </c>
      <c r="EI212" s="8">
        <v>550</v>
      </c>
      <c r="EJ212" s="8">
        <v>3</v>
      </c>
      <c r="EK212" s="8" t="s">
        <v>2624</v>
      </c>
      <c r="EL212" s="8">
        <v>147</v>
      </c>
      <c r="EM212" s="8">
        <v>294</v>
      </c>
      <c r="EN212" s="8">
        <v>262</v>
      </c>
      <c r="EO212" s="8">
        <v>262</v>
      </c>
      <c r="EP212" s="8">
        <v>262</v>
      </c>
      <c r="EQ212" s="8">
        <v>262</v>
      </c>
      <c r="ER212" s="8">
        <v>262</v>
      </c>
      <c r="ES212" s="8">
        <v>262</v>
      </c>
      <c r="ET212" s="8">
        <v>712</v>
      </c>
      <c r="EU212" s="8">
        <v>262</v>
      </c>
      <c r="EV212" s="8">
        <v>262</v>
      </c>
    </row>
    <row r="213" spans="1:152" x14ac:dyDescent="0.15">
      <c r="A213" s="8">
        <f>ROW([2]!tbl_DPSAC[[#This Row],[Sl. No.]])-1</f>
        <v>212</v>
      </c>
      <c r="B213" s="9" t="s">
        <v>136</v>
      </c>
      <c r="C213" s="9" t="s">
        <v>1193</v>
      </c>
      <c r="D213" s="9" t="s">
        <v>175</v>
      </c>
      <c r="E213" s="9" t="s">
        <v>176</v>
      </c>
      <c r="F213" s="9" t="s">
        <v>161</v>
      </c>
      <c r="G213" s="10" t="s">
        <v>1189</v>
      </c>
      <c r="H213" s="10" t="e">
        <f>_xlfn.XLOOKUP(C213,'[1]E&amp;DPSAC'!$K:$K,'[1]E&amp;DPSAC'!$E:$E,,0)</f>
        <v>#N/A</v>
      </c>
      <c r="I213" s="10"/>
      <c r="J213" s="10" t="s">
        <v>143</v>
      </c>
      <c r="K213" s="10" t="str">
        <f>_xlfn.XLOOKUP(C213,'[1]E&amp;DPSAC'!$K:$K,'[1]E&amp;DPSAC'!$G:$G,"",0)</f>
        <v/>
      </c>
      <c r="L213" s="9" t="str">
        <f t="shared" ca="1" si="12"/>
        <v>Non - Warranty</v>
      </c>
      <c r="M213" s="11">
        <v>43153</v>
      </c>
      <c r="N213" s="12">
        <v>24</v>
      </c>
      <c r="O213" s="11">
        <f t="shared" si="13"/>
        <v>43890</v>
      </c>
      <c r="P213" s="8" t="s">
        <v>681</v>
      </c>
      <c r="Q213" s="16" t="s">
        <v>2647</v>
      </c>
      <c r="R213" s="15">
        <v>43368.4746759259</v>
      </c>
      <c r="S213" s="14">
        <v>1533</v>
      </c>
      <c r="T213" s="15" t="s">
        <v>143</v>
      </c>
      <c r="U213" s="14" t="s">
        <v>143</v>
      </c>
      <c r="V213" s="14">
        <v>8040</v>
      </c>
      <c r="W213" s="17">
        <v>45966.5</v>
      </c>
      <c r="X213" s="14">
        <v>0</v>
      </c>
      <c r="Y213" s="14">
        <v>-5757</v>
      </c>
      <c r="Z213" s="14" t="s">
        <v>2697</v>
      </c>
      <c r="AA213" s="18">
        <v>2744.5253240741004</v>
      </c>
      <c r="AB213" s="18" t="s">
        <v>2697</v>
      </c>
      <c r="AC213" s="8">
        <f>tbl_DPSAC[[#This Row],[Current Month Due Count]]</f>
        <v>0</v>
      </c>
      <c r="AD213" s="8">
        <f>tbl_DPSAC[[#This Row],[Next Month Due2]]</f>
        <v>0</v>
      </c>
      <c r="AE213" s="8">
        <f t="shared" si="14"/>
        <v>1</v>
      </c>
      <c r="AF213" s="8">
        <v>3.7</v>
      </c>
      <c r="AG213" s="14">
        <f t="shared" ca="1" si="15"/>
        <v>8582</v>
      </c>
      <c r="AH213" s="8">
        <v>0</v>
      </c>
      <c r="AI213" s="8">
        <v>0</v>
      </c>
      <c r="AJ213" s="8">
        <v>0</v>
      </c>
      <c r="AK213" s="8">
        <v>0</v>
      </c>
      <c r="AL213" s="8">
        <v>0</v>
      </c>
      <c r="AM213" s="8">
        <v>0</v>
      </c>
      <c r="AN213" s="8">
        <v>0</v>
      </c>
      <c r="AO213" s="8">
        <v>0</v>
      </c>
      <c r="AP213" s="8">
        <v>0</v>
      </c>
      <c r="AQ213" s="8">
        <v>0</v>
      </c>
      <c r="AR213" s="8">
        <v>0</v>
      </c>
      <c r="AS213" s="8">
        <v>0</v>
      </c>
      <c r="AT213" s="8">
        <v>0</v>
      </c>
      <c r="AU213" s="8">
        <v>0</v>
      </c>
      <c r="AV213" s="8">
        <v>0</v>
      </c>
      <c r="AW213" s="8">
        <v>0</v>
      </c>
      <c r="AX213" s="8" t="s">
        <v>2961</v>
      </c>
      <c r="AY213" s="14">
        <v>4200</v>
      </c>
      <c r="AZ213" s="19">
        <v>44576</v>
      </c>
      <c r="BA213" s="14"/>
      <c r="BB213" s="14">
        <v>4200</v>
      </c>
      <c r="BC213" s="19">
        <v>44576</v>
      </c>
      <c r="BD213" s="14"/>
      <c r="BE213" s="14">
        <v>4200</v>
      </c>
      <c r="BF213" s="19">
        <v>44576</v>
      </c>
      <c r="BG213" s="14"/>
      <c r="BH213" s="14">
        <v>4200</v>
      </c>
      <c r="BI213" s="19">
        <v>44576</v>
      </c>
      <c r="BJ213" s="14"/>
      <c r="BK213" s="14">
        <v>4200</v>
      </c>
      <c r="BL213" s="19">
        <v>44576</v>
      </c>
      <c r="BM213" s="14"/>
      <c r="BN213" s="27">
        <v>44756</v>
      </c>
      <c r="BO213" s="27">
        <v>44756</v>
      </c>
      <c r="BP213" s="27">
        <v>44756</v>
      </c>
      <c r="BQ213" s="27">
        <v>44756</v>
      </c>
      <c r="BR213" s="27">
        <v>44941</v>
      </c>
      <c r="BS213" s="28">
        <v>-3632</v>
      </c>
      <c r="BT213" s="29">
        <v>-2882</v>
      </c>
      <c r="BU213" s="29">
        <v>-3632</v>
      </c>
      <c r="BV213" s="29">
        <v>-3632</v>
      </c>
      <c r="BW213" s="29">
        <v>-2882</v>
      </c>
      <c r="BX213" s="30" t="s">
        <v>173</v>
      </c>
      <c r="BY213" s="8">
        <v>5</v>
      </c>
      <c r="BZ213" s="8">
        <v>0</v>
      </c>
      <c r="CA213" s="8">
        <v>0</v>
      </c>
      <c r="CB213" s="21">
        <v>0</v>
      </c>
      <c r="CC213" s="21">
        <v>0</v>
      </c>
      <c r="CD213" s="21">
        <v>0</v>
      </c>
      <c r="CE213" s="21">
        <v>0</v>
      </c>
      <c r="CF213" s="21">
        <v>0</v>
      </c>
      <c r="CG213" s="21">
        <v>0</v>
      </c>
      <c r="CH213" s="21">
        <v>0</v>
      </c>
      <c r="CI213" s="21">
        <v>0</v>
      </c>
      <c r="CJ213" s="21">
        <v>0</v>
      </c>
      <c r="CK213" s="22" t="s">
        <v>3110</v>
      </c>
      <c r="CL213" s="22" t="s">
        <v>3110</v>
      </c>
      <c r="CM213" s="22" t="s">
        <v>3110</v>
      </c>
      <c r="CN213" s="22" t="s">
        <v>3110</v>
      </c>
      <c r="CO213" s="22" t="s">
        <v>3110</v>
      </c>
      <c r="CP213" s="22" t="s">
        <v>3110</v>
      </c>
      <c r="CQ213" s="22" t="s">
        <v>2953</v>
      </c>
      <c r="CR213" s="22" t="s">
        <v>3110</v>
      </c>
      <c r="CS213" s="22" t="s">
        <v>3110</v>
      </c>
      <c r="CT213" s="22">
        <v>1</v>
      </c>
      <c r="CU213" s="21">
        <v>46096</v>
      </c>
      <c r="CV213" s="21">
        <v>46074</v>
      </c>
      <c r="CW213" s="21">
        <v>46074</v>
      </c>
      <c r="CX213" s="21">
        <v>46096</v>
      </c>
      <c r="CY213" s="21">
        <v>46096</v>
      </c>
      <c r="CZ213" s="21">
        <v>46118</v>
      </c>
      <c r="DA213" s="21">
        <v>46059</v>
      </c>
      <c r="DB213" s="21">
        <v>46028</v>
      </c>
      <c r="DC213" s="21">
        <v>46077</v>
      </c>
      <c r="DD213" s="8">
        <v>1</v>
      </c>
      <c r="DE213" s="8">
        <v>1</v>
      </c>
      <c r="DF213" s="8">
        <v>1</v>
      </c>
      <c r="DG213" s="8">
        <v>8</v>
      </c>
      <c r="DH213" s="8">
        <v>1</v>
      </c>
      <c r="DI213" s="8">
        <v>0</v>
      </c>
      <c r="DJ213" s="8" t="s">
        <v>3025</v>
      </c>
      <c r="DK213" s="21">
        <v>43153</v>
      </c>
      <c r="DL213" s="21">
        <v>43136</v>
      </c>
      <c r="DM213" s="21">
        <v>45966</v>
      </c>
      <c r="DN213" s="18">
        <v>8040</v>
      </c>
      <c r="DO213" s="21">
        <v>0</v>
      </c>
      <c r="DP213" s="21">
        <v>0</v>
      </c>
      <c r="DQ213" s="21">
        <v>0</v>
      </c>
      <c r="DR213" s="21">
        <v>0</v>
      </c>
      <c r="DS213" s="21">
        <v>0</v>
      </c>
      <c r="DT213" s="21">
        <v>0</v>
      </c>
      <c r="DU213" s="21">
        <v>0</v>
      </c>
      <c r="DV213" s="21">
        <v>0</v>
      </c>
      <c r="DW213" s="21">
        <v>0</v>
      </c>
      <c r="DX213" s="21">
        <v>0</v>
      </c>
      <c r="DY213" s="21">
        <v>0</v>
      </c>
      <c r="DZ213" s="21">
        <v>0</v>
      </c>
      <c r="EA213" s="8">
        <v>200</v>
      </c>
      <c r="EB213" s="8">
        <v>200</v>
      </c>
      <c r="EC213" s="8">
        <v>200</v>
      </c>
      <c r="ED213" s="8">
        <v>200</v>
      </c>
      <c r="EE213" s="8">
        <v>200</v>
      </c>
      <c r="EF213" s="8">
        <v>200</v>
      </c>
      <c r="EG213" s="8">
        <v>1000</v>
      </c>
      <c r="EH213" s="8">
        <v>200</v>
      </c>
      <c r="EI213" s="8">
        <v>200</v>
      </c>
      <c r="EJ213" s="8">
        <v>1</v>
      </c>
      <c r="EK213" s="8" t="s">
        <v>2624</v>
      </c>
      <c r="EL213" s="8">
        <v>147</v>
      </c>
      <c r="EM213" s="8">
        <v>543.9</v>
      </c>
      <c r="EN213" s="8">
        <v>-88</v>
      </c>
      <c r="EO213" s="8">
        <v>-88</v>
      </c>
      <c r="EP213" s="8">
        <v>-88</v>
      </c>
      <c r="EQ213" s="8">
        <v>-88</v>
      </c>
      <c r="ER213" s="8">
        <v>-88</v>
      </c>
      <c r="ES213" s="8">
        <v>-88</v>
      </c>
      <c r="ET213" s="8">
        <v>712</v>
      </c>
      <c r="EU213" s="8">
        <v>-88</v>
      </c>
      <c r="EV213" s="8">
        <v>-88</v>
      </c>
    </row>
    <row r="214" spans="1:152" x14ac:dyDescent="0.15">
      <c r="A214" s="8">
        <f>ROW([2]!tbl_DPSAC[[#This Row],[Sl. No.]])-1</f>
        <v>213</v>
      </c>
      <c r="B214" s="9" t="s">
        <v>136</v>
      </c>
      <c r="C214" s="9" t="s">
        <v>1194</v>
      </c>
      <c r="D214" s="9" t="s">
        <v>175</v>
      </c>
      <c r="E214" s="9" t="s">
        <v>176</v>
      </c>
      <c r="F214" s="9" t="s">
        <v>161</v>
      </c>
      <c r="G214" s="10" t="s">
        <v>1189</v>
      </c>
      <c r="H214" s="10" t="str">
        <f>_xlfn.XLOOKUP(C214,'[1]E&amp;DPSAC'!$K:$K,'[1]E&amp;DPSAC'!$E:$E,,0)</f>
        <v>SARBARWA, TUMGRAHA</v>
      </c>
      <c r="I214" s="10"/>
      <c r="J214" s="10" t="s">
        <v>143</v>
      </c>
      <c r="K214" s="10">
        <f>_xlfn.XLOOKUP(C214,'[1]E&amp;DPSAC'!$K:$K,'[1]E&amp;DPSAC'!$G:$G,"",0)</f>
        <v>6203240174</v>
      </c>
      <c r="L214" s="9" t="str">
        <f t="shared" ca="1" si="12"/>
        <v>Non - Warranty</v>
      </c>
      <c r="M214" s="11">
        <v>43183</v>
      </c>
      <c r="N214" s="12">
        <v>24</v>
      </c>
      <c r="O214" s="11">
        <f t="shared" si="13"/>
        <v>43921</v>
      </c>
      <c r="P214" s="8" t="s">
        <v>681</v>
      </c>
      <c r="Q214" s="16" t="s">
        <v>2648</v>
      </c>
      <c r="R214" s="15">
        <v>43402.467164351903</v>
      </c>
      <c r="S214" s="14">
        <v>1608</v>
      </c>
      <c r="T214" s="15">
        <v>45311</v>
      </c>
      <c r="U214" s="14">
        <v>7777</v>
      </c>
      <c r="V214" s="14">
        <v>7115</v>
      </c>
      <c r="W214" s="17">
        <v>45966.50277777778</v>
      </c>
      <c r="X214" s="14">
        <v>0</v>
      </c>
      <c r="Y214" s="14">
        <v>-4757</v>
      </c>
      <c r="Z214" s="14" t="s">
        <v>2697</v>
      </c>
      <c r="AA214" s="18">
        <v>2710.5328356480968</v>
      </c>
      <c r="AB214" s="18" t="s">
        <v>2697</v>
      </c>
      <c r="AC214" s="8">
        <f>tbl_DPSAC[[#This Row],[Current Month Due Count]]</f>
        <v>0</v>
      </c>
      <c r="AD214" s="8">
        <f>tbl_DPSAC[[#This Row],[Next Month Due2]]</f>
        <v>0</v>
      </c>
      <c r="AE214" s="8">
        <f t="shared" si="14"/>
        <v>1</v>
      </c>
      <c r="AF214" s="8">
        <v>2</v>
      </c>
      <c r="AG214" s="14">
        <f t="shared" ca="1" si="15"/>
        <v>7408</v>
      </c>
      <c r="AH214" s="8">
        <v>0</v>
      </c>
      <c r="AI214" s="8">
        <v>0</v>
      </c>
      <c r="AJ214" s="8">
        <v>0</v>
      </c>
      <c r="AK214" s="8" t="s">
        <v>1195</v>
      </c>
      <c r="AL214" s="8">
        <v>0</v>
      </c>
      <c r="AM214" s="8">
        <v>0</v>
      </c>
      <c r="AN214" s="8">
        <v>0</v>
      </c>
      <c r="AO214" s="8">
        <v>0</v>
      </c>
      <c r="AP214" s="8">
        <v>0</v>
      </c>
      <c r="AQ214" s="8">
        <v>0</v>
      </c>
      <c r="AR214" s="8">
        <v>0</v>
      </c>
      <c r="AS214" s="8">
        <v>0</v>
      </c>
      <c r="AT214" s="8">
        <v>0</v>
      </c>
      <c r="AU214" s="8">
        <v>0</v>
      </c>
      <c r="AV214" s="8">
        <v>0</v>
      </c>
      <c r="AW214" s="8">
        <v>0</v>
      </c>
      <c r="AX214" s="8" t="s">
        <v>2961</v>
      </c>
      <c r="AY214" s="14">
        <v>3527</v>
      </c>
      <c r="AZ214" s="19">
        <v>44574</v>
      </c>
      <c r="BA214" s="14"/>
      <c r="BB214" s="14">
        <v>3034</v>
      </c>
      <c r="BC214" s="19">
        <v>44372</v>
      </c>
      <c r="BD214" s="14"/>
      <c r="BE214" s="14">
        <v>3527</v>
      </c>
      <c r="BF214" s="19">
        <v>44574</v>
      </c>
      <c r="BG214" s="14"/>
      <c r="BH214" s="14">
        <v>3527</v>
      </c>
      <c r="BI214" s="19">
        <v>44574</v>
      </c>
      <c r="BJ214" s="14"/>
      <c r="BK214" s="14">
        <v>3034</v>
      </c>
      <c r="BL214" s="19">
        <v>44372</v>
      </c>
      <c r="BM214" s="14"/>
      <c r="BN214" s="27">
        <v>44754</v>
      </c>
      <c r="BO214" s="27">
        <v>44552</v>
      </c>
      <c r="BP214" s="27">
        <v>44754</v>
      </c>
      <c r="BQ214" s="27">
        <v>44754</v>
      </c>
      <c r="BR214" s="27">
        <v>44737</v>
      </c>
      <c r="BS214" s="28">
        <v>-3131</v>
      </c>
      <c r="BT214" s="29">
        <v>-2874</v>
      </c>
      <c r="BU214" s="29">
        <v>-3131</v>
      </c>
      <c r="BV214" s="29">
        <v>-3131</v>
      </c>
      <c r="BW214" s="29">
        <v>-2874</v>
      </c>
      <c r="BX214" s="30" t="s">
        <v>173</v>
      </c>
      <c r="BY214" s="8">
        <v>5</v>
      </c>
      <c r="BZ214" s="8">
        <v>0</v>
      </c>
      <c r="CA214" s="8">
        <v>0</v>
      </c>
      <c r="CB214" s="21">
        <v>0</v>
      </c>
      <c r="CC214" s="21">
        <v>0</v>
      </c>
      <c r="CD214" s="21">
        <v>0</v>
      </c>
      <c r="CE214" s="21">
        <v>0</v>
      </c>
      <c r="CF214" s="21">
        <v>0</v>
      </c>
      <c r="CG214" s="21">
        <v>0</v>
      </c>
      <c r="CH214" s="21">
        <v>0</v>
      </c>
      <c r="CI214" s="21">
        <v>0</v>
      </c>
      <c r="CJ214" s="21">
        <v>0</v>
      </c>
      <c r="CK214" s="22" t="s">
        <v>3108</v>
      </c>
      <c r="CL214" s="22" t="s">
        <v>3108</v>
      </c>
      <c r="CM214" s="22" t="s">
        <v>3108</v>
      </c>
      <c r="CN214" s="22" t="s">
        <v>3108</v>
      </c>
      <c r="CO214" s="22" t="s">
        <v>3108</v>
      </c>
      <c r="CP214" s="22" t="s">
        <v>3108</v>
      </c>
      <c r="CQ214" s="22" t="s">
        <v>2953</v>
      </c>
      <c r="CR214" s="22" t="s">
        <v>3108</v>
      </c>
      <c r="CS214" s="22" t="s">
        <v>3108</v>
      </c>
      <c r="CT214" s="22">
        <v>2</v>
      </c>
      <c r="CU214" s="21">
        <v>46109</v>
      </c>
      <c r="CV214" s="21">
        <v>46086</v>
      </c>
      <c r="CW214" s="21">
        <v>46086</v>
      </c>
      <c r="CX214" s="21">
        <v>46109</v>
      </c>
      <c r="CY214" s="21">
        <v>46109</v>
      </c>
      <c r="CZ214" s="21">
        <v>46131</v>
      </c>
      <c r="DA214" s="21">
        <v>46059</v>
      </c>
      <c r="DB214" s="21">
        <v>46041</v>
      </c>
      <c r="DC214" s="21">
        <v>46089</v>
      </c>
      <c r="DD214" s="8">
        <v>1</v>
      </c>
      <c r="DE214" s="8">
        <v>1</v>
      </c>
      <c r="DF214" s="8">
        <v>1</v>
      </c>
      <c r="DG214" s="8">
        <v>8</v>
      </c>
      <c r="DH214" s="8">
        <v>1</v>
      </c>
      <c r="DI214" s="8">
        <v>0</v>
      </c>
      <c r="DJ214" s="8" t="s">
        <v>3025</v>
      </c>
      <c r="DK214" s="21">
        <v>43183</v>
      </c>
      <c r="DL214" s="21">
        <v>43175</v>
      </c>
      <c r="DM214" s="21">
        <v>45966</v>
      </c>
      <c r="DN214" s="18">
        <v>7115</v>
      </c>
      <c r="DO214" s="21">
        <v>0</v>
      </c>
      <c r="DP214" s="21">
        <v>0</v>
      </c>
      <c r="DQ214" s="21">
        <v>0</v>
      </c>
      <c r="DR214" s="21">
        <v>0</v>
      </c>
      <c r="DS214" s="21">
        <v>0</v>
      </c>
      <c r="DT214" s="21">
        <v>0</v>
      </c>
      <c r="DU214" s="21">
        <v>0</v>
      </c>
      <c r="DV214" s="21">
        <v>0</v>
      </c>
      <c r="DW214" s="21">
        <v>0</v>
      </c>
      <c r="DX214" s="21">
        <v>0</v>
      </c>
      <c r="DY214" s="21">
        <v>0</v>
      </c>
      <c r="DZ214" s="21">
        <v>0</v>
      </c>
      <c r="EA214" s="8">
        <v>335</v>
      </c>
      <c r="EB214" s="8">
        <v>335</v>
      </c>
      <c r="EC214" s="8">
        <v>335</v>
      </c>
      <c r="ED214" s="8">
        <v>335</v>
      </c>
      <c r="EE214" s="8">
        <v>335</v>
      </c>
      <c r="EF214" s="8">
        <v>335</v>
      </c>
      <c r="EG214" s="8">
        <v>1000</v>
      </c>
      <c r="EH214" s="8">
        <v>335</v>
      </c>
      <c r="EI214" s="8">
        <v>335</v>
      </c>
      <c r="EJ214" s="8">
        <v>2</v>
      </c>
      <c r="EK214" s="8" t="s">
        <v>2624</v>
      </c>
      <c r="EL214" s="8">
        <v>146</v>
      </c>
      <c r="EM214" s="8">
        <v>292</v>
      </c>
      <c r="EN214" s="8">
        <v>47</v>
      </c>
      <c r="EO214" s="8">
        <v>47</v>
      </c>
      <c r="EP214" s="8">
        <v>47</v>
      </c>
      <c r="EQ214" s="8">
        <v>47</v>
      </c>
      <c r="ER214" s="8">
        <v>47</v>
      </c>
      <c r="ES214" s="8">
        <v>47</v>
      </c>
      <c r="ET214" s="8">
        <v>712</v>
      </c>
      <c r="EU214" s="8">
        <v>47</v>
      </c>
      <c r="EV214" s="8">
        <v>47</v>
      </c>
    </row>
    <row r="215" spans="1:152" x14ac:dyDescent="0.15">
      <c r="A215" s="8">
        <f>ROW([2]!tbl_DPSAC[[#This Row],[Sl. No.]])-1</f>
        <v>214</v>
      </c>
      <c r="B215" s="9" t="s">
        <v>136</v>
      </c>
      <c r="C215" s="9" t="s">
        <v>1196</v>
      </c>
      <c r="D215" s="9" t="s">
        <v>175</v>
      </c>
      <c r="E215" s="9" t="s">
        <v>176</v>
      </c>
      <c r="F215" s="9" t="s">
        <v>161</v>
      </c>
      <c r="G215" s="10" t="s">
        <v>1189</v>
      </c>
      <c r="H215" s="10" t="str">
        <f>_xlfn.XLOOKUP(C215,'[1]E&amp;DPSAC'!$K:$K,'[1]E&amp;DPSAC'!$E:$E,,0)</f>
        <v>TISRI, GIRIDIH</v>
      </c>
      <c r="I215" s="10"/>
      <c r="J215" s="10">
        <v>6206552047</v>
      </c>
      <c r="K215" s="10">
        <f>_xlfn.XLOOKUP(C215,'[1]E&amp;DPSAC'!$K:$K,'[1]E&amp;DPSAC'!$G:$G,"",0)</f>
        <v>6206552047</v>
      </c>
      <c r="L215" s="9" t="str">
        <f t="shared" ca="1" si="12"/>
        <v>Non - Warranty</v>
      </c>
      <c r="M215" s="11">
        <v>43607</v>
      </c>
      <c r="N215" s="12">
        <v>24</v>
      </c>
      <c r="O215" s="11">
        <f t="shared" si="13"/>
        <v>44347</v>
      </c>
      <c r="P215" s="8" t="s">
        <v>681</v>
      </c>
      <c r="Q215" s="16" t="s">
        <v>143</v>
      </c>
      <c r="R215" s="15" t="s">
        <v>143</v>
      </c>
      <c r="S215" s="14" t="s">
        <v>143</v>
      </c>
      <c r="T215" s="15">
        <v>44084</v>
      </c>
      <c r="U215" s="14">
        <v>964</v>
      </c>
      <c r="V215" s="14">
        <v>9240</v>
      </c>
      <c r="W215" s="17">
        <v>45966.505555555559</v>
      </c>
      <c r="X215" s="14" t="s">
        <v>143</v>
      </c>
      <c r="Y215" s="14">
        <v>0</v>
      </c>
      <c r="Z215" s="14" t="s">
        <v>2692</v>
      </c>
      <c r="AA215" s="18">
        <v>2506</v>
      </c>
      <c r="AB215" s="18" t="s">
        <v>2697</v>
      </c>
      <c r="AC215" s="8">
        <f>tbl_DPSAC[[#This Row],[Current Month Due Count]]</f>
        <v>0</v>
      </c>
      <c r="AD215" s="8">
        <f>tbl_DPSAC[[#This Row],[Next Month Due2]]</f>
        <v>0</v>
      </c>
      <c r="AE215" s="8">
        <f t="shared" si="14"/>
        <v>1</v>
      </c>
      <c r="AF215" s="8">
        <v>1</v>
      </c>
      <c r="AG215" s="14">
        <f t="shared" ca="1" si="15"/>
        <v>9386</v>
      </c>
      <c r="AH215" s="8">
        <v>0</v>
      </c>
      <c r="AI215" s="8">
        <v>0</v>
      </c>
      <c r="AJ215" s="8">
        <v>0</v>
      </c>
      <c r="AK215" s="8">
        <v>0</v>
      </c>
      <c r="AL215" s="8">
        <v>0</v>
      </c>
      <c r="AM215" s="8">
        <v>0</v>
      </c>
      <c r="AN215" s="8">
        <v>0</v>
      </c>
      <c r="AO215" s="8">
        <v>0</v>
      </c>
      <c r="AP215" s="8">
        <v>0</v>
      </c>
      <c r="AQ215" s="8">
        <v>0</v>
      </c>
      <c r="AR215" s="8">
        <v>0</v>
      </c>
      <c r="AS215" s="8">
        <v>0</v>
      </c>
      <c r="AT215" s="8">
        <v>0</v>
      </c>
      <c r="AU215" s="8">
        <v>0</v>
      </c>
      <c r="AV215" s="8">
        <v>0</v>
      </c>
      <c r="AW215" s="8">
        <v>0</v>
      </c>
      <c r="AX215" s="8" t="s">
        <v>2961</v>
      </c>
      <c r="AY215" s="14">
        <v>3025</v>
      </c>
      <c r="AZ215" s="19">
        <v>44575</v>
      </c>
      <c r="BA215" s="14"/>
      <c r="BB215" s="14">
        <v>3025</v>
      </c>
      <c r="BC215" s="19">
        <v>44575</v>
      </c>
      <c r="BD215" s="14"/>
      <c r="BE215" s="14">
        <v>3025</v>
      </c>
      <c r="BF215" s="19">
        <v>44575</v>
      </c>
      <c r="BG215" s="14"/>
      <c r="BH215" s="14">
        <v>3025</v>
      </c>
      <c r="BI215" s="19">
        <v>44575</v>
      </c>
      <c r="BJ215" s="14"/>
      <c r="BK215" s="14">
        <v>3025</v>
      </c>
      <c r="BL215" s="19">
        <v>44575</v>
      </c>
      <c r="BM215" s="14"/>
      <c r="BN215" s="27">
        <v>44755</v>
      </c>
      <c r="BO215" s="27">
        <v>44755</v>
      </c>
      <c r="BP215" s="27">
        <v>44755</v>
      </c>
      <c r="BQ215" s="27">
        <v>44755</v>
      </c>
      <c r="BR215" s="27">
        <v>44940</v>
      </c>
      <c r="BS215" s="28">
        <v>-5611</v>
      </c>
      <c r="BT215" s="29">
        <v>-4861</v>
      </c>
      <c r="BU215" s="29">
        <v>-5611</v>
      </c>
      <c r="BV215" s="29">
        <v>-5611</v>
      </c>
      <c r="BW215" s="29">
        <v>-4861</v>
      </c>
      <c r="BX215" s="30" t="s">
        <v>173</v>
      </c>
      <c r="BY215" s="8">
        <v>5</v>
      </c>
      <c r="BZ215" s="8">
        <v>0</v>
      </c>
      <c r="CA215" s="8">
        <v>0</v>
      </c>
      <c r="CB215" s="21">
        <v>0</v>
      </c>
      <c r="CC215" s="21">
        <v>0</v>
      </c>
      <c r="CD215" s="21">
        <v>0</v>
      </c>
      <c r="CE215" s="21">
        <v>0</v>
      </c>
      <c r="CF215" s="21">
        <v>0</v>
      </c>
      <c r="CG215" s="21">
        <v>0</v>
      </c>
      <c r="CH215" s="21">
        <v>0</v>
      </c>
      <c r="CI215" s="21">
        <v>0</v>
      </c>
      <c r="CJ215" s="21">
        <v>0</v>
      </c>
      <c r="CK215" s="22" t="s">
        <v>3017</v>
      </c>
      <c r="CL215" s="22" t="s">
        <v>3105</v>
      </c>
      <c r="CM215" s="22" t="s">
        <v>3105</v>
      </c>
      <c r="CN215" s="22" t="s">
        <v>3105</v>
      </c>
      <c r="CO215" s="22" t="s">
        <v>3105</v>
      </c>
      <c r="CP215" s="22" t="s">
        <v>3105</v>
      </c>
      <c r="CQ215" s="22" t="s">
        <v>2953</v>
      </c>
      <c r="CR215" s="22" t="s">
        <v>3105</v>
      </c>
      <c r="CS215" s="22" t="s">
        <v>3105</v>
      </c>
      <c r="CT215" s="22">
        <v>2</v>
      </c>
      <c r="CU215" s="21">
        <v>46046</v>
      </c>
      <c r="CV215" s="21">
        <v>46097</v>
      </c>
      <c r="CW215" s="21">
        <v>46097</v>
      </c>
      <c r="CX215" s="21">
        <v>46120</v>
      </c>
      <c r="CY215" s="21">
        <v>46120</v>
      </c>
      <c r="CZ215" s="21">
        <v>46142</v>
      </c>
      <c r="DA215" s="21">
        <v>46059</v>
      </c>
      <c r="DB215" s="21">
        <v>46052</v>
      </c>
      <c r="DC215" s="21">
        <v>46101</v>
      </c>
      <c r="DD215" s="8">
        <v>1</v>
      </c>
      <c r="DE215" s="8">
        <v>1</v>
      </c>
      <c r="DF215" s="8">
        <v>1</v>
      </c>
      <c r="DG215" s="8">
        <v>6</v>
      </c>
      <c r="DH215" s="8">
        <v>3</v>
      </c>
      <c r="DI215" s="8">
        <v>0</v>
      </c>
      <c r="DJ215" s="8" t="s">
        <v>3025</v>
      </c>
      <c r="DK215" s="21">
        <v>43607</v>
      </c>
      <c r="DL215" s="21">
        <v>43585.229166666664</v>
      </c>
      <c r="DM215" s="21">
        <v>45966</v>
      </c>
      <c r="DN215" s="18">
        <v>9240</v>
      </c>
      <c r="DO215" s="21">
        <v>0</v>
      </c>
      <c r="DP215" s="21">
        <v>0</v>
      </c>
      <c r="DQ215" s="21">
        <v>0</v>
      </c>
      <c r="DR215" s="21">
        <v>0</v>
      </c>
      <c r="DS215" s="21">
        <v>0</v>
      </c>
      <c r="DT215" s="21">
        <v>0</v>
      </c>
      <c r="DU215" s="21">
        <v>0</v>
      </c>
      <c r="DV215" s="21">
        <v>0</v>
      </c>
      <c r="DW215" s="21">
        <v>0</v>
      </c>
      <c r="DX215" s="21">
        <v>0</v>
      </c>
      <c r="DY215" s="21">
        <v>0</v>
      </c>
      <c r="DZ215" s="21">
        <v>0</v>
      </c>
      <c r="EA215" s="8">
        <v>160</v>
      </c>
      <c r="EB215" s="8">
        <v>460</v>
      </c>
      <c r="EC215" s="8">
        <v>460</v>
      </c>
      <c r="ED215" s="8">
        <v>460</v>
      </c>
      <c r="EE215" s="8">
        <v>460</v>
      </c>
      <c r="EF215" s="8">
        <v>460</v>
      </c>
      <c r="EG215" s="8">
        <v>1000</v>
      </c>
      <c r="EH215" s="8">
        <v>460</v>
      </c>
      <c r="EI215" s="8">
        <v>460</v>
      </c>
      <c r="EJ215" s="8">
        <v>2</v>
      </c>
      <c r="EK215" s="8" t="s">
        <v>2624</v>
      </c>
      <c r="EL215" s="8">
        <v>146</v>
      </c>
      <c r="EM215" s="8">
        <v>146</v>
      </c>
      <c r="EN215" s="8">
        <v>-128</v>
      </c>
      <c r="EO215" s="8">
        <v>172</v>
      </c>
      <c r="EP215" s="8">
        <v>172</v>
      </c>
      <c r="EQ215" s="8">
        <v>172</v>
      </c>
      <c r="ER215" s="8">
        <v>172</v>
      </c>
      <c r="ES215" s="8">
        <v>172</v>
      </c>
      <c r="ET215" s="8">
        <v>712</v>
      </c>
      <c r="EU215" s="8">
        <v>172</v>
      </c>
      <c r="EV215" s="8">
        <v>172</v>
      </c>
    </row>
    <row r="216" spans="1:152" x14ac:dyDescent="0.15">
      <c r="A216" s="8">
        <f>ROW([2]!tbl_DPSAC[[#This Row],[Sl. No.]])-1</f>
        <v>215</v>
      </c>
      <c r="B216" s="9" t="s">
        <v>136</v>
      </c>
      <c r="C216" s="9" t="s">
        <v>1197</v>
      </c>
      <c r="D216" s="9" t="s">
        <v>175</v>
      </c>
      <c r="E216" s="9" t="s">
        <v>176</v>
      </c>
      <c r="F216" s="9" t="s">
        <v>161</v>
      </c>
      <c r="G216" s="10" t="s">
        <v>1189</v>
      </c>
      <c r="H216" s="10" t="str">
        <f>_xlfn.XLOOKUP(C216,'[1]E&amp;DPSAC'!$K:$K,'[1]E&amp;DPSAC'!$E:$E,,0)</f>
        <v>CHHATRAPUR, PALAMU</v>
      </c>
      <c r="I216" s="10"/>
      <c r="J216" s="10">
        <v>9608937507</v>
      </c>
      <c r="K216" s="10">
        <f>_xlfn.XLOOKUP(C216,'[1]E&amp;DPSAC'!$K:$K,'[1]E&amp;DPSAC'!$G:$G,"",0)</f>
        <v>7488795484</v>
      </c>
      <c r="L216" s="9" t="str">
        <f t="shared" ca="1" si="12"/>
        <v>Non - Warranty</v>
      </c>
      <c r="M216" s="11">
        <v>43594</v>
      </c>
      <c r="N216" s="12">
        <v>24</v>
      </c>
      <c r="O216" s="11">
        <f t="shared" si="13"/>
        <v>44347</v>
      </c>
      <c r="P216" s="8" t="s">
        <v>681</v>
      </c>
      <c r="Q216" s="16" t="s">
        <v>2649</v>
      </c>
      <c r="R216" s="15">
        <v>43628.745428240698</v>
      </c>
      <c r="S216" s="14">
        <v>263</v>
      </c>
      <c r="T216" s="15">
        <v>44874</v>
      </c>
      <c r="U216" s="14">
        <v>4359</v>
      </c>
      <c r="V216" s="14">
        <v>4360</v>
      </c>
      <c r="W216" s="17">
        <v>45966.507638888892</v>
      </c>
      <c r="X216" s="14">
        <v>0</v>
      </c>
      <c r="Y216" s="14">
        <v>-3347</v>
      </c>
      <c r="Z216" s="14" t="s">
        <v>2697</v>
      </c>
      <c r="AA216" s="18">
        <v>2484.2545717593021</v>
      </c>
      <c r="AB216" s="18" t="s">
        <v>2697</v>
      </c>
      <c r="AC216" s="8">
        <f>tbl_DPSAC[[#This Row],[Current Month Due Count]]</f>
        <v>0</v>
      </c>
      <c r="AD216" s="8">
        <f>tbl_DPSAC[[#This Row],[Next Month Due2]]</f>
        <v>0</v>
      </c>
      <c r="AE216" s="8">
        <f t="shared" si="14"/>
        <v>1</v>
      </c>
      <c r="AF216" s="8">
        <v>0</v>
      </c>
      <c r="AG216" s="14">
        <f t="shared" ca="1" si="15"/>
        <v>4360</v>
      </c>
      <c r="AH216" s="8">
        <v>0</v>
      </c>
      <c r="AI216" s="8">
        <v>0</v>
      </c>
      <c r="AJ216" s="8">
        <v>0</v>
      </c>
      <c r="AK216" s="8">
        <v>0</v>
      </c>
      <c r="AL216" s="8">
        <v>0</v>
      </c>
      <c r="AM216" s="8">
        <v>0</v>
      </c>
      <c r="AN216" s="8">
        <v>0</v>
      </c>
      <c r="AO216" s="8">
        <v>0</v>
      </c>
      <c r="AP216" s="8">
        <v>0</v>
      </c>
      <c r="AQ216" s="8">
        <v>0</v>
      </c>
      <c r="AR216" s="8">
        <v>0</v>
      </c>
      <c r="AS216" s="8">
        <v>0</v>
      </c>
      <c r="AT216" s="8">
        <v>0</v>
      </c>
      <c r="AU216" s="8">
        <v>0</v>
      </c>
      <c r="AV216" s="8">
        <v>0</v>
      </c>
      <c r="AW216" s="8">
        <v>0</v>
      </c>
      <c r="AX216" s="8" t="s">
        <v>2980</v>
      </c>
      <c r="AY216" s="14">
        <v>3000</v>
      </c>
      <c r="AZ216" s="19">
        <v>44359.745428240742</v>
      </c>
      <c r="BA216" s="14"/>
      <c r="BB216" s="14">
        <v>3000</v>
      </c>
      <c r="BC216" s="19">
        <v>44359.745428240742</v>
      </c>
      <c r="BD216" s="14"/>
      <c r="BE216" s="14">
        <v>3000</v>
      </c>
      <c r="BF216" s="19">
        <v>44359.745428240742</v>
      </c>
      <c r="BG216" s="14"/>
      <c r="BH216" s="14">
        <v>3000</v>
      </c>
      <c r="BI216" s="19">
        <v>44359.745428240742</v>
      </c>
      <c r="BJ216" s="14"/>
      <c r="BK216" s="14">
        <v>3000</v>
      </c>
      <c r="BL216" s="19">
        <v>44359.745428240742</v>
      </c>
      <c r="BM216" s="14"/>
      <c r="BN216" s="27">
        <v>44539.745428240742</v>
      </c>
      <c r="BO216" s="27">
        <v>44539.745428240742</v>
      </c>
      <c r="BP216" s="27">
        <v>44539.745428240742</v>
      </c>
      <c r="BQ216" s="27">
        <v>44539.745428240742</v>
      </c>
      <c r="BR216" s="27">
        <v>44724.745428240742</v>
      </c>
      <c r="BS216" s="28">
        <v>-610</v>
      </c>
      <c r="BT216" s="29">
        <v>140</v>
      </c>
      <c r="BU216" s="29">
        <v>-610</v>
      </c>
      <c r="BV216" s="29">
        <v>-610</v>
      </c>
      <c r="BW216" s="29">
        <v>140</v>
      </c>
      <c r="BX216" s="30" t="s">
        <v>173</v>
      </c>
      <c r="BY216" s="8">
        <v>5</v>
      </c>
      <c r="BZ216" s="8">
        <v>0</v>
      </c>
      <c r="CA216" s="8">
        <v>0</v>
      </c>
      <c r="CB216" s="21">
        <v>0</v>
      </c>
      <c r="CC216" s="21">
        <v>0</v>
      </c>
      <c r="CD216" s="21">
        <v>0</v>
      </c>
      <c r="CE216" s="21">
        <v>0</v>
      </c>
      <c r="CF216" s="21">
        <v>0</v>
      </c>
      <c r="CG216" s="21">
        <v>0</v>
      </c>
      <c r="CH216" s="21">
        <v>0</v>
      </c>
      <c r="CI216" s="21">
        <v>0</v>
      </c>
      <c r="CJ216" s="21">
        <v>0</v>
      </c>
      <c r="CK216" s="22" t="s">
        <v>3093</v>
      </c>
      <c r="CL216" s="22" t="s">
        <v>3093</v>
      </c>
      <c r="CM216" s="22" t="s">
        <v>3093</v>
      </c>
      <c r="CN216" s="22" t="s">
        <v>3093</v>
      </c>
      <c r="CO216" s="22" t="s">
        <v>3093</v>
      </c>
      <c r="CP216" s="22" t="s">
        <v>3093</v>
      </c>
      <c r="CQ216" s="22" t="s">
        <v>2953</v>
      </c>
      <c r="CR216" s="22" t="s">
        <v>3093</v>
      </c>
      <c r="CS216" s="22" t="s">
        <v>3093</v>
      </c>
      <c r="CT216" s="22">
        <v>0</v>
      </c>
      <c r="CU216" s="21">
        <v>0</v>
      </c>
      <c r="CV216" s="21">
        <v>0</v>
      </c>
      <c r="CW216" s="21">
        <v>0</v>
      </c>
      <c r="CX216" s="21">
        <v>0</v>
      </c>
      <c r="CY216" s="21">
        <v>0</v>
      </c>
      <c r="CZ216" s="21">
        <v>0</v>
      </c>
      <c r="DA216" s="21">
        <v>0</v>
      </c>
      <c r="DB216" s="21">
        <v>0</v>
      </c>
      <c r="DC216" s="21">
        <v>0</v>
      </c>
      <c r="DD216" s="8">
        <v>0</v>
      </c>
      <c r="DE216" s="8">
        <v>0</v>
      </c>
      <c r="DF216" s="8">
        <v>0</v>
      </c>
      <c r="DG216" s="8">
        <v>9</v>
      </c>
      <c r="DH216" s="8">
        <v>0</v>
      </c>
      <c r="DI216" s="8">
        <v>0</v>
      </c>
      <c r="DJ216" s="8" t="s">
        <v>3025</v>
      </c>
      <c r="DK216" s="21">
        <v>43594</v>
      </c>
      <c r="DL216" s="21">
        <v>43572.229166666664</v>
      </c>
      <c r="DM216" s="21">
        <v>45966</v>
      </c>
      <c r="DN216" s="18">
        <v>4360</v>
      </c>
      <c r="DO216" s="21">
        <v>0</v>
      </c>
      <c r="DP216" s="21">
        <v>0</v>
      </c>
      <c r="DQ216" s="21">
        <v>0</v>
      </c>
      <c r="DR216" s="21">
        <v>0</v>
      </c>
      <c r="DS216" s="21">
        <v>0</v>
      </c>
      <c r="DT216" s="21">
        <v>0</v>
      </c>
      <c r="DU216" s="21">
        <v>0</v>
      </c>
      <c r="DV216" s="21">
        <v>0</v>
      </c>
      <c r="DW216" s="21">
        <v>0</v>
      </c>
      <c r="DX216" s="21">
        <v>0</v>
      </c>
      <c r="DY216" s="21">
        <v>0</v>
      </c>
      <c r="DZ216" s="21">
        <v>0</v>
      </c>
      <c r="EA216" s="8">
        <v>140</v>
      </c>
      <c r="EB216" s="8">
        <v>140</v>
      </c>
      <c r="EC216" s="8">
        <v>140</v>
      </c>
      <c r="ED216" s="8">
        <v>140</v>
      </c>
      <c r="EE216" s="8">
        <v>140</v>
      </c>
      <c r="EF216" s="8">
        <v>140</v>
      </c>
      <c r="EG216" s="8">
        <v>1000</v>
      </c>
      <c r="EH216" s="8">
        <v>140</v>
      </c>
      <c r="EI216" s="8">
        <v>140</v>
      </c>
      <c r="EJ216" s="8">
        <v>0</v>
      </c>
      <c r="EK216" s="8" t="s">
        <v>2624</v>
      </c>
      <c r="EL216" s="8">
        <v>146</v>
      </c>
      <c r="EM216" s="8">
        <v>0</v>
      </c>
      <c r="EN216" s="8">
        <v>-148</v>
      </c>
      <c r="EO216" s="8">
        <v>-148</v>
      </c>
      <c r="EP216" s="8">
        <v>-148</v>
      </c>
      <c r="EQ216" s="8">
        <v>-148</v>
      </c>
      <c r="ER216" s="8">
        <v>-148</v>
      </c>
      <c r="ES216" s="8">
        <v>-148</v>
      </c>
      <c r="ET216" s="8">
        <v>712</v>
      </c>
      <c r="EU216" s="8">
        <v>-148</v>
      </c>
      <c r="EV216" s="8">
        <v>-148</v>
      </c>
    </row>
    <row r="217" spans="1:152" x14ac:dyDescent="0.15">
      <c r="A217" s="8">
        <f>ROW([2]!tbl_DPSAC[[#This Row],[Sl. No.]])-1</f>
        <v>216</v>
      </c>
      <c r="B217" s="9" t="s">
        <v>136</v>
      </c>
      <c r="C217" s="9" t="s">
        <v>1198</v>
      </c>
      <c r="D217" s="9" t="s">
        <v>138</v>
      </c>
      <c r="E217" s="9" t="s">
        <v>139</v>
      </c>
      <c r="F217" s="9" t="s">
        <v>161</v>
      </c>
      <c r="G217" s="10" t="s">
        <v>1199</v>
      </c>
      <c r="H217" s="10" t="str">
        <f>_xlfn.XLOOKUP(C217,'[1]E&amp;DPSAC'!$K:$K,'[1]E&amp;DPSAC'!$E:$E,,0)</f>
        <v>BASJORA</v>
      </c>
      <c r="I217" s="10"/>
      <c r="J217" s="10">
        <v>9578883777</v>
      </c>
      <c r="K217" s="10">
        <f>_xlfn.XLOOKUP(C217,'[1]E&amp;DPSAC'!$K:$K,'[1]E&amp;DPSAC'!$G:$G,"",0)</f>
        <v>9578883777</v>
      </c>
      <c r="L217" s="9" t="str">
        <f t="shared" ca="1" si="12"/>
        <v>Non - Warranty</v>
      </c>
      <c r="M217" s="11">
        <v>43378</v>
      </c>
      <c r="N217" s="12">
        <v>24</v>
      </c>
      <c r="O217" s="11">
        <f t="shared" si="13"/>
        <v>44135</v>
      </c>
      <c r="P217" s="8" t="s">
        <v>213</v>
      </c>
      <c r="Q217" s="16" t="s">
        <v>1203</v>
      </c>
      <c r="R217" s="15">
        <v>45265.558043981502</v>
      </c>
      <c r="S217" s="14">
        <v>7250</v>
      </c>
      <c r="T217" s="15">
        <v>45265</v>
      </c>
      <c r="U217" s="14">
        <v>7250</v>
      </c>
      <c r="V217" s="14">
        <v>8830</v>
      </c>
      <c r="W217" s="17">
        <v>45966.513888888891</v>
      </c>
      <c r="X217" s="14" t="s">
        <v>2776</v>
      </c>
      <c r="Y217" s="14">
        <v>-830</v>
      </c>
      <c r="Z217" s="14" t="s">
        <v>2697</v>
      </c>
      <c r="AA217" s="18">
        <v>847.44195601849788</v>
      </c>
      <c r="AB217" s="18" t="s">
        <v>2697</v>
      </c>
      <c r="AC217" s="8">
        <f>tbl_DPSAC[[#This Row],[Current Month Due Count]]</f>
        <v>0</v>
      </c>
      <c r="AD217" s="8">
        <f>tbl_DPSAC[[#This Row],[Next Month Due2]]</f>
        <v>0</v>
      </c>
      <c r="AE217" s="8">
        <f t="shared" si="14"/>
        <v>1</v>
      </c>
      <c r="AF217" s="8">
        <v>1</v>
      </c>
      <c r="AG217" s="14">
        <f t="shared" ca="1" si="15"/>
        <v>8976</v>
      </c>
      <c r="AH217" s="8" t="s">
        <v>1200</v>
      </c>
      <c r="AI217" s="8">
        <v>0</v>
      </c>
      <c r="AJ217" s="8">
        <v>0</v>
      </c>
      <c r="AK217" s="8" t="s">
        <v>1201</v>
      </c>
      <c r="AL217" s="8">
        <v>0</v>
      </c>
      <c r="AM217" s="8">
        <v>0</v>
      </c>
      <c r="AN217" s="8">
        <v>0</v>
      </c>
      <c r="AO217" s="8">
        <v>0</v>
      </c>
      <c r="AP217" s="8" t="s">
        <v>1202</v>
      </c>
      <c r="AQ217" s="8">
        <v>0</v>
      </c>
      <c r="AR217" s="8">
        <v>0</v>
      </c>
      <c r="AS217" s="8">
        <v>0</v>
      </c>
      <c r="AT217" s="8">
        <v>0</v>
      </c>
      <c r="AU217" s="8">
        <v>0</v>
      </c>
      <c r="AV217" s="8">
        <v>0</v>
      </c>
      <c r="AW217" s="8">
        <v>0</v>
      </c>
      <c r="AX217" s="8" t="s">
        <v>2961</v>
      </c>
      <c r="AY217" s="14">
        <v>7250</v>
      </c>
      <c r="AZ217" s="19">
        <v>45265</v>
      </c>
      <c r="BA217" s="14" t="s">
        <v>1203</v>
      </c>
      <c r="BB217" s="14">
        <v>6685</v>
      </c>
      <c r="BC217" s="19">
        <v>45199</v>
      </c>
      <c r="BD217" s="14" t="s">
        <v>1204</v>
      </c>
      <c r="BE217" s="14">
        <v>7250</v>
      </c>
      <c r="BF217" s="19">
        <v>45265</v>
      </c>
      <c r="BG217" s="14" t="s">
        <v>1203</v>
      </c>
      <c r="BH217" s="14">
        <v>6685</v>
      </c>
      <c r="BI217" s="19">
        <v>45199</v>
      </c>
      <c r="BJ217" s="14" t="s">
        <v>1204</v>
      </c>
      <c r="BK217" s="14">
        <v>6685</v>
      </c>
      <c r="BL217" s="19">
        <v>45199</v>
      </c>
      <c r="BM217" s="14" t="s">
        <v>1204</v>
      </c>
      <c r="BN217" s="27">
        <v>45445</v>
      </c>
      <c r="BO217" s="27">
        <v>45379</v>
      </c>
      <c r="BP217" s="27">
        <v>45445</v>
      </c>
      <c r="BQ217" s="27">
        <v>45379</v>
      </c>
      <c r="BR217" s="27">
        <v>45564</v>
      </c>
      <c r="BS217" s="28">
        <v>-976</v>
      </c>
      <c r="BT217" s="29">
        <v>-791</v>
      </c>
      <c r="BU217" s="29">
        <v>-976</v>
      </c>
      <c r="BV217" s="29">
        <v>-1541</v>
      </c>
      <c r="BW217" s="29">
        <v>-791</v>
      </c>
      <c r="BX217" s="30" t="e">
        <v>#N/A</v>
      </c>
      <c r="BY217" s="8">
        <v>5</v>
      </c>
      <c r="BZ217" s="8">
        <v>0</v>
      </c>
      <c r="CA217" s="8">
        <v>0</v>
      </c>
      <c r="CB217" s="21">
        <v>45264.770833333299</v>
      </c>
      <c r="CC217" s="21">
        <v>45264.770833333299</v>
      </c>
      <c r="CD217" s="21">
        <v>0</v>
      </c>
      <c r="CE217" s="21">
        <v>45264.770833333299</v>
      </c>
      <c r="CF217" s="21">
        <v>45264.770833333299</v>
      </c>
      <c r="CG217" s="21">
        <v>45198.770833333299</v>
      </c>
      <c r="CH217" s="21">
        <v>45198.770833333299</v>
      </c>
      <c r="CI217" s="21">
        <v>45198.770833333299</v>
      </c>
      <c r="CJ217" s="21">
        <v>45198.770833333299</v>
      </c>
      <c r="CK217" s="22" t="s">
        <v>3111</v>
      </c>
      <c r="CL217" s="22" t="s">
        <v>2996</v>
      </c>
      <c r="CM217" s="22" t="s">
        <v>2996</v>
      </c>
      <c r="CN217" s="22" t="s">
        <v>2996</v>
      </c>
      <c r="CO217" s="22" t="s">
        <v>2996</v>
      </c>
      <c r="CP217" s="22" t="s">
        <v>2996</v>
      </c>
      <c r="CQ217" s="22" t="s">
        <v>2953</v>
      </c>
      <c r="CR217" s="22" t="s">
        <v>2996</v>
      </c>
      <c r="CS217" s="22" t="s">
        <v>2996</v>
      </c>
      <c r="CT217" s="22">
        <v>2</v>
      </c>
      <c r="CU217" s="21">
        <v>45444</v>
      </c>
      <c r="CV217" s="21">
        <v>45444</v>
      </c>
      <c r="CW217" s="21">
        <v>46086</v>
      </c>
      <c r="CX217" s="21">
        <v>45444</v>
      </c>
      <c r="CY217" s="21">
        <v>45444</v>
      </c>
      <c r="CZ217" s="21">
        <v>45468</v>
      </c>
      <c r="DA217" s="21">
        <v>45563</v>
      </c>
      <c r="DB217" s="21">
        <v>45378</v>
      </c>
      <c r="DC217" s="21">
        <v>45563</v>
      </c>
      <c r="DD217" s="8">
        <v>1</v>
      </c>
      <c r="DE217" s="8">
        <v>0</v>
      </c>
      <c r="DF217" s="8">
        <v>1</v>
      </c>
      <c r="DG217" s="8">
        <v>9</v>
      </c>
      <c r="DH217" s="8">
        <v>0</v>
      </c>
      <c r="DI217" s="8">
        <v>0</v>
      </c>
      <c r="DJ217" s="8" t="s">
        <v>2976</v>
      </c>
      <c r="DK217" s="21">
        <v>43378</v>
      </c>
      <c r="DL217" s="21">
        <v>43334.333333333336</v>
      </c>
      <c r="DM217" s="21">
        <v>45966</v>
      </c>
      <c r="DN217" s="18">
        <v>8830</v>
      </c>
      <c r="DO217" s="21">
        <v>0</v>
      </c>
      <c r="DP217" s="21">
        <v>0</v>
      </c>
      <c r="DQ217" s="21" t="s">
        <v>2955</v>
      </c>
      <c r="DR217" s="21">
        <v>45265</v>
      </c>
      <c r="DS217" s="21">
        <v>45265</v>
      </c>
      <c r="DT217" s="21">
        <v>0</v>
      </c>
      <c r="DU217" s="21">
        <v>45265</v>
      </c>
      <c r="DV217" s="21">
        <v>45265</v>
      </c>
      <c r="DW217" s="21">
        <v>45199</v>
      </c>
      <c r="DX217" s="21">
        <v>45199</v>
      </c>
      <c r="DY217" s="21">
        <v>45199</v>
      </c>
      <c r="DZ217" s="21">
        <v>45199</v>
      </c>
      <c r="EA217" s="8">
        <v>130</v>
      </c>
      <c r="EB217" s="8">
        <v>330</v>
      </c>
      <c r="EC217" s="8">
        <v>330</v>
      </c>
      <c r="ED217" s="8">
        <v>330</v>
      </c>
      <c r="EE217" s="8">
        <v>330</v>
      </c>
      <c r="EF217" s="8">
        <v>330</v>
      </c>
      <c r="EG217" s="8">
        <v>1000</v>
      </c>
      <c r="EH217" s="8">
        <v>330</v>
      </c>
      <c r="EI217" s="8">
        <v>330</v>
      </c>
      <c r="EJ217" s="8">
        <v>2</v>
      </c>
      <c r="EK217" s="8" t="s">
        <v>2624</v>
      </c>
      <c r="EL217" s="8">
        <v>146</v>
      </c>
      <c r="EM217" s="8">
        <v>146</v>
      </c>
      <c r="EN217" s="8">
        <v>-158</v>
      </c>
      <c r="EO217" s="8">
        <v>42</v>
      </c>
      <c r="EP217" s="8">
        <v>42</v>
      </c>
      <c r="EQ217" s="8">
        <v>42</v>
      </c>
      <c r="ER217" s="8">
        <v>42</v>
      </c>
      <c r="ES217" s="8">
        <v>42</v>
      </c>
      <c r="ET217" s="8">
        <v>712</v>
      </c>
      <c r="EU217" s="8">
        <v>42</v>
      </c>
      <c r="EV217" s="8">
        <v>42</v>
      </c>
    </row>
    <row r="218" spans="1:152" x14ac:dyDescent="0.15">
      <c r="A218" s="8">
        <f>ROW([2]!tbl_DPSAC[[#This Row],[Sl. No.]])-1</f>
        <v>217</v>
      </c>
      <c r="B218" s="9" t="s">
        <v>136</v>
      </c>
      <c r="C218" s="9" t="s">
        <v>1205</v>
      </c>
      <c r="D218" s="9" t="s">
        <v>138</v>
      </c>
      <c r="E218" s="9" t="s">
        <v>139</v>
      </c>
      <c r="F218" s="9" t="s">
        <v>161</v>
      </c>
      <c r="G218" s="10" t="s">
        <v>1206</v>
      </c>
      <c r="H218" s="10" t="str">
        <f>_xlfn.XLOOKUP(C218,'[1]E&amp;DPSAC'!$K:$K,'[1]E&amp;DPSAC'!$E:$E,,0)</f>
        <v>KUSUNDA DHANBAD</v>
      </c>
      <c r="I218" s="10"/>
      <c r="J218" s="10">
        <v>8210106692</v>
      </c>
      <c r="K218" s="10">
        <f>_xlfn.XLOOKUP(C218,'[1]E&amp;DPSAC'!$K:$K,'[1]E&amp;DPSAC'!$G:$G,"",0)</f>
        <v>8210106692</v>
      </c>
      <c r="L218" s="9" t="str">
        <f t="shared" ca="1" si="12"/>
        <v>Non - Warranty</v>
      </c>
      <c r="M218" s="11">
        <v>43368</v>
      </c>
      <c r="N218" s="12">
        <v>24</v>
      </c>
      <c r="O218" s="11">
        <f t="shared" si="13"/>
        <v>44104</v>
      </c>
      <c r="P218" s="8" t="s">
        <v>142</v>
      </c>
      <c r="Q218" s="16" t="s">
        <v>1211</v>
      </c>
      <c r="R218" s="15">
        <v>46052.508645833303</v>
      </c>
      <c r="S218" s="14">
        <v>8737</v>
      </c>
      <c r="T218" s="15">
        <v>46053</v>
      </c>
      <c r="U218" s="14">
        <v>8737</v>
      </c>
      <c r="V218" s="14">
        <v>8737</v>
      </c>
      <c r="W218" s="17">
        <v>46052.508645833303</v>
      </c>
      <c r="X218" s="14" t="s">
        <v>2705</v>
      </c>
      <c r="Y218" s="14">
        <v>750</v>
      </c>
      <c r="Z218" s="14" t="s">
        <v>2692</v>
      </c>
      <c r="AA218" s="18">
        <v>60.49135416669742</v>
      </c>
      <c r="AB218" s="18" t="s">
        <v>2692</v>
      </c>
      <c r="AC218" s="8">
        <f>tbl_DPSAC[[#This Row],[Current Month Due Count]]</f>
        <v>0</v>
      </c>
      <c r="AD218" s="8">
        <f>tbl_DPSAC[[#This Row],[Next Month Due2]]</f>
        <v>0</v>
      </c>
      <c r="AE218" s="8">
        <f t="shared" si="14"/>
        <v>0</v>
      </c>
      <c r="AF218" s="8">
        <v>3.5</v>
      </c>
      <c r="AG218" s="14">
        <f t="shared" ca="1" si="15"/>
        <v>8949</v>
      </c>
      <c r="AH218" s="8" t="s">
        <v>1207</v>
      </c>
      <c r="AI218" s="8" t="s">
        <v>1208</v>
      </c>
      <c r="AJ218" s="8">
        <v>0</v>
      </c>
      <c r="AK218" s="8" t="s">
        <v>1209</v>
      </c>
      <c r="AL218" s="8" t="s">
        <v>1210</v>
      </c>
      <c r="AM218" s="8">
        <v>0</v>
      </c>
      <c r="AN218" s="8">
        <v>0</v>
      </c>
      <c r="AO218" s="8">
        <v>0</v>
      </c>
      <c r="AP218" s="8">
        <v>0</v>
      </c>
      <c r="AQ218" s="8">
        <v>0</v>
      </c>
      <c r="AR218" s="8">
        <v>0</v>
      </c>
      <c r="AS218" s="8">
        <v>0</v>
      </c>
      <c r="AT218" s="8">
        <v>0</v>
      </c>
      <c r="AU218" s="8">
        <v>0</v>
      </c>
      <c r="AV218" s="8">
        <v>0</v>
      </c>
      <c r="AW218" s="8">
        <v>0</v>
      </c>
      <c r="AX218" s="8" t="s">
        <v>2007</v>
      </c>
      <c r="AY218" s="14">
        <v>8737</v>
      </c>
      <c r="AZ218" s="19">
        <v>46052</v>
      </c>
      <c r="BA218" s="14" t="s">
        <v>1211</v>
      </c>
      <c r="BB218" s="14">
        <v>8737</v>
      </c>
      <c r="BC218" s="19">
        <v>46052</v>
      </c>
      <c r="BD218" s="14" t="s">
        <v>1211</v>
      </c>
      <c r="BE218" s="14">
        <v>8737</v>
      </c>
      <c r="BF218" s="19">
        <v>46052</v>
      </c>
      <c r="BG218" s="14" t="s">
        <v>1211</v>
      </c>
      <c r="BH218" s="14">
        <v>8737</v>
      </c>
      <c r="BI218" s="19">
        <v>46052</v>
      </c>
      <c r="BJ218" s="14" t="s">
        <v>1211</v>
      </c>
      <c r="BK218" s="14">
        <v>8737</v>
      </c>
      <c r="BL218" s="19">
        <v>46052</v>
      </c>
      <c r="BM218" s="14" t="s">
        <v>1211</v>
      </c>
      <c r="BN218" s="27">
        <v>46232</v>
      </c>
      <c r="BO218" s="27">
        <v>46232</v>
      </c>
      <c r="BP218" s="27">
        <v>46232</v>
      </c>
      <c r="BQ218" s="27">
        <v>46232</v>
      </c>
      <c r="BR218" s="27">
        <v>46417</v>
      </c>
      <c r="BS218" s="28">
        <v>538</v>
      </c>
      <c r="BT218" s="29">
        <v>1288</v>
      </c>
      <c r="BU218" s="29">
        <v>538</v>
      </c>
      <c r="BV218" s="29">
        <v>538</v>
      </c>
      <c r="BW218" s="29">
        <v>1288</v>
      </c>
      <c r="BX218" s="30" t="e">
        <v>#N/A</v>
      </c>
      <c r="BY218" s="8">
        <v>0</v>
      </c>
      <c r="BZ218" s="8">
        <v>0</v>
      </c>
      <c r="CA218" s="8">
        <v>0</v>
      </c>
      <c r="CB218" s="21">
        <v>46051.770833333299</v>
      </c>
      <c r="CC218" s="21">
        <v>46051.770833333299</v>
      </c>
      <c r="CD218" s="21">
        <v>46051.770833333299</v>
      </c>
      <c r="CE218" s="21">
        <v>46051.770833333299</v>
      </c>
      <c r="CF218" s="21">
        <v>46051.770833333299</v>
      </c>
      <c r="CG218" s="21">
        <v>46051.770833333299</v>
      </c>
      <c r="CH218" s="21">
        <v>46051.770833333299</v>
      </c>
      <c r="CI218" s="21">
        <v>46051.770833333299</v>
      </c>
      <c r="CJ218" s="21">
        <v>46051.770833333299</v>
      </c>
      <c r="CK218" s="22" t="s">
        <v>2956</v>
      </c>
      <c r="CL218" s="22" t="s">
        <v>2957</v>
      </c>
      <c r="CM218" s="22" t="s">
        <v>2959</v>
      </c>
      <c r="CN218" s="22" t="s">
        <v>2957</v>
      </c>
      <c r="CO218" s="22" t="s">
        <v>2957</v>
      </c>
      <c r="CP218" s="22" t="s">
        <v>2957</v>
      </c>
      <c r="CQ218" s="22" t="s">
        <v>2956</v>
      </c>
      <c r="CR218" s="22" t="s">
        <v>2956</v>
      </c>
      <c r="CS218" s="22" t="s">
        <v>2960</v>
      </c>
      <c r="CT218" s="22">
        <v>6</v>
      </c>
      <c r="CU218" s="21">
        <v>46231</v>
      </c>
      <c r="CV218" s="21">
        <v>46178</v>
      </c>
      <c r="CW218" s="21">
        <v>46136</v>
      </c>
      <c r="CX218" s="21">
        <v>46178</v>
      </c>
      <c r="CY218" s="21">
        <v>46178</v>
      </c>
      <c r="CZ218" s="21">
        <v>46178</v>
      </c>
      <c r="DA218" s="21">
        <v>46303</v>
      </c>
      <c r="DB218" s="21">
        <v>46231</v>
      </c>
      <c r="DC218" s="21">
        <v>46416</v>
      </c>
      <c r="DD218" s="8">
        <v>0</v>
      </c>
      <c r="DE218" s="8">
        <v>0</v>
      </c>
      <c r="DF218" s="8">
        <v>0</v>
      </c>
      <c r="DG218" s="8">
        <v>0</v>
      </c>
      <c r="DH218" s="8">
        <v>1</v>
      </c>
      <c r="DI218" s="8">
        <v>0</v>
      </c>
      <c r="DJ218" s="8" t="s">
        <v>2954</v>
      </c>
      <c r="DK218" s="21">
        <v>43368</v>
      </c>
      <c r="DL218" s="21">
        <v>0</v>
      </c>
      <c r="DM218" s="21">
        <v>46053</v>
      </c>
      <c r="DN218" s="18">
        <v>8737</v>
      </c>
      <c r="DO218" s="21">
        <v>0</v>
      </c>
      <c r="DP218" s="21">
        <v>0</v>
      </c>
      <c r="DQ218" s="21" t="s">
        <v>2955</v>
      </c>
      <c r="DR218" s="21">
        <v>46052</v>
      </c>
      <c r="DS218" s="21">
        <v>46052</v>
      </c>
      <c r="DT218" s="21">
        <v>46052</v>
      </c>
      <c r="DU218" s="21">
        <v>46052</v>
      </c>
      <c r="DV218" s="21">
        <v>46052</v>
      </c>
      <c r="DW218" s="21">
        <v>46052</v>
      </c>
      <c r="DX218" s="21">
        <v>46052</v>
      </c>
      <c r="DY218" s="21">
        <v>46052</v>
      </c>
      <c r="DZ218" s="21">
        <v>46052</v>
      </c>
      <c r="EA218" s="8">
        <v>1500</v>
      </c>
      <c r="EB218" s="8">
        <v>750</v>
      </c>
      <c r="EC218" s="8">
        <v>500</v>
      </c>
      <c r="ED218" s="8">
        <v>750</v>
      </c>
      <c r="EE218" s="8">
        <v>750</v>
      </c>
      <c r="EF218" s="8">
        <v>750</v>
      </c>
      <c r="EG218" s="8">
        <v>1500</v>
      </c>
      <c r="EH218" s="8">
        <v>1500</v>
      </c>
      <c r="EI218" s="8">
        <v>3000</v>
      </c>
      <c r="EJ218" s="8">
        <v>6</v>
      </c>
      <c r="EK218" s="8" t="s">
        <v>2624</v>
      </c>
      <c r="EL218" s="8">
        <v>60</v>
      </c>
      <c r="EM218" s="8">
        <v>210</v>
      </c>
      <c r="EN218" s="8">
        <v>1212</v>
      </c>
      <c r="EO218" s="8">
        <v>462</v>
      </c>
      <c r="EP218" s="8">
        <v>212</v>
      </c>
      <c r="EQ218" s="8">
        <v>462</v>
      </c>
      <c r="ER218" s="8">
        <v>462</v>
      </c>
      <c r="ES218" s="8">
        <v>462</v>
      </c>
      <c r="ET218" s="8">
        <v>1212</v>
      </c>
      <c r="EU218" s="8">
        <v>1212</v>
      </c>
      <c r="EV218" s="8">
        <v>2712</v>
      </c>
    </row>
    <row r="219" spans="1:152" x14ac:dyDescent="0.15">
      <c r="A219" s="8">
        <f>ROW([2]!tbl_DPSAC[[#This Row],[Sl. No.]])-1</f>
        <v>218</v>
      </c>
      <c r="B219" s="9" t="s">
        <v>136</v>
      </c>
      <c r="C219" s="9" t="s">
        <v>1212</v>
      </c>
      <c r="D219" s="9" t="s">
        <v>138</v>
      </c>
      <c r="E219" s="9" t="s">
        <v>139</v>
      </c>
      <c r="F219" s="9" t="s">
        <v>161</v>
      </c>
      <c r="G219" s="10" t="s">
        <v>1206</v>
      </c>
      <c r="H219" s="10" t="str">
        <f>_xlfn.XLOOKUP(C219,'[1]E&amp;DPSAC'!$K:$K,'[1]E&amp;DPSAC'!$E:$E,,0)</f>
        <v>SONARDHI</v>
      </c>
      <c r="I219" s="10"/>
      <c r="J219" s="10">
        <v>8210106692</v>
      </c>
      <c r="K219" s="10">
        <f>_xlfn.XLOOKUP(C219,'[1]E&amp;DPSAC'!$K:$K,'[1]E&amp;DPSAC'!$G:$G,"",0)</f>
        <v>8210106692</v>
      </c>
      <c r="L219" s="9" t="str">
        <f t="shared" ca="1" si="12"/>
        <v>Non - Warranty</v>
      </c>
      <c r="M219" s="11">
        <v>43277</v>
      </c>
      <c r="N219" s="12">
        <v>24</v>
      </c>
      <c r="O219" s="11">
        <f t="shared" si="13"/>
        <v>44012</v>
      </c>
      <c r="P219" s="8" t="s">
        <v>157</v>
      </c>
      <c r="Q219" s="16" t="s">
        <v>1214</v>
      </c>
      <c r="R219" s="15">
        <v>45199.582592592596</v>
      </c>
      <c r="S219" s="14">
        <v>8760</v>
      </c>
      <c r="T219" s="15">
        <v>45199</v>
      </c>
      <c r="U219" s="14">
        <v>8760</v>
      </c>
      <c r="V219" s="14">
        <v>9765</v>
      </c>
      <c r="W219" s="17">
        <v>45453.607928240701</v>
      </c>
      <c r="X219" s="14" t="s">
        <v>2790</v>
      </c>
      <c r="Y219" s="14">
        <v>-255</v>
      </c>
      <c r="Z219" s="14" t="s">
        <v>2697</v>
      </c>
      <c r="AA219" s="18">
        <v>913.41740740740352</v>
      </c>
      <c r="AB219" s="18" t="s">
        <v>2697</v>
      </c>
      <c r="AC219" s="8">
        <f>tbl_DPSAC[[#This Row],[Current Month Due Count]]</f>
        <v>0</v>
      </c>
      <c r="AD219" s="8">
        <f>tbl_DPSAC[[#This Row],[Next Month Due2]]</f>
        <v>0</v>
      </c>
      <c r="AE219" s="8">
        <f t="shared" si="14"/>
        <v>1</v>
      </c>
      <c r="AF219" s="8">
        <v>4</v>
      </c>
      <c r="AG219" s="14">
        <f t="shared" ca="1" si="15"/>
        <v>12403</v>
      </c>
      <c r="AH219" s="8">
        <v>0</v>
      </c>
      <c r="AI219" s="8">
        <v>0</v>
      </c>
      <c r="AJ219" s="8">
        <v>0</v>
      </c>
      <c r="AK219" s="8">
        <v>0</v>
      </c>
      <c r="AL219" s="8">
        <v>0</v>
      </c>
      <c r="AM219" s="8">
        <v>0</v>
      </c>
      <c r="AN219" s="8">
        <v>0</v>
      </c>
      <c r="AO219" s="8">
        <v>0</v>
      </c>
      <c r="AP219" s="8">
        <v>0</v>
      </c>
      <c r="AQ219" s="8">
        <v>0</v>
      </c>
      <c r="AR219" s="8" t="s">
        <v>1213</v>
      </c>
      <c r="AS219" s="8">
        <v>0</v>
      </c>
      <c r="AT219" s="8">
        <v>0</v>
      </c>
      <c r="AU219" s="8">
        <v>0</v>
      </c>
      <c r="AV219" s="8">
        <v>0</v>
      </c>
      <c r="AW219" s="8">
        <v>0</v>
      </c>
      <c r="AX219" s="8" t="s">
        <v>2961</v>
      </c>
      <c r="AY219" s="14">
        <v>8760</v>
      </c>
      <c r="AZ219" s="19">
        <v>45199</v>
      </c>
      <c r="BA219" s="14" t="s">
        <v>1214</v>
      </c>
      <c r="BB219" s="14">
        <v>6000</v>
      </c>
      <c r="BC219" s="19">
        <v>44639</v>
      </c>
      <c r="BD219" s="14"/>
      <c r="BE219" s="14">
        <v>8760</v>
      </c>
      <c r="BF219" s="19">
        <v>45199</v>
      </c>
      <c r="BG219" s="14" t="s">
        <v>1214</v>
      </c>
      <c r="BH219" s="14">
        <v>8760</v>
      </c>
      <c r="BI219" s="19">
        <v>45199</v>
      </c>
      <c r="BJ219" s="14" t="s">
        <v>1214</v>
      </c>
      <c r="BK219" s="14">
        <v>6000</v>
      </c>
      <c r="BL219" s="19">
        <v>44639</v>
      </c>
      <c r="BM219" s="14"/>
      <c r="BN219" s="27">
        <v>45379</v>
      </c>
      <c r="BO219" s="27">
        <v>44819</v>
      </c>
      <c r="BP219" s="27">
        <v>45379</v>
      </c>
      <c r="BQ219" s="27">
        <v>45379</v>
      </c>
      <c r="BR219" s="27">
        <v>45004</v>
      </c>
      <c r="BS219" s="28">
        <v>-2893</v>
      </c>
      <c r="BT219" s="29">
        <v>-4903</v>
      </c>
      <c r="BU219" s="29">
        <v>-2893</v>
      </c>
      <c r="BV219" s="29">
        <v>-2893</v>
      </c>
      <c r="BW219" s="29">
        <v>-4903</v>
      </c>
      <c r="BX219" s="8" t="s">
        <v>1016</v>
      </c>
      <c r="BY219" s="8">
        <v>5</v>
      </c>
      <c r="BZ219" s="8">
        <v>0</v>
      </c>
      <c r="CA219" s="8">
        <v>0</v>
      </c>
      <c r="CB219" s="21">
        <v>45198.770833333299</v>
      </c>
      <c r="CC219" s="21">
        <v>45198.770833333299</v>
      </c>
      <c r="CD219" s="21">
        <v>45198.770833333299</v>
      </c>
      <c r="CE219" s="21">
        <v>45198.770833333299</v>
      </c>
      <c r="CF219" s="21">
        <v>45198.770833333299</v>
      </c>
      <c r="CG219" s="21">
        <v>0</v>
      </c>
      <c r="CH219" s="21">
        <v>45198.770833333299</v>
      </c>
      <c r="CI219" s="21">
        <v>43843.770833333299</v>
      </c>
      <c r="CJ219" s="21">
        <v>0</v>
      </c>
      <c r="CK219" s="22" t="s">
        <v>3069</v>
      </c>
      <c r="CL219" s="22" t="s">
        <v>3069</v>
      </c>
      <c r="CM219" s="22" t="s">
        <v>3069</v>
      </c>
      <c r="CN219" s="22" t="s">
        <v>3069</v>
      </c>
      <c r="CO219" s="22" t="s">
        <v>3069</v>
      </c>
      <c r="CP219" s="22" t="s">
        <v>2957</v>
      </c>
      <c r="CQ219" s="22" t="s">
        <v>2957</v>
      </c>
      <c r="CR219" s="22" t="s">
        <v>2957</v>
      </c>
      <c r="CS219" s="22" t="s">
        <v>2957</v>
      </c>
      <c r="CT219" s="22">
        <v>4</v>
      </c>
      <c r="CU219" s="21">
        <v>45378</v>
      </c>
      <c r="CV219" s="21">
        <v>45378</v>
      </c>
      <c r="CW219" s="21">
        <v>45378</v>
      </c>
      <c r="CX219" s="21">
        <v>45378</v>
      </c>
      <c r="CY219" s="21">
        <v>45378</v>
      </c>
      <c r="CZ219" s="21">
        <v>45640</v>
      </c>
      <c r="DA219" s="21">
        <v>45563</v>
      </c>
      <c r="DB219" s="21">
        <v>44023</v>
      </c>
      <c r="DC219" s="21">
        <v>45614</v>
      </c>
      <c r="DD219" s="8">
        <v>1</v>
      </c>
      <c r="DE219" s="8">
        <v>0</v>
      </c>
      <c r="DF219" s="8">
        <v>0</v>
      </c>
      <c r="DG219" s="8">
        <v>9</v>
      </c>
      <c r="DH219" s="8">
        <v>0</v>
      </c>
      <c r="DI219" s="8">
        <v>0</v>
      </c>
      <c r="DJ219" s="8" t="s">
        <v>2954</v>
      </c>
      <c r="DK219" s="21">
        <v>43277</v>
      </c>
      <c r="DL219" s="21">
        <v>43262</v>
      </c>
      <c r="DM219" s="21">
        <v>45453</v>
      </c>
      <c r="DN219" s="18">
        <v>9765</v>
      </c>
      <c r="DO219" s="21">
        <v>0</v>
      </c>
      <c r="DP219" s="21">
        <v>0</v>
      </c>
      <c r="DQ219" s="21" t="s">
        <v>2955</v>
      </c>
      <c r="DR219" s="21">
        <v>45199</v>
      </c>
      <c r="DS219" s="21">
        <v>45199</v>
      </c>
      <c r="DT219" s="21">
        <v>45199</v>
      </c>
      <c r="DU219" s="21">
        <v>45199</v>
      </c>
      <c r="DV219" s="21">
        <v>45199</v>
      </c>
      <c r="DW219" s="21">
        <v>0</v>
      </c>
      <c r="DX219" s="21">
        <v>45199</v>
      </c>
      <c r="DY219" s="21">
        <v>43844</v>
      </c>
      <c r="DZ219" s="21">
        <v>0</v>
      </c>
      <c r="EA219" s="8">
        <v>250</v>
      </c>
      <c r="EB219" s="8">
        <v>250</v>
      </c>
      <c r="EC219" s="8">
        <v>250</v>
      </c>
      <c r="ED219" s="8">
        <v>250</v>
      </c>
      <c r="EE219" s="8">
        <v>250</v>
      </c>
      <c r="EF219" s="8">
        <v>750</v>
      </c>
      <c r="EG219" s="8">
        <v>750</v>
      </c>
      <c r="EH219" s="8">
        <v>750</v>
      </c>
      <c r="EI219" s="8">
        <v>750</v>
      </c>
      <c r="EJ219" s="8">
        <v>4</v>
      </c>
      <c r="EK219" s="8" t="s">
        <v>157</v>
      </c>
      <c r="EL219" s="8">
        <v>659</v>
      </c>
      <c r="EM219" s="8">
        <v>2636</v>
      </c>
      <c r="EN219" s="8">
        <v>-38</v>
      </c>
      <c r="EO219" s="8">
        <v>-38</v>
      </c>
      <c r="EP219" s="8">
        <v>-38</v>
      </c>
      <c r="EQ219" s="8">
        <v>-38</v>
      </c>
      <c r="ER219" s="8">
        <v>-38</v>
      </c>
      <c r="ES219" s="8">
        <v>462</v>
      </c>
      <c r="ET219" s="8">
        <v>462</v>
      </c>
      <c r="EU219" s="8">
        <v>462</v>
      </c>
      <c r="EV219" s="8">
        <v>462</v>
      </c>
    </row>
    <row r="220" spans="1:152" x14ac:dyDescent="0.15">
      <c r="A220" s="8">
        <f>ROW([2]!tbl_DPSAC[[#This Row],[Sl. No.]])-1</f>
        <v>219</v>
      </c>
      <c r="B220" s="9" t="s">
        <v>136</v>
      </c>
      <c r="C220" s="9" t="s">
        <v>1215</v>
      </c>
      <c r="D220" s="9" t="s">
        <v>138</v>
      </c>
      <c r="E220" s="9" t="s">
        <v>139</v>
      </c>
      <c r="F220" s="9" t="s">
        <v>161</v>
      </c>
      <c r="G220" s="10" t="s">
        <v>1206</v>
      </c>
      <c r="H220" s="10" t="str">
        <f>_xlfn.XLOOKUP(C220,'[1]E&amp;DPSAC'!$K:$K,'[1]E&amp;DPSAC'!$E:$E,,0)</f>
        <v>GONDUDIH</v>
      </c>
      <c r="I220" s="10"/>
      <c r="J220" s="10">
        <v>6299066158</v>
      </c>
      <c r="K220" s="10">
        <f>_xlfn.XLOOKUP(C220,'[1]E&amp;DPSAC'!$K:$K,'[1]E&amp;DPSAC'!$G:$G,"",0)</f>
        <v>9113788032</v>
      </c>
      <c r="L220" s="9" t="str">
        <f t="shared" ca="1" si="12"/>
        <v>Non - Warranty</v>
      </c>
      <c r="M220" s="11">
        <v>43059</v>
      </c>
      <c r="N220" s="12">
        <v>24</v>
      </c>
      <c r="O220" s="11">
        <f t="shared" si="13"/>
        <v>43799</v>
      </c>
      <c r="P220" s="8" t="s">
        <v>157</v>
      </c>
      <c r="Q220" s="16" t="s">
        <v>1217</v>
      </c>
      <c r="R220" s="15">
        <v>45266.504942129599</v>
      </c>
      <c r="S220" s="14">
        <v>8445</v>
      </c>
      <c r="T220" s="15">
        <v>45386</v>
      </c>
      <c r="U220" s="14">
        <v>8932</v>
      </c>
      <c r="V220" s="14">
        <v>9000</v>
      </c>
      <c r="W220" s="17">
        <v>45453.6242361111</v>
      </c>
      <c r="X220" s="14" t="s">
        <v>2726</v>
      </c>
      <c r="Y220" s="14">
        <v>195</v>
      </c>
      <c r="Z220" s="14" t="s">
        <v>2692</v>
      </c>
      <c r="AA220" s="18">
        <v>846.49505787040107</v>
      </c>
      <c r="AB220" s="18" t="s">
        <v>2697</v>
      </c>
      <c r="AC220" s="8">
        <f>tbl_DPSAC[[#This Row],[Current Month Due Count]]</f>
        <v>0</v>
      </c>
      <c r="AD220" s="8">
        <f>tbl_DPSAC[[#This Row],[Next Month Due2]]</f>
        <v>0</v>
      </c>
      <c r="AE220" s="8">
        <f t="shared" si="14"/>
        <v>1</v>
      </c>
      <c r="AF220" s="8">
        <v>3</v>
      </c>
      <c r="AG220" s="14">
        <f t="shared" ca="1" si="15"/>
        <v>10978</v>
      </c>
      <c r="AH220" s="8">
        <v>0</v>
      </c>
      <c r="AI220" s="8">
        <v>0</v>
      </c>
      <c r="AJ220" s="8">
        <v>0</v>
      </c>
      <c r="AK220" s="8">
        <v>0</v>
      </c>
      <c r="AL220" s="8">
        <v>0</v>
      </c>
      <c r="AM220" s="8">
        <v>0</v>
      </c>
      <c r="AN220" s="8">
        <v>0</v>
      </c>
      <c r="AO220" s="8">
        <v>0</v>
      </c>
      <c r="AP220" s="8" t="s">
        <v>1216</v>
      </c>
      <c r="AQ220" s="8">
        <v>0</v>
      </c>
      <c r="AR220" s="8">
        <v>0</v>
      </c>
      <c r="AS220" s="8">
        <v>0</v>
      </c>
      <c r="AT220" s="8">
        <v>0</v>
      </c>
      <c r="AU220" s="8">
        <v>0</v>
      </c>
      <c r="AV220" s="8">
        <v>0</v>
      </c>
      <c r="AW220" s="8">
        <v>0</v>
      </c>
      <c r="AX220" s="8" t="s">
        <v>2961</v>
      </c>
      <c r="AY220" s="14">
        <v>8445</v>
      </c>
      <c r="AZ220" s="19">
        <v>45266</v>
      </c>
      <c r="BA220" s="14" t="s">
        <v>1217</v>
      </c>
      <c r="BB220" s="14">
        <v>7242</v>
      </c>
      <c r="BC220" s="19">
        <v>44956.543981481482</v>
      </c>
      <c r="BD220" s="14" t="s">
        <v>1218</v>
      </c>
      <c r="BE220" s="14">
        <v>8445</v>
      </c>
      <c r="BF220" s="19">
        <v>45266</v>
      </c>
      <c r="BG220" s="14" t="s">
        <v>1217</v>
      </c>
      <c r="BH220" s="14">
        <v>8445</v>
      </c>
      <c r="BI220" s="19">
        <v>45266</v>
      </c>
      <c r="BJ220" s="14" t="s">
        <v>1217</v>
      </c>
      <c r="BK220" s="14">
        <v>7242</v>
      </c>
      <c r="BL220" s="19">
        <v>44956.543981481482</v>
      </c>
      <c r="BM220" s="14" t="s">
        <v>1218</v>
      </c>
      <c r="BN220" s="27">
        <v>45446</v>
      </c>
      <c r="BO220" s="27">
        <v>45136.543981481482</v>
      </c>
      <c r="BP220" s="27">
        <v>45446</v>
      </c>
      <c r="BQ220" s="27">
        <v>45446</v>
      </c>
      <c r="BR220" s="27">
        <v>45321.543981481482</v>
      </c>
      <c r="BS220" s="28">
        <v>-1783</v>
      </c>
      <c r="BT220" s="29">
        <v>-2236</v>
      </c>
      <c r="BU220" s="29">
        <v>-1783</v>
      </c>
      <c r="BV220" s="29">
        <v>-1783</v>
      </c>
      <c r="BW220" s="29">
        <v>-2236</v>
      </c>
      <c r="BX220" s="8" t="s">
        <v>1016</v>
      </c>
      <c r="BY220" s="8">
        <v>5</v>
      </c>
      <c r="BZ220" s="8">
        <v>0</v>
      </c>
      <c r="CA220" s="8">
        <v>0</v>
      </c>
      <c r="CB220" s="21">
        <v>45265.770833333299</v>
      </c>
      <c r="CC220" s="21">
        <v>45265.770833333299</v>
      </c>
      <c r="CD220" s="21">
        <v>45265.770833333299</v>
      </c>
      <c r="CE220" s="21">
        <v>45265.770833333299</v>
      </c>
      <c r="CF220" s="21">
        <v>45265.770833333299</v>
      </c>
      <c r="CG220" s="21">
        <v>44964.770833333299</v>
      </c>
      <c r="CH220" s="21">
        <v>0</v>
      </c>
      <c r="CI220" s="21">
        <v>44964.770833333299</v>
      </c>
      <c r="CJ220" s="21">
        <v>0</v>
      </c>
      <c r="CK220" s="22" t="s">
        <v>3112</v>
      </c>
      <c r="CL220" s="22" t="s">
        <v>3112</v>
      </c>
      <c r="CM220" s="22" t="s">
        <v>3112</v>
      </c>
      <c r="CN220" s="22" t="s">
        <v>3112</v>
      </c>
      <c r="CO220" s="22" t="s">
        <v>3112</v>
      </c>
      <c r="CP220" s="22" t="s">
        <v>3062</v>
      </c>
      <c r="CQ220" s="22" t="s">
        <v>3062</v>
      </c>
      <c r="CR220" s="22" t="s">
        <v>3062</v>
      </c>
      <c r="CS220" s="22" t="s">
        <v>3062</v>
      </c>
      <c r="CT220" s="22">
        <v>3</v>
      </c>
      <c r="CU220" s="21">
        <v>45445</v>
      </c>
      <c r="CV220" s="21">
        <v>45445</v>
      </c>
      <c r="CW220" s="21">
        <v>45445</v>
      </c>
      <c r="CX220" s="21">
        <v>45445</v>
      </c>
      <c r="CY220" s="21">
        <v>45445</v>
      </c>
      <c r="CZ220" s="21">
        <v>45234</v>
      </c>
      <c r="DA220" s="21">
        <v>45518</v>
      </c>
      <c r="DB220" s="21">
        <v>45144</v>
      </c>
      <c r="DC220" s="21">
        <v>45609</v>
      </c>
      <c r="DD220" s="8">
        <v>1</v>
      </c>
      <c r="DE220" s="8">
        <v>0</v>
      </c>
      <c r="DF220" s="8">
        <v>0</v>
      </c>
      <c r="DG220" s="8">
        <v>9</v>
      </c>
      <c r="DH220" s="8">
        <v>0</v>
      </c>
      <c r="DI220" s="8">
        <v>0</v>
      </c>
      <c r="DJ220" s="8" t="s">
        <v>2954</v>
      </c>
      <c r="DK220" s="21">
        <v>43059</v>
      </c>
      <c r="DL220" s="21">
        <v>42913</v>
      </c>
      <c r="DM220" s="21">
        <v>45453</v>
      </c>
      <c r="DN220" s="18">
        <v>9000</v>
      </c>
      <c r="DO220" s="21">
        <v>0</v>
      </c>
      <c r="DP220" s="21">
        <v>0</v>
      </c>
      <c r="DQ220" s="21" t="s">
        <v>2955</v>
      </c>
      <c r="DR220" s="21">
        <v>45266</v>
      </c>
      <c r="DS220" s="21">
        <v>45266</v>
      </c>
      <c r="DT220" s="21">
        <v>45266</v>
      </c>
      <c r="DU220" s="21">
        <v>45266</v>
      </c>
      <c r="DV220" s="21">
        <v>45266</v>
      </c>
      <c r="DW220" s="21">
        <v>44965</v>
      </c>
      <c r="DX220" s="21">
        <v>0</v>
      </c>
      <c r="DY220" s="21">
        <v>44965</v>
      </c>
      <c r="DZ220" s="21">
        <v>0</v>
      </c>
      <c r="EA220" s="8">
        <v>195</v>
      </c>
      <c r="EB220" s="8">
        <v>195</v>
      </c>
      <c r="EC220" s="8">
        <v>195</v>
      </c>
      <c r="ED220" s="8">
        <v>195</v>
      </c>
      <c r="EE220" s="8">
        <v>195</v>
      </c>
      <c r="EF220" s="8">
        <v>695</v>
      </c>
      <c r="EG220" s="8">
        <v>695</v>
      </c>
      <c r="EH220" s="8">
        <v>695</v>
      </c>
      <c r="EI220" s="8">
        <v>695</v>
      </c>
      <c r="EJ220" s="8">
        <v>3</v>
      </c>
      <c r="EK220" s="8" t="s">
        <v>157</v>
      </c>
      <c r="EL220" s="8">
        <v>659</v>
      </c>
      <c r="EM220" s="8">
        <v>1977</v>
      </c>
      <c r="EN220" s="8">
        <v>-93</v>
      </c>
      <c r="EO220" s="8">
        <v>-93</v>
      </c>
      <c r="EP220" s="8">
        <v>-93</v>
      </c>
      <c r="EQ220" s="8">
        <v>-93</v>
      </c>
      <c r="ER220" s="8">
        <v>-93</v>
      </c>
      <c r="ES220" s="8">
        <v>407</v>
      </c>
      <c r="ET220" s="8">
        <v>407</v>
      </c>
      <c r="EU220" s="8">
        <v>407</v>
      </c>
      <c r="EV220" s="8">
        <v>407</v>
      </c>
    </row>
    <row r="221" spans="1:152" x14ac:dyDescent="0.15">
      <c r="A221" s="8">
        <f>ROW([2]!tbl_DPSAC[[#This Row],[Sl. No.]])-1</f>
        <v>220</v>
      </c>
      <c r="B221" s="9" t="s">
        <v>136</v>
      </c>
      <c r="C221" s="9" t="s">
        <v>1219</v>
      </c>
      <c r="D221" s="9" t="s">
        <v>138</v>
      </c>
      <c r="E221" s="9" t="s">
        <v>139</v>
      </c>
      <c r="F221" s="9" t="s">
        <v>161</v>
      </c>
      <c r="G221" s="10" t="s">
        <v>1206</v>
      </c>
      <c r="H221" s="10" t="str">
        <f>_xlfn.XLOOKUP(C221,'[1]E&amp;DPSAC'!$K:$K,'[1]E&amp;DPSAC'!$E:$E,,0)</f>
        <v>DHANBAD</v>
      </c>
      <c r="I221" s="10"/>
      <c r="J221" s="10">
        <v>8210106692</v>
      </c>
      <c r="K221" s="10">
        <f>_xlfn.XLOOKUP(C221,'[1]E&amp;DPSAC'!$K:$K,'[1]E&amp;DPSAC'!$G:$G,"",0)</f>
        <v>8210106692</v>
      </c>
      <c r="L221" s="9" t="str">
        <f t="shared" ca="1" si="12"/>
        <v>Non - Warranty</v>
      </c>
      <c r="M221" s="11">
        <v>42845</v>
      </c>
      <c r="N221" s="12">
        <v>24</v>
      </c>
      <c r="O221" s="11">
        <f t="shared" si="13"/>
        <v>43585</v>
      </c>
      <c r="P221" s="8" t="s">
        <v>157</v>
      </c>
      <c r="Q221" s="16" t="s">
        <v>1221</v>
      </c>
      <c r="R221" s="15">
        <v>45265.566064814797</v>
      </c>
      <c r="S221" s="14">
        <v>8590</v>
      </c>
      <c r="T221" s="15">
        <v>45265</v>
      </c>
      <c r="U221" s="14">
        <v>8590</v>
      </c>
      <c r="V221" s="14">
        <v>9335</v>
      </c>
      <c r="W221" s="17">
        <v>45453.632233796299</v>
      </c>
      <c r="X221" s="14" t="s">
        <v>2745</v>
      </c>
      <c r="Y221" s="14">
        <v>5</v>
      </c>
      <c r="Z221" s="14" t="s">
        <v>2692</v>
      </c>
      <c r="AA221" s="18">
        <v>847.43393518520315</v>
      </c>
      <c r="AB221" s="18" t="s">
        <v>2697</v>
      </c>
      <c r="AC221" s="8">
        <f>tbl_DPSAC[[#This Row],[Current Month Due Count]]</f>
        <v>0</v>
      </c>
      <c r="AD221" s="8">
        <f>tbl_DPSAC[[#This Row],[Next Month Due2]]</f>
        <v>0</v>
      </c>
      <c r="AE221" s="8">
        <f t="shared" si="14"/>
        <v>1</v>
      </c>
      <c r="AF221" s="8">
        <v>4</v>
      </c>
      <c r="AG221" s="14">
        <f t="shared" ca="1" si="15"/>
        <v>11972</v>
      </c>
      <c r="AH221" s="8">
        <v>0</v>
      </c>
      <c r="AI221" s="8">
        <v>0</v>
      </c>
      <c r="AJ221" s="8">
        <v>0</v>
      </c>
      <c r="AK221" s="8">
        <v>0</v>
      </c>
      <c r="AL221" s="8">
        <v>0</v>
      </c>
      <c r="AM221" s="8">
        <v>0</v>
      </c>
      <c r="AN221" s="8">
        <v>0</v>
      </c>
      <c r="AO221" s="8">
        <v>0</v>
      </c>
      <c r="AP221" s="8">
        <v>0</v>
      </c>
      <c r="AQ221" s="8">
        <v>0</v>
      </c>
      <c r="AR221" s="8">
        <v>0</v>
      </c>
      <c r="AS221" s="8">
        <v>0</v>
      </c>
      <c r="AT221" s="8" t="s">
        <v>1220</v>
      </c>
      <c r="AU221" s="8">
        <v>0</v>
      </c>
      <c r="AV221" s="8">
        <v>0</v>
      </c>
      <c r="AW221" s="8">
        <v>0</v>
      </c>
      <c r="AX221" s="8" t="s">
        <v>2961</v>
      </c>
      <c r="AY221" s="14">
        <v>8590</v>
      </c>
      <c r="AZ221" s="19">
        <v>45265</v>
      </c>
      <c r="BA221" s="14" t="s">
        <v>1221</v>
      </c>
      <c r="BB221" s="14">
        <v>7400</v>
      </c>
      <c r="BC221" s="19">
        <v>44931</v>
      </c>
      <c r="BD221" s="14" t="s">
        <v>1222</v>
      </c>
      <c r="BE221" s="14">
        <v>8590</v>
      </c>
      <c r="BF221" s="19">
        <v>45265</v>
      </c>
      <c r="BG221" s="14" t="s">
        <v>1221</v>
      </c>
      <c r="BH221" s="14">
        <v>8590</v>
      </c>
      <c r="BI221" s="19">
        <v>45265</v>
      </c>
      <c r="BJ221" s="14" t="s">
        <v>1221</v>
      </c>
      <c r="BK221" s="14">
        <v>7400</v>
      </c>
      <c r="BL221" s="19">
        <v>44931</v>
      </c>
      <c r="BM221" s="14" t="s">
        <v>1222</v>
      </c>
      <c r="BN221" s="27">
        <v>45445</v>
      </c>
      <c r="BO221" s="27">
        <v>45111</v>
      </c>
      <c r="BP221" s="27">
        <v>45445</v>
      </c>
      <c r="BQ221" s="27">
        <v>45445</v>
      </c>
      <c r="BR221" s="27">
        <v>45296</v>
      </c>
      <c r="BS221" s="28">
        <v>-2632</v>
      </c>
      <c r="BT221" s="29">
        <v>-3072</v>
      </c>
      <c r="BU221" s="29">
        <v>-2632</v>
      </c>
      <c r="BV221" s="29">
        <v>-2632</v>
      </c>
      <c r="BW221" s="29">
        <v>-3072</v>
      </c>
      <c r="BX221" s="8" t="s">
        <v>1016</v>
      </c>
      <c r="BY221" s="8">
        <v>5</v>
      </c>
      <c r="BZ221" s="8">
        <v>0</v>
      </c>
      <c r="CA221" s="8">
        <v>0</v>
      </c>
      <c r="CB221" s="21">
        <v>45264.770833333299</v>
      </c>
      <c r="CC221" s="21">
        <v>45264.770833333299</v>
      </c>
      <c r="CD221" s="21">
        <v>45264.770833333299</v>
      </c>
      <c r="CE221" s="21">
        <v>45264.770833333299</v>
      </c>
      <c r="CF221" s="21">
        <v>45264.770833333299</v>
      </c>
      <c r="CG221" s="21">
        <v>44964.770833333299</v>
      </c>
      <c r="CH221" s="21">
        <v>0</v>
      </c>
      <c r="CI221" s="21">
        <v>44964.770833333299</v>
      </c>
      <c r="CJ221" s="21">
        <v>0</v>
      </c>
      <c r="CK221" s="22" t="s">
        <v>3020</v>
      </c>
      <c r="CL221" s="22" t="s">
        <v>3020</v>
      </c>
      <c r="CM221" s="22" t="s">
        <v>3020</v>
      </c>
      <c r="CN221" s="22" t="s">
        <v>3020</v>
      </c>
      <c r="CO221" s="22" t="s">
        <v>3020</v>
      </c>
      <c r="CP221" s="22" t="s">
        <v>3020</v>
      </c>
      <c r="CQ221" s="22" t="s">
        <v>3020</v>
      </c>
      <c r="CR221" s="22" t="s">
        <v>3020</v>
      </c>
      <c r="CS221" s="22" t="s">
        <v>3020</v>
      </c>
      <c r="CT221" s="22">
        <v>2</v>
      </c>
      <c r="CU221" s="21">
        <v>45444</v>
      </c>
      <c r="CV221" s="21">
        <v>45444</v>
      </c>
      <c r="CW221" s="21">
        <v>45444</v>
      </c>
      <c r="CX221" s="21">
        <v>45444</v>
      </c>
      <c r="CY221" s="21">
        <v>45444</v>
      </c>
      <c r="CZ221" s="21">
        <v>45234</v>
      </c>
      <c r="DA221" s="21">
        <v>45509</v>
      </c>
      <c r="DB221" s="21">
        <v>45144</v>
      </c>
      <c r="DC221" s="21">
        <v>45600</v>
      </c>
      <c r="DD221" s="8">
        <v>1</v>
      </c>
      <c r="DE221" s="8">
        <v>0</v>
      </c>
      <c r="DF221" s="8">
        <v>0</v>
      </c>
      <c r="DG221" s="8">
        <v>9</v>
      </c>
      <c r="DH221" s="8">
        <v>0</v>
      </c>
      <c r="DI221" s="8">
        <v>0</v>
      </c>
      <c r="DJ221" s="8" t="s">
        <v>2954</v>
      </c>
      <c r="DK221" s="21">
        <v>42845</v>
      </c>
      <c r="DL221" s="21">
        <v>42759</v>
      </c>
      <c r="DM221" s="21">
        <v>45453</v>
      </c>
      <c r="DN221" s="18">
        <v>9335</v>
      </c>
      <c r="DO221" s="21">
        <v>0</v>
      </c>
      <c r="DP221" s="21">
        <v>0</v>
      </c>
      <c r="DQ221" s="21" t="s">
        <v>2955</v>
      </c>
      <c r="DR221" s="21">
        <v>45265</v>
      </c>
      <c r="DS221" s="21">
        <v>45265</v>
      </c>
      <c r="DT221" s="21">
        <v>45265</v>
      </c>
      <c r="DU221" s="21">
        <v>45265</v>
      </c>
      <c r="DV221" s="21">
        <v>45265</v>
      </c>
      <c r="DW221" s="21">
        <v>44965</v>
      </c>
      <c r="DX221" s="21">
        <v>0</v>
      </c>
      <c r="DY221" s="21">
        <v>44965</v>
      </c>
      <c r="DZ221" s="21">
        <v>0</v>
      </c>
      <c r="EA221" s="8">
        <v>600</v>
      </c>
      <c r="EB221" s="8">
        <v>600</v>
      </c>
      <c r="EC221" s="8">
        <v>600</v>
      </c>
      <c r="ED221" s="8">
        <v>600</v>
      </c>
      <c r="EE221" s="8">
        <v>600</v>
      </c>
      <c r="EF221" s="8">
        <v>600</v>
      </c>
      <c r="EG221" s="8">
        <v>600</v>
      </c>
      <c r="EH221" s="8">
        <v>600</v>
      </c>
      <c r="EI221" s="8">
        <v>600</v>
      </c>
      <c r="EJ221" s="8">
        <v>2</v>
      </c>
      <c r="EK221" s="8" t="s">
        <v>157</v>
      </c>
      <c r="EL221" s="8">
        <v>659</v>
      </c>
      <c r="EM221" s="8">
        <v>2636</v>
      </c>
      <c r="EN221" s="8">
        <v>312</v>
      </c>
      <c r="EO221" s="8">
        <v>312</v>
      </c>
      <c r="EP221" s="8">
        <v>312</v>
      </c>
      <c r="EQ221" s="8">
        <v>312</v>
      </c>
      <c r="ER221" s="8">
        <v>312</v>
      </c>
      <c r="ES221" s="8">
        <v>312</v>
      </c>
      <c r="ET221" s="8">
        <v>312</v>
      </c>
      <c r="EU221" s="8">
        <v>312</v>
      </c>
      <c r="EV221" s="8">
        <v>312</v>
      </c>
    </row>
    <row r="222" spans="1:152" x14ac:dyDescent="0.15">
      <c r="A222" s="8">
        <f>ROW([2]!tbl_DPSAC[[#This Row],[Sl. No.]])-1</f>
        <v>221</v>
      </c>
      <c r="B222" s="9" t="s">
        <v>136</v>
      </c>
      <c r="C222" s="9" t="s">
        <v>1223</v>
      </c>
      <c r="D222" s="9" t="s">
        <v>138</v>
      </c>
      <c r="E222" s="9" t="s">
        <v>139</v>
      </c>
      <c r="F222" s="9" t="s">
        <v>161</v>
      </c>
      <c r="G222" s="10" t="s">
        <v>1224</v>
      </c>
      <c r="H222" s="10" t="str">
        <f>_xlfn.XLOOKUP(C222,'[1]E&amp;DPSAC'!$K:$K,'[1]E&amp;DPSAC'!$E:$E,,0)</f>
        <v>JHARIA, DHANBAD</v>
      </c>
      <c r="I222" s="10"/>
      <c r="J222" s="10">
        <v>7488102974</v>
      </c>
      <c r="K222" s="10">
        <f>_xlfn.XLOOKUP(C222,'[1]E&amp;DPSAC'!$K:$K,'[1]E&amp;DPSAC'!$G:$G,"",0)</f>
        <v>8210106692</v>
      </c>
      <c r="L222" s="9" t="str">
        <f t="shared" ca="1" si="12"/>
        <v>Non - Warranty</v>
      </c>
      <c r="M222" s="11">
        <v>43476</v>
      </c>
      <c r="N222" s="12">
        <v>24</v>
      </c>
      <c r="O222" s="11">
        <f t="shared" si="13"/>
        <v>44227</v>
      </c>
      <c r="P222" s="8" t="s">
        <v>157</v>
      </c>
      <c r="Q222" s="16" t="s">
        <v>1229</v>
      </c>
      <c r="R222" s="15">
        <v>45266.502233796302</v>
      </c>
      <c r="S222" s="14">
        <v>8650</v>
      </c>
      <c r="T222" s="15">
        <v>45623</v>
      </c>
      <c r="U222" s="14">
        <v>8650</v>
      </c>
      <c r="V222" s="14">
        <v>9000</v>
      </c>
      <c r="W222" s="17">
        <v>45453.637048611097</v>
      </c>
      <c r="X222" s="14" t="s">
        <v>2707</v>
      </c>
      <c r="Y222" s="14">
        <v>400</v>
      </c>
      <c r="Z222" s="14" t="s">
        <v>2692</v>
      </c>
      <c r="AA222" s="18">
        <v>846.49776620369812</v>
      </c>
      <c r="AB222" s="18" t="s">
        <v>2697</v>
      </c>
      <c r="AC222" s="8">
        <f>tbl_DPSAC[[#This Row],[Current Month Due Count]]</f>
        <v>0</v>
      </c>
      <c r="AD222" s="8">
        <f>tbl_DPSAC[[#This Row],[Next Month Due2]]</f>
        <v>0</v>
      </c>
      <c r="AE222" s="8">
        <f t="shared" si="14"/>
        <v>1</v>
      </c>
      <c r="AF222" s="8">
        <v>2</v>
      </c>
      <c r="AG222" s="14">
        <f t="shared" ca="1" si="15"/>
        <v>10319</v>
      </c>
      <c r="AH222" s="8" t="s">
        <v>1225</v>
      </c>
      <c r="AI222" s="8">
        <v>0</v>
      </c>
      <c r="AJ222" s="8">
        <v>0</v>
      </c>
      <c r="AK222" s="8">
        <v>0</v>
      </c>
      <c r="AL222" s="8" t="s">
        <v>1226</v>
      </c>
      <c r="AM222" s="8" t="s">
        <v>1227</v>
      </c>
      <c r="AN222" s="8">
        <v>0</v>
      </c>
      <c r="AO222" s="8">
        <v>0</v>
      </c>
      <c r="AP222" s="8">
        <v>0</v>
      </c>
      <c r="AQ222" s="8">
        <v>0</v>
      </c>
      <c r="AR222" s="8">
        <v>0</v>
      </c>
      <c r="AS222" s="8" t="s">
        <v>1228</v>
      </c>
      <c r="AT222" s="8">
        <v>0</v>
      </c>
      <c r="AU222" s="8">
        <v>0</v>
      </c>
      <c r="AV222" s="8">
        <v>0</v>
      </c>
      <c r="AW222" s="8">
        <v>0</v>
      </c>
      <c r="AX222" s="8" t="s">
        <v>2961</v>
      </c>
      <c r="AY222" s="14">
        <v>8650</v>
      </c>
      <c r="AZ222" s="19">
        <v>45266</v>
      </c>
      <c r="BA222" s="14" t="s">
        <v>1229</v>
      </c>
      <c r="BB222" s="14">
        <v>8650</v>
      </c>
      <c r="BC222" s="19">
        <v>45266</v>
      </c>
      <c r="BD222" s="14" t="s">
        <v>1229</v>
      </c>
      <c r="BE222" s="14">
        <v>8650</v>
      </c>
      <c r="BF222" s="19">
        <v>45266</v>
      </c>
      <c r="BG222" s="14" t="s">
        <v>1229</v>
      </c>
      <c r="BH222" s="14">
        <v>8650</v>
      </c>
      <c r="BI222" s="19">
        <v>45266</v>
      </c>
      <c r="BJ222" s="14" t="s">
        <v>1229</v>
      </c>
      <c r="BK222" s="14">
        <v>8650</v>
      </c>
      <c r="BL222" s="19">
        <v>45266</v>
      </c>
      <c r="BM222" s="14" t="s">
        <v>1229</v>
      </c>
      <c r="BN222" s="27">
        <v>45446</v>
      </c>
      <c r="BO222" s="27">
        <v>45446</v>
      </c>
      <c r="BP222" s="27">
        <v>45446</v>
      </c>
      <c r="BQ222" s="27">
        <v>45446</v>
      </c>
      <c r="BR222" s="27">
        <v>45631</v>
      </c>
      <c r="BS222" s="28">
        <v>-919</v>
      </c>
      <c r="BT222" s="29">
        <v>-169</v>
      </c>
      <c r="BU222" s="29">
        <v>-919</v>
      </c>
      <c r="BV222" s="29">
        <v>-919</v>
      </c>
      <c r="BW222" s="29">
        <v>-169</v>
      </c>
      <c r="BX222" s="8" t="s">
        <v>1016</v>
      </c>
      <c r="BY222" s="8">
        <v>5</v>
      </c>
      <c r="BZ222" s="8">
        <v>0</v>
      </c>
      <c r="CA222" s="8">
        <v>0</v>
      </c>
      <c r="CB222" s="21">
        <v>45265.770833333299</v>
      </c>
      <c r="CC222" s="21">
        <v>45265.770833333299</v>
      </c>
      <c r="CD222" s="21">
        <v>45265.770833333299</v>
      </c>
      <c r="CE222" s="21">
        <v>45265.770833333299</v>
      </c>
      <c r="CF222" s="21">
        <v>45265.770833333299</v>
      </c>
      <c r="CG222" s="21">
        <v>45265.770833333299</v>
      </c>
      <c r="CH222" s="21">
        <v>45265.770833333299</v>
      </c>
      <c r="CI222" s="21">
        <v>45265.770833333299</v>
      </c>
      <c r="CJ222" s="21">
        <v>45265.770833333299</v>
      </c>
      <c r="CK222" s="22" t="s">
        <v>3113</v>
      </c>
      <c r="CL222" s="22" t="s">
        <v>3113</v>
      </c>
      <c r="CM222" s="22" t="s">
        <v>3113</v>
      </c>
      <c r="CN222" s="22" t="s">
        <v>3113</v>
      </c>
      <c r="CO222" s="22" t="s">
        <v>3113</v>
      </c>
      <c r="CP222" s="22" t="s">
        <v>3113</v>
      </c>
      <c r="CQ222" s="22" t="s">
        <v>3113</v>
      </c>
      <c r="CR222" s="22" t="s">
        <v>3113</v>
      </c>
      <c r="CS222" s="22" t="s">
        <v>3113</v>
      </c>
      <c r="CT222" s="22">
        <v>2</v>
      </c>
      <c r="CU222" s="21">
        <v>45445</v>
      </c>
      <c r="CV222" s="21">
        <v>45445</v>
      </c>
      <c r="CW222" s="21">
        <v>45445</v>
      </c>
      <c r="CX222" s="21">
        <v>45445</v>
      </c>
      <c r="CY222" s="21">
        <v>45445</v>
      </c>
      <c r="CZ222" s="21">
        <v>45535</v>
      </c>
      <c r="DA222" s="21">
        <v>45630</v>
      </c>
      <c r="DB222" s="21">
        <v>45445</v>
      </c>
      <c r="DC222" s="21">
        <v>45630</v>
      </c>
      <c r="DD222" s="8">
        <v>1</v>
      </c>
      <c r="DE222" s="8">
        <v>0</v>
      </c>
      <c r="DF222" s="8">
        <v>0</v>
      </c>
      <c r="DG222" s="8">
        <v>9</v>
      </c>
      <c r="DH222" s="8">
        <v>0</v>
      </c>
      <c r="DI222" s="8">
        <v>0</v>
      </c>
      <c r="DJ222" s="8" t="s">
        <v>2954</v>
      </c>
      <c r="DK222" s="21">
        <v>43476</v>
      </c>
      <c r="DL222" s="21">
        <v>43434.229166666664</v>
      </c>
      <c r="DM222" s="21">
        <v>45453</v>
      </c>
      <c r="DN222" s="18">
        <v>9000</v>
      </c>
      <c r="DO222" s="21">
        <v>0</v>
      </c>
      <c r="DP222" s="21">
        <v>0</v>
      </c>
      <c r="DQ222" s="21" t="s">
        <v>2955</v>
      </c>
      <c r="DR222" s="21">
        <v>45266</v>
      </c>
      <c r="DS222" s="21">
        <v>45266</v>
      </c>
      <c r="DT222" s="21">
        <v>45266</v>
      </c>
      <c r="DU222" s="21">
        <v>45266</v>
      </c>
      <c r="DV222" s="21">
        <v>45266</v>
      </c>
      <c r="DW222" s="21">
        <v>45266</v>
      </c>
      <c r="DX222" s="21">
        <v>45266</v>
      </c>
      <c r="DY222" s="21">
        <v>45266</v>
      </c>
      <c r="DZ222" s="21">
        <v>45266</v>
      </c>
      <c r="EA222" s="8">
        <v>400</v>
      </c>
      <c r="EB222" s="8">
        <v>400</v>
      </c>
      <c r="EC222" s="8">
        <v>400</v>
      </c>
      <c r="ED222" s="8">
        <v>400</v>
      </c>
      <c r="EE222" s="8">
        <v>400</v>
      </c>
      <c r="EF222" s="8">
        <v>400</v>
      </c>
      <c r="EG222" s="8">
        <v>400</v>
      </c>
      <c r="EH222" s="8">
        <v>400</v>
      </c>
      <c r="EI222" s="8">
        <v>400</v>
      </c>
      <c r="EJ222" s="8">
        <v>2</v>
      </c>
      <c r="EK222" s="8" t="s">
        <v>157</v>
      </c>
      <c r="EL222" s="8">
        <v>659</v>
      </c>
      <c r="EM222" s="8">
        <v>1318</v>
      </c>
      <c r="EN222" s="8">
        <v>112</v>
      </c>
      <c r="EO222" s="8">
        <v>112</v>
      </c>
      <c r="EP222" s="8">
        <v>112</v>
      </c>
      <c r="EQ222" s="8">
        <v>112</v>
      </c>
      <c r="ER222" s="8">
        <v>112</v>
      </c>
      <c r="ES222" s="8">
        <v>112</v>
      </c>
      <c r="ET222" s="8">
        <v>112</v>
      </c>
      <c r="EU222" s="8">
        <v>112</v>
      </c>
      <c r="EV222" s="8">
        <v>112</v>
      </c>
    </row>
    <row r="223" spans="1:152" x14ac:dyDescent="0.15">
      <c r="A223" s="8">
        <f>ROW([2]!tbl_DPSAC[[#This Row],[Sl. No.]])-1</f>
        <v>222</v>
      </c>
      <c r="B223" s="9" t="s">
        <v>136</v>
      </c>
      <c r="C223" s="9" t="s">
        <v>1230</v>
      </c>
      <c r="D223" s="9" t="s">
        <v>1231</v>
      </c>
      <c r="E223" s="9" t="s">
        <v>1232</v>
      </c>
      <c r="F223" s="9" t="s">
        <v>140</v>
      </c>
      <c r="G223" s="10" t="s">
        <v>480</v>
      </c>
      <c r="H223" s="10" t="str">
        <f>_xlfn.XLOOKUP(C223,'[1]E&amp;DPSAC'!$K:$K,'[1]E&amp;DPSAC'!$E:$E,,0)</f>
        <v>KOKAR, RANCHI</v>
      </c>
      <c r="I223" s="10"/>
      <c r="J223" s="10">
        <v>8051191796</v>
      </c>
      <c r="K223" s="10">
        <f>_xlfn.XLOOKUP(C223,'[1]E&amp;DPSAC'!$K:$K,'[1]E&amp;DPSAC'!$G:$G,"",0)</f>
        <v>8051191796</v>
      </c>
      <c r="L223" s="9" t="str">
        <f t="shared" ca="1" si="12"/>
        <v>Non - Warranty</v>
      </c>
      <c r="M223" s="11">
        <v>43500</v>
      </c>
      <c r="N223" s="12">
        <v>36</v>
      </c>
      <c r="O223" s="11">
        <f t="shared" si="13"/>
        <v>44620</v>
      </c>
      <c r="P223" s="8" t="s">
        <v>142</v>
      </c>
      <c r="Q223" s="16" t="s">
        <v>1233</v>
      </c>
      <c r="R223" s="15">
        <v>46078.559988425899</v>
      </c>
      <c r="S223" s="14">
        <v>15100</v>
      </c>
      <c r="T223" s="15">
        <v>45371</v>
      </c>
      <c r="U223" s="14">
        <v>12150</v>
      </c>
      <c r="V223" s="14">
        <v>15100</v>
      </c>
      <c r="W223" s="17">
        <v>46078.559988425899</v>
      </c>
      <c r="X223" s="14" t="s">
        <v>2762</v>
      </c>
      <c r="Y223" s="14">
        <v>750</v>
      </c>
      <c r="Z223" s="14" t="s">
        <v>2692</v>
      </c>
      <c r="AA223" s="18">
        <v>34.440011574100936</v>
      </c>
      <c r="AB223" s="18" t="s">
        <v>2692</v>
      </c>
      <c r="AC223" s="8">
        <f>tbl_DPSAC[[#This Row],[Current Month Due Count]]</f>
        <v>0</v>
      </c>
      <c r="AD223" s="8">
        <f>tbl_DPSAC[[#This Row],[Next Month Due2]]</f>
        <v>0</v>
      </c>
      <c r="AE223" s="8">
        <f t="shared" si="14"/>
        <v>0</v>
      </c>
      <c r="AF223" s="8">
        <v>2</v>
      </c>
      <c r="AG223" s="14">
        <f t="shared" ca="1" si="15"/>
        <v>15169</v>
      </c>
      <c r="AH223" s="8">
        <v>0</v>
      </c>
      <c r="AI223" s="8">
        <v>0</v>
      </c>
      <c r="AJ223" s="8">
        <v>0</v>
      </c>
      <c r="AK223" s="8">
        <v>0</v>
      </c>
      <c r="AL223" s="8">
        <v>0</v>
      </c>
      <c r="AM223" s="8">
        <v>0</v>
      </c>
      <c r="AN223" s="8">
        <v>0</v>
      </c>
      <c r="AO223" s="8">
        <v>0</v>
      </c>
      <c r="AP223" s="8">
        <v>0</v>
      </c>
      <c r="AQ223" s="8">
        <v>0</v>
      </c>
      <c r="AR223" s="8">
        <v>0</v>
      </c>
      <c r="AS223" s="8">
        <v>0</v>
      </c>
      <c r="AT223" s="8">
        <v>0</v>
      </c>
      <c r="AU223" s="8">
        <v>0</v>
      </c>
      <c r="AV223" s="8">
        <v>0</v>
      </c>
      <c r="AW223" s="8">
        <v>0</v>
      </c>
      <c r="AX223" s="8" t="s">
        <v>2007</v>
      </c>
      <c r="AY223" s="14">
        <v>15100</v>
      </c>
      <c r="AZ223" s="19">
        <v>46078</v>
      </c>
      <c r="BA223" s="14" t="s">
        <v>1233</v>
      </c>
      <c r="BB223" s="14">
        <v>15100</v>
      </c>
      <c r="BC223" s="19">
        <v>46078</v>
      </c>
      <c r="BD223" s="14" t="s">
        <v>1233</v>
      </c>
      <c r="BE223" s="14">
        <v>15100</v>
      </c>
      <c r="BF223" s="19">
        <v>46078</v>
      </c>
      <c r="BG223" s="14" t="s">
        <v>1233</v>
      </c>
      <c r="BH223" s="14">
        <v>15100</v>
      </c>
      <c r="BI223" s="19">
        <v>46078</v>
      </c>
      <c r="BJ223" s="14" t="s">
        <v>1233</v>
      </c>
      <c r="BK223" s="14">
        <v>15100</v>
      </c>
      <c r="BL223" s="19">
        <v>46078</v>
      </c>
      <c r="BM223" s="14" t="s">
        <v>1233</v>
      </c>
      <c r="BN223" s="27">
        <v>46258</v>
      </c>
      <c r="BO223" s="27">
        <v>46258</v>
      </c>
      <c r="BP223" s="27">
        <v>46258</v>
      </c>
      <c r="BQ223" s="27">
        <v>46258</v>
      </c>
      <c r="BR223" s="27">
        <v>46443</v>
      </c>
      <c r="BS223" s="28">
        <v>681</v>
      </c>
      <c r="BT223" s="29">
        <v>1431</v>
      </c>
      <c r="BU223" s="29">
        <v>681</v>
      </c>
      <c r="BV223" s="29">
        <v>681</v>
      </c>
      <c r="BW223" s="29">
        <v>1431</v>
      </c>
      <c r="BX223" s="30" t="e">
        <v>#N/A</v>
      </c>
      <c r="BY223" s="8">
        <v>0</v>
      </c>
      <c r="BZ223" s="8">
        <v>0</v>
      </c>
      <c r="CA223" s="8">
        <v>0</v>
      </c>
      <c r="CB223" s="21">
        <v>46077.770833333299</v>
      </c>
      <c r="CC223" s="21">
        <v>46077.770833333299</v>
      </c>
      <c r="CD223" s="21">
        <v>46077.770833333299</v>
      </c>
      <c r="CE223" s="21">
        <v>46077.770833333299</v>
      </c>
      <c r="CF223" s="21">
        <v>46077.770833333299</v>
      </c>
      <c r="CG223" s="21">
        <v>46077.770833333299</v>
      </c>
      <c r="CH223" s="21">
        <v>46077.770833333299</v>
      </c>
      <c r="CI223" s="21">
        <v>46077.770833333299</v>
      </c>
      <c r="CJ223" s="21">
        <v>46077.770833333299</v>
      </c>
      <c r="CK223" s="22" t="s">
        <v>2956</v>
      </c>
      <c r="CL223" s="22" t="s">
        <v>2957</v>
      </c>
      <c r="CM223" s="22" t="s">
        <v>2959</v>
      </c>
      <c r="CN223" s="22" t="s">
        <v>2957</v>
      </c>
      <c r="CO223" s="22" t="s">
        <v>2957</v>
      </c>
      <c r="CP223" s="22" t="s">
        <v>2956</v>
      </c>
      <c r="CQ223" s="22" t="s">
        <v>2953</v>
      </c>
      <c r="CR223" s="22" t="s">
        <v>2956</v>
      </c>
      <c r="CS223" s="22" t="s">
        <v>2960</v>
      </c>
      <c r="CT223" s="22">
        <v>7</v>
      </c>
      <c r="CU223" s="21">
        <v>46257</v>
      </c>
      <c r="CV223" s="21">
        <v>46185</v>
      </c>
      <c r="CW223" s="21">
        <v>46149</v>
      </c>
      <c r="CX223" s="21">
        <v>46185</v>
      </c>
      <c r="CY223" s="21">
        <v>46185</v>
      </c>
      <c r="CZ223" s="21">
        <v>46292</v>
      </c>
      <c r="DA223" s="21">
        <v>46220</v>
      </c>
      <c r="DB223" s="21">
        <v>46257</v>
      </c>
      <c r="DC223" s="21">
        <v>46442</v>
      </c>
      <c r="DD223" s="8">
        <v>0</v>
      </c>
      <c r="DE223" s="8">
        <v>0</v>
      </c>
      <c r="DF223" s="8">
        <v>0</v>
      </c>
      <c r="DG223" s="8">
        <v>0</v>
      </c>
      <c r="DH223" s="8">
        <v>0</v>
      </c>
      <c r="DI223" s="8">
        <v>1</v>
      </c>
      <c r="DJ223" s="8" t="s">
        <v>2954</v>
      </c>
      <c r="DK223" s="21">
        <v>43500</v>
      </c>
      <c r="DL223" s="21">
        <v>43434.229166666664</v>
      </c>
      <c r="DM223" s="21">
        <v>46078</v>
      </c>
      <c r="DN223" s="18">
        <v>15100</v>
      </c>
      <c r="DO223" s="21">
        <v>0</v>
      </c>
      <c r="DP223" s="21">
        <v>0</v>
      </c>
      <c r="DQ223" s="21" t="s">
        <v>2955</v>
      </c>
      <c r="DR223" s="21">
        <v>46078</v>
      </c>
      <c r="DS223" s="21">
        <v>46078</v>
      </c>
      <c r="DT223" s="21">
        <v>46078</v>
      </c>
      <c r="DU223" s="21">
        <v>46078</v>
      </c>
      <c r="DV223" s="21">
        <v>46078</v>
      </c>
      <c r="DW223" s="21">
        <v>46078</v>
      </c>
      <c r="DX223" s="21">
        <v>46078</v>
      </c>
      <c r="DY223" s="21">
        <v>46078</v>
      </c>
      <c r="DZ223" s="21">
        <v>46078</v>
      </c>
      <c r="EA223" s="8">
        <v>1500</v>
      </c>
      <c r="EB223" s="8">
        <v>750</v>
      </c>
      <c r="EC223" s="8">
        <v>500</v>
      </c>
      <c r="ED223" s="8">
        <v>750</v>
      </c>
      <c r="EE223" s="8">
        <v>750</v>
      </c>
      <c r="EF223" s="8">
        <v>1500</v>
      </c>
      <c r="EG223" s="8">
        <v>1000</v>
      </c>
      <c r="EH223" s="8">
        <v>1500</v>
      </c>
      <c r="EI223" s="8">
        <v>3000</v>
      </c>
      <c r="EJ223" s="8">
        <v>7</v>
      </c>
      <c r="EK223" s="8" t="s">
        <v>2624</v>
      </c>
      <c r="EL223" s="8">
        <v>34</v>
      </c>
      <c r="EM223" s="8">
        <v>68</v>
      </c>
      <c r="EN223" s="8">
        <v>1212</v>
      </c>
      <c r="EO223" s="8">
        <v>462</v>
      </c>
      <c r="EP223" s="8">
        <v>212</v>
      </c>
      <c r="EQ223" s="8">
        <v>462</v>
      </c>
      <c r="ER223" s="8">
        <v>462</v>
      </c>
      <c r="ES223" s="8">
        <v>1212</v>
      </c>
      <c r="ET223" s="8">
        <v>712</v>
      </c>
      <c r="EU223" s="8">
        <v>1212</v>
      </c>
      <c r="EV223" s="8">
        <v>2712</v>
      </c>
    </row>
    <row r="224" spans="1:152" x14ac:dyDescent="0.15">
      <c r="A224" s="8">
        <f>ROW([2]!tbl_DPSAC[[#This Row],[Sl. No.]])-1</f>
        <v>223</v>
      </c>
      <c r="B224" s="9" t="s">
        <v>136</v>
      </c>
      <c r="C224" s="9" t="s">
        <v>1234</v>
      </c>
      <c r="D224" s="9" t="s">
        <v>452</v>
      </c>
      <c r="E224" s="9" t="s">
        <v>176</v>
      </c>
      <c r="F224" s="9" t="s">
        <v>140</v>
      </c>
      <c r="G224" s="10" t="s">
        <v>1235</v>
      </c>
      <c r="H224" s="10" t="str">
        <f>_xlfn.XLOOKUP(C224,'[1]E&amp;DPSAC'!$K:$K,'[1]E&amp;DPSAC'!$E:$E,,0)</f>
        <v>GARHWA DALTONGANJ</v>
      </c>
      <c r="I224" s="10"/>
      <c r="J224" s="10">
        <v>7488259727</v>
      </c>
      <c r="K224" s="10">
        <f>_xlfn.XLOOKUP(C224,'[1]E&amp;DPSAC'!$K:$K,'[1]E&amp;DPSAC'!$G:$G,"",0)</f>
        <v>7488259727</v>
      </c>
      <c r="L224" s="9" t="str">
        <f t="shared" ca="1" si="12"/>
        <v>Non - Warranty</v>
      </c>
      <c r="M224" s="11">
        <v>43635</v>
      </c>
      <c r="N224" s="12">
        <v>36</v>
      </c>
      <c r="O224" s="11">
        <f t="shared" si="13"/>
        <v>44742</v>
      </c>
      <c r="P224" s="8" t="s">
        <v>213</v>
      </c>
      <c r="Q224" s="16" t="s">
        <v>1237</v>
      </c>
      <c r="R224" s="15">
        <v>45372.541712963</v>
      </c>
      <c r="S224" s="14">
        <v>5548</v>
      </c>
      <c r="T224" s="15">
        <v>45372</v>
      </c>
      <c r="U224" s="14">
        <v>5548</v>
      </c>
      <c r="V224" s="14">
        <v>7165</v>
      </c>
      <c r="W224" s="17">
        <v>45966.518055555556</v>
      </c>
      <c r="X224" s="14" t="s">
        <v>2722</v>
      </c>
      <c r="Y224" s="14">
        <v>-867</v>
      </c>
      <c r="Z224" s="14" t="s">
        <v>2697</v>
      </c>
      <c r="AA224" s="18">
        <v>740.45828703699954</v>
      </c>
      <c r="AB224" s="18" t="s">
        <v>2697</v>
      </c>
      <c r="AC224" s="8">
        <f>tbl_DPSAC[[#This Row],[Current Month Due Count]]</f>
        <v>0</v>
      </c>
      <c r="AD224" s="8">
        <f>tbl_DPSAC[[#This Row],[Next Month Due2]]</f>
        <v>0</v>
      </c>
      <c r="AE224" s="8">
        <f t="shared" si="14"/>
        <v>1</v>
      </c>
      <c r="AF224" s="8">
        <v>2</v>
      </c>
      <c r="AG224" s="14">
        <f t="shared" ca="1" si="15"/>
        <v>7458</v>
      </c>
      <c r="AH224" s="8">
        <v>0</v>
      </c>
      <c r="AI224" s="8">
        <v>0</v>
      </c>
      <c r="AJ224" s="8">
        <v>0</v>
      </c>
      <c r="AK224" s="8">
        <v>0</v>
      </c>
      <c r="AL224" s="8">
        <v>0</v>
      </c>
      <c r="AM224" s="8">
        <v>0</v>
      </c>
      <c r="AN224" s="8">
        <v>0</v>
      </c>
      <c r="AO224" s="8" t="s">
        <v>1236</v>
      </c>
      <c r="AP224" s="8">
        <v>0</v>
      </c>
      <c r="AQ224" s="8">
        <v>0</v>
      </c>
      <c r="AR224" s="8">
        <v>0</v>
      </c>
      <c r="AS224" s="8">
        <v>0</v>
      </c>
      <c r="AT224" s="8">
        <v>0</v>
      </c>
      <c r="AU224" s="8">
        <v>0</v>
      </c>
      <c r="AV224" s="8">
        <v>0</v>
      </c>
      <c r="AW224" s="8">
        <v>0</v>
      </c>
      <c r="AX224" s="8" t="s">
        <v>2961</v>
      </c>
      <c r="AY224" s="14">
        <v>5548</v>
      </c>
      <c r="AZ224" s="19">
        <v>45372</v>
      </c>
      <c r="BA224" s="14" t="s">
        <v>1237</v>
      </c>
      <c r="BB224" s="14">
        <v>2798</v>
      </c>
      <c r="BC224" s="19">
        <v>44579.490752314814</v>
      </c>
      <c r="BD224" s="14" t="s">
        <v>1238</v>
      </c>
      <c r="BE224" s="14">
        <v>5548</v>
      </c>
      <c r="BF224" s="19">
        <v>45372</v>
      </c>
      <c r="BG224" s="14" t="s">
        <v>1237</v>
      </c>
      <c r="BH224" s="14">
        <v>5548</v>
      </c>
      <c r="BI224" s="19">
        <v>45372</v>
      </c>
      <c r="BJ224" s="14" t="s">
        <v>1237</v>
      </c>
      <c r="BK224" s="14">
        <v>2798</v>
      </c>
      <c r="BL224" s="19">
        <v>44579.490752314814</v>
      </c>
      <c r="BM224" s="14" t="s">
        <v>1238</v>
      </c>
      <c r="BN224" s="27">
        <v>45552</v>
      </c>
      <c r="BO224" s="27">
        <v>44759.490752314814</v>
      </c>
      <c r="BP224" s="27">
        <v>45552</v>
      </c>
      <c r="BQ224" s="27">
        <v>45552</v>
      </c>
      <c r="BR224" s="27">
        <v>44944.490752314814</v>
      </c>
      <c r="BS224" s="28">
        <v>-1160</v>
      </c>
      <c r="BT224" s="29">
        <v>-3160</v>
      </c>
      <c r="BU224" s="29">
        <v>-1160</v>
      </c>
      <c r="BV224" s="29">
        <v>-1160</v>
      </c>
      <c r="BW224" s="29">
        <v>-3160</v>
      </c>
      <c r="BX224" s="30" t="s">
        <v>173</v>
      </c>
      <c r="BY224" s="8">
        <v>5</v>
      </c>
      <c r="BZ224" s="8">
        <v>0</v>
      </c>
      <c r="CA224" s="8">
        <v>0</v>
      </c>
      <c r="CB224" s="21">
        <v>45371.770833333299</v>
      </c>
      <c r="CC224" s="21">
        <v>45371.770833333299</v>
      </c>
      <c r="CD224" s="21">
        <v>45371.770833333299</v>
      </c>
      <c r="CE224" s="21">
        <v>45371.770833333299</v>
      </c>
      <c r="CF224" s="21">
        <v>45371.770833333299</v>
      </c>
      <c r="CG224" s="21">
        <v>0</v>
      </c>
      <c r="CH224" s="21">
        <v>0</v>
      </c>
      <c r="CI224" s="21">
        <v>0</v>
      </c>
      <c r="CJ224" s="21">
        <v>0</v>
      </c>
      <c r="CK224" s="22" t="s">
        <v>3114</v>
      </c>
      <c r="CL224" s="22" t="s">
        <v>3114</v>
      </c>
      <c r="CM224" s="22" t="s">
        <v>3114</v>
      </c>
      <c r="CN224" s="22" t="s">
        <v>3114</v>
      </c>
      <c r="CO224" s="22" t="s">
        <v>3114</v>
      </c>
      <c r="CP224" s="22" t="s">
        <v>3114</v>
      </c>
      <c r="CQ224" s="22" t="s">
        <v>2953</v>
      </c>
      <c r="CR224" s="22" t="s">
        <v>3114</v>
      </c>
      <c r="CS224" s="22" t="s">
        <v>3114</v>
      </c>
      <c r="CT224" s="22">
        <v>2</v>
      </c>
      <c r="CU224" s="21">
        <v>45551</v>
      </c>
      <c r="CV224" s="21">
        <v>45551</v>
      </c>
      <c r="CW224" s="21">
        <v>45551</v>
      </c>
      <c r="CX224" s="21">
        <v>45551</v>
      </c>
      <c r="CY224" s="21">
        <v>45551</v>
      </c>
      <c r="CZ224" s="21">
        <v>46133</v>
      </c>
      <c r="DA224" s="21">
        <v>46059</v>
      </c>
      <c r="DB224" s="21">
        <v>46043</v>
      </c>
      <c r="DC224" s="21">
        <v>46092</v>
      </c>
      <c r="DD224" s="8">
        <v>1</v>
      </c>
      <c r="DE224" s="8">
        <v>1</v>
      </c>
      <c r="DF224" s="8">
        <v>1</v>
      </c>
      <c r="DG224" s="8">
        <v>8</v>
      </c>
      <c r="DH224" s="8">
        <v>1</v>
      </c>
      <c r="DI224" s="8">
        <v>0</v>
      </c>
      <c r="DJ224" s="8" t="s">
        <v>2976</v>
      </c>
      <c r="DK224" s="21">
        <v>43635</v>
      </c>
      <c r="DL224" s="21">
        <v>43574.229166666664</v>
      </c>
      <c r="DM224" s="21">
        <v>45966</v>
      </c>
      <c r="DN224" s="18">
        <v>7165</v>
      </c>
      <c r="DO224" s="21">
        <v>0</v>
      </c>
      <c r="DP224" s="21">
        <v>0</v>
      </c>
      <c r="DQ224" s="21" t="s">
        <v>2955</v>
      </c>
      <c r="DR224" s="21">
        <v>45372</v>
      </c>
      <c r="DS224" s="21">
        <v>45372</v>
      </c>
      <c r="DT224" s="21">
        <v>45372</v>
      </c>
      <c r="DU224" s="21">
        <v>45372</v>
      </c>
      <c r="DV224" s="21">
        <v>45372</v>
      </c>
      <c r="DW224" s="21">
        <v>0</v>
      </c>
      <c r="DX224" s="21">
        <v>0</v>
      </c>
      <c r="DY224" s="21">
        <v>0</v>
      </c>
      <c r="DZ224" s="21">
        <v>0</v>
      </c>
      <c r="EA224" s="8">
        <v>365</v>
      </c>
      <c r="EB224" s="8">
        <v>365</v>
      </c>
      <c r="EC224" s="8">
        <v>365</v>
      </c>
      <c r="ED224" s="8">
        <v>365</v>
      </c>
      <c r="EE224" s="8">
        <v>365</v>
      </c>
      <c r="EF224" s="8">
        <v>365</v>
      </c>
      <c r="EG224" s="8">
        <v>1000</v>
      </c>
      <c r="EH224" s="8">
        <v>365</v>
      </c>
      <c r="EI224" s="8">
        <v>365</v>
      </c>
      <c r="EJ224" s="8">
        <v>2</v>
      </c>
      <c r="EK224" s="8" t="s">
        <v>2624</v>
      </c>
      <c r="EL224" s="8">
        <v>146</v>
      </c>
      <c r="EM224" s="8">
        <v>292</v>
      </c>
      <c r="EN224" s="8">
        <v>77</v>
      </c>
      <c r="EO224" s="8">
        <v>77</v>
      </c>
      <c r="EP224" s="8">
        <v>77</v>
      </c>
      <c r="EQ224" s="8">
        <v>77</v>
      </c>
      <c r="ER224" s="8">
        <v>77</v>
      </c>
      <c r="ES224" s="8">
        <v>77</v>
      </c>
      <c r="ET224" s="8">
        <v>712</v>
      </c>
      <c r="EU224" s="8">
        <v>77</v>
      </c>
      <c r="EV224" s="8">
        <v>77</v>
      </c>
    </row>
    <row r="225" spans="1:152" x14ac:dyDescent="0.15">
      <c r="A225" s="8">
        <f>ROW([2]!tbl_DPSAC[[#This Row],[Sl. No.]])-1</f>
        <v>224</v>
      </c>
      <c r="B225" s="9" t="s">
        <v>136</v>
      </c>
      <c r="C225" s="9" t="s">
        <v>1239</v>
      </c>
      <c r="D225" s="9" t="s">
        <v>1231</v>
      </c>
      <c r="E225" s="9" t="s">
        <v>1232</v>
      </c>
      <c r="F225" s="9" t="s">
        <v>161</v>
      </c>
      <c r="G225" s="10" t="s">
        <v>713</v>
      </c>
      <c r="H225" s="10" t="str">
        <f>_xlfn.XLOOKUP(C225,'[1]E&amp;DPSAC'!$K:$K,'[1]E&amp;DPSAC'!$E:$E,,0)</f>
        <v>BIHAR</v>
      </c>
      <c r="I225" s="10" t="s">
        <v>714</v>
      </c>
      <c r="J225" s="10">
        <v>8935923285</v>
      </c>
      <c r="K225" s="10">
        <f>_xlfn.XLOOKUP(C225,'[1]E&amp;DPSAC'!$K:$K,'[1]E&amp;DPSAC'!$G:$G,"",0)</f>
        <v>8935923285</v>
      </c>
      <c r="L225" s="9" t="str">
        <f t="shared" ca="1" si="12"/>
        <v>Non - Warranty</v>
      </c>
      <c r="M225" s="11">
        <v>43843</v>
      </c>
      <c r="N225" s="12">
        <v>24</v>
      </c>
      <c r="O225" s="11">
        <f t="shared" si="13"/>
        <v>44592</v>
      </c>
      <c r="P225" s="8" t="s">
        <v>142</v>
      </c>
      <c r="Q225" s="16" t="s">
        <v>1241</v>
      </c>
      <c r="R225" s="15">
        <v>45265.560358796298</v>
      </c>
      <c r="S225" s="14">
        <v>6350</v>
      </c>
      <c r="T225" s="15">
        <v>45265</v>
      </c>
      <c r="U225" s="14">
        <v>6350</v>
      </c>
      <c r="V225" s="14">
        <v>7500</v>
      </c>
      <c r="W225" s="17">
        <v>46042.522916666698</v>
      </c>
      <c r="X225" s="14" t="s">
        <v>2708</v>
      </c>
      <c r="Y225" s="14">
        <v>-400</v>
      </c>
      <c r="Z225" s="14" t="s">
        <v>2697</v>
      </c>
      <c r="AA225" s="18">
        <v>847.43964120370219</v>
      </c>
      <c r="AB225" s="18" t="s">
        <v>2697</v>
      </c>
      <c r="AC225" s="8">
        <f>tbl_DPSAC[[#This Row],[Current Month Due Count]]</f>
        <v>0</v>
      </c>
      <c r="AD225" s="8">
        <f>tbl_DPSAC[[#This Row],[Next Month Due2]]</f>
        <v>0</v>
      </c>
      <c r="AE225" s="8">
        <f t="shared" si="14"/>
        <v>1</v>
      </c>
      <c r="AF225" s="8">
        <v>1</v>
      </c>
      <c r="AG225" s="14">
        <f t="shared" ca="1" si="15"/>
        <v>7570</v>
      </c>
      <c r="AH225" s="8">
        <v>0</v>
      </c>
      <c r="AI225" s="8">
        <v>0</v>
      </c>
      <c r="AJ225" s="8">
        <v>0</v>
      </c>
      <c r="AK225" s="8">
        <v>0</v>
      </c>
      <c r="AL225" s="8">
        <v>0</v>
      </c>
      <c r="AM225" s="8">
        <v>0</v>
      </c>
      <c r="AN225" s="8">
        <v>0</v>
      </c>
      <c r="AO225" s="8">
        <v>0</v>
      </c>
      <c r="AP225" s="8">
        <v>0</v>
      </c>
      <c r="AQ225" s="8" t="s">
        <v>1240</v>
      </c>
      <c r="AR225" s="8">
        <v>0</v>
      </c>
      <c r="AS225" s="8">
        <v>0</v>
      </c>
      <c r="AT225" s="8">
        <v>0</v>
      </c>
      <c r="AU225" s="8">
        <v>0</v>
      </c>
      <c r="AV225" s="8">
        <v>0</v>
      </c>
      <c r="AW225" s="8">
        <v>0</v>
      </c>
      <c r="AX225" s="8" t="s">
        <v>2980</v>
      </c>
      <c r="AY225" s="14">
        <v>6350</v>
      </c>
      <c r="AZ225" s="19">
        <v>45265</v>
      </c>
      <c r="BA225" s="14" t="s">
        <v>1241</v>
      </c>
      <c r="BB225" s="14">
        <v>6160</v>
      </c>
      <c r="BC225" s="19">
        <v>45199</v>
      </c>
      <c r="BD225" s="14" t="s">
        <v>1242</v>
      </c>
      <c r="BE225" s="14">
        <v>6350</v>
      </c>
      <c r="BF225" s="19">
        <v>45265</v>
      </c>
      <c r="BG225" s="14" t="s">
        <v>1241</v>
      </c>
      <c r="BH225" s="14">
        <v>6350</v>
      </c>
      <c r="BI225" s="19">
        <v>45265</v>
      </c>
      <c r="BJ225" s="14" t="s">
        <v>1241</v>
      </c>
      <c r="BK225" s="14">
        <v>6160</v>
      </c>
      <c r="BL225" s="19">
        <v>45199</v>
      </c>
      <c r="BM225" s="14" t="s">
        <v>1242</v>
      </c>
      <c r="BN225" s="27">
        <v>45445</v>
      </c>
      <c r="BO225" s="27">
        <v>45379</v>
      </c>
      <c r="BP225" s="27">
        <v>45445</v>
      </c>
      <c r="BQ225" s="27">
        <v>45445</v>
      </c>
      <c r="BR225" s="27">
        <v>45564</v>
      </c>
      <c r="BS225" s="28">
        <v>-470</v>
      </c>
      <c r="BT225" s="29">
        <v>90</v>
      </c>
      <c r="BU225" s="29">
        <v>-470</v>
      </c>
      <c r="BV225" s="29">
        <v>-470</v>
      </c>
      <c r="BW225" s="29">
        <v>90</v>
      </c>
      <c r="BX225" s="30" t="s">
        <v>152</v>
      </c>
      <c r="BY225" s="8">
        <v>5</v>
      </c>
      <c r="BZ225" s="8">
        <v>0</v>
      </c>
      <c r="CA225" s="8">
        <v>0</v>
      </c>
      <c r="CB225" s="21">
        <v>45264.770833333299</v>
      </c>
      <c r="CC225" s="21">
        <v>45264.770833333299</v>
      </c>
      <c r="CD225" s="21">
        <v>45264.770833333299</v>
      </c>
      <c r="CE225" s="21">
        <v>45264.770833333299</v>
      </c>
      <c r="CF225" s="21">
        <v>45264.770833333299</v>
      </c>
      <c r="CG225" s="21">
        <v>45198.770833333299</v>
      </c>
      <c r="CH225" s="21">
        <v>45198.770833333299</v>
      </c>
      <c r="CI225" s="21">
        <v>45198.770833333299</v>
      </c>
      <c r="CJ225" s="21">
        <v>45198.770833333299</v>
      </c>
      <c r="CK225" s="22" t="s">
        <v>3017</v>
      </c>
      <c r="CL225" s="22" t="s">
        <v>3017</v>
      </c>
      <c r="CM225" s="22" t="s">
        <v>3017</v>
      </c>
      <c r="CN225" s="22" t="s">
        <v>3017</v>
      </c>
      <c r="CO225" s="22" t="s">
        <v>3017</v>
      </c>
      <c r="CP225" s="22" t="s">
        <v>3017</v>
      </c>
      <c r="CQ225" s="22" t="s">
        <v>2953</v>
      </c>
      <c r="CR225" s="22" t="s">
        <v>3017</v>
      </c>
      <c r="CS225" s="22" t="s">
        <v>3017</v>
      </c>
      <c r="CT225" s="22">
        <v>3</v>
      </c>
      <c r="CU225" s="21">
        <v>45444</v>
      </c>
      <c r="CV225" s="21">
        <v>45444</v>
      </c>
      <c r="CW225" s="21">
        <v>45444</v>
      </c>
      <c r="CX225" s="21">
        <v>45444</v>
      </c>
      <c r="CY225" s="21">
        <v>45444</v>
      </c>
      <c r="CZ225" s="21">
        <v>45468</v>
      </c>
      <c r="DA225" s="21">
        <v>45563</v>
      </c>
      <c r="DB225" s="21">
        <v>45378</v>
      </c>
      <c r="DC225" s="21">
        <v>45563</v>
      </c>
      <c r="DD225" s="8">
        <v>1</v>
      </c>
      <c r="DE225" s="8">
        <v>0</v>
      </c>
      <c r="DF225" s="8">
        <v>0</v>
      </c>
      <c r="DG225" s="8">
        <v>9</v>
      </c>
      <c r="DH225" s="8">
        <v>0</v>
      </c>
      <c r="DI225" s="8">
        <v>0</v>
      </c>
      <c r="DJ225" s="8" t="s">
        <v>2954</v>
      </c>
      <c r="DK225" s="21">
        <v>43843</v>
      </c>
      <c r="DL225" s="21">
        <v>43747.229166666664</v>
      </c>
      <c r="DM225" s="21">
        <v>46042</v>
      </c>
      <c r="DN225" s="18">
        <v>7500</v>
      </c>
      <c r="DO225" s="21">
        <v>0</v>
      </c>
      <c r="DP225" s="21">
        <v>0</v>
      </c>
      <c r="DQ225" s="21" t="s">
        <v>2955</v>
      </c>
      <c r="DR225" s="21">
        <v>45265</v>
      </c>
      <c r="DS225" s="21">
        <v>45265</v>
      </c>
      <c r="DT225" s="21">
        <v>45265</v>
      </c>
      <c r="DU225" s="21">
        <v>45265</v>
      </c>
      <c r="DV225" s="21">
        <v>45265</v>
      </c>
      <c r="DW225" s="21">
        <v>45199</v>
      </c>
      <c r="DX225" s="21">
        <v>45199</v>
      </c>
      <c r="DY225" s="21">
        <v>45199</v>
      </c>
      <c r="DZ225" s="21">
        <v>45199</v>
      </c>
      <c r="EA225" s="8">
        <v>160</v>
      </c>
      <c r="EB225" s="8">
        <v>160</v>
      </c>
      <c r="EC225" s="8">
        <v>160</v>
      </c>
      <c r="ED225" s="8">
        <v>160</v>
      </c>
      <c r="EE225" s="8">
        <v>160</v>
      </c>
      <c r="EF225" s="8">
        <v>160</v>
      </c>
      <c r="EG225" s="8">
        <v>1000</v>
      </c>
      <c r="EH225" s="8">
        <v>160</v>
      </c>
      <c r="EI225" s="8">
        <v>160</v>
      </c>
      <c r="EJ225" s="8">
        <v>3</v>
      </c>
      <c r="EK225" s="8" t="s">
        <v>2624</v>
      </c>
      <c r="EL225" s="8">
        <v>70</v>
      </c>
      <c r="EM225" s="8">
        <v>70</v>
      </c>
      <c r="EN225" s="8">
        <v>-128</v>
      </c>
      <c r="EO225" s="8">
        <v>-128</v>
      </c>
      <c r="EP225" s="8">
        <v>-128</v>
      </c>
      <c r="EQ225" s="8">
        <v>-128</v>
      </c>
      <c r="ER225" s="8">
        <v>-128</v>
      </c>
      <c r="ES225" s="8">
        <v>-128</v>
      </c>
      <c r="ET225" s="8">
        <v>712</v>
      </c>
      <c r="EU225" s="8">
        <v>-128</v>
      </c>
      <c r="EV225" s="8">
        <v>-128</v>
      </c>
    </row>
    <row r="226" spans="1:152" x14ac:dyDescent="0.15">
      <c r="A226" s="8">
        <f>ROW([2]!tbl_DPSAC[[#This Row],[Sl. No.]])-1</f>
        <v>225</v>
      </c>
      <c r="B226" s="9" t="s">
        <v>136</v>
      </c>
      <c r="C226" s="9" t="s">
        <v>1243</v>
      </c>
      <c r="D226" s="9" t="s">
        <v>1244</v>
      </c>
      <c r="E226" s="9" t="s">
        <v>170</v>
      </c>
      <c r="F226" s="9" t="s">
        <v>161</v>
      </c>
      <c r="G226" s="10" t="s">
        <v>989</v>
      </c>
      <c r="H226" s="10" t="str">
        <f>_xlfn.XLOOKUP(C226,'[1]E&amp;DPSAC'!$K:$K,'[1]E&amp;DPSAC'!$E:$E,,0)</f>
        <v>SARAIKELA</v>
      </c>
      <c r="I226" s="10"/>
      <c r="J226" s="10">
        <v>9529868513</v>
      </c>
      <c r="K226" s="10">
        <f>_xlfn.XLOOKUP(C226,'[1]E&amp;DPSAC'!$K:$K,'[1]E&amp;DPSAC'!$G:$G,"",0)</f>
        <v>9529868513</v>
      </c>
      <c r="L226" s="9" t="str">
        <f t="shared" ca="1" si="12"/>
        <v>Non - Warranty</v>
      </c>
      <c r="M226" s="11">
        <v>43838</v>
      </c>
      <c r="N226" s="12">
        <v>24</v>
      </c>
      <c r="O226" s="11">
        <f t="shared" si="13"/>
        <v>44592</v>
      </c>
      <c r="P226" s="8" t="s">
        <v>715</v>
      </c>
      <c r="Q226" s="16" t="s">
        <v>1245</v>
      </c>
      <c r="R226" s="15">
        <v>45289.454594907402</v>
      </c>
      <c r="S226" s="14">
        <v>3633</v>
      </c>
      <c r="T226" s="15">
        <v>45289</v>
      </c>
      <c r="U226" s="14">
        <v>3633</v>
      </c>
      <c r="V226" s="14">
        <v>4120</v>
      </c>
      <c r="W226" s="17">
        <v>45453.650300925903</v>
      </c>
      <c r="X226" s="14" t="s">
        <v>2712</v>
      </c>
      <c r="Y226" s="14">
        <v>263</v>
      </c>
      <c r="Z226" s="14" t="s">
        <v>2692</v>
      </c>
      <c r="AA226" s="18">
        <v>823.54540509259823</v>
      </c>
      <c r="AB226" s="18" t="s">
        <v>2697</v>
      </c>
      <c r="AC226" s="8">
        <f>tbl_DPSAC[[#This Row],[Current Month Due Count]]</f>
        <v>0</v>
      </c>
      <c r="AD226" s="8">
        <f>tbl_DPSAC[[#This Row],[Next Month Due2]]</f>
        <v>0</v>
      </c>
      <c r="AE226" s="8">
        <f t="shared" si="14"/>
        <v>1</v>
      </c>
      <c r="AF226" s="8">
        <v>3</v>
      </c>
      <c r="AG226" s="14">
        <f t="shared" ca="1" si="15"/>
        <v>6098</v>
      </c>
      <c r="AH226" s="8">
        <v>0</v>
      </c>
      <c r="AI226" s="8">
        <v>0</v>
      </c>
      <c r="AJ226" s="8">
        <v>0</v>
      </c>
      <c r="AK226" s="8">
        <v>0</v>
      </c>
      <c r="AL226" s="8">
        <v>0</v>
      </c>
      <c r="AM226" s="8">
        <v>0</v>
      </c>
      <c r="AN226" s="8">
        <v>0</v>
      </c>
      <c r="AO226" s="8">
        <v>0</v>
      </c>
      <c r="AP226" s="8">
        <v>0</v>
      </c>
      <c r="AQ226" s="8">
        <v>0</v>
      </c>
      <c r="AR226" s="8">
        <v>0</v>
      </c>
      <c r="AS226" s="8">
        <v>0</v>
      </c>
      <c r="AT226" s="8">
        <v>0</v>
      </c>
      <c r="AU226" s="8">
        <v>0</v>
      </c>
      <c r="AV226" s="8">
        <v>0</v>
      </c>
      <c r="AW226" s="8">
        <v>0</v>
      </c>
      <c r="AX226" s="8" t="s">
        <v>2961</v>
      </c>
      <c r="AY226" s="14">
        <v>3633</v>
      </c>
      <c r="AZ226" s="19">
        <v>45289</v>
      </c>
      <c r="BA226" s="14" t="s">
        <v>1245</v>
      </c>
      <c r="BB226" s="14">
        <v>3633</v>
      </c>
      <c r="BC226" s="19">
        <v>45289</v>
      </c>
      <c r="BD226" s="14" t="s">
        <v>1245</v>
      </c>
      <c r="BE226" s="14">
        <v>3633</v>
      </c>
      <c r="BF226" s="19">
        <v>45289</v>
      </c>
      <c r="BG226" s="14" t="s">
        <v>1245</v>
      </c>
      <c r="BH226" s="14">
        <v>3633</v>
      </c>
      <c r="BI226" s="19">
        <v>45289</v>
      </c>
      <c r="BJ226" s="14" t="s">
        <v>1245</v>
      </c>
      <c r="BK226" s="14">
        <v>3633</v>
      </c>
      <c r="BL226" s="19">
        <v>45289</v>
      </c>
      <c r="BM226" s="14" t="s">
        <v>1245</v>
      </c>
      <c r="BN226" s="27">
        <v>45469</v>
      </c>
      <c r="BO226" s="27">
        <v>45469</v>
      </c>
      <c r="BP226" s="27">
        <v>45469</v>
      </c>
      <c r="BQ226" s="27">
        <v>45469</v>
      </c>
      <c r="BR226" s="27">
        <v>45654</v>
      </c>
      <c r="BS226" s="28">
        <v>-1715</v>
      </c>
      <c r="BT226" s="29">
        <v>-965</v>
      </c>
      <c r="BU226" s="29">
        <v>-1715</v>
      </c>
      <c r="BV226" s="29">
        <v>-1715</v>
      </c>
      <c r="BW226" s="29">
        <v>-965</v>
      </c>
      <c r="BX226" s="30" t="s">
        <v>715</v>
      </c>
      <c r="BY226" s="8">
        <v>5</v>
      </c>
      <c r="BZ226" s="8">
        <v>0</v>
      </c>
      <c r="CA226" s="8">
        <v>0</v>
      </c>
      <c r="CB226" s="21">
        <v>45288.770833333299</v>
      </c>
      <c r="CC226" s="21">
        <v>45288.770833333299</v>
      </c>
      <c r="CD226" s="21">
        <v>45288.770833333299</v>
      </c>
      <c r="CE226" s="21">
        <v>45288.770833333299</v>
      </c>
      <c r="CF226" s="21">
        <v>45288.770833333299</v>
      </c>
      <c r="CG226" s="21">
        <v>45288.770833333299</v>
      </c>
      <c r="CH226" s="21">
        <v>45288.770833333299</v>
      </c>
      <c r="CI226" s="21">
        <v>45288.770833333299</v>
      </c>
      <c r="CJ226" s="21">
        <v>45288.770833333299</v>
      </c>
      <c r="CK226" s="22" t="s">
        <v>3115</v>
      </c>
      <c r="CL226" s="22" t="s">
        <v>3115</v>
      </c>
      <c r="CM226" s="22" t="s">
        <v>3115</v>
      </c>
      <c r="CN226" s="22" t="s">
        <v>3115</v>
      </c>
      <c r="CO226" s="22" t="s">
        <v>3115</v>
      </c>
      <c r="CP226" s="22" t="s">
        <v>3116</v>
      </c>
      <c r="CQ226" s="22" t="s">
        <v>3117</v>
      </c>
      <c r="CR226" s="22" t="s">
        <v>3116</v>
      </c>
      <c r="CS226" s="22" t="s">
        <v>3116</v>
      </c>
      <c r="CT226" s="22">
        <v>3</v>
      </c>
      <c r="CU226" s="21">
        <v>45468</v>
      </c>
      <c r="CV226" s="21">
        <v>45468</v>
      </c>
      <c r="CW226" s="21">
        <v>45468</v>
      </c>
      <c r="CX226" s="21">
        <v>45468</v>
      </c>
      <c r="CY226" s="21">
        <v>45468</v>
      </c>
      <c r="CZ226" s="21">
        <v>45558</v>
      </c>
      <c r="DA226" s="21">
        <v>45653</v>
      </c>
      <c r="DB226" s="21">
        <v>45468</v>
      </c>
      <c r="DC226" s="21">
        <v>45653</v>
      </c>
      <c r="DD226" s="8">
        <v>1</v>
      </c>
      <c r="DE226" s="8">
        <v>0</v>
      </c>
      <c r="DF226" s="8">
        <v>0</v>
      </c>
      <c r="DG226" s="8">
        <v>9</v>
      </c>
      <c r="DH226" s="8">
        <v>0</v>
      </c>
      <c r="DI226" s="8">
        <v>0</v>
      </c>
      <c r="DJ226" s="8" t="s">
        <v>2976</v>
      </c>
      <c r="DK226" s="21">
        <v>43838</v>
      </c>
      <c r="DL226" s="21">
        <v>43754.229166666664</v>
      </c>
      <c r="DM226" s="21">
        <v>45453</v>
      </c>
      <c r="DN226" s="18">
        <v>4120</v>
      </c>
      <c r="DO226" s="21">
        <v>0</v>
      </c>
      <c r="DP226" s="21">
        <v>0</v>
      </c>
      <c r="DQ226" s="21" t="s">
        <v>2955</v>
      </c>
      <c r="DR226" s="21">
        <v>45289</v>
      </c>
      <c r="DS226" s="21">
        <v>45289</v>
      </c>
      <c r="DT226" s="21">
        <v>45289</v>
      </c>
      <c r="DU226" s="21">
        <v>45289</v>
      </c>
      <c r="DV226" s="21">
        <v>45289</v>
      </c>
      <c r="DW226" s="21">
        <v>45289</v>
      </c>
      <c r="DX226" s="21">
        <v>45289</v>
      </c>
      <c r="DY226" s="21">
        <v>45289</v>
      </c>
      <c r="DZ226" s="21">
        <v>45289</v>
      </c>
      <c r="EA226" s="8">
        <v>263</v>
      </c>
      <c r="EB226" s="8">
        <v>263</v>
      </c>
      <c r="EC226" s="8">
        <v>263</v>
      </c>
      <c r="ED226" s="8">
        <v>263</v>
      </c>
      <c r="EE226" s="8">
        <v>263</v>
      </c>
      <c r="EF226" s="8">
        <v>1813</v>
      </c>
      <c r="EG226" s="8">
        <v>813</v>
      </c>
      <c r="EH226" s="8">
        <v>1813</v>
      </c>
      <c r="EI226" s="8">
        <v>1813</v>
      </c>
      <c r="EJ226" s="8">
        <v>3</v>
      </c>
      <c r="EK226" s="8" t="s">
        <v>715</v>
      </c>
      <c r="EL226" s="8">
        <v>659</v>
      </c>
      <c r="EM226" s="8">
        <v>1977</v>
      </c>
      <c r="EN226" s="8">
        <v>-25</v>
      </c>
      <c r="EO226" s="8">
        <v>-25</v>
      </c>
      <c r="EP226" s="8">
        <v>-25</v>
      </c>
      <c r="EQ226" s="8">
        <v>-25</v>
      </c>
      <c r="ER226" s="8">
        <v>-25</v>
      </c>
      <c r="ES226" s="8">
        <v>1525</v>
      </c>
      <c r="ET226" s="8">
        <v>525</v>
      </c>
      <c r="EU226" s="8">
        <v>1525</v>
      </c>
      <c r="EV226" s="8">
        <v>1525</v>
      </c>
    </row>
    <row r="227" spans="1:152" x14ac:dyDescent="0.15">
      <c r="A227" s="8">
        <f>ROW([2]!tbl_DPSAC[[#This Row],[Sl. No.]])-1</f>
        <v>226</v>
      </c>
      <c r="B227" s="9" t="s">
        <v>136</v>
      </c>
      <c r="C227" s="9" t="s">
        <v>1246</v>
      </c>
      <c r="D227" s="9" t="s">
        <v>452</v>
      </c>
      <c r="E227" s="9" t="s">
        <v>176</v>
      </c>
      <c r="F227" s="9" t="s">
        <v>161</v>
      </c>
      <c r="G227" s="10" t="s">
        <v>1247</v>
      </c>
      <c r="H227" s="10" t="str">
        <f>_xlfn.XLOOKUP(C227,'[1]E&amp;DPSAC'!$K:$K,'[1]E&amp;DPSAC'!$E:$E,,0)</f>
        <v>ANKIT KUMAR SONTHALIA, R.N. BOSE ROAD, SATSANG GATE, NEAR HANUMAN MANDIR,, PURANDAHA, DEOGHAR, DIST. DUMKA,, JHARKHAND</v>
      </c>
      <c r="I227" s="10"/>
      <c r="J227" s="10">
        <v>7542025382</v>
      </c>
      <c r="K227" s="10">
        <f>_xlfn.XLOOKUP(C227,'[1]E&amp;DPSAC'!$K:$K,'[1]E&amp;DPSAC'!$G:$G,"",0)</f>
        <v>6200191036</v>
      </c>
      <c r="L227" s="9" t="str">
        <f t="shared" ca="1" si="12"/>
        <v>Non - Warranty</v>
      </c>
      <c r="M227" s="11">
        <v>43868</v>
      </c>
      <c r="N227" s="12">
        <v>24</v>
      </c>
      <c r="O227" s="11">
        <f t="shared" si="13"/>
        <v>44620</v>
      </c>
      <c r="P227" s="8" t="s">
        <v>681</v>
      </c>
      <c r="Q227" s="16" t="s">
        <v>1251</v>
      </c>
      <c r="R227" s="15">
        <v>45266.518750000003</v>
      </c>
      <c r="S227" s="14">
        <v>5110</v>
      </c>
      <c r="T227" s="15">
        <v>45266</v>
      </c>
      <c r="U227" s="14">
        <v>5110</v>
      </c>
      <c r="V227" s="14">
        <v>8285</v>
      </c>
      <c r="W227" s="17">
        <v>45966.520833333336</v>
      </c>
      <c r="X227" s="14" t="s">
        <v>2791</v>
      </c>
      <c r="Y227" s="14">
        <v>-2425</v>
      </c>
      <c r="Z227" s="14" t="s">
        <v>2697</v>
      </c>
      <c r="AA227" s="18">
        <v>846.48124999999709</v>
      </c>
      <c r="AB227" s="18" t="s">
        <v>2697</v>
      </c>
      <c r="AC227" s="8">
        <f>tbl_DPSAC[[#This Row],[Current Month Due Count]]</f>
        <v>0</v>
      </c>
      <c r="AD227" s="8">
        <f>tbl_DPSAC[[#This Row],[Next Month Due2]]</f>
        <v>0</v>
      </c>
      <c r="AE227" s="8">
        <f t="shared" si="14"/>
        <v>1</v>
      </c>
      <c r="AF227" s="8">
        <v>2</v>
      </c>
      <c r="AG227" s="14">
        <f t="shared" ca="1" si="15"/>
        <v>8578</v>
      </c>
      <c r="AH227" s="8" t="s">
        <v>1248</v>
      </c>
      <c r="AI227" s="8" t="s">
        <v>1249</v>
      </c>
      <c r="AJ227" s="8" t="s">
        <v>1250</v>
      </c>
      <c r="AK227" s="8">
        <v>0</v>
      </c>
      <c r="AL227" s="8">
        <v>0</v>
      </c>
      <c r="AM227" s="8">
        <v>0</v>
      </c>
      <c r="AN227" s="8">
        <v>0</v>
      </c>
      <c r="AO227" s="8">
        <v>0</v>
      </c>
      <c r="AP227" s="8">
        <v>0</v>
      </c>
      <c r="AQ227" s="8">
        <v>0</v>
      </c>
      <c r="AR227" s="8">
        <v>0</v>
      </c>
      <c r="AS227" s="8">
        <v>0</v>
      </c>
      <c r="AT227" s="8">
        <v>0</v>
      </c>
      <c r="AU227" s="8">
        <v>0</v>
      </c>
      <c r="AV227" s="8">
        <v>0</v>
      </c>
      <c r="AW227" s="8">
        <v>0</v>
      </c>
      <c r="AX227" s="8" t="s">
        <v>2961</v>
      </c>
      <c r="AY227" s="14">
        <v>5110</v>
      </c>
      <c r="AZ227" s="19">
        <v>45266</v>
      </c>
      <c r="BA227" s="14" t="s">
        <v>1251</v>
      </c>
      <c r="BB227" s="14">
        <v>2891</v>
      </c>
      <c r="BC227" s="19">
        <v>44591.516319444447</v>
      </c>
      <c r="BD227" s="14" t="s">
        <v>1252</v>
      </c>
      <c r="BE227" s="14">
        <v>2891</v>
      </c>
      <c r="BF227" s="19">
        <v>44591.516319444447</v>
      </c>
      <c r="BG227" s="14" t="s">
        <v>1252</v>
      </c>
      <c r="BH227" s="14">
        <v>2891</v>
      </c>
      <c r="BI227" s="19">
        <v>44591.516319444447</v>
      </c>
      <c r="BJ227" s="14" t="s">
        <v>1252</v>
      </c>
      <c r="BK227" s="14">
        <v>2891</v>
      </c>
      <c r="BL227" s="19">
        <v>44591.516319444447</v>
      </c>
      <c r="BM227" s="14" t="s">
        <v>1252</v>
      </c>
      <c r="BN227" s="27">
        <v>45446</v>
      </c>
      <c r="BO227" s="27">
        <v>44771.516319444447</v>
      </c>
      <c r="BP227" s="27">
        <v>44771.516319444447</v>
      </c>
      <c r="BQ227" s="27">
        <v>44771.516319444447</v>
      </c>
      <c r="BR227" s="27">
        <v>44956.516319444447</v>
      </c>
      <c r="BS227" s="28">
        <v>-2718</v>
      </c>
      <c r="BT227" s="29">
        <v>-4187</v>
      </c>
      <c r="BU227" s="29">
        <v>-4937</v>
      </c>
      <c r="BV227" s="29">
        <v>-4937</v>
      </c>
      <c r="BW227" s="29">
        <v>-4187</v>
      </c>
      <c r="BX227" s="30" t="s">
        <v>173</v>
      </c>
      <c r="BY227" s="8">
        <v>5</v>
      </c>
      <c r="BZ227" s="8">
        <v>0</v>
      </c>
      <c r="CA227" s="8">
        <v>0</v>
      </c>
      <c r="CB227" s="21">
        <v>45265.770833333299</v>
      </c>
      <c r="CC227" s="21">
        <v>45265.770833333299</v>
      </c>
      <c r="CD227" s="21">
        <v>45089.770833333299</v>
      </c>
      <c r="CE227" s="21">
        <v>45265.770833333299</v>
      </c>
      <c r="CF227" s="21">
        <v>45265.770833333299</v>
      </c>
      <c r="CG227" s="21">
        <v>45089.770833333299</v>
      </c>
      <c r="CH227" s="21">
        <v>0</v>
      </c>
      <c r="CI227" s="21">
        <v>45089.770833333299</v>
      </c>
      <c r="CJ227" s="21">
        <v>0</v>
      </c>
      <c r="CK227" s="22" t="s">
        <v>3050</v>
      </c>
      <c r="CL227" s="22" t="s">
        <v>3050</v>
      </c>
      <c r="CM227" s="22" t="s">
        <v>3050</v>
      </c>
      <c r="CN227" s="22" t="s">
        <v>3050</v>
      </c>
      <c r="CO227" s="22" t="s">
        <v>3050</v>
      </c>
      <c r="CP227" s="22" t="s">
        <v>3050</v>
      </c>
      <c r="CQ227" s="22" t="s">
        <v>2953</v>
      </c>
      <c r="CR227" s="22" t="s">
        <v>3050</v>
      </c>
      <c r="CS227" s="22" t="s">
        <v>3050</v>
      </c>
      <c r="CT227" s="22">
        <v>2</v>
      </c>
      <c r="CU227" s="21">
        <v>45445</v>
      </c>
      <c r="CV227" s="21">
        <v>45445</v>
      </c>
      <c r="CW227" s="21">
        <v>45269</v>
      </c>
      <c r="CX227" s="21">
        <v>45445</v>
      </c>
      <c r="CY227" s="21">
        <v>45445</v>
      </c>
      <c r="CZ227" s="21">
        <v>45359</v>
      </c>
      <c r="DA227" s="21">
        <v>46059</v>
      </c>
      <c r="DB227" s="21">
        <v>45269</v>
      </c>
      <c r="DC227" s="21">
        <v>46097</v>
      </c>
      <c r="DD227" s="8">
        <v>1</v>
      </c>
      <c r="DE227" s="8">
        <v>1</v>
      </c>
      <c r="DF227" s="8">
        <v>1</v>
      </c>
      <c r="DG227" s="8">
        <v>9</v>
      </c>
      <c r="DH227" s="8">
        <v>0</v>
      </c>
      <c r="DI227" s="8">
        <v>0</v>
      </c>
      <c r="DJ227" s="8" t="s">
        <v>3025</v>
      </c>
      <c r="DK227" s="21">
        <v>43868</v>
      </c>
      <c r="DL227" s="21">
        <v>43761.229166666664</v>
      </c>
      <c r="DM227" s="21">
        <v>45966</v>
      </c>
      <c r="DN227" s="18">
        <v>8285</v>
      </c>
      <c r="DO227" s="21">
        <v>0</v>
      </c>
      <c r="DP227" s="21">
        <v>0</v>
      </c>
      <c r="DQ227" s="21" t="s">
        <v>2955</v>
      </c>
      <c r="DR227" s="21">
        <v>45266</v>
      </c>
      <c r="DS227" s="21">
        <v>45266</v>
      </c>
      <c r="DT227" s="21">
        <v>45090</v>
      </c>
      <c r="DU227" s="21">
        <v>45266</v>
      </c>
      <c r="DV227" s="21">
        <v>45266</v>
      </c>
      <c r="DW227" s="21">
        <v>45090</v>
      </c>
      <c r="DX227" s="21">
        <v>0</v>
      </c>
      <c r="DY227" s="21">
        <v>45090</v>
      </c>
      <c r="DZ227" s="21">
        <v>0</v>
      </c>
      <c r="EA227" s="8">
        <v>420</v>
      </c>
      <c r="EB227" s="8">
        <v>420</v>
      </c>
      <c r="EC227" s="8">
        <v>420</v>
      </c>
      <c r="ED227" s="8">
        <v>420</v>
      </c>
      <c r="EE227" s="8">
        <v>420</v>
      </c>
      <c r="EF227" s="8">
        <v>420</v>
      </c>
      <c r="EG227" s="8">
        <v>1000</v>
      </c>
      <c r="EH227" s="8">
        <v>420</v>
      </c>
      <c r="EI227" s="8">
        <v>420</v>
      </c>
      <c r="EJ227" s="8">
        <v>2</v>
      </c>
      <c r="EK227" s="8" t="s">
        <v>2624</v>
      </c>
      <c r="EL227" s="8">
        <v>146</v>
      </c>
      <c r="EM227" s="8">
        <v>292</v>
      </c>
      <c r="EN227" s="8">
        <v>132</v>
      </c>
      <c r="EO227" s="8">
        <v>132</v>
      </c>
      <c r="EP227" s="8">
        <v>132</v>
      </c>
      <c r="EQ227" s="8">
        <v>132</v>
      </c>
      <c r="ER227" s="8">
        <v>132</v>
      </c>
      <c r="ES227" s="8">
        <v>132</v>
      </c>
      <c r="ET227" s="8">
        <v>712</v>
      </c>
      <c r="EU227" s="8">
        <v>132</v>
      </c>
      <c r="EV227" s="8">
        <v>132</v>
      </c>
    </row>
    <row r="228" spans="1:152" x14ac:dyDescent="0.15">
      <c r="A228" s="8">
        <f>ROW([2]!tbl_DPSAC[[#This Row],[Sl. No.]])-1</f>
        <v>227</v>
      </c>
      <c r="B228" s="9" t="s">
        <v>196</v>
      </c>
      <c r="C228" s="9" t="s">
        <v>1253</v>
      </c>
      <c r="D228" s="9" t="s">
        <v>983</v>
      </c>
      <c r="E228" s="9" t="s">
        <v>984</v>
      </c>
      <c r="F228" s="9" t="s">
        <v>161</v>
      </c>
      <c r="G228" s="10" t="s">
        <v>218</v>
      </c>
      <c r="H228" s="10" t="str">
        <f>_xlfn.XLOOKUP(C228,'[1]E&amp;DPSAC'!$K:$K,'[1]E&amp;DPSAC'!$E:$E,,0)</f>
        <v>BARAUNI REFINING GATE NO. 1</v>
      </c>
      <c r="I228" s="10" t="s">
        <v>219</v>
      </c>
      <c r="J228" s="10">
        <v>8877841639</v>
      </c>
      <c r="K228" s="10">
        <f>_xlfn.XLOOKUP(C228,'[1]E&amp;DPSAC'!$K:$K,'[1]E&amp;DPSAC'!$G:$G,"",0)</f>
        <v>8877841639</v>
      </c>
      <c r="L228" s="9" t="str">
        <f t="shared" ca="1" si="12"/>
        <v>Non - Warranty</v>
      </c>
      <c r="M228" s="11">
        <v>43883</v>
      </c>
      <c r="N228" s="12">
        <v>24</v>
      </c>
      <c r="O228" s="11">
        <f t="shared" si="13"/>
        <v>44620</v>
      </c>
      <c r="P228" s="8" t="s">
        <v>681</v>
      </c>
      <c r="Q228" s="16" t="s">
        <v>1254</v>
      </c>
      <c r="R228" s="15">
        <v>45266.486458333296</v>
      </c>
      <c r="S228" s="14">
        <v>3675</v>
      </c>
      <c r="T228" s="15">
        <v>45266</v>
      </c>
      <c r="U228" s="14">
        <v>3675</v>
      </c>
      <c r="V228" s="14">
        <v>4340</v>
      </c>
      <c r="W228" s="17">
        <v>45940.686805555553</v>
      </c>
      <c r="X228" s="14" t="s">
        <v>2704</v>
      </c>
      <c r="Y228" s="14">
        <v>85</v>
      </c>
      <c r="Z228" s="14" t="s">
        <v>2692</v>
      </c>
      <c r="AA228" s="18">
        <v>846.51354166670353</v>
      </c>
      <c r="AB228" s="18" t="s">
        <v>2697</v>
      </c>
      <c r="AC228" s="8">
        <f>tbl_DPSAC[[#This Row],[Current Month Due Count]]</f>
        <v>0</v>
      </c>
      <c r="AD228" s="8">
        <f>tbl_DPSAC[[#This Row],[Next Month Due2]]</f>
        <v>0</v>
      </c>
      <c r="AE228" s="8">
        <f t="shared" si="14"/>
        <v>1</v>
      </c>
      <c r="AF228" s="8">
        <v>1</v>
      </c>
      <c r="AG228" s="14">
        <f t="shared" ca="1" si="15"/>
        <v>4512</v>
      </c>
      <c r="AH228" s="8">
        <v>0</v>
      </c>
      <c r="AI228" s="8">
        <v>0</v>
      </c>
      <c r="AJ228" s="8">
        <v>0</v>
      </c>
      <c r="AK228" s="8">
        <v>0</v>
      </c>
      <c r="AL228" s="8">
        <v>0</v>
      </c>
      <c r="AM228" s="8">
        <v>0</v>
      </c>
      <c r="AN228" s="8">
        <v>0</v>
      </c>
      <c r="AO228" s="8">
        <v>0</v>
      </c>
      <c r="AP228" s="8">
        <v>0</v>
      </c>
      <c r="AQ228" s="8">
        <v>0</v>
      </c>
      <c r="AR228" s="8">
        <v>0</v>
      </c>
      <c r="AS228" s="8">
        <v>0</v>
      </c>
      <c r="AT228" s="8">
        <v>0</v>
      </c>
      <c r="AU228" s="8">
        <v>0</v>
      </c>
      <c r="AV228" s="8">
        <v>0</v>
      </c>
      <c r="AW228" s="8">
        <v>0</v>
      </c>
      <c r="AX228" s="8" t="s">
        <v>3033</v>
      </c>
      <c r="AY228" s="14">
        <v>3675</v>
      </c>
      <c r="AZ228" s="19">
        <v>45266</v>
      </c>
      <c r="BA228" s="14" t="s">
        <v>1254</v>
      </c>
      <c r="BB228" s="14">
        <v>3675</v>
      </c>
      <c r="BC228" s="19">
        <v>45266</v>
      </c>
      <c r="BD228" s="14" t="s">
        <v>1254</v>
      </c>
      <c r="BE228" s="14">
        <v>3675</v>
      </c>
      <c r="BF228" s="19">
        <v>45266</v>
      </c>
      <c r="BG228" s="14" t="s">
        <v>1254</v>
      </c>
      <c r="BH228" s="14"/>
      <c r="BI228" s="19"/>
      <c r="BJ228" s="14"/>
      <c r="BK228" s="14">
        <v>3675</v>
      </c>
      <c r="BL228" s="19">
        <v>45266</v>
      </c>
      <c r="BM228" s="14" t="s">
        <v>1254</v>
      </c>
      <c r="BN228" s="27">
        <v>45446</v>
      </c>
      <c r="BO228" s="27">
        <v>45446</v>
      </c>
      <c r="BP228" s="27">
        <v>45446</v>
      </c>
      <c r="BQ228" s="27" t="s">
        <v>143</v>
      </c>
      <c r="BR228" s="27">
        <v>45631</v>
      </c>
      <c r="BS228" s="28">
        <v>-87</v>
      </c>
      <c r="BT228" s="29">
        <v>663</v>
      </c>
      <c r="BU228" s="29">
        <v>-87</v>
      </c>
      <c r="BV228" s="29" t="s">
        <v>143</v>
      </c>
      <c r="BW228" s="29">
        <v>663</v>
      </c>
      <c r="BX228" s="30" t="e">
        <v>#N/A</v>
      </c>
      <c r="BY228" s="8">
        <v>4</v>
      </c>
      <c r="BZ228" s="8">
        <v>0</v>
      </c>
      <c r="CA228" s="8">
        <v>0</v>
      </c>
      <c r="CB228" s="21">
        <v>45265.770833333299</v>
      </c>
      <c r="CC228" s="21">
        <v>45265.770833333299</v>
      </c>
      <c r="CD228" s="21">
        <v>0</v>
      </c>
      <c r="CE228" s="21">
        <v>0</v>
      </c>
      <c r="CF228" s="21">
        <v>45265.770833333299</v>
      </c>
      <c r="CG228" s="21">
        <v>45265.770833333299</v>
      </c>
      <c r="CH228" s="21">
        <v>45265.770833333299</v>
      </c>
      <c r="CI228" s="21">
        <v>45265.770833333299</v>
      </c>
      <c r="CJ228" s="21">
        <v>45265.770833333299</v>
      </c>
      <c r="CK228" s="22" t="s">
        <v>3010</v>
      </c>
      <c r="CL228" s="22" t="s">
        <v>3010</v>
      </c>
      <c r="CM228" s="22" t="s">
        <v>3010</v>
      </c>
      <c r="CN228" s="22" t="s">
        <v>3010</v>
      </c>
      <c r="CO228" s="22" t="s">
        <v>3010</v>
      </c>
      <c r="CP228" s="22" t="s">
        <v>2975</v>
      </c>
      <c r="CQ228" s="22" t="s">
        <v>2953</v>
      </c>
      <c r="CR228" s="22" t="s">
        <v>2975</v>
      </c>
      <c r="CS228" s="22" t="s">
        <v>2975</v>
      </c>
      <c r="CT228" s="22">
        <v>4</v>
      </c>
      <c r="CU228" s="21">
        <v>45445</v>
      </c>
      <c r="CV228" s="21">
        <v>45445</v>
      </c>
      <c r="CW228" s="21">
        <v>45962</v>
      </c>
      <c r="CX228" s="21">
        <v>45962</v>
      </c>
      <c r="CY228" s="21">
        <v>45445</v>
      </c>
      <c r="CZ228" s="21">
        <v>45535</v>
      </c>
      <c r="DA228" s="21">
        <v>45630</v>
      </c>
      <c r="DB228" s="21">
        <v>45445</v>
      </c>
      <c r="DC228" s="21">
        <v>45630</v>
      </c>
      <c r="DD228" s="8">
        <v>1</v>
      </c>
      <c r="DE228" s="8">
        <v>0</v>
      </c>
      <c r="DF228" s="8">
        <v>0</v>
      </c>
      <c r="DG228" s="8">
        <v>9</v>
      </c>
      <c r="DH228" s="8">
        <v>0</v>
      </c>
      <c r="DI228" s="8">
        <v>0</v>
      </c>
      <c r="DJ228" s="8" t="s">
        <v>3025</v>
      </c>
      <c r="DK228" s="21">
        <v>43883</v>
      </c>
      <c r="DL228" s="21">
        <v>43707.229166666664</v>
      </c>
      <c r="DM228" s="21">
        <v>45940</v>
      </c>
      <c r="DN228" s="18">
        <v>4340</v>
      </c>
      <c r="DO228" s="21">
        <v>0</v>
      </c>
      <c r="DP228" s="21">
        <v>0</v>
      </c>
      <c r="DQ228" s="21" t="s">
        <v>2955</v>
      </c>
      <c r="DR228" s="21">
        <v>45266</v>
      </c>
      <c r="DS228" s="21">
        <v>45266</v>
      </c>
      <c r="DT228" s="21">
        <v>0</v>
      </c>
      <c r="DU228" s="21">
        <v>0</v>
      </c>
      <c r="DV228" s="21">
        <v>45266</v>
      </c>
      <c r="DW228" s="21">
        <v>45266</v>
      </c>
      <c r="DX228" s="21">
        <v>45266</v>
      </c>
      <c r="DY228" s="21">
        <v>45266</v>
      </c>
      <c r="DZ228" s="21">
        <v>45266</v>
      </c>
      <c r="EA228" s="8">
        <v>90</v>
      </c>
      <c r="EB228" s="8">
        <v>90</v>
      </c>
      <c r="EC228" s="8">
        <v>90</v>
      </c>
      <c r="ED228" s="8">
        <v>90</v>
      </c>
      <c r="EE228" s="8">
        <v>90</v>
      </c>
      <c r="EF228" s="8">
        <v>840</v>
      </c>
      <c r="EG228" s="8">
        <v>1000</v>
      </c>
      <c r="EH228" s="8">
        <v>840</v>
      </c>
      <c r="EI228" s="8">
        <v>840</v>
      </c>
      <c r="EJ228" s="8">
        <v>4</v>
      </c>
      <c r="EK228" s="8" t="s">
        <v>2624</v>
      </c>
      <c r="EL228" s="8">
        <v>172</v>
      </c>
      <c r="EM228" s="8">
        <v>172</v>
      </c>
      <c r="EN228" s="8">
        <v>-198</v>
      </c>
      <c r="EO228" s="8">
        <v>-198</v>
      </c>
      <c r="EP228" s="8">
        <v>-198</v>
      </c>
      <c r="EQ228" s="8">
        <v>-198</v>
      </c>
      <c r="ER228" s="8">
        <v>-198</v>
      </c>
      <c r="ES228" s="8">
        <v>552</v>
      </c>
      <c r="ET228" s="8">
        <v>712</v>
      </c>
      <c r="EU228" s="8">
        <v>552</v>
      </c>
      <c r="EV228" s="8">
        <v>552</v>
      </c>
    </row>
    <row r="229" spans="1:152" x14ac:dyDescent="0.15">
      <c r="A229" s="8">
        <f>ROW([2]!tbl_DPSAC[[#This Row],[Sl. No.]])-1</f>
        <v>228</v>
      </c>
      <c r="B229" s="9" t="s">
        <v>136</v>
      </c>
      <c r="C229" s="9" t="s">
        <v>1255</v>
      </c>
      <c r="D229" s="9" t="s">
        <v>452</v>
      </c>
      <c r="E229" s="9" t="s">
        <v>176</v>
      </c>
      <c r="F229" s="9" t="s">
        <v>161</v>
      </c>
      <c r="G229" s="10" t="s">
        <v>1256</v>
      </c>
      <c r="H229" s="10" t="str">
        <f>_xlfn.XLOOKUP(C229,'[1]E&amp;DPSAC'!$K:$K,'[1]E&amp;DPSAC'!$E:$E,,0)</f>
        <v>VILL: MORWAY,, P.O. : GURPA, P.S.: FATEHPUR, DIST. GAYA  - 824232 (BIHAR)</v>
      </c>
      <c r="I229" s="10"/>
      <c r="J229" s="10">
        <v>7903301635</v>
      </c>
      <c r="K229" s="10">
        <f>_xlfn.XLOOKUP(C229,'[1]E&amp;DPSAC'!$K:$K,'[1]E&amp;DPSAC'!$G:$G,"",0)</f>
        <v>7903301635</v>
      </c>
      <c r="L229" s="9" t="str">
        <f t="shared" ca="1" si="12"/>
        <v>Non - Warranty</v>
      </c>
      <c r="M229" s="11">
        <v>43738</v>
      </c>
      <c r="N229" s="12">
        <v>24</v>
      </c>
      <c r="O229" s="11">
        <f t="shared" si="13"/>
        <v>44469</v>
      </c>
      <c r="P229" s="8" t="s">
        <v>681</v>
      </c>
      <c r="Q229" s="16" t="s">
        <v>1257</v>
      </c>
      <c r="R229" s="15">
        <v>45983.4140625</v>
      </c>
      <c r="S229" s="14">
        <v>5065</v>
      </c>
      <c r="T229" s="15">
        <v>45199</v>
      </c>
      <c r="U229" s="14">
        <v>2831</v>
      </c>
      <c r="V229" s="14">
        <v>5065</v>
      </c>
      <c r="W229" s="17">
        <v>45983.4140625</v>
      </c>
      <c r="X229" s="14" t="s">
        <v>2751</v>
      </c>
      <c r="Y229" s="14">
        <v>750</v>
      </c>
      <c r="Z229" s="14" t="s">
        <v>2692</v>
      </c>
      <c r="AA229" s="18">
        <v>129.5859375</v>
      </c>
      <c r="AB229" s="18" t="s">
        <v>2692</v>
      </c>
      <c r="AC229" s="8">
        <f>tbl_DPSAC[[#This Row],[Current Month Due Count]]</f>
        <v>0</v>
      </c>
      <c r="AD229" s="8">
        <f>tbl_DPSAC[[#This Row],[Next Month Due2]]</f>
        <v>4</v>
      </c>
      <c r="AE229" s="8">
        <f t="shared" si="14"/>
        <v>0</v>
      </c>
      <c r="AF229" s="8">
        <v>3</v>
      </c>
      <c r="AG229" s="14">
        <f t="shared" ca="1" si="15"/>
        <v>5454</v>
      </c>
      <c r="AH229" s="8">
        <v>0</v>
      </c>
      <c r="AI229" s="8">
        <v>0</v>
      </c>
      <c r="AJ229" s="8">
        <v>0</v>
      </c>
      <c r="AK229" s="8">
        <v>0</v>
      </c>
      <c r="AL229" s="8">
        <v>0</v>
      </c>
      <c r="AM229" s="8">
        <v>0</v>
      </c>
      <c r="AN229" s="8">
        <v>0</v>
      </c>
      <c r="AO229" s="8">
        <v>0</v>
      </c>
      <c r="AP229" s="8">
        <v>0</v>
      </c>
      <c r="AQ229" s="8">
        <v>0</v>
      </c>
      <c r="AR229" s="8">
        <v>0</v>
      </c>
      <c r="AS229" s="8">
        <v>0</v>
      </c>
      <c r="AT229" s="8">
        <v>0</v>
      </c>
      <c r="AU229" s="8">
        <v>0</v>
      </c>
      <c r="AV229" s="8">
        <v>0</v>
      </c>
      <c r="AW229" s="8">
        <v>0</v>
      </c>
      <c r="AX229" s="8" t="s">
        <v>2007</v>
      </c>
      <c r="AY229" s="14">
        <v>5065</v>
      </c>
      <c r="AZ229" s="19">
        <v>45983</v>
      </c>
      <c r="BA229" s="14" t="s">
        <v>1257</v>
      </c>
      <c r="BB229" s="14">
        <v>5065</v>
      </c>
      <c r="BC229" s="19">
        <v>45983</v>
      </c>
      <c r="BD229" s="14" t="s">
        <v>1257</v>
      </c>
      <c r="BE229" s="14">
        <v>5065</v>
      </c>
      <c r="BF229" s="19">
        <v>45983</v>
      </c>
      <c r="BG229" s="14" t="s">
        <v>1257</v>
      </c>
      <c r="BH229" s="14">
        <v>5065</v>
      </c>
      <c r="BI229" s="19">
        <v>45983</v>
      </c>
      <c r="BJ229" s="14" t="s">
        <v>1257</v>
      </c>
      <c r="BK229" s="14">
        <v>5065</v>
      </c>
      <c r="BL229" s="19">
        <v>45983</v>
      </c>
      <c r="BM229" s="14" t="s">
        <v>1257</v>
      </c>
      <c r="BN229" s="27">
        <v>46163</v>
      </c>
      <c r="BO229" s="27">
        <v>46163</v>
      </c>
      <c r="BP229" s="27">
        <v>46163</v>
      </c>
      <c r="BQ229" s="27">
        <v>46163</v>
      </c>
      <c r="BR229" s="27">
        <v>46348</v>
      </c>
      <c r="BS229" s="28">
        <v>361</v>
      </c>
      <c r="BT229" s="29">
        <v>1111</v>
      </c>
      <c r="BU229" s="29">
        <v>361</v>
      </c>
      <c r="BV229" s="29">
        <v>361</v>
      </c>
      <c r="BW229" s="29">
        <v>1111</v>
      </c>
      <c r="BX229" s="30" t="s">
        <v>173</v>
      </c>
      <c r="BY229" s="8">
        <v>0</v>
      </c>
      <c r="BZ229" s="8">
        <v>0</v>
      </c>
      <c r="CA229" s="8">
        <v>4</v>
      </c>
      <c r="CB229" s="21">
        <v>45982.770833333299</v>
      </c>
      <c r="CC229" s="21">
        <v>45982.770833333299</v>
      </c>
      <c r="CD229" s="21">
        <v>45982.770833333299</v>
      </c>
      <c r="CE229" s="21">
        <v>45982.770833333299</v>
      </c>
      <c r="CF229" s="21">
        <v>45982.770833333299</v>
      </c>
      <c r="CG229" s="21">
        <v>45982.770833333299</v>
      </c>
      <c r="CH229" s="21">
        <v>45982.770833333299</v>
      </c>
      <c r="CI229" s="21">
        <v>45982.770833333299</v>
      </c>
      <c r="CJ229" s="21">
        <v>45982.770833333299</v>
      </c>
      <c r="CK229" s="22" t="s">
        <v>2956</v>
      </c>
      <c r="CL229" s="22" t="s">
        <v>2957</v>
      </c>
      <c r="CM229" s="22" t="s">
        <v>2959</v>
      </c>
      <c r="CN229" s="22" t="s">
        <v>2957</v>
      </c>
      <c r="CO229" s="22" t="s">
        <v>2957</v>
      </c>
      <c r="CP229" s="22" t="s">
        <v>2956</v>
      </c>
      <c r="CQ229" s="22" t="s">
        <v>2953</v>
      </c>
      <c r="CR229" s="22" t="s">
        <v>2956</v>
      </c>
      <c r="CS229" s="22" t="s">
        <v>2960</v>
      </c>
      <c r="CT229" s="22">
        <v>3</v>
      </c>
      <c r="CU229" s="21">
        <v>46162</v>
      </c>
      <c r="CV229" s="21">
        <v>46162</v>
      </c>
      <c r="CW229" s="21">
        <v>46149</v>
      </c>
      <c r="CX229" s="21">
        <v>46162</v>
      </c>
      <c r="CY229" s="21">
        <v>46162</v>
      </c>
      <c r="CZ229" s="21">
        <v>46252</v>
      </c>
      <c r="DA229" s="21">
        <v>46316</v>
      </c>
      <c r="DB229" s="21">
        <v>46162</v>
      </c>
      <c r="DC229" s="21">
        <v>46347</v>
      </c>
      <c r="DD229" s="8">
        <v>0</v>
      </c>
      <c r="DE229" s="8">
        <v>0</v>
      </c>
      <c r="DF229" s="8">
        <v>0</v>
      </c>
      <c r="DG229" s="8">
        <v>0</v>
      </c>
      <c r="DH229" s="8">
        <v>0</v>
      </c>
      <c r="DI229" s="8">
        <v>6</v>
      </c>
      <c r="DJ229" s="8" t="s">
        <v>3025</v>
      </c>
      <c r="DK229" s="21">
        <v>43738</v>
      </c>
      <c r="DL229" s="21">
        <v>43664.229166666664</v>
      </c>
      <c r="DM229" s="21">
        <v>45983</v>
      </c>
      <c r="DN229" s="18">
        <v>5065</v>
      </c>
      <c r="DO229" s="21">
        <v>0</v>
      </c>
      <c r="DP229" s="21">
        <v>0</v>
      </c>
      <c r="DQ229" s="21" t="s">
        <v>2955</v>
      </c>
      <c r="DR229" s="21">
        <v>45983</v>
      </c>
      <c r="DS229" s="21">
        <v>45983</v>
      </c>
      <c r="DT229" s="21">
        <v>45983</v>
      </c>
      <c r="DU229" s="21">
        <v>45983</v>
      </c>
      <c r="DV229" s="21">
        <v>45983</v>
      </c>
      <c r="DW229" s="21">
        <v>45983</v>
      </c>
      <c r="DX229" s="21">
        <v>45983</v>
      </c>
      <c r="DY229" s="21">
        <v>45983</v>
      </c>
      <c r="DZ229" s="21">
        <v>45983</v>
      </c>
      <c r="EA229" s="8">
        <v>1500</v>
      </c>
      <c r="EB229" s="8">
        <v>750</v>
      </c>
      <c r="EC229" s="8">
        <v>500</v>
      </c>
      <c r="ED229" s="8">
        <v>750</v>
      </c>
      <c r="EE229" s="8">
        <v>750</v>
      </c>
      <c r="EF229" s="8">
        <v>1500</v>
      </c>
      <c r="EG229" s="8">
        <v>1000</v>
      </c>
      <c r="EH229" s="8">
        <v>1500</v>
      </c>
      <c r="EI229" s="8">
        <v>3000</v>
      </c>
      <c r="EJ229" s="8">
        <v>3</v>
      </c>
      <c r="EK229" s="8" t="s">
        <v>2624</v>
      </c>
      <c r="EL229" s="8">
        <v>130</v>
      </c>
      <c r="EM229" s="8">
        <v>390</v>
      </c>
      <c r="EN229" s="8">
        <v>1212</v>
      </c>
      <c r="EO229" s="8">
        <v>462</v>
      </c>
      <c r="EP229" s="8">
        <v>212</v>
      </c>
      <c r="EQ229" s="8">
        <v>462</v>
      </c>
      <c r="ER229" s="8">
        <v>462</v>
      </c>
      <c r="ES229" s="8">
        <v>1212</v>
      </c>
      <c r="ET229" s="8">
        <v>712</v>
      </c>
      <c r="EU229" s="8">
        <v>1212</v>
      </c>
      <c r="EV229" s="8">
        <v>2712</v>
      </c>
    </row>
    <row r="230" spans="1:152" x14ac:dyDescent="0.15">
      <c r="A230" s="8">
        <f>ROW([2]!tbl_DPSAC[[#This Row],[Sl. No.]])-1</f>
        <v>229</v>
      </c>
      <c r="B230" s="9" t="s">
        <v>136</v>
      </c>
      <c r="C230" s="9" t="s">
        <v>1258</v>
      </c>
      <c r="D230" s="9" t="s">
        <v>175</v>
      </c>
      <c r="E230" s="9" t="s">
        <v>176</v>
      </c>
      <c r="F230" s="9" t="s">
        <v>161</v>
      </c>
      <c r="G230" s="10" t="s">
        <v>1259</v>
      </c>
      <c r="H230" s="10" t="str">
        <f>_xlfn.XLOOKUP(C230,'[1]E&amp;DPSAC'!$K:$K,'[1]E&amp;DPSAC'!$E:$E,,0)</f>
        <v>C/O. NIKHIL GAURAV,, ROOM NO.1, D-603, BASUDEO NAGAR,, KANTATOLI CHOWK, OPP. MANGAL TOWER,, OLD H. B. ROAD, RANCHI - 834 001, JHARKHAND</v>
      </c>
      <c r="I230" s="10"/>
      <c r="J230" s="10">
        <v>7717797801</v>
      </c>
      <c r="K230" s="10">
        <f>_xlfn.XLOOKUP(C230,'[1]E&amp;DPSAC'!$K:$K,'[1]E&amp;DPSAC'!$G:$G,"",0)</f>
        <v>7717797801</v>
      </c>
      <c r="L230" s="9" t="str">
        <f t="shared" ca="1" si="12"/>
        <v>Non - Warranty</v>
      </c>
      <c r="M230" s="11">
        <v>43896.756249999999</v>
      </c>
      <c r="N230" s="12">
        <v>24</v>
      </c>
      <c r="O230" s="11">
        <f t="shared" si="13"/>
        <v>44651</v>
      </c>
      <c r="P230" s="8" t="s">
        <v>681</v>
      </c>
      <c r="Q230" s="16" t="s">
        <v>1260</v>
      </c>
      <c r="R230" s="15">
        <v>45266.482592592598</v>
      </c>
      <c r="S230" s="14">
        <v>2500</v>
      </c>
      <c r="T230" s="15">
        <v>45266</v>
      </c>
      <c r="U230" s="14">
        <v>2500</v>
      </c>
      <c r="V230" s="14">
        <v>3890</v>
      </c>
      <c r="W230" s="17">
        <v>45966.525000000001</v>
      </c>
      <c r="X230" s="14" t="s">
        <v>2707</v>
      </c>
      <c r="Y230" s="14">
        <v>-640</v>
      </c>
      <c r="Z230" s="14" t="s">
        <v>2697</v>
      </c>
      <c r="AA230" s="18">
        <v>846.51740740740206</v>
      </c>
      <c r="AB230" s="18" t="s">
        <v>2697</v>
      </c>
      <c r="AC230" s="8">
        <f>tbl_DPSAC[[#This Row],[Current Month Due Count]]</f>
        <v>0</v>
      </c>
      <c r="AD230" s="8">
        <f>tbl_DPSAC[[#This Row],[Next Month Due2]]</f>
        <v>0</v>
      </c>
      <c r="AE230" s="8">
        <f t="shared" si="14"/>
        <v>1</v>
      </c>
      <c r="AF230" s="8">
        <v>2</v>
      </c>
      <c r="AG230" s="14">
        <f t="shared" ca="1" si="15"/>
        <v>4183</v>
      </c>
      <c r="AH230" s="8">
        <v>0</v>
      </c>
      <c r="AI230" s="8">
        <v>0</v>
      </c>
      <c r="AJ230" s="8">
        <v>0</v>
      </c>
      <c r="AK230" s="8">
        <v>0</v>
      </c>
      <c r="AL230" s="8">
        <v>0</v>
      </c>
      <c r="AM230" s="8">
        <v>0</v>
      </c>
      <c r="AN230" s="8">
        <v>0</v>
      </c>
      <c r="AO230" s="8">
        <v>0</v>
      </c>
      <c r="AP230" s="8">
        <v>0</v>
      </c>
      <c r="AQ230" s="8">
        <v>0</v>
      </c>
      <c r="AR230" s="8">
        <v>0</v>
      </c>
      <c r="AS230" s="8">
        <v>0</v>
      </c>
      <c r="AT230" s="8">
        <v>0</v>
      </c>
      <c r="AU230" s="8">
        <v>0</v>
      </c>
      <c r="AV230" s="8">
        <v>0</v>
      </c>
      <c r="AW230" s="8">
        <v>0</v>
      </c>
      <c r="AX230" s="8" t="s">
        <v>2961</v>
      </c>
      <c r="AY230" s="14">
        <v>2500</v>
      </c>
      <c r="AZ230" s="19">
        <v>45266</v>
      </c>
      <c r="BA230" s="14" t="s">
        <v>1260</v>
      </c>
      <c r="BB230" s="14">
        <v>2500</v>
      </c>
      <c r="BC230" s="19">
        <v>45266</v>
      </c>
      <c r="BD230" s="14" t="s">
        <v>1260</v>
      </c>
      <c r="BE230" s="14">
        <v>2500</v>
      </c>
      <c r="BF230" s="19">
        <v>45266</v>
      </c>
      <c r="BG230" s="14" t="s">
        <v>1260</v>
      </c>
      <c r="BH230" s="14">
        <v>2500</v>
      </c>
      <c r="BI230" s="19">
        <v>45266</v>
      </c>
      <c r="BJ230" s="14" t="s">
        <v>1260</v>
      </c>
      <c r="BK230" s="14">
        <v>2500</v>
      </c>
      <c r="BL230" s="19">
        <v>45266</v>
      </c>
      <c r="BM230" s="14" t="s">
        <v>1260</v>
      </c>
      <c r="BN230" s="27">
        <v>45446</v>
      </c>
      <c r="BO230" s="27">
        <v>45446</v>
      </c>
      <c r="BP230" s="27">
        <v>45446</v>
      </c>
      <c r="BQ230" s="27">
        <v>45446</v>
      </c>
      <c r="BR230" s="27">
        <v>45631</v>
      </c>
      <c r="BS230" s="28">
        <v>-933</v>
      </c>
      <c r="BT230" s="29">
        <v>-183</v>
      </c>
      <c r="BU230" s="29">
        <v>-933</v>
      </c>
      <c r="BV230" s="29">
        <v>-933</v>
      </c>
      <c r="BW230" s="29">
        <v>-183</v>
      </c>
      <c r="BX230" s="30" t="s">
        <v>173</v>
      </c>
      <c r="BY230" s="8">
        <v>5</v>
      </c>
      <c r="BZ230" s="8">
        <v>0</v>
      </c>
      <c r="CA230" s="8">
        <v>0</v>
      </c>
      <c r="CB230" s="21">
        <v>45265.770833333299</v>
      </c>
      <c r="CC230" s="21">
        <v>45265.770833333299</v>
      </c>
      <c r="CD230" s="21">
        <v>45265.770833333299</v>
      </c>
      <c r="CE230" s="21">
        <v>45265.770833333299</v>
      </c>
      <c r="CF230" s="21">
        <v>45265.770833333299</v>
      </c>
      <c r="CG230" s="21">
        <v>45265.770833333299</v>
      </c>
      <c r="CH230" s="21">
        <v>45265.770833333299</v>
      </c>
      <c r="CI230" s="21">
        <v>45265.770833333299</v>
      </c>
      <c r="CJ230" s="21">
        <v>45265.770833333299</v>
      </c>
      <c r="CK230" s="22" t="s">
        <v>3118</v>
      </c>
      <c r="CL230" s="22" t="s">
        <v>3118</v>
      </c>
      <c r="CM230" s="22" t="s">
        <v>3118</v>
      </c>
      <c r="CN230" s="22" t="s">
        <v>3118</v>
      </c>
      <c r="CO230" s="22" t="s">
        <v>3118</v>
      </c>
      <c r="CP230" s="22" t="s">
        <v>3118</v>
      </c>
      <c r="CQ230" s="22" t="s">
        <v>2953</v>
      </c>
      <c r="CR230" s="22" t="s">
        <v>3118</v>
      </c>
      <c r="CS230" s="22" t="s">
        <v>3118</v>
      </c>
      <c r="CT230" s="22">
        <v>3</v>
      </c>
      <c r="CU230" s="21">
        <v>45445</v>
      </c>
      <c r="CV230" s="21">
        <v>45445</v>
      </c>
      <c r="CW230" s="21">
        <v>45445</v>
      </c>
      <c r="CX230" s="21">
        <v>45445</v>
      </c>
      <c r="CY230" s="21">
        <v>45445</v>
      </c>
      <c r="CZ230" s="21">
        <v>45535</v>
      </c>
      <c r="DA230" s="21">
        <v>45630</v>
      </c>
      <c r="DB230" s="21">
        <v>45445</v>
      </c>
      <c r="DC230" s="21">
        <v>45630</v>
      </c>
      <c r="DD230" s="8">
        <v>1</v>
      </c>
      <c r="DE230" s="8">
        <v>0</v>
      </c>
      <c r="DF230" s="8">
        <v>0</v>
      </c>
      <c r="DG230" s="8">
        <v>9</v>
      </c>
      <c r="DH230" s="8">
        <v>0</v>
      </c>
      <c r="DI230" s="8">
        <v>0</v>
      </c>
      <c r="DJ230" s="8" t="s">
        <v>3025</v>
      </c>
      <c r="DK230" s="21">
        <v>43896</v>
      </c>
      <c r="DL230" s="21">
        <v>43727.229166666664</v>
      </c>
      <c r="DM230" s="21">
        <v>45966</v>
      </c>
      <c r="DN230" s="18">
        <v>3890</v>
      </c>
      <c r="DO230" s="21">
        <v>0</v>
      </c>
      <c r="DP230" s="21">
        <v>0</v>
      </c>
      <c r="DQ230" s="21" t="s">
        <v>2955</v>
      </c>
      <c r="DR230" s="21">
        <v>45266</v>
      </c>
      <c r="DS230" s="21">
        <v>45266</v>
      </c>
      <c r="DT230" s="21">
        <v>45266</v>
      </c>
      <c r="DU230" s="21">
        <v>45266</v>
      </c>
      <c r="DV230" s="21">
        <v>45266</v>
      </c>
      <c r="DW230" s="21">
        <v>45266</v>
      </c>
      <c r="DX230" s="21">
        <v>45266</v>
      </c>
      <c r="DY230" s="21">
        <v>45266</v>
      </c>
      <c r="DZ230" s="21">
        <v>45266</v>
      </c>
      <c r="EA230" s="8">
        <v>110</v>
      </c>
      <c r="EB230" s="8">
        <v>110</v>
      </c>
      <c r="EC230" s="8">
        <v>110</v>
      </c>
      <c r="ED230" s="8">
        <v>110</v>
      </c>
      <c r="EE230" s="8">
        <v>110</v>
      </c>
      <c r="EF230" s="8">
        <v>110</v>
      </c>
      <c r="EG230" s="8">
        <v>1000</v>
      </c>
      <c r="EH230" s="8">
        <v>110</v>
      </c>
      <c r="EI230" s="8">
        <v>110</v>
      </c>
      <c r="EJ230" s="8">
        <v>3</v>
      </c>
      <c r="EK230" s="8" t="s">
        <v>2624</v>
      </c>
      <c r="EL230" s="8">
        <v>146</v>
      </c>
      <c r="EM230" s="8">
        <v>292</v>
      </c>
      <c r="EN230" s="8">
        <v>-178</v>
      </c>
      <c r="EO230" s="8">
        <v>-178</v>
      </c>
      <c r="EP230" s="8">
        <v>-178</v>
      </c>
      <c r="EQ230" s="8">
        <v>-178</v>
      </c>
      <c r="ER230" s="8">
        <v>-178</v>
      </c>
      <c r="ES230" s="8">
        <v>-178</v>
      </c>
      <c r="ET230" s="8">
        <v>712</v>
      </c>
      <c r="EU230" s="8">
        <v>-178</v>
      </c>
      <c r="EV230" s="8">
        <v>-178</v>
      </c>
    </row>
    <row r="231" spans="1:152" x14ac:dyDescent="0.15">
      <c r="A231" s="8">
        <f>ROW([2]!tbl_DPSAC[[#This Row],[Sl. No.]])-1</f>
        <v>230</v>
      </c>
      <c r="B231" s="9" t="s">
        <v>136</v>
      </c>
      <c r="C231" s="9" t="s">
        <v>1261</v>
      </c>
      <c r="D231" s="9" t="s">
        <v>138</v>
      </c>
      <c r="E231" s="9" t="s">
        <v>139</v>
      </c>
      <c r="F231" s="9" t="s">
        <v>161</v>
      </c>
      <c r="G231" s="10" t="s">
        <v>162</v>
      </c>
      <c r="H231" s="10" t="str">
        <f>_xlfn.XLOOKUP(C231,'[1]E&amp;DPSAC'!$K:$K,'[1]E&amp;DPSAC'!$E:$E,,0)</f>
        <v>JARANDIH, PHUSHRO</v>
      </c>
      <c r="I231" s="10" t="s">
        <v>163</v>
      </c>
      <c r="J231" s="10">
        <v>9006617909</v>
      </c>
      <c r="K231" s="10">
        <f>_xlfn.XLOOKUP(C231,'[1]E&amp;DPSAC'!$K:$K,'[1]E&amp;DPSAC'!$G:$G,"",0)</f>
        <v>7644045555</v>
      </c>
      <c r="L231" s="9" t="str">
        <f t="shared" ca="1" si="12"/>
        <v>Non - Warranty</v>
      </c>
      <c r="M231" s="11">
        <v>43909</v>
      </c>
      <c r="N231" s="12">
        <v>24</v>
      </c>
      <c r="O231" s="11">
        <f t="shared" si="13"/>
        <v>44651</v>
      </c>
      <c r="P231" s="8" t="s">
        <v>213</v>
      </c>
      <c r="Q231" s="16" t="s">
        <v>2650</v>
      </c>
      <c r="R231" s="15">
        <v>45954.73541666667</v>
      </c>
      <c r="S231" s="14">
        <v>11810</v>
      </c>
      <c r="T231" s="15">
        <v>45653</v>
      </c>
      <c r="U231" s="14">
        <v>11250</v>
      </c>
      <c r="V231" s="14">
        <v>11845</v>
      </c>
      <c r="W231" s="17">
        <v>45966.527777777781</v>
      </c>
      <c r="X231" s="14" t="s">
        <v>2699</v>
      </c>
      <c r="Y231" s="14">
        <v>715</v>
      </c>
      <c r="Z231" s="14" t="s">
        <v>2692</v>
      </c>
      <c r="AA231" s="18">
        <v>158.26458333332994</v>
      </c>
      <c r="AB231" s="18" t="s">
        <v>2692</v>
      </c>
      <c r="AC231" s="8">
        <f>tbl_DPSAC[[#This Row],[Current Month Due Count]]</f>
        <v>4</v>
      </c>
      <c r="AD231" s="8">
        <f>tbl_DPSAC[[#This Row],[Next Month Due2]]</f>
        <v>0</v>
      </c>
      <c r="AE231" s="8">
        <f t="shared" si="14"/>
        <v>0</v>
      </c>
      <c r="AF231" s="8">
        <v>3</v>
      </c>
      <c r="AG231" s="14">
        <f t="shared" ca="1" si="15"/>
        <v>12284</v>
      </c>
      <c r="AH231" s="8">
        <v>0</v>
      </c>
      <c r="AI231" s="8">
        <v>0</v>
      </c>
      <c r="AJ231" s="8">
        <v>0</v>
      </c>
      <c r="AK231" s="8">
        <v>0</v>
      </c>
      <c r="AL231" s="8">
        <v>0</v>
      </c>
      <c r="AM231" s="8">
        <v>0</v>
      </c>
      <c r="AN231" s="8">
        <v>0</v>
      </c>
      <c r="AO231" s="8">
        <v>0</v>
      </c>
      <c r="AP231" s="8">
        <v>0</v>
      </c>
      <c r="AQ231" s="8">
        <v>0</v>
      </c>
      <c r="AR231" s="8">
        <v>0</v>
      </c>
      <c r="AS231" s="8">
        <v>0</v>
      </c>
      <c r="AT231" s="8">
        <v>0</v>
      </c>
      <c r="AU231" s="8">
        <v>0</v>
      </c>
      <c r="AV231" s="8">
        <v>0</v>
      </c>
      <c r="AW231" s="8">
        <v>0</v>
      </c>
      <c r="AX231" s="8" t="s">
        <v>2007</v>
      </c>
      <c r="AY231" s="14">
        <v>11810</v>
      </c>
      <c r="AZ231" s="19">
        <v>45954</v>
      </c>
      <c r="BA231" s="14" t="s">
        <v>1262</v>
      </c>
      <c r="BB231" s="14">
        <v>11810</v>
      </c>
      <c r="BC231" s="19">
        <v>45954</v>
      </c>
      <c r="BD231" s="14" t="s">
        <v>1262</v>
      </c>
      <c r="BE231" s="14">
        <v>11810</v>
      </c>
      <c r="BF231" s="19">
        <v>45954</v>
      </c>
      <c r="BG231" s="14" t="s">
        <v>1262</v>
      </c>
      <c r="BH231" s="14">
        <v>11810</v>
      </c>
      <c r="BI231" s="19">
        <v>45954</v>
      </c>
      <c r="BJ231" s="14" t="s">
        <v>1262</v>
      </c>
      <c r="BK231" s="14">
        <v>11810</v>
      </c>
      <c r="BL231" s="19">
        <v>45954</v>
      </c>
      <c r="BM231" s="14" t="s">
        <v>1262</v>
      </c>
      <c r="BN231" s="27">
        <v>46134</v>
      </c>
      <c r="BO231" s="27">
        <v>46134</v>
      </c>
      <c r="BP231" s="27">
        <v>46134</v>
      </c>
      <c r="BQ231" s="27">
        <v>46134</v>
      </c>
      <c r="BR231" s="27">
        <v>46319</v>
      </c>
      <c r="BS231" s="28">
        <v>276</v>
      </c>
      <c r="BT231" s="29">
        <v>1026</v>
      </c>
      <c r="BU231" s="29">
        <v>276</v>
      </c>
      <c r="BV231" s="29">
        <v>276</v>
      </c>
      <c r="BW231" s="29">
        <v>1026</v>
      </c>
      <c r="BX231" s="30" t="e">
        <v>#N/A</v>
      </c>
      <c r="BY231" s="8">
        <v>0</v>
      </c>
      <c r="BZ231" s="8">
        <v>4</v>
      </c>
      <c r="CA231" s="8">
        <v>0</v>
      </c>
      <c r="CB231" s="21">
        <v>45954.770833333299</v>
      </c>
      <c r="CC231" s="21">
        <v>45954.770833333299</v>
      </c>
      <c r="CD231" s="21">
        <v>45954.770833333299</v>
      </c>
      <c r="CE231" s="21">
        <v>45954.770833333299</v>
      </c>
      <c r="CF231" s="21">
        <v>45954.770833333299</v>
      </c>
      <c r="CG231" s="21">
        <v>45954.770833333299</v>
      </c>
      <c r="CH231" s="21">
        <v>45954.770833333299</v>
      </c>
      <c r="CI231" s="21">
        <v>45954.770833333299</v>
      </c>
      <c r="CJ231" s="21">
        <v>45954.770833333299</v>
      </c>
      <c r="CK231" s="22" t="s">
        <v>3103</v>
      </c>
      <c r="CL231" s="22" t="s">
        <v>3103</v>
      </c>
      <c r="CM231" s="22" t="s">
        <v>3103</v>
      </c>
      <c r="CN231" s="22" t="s">
        <v>3103</v>
      </c>
      <c r="CO231" s="22" t="s">
        <v>3103</v>
      </c>
      <c r="CP231" s="22" t="s">
        <v>3119</v>
      </c>
      <c r="CQ231" s="22" t="s">
        <v>2953</v>
      </c>
      <c r="CR231" s="22" t="s">
        <v>3119</v>
      </c>
      <c r="CS231" s="22" t="s">
        <v>3119</v>
      </c>
      <c r="CT231" s="22">
        <v>3</v>
      </c>
      <c r="CU231" s="21">
        <v>46134</v>
      </c>
      <c r="CV231" s="21">
        <v>46134</v>
      </c>
      <c r="CW231" s="21">
        <v>46134</v>
      </c>
      <c r="CX231" s="21">
        <v>46134</v>
      </c>
      <c r="CY231" s="21">
        <v>46134</v>
      </c>
      <c r="CZ231" s="21">
        <v>46224</v>
      </c>
      <c r="DA231" s="21">
        <v>46299</v>
      </c>
      <c r="DB231" s="21">
        <v>46134</v>
      </c>
      <c r="DC231" s="21">
        <v>46319</v>
      </c>
      <c r="DD231" s="8">
        <v>0</v>
      </c>
      <c r="DE231" s="8">
        <v>0</v>
      </c>
      <c r="DF231" s="8">
        <v>0</v>
      </c>
      <c r="DG231" s="8">
        <v>0</v>
      </c>
      <c r="DH231" s="8">
        <v>6</v>
      </c>
      <c r="DI231" s="8">
        <v>0</v>
      </c>
      <c r="DJ231" s="8" t="s">
        <v>2976</v>
      </c>
      <c r="DK231" s="21">
        <v>43899</v>
      </c>
      <c r="DL231" s="21">
        <v>43796.229166666664</v>
      </c>
      <c r="DM231" s="21">
        <v>45966</v>
      </c>
      <c r="DN231" s="18">
        <v>11845</v>
      </c>
      <c r="DO231" s="21">
        <v>0</v>
      </c>
      <c r="DP231" s="21">
        <v>0</v>
      </c>
      <c r="DQ231" s="21" t="s">
        <v>2955</v>
      </c>
      <c r="DR231" s="21">
        <v>45955</v>
      </c>
      <c r="DS231" s="21">
        <v>45955</v>
      </c>
      <c r="DT231" s="21">
        <v>45955</v>
      </c>
      <c r="DU231" s="21">
        <v>45955</v>
      </c>
      <c r="DV231" s="21">
        <v>45955</v>
      </c>
      <c r="DW231" s="21">
        <v>45955</v>
      </c>
      <c r="DX231" s="21">
        <v>45955</v>
      </c>
      <c r="DY231" s="21">
        <v>45955</v>
      </c>
      <c r="DZ231" s="21">
        <v>45955</v>
      </c>
      <c r="EA231" s="8">
        <v>715</v>
      </c>
      <c r="EB231" s="8">
        <v>715</v>
      </c>
      <c r="EC231" s="8">
        <v>715</v>
      </c>
      <c r="ED231" s="8">
        <v>715</v>
      </c>
      <c r="EE231" s="8">
        <v>715</v>
      </c>
      <c r="EF231" s="8">
        <v>1465</v>
      </c>
      <c r="EG231" s="8">
        <v>1000</v>
      </c>
      <c r="EH231" s="8">
        <v>1465</v>
      </c>
      <c r="EI231" s="8">
        <v>1465</v>
      </c>
      <c r="EJ231" s="8">
        <v>3</v>
      </c>
      <c r="EK231" s="8" t="s">
        <v>2624</v>
      </c>
      <c r="EL231" s="8">
        <v>146</v>
      </c>
      <c r="EM231" s="8">
        <v>438</v>
      </c>
      <c r="EN231" s="8">
        <v>427</v>
      </c>
      <c r="EO231" s="8">
        <v>427</v>
      </c>
      <c r="EP231" s="8">
        <v>427</v>
      </c>
      <c r="EQ231" s="8">
        <v>427</v>
      </c>
      <c r="ER231" s="8">
        <v>427</v>
      </c>
      <c r="ES231" s="8">
        <v>1177</v>
      </c>
      <c r="ET231" s="8">
        <v>712</v>
      </c>
      <c r="EU231" s="8">
        <v>1177</v>
      </c>
      <c r="EV231" s="8">
        <v>1177</v>
      </c>
    </row>
    <row r="232" spans="1:152" x14ac:dyDescent="0.15">
      <c r="A232" s="8">
        <f>ROW([2]!tbl_DPSAC[[#This Row],[Sl. No.]])-1</f>
        <v>231</v>
      </c>
      <c r="B232" s="9" t="s">
        <v>196</v>
      </c>
      <c r="C232" s="9" t="s">
        <v>1263</v>
      </c>
      <c r="D232" s="9" t="s">
        <v>198</v>
      </c>
      <c r="E232" s="9" t="s">
        <v>199</v>
      </c>
      <c r="F232" s="9" t="s">
        <v>161</v>
      </c>
      <c r="G232" s="10" t="s">
        <v>492</v>
      </c>
      <c r="H232" s="10" t="e">
        <f>_xlfn.XLOOKUP(C232,'[1]E&amp;DPSAC'!$K:$K,'[1]E&amp;DPSAC'!$E:$E,,0)</f>
        <v>#N/A</v>
      </c>
      <c r="I232" s="10" t="s">
        <v>493</v>
      </c>
      <c r="J232" s="10" t="s">
        <v>143</v>
      </c>
      <c r="K232" s="10" t="str">
        <f>_xlfn.XLOOKUP(C232,'[1]E&amp;DPSAC'!$K:$K,'[1]E&amp;DPSAC'!$G:$G,"",0)</f>
        <v/>
      </c>
      <c r="L232" s="9" t="str">
        <f t="shared" ca="1" si="12"/>
        <v>Non - Warranty</v>
      </c>
      <c r="M232" s="11">
        <v>43895</v>
      </c>
      <c r="N232" s="12">
        <v>24</v>
      </c>
      <c r="O232" s="11">
        <f t="shared" si="13"/>
        <v>44651</v>
      </c>
      <c r="P232" s="8" t="s">
        <v>213</v>
      </c>
      <c r="Q232" s="16" t="s">
        <v>143</v>
      </c>
      <c r="R232" s="15" t="s">
        <v>143</v>
      </c>
      <c r="S232" s="14" t="s">
        <v>143</v>
      </c>
      <c r="T232" s="15" t="s">
        <v>143</v>
      </c>
      <c r="U232" s="14" t="s">
        <v>143</v>
      </c>
      <c r="V232" s="14">
        <v>703</v>
      </c>
      <c r="W232" s="17">
        <v>45293.747094907398</v>
      </c>
      <c r="X232" s="14" t="s">
        <v>143</v>
      </c>
      <c r="Y232" s="14">
        <v>0</v>
      </c>
      <c r="Z232" s="14" t="s">
        <v>2692</v>
      </c>
      <c r="AA232" s="18">
        <v>2218</v>
      </c>
      <c r="AB232" s="18" t="s">
        <v>2697</v>
      </c>
      <c r="AC232" s="8">
        <f>tbl_DPSAC[[#This Row],[Current Month Due Count]]</f>
        <v>0</v>
      </c>
      <c r="AD232" s="8">
        <f>tbl_DPSAC[[#This Row],[Next Month Due2]]</f>
        <v>0</v>
      </c>
      <c r="AE232" s="8">
        <f t="shared" si="14"/>
        <v>1</v>
      </c>
      <c r="AF232" s="8">
        <v>1</v>
      </c>
      <c r="AG232" s="14">
        <f t="shared" ca="1" si="15"/>
        <v>1522</v>
      </c>
      <c r="AH232" s="8">
        <v>0</v>
      </c>
      <c r="AI232" s="8">
        <v>0</v>
      </c>
      <c r="AJ232" s="8">
        <v>0</v>
      </c>
      <c r="AK232" s="8">
        <v>0</v>
      </c>
      <c r="AL232" s="8">
        <v>0</v>
      </c>
      <c r="AM232" s="8">
        <v>0</v>
      </c>
      <c r="AN232" s="8">
        <v>0</v>
      </c>
      <c r="AO232" s="8">
        <v>0</v>
      </c>
      <c r="AP232" s="8">
        <v>0</v>
      </c>
      <c r="AQ232" s="8">
        <v>0</v>
      </c>
      <c r="AR232" s="8">
        <v>0</v>
      </c>
      <c r="AS232" s="8">
        <v>0</v>
      </c>
      <c r="AT232" s="8">
        <v>0</v>
      </c>
      <c r="AU232" s="8">
        <v>0</v>
      </c>
      <c r="AV232" s="8">
        <v>0</v>
      </c>
      <c r="AW232" s="8">
        <v>0</v>
      </c>
      <c r="AX232" s="8" t="s">
        <v>2980</v>
      </c>
      <c r="AY232" s="14">
        <v>500</v>
      </c>
      <c r="AZ232" s="19">
        <v>44781</v>
      </c>
      <c r="BA232" s="14"/>
      <c r="BB232" s="14">
        <v>500</v>
      </c>
      <c r="BC232" s="19">
        <v>44781</v>
      </c>
      <c r="BD232" s="14"/>
      <c r="BE232" s="14">
        <v>500</v>
      </c>
      <c r="BF232" s="19">
        <v>44781</v>
      </c>
      <c r="BG232" s="14"/>
      <c r="BH232" s="14">
        <v>500</v>
      </c>
      <c r="BI232" s="19">
        <v>44781</v>
      </c>
      <c r="BJ232" s="14"/>
      <c r="BK232" s="14">
        <v>500</v>
      </c>
      <c r="BL232" s="19">
        <v>44781</v>
      </c>
      <c r="BM232" s="14"/>
      <c r="BN232" s="27">
        <v>44961</v>
      </c>
      <c r="BO232" s="27">
        <v>44961</v>
      </c>
      <c r="BP232" s="27">
        <v>44961</v>
      </c>
      <c r="BQ232" s="27">
        <v>44961</v>
      </c>
      <c r="BR232" s="27">
        <v>45146</v>
      </c>
      <c r="BS232" s="28">
        <v>-272</v>
      </c>
      <c r="BT232" s="29">
        <v>478</v>
      </c>
      <c r="BU232" s="29">
        <v>-272</v>
      </c>
      <c r="BV232" s="29">
        <v>-272</v>
      </c>
      <c r="BW232" s="29">
        <v>478</v>
      </c>
      <c r="BX232" s="30" t="e">
        <v>#N/A</v>
      </c>
      <c r="BY232" s="8">
        <v>5</v>
      </c>
      <c r="BZ232" s="8">
        <v>0</v>
      </c>
      <c r="CA232" s="8">
        <v>0</v>
      </c>
      <c r="CB232" s="21">
        <v>0</v>
      </c>
      <c r="CC232" s="21">
        <v>0</v>
      </c>
      <c r="CD232" s="21">
        <v>0</v>
      </c>
      <c r="CE232" s="21">
        <v>0</v>
      </c>
      <c r="CF232" s="21">
        <v>0</v>
      </c>
      <c r="CG232" s="21">
        <v>0</v>
      </c>
      <c r="CH232" s="21">
        <v>0</v>
      </c>
      <c r="CI232" s="21">
        <v>0</v>
      </c>
      <c r="CJ232" s="21">
        <v>0</v>
      </c>
      <c r="CK232" s="22" t="s">
        <v>3120</v>
      </c>
      <c r="CL232" s="22" t="s">
        <v>3120</v>
      </c>
      <c r="CM232" s="22" t="s">
        <v>3120</v>
      </c>
      <c r="CN232" s="22" t="s">
        <v>3120</v>
      </c>
      <c r="CO232" s="22" t="s">
        <v>3120</v>
      </c>
      <c r="CP232" s="22" t="s">
        <v>3121</v>
      </c>
      <c r="CQ232" s="22" t="s">
        <v>3120</v>
      </c>
      <c r="CR232" s="22" t="s">
        <v>3121</v>
      </c>
      <c r="CS232" s="22" t="s">
        <v>3121</v>
      </c>
      <c r="CT232" s="22">
        <v>1</v>
      </c>
      <c r="CU232" s="21">
        <v>45455</v>
      </c>
      <c r="CV232" s="21">
        <v>45432</v>
      </c>
      <c r="CW232" s="21">
        <v>45432</v>
      </c>
      <c r="CX232" s="21">
        <v>45455</v>
      </c>
      <c r="CY232" s="21">
        <v>45455</v>
      </c>
      <c r="CZ232" s="21">
        <v>45545</v>
      </c>
      <c r="DA232" s="21">
        <v>45345</v>
      </c>
      <c r="DB232" s="21">
        <v>45455</v>
      </c>
      <c r="DC232" s="21">
        <v>45504</v>
      </c>
      <c r="DD232" s="8">
        <v>1</v>
      </c>
      <c r="DE232" s="8">
        <v>0</v>
      </c>
      <c r="DF232" s="8">
        <v>0</v>
      </c>
      <c r="DG232" s="8">
        <v>9</v>
      </c>
      <c r="DH232" s="8">
        <v>0</v>
      </c>
      <c r="DI232" s="8">
        <v>0</v>
      </c>
      <c r="DJ232" s="8" t="s">
        <v>2976</v>
      </c>
      <c r="DK232" s="21">
        <v>43895</v>
      </c>
      <c r="DL232" s="21">
        <v>43732.229166666664</v>
      </c>
      <c r="DM232" s="21">
        <v>45293</v>
      </c>
      <c r="DN232" s="18">
        <v>703</v>
      </c>
      <c r="DO232" s="21">
        <v>0</v>
      </c>
      <c r="DP232" s="21">
        <v>0</v>
      </c>
      <c r="DQ232" s="21">
        <v>0</v>
      </c>
      <c r="DR232" s="21">
        <v>0</v>
      </c>
      <c r="DS232" s="21">
        <v>0</v>
      </c>
      <c r="DT232" s="21">
        <v>0</v>
      </c>
      <c r="DU232" s="21">
        <v>0</v>
      </c>
      <c r="DV232" s="21">
        <v>0</v>
      </c>
      <c r="DW232" s="21">
        <v>0</v>
      </c>
      <c r="DX232" s="21">
        <v>0</v>
      </c>
      <c r="DY232" s="21">
        <v>0</v>
      </c>
      <c r="DZ232" s="21">
        <v>0</v>
      </c>
      <c r="EA232" s="8">
        <v>547</v>
      </c>
      <c r="EB232" s="8">
        <v>547</v>
      </c>
      <c r="EC232" s="8">
        <v>547</v>
      </c>
      <c r="ED232" s="8">
        <v>547</v>
      </c>
      <c r="EE232" s="8">
        <v>547</v>
      </c>
      <c r="EF232" s="8">
        <v>1297</v>
      </c>
      <c r="EG232" s="8">
        <v>547</v>
      </c>
      <c r="EH232" s="8">
        <v>1297</v>
      </c>
      <c r="EI232" s="8">
        <v>1297</v>
      </c>
      <c r="EJ232" s="8">
        <v>1</v>
      </c>
      <c r="EK232" s="8" t="s">
        <v>2624</v>
      </c>
      <c r="EL232" s="8">
        <v>819</v>
      </c>
      <c r="EM232" s="8">
        <v>819</v>
      </c>
      <c r="EN232" s="8">
        <v>259</v>
      </c>
      <c r="EO232" s="8">
        <v>259</v>
      </c>
      <c r="EP232" s="8">
        <v>259</v>
      </c>
      <c r="EQ232" s="8">
        <v>259</v>
      </c>
      <c r="ER232" s="8">
        <v>259</v>
      </c>
      <c r="ES232" s="8">
        <v>1009</v>
      </c>
      <c r="ET232" s="8">
        <v>259</v>
      </c>
      <c r="EU232" s="8">
        <v>1009</v>
      </c>
      <c r="EV232" s="8">
        <v>1009</v>
      </c>
    </row>
    <row r="233" spans="1:152" x14ac:dyDescent="0.15">
      <c r="A233" s="8">
        <f>ROW([2]!tbl_DPSAC[[#This Row],[Sl. No.]])-1</f>
        <v>232</v>
      </c>
      <c r="B233" s="9" t="s">
        <v>196</v>
      </c>
      <c r="C233" s="9" t="s">
        <v>1264</v>
      </c>
      <c r="D233" s="9" t="s">
        <v>198</v>
      </c>
      <c r="E233" s="9" t="s">
        <v>199</v>
      </c>
      <c r="F233" s="9" t="s">
        <v>161</v>
      </c>
      <c r="G233" s="10" t="s">
        <v>492</v>
      </c>
      <c r="H233" s="10" t="e">
        <f>_xlfn.XLOOKUP(C233,'[1]E&amp;DPSAC'!$K:$K,'[1]E&amp;DPSAC'!$E:$E,,0)</f>
        <v>#N/A</v>
      </c>
      <c r="I233" s="10" t="s">
        <v>493</v>
      </c>
      <c r="J233" s="10" t="s">
        <v>143</v>
      </c>
      <c r="K233" s="10" t="str">
        <f>_xlfn.XLOOKUP(C233,'[1]E&amp;DPSAC'!$K:$K,'[1]E&amp;DPSAC'!$G:$G,"",0)</f>
        <v/>
      </c>
      <c r="L233" s="9" t="str">
        <f t="shared" ca="1" si="12"/>
        <v>Non - Warranty</v>
      </c>
      <c r="M233" s="11">
        <v>43899</v>
      </c>
      <c r="N233" s="12">
        <v>24</v>
      </c>
      <c r="O233" s="11">
        <f t="shared" si="13"/>
        <v>44651</v>
      </c>
      <c r="P233" s="8" t="s">
        <v>213</v>
      </c>
      <c r="Q233" s="16" t="s">
        <v>143</v>
      </c>
      <c r="R233" s="15" t="s">
        <v>143</v>
      </c>
      <c r="S233" s="14" t="s">
        <v>143</v>
      </c>
      <c r="T233" s="15" t="s">
        <v>143</v>
      </c>
      <c r="U233" s="14" t="s">
        <v>143</v>
      </c>
      <c r="V233" s="14">
        <v>689</v>
      </c>
      <c r="W233" s="17">
        <v>45293.749224537001</v>
      </c>
      <c r="X233" s="14" t="s">
        <v>143</v>
      </c>
      <c r="Y233" s="14">
        <v>0</v>
      </c>
      <c r="Z233" s="14" t="s">
        <v>2692</v>
      </c>
      <c r="AA233" s="18">
        <v>2214</v>
      </c>
      <c r="AB233" s="18" t="s">
        <v>2697</v>
      </c>
      <c r="AC233" s="8">
        <f>tbl_DPSAC[[#This Row],[Current Month Due Count]]</f>
        <v>0</v>
      </c>
      <c r="AD233" s="8">
        <f>tbl_DPSAC[[#This Row],[Next Month Due2]]</f>
        <v>0</v>
      </c>
      <c r="AE233" s="8">
        <f t="shared" si="14"/>
        <v>1</v>
      </c>
      <c r="AF233" s="8">
        <v>1</v>
      </c>
      <c r="AG233" s="14">
        <f t="shared" ca="1" si="15"/>
        <v>1508</v>
      </c>
      <c r="AH233" s="8">
        <v>0</v>
      </c>
      <c r="AI233" s="8">
        <v>0</v>
      </c>
      <c r="AJ233" s="8">
        <v>0</v>
      </c>
      <c r="AK233" s="8">
        <v>0</v>
      </c>
      <c r="AL233" s="8">
        <v>0</v>
      </c>
      <c r="AM233" s="8">
        <v>0</v>
      </c>
      <c r="AN233" s="8">
        <v>0</v>
      </c>
      <c r="AO233" s="8">
        <v>0</v>
      </c>
      <c r="AP233" s="8">
        <v>0</v>
      </c>
      <c r="AQ233" s="8">
        <v>0</v>
      </c>
      <c r="AR233" s="8">
        <v>0</v>
      </c>
      <c r="AS233" s="8">
        <v>0</v>
      </c>
      <c r="AT233" s="8">
        <v>0</v>
      </c>
      <c r="AU233" s="8">
        <v>0</v>
      </c>
      <c r="AV233" s="8">
        <v>0</v>
      </c>
      <c r="AW233" s="8">
        <v>0</v>
      </c>
      <c r="AX233" s="8" t="s">
        <v>2980</v>
      </c>
      <c r="AY233" s="14">
        <v>500</v>
      </c>
      <c r="AZ233" s="19">
        <v>44781</v>
      </c>
      <c r="BA233" s="14"/>
      <c r="BB233" s="14">
        <v>500</v>
      </c>
      <c r="BC233" s="19">
        <v>44781</v>
      </c>
      <c r="BD233" s="14"/>
      <c r="BE233" s="14">
        <v>500</v>
      </c>
      <c r="BF233" s="19">
        <v>44781</v>
      </c>
      <c r="BG233" s="14"/>
      <c r="BH233" s="14">
        <v>500</v>
      </c>
      <c r="BI233" s="19">
        <v>44781</v>
      </c>
      <c r="BJ233" s="14"/>
      <c r="BK233" s="14">
        <v>500</v>
      </c>
      <c r="BL233" s="19">
        <v>44781</v>
      </c>
      <c r="BM233" s="14"/>
      <c r="BN233" s="27">
        <v>44961</v>
      </c>
      <c r="BO233" s="27">
        <v>44961</v>
      </c>
      <c r="BP233" s="27">
        <v>44961</v>
      </c>
      <c r="BQ233" s="27">
        <v>44961</v>
      </c>
      <c r="BR233" s="27">
        <v>45146</v>
      </c>
      <c r="BS233" s="28">
        <v>-258</v>
      </c>
      <c r="BT233" s="29">
        <v>492</v>
      </c>
      <c r="BU233" s="29">
        <v>-258</v>
      </c>
      <c r="BV233" s="29">
        <v>-258</v>
      </c>
      <c r="BW233" s="29">
        <v>492</v>
      </c>
      <c r="BX233" s="30" t="e">
        <v>#N/A</v>
      </c>
      <c r="BY233" s="8">
        <v>5</v>
      </c>
      <c r="BZ233" s="8">
        <v>0</v>
      </c>
      <c r="CA233" s="8">
        <v>0</v>
      </c>
      <c r="CB233" s="21">
        <v>0</v>
      </c>
      <c r="CC233" s="21">
        <v>0</v>
      </c>
      <c r="CD233" s="21">
        <v>0</v>
      </c>
      <c r="CE233" s="21">
        <v>0</v>
      </c>
      <c r="CF233" s="21">
        <v>0</v>
      </c>
      <c r="CG233" s="21">
        <v>0</v>
      </c>
      <c r="CH233" s="21">
        <v>0</v>
      </c>
      <c r="CI233" s="21">
        <v>0</v>
      </c>
      <c r="CJ233" s="21">
        <v>0</v>
      </c>
      <c r="CK233" s="22" t="s">
        <v>3122</v>
      </c>
      <c r="CL233" s="22" t="s">
        <v>3122</v>
      </c>
      <c r="CM233" s="22" t="s">
        <v>3122</v>
      </c>
      <c r="CN233" s="22" t="s">
        <v>3122</v>
      </c>
      <c r="CO233" s="22" t="s">
        <v>3122</v>
      </c>
      <c r="CP233" s="22" t="s">
        <v>3123</v>
      </c>
      <c r="CQ233" s="22" t="s">
        <v>3122</v>
      </c>
      <c r="CR233" s="22" t="s">
        <v>3123</v>
      </c>
      <c r="CS233" s="22" t="s">
        <v>3123</v>
      </c>
      <c r="CT233" s="22">
        <v>1</v>
      </c>
      <c r="CU233" s="21">
        <v>45456</v>
      </c>
      <c r="CV233" s="21">
        <v>45434</v>
      </c>
      <c r="CW233" s="21">
        <v>45434</v>
      </c>
      <c r="CX233" s="21">
        <v>45456</v>
      </c>
      <c r="CY233" s="21">
        <v>45456</v>
      </c>
      <c r="CZ233" s="21">
        <v>45546</v>
      </c>
      <c r="DA233" s="21">
        <v>45346</v>
      </c>
      <c r="DB233" s="21">
        <v>45456</v>
      </c>
      <c r="DC233" s="21">
        <v>45505</v>
      </c>
      <c r="DD233" s="8">
        <v>1</v>
      </c>
      <c r="DE233" s="8">
        <v>0</v>
      </c>
      <c r="DF233" s="8">
        <v>0</v>
      </c>
      <c r="DG233" s="8">
        <v>9</v>
      </c>
      <c r="DH233" s="8">
        <v>0</v>
      </c>
      <c r="DI233" s="8">
        <v>0</v>
      </c>
      <c r="DJ233" s="8" t="s">
        <v>2976</v>
      </c>
      <c r="DK233" s="21">
        <v>43899</v>
      </c>
      <c r="DL233" s="21">
        <v>43732.229166666664</v>
      </c>
      <c r="DM233" s="21">
        <v>45293</v>
      </c>
      <c r="DN233" s="18">
        <v>689</v>
      </c>
      <c r="DO233" s="21">
        <v>0</v>
      </c>
      <c r="DP233" s="21">
        <v>0</v>
      </c>
      <c r="DQ233" s="21">
        <v>0</v>
      </c>
      <c r="DR233" s="21">
        <v>0</v>
      </c>
      <c r="DS233" s="21">
        <v>0</v>
      </c>
      <c r="DT233" s="21">
        <v>0</v>
      </c>
      <c r="DU233" s="21">
        <v>0</v>
      </c>
      <c r="DV233" s="21">
        <v>0</v>
      </c>
      <c r="DW233" s="21">
        <v>0</v>
      </c>
      <c r="DX233" s="21">
        <v>0</v>
      </c>
      <c r="DY233" s="21">
        <v>0</v>
      </c>
      <c r="DZ233" s="21">
        <v>0</v>
      </c>
      <c r="EA233" s="8">
        <v>561</v>
      </c>
      <c r="EB233" s="8">
        <v>561</v>
      </c>
      <c r="EC233" s="8">
        <v>561</v>
      </c>
      <c r="ED233" s="8">
        <v>561</v>
      </c>
      <c r="EE233" s="8">
        <v>561</v>
      </c>
      <c r="EF233" s="8">
        <v>1311</v>
      </c>
      <c r="EG233" s="8">
        <v>561</v>
      </c>
      <c r="EH233" s="8">
        <v>1311</v>
      </c>
      <c r="EI233" s="8">
        <v>1311</v>
      </c>
      <c r="EJ233" s="8">
        <v>1</v>
      </c>
      <c r="EK233" s="8" t="s">
        <v>2624</v>
      </c>
      <c r="EL233" s="8">
        <v>819</v>
      </c>
      <c r="EM233" s="8">
        <v>819</v>
      </c>
      <c r="EN233" s="8">
        <v>273</v>
      </c>
      <c r="EO233" s="8">
        <v>273</v>
      </c>
      <c r="EP233" s="8">
        <v>273</v>
      </c>
      <c r="EQ233" s="8">
        <v>273</v>
      </c>
      <c r="ER233" s="8">
        <v>273</v>
      </c>
      <c r="ES233" s="8">
        <v>1023</v>
      </c>
      <c r="ET233" s="8">
        <v>273</v>
      </c>
      <c r="EU233" s="8">
        <v>1023</v>
      </c>
      <c r="EV233" s="8">
        <v>1023</v>
      </c>
    </row>
    <row r="234" spans="1:152" x14ac:dyDescent="0.15">
      <c r="A234" s="8">
        <f>ROW([2]!tbl_DPSAC[[#This Row],[Sl. No.]])-1</f>
        <v>233</v>
      </c>
      <c r="B234" s="9" t="s">
        <v>196</v>
      </c>
      <c r="C234" s="9" t="s">
        <v>1265</v>
      </c>
      <c r="D234" s="9" t="s">
        <v>198</v>
      </c>
      <c r="E234" s="9" t="s">
        <v>199</v>
      </c>
      <c r="F234" s="9" t="s">
        <v>161</v>
      </c>
      <c r="G234" s="10" t="s">
        <v>492</v>
      </c>
      <c r="H234" s="10" t="str">
        <f>_xlfn.XLOOKUP(C234,'[1]E&amp;DPSAC'!$K:$K,'[1]E&amp;DPSAC'!$E:$E,,0)</f>
        <v>PATNA</v>
      </c>
      <c r="I234" s="10" t="s">
        <v>493</v>
      </c>
      <c r="J234" s="10" t="s">
        <v>143</v>
      </c>
      <c r="K234" s="10">
        <f>_xlfn.XLOOKUP(C234,'[1]E&amp;DPSAC'!$K:$K,'[1]E&amp;DPSAC'!$G:$G,"",0)</f>
        <v>9617831594</v>
      </c>
      <c r="L234" s="9" t="str">
        <f t="shared" ca="1" si="12"/>
        <v>Non - Warranty</v>
      </c>
      <c r="M234" s="11">
        <v>43895</v>
      </c>
      <c r="N234" s="12">
        <v>24</v>
      </c>
      <c r="O234" s="11">
        <f t="shared" si="13"/>
        <v>44651</v>
      </c>
      <c r="P234" s="8" t="s">
        <v>213</v>
      </c>
      <c r="Q234" s="16" t="s">
        <v>1266</v>
      </c>
      <c r="R234" s="15">
        <v>44964.591273148202</v>
      </c>
      <c r="S234" s="14">
        <v>496</v>
      </c>
      <c r="T234" s="15">
        <v>44964</v>
      </c>
      <c r="U234" s="14">
        <v>496</v>
      </c>
      <c r="V234" s="14">
        <v>764</v>
      </c>
      <c r="W234" s="17">
        <v>45293.751354166699</v>
      </c>
      <c r="X234" s="14" t="s">
        <v>2792</v>
      </c>
      <c r="Y234" s="14">
        <v>482</v>
      </c>
      <c r="Z234" s="14" t="s">
        <v>2692</v>
      </c>
      <c r="AA234" s="18">
        <v>1148.4087268517978</v>
      </c>
      <c r="AB234" s="18" t="s">
        <v>2697</v>
      </c>
      <c r="AC234" s="8">
        <f>tbl_DPSAC[[#This Row],[Current Month Due Count]]</f>
        <v>0</v>
      </c>
      <c r="AD234" s="8">
        <f>tbl_DPSAC[[#This Row],[Next Month Due2]]</f>
        <v>0</v>
      </c>
      <c r="AE234" s="8">
        <f t="shared" si="14"/>
        <v>1</v>
      </c>
      <c r="AF234" s="8">
        <v>1</v>
      </c>
      <c r="AG234" s="14">
        <f t="shared" ca="1" si="15"/>
        <v>1583</v>
      </c>
      <c r="AH234" s="8">
        <v>0</v>
      </c>
      <c r="AI234" s="8">
        <v>0</v>
      </c>
      <c r="AJ234" s="8">
        <v>0</v>
      </c>
      <c r="AK234" s="8">
        <v>0</v>
      </c>
      <c r="AL234" s="8">
        <v>0</v>
      </c>
      <c r="AM234" s="8">
        <v>0</v>
      </c>
      <c r="AN234" s="8">
        <v>0</v>
      </c>
      <c r="AO234" s="8">
        <v>0</v>
      </c>
      <c r="AP234" s="8">
        <v>0</v>
      </c>
      <c r="AQ234" s="8">
        <v>0</v>
      </c>
      <c r="AR234" s="8">
        <v>0</v>
      </c>
      <c r="AS234" s="8">
        <v>0</v>
      </c>
      <c r="AT234" s="8">
        <v>0</v>
      </c>
      <c r="AU234" s="8">
        <v>0</v>
      </c>
      <c r="AV234" s="8">
        <v>0</v>
      </c>
      <c r="AW234" s="8">
        <v>0</v>
      </c>
      <c r="AX234" s="8" t="s">
        <v>2980</v>
      </c>
      <c r="AY234" s="14">
        <v>496</v>
      </c>
      <c r="AZ234" s="19">
        <v>44931</v>
      </c>
      <c r="BA234" s="14" t="s">
        <v>1266</v>
      </c>
      <c r="BB234" s="14">
        <v>496</v>
      </c>
      <c r="BC234" s="19">
        <v>44931</v>
      </c>
      <c r="BD234" s="14" t="s">
        <v>1266</v>
      </c>
      <c r="BE234" s="14">
        <v>496</v>
      </c>
      <c r="BF234" s="19">
        <v>44931</v>
      </c>
      <c r="BG234" s="14" t="s">
        <v>1266</v>
      </c>
      <c r="BH234" s="14">
        <v>496</v>
      </c>
      <c r="BI234" s="19">
        <v>44931</v>
      </c>
      <c r="BJ234" s="14" t="s">
        <v>1266</v>
      </c>
      <c r="BK234" s="14">
        <v>496</v>
      </c>
      <c r="BL234" s="19">
        <v>44931</v>
      </c>
      <c r="BM234" s="14" t="s">
        <v>1266</v>
      </c>
      <c r="BN234" s="27">
        <v>45111</v>
      </c>
      <c r="BO234" s="27">
        <v>45111</v>
      </c>
      <c r="BP234" s="27">
        <v>45111</v>
      </c>
      <c r="BQ234" s="27">
        <v>45111</v>
      </c>
      <c r="BR234" s="27">
        <v>45296</v>
      </c>
      <c r="BS234" s="28">
        <v>-337</v>
      </c>
      <c r="BT234" s="29">
        <v>413</v>
      </c>
      <c r="BU234" s="29">
        <v>-337</v>
      </c>
      <c r="BV234" s="29">
        <v>-337</v>
      </c>
      <c r="BW234" s="29">
        <v>413</v>
      </c>
      <c r="BX234" s="30" t="s">
        <v>416</v>
      </c>
      <c r="BY234" s="8">
        <v>5</v>
      </c>
      <c r="BZ234" s="8">
        <v>0</v>
      </c>
      <c r="CA234" s="8">
        <v>0</v>
      </c>
      <c r="CB234" s="21">
        <v>44963.770833333299</v>
      </c>
      <c r="CC234" s="21">
        <v>44963.770833333299</v>
      </c>
      <c r="CD234" s="21">
        <v>44963.770833333299</v>
      </c>
      <c r="CE234" s="21">
        <v>44963.770833333299</v>
      </c>
      <c r="CF234" s="21">
        <v>44963.770833333299</v>
      </c>
      <c r="CG234" s="21">
        <v>44963.770833333299</v>
      </c>
      <c r="CH234" s="21">
        <v>0</v>
      </c>
      <c r="CI234" s="21">
        <v>0</v>
      </c>
      <c r="CJ234" s="21">
        <v>0</v>
      </c>
      <c r="CK234" s="22" t="s">
        <v>3124</v>
      </c>
      <c r="CL234" s="22" t="s">
        <v>3124</v>
      </c>
      <c r="CM234" s="22" t="s">
        <v>3124</v>
      </c>
      <c r="CN234" s="22" t="s">
        <v>3124</v>
      </c>
      <c r="CO234" s="22" t="s">
        <v>3125</v>
      </c>
      <c r="CP234" s="22" t="s">
        <v>3125</v>
      </c>
      <c r="CQ234" s="22" t="s">
        <v>3124</v>
      </c>
      <c r="CR234" s="22" t="s">
        <v>3125</v>
      </c>
      <c r="CS234" s="22" t="s">
        <v>3125</v>
      </c>
      <c r="CT234" s="22">
        <v>1</v>
      </c>
      <c r="CU234" s="21">
        <v>45143</v>
      </c>
      <c r="CV234" s="21">
        <v>45143</v>
      </c>
      <c r="CW234" s="21">
        <v>45143</v>
      </c>
      <c r="CX234" s="21">
        <v>45143</v>
      </c>
      <c r="CY234" s="21">
        <v>45143</v>
      </c>
      <c r="CZ234" s="21">
        <v>45233</v>
      </c>
      <c r="DA234" s="21">
        <v>45339</v>
      </c>
      <c r="DB234" s="21">
        <v>45449</v>
      </c>
      <c r="DC234" s="21">
        <v>45498</v>
      </c>
      <c r="DD234" s="8">
        <v>1</v>
      </c>
      <c r="DE234" s="8">
        <v>0</v>
      </c>
      <c r="DF234" s="8">
        <v>0</v>
      </c>
      <c r="DG234" s="8">
        <v>9</v>
      </c>
      <c r="DH234" s="8">
        <v>0</v>
      </c>
      <c r="DI234" s="8">
        <v>0</v>
      </c>
      <c r="DJ234" s="8" t="s">
        <v>2976</v>
      </c>
      <c r="DK234" s="21">
        <v>43895</v>
      </c>
      <c r="DL234" s="21">
        <v>43732.229166666664</v>
      </c>
      <c r="DM234" s="21">
        <v>45293</v>
      </c>
      <c r="DN234" s="18">
        <v>764</v>
      </c>
      <c r="DO234" s="21">
        <v>0</v>
      </c>
      <c r="DP234" s="21">
        <v>0</v>
      </c>
      <c r="DQ234" s="21" t="s">
        <v>2955</v>
      </c>
      <c r="DR234" s="21">
        <v>44964</v>
      </c>
      <c r="DS234" s="21">
        <v>44964</v>
      </c>
      <c r="DT234" s="21">
        <v>44964</v>
      </c>
      <c r="DU234" s="21">
        <v>44964</v>
      </c>
      <c r="DV234" s="21">
        <v>44964</v>
      </c>
      <c r="DW234" s="21">
        <v>44964</v>
      </c>
      <c r="DX234" s="21">
        <v>0</v>
      </c>
      <c r="DY234" s="21">
        <v>0</v>
      </c>
      <c r="DZ234" s="21">
        <v>0</v>
      </c>
      <c r="EA234" s="8">
        <v>482</v>
      </c>
      <c r="EB234" s="8">
        <v>482</v>
      </c>
      <c r="EC234" s="8">
        <v>482</v>
      </c>
      <c r="ED234" s="8">
        <v>482</v>
      </c>
      <c r="EE234" s="8">
        <v>1232</v>
      </c>
      <c r="EF234" s="8">
        <v>1232</v>
      </c>
      <c r="EG234" s="8">
        <v>482</v>
      </c>
      <c r="EH234" s="8">
        <v>1232</v>
      </c>
      <c r="EI234" s="8">
        <v>1232</v>
      </c>
      <c r="EJ234" s="8">
        <v>1</v>
      </c>
      <c r="EK234" s="8" t="s">
        <v>2624</v>
      </c>
      <c r="EL234" s="8">
        <v>819</v>
      </c>
      <c r="EM234" s="8">
        <v>819</v>
      </c>
      <c r="EN234" s="8">
        <v>194</v>
      </c>
      <c r="EO234" s="8">
        <v>194</v>
      </c>
      <c r="EP234" s="8">
        <v>194</v>
      </c>
      <c r="EQ234" s="8">
        <v>194</v>
      </c>
      <c r="ER234" s="8">
        <v>944</v>
      </c>
      <c r="ES234" s="8">
        <v>944</v>
      </c>
      <c r="ET234" s="8">
        <v>194</v>
      </c>
      <c r="EU234" s="8">
        <v>944</v>
      </c>
      <c r="EV234" s="8">
        <v>944</v>
      </c>
    </row>
    <row r="235" spans="1:152" x14ac:dyDescent="0.15">
      <c r="A235" s="8">
        <f>ROW([2]!tbl_DPSAC[[#This Row],[Sl. No.]])-1</f>
        <v>234</v>
      </c>
      <c r="B235" s="9" t="s">
        <v>196</v>
      </c>
      <c r="C235" s="9" t="s">
        <v>1267</v>
      </c>
      <c r="D235" s="9" t="s">
        <v>198</v>
      </c>
      <c r="E235" s="9" t="s">
        <v>199</v>
      </c>
      <c r="F235" s="9" t="s">
        <v>161</v>
      </c>
      <c r="G235" s="10" t="s">
        <v>492</v>
      </c>
      <c r="H235" s="10" t="str">
        <f>_xlfn.XLOOKUP(C235,'[1]E&amp;DPSAC'!$K:$K,'[1]E&amp;DPSAC'!$E:$E,,0)</f>
        <v>PATNA</v>
      </c>
      <c r="I235" s="10" t="s">
        <v>493</v>
      </c>
      <c r="J235" s="10" t="s">
        <v>143</v>
      </c>
      <c r="K235" s="10">
        <f>_xlfn.XLOOKUP(C235,'[1]E&amp;DPSAC'!$K:$K,'[1]E&amp;DPSAC'!$G:$G,"",0)</f>
        <v>9617831594</v>
      </c>
      <c r="L235" s="9" t="str">
        <f t="shared" ca="1" si="12"/>
        <v>Non - Warranty</v>
      </c>
      <c r="M235" s="11">
        <v>43910.6743055556</v>
      </c>
      <c r="N235" s="12">
        <v>24</v>
      </c>
      <c r="O235" s="11">
        <f t="shared" si="13"/>
        <v>44651</v>
      </c>
      <c r="P235" s="8" t="s">
        <v>213</v>
      </c>
      <c r="Q235" s="16" t="s">
        <v>1268</v>
      </c>
      <c r="R235" s="15">
        <v>45339.442916666703</v>
      </c>
      <c r="S235" s="14">
        <v>900</v>
      </c>
      <c r="T235" s="15">
        <v>45339</v>
      </c>
      <c r="U235" s="14">
        <v>900</v>
      </c>
      <c r="V235" s="14">
        <v>900</v>
      </c>
      <c r="W235" s="17">
        <v>45339.442916666703</v>
      </c>
      <c r="X235" s="14" t="s">
        <v>2738</v>
      </c>
      <c r="Y235" s="14">
        <v>750</v>
      </c>
      <c r="Z235" s="14" t="s">
        <v>2692</v>
      </c>
      <c r="AA235" s="18">
        <v>773.55708333329676</v>
      </c>
      <c r="AB235" s="18" t="s">
        <v>2697</v>
      </c>
      <c r="AC235" s="8">
        <f>tbl_DPSAC[[#This Row],[Current Month Due Count]]</f>
        <v>0</v>
      </c>
      <c r="AD235" s="8">
        <f>tbl_DPSAC[[#This Row],[Next Month Due2]]</f>
        <v>0</v>
      </c>
      <c r="AE235" s="8">
        <f t="shared" si="14"/>
        <v>1</v>
      </c>
      <c r="AF235" s="8">
        <v>3</v>
      </c>
      <c r="AG235" s="14">
        <f t="shared" ca="1" si="15"/>
        <v>3221</v>
      </c>
      <c r="AH235" s="8">
        <v>0</v>
      </c>
      <c r="AI235" s="8">
        <v>0</v>
      </c>
      <c r="AJ235" s="8">
        <v>0</v>
      </c>
      <c r="AK235" s="8">
        <v>0</v>
      </c>
      <c r="AL235" s="8">
        <v>0</v>
      </c>
      <c r="AM235" s="8">
        <v>0</v>
      </c>
      <c r="AN235" s="8">
        <v>0</v>
      </c>
      <c r="AO235" s="8">
        <v>0</v>
      </c>
      <c r="AP235" s="8">
        <v>0</v>
      </c>
      <c r="AQ235" s="8">
        <v>0</v>
      </c>
      <c r="AR235" s="8">
        <v>0</v>
      </c>
      <c r="AS235" s="8">
        <v>0</v>
      </c>
      <c r="AT235" s="8">
        <v>0</v>
      </c>
      <c r="AU235" s="8">
        <v>0</v>
      </c>
      <c r="AV235" s="8">
        <v>0</v>
      </c>
      <c r="AW235" s="8">
        <v>0</v>
      </c>
      <c r="AX235" s="8" t="s">
        <v>2961</v>
      </c>
      <c r="AY235" s="14">
        <v>900</v>
      </c>
      <c r="AZ235" s="19">
        <v>45339</v>
      </c>
      <c r="BA235" s="14" t="s">
        <v>1268</v>
      </c>
      <c r="BB235" s="14">
        <v>450</v>
      </c>
      <c r="BC235" s="19">
        <v>44598</v>
      </c>
      <c r="BD235" s="14"/>
      <c r="BE235" s="14">
        <v>900</v>
      </c>
      <c r="BF235" s="19">
        <v>45339</v>
      </c>
      <c r="BG235" s="14" t="s">
        <v>1268</v>
      </c>
      <c r="BH235" s="14">
        <v>900</v>
      </c>
      <c r="BI235" s="19">
        <v>45339</v>
      </c>
      <c r="BJ235" s="14" t="s">
        <v>1268</v>
      </c>
      <c r="BK235" s="14">
        <v>450</v>
      </c>
      <c r="BL235" s="19">
        <v>44598</v>
      </c>
      <c r="BM235" s="14"/>
      <c r="BN235" s="27">
        <v>45519</v>
      </c>
      <c r="BO235" s="27">
        <v>44778</v>
      </c>
      <c r="BP235" s="27">
        <v>45519</v>
      </c>
      <c r="BQ235" s="27">
        <v>45519</v>
      </c>
      <c r="BR235" s="27">
        <v>44963</v>
      </c>
      <c r="BS235" s="28">
        <v>-1571</v>
      </c>
      <c r="BT235" s="29">
        <v>-1271</v>
      </c>
      <c r="BU235" s="29">
        <v>-1571</v>
      </c>
      <c r="BV235" s="29">
        <v>-1571</v>
      </c>
      <c r="BW235" s="29">
        <v>-1271</v>
      </c>
      <c r="BX235" s="30" t="s">
        <v>172</v>
      </c>
      <c r="BY235" s="8">
        <v>5</v>
      </c>
      <c r="BZ235" s="8">
        <v>0</v>
      </c>
      <c r="CA235" s="8">
        <v>0</v>
      </c>
      <c r="CB235" s="21">
        <v>45338.770833333299</v>
      </c>
      <c r="CC235" s="21">
        <v>45338.770833333299</v>
      </c>
      <c r="CD235" s="21">
        <v>45338.770833333299</v>
      </c>
      <c r="CE235" s="21">
        <v>45338.770833333299</v>
      </c>
      <c r="CF235" s="21">
        <v>45338.770833333299</v>
      </c>
      <c r="CG235" s="21">
        <v>0</v>
      </c>
      <c r="CH235" s="21">
        <v>0</v>
      </c>
      <c r="CI235" s="21">
        <v>0</v>
      </c>
      <c r="CJ235" s="21">
        <v>0</v>
      </c>
      <c r="CK235" s="22" t="s">
        <v>2957</v>
      </c>
      <c r="CL235" s="22" t="s">
        <v>2957</v>
      </c>
      <c r="CM235" s="22" t="s">
        <v>2959</v>
      </c>
      <c r="CN235" s="22" t="s">
        <v>2957</v>
      </c>
      <c r="CO235" s="22" t="s">
        <v>2957</v>
      </c>
      <c r="CP235" s="22" t="s">
        <v>3126</v>
      </c>
      <c r="CQ235" s="22" t="s">
        <v>2953</v>
      </c>
      <c r="CR235" s="22" t="s">
        <v>3126</v>
      </c>
      <c r="CS235" s="22" t="s">
        <v>3126</v>
      </c>
      <c r="CT235" s="22">
        <v>6</v>
      </c>
      <c r="CU235" s="21">
        <v>45464</v>
      </c>
      <c r="CV235" s="21">
        <v>45464</v>
      </c>
      <c r="CW235" s="21">
        <v>45422</v>
      </c>
      <c r="CX235" s="21">
        <v>45464</v>
      </c>
      <c r="CY235" s="21">
        <v>45464</v>
      </c>
      <c r="CZ235" s="21">
        <v>45514</v>
      </c>
      <c r="DA235" s="21">
        <v>45432</v>
      </c>
      <c r="DB235" s="21">
        <v>45479</v>
      </c>
      <c r="DC235" s="21">
        <v>45514</v>
      </c>
      <c r="DD235" s="8">
        <v>1</v>
      </c>
      <c r="DE235" s="8">
        <v>0</v>
      </c>
      <c r="DF235" s="8">
        <v>0</v>
      </c>
      <c r="DG235" s="8">
        <v>9</v>
      </c>
      <c r="DH235" s="8">
        <v>0</v>
      </c>
      <c r="DI235" s="8">
        <v>0</v>
      </c>
      <c r="DJ235" s="8" t="s">
        <v>2976</v>
      </c>
      <c r="DK235" s="21">
        <v>43910</v>
      </c>
      <c r="DL235" s="21">
        <v>43609.229166666664</v>
      </c>
      <c r="DM235" s="21">
        <v>45339</v>
      </c>
      <c r="DN235" s="18">
        <v>900</v>
      </c>
      <c r="DO235" s="21">
        <v>0</v>
      </c>
      <c r="DP235" s="21">
        <v>0</v>
      </c>
      <c r="DQ235" s="21" t="s">
        <v>2955</v>
      </c>
      <c r="DR235" s="21">
        <v>45339</v>
      </c>
      <c r="DS235" s="21">
        <v>45339</v>
      </c>
      <c r="DT235" s="21">
        <v>45339</v>
      </c>
      <c r="DU235" s="21">
        <v>45339</v>
      </c>
      <c r="DV235" s="21">
        <v>45339</v>
      </c>
      <c r="DW235" s="21">
        <v>0</v>
      </c>
      <c r="DX235" s="21">
        <v>0</v>
      </c>
      <c r="DY235" s="21">
        <v>0</v>
      </c>
      <c r="DZ235" s="21">
        <v>0</v>
      </c>
      <c r="EA235" s="8">
        <v>750</v>
      </c>
      <c r="EB235" s="8">
        <v>750</v>
      </c>
      <c r="EC235" s="8">
        <v>500</v>
      </c>
      <c r="ED235" s="8">
        <v>750</v>
      </c>
      <c r="EE235" s="8">
        <v>750</v>
      </c>
      <c r="EF235" s="8">
        <v>1050</v>
      </c>
      <c r="EG235" s="8">
        <v>1000</v>
      </c>
      <c r="EH235" s="8">
        <v>1050</v>
      </c>
      <c r="EI235" s="8">
        <v>1050</v>
      </c>
      <c r="EJ235" s="8">
        <v>6</v>
      </c>
      <c r="EK235" s="8" t="s">
        <v>2624</v>
      </c>
      <c r="EL235" s="8">
        <v>774</v>
      </c>
      <c r="EM235" s="8">
        <v>2322</v>
      </c>
      <c r="EN235" s="8">
        <v>462</v>
      </c>
      <c r="EO235" s="8">
        <v>462</v>
      </c>
      <c r="EP235" s="8">
        <v>212</v>
      </c>
      <c r="EQ235" s="8">
        <v>462</v>
      </c>
      <c r="ER235" s="8">
        <v>462</v>
      </c>
      <c r="ES235" s="8">
        <v>762</v>
      </c>
      <c r="ET235" s="8">
        <v>712</v>
      </c>
      <c r="EU235" s="8">
        <v>762</v>
      </c>
      <c r="EV235" s="8">
        <v>762</v>
      </c>
    </row>
    <row r="236" spans="1:152" x14ac:dyDescent="0.15">
      <c r="A236" s="8">
        <f>ROW([2]!tbl_DPSAC[[#This Row],[Sl. No.]])-1</f>
        <v>235</v>
      </c>
      <c r="B236" s="9" t="s">
        <v>196</v>
      </c>
      <c r="C236" s="9" t="s">
        <v>1269</v>
      </c>
      <c r="D236" s="9" t="s">
        <v>216</v>
      </c>
      <c r="E236" s="9" t="s">
        <v>217</v>
      </c>
      <c r="F236" s="9" t="s">
        <v>161</v>
      </c>
      <c r="G236" s="10" t="s">
        <v>218</v>
      </c>
      <c r="H236" s="10" t="str">
        <f>_xlfn.XLOOKUP(C236,'[1]E&amp;DPSAC'!$K:$K,'[1]E&amp;DPSAC'!$E:$E,,0)</f>
        <v>BARAUNI REFINING GATE NO. 1</v>
      </c>
      <c r="I236" s="10" t="s">
        <v>219</v>
      </c>
      <c r="J236" s="10">
        <v>8877841639</v>
      </c>
      <c r="K236" s="10">
        <f>_xlfn.XLOOKUP(C236,'[1]E&amp;DPSAC'!$K:$K,'[1]E&amp;DPSAC'!$G:$G,"",0)</f>
        <v>8877841639</v>
      </c>
      <c r="L236" s="9" t="str">
        <f t="shared" ca="1" si="12"/>
        <v>Non - Warranty</v>
      </c>
      <c r="M236" s="11">
        <v>43904.732638888898</v>
      </c>
      <c r="N236" s="12">
        <v>24</v>
      </c>
      <c r="O236" s="11">
        <f t="shared" si="13"/>
        <v>44651</v>
      </c>
      <c r="P236" s="8" t="s">
        <v>213</v>
      </c>
      <c r="Q236" s="16" t="s">
        <v>1270</v>
      </c>
      <c r="R236" s="15">
        <v>45266.484305555598</v>
      </c>
      <c r="S236" s="14">
        <v>2600</v>
      </c>
      <c r="T236" s="15">
        <v>45266</v>
      </c>
      <c r="U236" s="14">
        <v>2600</v>
      </c>
      <c r="V236" s="14">
        <v>3240</v>
      </c>
      <c r="W236" s="17">
        <v>45940.693055555559</v>
      </c>
      <c r="X236" s="14" t="s">
        <v>2704</v>
      </c>
      <c r="Y236" s="14">
        <v>110</v>
      </c>
      <c r="Z236" s="14" t="s">
        <v>2692</v>
      </c>
      <c r="AA236" s="18">
        <v>846.51569444440247</v>
      </c>
      <c r="AB236" s="18" t="s">
        <v>2697</v>
      </c>
      <c r="AC236" s="8">
        <f>tbl_DPSAC[[#This Row],[Current Month Due Count]]</f>
        <v>0</v>
      </c>
      <c r="AD236" s="8">
        <f>tbl_DPSAC[[#This Row],[Next Month Due2]]</f>
        <v>0</v>
      </c>
      <c r="AE236" s="8">
        <f t="shared" si="14"/>
        <v>1</v>
      </c>
      <c r="AF236" s="8">
        <v>1</v>
      </c>
      <c r="AG236" s="14">
        <f t="shared" ca="1" si="15"/>
        <v>3412</v>
      </c>
      <c r="AH236" s="8">
        <v>0</v>
      </c>
      <c r="AI236" s="8">
        <v>0</v>
      </c>
      <c r="AJ236" s="8">
        <v>0</v>
      </c>
      <c r="AK236" s="8">
        <v>0</v>
      </c>
      <c r="AL236" s="8">
        <v>0</v>
      </c>
      <c r="AM236" s="8">
        <v>0</v>
      </c>
      <c r="AN236" s="8">
        <v>0</v>
      </c>
      <c r="AO236" s="8">
        <v>0</v>
      </c>
      <c r="AP236" s="8">
        <v>0</v>
      </c>
      <c r="AQ236" s="8">
        <v>0</v>
      </c>
      <c r="AR236" s="8">
        <v>0</v>
      </c>
      <c r="AS236" s="8">
        <v>0</v>
      </c>
      <c r="AT236" s="8">
        <v>0</v>
      </c>
      <c r="AU236" s="8">
        <v>0</v>
      </c>
      <c r="AV236" s="8">
        <v>0</v>
      </c>
      <c r="AW236" s="8">
        <v>0</v>
      </c>
      <c r="AX236" s="8" t="s">
        <v>3033</v>
      </c>
      <c r="AY236" s="14">
        <v>2600</v>
      </c>
      <c r="AZ236" s="19">
        <v>45266</v>
      </c>
      <c r="BA236" s="14" t="s">
        <v>1270</v>
      </c>
      <c r="BB236" s="14">
        <v>2600</v>
      </c>
      <c r="BC236" s="19">
        <v>45266</v>
      </c>
      <c r="BD236" s="14" t="s">
        <v>1270</v>
      </c>
      <c r="BE236" s="14">
        <v>2600</v>
      </c>
      <c r="BF236" s="19">
        <v>45266</v>
      </c>
      <c r="BG236" s="14" t="s">
        <v>1270</v>
      </c>
      <c r="BH236" s="14"/>
      <c r="BI236" s="19"/>
      <c r="BJ236" s="14"/>
      <c r="BK236" s="14">
        <v>2600</v>
      </c>
      <c r="BL236" s="19">
        <v>45266</v>
      </c>
      <c r="BM236" s="14" t="s">
        <v>1270</v>
      </c>
      <c r="BN236" s="27">
        <v>45446</v>
      </c>
      <c r="BO236" s="27">
        <v>45446</v>
      </c>
      <c r="BP236" s="27">
        <v>45446</v>
      </c>
      <c r="BQ236" s="27" t="s">
        <v>143</v>
      </c>
      <c r="BR236" s="27">
        <v>45631</v>
      </c>
      <c r="BS236" s="28">
        <v>-62</v>
      </c>
      <c r="BT236" s="29">
        <v>688</v>
      </c>
      <c r="BU236" s="29">
        <v>-62</v>
      </c>
      <c r="BV236" s="29" t="s">
        <v>143</v>
      </c>
      <c r="BW236" s="29">
        <v>688</v>
      </c>
      <c r="BX236" s="30" t="e">
        <v>#N/A</v>
      </c>
      <c r="BY236" s="8">
        <v>4</v>
      </c>
      <c r="BZ236" s="8">
        <v>0</v>
      </c>
      <c r="CA236" s="8">
        <v>0</v>
      </c>
      <c r="CB236" s="21">
        <v>45265.770833333299</v>
      </c>
      <c r="CC236" s="21">
        <v>45265.770833333299</v>
      </c>
      <c r="CD236" s="21">
        <v>0</v>
      </c>
      <c r="CE236" s="21">
        <v>0</v>
      </c>
      <c r="CF236" s="21">
        <v>45265.770833333299</v>
      </c>
      <c r="CG236" s="21">
        <v>45265.770833333299</v>
      </c>
      <c r="CH236" s="21">
        <v>45265.770833333299</v>
      </c>
      <c r="CI236" s="21">
        <v>45265.770833333299</v>
      </c>
      <c r="CJ236" s="21">
        <v>45265.770833333299</v>
      </c>
      <c r="CK236" s="22" t="s">
        <v>3118</v>
      </c>
      <c r="CL236" s="22" t="s">
        <v>3118</v>
      </c>
      <c r="CM236" s="22" t="s">
        <v>3118</v>
      </c>
      <c r="CN236" s="22" t="s">
        <v>3118</v>
      </c>
      <c r="CO236" s="22" t="s">
        <v>3118</v>
      </c>
      <c r="CP236" s="22" t="s">
        <v>3127</v>
      </c>
      <c r="CQ236" s="22" t="s">
        <v>2953</v>
      </c>
      <c r="CR236" s="22" t="s">
        <v>3127</v>
      </c>
      <c r="CS236" s="22" t="s">
        <v>3127</v>
      </c>
      <c r="CT236" s="22">
        <v>4</v>
      </c>
      <c r="CU236" s="21">
        <v>45445</v>
      </c>
      <c r="CV236" s="21">
        <v>45445</v>
      </c>
      <c r="CW236" s="21">
        <v>45967</v>
      </c>
      <c r="CX236" s="21">
        <v>45967</v>
      </c>
      <c r="CY236" s="21">
        <v>45445</v>
      </c>
      <c r="CZ236" s="21">
        <v>45535</v>
      </c>
      <c r="DA236" s="21">
        <v>45630</v>
      </c>
      <c r="DB236" s="21">
        <v>45445</v>
      </c>
      <c r="DC236" s="21">
        <v>45630</v>
      </c>
      <c r="DD236" s="8">
        <v>1</v>
      </c>
      <c r="DE236" s="8">
        <v>0</v>
      </c>
      <c r="DF236" s="8">
        <v>0</v>
      </c>
      <c r="DG236" s="8">
        <v>9</v>
      </c>
      <c r="DH236" s="8">
        <v>0</v>
      </c>
      <c r="DI236" s="8">
        <v>0</v>
      </c>
      <c r="DJ236" s="8" t="s">
        <v>2976</v>
      </c>
      <c r="DK236" s="21">
        <v>43904</v>
      </c>
      <c r="DL236" s="21">
        <v>43707.229166666664</v>
      </c>
      <c r="DM236" s="21">
        <v>45940</v>
      </c>
      <c r="DN236" s="18">
        <v>3240</v>
      </c>
      <c r="DO236" s="21">
        <v>0</v>
      </c>
      <c r="DP236" s="21">
        <v>0</v>
      </c>
      <c r="DQ236" s="21" t="s">
        <v>2955</v>
      </c>
      <c r="DR236" s="21">
        <v>45266</v>
      </c>
      <c r="DS236" s="21">
        <v>45266</v>
      </c>
      <c r="DT236" s="21">
        <v>0</v>
      </c>
      <c r="DU236" s="21">
        <v>0</v>
      </c>
      <c r="DV236" s="21">
        <v>45266</v>
      </c>
      <c r="DW236" s="21">
        <v>45266</v>
      </c>
      <c r="DX236" s="21">
        <v>45266</v>
      </c>
      <c r="DY236" s="21">
        <v>45266</v>
      </c>
      <c r="DZ236" s="21">
        <v>45266</v>
      </c>
      <c r="EA236" s="8">
        <v>110</v>
      </c>
      <c r="EB236" s="8">
        <v>110</v>
      </c>
      <c r="EC236" s="8">
        <v>110</v>
      </c>
      <c r="ED236" s="8">
        <v>110</v>
      </c>
      <c r="EE236" s="8">
        <v>110</v>
      </c>
      <c r="EF236" s="8">
        <v>860</v>
      </c>
      <c r="EG236" s="8">
        <v>1000</v>
      </c>
      <c r="EH236" s="8">
        <v>860</v>
      </c>
      <c r="EI236" s="8">
        <v>860</v>
      </c>
      <c r="EJ236" s="8">
        <v>4</v>
      </c>
      <c r="EK236" s="8" t="s">
        <v>2624</v>
      </c>
      <c r="EL236" s="8">
        <v>172</v>
      </c>
      <c r="EM236" s="8">
        <v>172</v>
      </c>
      <c r="EN236" s="8">
        <v>-178</v>
      </c>
      <c r="EO236" s="8">
        <v>-178</v>
      </c>
      <c r="EP236" s="8">
        <v>-178</v>
      </c>
      <c r="EQ236" s="8">
        <v>-178</v>
      </c>
      <c r="ER236" s="8">
        <v>-178</v>
      </c>
      <c r="ES236" s="8">
        <v>572</v>
      </c>
      <c r="ET236" s="8">
        <v>712</v>
      </c>
      <c r="EU236" s="8">
        <v>572</v>
      </c>
      <c r="EV236" s="8">
        <v>572</v>
      </c>
    </row>
    <row r="237" spans="1:152" x14ac:dyDescent="0.15">
      <c r="A237" s="8">
        <f>ROW([2]!tbl_DPSAC[[#This Row],[Sl. No.]])-1</f>
        <v>236</v>
      </c>
      <c r="B237" s="9" t="s">
        <v>136</v>
      </c>
      <c r="C237" s="9" t="s">
        <v>1271</v>
      </c>
      <c r="D237" s="9" t="s">
        <v>138</v>
      </c>
      <c r="E237" s="9" t="s">
        <v>139</v>
      </c>
      <c r="F237" s="9" t="s">
        <v>161</v>
      </c>
      <c r="G237" s="10" t="s">
        <v>162</v>
      </c>
      <c r="H237" s="10" t="str">
        <f>_xlfn.XLOOKUP(C237,'[1]E&amp;DPSAC'!$K:$K,'[1]E&amp;DPSAC'!$E:$E,,0)</f>
        <v>JARANDIH, PHUSHRO</v>
      </c>
      <c r="I237" s="10" t="s">
        <v>163</v>
      </c>
      <c r="J237" s="10">
        <v>6202842173</v>
      </c>
      <c r="K237" s="10">
        <f>_xlfn.XLOOKUP(C237,'[1]E&amp;DPSAC'!$K:$K,'[1]E&amp;DPSAC'!$G:$G,"",0)</f>
        <v>9342669513</v>
      </c>
      <c r="L237" s="9" t="str">
        <f t="shared" ca="1" si="12"/>
        <v>Non - Warranty</v>
      </c>
      <c r="M237" s="11">
        <v>43902</v>
      </c>
      <c r="N237" s="12">
        <v>24</v>
      </c>
      <c r="O237" s="11">
        <f t="shared" si="13"/>
        <v>44651</v>
      </c>
      <c r="P237" s="8" t="s">
        <v>213</v>
      </c>
      <c r="Q237" s="16" t="s">
        <v>1272</v>
      </c>
      <c r="R237" s="15">
        <v>46052.506180555603</v>
      </c>
      <c r="S237" s="14">
        <v>5258</v>
      </c>
      <c r="T237" s="15">
        <v>46053</v>
      </c>
      <c r="U237" s="14">
        <v>5298</v>
      </c>
      <c r="V237" s="14">
        <v>5258</v>
      </c>
      <c r="W237" s="17">
        <v>46052.506180555603</v>
      </c>
      <c r="X237" s="14" t="s">
        <v>2705</v>
      </c>
      <c r="Y237" s="14">
        <v>750</v>
      </c>
      <c r="Z237" s="14" t="s">
        <v>2692</v>
      </c>
      <c r="AA237" s="18">
        <v>60.493819444396649</v>
      </c>
      <c r="AB237" s="18" t="s">
        <v>2692</v>
      </c>
      <c r="AC237" s="8">
        <f>tbl_DPSAC[[#This Row],[Current Month Due Count]]</f>
        <v>0</v>
      </c>
      <c r="AD237" s="8">
        <f>tbl_DPSAC[[#This Row],[Next Month Due2]]</f>
        <v>0</v>
      </c>
      <c r="AE237" s="8">
        <f t="shared" si="14"/>
        <v>0</v>
      </c>
      <c r="AF237" s="8">
        <v>2</v>
      </c>
      <c r="AG237" s="14">
        <f t="shared" ca="1" si="15"/>
        <v>5379</v>
      </c>
      <c r="AH237" s="8">
        <v>0</v>
      </c>
      <c r="AI237" s="8">
        <v>0</v>
      </c>
      <c r="AJ237" s="8">
        <v>0</v>
      </c>
      <c r="AK237" s="8">
        <v>0</v>
      </c>
      <c r="AL237" s="8">
        <v>0</v>
      </c>
      <c r="AM237" s="8">
        <v>0</v>
      </c>
      <c r="AN237" s="8">
        <v>0</v>
      </c>
      <c r="AO237" s="8">
        <v>0</v>
      </c>
      <c r="AP237" s="8">
        <v>0</v>
      </c>
      <c r="AQ237" s="8">
        <v>0</v>
      </c>
      <c r="AR237" s="8">
        <v>0</v>
      </c>
      <c r="AS237" s="8">
        <v>0</v>
      </c>
      <c r="AT237" s="8">
        <v>0</v>
      </c>
      <c r="AU237" s="8">
        <v>0</v>
      </c>
      <c r="AV237" s="8">
        <v>0</v>
      </c>
      <c r="AW237" s="8">
        <v>0</v>
      </c>
      <c r="AX237" s="8" t="s">
        <v>2007</v>
      </c>
      <c r="AY237" s="14">
        <v>5258</v>
      </c>
      <c r="AZ237" s="19">
        <v>46052</v>
      </c>
      <c r="BA237" s="14" t="s">
        <v>1272</v>
      </c>
      <c r="BB237" s="14">
        <v>5258</v>
      </c>
      <c r="BC237" s="19">
        <v>46052</v>
      </c>
      <c r="BD237" s="14" t="s">
        <v>1272</v>
      </c>
      <c r="BE237" s="14">
        <v>5258</v>
      </c>
      <c r="BF237" s="19">
        <v>46052</v>
      </c>
      <c r="BG237" s="14" t="s">
        <v>1272</v>
      </c>
      <c r="BH237" s="14">
        <v>5258</v>
      </c>
      <c r="BI237" s="19">
        <v>46052</v>
      </c>
      <c r="BJ237" s="14" t="s">
        <v>1272</v>
      </c>
      <c r="BK237" s="14">
        <v>5258</v>
      </c>
      <c r="BL237" s="19">
        <v>46052</v>
      </c>
      <c r="BM237" s="14" t="s">
        <v>1272</v>
      </c>
      <c r="BN237" s="27">
        <v>46232</v>
      </c>
      <c r="BO237" s="27">
        <v>46232</v>
      </c>
      <c r="BP237" s="27">
        <v>46232</v>
      </c>
      <c r="BQ237" s="27">
        <v>46232</v>
      </c>
      <c r="BR237" s="27">
        <v>46417</v>
      </c>
      <c r="BS237" s="28">
        <v>629</v>
      </c>
      <c r="BT237" s="29">
        <v>1379</v>
      </c>
      <c r="BU237" s="29">
        <v>629</v>
      </c>
      <c r="BV237" s="29">
        <v>629</v>
      </c>
      <c r="BW237" s="29">
        <v>1379</v>
      </c>
      <c r="BX237" s="30" t="e">
        <v>#N/A</v>
      </c>
      <c r="BY237" s="8">
        <v>0</v>
      </c>
      <c r="BZ237" s="8">
        <v>0</v>
      </c>
      <c r="CA237" s="8">
        <v>0</v>
      </c>
      <c r="CB237" s="21">
        <v>46051.770833333299</v>
      </c>
      <c r="CC237" s="21">
        <v>46051.770833333299</v>
      </c>
      <c r="CD237" s="21">
        <v>46051.770833333299</v>
      </c>
      <c r="CE237" s="21">
        <v>46051.770833333299</v>
      </c>
      <c r="CF237" s="21">
        <v>46051.770833333299</v>
      </c>
      <c r="CG237" s="21">
        <v>46051.770833333299</v>
      </c>
      <c r="CH237" s="21">
        <v>46051.770833333299</v>
      </c>
      <c r="CI237" s="21">
        <v>46051.770833333299</v>
      </c>
      <c r="CJ237" s="21">
        <v>46051.770833333299</v>
      </c>
      <c r="CK237" s="22" t="s">
        <v>2956</v>
      </c>
      <c r="CL237" s="22" t="s">
        <v>2957</v>
      </c>
      <c r="CM237" s="22" t="s">
        <v>2959</v>
      </c>
      <c r="CN237" s="22" t="s">
        <v>2957</v>
      </c>
      <c r="CO237" s="22" t="s">
        <v>2957</v>
      </c>
      <c r="CP237" s="22" t="s">
        <v>2956</v>
      </c>
      <c r="CQ237" s="22" t="s">
        <v>2953</v>
      </c>
      <c r="CR237" s="22" t="s">
        <v>2956</v>
      </c>
      <c r="CS237" s="22" t="s">
        <v>2960</v>
      </c>
      <c r="CT237" s="22">
        <v>2</v>
      </c>
      <c r="CU237" s="21">
        <v>46231</v>
      </c>
      <c r="CV237" s="21">
        <v>46231</v>
      </c>
      <c r="CW237" s="21">
        <v>46231</v>
      </c>
      <c r="CX237" s="21">
        <v>46231</v>
      </c>
      <c r="CY237" s="21">
        <v>46231</v>
      </c>
      <c r="CZ237" s="21">
        <v>46321</v>
      </c>
      <c r="DA237" s="21">
        <v>46416</v>
      </c>
      <c r="DB237" s="21">
        <v>46231</v>
      </c>
      <c r="DC237" s="21">
        <v>46416</v>
      </c>
      <c r="DD237" s="8">
        <v>0</v>
      </c>
      <c r="DE237" s="8">
        <v>0</v>
      </c>
      <c r="DF237" s="8">
        <v>0</v>
      </c>
      <c r="DG237" s="8">
        <v>0</v>
      </c>
      <c r="DH237" s="8">
        <v>0</v>
      </c>
      <c r="DI237" s="8">
        <v>0</v>
      </c>
      <c r="DJ237" s="8" t="s">
        <v>2976</v>
      </c>
      <c r="DK237" s="21">
        <v>43902</v>
      </c>
      <c r="DL237" s="21">
        <v>43797.229166666664</v>
      </c>
      <c r="DM237" s="21">
        <v>46053</v>
      </c>
      <c r="DN237" s="18">
        <v>5258</v>
      </c>
      <c r="DO237" s="21">
        <v>0</v>
      </c>
      <c r="DP237" s="21">
        <v>0</v>
      </c>
      <c r="DQ237" s="21" t="s">
        <v>2955</v>
      </c>
      <c r="DR237" s="21">
        <v>46052</v>
      </c>
      <c r="DS237" s="21">
        <v>46052</v>
      </c>
      <c r="DT237" s="21">
        <v>46052</v>
      </c>
      <c r="DU237" s="21">
        <v>46052</v>
      </c>
      <c r="DV237" s="21">
        <v>46052</v>
      </c>
      <c r="DW237" s="21">
        <v>46052</v>
      </c>
      <c r="DX237" s="21">
        <v>46052</v>
      </c>
      <c r="DY237" s="21">
        <v>46052</v>
      </c>
      <c r="DZ237" s="21">
        <v>46052</v>
      </c>
      <c r="EA237" s="8">
        <v>1500</v>
      </c>
      <c r="EB237" s="8">
        <v>750</v>
      </c>
      <c r="EC237" s="8">
        <v>500</v>
      </c>
      <c r="ED237" s="8">
        <v>750</v>
      </c>
      <c r="EE237" s="8">
        <v>750</v>
      </c>
      <c r="EF237" s="8">
        <v>1500</v>
      </c>
      <c r="EG237" s="8">
        <v>1000</v>
      </c>
      <c r="EH237" s="8">
        <v>1500</v>
      </c>
      <c r="EI237" s="8">
        <v>3000</v>
      </c>
      <c r="EJ237" s="8">
        <v>2</v>
      </c>
      <c r="EK237" s="8" t="s">
        <v>2624</v>
      </c>
      <c r="EL237" s="8">
        <v>60</v>
      </c>
      <c r="EM237" s="8">
        <v>120</v>
      </c>
      <c r="EN237" s="8">
        <v>1212</v>
      </c>
      <c r="EO237" s="8">
        <v>462</v>
      </c>
      <c r="EP237" s="8">
        <v>212</v>
      </c>
      <c r="EQ237" s="8">
        <v>462</v>
      </c>
      <c r="ER237" s="8">
        <v>462</v>
      </c>
      <c r="ES237" s="8">
        <v>1212</v>
      </c>
      <c r="ET237" s="8">
        <v>712</v>
      </c>
      <c r="EU237" s="8">
        <v>1212</v>
      </c>
      <c r="EV237" s="8">
        <v>2712</v>
      </c>
    </row>
    <row r="238" spans="1:152" x14ac:dyDescent="0.15">
      <c r="A238" s="8">
        <f>ROW([2]!tbl_DPSAC[[#This Row],[Sl. No.]])-1</f>
        <v>237</v>
      </c>
      <c r="B238" s="9" t="s">
        <v>136</v>
      </c>
      <c r="C238" s="9" t="s">
        <v>1273</v>
      </c>
      <c r="D238" s="9" t="s">
        <v>175</v>
      </c>
      <c r="E238" s="9" t="s">
        <v>176</v>
      </c>
      <c r="F238" s="9" t="s">
        <v>140</v>
      </c>
      <c r="G238" s="10" t="s">
        <v>1274</v>
      </c>
      <c r="H238" s="10" t="str">
        <f>_xlfn.XLOOKUP(C238,'[1]E&amp;DPSAC'!$K:$K,'[1]E&amp;DPSAC'!$E:$E,,0)</f>
        <v>PALAMU</v>
      </c>
      <c r="I238" s="10"/>
      <c r="J238" s="10">
        <v>7903236357</v>
      </c>
      <c r="K238" s="10">
        <f>_xlfn.XLOOKUP(C238,'[1]E&amp;DPSAC'!$K:$K,'[1]E&amp;DPSAC'!$G:$G,"",0)</f>
        <v>7903236357</v>
      </c>
      <c r="L238" s="9" t="str">
        <f t="shared" ca="1" si="12"/>
        <v>Non - Warranty</v>
      </c>
      <c r="M238" s="11">
        <v>43528</v>
      </c>
      <c r="N238" s="12">
        <v>36</v>
      </c>
      <c r="O238" s="11">
        <f t="shared" si="13"/>
        <v>44651</v>
      </c>
      <c r="P238" s="8" t="s">
        <v>213</v>
      </c>
      <c r="Q238" s="16" t="s">
        <v>1275</v>
      </c>
      <c r="R238" s="15">
        <v>45372.542581018497</v>
      </c>
      <c r="S238" s="14">
        <v>6036</v>
      </c>
      <c r="T238" s="15">
        <v>45372</v>
      </c>
      <c r="U238" s="14">
        <v>6036</v>
      </c>
      <c r="V238" s="14">
        <v>8370</v>
      </c>
      <c r="W238" s="17">
        <v>45966.532638888886</v>
      </c>
      <c r="X238" s="14" t="s">
        <v>2722</v>
      </c>
      <c r="Y238" s="14">
        <v>-1584</v>
      </c>
      <c r="Z238" s="14" t="s">
        <v>2697</v>
      </c>
      <c r="AA238" s="18">
        <v>740.457418981503</v>
      </c>
      <c r="AB238" s="18" t="s">
        <v>2697</v>
      </c>
      <c r="AC238" s="8">
        <f>tbl_DPSAC[[#This Row],[Current Month Due Count]]</f>
        <v>0</v>
      </c>
      <c r="AD238" s="8">
        <f>tbl_DPSAC[[#This Row],[Next Month Due2]]</f>
        <v>0</v>
      </c>
      <c r="AE238" s="8">
        <f t="shared" si="14"/>
        <v>1</v>
      </c>
      <c r="AF238" s="8">
        <v>4</v>
      </c>
      <c r="AG238" s="14">
        <f t="shared" ca="1" si="15"/>
        <v>8956</v>
      </c>
      <c r="AH238" s="8">
        <v>0</v>
      </c>
      <c r="AI238" s="8">
        <v>0</v>
      </c>
      <c r="AJ238" s="8">
        <v>0</v>
      </c>
      <c r="AK238" s="8">
        <v>0</v>
      </c>
      <c r="AL238" s="8">
        <v>0</v>
      </c>
      <c r="AM238" s="8">
        <v>0</v>
      </c>
      <c r="AN238" s="8">
        <v>0</v>
      </c>
      <c r="AO238" s="8">
        <v>0</v>
      </c>
      <c r="AP238" s="8">
        <v>0</v>
      </c>
      <c r="AQ238" s="8">
        <v>0</v>
      </c>
      <c r="AR238" s="8">
        <v>0</v>
      </c>
      <c r="AS238" s="8">
        <v>0</v>
      </c>
      <c r="AT238" s="8">
        <v>0</v>
      </c>
      <c r="AU238" s="8">
        <v>0</v>
      </c>
      <c r="AV238" s="8">
        <v>0</v>
      </c>
      <c r="AW238" s="8">
        <v>0</v>
      </c>
      <c r="AX238" s="8" t="s">
        <v>2961</v>
      </c>
      <c r="AY238" s="14">
        <v>6036</v>
      </c>
      <c r="AZ238" s="19">
        <v>45372</v>
      </c>
      <c r="BA238" s="14" t="s">
        <v>1275</v>
      </c>
      <c r="BB238" s="14">
        <v>5708</v>
      </c>
      <c r="BC238" s="19">
        <v>45289</v>
      </c>
      <c r="BD238" s="14" t="s">
        <v>1276</v>
      </c>
      <c r="BE238" s="14">
        <v>6036</v>
      </c>
      <c r="BF238" s="19">
        <v>45372</v>
      </c>
      <c r="BG238" s="14" t="s">
        <v>1275</v>
      </c>
      <c r="BH238" s="14">
        <v>6036</v>
      </c>
      <c r="BI238" s="19">
        <v>45372</v>
      </c>
      <c r="BJ238" s="14" t="s">
        <v>1275</v>
      </c>
      <c r="BK238" s="14">
        <v>3000</v>
      </c>
      <c r="BL238" s="19">
        <v>44565.548310185186</v>
      </c>
      <c r="BM238" s="14"/>
      <c r="BN238" s="27">
        <v>45552</v>
      </c>
      <c r="BO238" s="27">
        <v>45469</v>
      </c>
      <c r="BP238" s="27">
        <v>45552</v>
      </c>
      <c r="BQ238" s="27">
        <v>45552</v>
      </c>
      <c r="BR238" s="27">
        <v>44930.548310185186</v>
      </c>
      <c r="BS238" s="28">
        <v>-2170</v>
      </c>
      <c r="BT238" s="29">
        <v>-1748</v>
      </c>
      <c r="BU238" s="29">
        <v>-2170</v>
      </c>
      <c r="BV238" s="29">
        <v>-2170</v>
      </c>
      <c r="BW238" s="29">
        <v>-4456</v>
      </c>
      <c r="BX238" s="30" t="s">
        <v>173</v>
      </c>
      <c r="BY238" s="8">
        <v>5</v>
      </c>
      <c r="BZ238" s="8">
        <v>0</v>
      </c>
      <c r="CA238" s="8">
        <v>0</v>
      </c>
      <c r="CB238" s="21">
        <v>45371.770833333299</v>
      </c>
      <c r="CC238" s="21">
        <v>45371.770833333299</v>
      </c>
      <c r="CD238" s="21">
        <v>45371.770833333299</v>
      </c>
      <c r="CE238" s="21">
        <v>45371.770833333299</v>
      </c>
      <c r="CF238" s="21">
        <v>45371.770833333299</v>
      </c>
      <c r="CG238" s="21">
        <v>45055.770833333299</v>
      </c>
      <c r="CH238" s="21">
        <v>45288.770833333299</v>
      </c>
      <c r="CI238" s="21">
        <v>45288.770833333299</v>
      </c>
      <c r="CJ238" s="21">
        <v>45288.770833333299</v>
      </c>
      <c r="CK238" s="22" t="s">
        <v>2986</v>
      </c>
      <c r="CL238" s="22" t="s">
        <v>2986</v>
      </c>
      <c r="CM238" s="22" t="s">
        <v>2986</v>
      </c>
      <c r="CN238" s="22" t="s">
        <v>2986</v>
      </c>
      <c r="CO238" s="22" t="s">
        <v>2986</v>
      </c>
      <c r="CP238" s="22" t="s">
        <v>2986</v>
      </c>
      <c r="CQ238" s="22" t="s">
        <v>2953</v>
      </c>
      <c r="CR238" s="22" t="s">
        <v>2986</v>
      </c>
      <c r="CS238" s="22" t="s">
        <v>2986</v>
      </c>
      <c r="CT238" s="22">
        <v>3</v>
      </c>
      <c r="CU238" s="21">
        <v>45551</v>
      </c>
      <c r="CV238" s="21">
        <v>45551</v>
      </c>
      <c r="CW238" s="21">
        <v>45551</v>
      </c>
      <c r="CX238" s="21">
        <v>45551</v>
      </c>
      <c r="CY238" s="21">
        <v>45551</v>
      </c>
      <c r="CZ238" s="21">
        <v>45325</v>
      </c>
      <c r="DA238" s="21">
        <v>45653</v>
      </c>
      <c r="DB238" s="21">
        <v>45468</v>
      </c>
      <c r="DC238" s="21">
        <v>45653</v>
      </c>
      <c r="DD238" s="8">
        <v>1</v>
      </c>
      <c r="DE238" s="8">
        <v>0</v>
      </c>
      <c r="DF238" s="8">
        <v>0</v>
      </c>
      <c r="DG238" s="8">
        <v>9</v>
      </c>
      <c r="DH238" s="8">
        <v>0</v>
      </c>
      <c r="DI238" s="8">
        <v>0</v>
      </c>
      <c r="DJ238" s="8" t="s">
        <v>2976</v>
      </c>
      <c r="DK238" s="21">
        <v>43528</v>
      </c>
      <c r="DL238" s="21">
        <v>43473.229166666664</v>
      </c>
      <c r="DM238" s="21">
        <v>45966</v>
      </c>
      <c r="DN238" s="18">
        <v>8370</v>
      </c>
      <c r="DO238" s="21">
        <v>0</v>
      </c>
      <c r="DP238" s="21">
        <v>0</v>
      </c>
      <c r="DQ238" s="21" t="s">
        <v>2955</v>
      </c>
      <c r="DR238" s="21">
        <v>45372</v>
      </c>
      <c r="DS238" s="21">
        <v>45372</v>
      </c>
      <c r="DT238" s="21">
        <v>45372</v>
      </c>
      <c r="DU238" s="21">
        <v>45372</v>
      </c>
      <c r="DV238" s="21">
        <v>45372</v>
      </c>
      <c r="DW238" s="21">
        <v>45056</v>
      </c>
      <c r="DX238" s="21">
        <v>45289</v>
      </c>
      <c r="DY238" s="21">
        <v>45289</v>
      </c>
      <c r="DZ238" s="21">
        <v>45289</v>
      </c>
      <c r="EA238" s="8">
        <v>580</v>
      </c>
      <c r="EB238" s="8">
        <v>580</v>
      </c>
      <c r="EC238" s="8">
        <v>580</v>
      </c>
      <c r="ED238" s="8">
        <v>580</v>
      </c>
      <c r="EE238" s="8">
        <v>580</v>
      </c>
      <c r="EF238" s="8">
        <v>580</v>
      </c>
      <c r="EG238" s="8">
        <v>1000</v>
      </c>
      <c r="EH238" s="8">
        <v>580</v>
      </c>
      <c r="EI238" s="8">
        <v>580</v>
      </c>
      <c r="EJ238" s="8">
        <v>3</v>
      </c>
      <c r="EK238" s="8" t="s">
        <v>2624</v>
      </c>
      <c r="EL238" s="8">
        <v>146</v>
      </c>
      <c r="EM238" s="8">
        <v>584</v>
      </c>
      <c r="EN238" s="8">
        <v>292</v>
      </c>
      <c r="EO238" s="8">
        <v>292</v>
      </c>
      <c r="EP238" s="8">
        <v>292</v>
      </c>
      <c r="EQ238" s="8">
        <v>292</v>
      </c>
      <c r="ER238" s="8">
        <v>292</v>
      </c>
      <c r="ES238" s="8">
        <v>292</v>
      </c>
      <c r="ET238" s="8">
        <v>712</v>
      </c>
      <c r="EU238" s="8">
        <v>292</v>
      </c>
      <c r="EV238" s="8">
        <v>292</v>
      </c>
    </row>
    <row r="239" spans="1:152" x14ac:dyDescent="0.15">
      <c r="A239" s="8">
        <f>ROW([2]!tbl_DPSAC[[#This Row],[Sl. No.]])-1</f>
        <v>238</v>
      </c>
      <c r="B239" s="9" t="s">
        <v>136</v>
      </c>
      <c r="C239" s="9" t="s">
        <v>1277</v>
      </c>
      <c r="D239" s="9" t="s">
        <v>138</v>
      </c>
      <c r="E239" s="9" t="s">
        <v>139</v>
      </c>
      <c r="F239" s="9" t="s">
        <v>140</v>
      </c>
      <c r="G239" s="10" t="s">
        <v>1278</v>
      </c>
      <c r="H239" s="10" t="str">
        <f>_xlfn.XLOOKUP(C239,'[1]E&amp;DPSAC'!$K:$K,'[1]E&amp;DPSAC'!$E:$E,,0)</f>
        <v>CHAKARDHARPUR, JHARKHAND</v>
      </c>
      <c r="I239" s="10"/>
      <c r="J239" s="10">
        <v>8639995694</v>
      </c>
      <c r="K239" s="10">
        <f>_xlfn.XLOOKUP(C239,'[1]E&amp;DPSAC'!$K:$K,'[1]E&amp;DPSAC'!$G:$G,"",0)</f>
        <v>8639995694</v>
      </c>
      <c r="L239" s="9" t="str">
        <f t="shared" ca="1" si="12"/>
        <v>Non - Warranty</v>
      </c>
      <c r="M239" s="11">
        <v>43544</v>
      </c>
      <c r="N239" s="12">
        <v>36</v>
      </c>
      <c r="O239" s="11">
        <f t="shared" si="13"/>
        <v>44651</v>
      </c>
      <c r="P239" s="8" t="s">
        <v>681</v>
      </c>
      <c r="Q239" s="16" t="s">
        <v>1279</v>
      </c>
      <c r="R239" s="15">
        <v>45266.5176967593</v>
      </c>
      <c r="S239" s="14">
        <v>5735</v>
      </c>
      <c r="T239" s="15">
        <v>45266</v>
      </c>
      <c r="U239" s="14">
        <v>5735</v>
      </c>
      <c r="V239" s="14">
        <v>8180</v>
      </c>
      <c r="W239" s="17">
        <v>45940.695833333331</v>
      </c>
      <c r="X239" s="14" t="s">
        <v>2793</v>
      </c>
      <c r="Y239" s="14">
        <v>-1695</v>
      </c>
      <c r="Z239" s="14" t="s">
        <v>2697</v>
      </c>
      <c r="AA239" s="18">
        <v>846.48230324070028</v>
      </c>
      <c r="AB239" s="18" t="s">
        <v>2697</v>
      </c>
      <c r="AC239" s="8">
        <f>tbl_DPSAC[[#This Row],[Current Month Due Count]]</f>
        <v>0</v>
      </c>
      <c r="AD239" s="8">
        <f>tbl_DPSAC[[#This Row],[Next Month Due2]]</f>
        <v>0</v>
      </c>
      <c r="AE239" s="8">
        <f t="shared" si="14"/>
        <v>1</v>
      </c>
      <c r="AF239" s="8">
        <v>4</v>
      </c>
      <c r="AG239" s="14">
        <f t="shared" ca="1" si="15"/>
        <v>8869</v>
      </c>
      <c r="AH239" s="8">
        <v>0</v>
      </c>
      <c r="AI239" s="8">
        <v>0</v>
      </c>
      <c r="AJ239" s="8">
        <v>0</v>
      </c>
      <c r="AK239" s="8">
        <v>0</v>
      </c>
      <c r="AL239" s="8">
        <v>0</v>
      </c>
      <c r="AM239" s="8">
        <v>0</v>
      </c>
      <c r="AN239" s="8">
        <v>0</v>
      </c>
      <c r="AO239" s="8">
        <v>0</v>
      </c>
      <c r="AP239" s="8">
        <v>0</v>
      </c>
      <c r="AQ239" s="8">
        <v>0</v>
      </c>
      <c r="AR239" s="8">
        <v>0</v>
      </c>
      <c r="AS239" s="8">
        <v>0</v>
      </c>
      <c r="AT239" s="8">
        <v>0</v>
      </c>
      <c r="AU239" s="8">
        <v>0</v>
      </c>
      <c r="AV239" s="8">
        <v>0</v>
      </c>
      <c r="AW239" s="8">
        <v>0</v>
      </c>
      <c r="AX239" s="8" t="s">
        <v>2961</v>
      </c>
      <c r="AY239" s="14">
        <v>5735</v>
      </c>
      <c r="AZ239" s="19">
        <v>45266</v>
      </c>
      <c r="BA239" s="14" t="s">
        <v>1279</v>
      </c>
      <c r="BB239" s="14">
        <v>2762</v>
      </c>
      <c r="BC239" s="19">
        <v>44402.447291666664</v>
      </c>
      <c r="BD239" s="14"/>
      <c r="BE239" s="14">
        <v>3810</v>
      </c>
      <c r="BF239" s="19">
        <v>44721</v>
      </c>
      <c r="BG239" s="14"/>
      <c r="BH239" s="14">
        <v>3810</v>
      </c>
      <c r="BI239" s="19">
        <v>44721</v>
      </c>
      <c r="BJ239" s="14"/>
      <c r="BK239" s="14">
        <v>2762</v>
      </c>
      <c r="BL239" s="19">
        <v>44402.447291666664</v>
      </c>
      <c r="BM239" s="14"/>
      <c r="BN239" s="27">
        <v>45446</v>
      </c>
      <c r="BO239" s="27">
        <v>44582.447291666664</v>
      </c>
      <c r="BP239" s="27">
        <v>44901</v>
      </c>
      <c r="BQ239" s="27">
        <v>44901</v>
      </c>
      <c r="BR239" s="27">
        <v>44767.447291666664</v>
      </c>
      <c r="BS239" s="28">
        <v>-2384</v>
      </c>
      <c r="BT239" s="29">
        <v>-4607</v>
      </c>
      <c r="BU239" s="29">
        <v>-4309</v>
      </c>
      <c r="BV239" s="29">
        <v>-4309</v>
      </c>
      <c r="BW239" s="29">
        <v>-4607</v>
      </c>
      <c r="BX239" s="30" t="s">
        <v>173</v>
      </c>
      <c r="BY239" s="8">
        <v>5</v>
      </c>
      <c r="BZ239" s="8">
        <v>0</v>
      </c>
      <c r="CA239" s="8">
        <v>0</v>
      </c>
      <c r="CB239" s="21">
        <v>45265.770833333299</v>
      </c>
      <c r="CC239" s="21">
        <v>45265.770833333299</v>
      </c>
      <c r="CD239" s="21">
        <v>45089.770833333299</v>
      </c>
      <c r="CE239" s="21">
        <v>45265.770833333299</v>
      </c>
      <c r="CF239" s="21">
        <v>45265.770833333299</v>
      </c>
      <c r="CG239" s="21">
        <v>45089.770833333299</v>
      </c>
      <c r="CH239" s="21">
        <v>45089.770833333299</v>
      </c>
      <c r="CI239" s="21">
        <v>45089.770833333299</v>
      </c>
      <c r="CJ239" s="21">
        <v>0</v>
      </c>
      <c r="CK239" s="22" t="s">
        <v>3128</v>
      </c>
      <c r="CL239" s="22" t="s">
        <v>3128</v>
      </c>
      <c r="CM239" s="22" t="s">
        <v>3128</v>
      </c>
      <c r="CN239" s="22" t="s">
        <v>3128</v>
      </c>
      <c r="CO239" s="22" t="s">
        <v>3128</v>
      </c>
      <c r="CP239" s="22" t="s">
        <v>3129</v>
      </c>
      <c r="CQ239" s="22" t="s">
        <v>2953</v>
      </c>
      <c r="CR239" s="22" t="s">
        <v>3129</v>
      </c>
      <c r="CS239" s="22" t="s">
        <v>3129</v>
      </c>
      <c r="CT239" s="22">
        <v>4</v>
      </c>
      <c r="CU239" s="21">
        <v>45445</v>
      </c>
      <c r="CV239" s="21">
        <v>45445</v>
      </c>
      <c r="CW239" s="21">
        <v>45269</v>
      </c>
      <c r="CX239" s="21">
        <v>45445</v>
      </c>
      <c r="CY239" s="21">
        <v>45445</v>
      </c>
      <c r="CZ239" s="21">
        <v>45359</v>
      </c>
      <c r="DA239" s="21">
        <v>45454</v>
      </c>
      <c r="DB239" s="21">
        <v>45269</v>
      </c>
      <c r="DC239" s="21">
        <v>46115</v>
      </c>
      <c r="DD239" s="8">
        <v>1</v>
      </c>
      <c r="DE239" s="8">
        <v>0</v>
      </c>
      <c r="DF239" s="8">
        <v>0</v>
      </c>
      <c r="DG239" s="8">
        <v>8</v>
      </c>
      <c r="DH239" s="8">
        <v>1</v>
      </c>
      <c r="DI239" s="8">
        <v>0</v>
      </c>
      <c r="DJ239" s="8" t="s">
        <v>3025</v>
      </c>
      <c r="DK239" s="21">
        <v>43544</v>
      </c>
      <c r="DL239" s="21">
        <v>43504.229166666664</v>
      </c>
      <c r="DM239" s="21">
        <v>45940</v>
      </c>
      <c r="DN239" s="18">
        <v>8180</v>
      </c>
      <c r="DO239" s="21">
        <v>0</v>
      </c>
      <c r="DP239" s="21">
        <v>0</v>
      </c>
      <c r="DQ239" s="21" t="s">
        <v>2955</v>
      </c>
      <c r="DR239" s="21">
        <v>45266</v>
      </c>
      <c r="DS239" s="21">
        <v>45266</v>
      </c>
      <c r="DT239" s="21">
        <v>45090</v>
      </c>
      <c r="DU239" s="21">
        <v>45266</v>
      </c>
      <c r="DV239" s="21">
        <v>45266</v>
      </c>
      <c r="DW239" s="21">
        <v>45090</v>
      </c>
      <c r="DX239" s="21">
        <v>45090</v>
      </c>
      <c r="DY239" s="21">
        <v>45090</v>
      </c>
      <c r="DZ239" s="21">
        <v>0</v>
      </c>
      <c r="EA239" s="8">
        <v>700</v>
      </c>
      <c r="EB239" s="8">
        <v>700</v>
      </c>
      <c r="EC239" s="8">
        <v>700</v>
      </c>
      <c r="ED239" s="8">
        <v>700</v>
      </c>
      <c r="EE239" s="8">
        <v>700</v>
      </c>
      <c r="EF239" s="8">
        <v>910</v>
      </c>
      <c r="EG239" s="8">
        <v>1000</v>
      </c>
      <c r="EH239" s="8">
        <v>910</v>
      </c>
      <c r="EI239" s="8">
        <v>910</v>
      </c>
      <c r="EJ239" s="8">
        <v>4</v>
      </c>
      <c r="EK239" s="8" t="s">
        <v>2624</v>
      </c>
      <c r="EL239" s="8">
        <v>172</v>
      </c>
      <c r="EM239" s="8">
        <v>688</v>
      </c>
      <c r="EN239" s="8">
        <v>412</v>
      </c>
      <c r="EO239" s="8">
        <v>412</v>
      </c>
      <c r="EP239" s="8">
        <v>412</v>
      </c>
      <c r="EQ239" s="8">
        <v>412</v>
      </c>
      <c r="ER239" s="8">
        <v>412</v>
      </c>
      <c r="ES239" s="8">
        <v>622</v>
      </c>
      <c r="ET239" s="8">
        <v>712</v>
      </c>
      <c r="EU239" s="8">
        <v>622</v>
      </c>
      <c r="EV239" s="8">
        <v>622</v>
      </c>
    </row>
    <row r="240" spans="1:152" x14ac:dyDescent="0.15">
      <c r="A240" s="8">
        <f>ROW([2]!tbl_DPSAC[[#This Row],[Sl. No.]])-1</f>
        <v>239</v>
      </c>
      <c r="B240" s="9" t="s">
        <v>196</v>
      </c>
      <c r="C240" s="9" t="s">
        <v>1280</v>
      </c>
      <c r="D240" s="9" t="s">
        <v>175</v>
      </c>
      <c r="E240" s="9" t="s">
        <v>176</v>
      </c>
      <c r="F240" s="9" t="s">
        <v>140</v>
      </c>
      <c r="G240" s="10" t="s">
        <v>263</v>
      </c>
      <c r="H240" s="10" t="str">
        <f>_xlfn.XLOOKUP(C240,'[1]E&amp;DPSAC'!$K:$K,'[1]E&amp;DPSAC'!$E:$E,,0)</f>
        <v>GAYA BIHAR</v>
      </c>
      <c r="I240" s="10"/>
      <c r="J240" s="10">
        <v>8210812409</v>
      </c>
      <c r="K240" s="10">
        <f>_xlfn.XLOOKUP(C240,'[1]E&amp;DPSAC'!$K:$K,'[1]E&amp;DPSAC'!$G:$G,"",0)</f>
        <v>8210812409</v>
      </c>
      <c r="L240" s="9" t="str">
        <f t="shared" ca="1" si="12"/>
        <v>Non - Warranty</v>
      </c>
      <c r="M240" s="11">
        <v>43563</v>
      </c>
      <c r="N240" s="12">
        <v>36</v>
      </c>
      <c r="O240" s="11">
        <f t="shared" si="13"/>
        <v>44681</v>
      </c>
      <c r="P240" s="8" t="s">
        <v>681</v>
      </c>
      <c r="Q240" s="16" t="s">
        <v>1281</v>
      </c>
      <c r="R240" s="15">
        <v>45983.416006944397</v>
      </c>
      <c r="S240" s="14">
        <v>6500</v>
      </c>
      <c r="T240" s="15">
        <v>45199</v>
      </c>
      <c r="U240" s="14">
        <v>4254</v>
      </c>
      <c r="V240" s="14">
        <v>6500</v>
      </c>
      <c r="W240" s="17">
        <v>45983.416006944397</v>
      </c>
      <c r="X240" s="14" t="s">
        <v>2751</v>
      </c>
      <c r="Y240" s="14">
        <v>750</v>
      </c>
      <c r="Z240" s="14" t="s">
        <v>2692</v>
      </c>
      <c r="AA240" s="18">
        <v>129.58399305560306</v>
      </c>
      <c r="AB240" s="18" t="s">
        <v>2692</v>
      </c>
      <c r="AC240" s="8">
        <f>tbl_DPSAC[[#This Row],[Current Month Due Count]]</f>
        <v>0</v>
      </c>
      <c r="AD240" s="8">
        <f>tbl_DPSAC[[#This Row],[Next Month Due2]]</f>
        <v>4</v>
      </c>
      <c r="AE240" s="8">
        <f t="shared" si="14"/>
        <v>0</v>
      </c>
      <c r="AF240" s="8">
        <v>3</v>
      </c>
      <c r="AG240" s="14">
        <f t="shared" ca="1" si="15"/>
        <v>6889</v>
      </c>
      <c r="AH240" s="8">
        <v>0</v>
      </c>
      <c r="AI240" s="8">
        <v>0</v>
      </c>
      <c r="AJ240" s="8">
        <v>0</v>
      </c>
      <c r="AK240" s="8">
        <v>0</v>
      </c>
      <c r="AL240" s="8">
        <v>0</v>
      </c>
      <c r="AM240" s="8">
        <v>0</v>
      </c>
      <c r="AN240" s="8">
        <v>0</v>
      </c>
      <c r="AO240" s="8">
        <v>0</v>
      </c>
      <c r="AP240" s="8">
        <v>0</v>
      </c>
      <c r="AQ240" s="8">
        <v>0</v>
      </c>
      <c r="AR240" s="8">
        <v>0</v>
      </c>
      <c r="AS240" s="8">
        <v>0</v>
      </c>
      <c r="AT240" s="8">
        <v>0</v>
      </c>
      <c r="AU240" s="8">
        <v>0</v>
      </c>
      <c r="AV240" s="8">
        <v>0</v>
      </c>
      <c r="AW240" s="8">
        <v>0</v>
      </c>
      <c r="AX240" s="8" t="s">
        <v>2007</v>
      </c>
      <c r="AY240" s="14">
        <v>6500</v>
      </c>
      <c r="AZ240" s="19">
        <v>45983</v>
      </c>
      <c r="BA240" s="14" t="s">
        <v>1281</v>
      </c>
      <c r="BB240" s="14">
        <v>6500</v>
      </c>
      <c r="BC240" s="19">
        <v>45983</v>
      </c>
      <c r="BD240" s="14" t="s">
        <v>1281</v>
      </c>
      <c r="BE240" s="14">
        <v>6500</v>
      </c>
      <c r="BF240" s="19">
        <v>45983</v>
      </c>
      <c r="BG240" s="14" t="s">
        <v>1281</v>
      </c>
      <c r="BH240" s="14">
        <v>6500</v>
      </c>
      <c r="BI240" s="19">
        <v>45983</v>
      </c>
      <c r="BJ240" s="14" t="s">
        <v>1281</v>
      </c>
      <c r="BK240" s="14">
        <v>6500</v>
      </c>
      <c r="BL240" s="19">
        <v>45983</v>
      </c>
      <c r="BM240" s="14" t="s">
        <v>1281</v>
      </c>
      <c r="BN240" s="27">
        <v>46163</v>
      </c>
      <c r="BO240" s="27">
        <v>46163</v>
      </c>
      <c r="BP240" s="27">
        <v>46163</v>
      </c>
      <c r="BQ240" s="27">
        <v>46163</v>
      </c>
      <c r="BR240" s="27">
        <v>46348</v>
      </c>
      <c r="BS240" s="28">
        <v>361</v>
      </c>
      <c r="BT240" s="29">
        <v>1111</v>
      </c>
      <c r="BU240" s="29">
        <v>361</v>
      </c>
      <c r="BV240" s="29">
        <v>361</v>
      </c>
      <c r="BW240" s="29">
        <v>1111</v>
      </c>
      <c r="BX240" s="30" t="s">
        <v>173</v>
      </c>
      <c r="BY240" s="8">
        <v>0</v>
      </c>
      <c r="BZ240" s="8">
        <v>0</v>
      </c>
      <c r="CA240" s="8">
        <v>4</v>
      </c>
      <c r="CB240" s="21">
        <v>45982.770833333299</v>
      </c>
      <c r="CC240" s="21">
        <v>45982.770833333299</v>
      </c>
      <c r="CD240" s="21">
        <v>45982.770833333299</v>
      </c>
      <c r="CE240" s="21">
        <v>45982.770833333299</v>
      </c>
      <c r="CF240" s="21">
        <v>45982.770833333299</v>
      </c>
      <c r="CG240" s="21">
        <v>45982.770833333299</v>
      </c>
      <c r="CH240" s="21">
        <v>45982.770833333299</v>
      </c>
      <c r="CI240" s="21">
        <v>45982.770833333299</v>
      </c>
      <c r="CJ240" s="21">
        <v>45982.770833333299</v>
      </c>
      <c r="CK240" s="22" t="s">
        <v>2956</v>
      </c>
      <c r="CL240" s="22" t="s">
        <v>2957</v>
      </c>
      <c r="CM240" s="22" t="s">
        <v>2959</v>
      </c>
      <c r="CN240" s="22" t="s">
        <v>2957</v>
      </c>
      <c r="CO240" s="22" t="s">
        <v>2957</v>
      </c>
      <c r="CP240" s="22" t="s">
        <v>2956</v>
      </c>
      <c r="CQ240" s="22" t="s">
        <v>2953</v>
      </c>
      <c r="CR240" s="22" t="s">
        <v>2956</v>
      </c>
      <c r="CS240" s="22" t="s">
        <v>2960</v>
      </c>
      <c r="CT240" s="22">
        <v>6</v>
      </c>
      <c r="CU240" s="21">
        <v>46162</v>
      </c>
      <c r="CV240" s="21">
        <v>46108</v>
      </c>
      <c r="CW240" s="21">
        <v>46066</v>
      </c>
      <c r="CX240" s="21">
        <v>46108</v>
      </c>
      <c r="CY240" s="21">
        <v>46108</v>
      </c>
      <c r="CZ240" s="21">
        <v>46233</v>
      </c>
      <c r="DA240" s="21">
        <v>46149</v>
      </c>
      <c r="DB240" s="21">
        <v>46162</v>
      </c>
      <c r="DC240" s="21">
        <v>46347</v>
      </c>
      <c r="DD240" s="8">
        <v>0</v>
      </c>
      <c r="DE240" s="8">
        <v>1</v>
      </c>
      <c r="DF240" s="8">
        <v>1</v>
      </c>
      <c r="DG240" s="8">
        <v>4</v>
      </c>
      <c r="DH240" s="8">
        <v>0</v>
      </c>
      <c r="DI240" s="8">
        <v>3</v>
      </c>
      <c r="DJ240" s="8" t="s">
        <v>3025</v>
      </c>
      <c r="DK240" s="21">
        <v>43563</v>
      </c>
      <c r="DL240" s="21">
        <v>43528.229166666664</v>
      </c>
      <c r="DM240" s="21">
        <v>45983</v>
      </c>
      <c r="DN240" s="18">
        <v>6500</v>
      </c>
      <c r="DO240" s="21">
        <v>0</v>
      </c>
      <c r="DP240" s="21">
        <v>0</v>
      </c>
      <c r="DQ240" s="21" t="s">
        <v>2955</v>
      </c>
      <c r="DR240" s="21">
        <v>45983</v>
      </c>
      <c r="DS240" s="21">
        <v>45983</v>
      </c>
      <c r="DT240" s="21">
        <v>45983</v>
      </c>
      <c r="DU240" s="21">
        <v>45983</v>
      </c>
      <c r="DV240" s="21">
        <v>45983</v>
      </c>
      <c r="DW240" s="21">
        <v>45983</v>
      </c>
      <c r="DX240" s="21">
        <v>45983</v>
      </c>
      <c r="DY240" s="21">
        <v>45983</v>
      </c>
      <c r="DZ240" s="21">
        <v>45983</v>
      </c>
      <c r="EA240" s="8">
        <v>1500</v>
      </c>
      <c r="EB240" s="8">
        <v>750</v>
      </c>
      <c r="EC240" s="8">
        <v>500</v>
      </c>
      <c r="ED240" s="8">
        <v>750</v>
      </c>
      <c r="EE240" s="8">
        <v>750</v>
      </c>
      <c r="EF240" s="8">
        <v>1500</v>
      </c>
      <c r="EG240" s="8">
        <v>1000</v>
      </c>
      <c r="EH240" s="8">
        <v>1500</v>
      </c>
      <c r="EI240" s="8">
        <v>3000</v>
      </c>
      <c r="EJ240" s="8">
        <v>6</v>
      </c>
      <c r="EK240" s="8" t="s">
        <v>2624</v>
      </c>
      <c r="EL240" s="8">
        <v>130</v>
      </c>
      <c r="EM240" s="8">
        <v>390</v>
      </c>
      <c r="EN240" s="8">
        <v>1212</v>
      </c>
      <c r="EO240" s="8">
        <v>462</v>
      </c>
      <c r="EP240" s="8">
        <v>212</v>
      </c>
      <c r="EQ240" s="8">
        <v>462</v>
      </c>
      <c r="ER240" s="8">
        <v>462</v>
      </c>
      <c r="ES240" s="8">
        <v>1212</v>
      </c>
      <c r="ET240" s="8">
        <v>712</v>
      </c>
      <c r="EU240" s="8">
        <v>1212</v>
      </c>
      <c r="EV240" s="8">
        <v>2712</v>
      </c>
    </row>
    <row r="241" spans="1:152" x14ac:dyDescent="0.15">
      <c r="A241" s="8">
        <f>ROW([2]!tbl_DPSAC[[#This Row],[Sl. No.]])-1</f>
        <v>240</v>
      </c>
      <c r="B241" s="9" t="s">
        <v>136</v>
      </c>
      <c r="C241" s="9" t="s">
        <v>1282</v>
      </c>
      <c r="D241" s="9" t="s">
        <v>251</v>
      </c>
      <c r="E241" s="9" t="s">
        <v>147</v>
      </c>
      <c r="F241" s="9" t="s">
        <v>140</v>
      </c>
      <c r="G241" s="10" t="s">
        <v>833</v>
      </c>
      <c r="H241" s="10" t="str">
        <f>_xlfn.XLOOKUP(C241,'[1]E&amp;DPSAC'!$K:$K,'[1]E&amp;DPSAC'!$E:$E,,0)</f>
        <v>CHATRA</v>
      </c>
      <c r="I241" s="10"/>
      <c r="J241" s="10">
        <v>7004915623</v>
      </c>
      <c r="K241" s="10">
        <f>_xlfn.XLOOKUP(C241,'[1]E&amp;DPSAC'!$K:$K,'[1]E&amp;DPSAC'!$G:$G,"",0)</f>
        <v>7004915623</v>
      </c>
      <c r="L241" s="9" t="str">
        <f t="shared" ca="1" si="12"/>
        <v>Non - Warranty</v>
      </c>
      <c r="M241" s="11">
        <v>43559</v>
      </c>
      <c r="N241" s="12">
        <v>36</v>
      </c>
      <c r="O241" s="11">
        <f t="shared" si="13"/>
        <v>44681</v>
      </c>
      <c r="P241" s="8" t="s">
        <v>681</v>
      </c>
      <c r="Q241" s="16" t="s">
        <v>1283</v>
      </c>
      <c r="R241" s="15">
        <v>46074.494988425897</v>
      </c>
      <c r="S241" s="14">
        <v>5835</v>
      </c>
      <c r="T241" s="15">
        <v>45742</v>
      </c>
      <c r="U241" s="14">
        <v>4910</v>
      </c>
      <c r="V241" s="14">
        <v>5835</v>
      </c>
      <c r="W241" s="17">
        <v>46074.494988425897</v>
      </c>
      <c r="X241" s="14" t="s">
        <v>2763</v>
      </c>
      <c r="Y241" s="14">
        <v>750</v>
      </c>
      <c r="Z241" s="14" t="s">
        <v>2692</v>
      </c>
      <c r="AA241" s="18">
        <v>38.505011574103264</v>
      </c>
      <c r="AB241" s="18" t="s">
        <v>2692</v>
      </c>
      <c r="AC241" s="8">
        <f>tbl_DPSAC[[#This Row],[Current Month Due Count]]</f>
        <v>0</v>
      </c>
      <c r="AD241" s="8">
        <f>tbl_DPSAC[[#This Row],[Next Month Due2]]</f>
        <v>0</v>
      </c>
      <c r="AE241" s="8">
        <f t="shared" si="14"/>
        <v>0</v>
      </c>
      <c r="AF241" s="8">
        <v>3</v>
      </c>
      <c r="AG241" s="14">
        <f t="shared" ca="1" si="15"/>
        <v>5951</v>
      </c>
      <c r="AH241" s="8">
        <v>0</v>
      </c>
      <c r="AI241" s="8">
        <v>0</v>
      </c>
      <c r="AJ241" s="8">
        <v>0</v>
      </c>
      <c r="AK241" s="8">
        <v>0</v>
      </c>
      <c r="AL241" s="8">
        <v>0</v>
      </c>
      <c r="AM241" s="8">
        <v>0</v>
      </c>
      <c r="AN241" s="8">
        <v>0</v>
      </c>
      <c r="AO241" s="8">
        <v>0</v>
      </c>
      <c r="AP241" s="8">
        <v>0</v>
      </c>
      <c r="AQ241" s="8">
        <v>0</v>
      </c>
      <c r="AR241" s="8">
        <v>0</v>
      </c>
      <c r="AS241" s="8">
        <v>0</v>
      </c>
      <c r="AT241" s="8">
        <v>0</v>
      </c>
      <c r="AU241" s="8">
        <v>0</v>
      </c>
      <c r="AV241" s="8">
        <v>0</v>
      </c>
      <c r="AW241" s="8">
        <v>0</v>
      </c>
      <c r="AX241" s="8" t="s">
        <v>2007</v>
      </c>
      <c r="AY241" s="14">
        <v>5835</v>
      </c>
      <c r="AZ241" s="19">
        <v>46074</v>
      </c>
      <c r="BA241" s="14" t="s">
        <v>1283</v>
      </c>
      <c r="BB241" s="14">
        <v>5835</v>
      </c>
      <c r="BC241" s="19">
        <v>46074</v>
      </c>
      <c r="BD241" s="14" t="s">
        <v>1283</v>
      </c>
      <c r="BE241" s="14">
        <v>5835</v>
      </c>
      <c r="BF241" s="19">
        <v>46074</v>
      </c>
      <c r="BG241" s="14" t="s">
        <v>1283</v>
      </c>
      <c r="BH241" s="14">
        <v>5835</v>
      </c>
      <c r="BI241" s="19">
        <v>46074</v>
      </c>
      <c r="BJ241" s="14" t="s">
        <v>1283</v>
      </c>
      <c r="BK241" s="14">
        <v>5835</v>
      </c>
      <c r="BL241" s="19">
        <v>46074</v>
      </c>
      <c r="BM241" s="14" t="s">
        <v>1283</v>
      </c>
      <c r="BN241" s="27">
        <v>46254</v>
      </c>
      <c r="BO241" s="27">
        <v>46254</v>
      </c>
      <c r="BP241" s="27">
        <v>46254</v>
      </c>
      <c r="BQ241" s="27">
        <v>46254</v>
      </c>
      <c r="BR241" s="27">
        <v>46439</v>
      </c>
      <c r="BS241" s="28">
        <v>634</v>
      </c>
      <c r="BT241" s="29">
        <v>1384</v>
      </c>
      <c r="BU241" s="29">
        <v>634</v>
      </c>
      <c r="BV241" s="29">
        <v>634</v>
      </c>
      <c r="BW241" s="29">
        <v>1384</v>
      </c>
      <c r="BX241" s="30" t="s">
        <v>173</v>
      </c>
      <c r="BY241" s="8">
        <v>0</v>
      </c>
      <c r="BZ241" s="8">
        <v>0</v>
      </c>
      <c r="CA241" s="8">
        <v>0</v>
      </c>
      <c r="CB241" s="21">
        <v>46073.770833333299</v>
      </c>
      <c r="CC241" s="21">
        <v>46073.770833333299</v>
      </c>
      <c r="CD241" s="21">
        <v>46073.770833333299</v>
      </c>
      <c r="CE241" s="21">
        <v>46073.770833333299</v>
      </c>
      <c r="CF241" s="21">
        <v>46073.770833333299</v>
      </c>
      <c r="CG241" s="21">
        <v>46073.770833333299</v>
      </c>
      <c r="CH241" s="21">
        <v>46073.770833333299</v>
      </c>
      <c r="CI241" s="21">
        <v>46073.770833333299</v>
      </c>
      <c r="CJ241" s="21">
        <v>46073.770833333299</v>
      </c>
      <c r="CK241" s="22" t="s">
        <v>2956</v>
      </c>
      <c r="CL241" s="22" t="s">
        <v>2957</v>
      </c>
      <c r="CM241" s="22" t="s">
        <v>2959</v>
      </c>
      <c r="CN241" s="22" t="s">
        <v>2957</v>
      </c>
      <c r="CO241" s="22" t="s">
        <v>2957</v>
      </c>
      <c r="CP241" s="22" t="s">
        <v>2956</v>
      </c>
      <c r="CQ241" s="22" t="s">
        <v>2953</v>
      </c>
      <c r="CR241" s="22" t="s">
        <v>2956</v>
      </c>
      <c r="CS241" s="22" t="s">
        <v>2960</v>
      </c>
      <c r="CT241" s="22">
        <v>8</v>
      </c>
      <c r="CU241" s="21">
        <v>46253</v>
      </c>
      <c r="CV241" s="21">
        <v>46167</v>
      </c>
      <c r="CW241" s="21">
        <v>46136</v>
      </c>
      <c r="CX241" s="21">
        <v>46167</v>
      </c>
      <c r="CY241" s="21">
        <v>46167</v>
      </c>
      <c r="CZ241" s="21">
        <v>46261</v>
      </c>
      <c r="DA241" s="21">
        <v>46199</v>
      </c>
      <c r="DB241" s="21">
        <v>46253</v>
      </c>
      <c r="DC241" s="21">
        <v>46438</v>
      </c>
      <c r="DD241" s="8">
        <v>0</v>
      </c>
      <c r="DE241" s="8">
        <v>0</v>
      </c>
      <c r="DF241" s="8">
        <v>0</v>
      </c>
      <c r="DG241" s="8">
        <v>0</v>
      </c>
      <c r="DH241" s="8">
        <v>1</v>
      </c>
      <c r="DI241" s="8">
        <v>3</v>
      </c>
      <c r="DJ241" s="8" t="s">
        <v>3025</v>
      </c>
      <c r="DK241" s="21">
        <v>43559</v>
      </c>
      <c r="DL241" s="21">
        <v>43539.229166666664</v>
      </c>
      <c r="DM241" s="21">
        <v>46074</v>
      </c>
      <c r="DN241" s="18">
        <v>5835</v>
      </c>
      <c r="DO241" s="21">
        <v>0</v>
      </c>
      <c r="DP241" s="21">
        <v>0</v>
      </c>
      <c r="DQ241" s="21" t="s">
        <v>2955</v>
      </c>
      <c r="DR241" s="21">
        <v>46074</v>
      </c>
      <c r="DS241" s="21">
        <v>46074</v>
      </c>
      <c r="DT241" s="21">
        <v>46074</v>
      </c>
      <c r="DU241" s="21">
        <v>46074</v>
      </c>
      <c r="DV241" s="21">
        <v>46074</v>
      </c>
      <c r="DW241" s="21">
        <v>46074</v>
      </c>
      <c r="DX241" s="21">
        <v>46074</v>
      </c>
      <c r="DY241" s="21">
        <v>46074</v>
      </c>
      <c r="DZ241" s="21">
        <v>46074</v>
      </c>
      <c r="EA241" s="8">
        <v>1500</v>
      </c>
      <c r="EB241" s="8">
        <v>750</v>
      </c>
      <c r="EC241" s="8">
        <v>500</v>
      </c>
      <c r="ED241" s="8">
        <v>750</v>
      </c>
      <c r="EE241" s="8">
        <v>750</v>
      </c>
      <c r="EF241" s="8">
        <v>1500</v>
      </c>
      <c r="EG241" s="8">
        <v>1000</v>
      </c>
      <c r="EH241" s="8">
        <v>1500</v>
      </c>
      <c r="EI241" s="8">
        <v>3000</v>
      </c>
      <c r="EJ241" s="8">
        <v>8</v>
      </c>
      <c r="EK241" s="8" t="s">
        <v>2624</v>
      </c>
      <c r="EL241" s="8">
        <v>39</v>
      </c>
      <c r="EM241" s="8">
        <v>117</v>
      </c>
      <c r="EN241" s="8">
        <v>1212</v>
      </c>
      <c r="EO241" s="8">
        <v>462</v>
      </c>
      <c r="EP241" s="8">
        <v>212</v>
      </c>
      <c r="EQ241" s="8">
        <v>462</v>
      </c>
      <c r="ER241" s="8">
        <v>462</v>
      </c>
      <c r="ES241" s="8">
        <v>1212</v>
      </c>
      <c r="ET241" s="8">
        <v>712</v>
      </c>
      <c r="EU241" s="8">
        <v>1212</v>
      </c>
      <c r="EV241" s="8">
        <v>2712</v>
      </c>
    </row>
    <row r="242" spans="1:152" x14ac:dyDescent="0.15">
      <c r="A242" s="8">
        <f>ROW([2]!tbl_DPSAC[[#This Row],[Sl. No.]])-1</f>
        <v>241</v>
      </c>
      <c r="B242" s="9" t="s">
        <v>136</v>
      </c>
      <c r="C242" s="9" t="s">
        <v>1284</v>
      </c>
      <c r="D242" s="9" t="s">
        <v>154</v>
      </c>
      <c r="E242" s="9" t="s">
        <v>155</v>
      </c>
      <c r="F242" s="9" t="s">
        <v>140</v>
      </c>
      <c r="G242" s="10" t="s">
        <v>1285</v>
      </c>
      <c r="H242" s="10" t="str">
        <f>_xlfn.XLOOKUP(C242,'[1]E&amp;DPSAC'!$K:$K,'[1]E&amp;DPSAC'!$E:$E,,0)</f>
        <v>DALADALI, RANCHI</v>
      </c>
      <c r="I242" s="10"/>
      <c r="J242" s="10">
        <v>9122499673</v>
      </c>
      <c r="K242" s="10">
        <f>_xlfn.XLOOKUP(C242,'[1]E&amp;DPSAC'!$K:$K,'[1]E&amp;DPSAC'!$G:$G,"",0)</f>
        <v>8002261962</v>
      </c>
      <c r="L242" s="9" t="str">
        <f t="shared" ca="1" si="12"/>
        <v>Non - Warranty</v>
      </c>
      <c r="M242" s="11">
        <v>43584</v>
      </c>
      <c r="N242" s="12">
        <v>36</v>
      </c>
      <c r="O242" s="11">
        <f t="shared" si="13"/>
        <v>44681</v>
      </c>
      <c r="P242" s="8" t="s">
        <v>157</v>
      </c>
      <c r="Q242" s="16" t="s">
        <v>1286</v>
      </c>
      <c r="R242" s="15">
        <v>45832.427407407398</v>
      </c>
      <c r="S242" s="14">
        <v>9742</v>
      </c>
      <c r="T242" s="15">
        <v>45833</v>
      </c>
      <c r="U242" s="14">
        <v>9746</v>
      </c>
      <c r="V242" s="14">
        <v>9742</v>
      </c>
      <c r="W242" s="17">
        <v>45832.427407407398</v>
      </c>
      <c r="X242" s="14" t="s">
        <v>2794</v>
      </c>
      <c r="Y242" s="14">
        <v>750</v>
      </c>
      <c r="Z242" s="14" t="s">
        <v>2692</v>
      </c>
      <c r="AA242" s="18">
        <v>280.57259259260172</v>
      </c>
      <c r="AB242" s="18" t="s">
        <v>2697</v>
      </c>
      <c r="AC242" s="8">
        <f>tbl_DPSAC[[#This Row],[Current Month Due Count]]</f>
        <v>0</v>
      </c>
      <c r="AD242" s="8">
        <f>tbl_DPSAC[[#This Row],[Next Month Due2]]</f>
        <v>0</v>
      </c>
      <c r="AE242" s="8">
        <f t="shared" si="14"/>
        <v>1</v>
      </c>
      <c r="AF242" s="8">
        <v>6</v>
      </c>
      <c r="AG242" s="14">
        <f t="shared" ca="1" si="15"/>
        <v>11425</v>
      </c>
      <c r="AH242" s="8">
        <v>0</v>
      </c>
      <c r="AI242" s="8">
        <v>0</v>
      </c>
      <c r="AJ242" s="8">
        <v>0</v>
      </c>
      <c r="AK242" s="8">
        <v>0</v>
      </c>
      <c r="AL242" s="8">
        <v>0</v>
      </c>
      <c r="AM242" s="8">
        <v>0</v>
      </c>
      <c r="AN242" s="8">
        <v>0</v>
      </c>
      <c r="AO242" s="8">
        <v>0</v>
      </c>
      <c r="AP242" s="8">
        <v>0</v>
      </c>
      <c r="AQ242" s="8">
        <v>0</v>
      </c>
      <c r="AR242" s="8">
        <v>0</v>
      </c>
      <c r="AS242" s="8">
        <v>0</v>
      </c>
      <c r="AT242" s="8">
        <v>0</v>
      </c>
      <c r="AU242" s="8">
        <v>0</v>
      </c>
      <c r="AV242" s="8">
        <v>0</v>
      </c>
      <c r="AW242" s="8">
        <v>0</v>
      </c>
      <c r="AX242" s="8" t="s">
        <v>2961</v>
      </c>
      <c r="AY242" s="14">
        <v>9742</v>
      </c>
      <c r="AZ242" s="19">
        <v>45832</v>
      </c>
      <c r="BA242" s="14" t="s">
        <v>1286</v>
      </c>
      <c r="BB242" s="14">
        <v>9742</v>
      </c>
      <c r="BC242" s="19">
        <v>45832</v>
      </c>
      <c r="BD242" s="14" t="s">
        <v>1286</v>
      </c>
      <c r="BE242" s="14">
        <v>9742</v>
      </c>
      <c r="BF242" s="19">
        <v>45832</v>
      </c>
      <c r="BG242" s="14" t="s">
        <v>1286</v>
      </c>
      <c r="BH242" s="14">
        <v>9742</v>
      </c>
      <c r="BI242" s="19">
        <v>45832</v>
      </c>
      <c r="BJ242" s="14" t="s">
        <v>1286</v>
      </c>
      <c r="BK242" s="14">
        <v>9742</v>
      </c>
      <c r="BL242" s="19">
        <v>45832</v>
      </c>
      <c r="BM242" s="14" t="s">
        <v>1286</v>
      </c>
      <c r="BN242" s="27">
        <v>46012</v>
      </c>
      <c r="BO242" s="27">
        <v>46012</v>
      </c>
      <c r="BP242" s="27">
        <v>46012</v>
      </c>
      <c r="BQ242" s="27">
        <v>46012</v>
      </c>
      <c r="BR242" s="27">
        <v>46197</v>
      </c>
      <c r="BS242" s="28">
        <v>-933</v>
      </c>
      <c r="BT242" s="29">
        <v>-183</v>
      </c>
      <c r="BU242" s="29">
        <v>-933</v>
      </c>
      <c r="BV242" s="29">
        <v>-933</v>
      </c>
      <c r="BW242" s="29">
        <v>-183</v>
      </c>
      <c r="BX242" s="8" t="s">
        <v>1016</v>
      </c>
      <c r="BY242" s="8">
        <v>4</v>
      </c>
      <c r="BZ242" s="8">
        <v>0</v>
      </c>
      <c r="CA242" s="8">
        <v>0</v>
      </c>
      <c r="CB242" s="21">
        <v>45831.770833333299</v>
      </c>
      <c r="CC242" s="21">
        <v>44964.770833333299</v>
      </c>
      <c r="CD242" s="21">
        <v>44964.770833333299</v>
      </c>
      <c r="CE242" s="21">
        <v>45831.770833333299</v>
      </c>
      <c r="CF242" s="21">
        <v>45831.770833333299</v>
      </c>
      <c r="CG242" s="21">
        <v>45831.770833333299</v>
      </c>
      <c r="CH242" s="21">
        <v>0</v>
      </c>
      <c r="CI242" s="21">
        <v>0</v>
      </c>
      <c r="CJ242" s="21">
        <v>0</v>
      </c>
      <c r="CK242" s="22" t="s">
        <v>2957</v>
      </c>
      <c r="CL242" s="22" t="s">
        <v>2957</v>
      </c>
      <c r="CM242" s="22" t="s">
        <v>2957</v>
      </c>
      <c r="CN242" s="22" t="s">
        <v>2957</v>
      </c>
      <c r="CO242" s="22" t="s">
        <v>2957</v>
      </c>
      <c r="CP242" s="22" t="s">
        <v>2956</v>
      </c>
      <c r="CQ242" s="22" t="s">
        <v>2953</v>
      </c>
      <c r="CR242" s="22" t="s">
        <v>2956</v>
      </c>
      <c r="CS242" s="22" t="s">
        <v>2956</v>
      </c>
      <c r="CT242" s="22">
        <v>8</v>
      </c>
      <c r="CU242" s="21">
        <v>45926</v>
      </c>
      <c r="CV242" s="21">
        <v>45144</v>
      </c>
      <c r="CW242" s="21">
        <v>45144</v>
      </c>
      <c r="CX242" s="21">
        <v>45926</v>
      </c>
      <c r="CY242" s="21">
        <v>45926</v>
      </c>
      <c r="CZ242" s="21">
        <v>46020</v>
      </c>
      <c r="DA242" s="21">
        <v>45823</v>
      </c>
      <c r="DB242" s="21">
        <v>46013</v>
      </c>
      <c r="DC242" s="21">
        <v>46011</v>
      </c>
      <c r="DD242" s="8">
        <v>1</v>
      </c>
      <c r="DE242" s="8">
        <v>0</v>
      </c>
      <c r="DF242" s="8">
        <v>0</v>
      </c>
      <c r="DG242" s="8">
        <v>9</v>
      </c>
      <c r="DH242" s="8">
        <v>0</v>
      </c>
      <c r="DI242" s="8">
        <v>0</v>
      </c>
      <c r="DJ242" s="8" t="s">
        <v>2954</v>
      </c>
      <c r="DK242" s="21">
        <v>43584</v>
      </c>
      <c r="DL242" s="21">
        <v>43546.333333333336</v>
      </c>
      <c r="DM242" s="21">
        <v>45833</v>
      </c>
      <c r="DN242" s="18">
        <v>9742</v>
      </c>
      <c r="DO242" s="21">
        <v>0</v>
      </c>
      <c r="DP242" s="21">
        <v>0</v>
      </c>
      <c r="DQ242" s="21" t="s">
        <v>2955</v>
      </c>
      <c r="DR242" s="21">
        <v>45832</v>
      </c>
      <c r="DS242" s="21">
        <v>44965</v>
      </c>
      <c r="DT242" s="21">
        <v>44965</v>
      </c>
      <c r="DU242" s="21">
        <v>45832</v>
      </c>
      <c r="DV242" s="21">
        <v>45832</v>
      </c>
      <c r="DW242" s="21">
        <v>45832</v>
      </c>
      <c r="DX242" s="21">
        <v>0</v>
      </c>
      <c r="DY242" s="21">
        <v>0</v>
      </c>
      <c r="DZ242" s="21">
        <v>0</v>
      </c>
      <c r="EA242" s="8">
        <v>750</v>
      </c>
      <c r="EB242" s="8">
        <v>750</v>
      </c>
      <c r="EC242" s="8">
        <v>750</v>
      </c>
      <c r="ED242" s="8">
        <v>750</v>
      </c>
      <c r="EE242" s="8">
        <v>750</v>
      </c>
      <c r="EF242" s="8">
        <v>1500</v>
      </c>
      <c r="EG242" s="8">
        <v>1000</v>
      </c>
      <c r="EH242" s="8">
        <v>1500</v>
      </c>
      <c r="EI242" s="8">
        <v>1500</v>
      </c>
      <c r="EJ242" s="8">
        <v>8</v>
      </c>
      <c r="EK242" s="8" t="s">
        <v>157</v>
      </c>
      <c r="EL242" s="8">
        <v>281</v>
      </c>
      <c r="EM242" s="8">
        <v>1686</v>
      </c>
      <c r="EN242" s="8">
        <v>462</v>
      </c>
      <c r="EO242" s="8">
        <v>462</v>
      </c>
      <c r="EP242" s="8">
        <v>462</v>
      </c>
      <c r="EQ242" s="8">
        <v>462</v>
      </c>
      <c r="ER242" s="8">
        <v>462</v>
      </c>
      <c r="ES242" s="8">
        <v>1212</v>
      </c>
      <c r="ET242" s="8">
        <v>712</v>
      </c>
      <c r="EU242" s="8">
        <v>1212</v>
      </c>
      <c r="EV242" s="8">
        <v>1212</v>
      </c>
    </row>
    <row r="243" spans="1:152" x14ac:dyDescent="0.15">
      <c r="A243" s="8">
        <f>ROW([2]!tbl_DPSAC[[#This Row],[Sl. No.]])-1</f>
        <v>242</v>
      </c>
      <c r="B243" s="9" t="s">
        <v>136</v>
      </c>
      <c r="C243" s="9" t="s">
        <v>1287</v>
      </c>
      <c r="D243" s="9" t="s">
        <v>154</v>
      </c>
      <c r="E243" s="9" t="s">
        <v>155</v>
      </c>
      <c r="F243" s="9" t="s">
        <v>140</v>
      </c>
      <c r="G243" s="10" t="s">
        <v>1288</v>
      </c>
      <c r="H243" s="10" t="str">
        <f>_xlfn.XLOOKUP(C243,'[1]E&amp;DPSAC'!$K:$K,'[1]E&amp;DPSAC'!$E:$E,,0)</f>
        <v>KATHITAND, RANCHI</v>
      </c>
      <c r="I243" s="10"/>
      <c r="J243" s="10">
        <v>7904455688</v>
      </c>
      <c r="K243" s="10">
        <f>_xlfn.XLOOKUP(C243,'[1]E&amp;DPSAC'!$K:$K,'[1]E&amp;DPSAC'!$G:$G,"",0)</f>
        <v>9385466416</v>
      </c>
      <c r="L243" s="9" t="str">
        <f t="shared" ca="1" si="12"/>
        <v>Non - Warranty</v>
      </c>
      <c r="M243" s="11">
        <v>43585.599305555603</v>
      </c>
      <c r="N243" s="12">
        <v>36</v>
      </c>
      <c r="O243" s="11">
        <f t="shared" si="13"/>
        <v>44681</v>
      </c>
      <c r="P243" s="8" t="s">
        <v>142</v>
      </c>
      <c r="Q243" s="16" t="s">
        <v>1289</v>
      </c>
      <c r="R243" s="15">
        <v>45113.576099537</v>
      </c>
      <c r="S243" s="14">
        <v>4400</v>
      </c>
      <c r="T243" s="15">
        <v>45113</v>
      </c>
      <c r="U243" s="14">
        <v>4400</v>
      </c>
      <c r="V243" s="14">
        <v>7240</v>
      </c>
      <c r="W243" s="17">
        <v>46042.526099536997</v>
      </c>
      <c r="X243" s="14" t="s">
        <v>2795</v>
      </c>
      <c r="Y243" s="14">
        <v>-2090</v>
      </c>
      <c r="Z243" s="14" t="s">
        <v>2697</v>
      </c>
      <c r="AA243" s="18">
        <v>999.42390046299988</v>
      </c>
      <c r="AB243" s="18" t="s">
        <v>2697</v>
      </c>
      <c r="AC243" s="8">
        <f>tbl_DPSAC[[#This Row],[Current Month Due Count]]</f>
        <v>0</v>
      </c>
      <c r="AD243" s="8">
        <f>tbl_DPSAC[[#This Row],[Next Month Due2]]</f>
        <v>0</v>
      </c>
      <c r="AE243" s="8">
        <f t="shared" si="14"/>
        <v>1</v>
      </c>
      <c r="AF243" s="8">
        <v>3</v>
      </c>
      <c r="AG243" s="14">
        <f t="shared" ca="1" si="15"/>
        <v>7451</v>
      </c>
      <c r="AH243" s="8">
        <v>0</v>
      </c>
      <c r="AI243" s="8">
        <v>0</v>
      </c>
      <c r="AJ243" s="8">
        <v>0</v>
      </c>
      <c r="AK243" s="8">
        <v>0</v>
      </c>
      <c r="AL243" s="8">
        <v>0</v>
      </c>
      <c r="AM243" s="8">
        <v>0</v>
      </c>
      <c r="AN243" s="8">
        <v>0</v>
      </c>
      <c r="AO243" s="8">
        <v>0</v>
      </c>
      <c r="AP243" s="8">
        <v>0</v>
      </c>
      <c r="AQ243" s="8">
        <v>0</v>
      </c>
      <c r="AR243" s="8">
        <v>0</v>
      </c>
      <c r="AS243" s="8">
        <v>0</v>
      </c>
      <c r="AT243" s="8">
        <v>0</v>
      </c>
      <c r="AU243" s="8">
        <v>0</v>
      </c>
      <c r="AV243" s="8">
        <v>0</v>
      </c>
      <c r="AW243" s="8">
        <v>0</v>
      </c>
      <c r="AX243" s="8" t="s">
        <v>2961</v>
      </c>
      <c r="AY243" s="14">
        <v>4400</v>
      </c>
      <c r="AZ243" s="19">
        <v>45113</v>
      </c>
      <c r="BA243" s="14" t="s">
        <v>1289</v>
      </c>
      <c r="BB243" s="14">
        <v>3295</v>
      </c>
      <c r="BC243" s="19">
        <v>44954</v>
      </c>
      <c r="BD243" s="14" t="s">
        <v>1290</v>
      </c>
      <c r="BE243" s="14">
        <v>4400</v>
      </c>
      <c r="BF243" s="19">
        <v>45113</v>
      </c>
      <c r="BG243" s="14" t="s">
        <v>1289</v>
      </c>
      <c r="BH243" s="14">
        <v>4400</v>
      </c>
      <c r="BI243" s="19">
        <v>45113</v>
      </c>
      <c r="BJ243" s="14" t="s">
        <v>1289</v>
      </c>
      <c r="BK243" s="14">
        <v>4400</v>
      </c>
      <c r="BL243" s="19">
        <v>45113</v>
      </c>
      <c r="BM243" s="14" t="s">
        <v>1289</v>
      </c>
      <c r="BN243" s="27">
        <v>45293</v>
      </c>
      <c r="BO243" s="27">
        <v>45134</v>
      </c>
      <c r="BP243" s="27">
        <v>45293</v>
      </c>
      <c r="BQ243" s="27">
        <v>45293</v>
      </c>
      <c r="BR243" s="27">
        <v>45478</v>
      </c>
      <c r="BS243" s="28">
        <v>-2301</v>
      </c>
      <c r="BT243" s="29">
        <v>-2656</v>
      </c>
      <c r="BU243" s="29">
        <v>-2301</v>
      </c>
      <c r="BV243" s="29">
        <v>-2301</v>
      </c>
      <c r="BW243" s="29">
        <v>-1551</v>
      </c>
      <c r="BX243" s="30" t="s">
        <v>152</v>
      </c>
      <c r="BY243" s="8">
        <v>5</v>
      </c>
      <c r="BZ243" s="8">
        <v>0</v>
      </c>
      <c r="CA243" s="8">
        <v>0</v>
      </c>
      <c r="CB243" s="21">
        <v>45112.770833333299</v>
      </c>
      <c r="CC243" s="21">
        <v>45112.770833333299</v>
      </c>
      <c r="CD243" s="21">
        <v>45112.770833333299</v>
      </c>
      <c r="CE243" s="21">
        <v>45112.770833333299</v>
      </c>
      <c r="CF243" s="21">
        <v>45112.770833333299</v>
      </c>
      <c r="CG243" s="21">
        <v>45091.770833333299</v>
      </c>
      <c r="CH243" s="21">
        <v>45112.770833333299</v>
      </c>
      <c r="CI243" s="21">
        <v>45112.770833333299</v>
      </c>
      <c r="CJ243" s="21">
        <v>45112.770833333299</v>
      </c>
      <c r="CK243" s="22" t="s">
        <v>3104</v>
      </c>
      <c r="CL243" s="22" t="s">
        <v>3104</v>
      </c>
      <c r="CM243" s="22" t="s">
        <v>3104</v>
      </c>
      <c r="CN243" s="22" t="s">
        <v>3104</v>
      </c>
      <c r="CO243" s="22" t="s">
        <v>3104</v>
      </c>
      <c r="CP243" s="22" t="s">
        <v>3104</v>
      </c>
      <c r="CQ243" s="22" t="s">
        <v>2953</v>
      </c>
      <c r="CR243" s="22" t="s">
        <v>3104</v>
      </c>
      <c r="CS243" s="22" t="s">
        <v>3104</v>
      </c>
      <c r="CT243" s="22">
        <v>3</v>
      </c>
      <c r="CU243" s="21">
        <v>45292</v>
      </c>
      <c r="CV243" s="21">
        <v>45292</v>
      </c>
      <c r="CW243" s="21">
        <v>45292</v>
      </c>
      <c r="CX243" s="21">
        <v>45292</v>
      </c>
      <c r="CY243" s="21">
        <v>45292</v>
      </c>
      <c r="CZ243" s="21">
        <v>45361</v>
      </c>
      <c r="DA243" s="21">
        <v>45477</v>
      </c>
      <c r="DB243" s="21">
        <v>45292</v>
      </c>
      <c r="DC243" s="21">
        <v>45477</v>
      </c>
      <c r="DD243" s="8">
        <v>1</v>
      </c>
      <c r="DE243" s="8">
        <v>0</v>
      </c>
      <c r="DF243" s="8">
        <v>0</v>
      </c>
      <c r="DG243" s="8">
        <v>9</v>
      </c>
      <c r="DH243" s="8">
        <v>0</v>
      </c>
      <c r="DI243" s="8">
        <v>0</v>
      </c>
      <c r="DJ243" s="8" t="s">
        <v>2954</v>
      </c>
      <c r="DK243" s="21">
        <v>43585</v>
      </c>
      <c r="DL243" s="21">
        <v>43551.333333333336</v>
      </c>
      <c r="DM243" s="21">
        <v>46042</v>
      </c>
      <c r="DN243" s="18">
        <v>7240</v>
      </c>
      <c r="DO243" s="21">
        <v>0</v>
      </c>
      <c r="DP243" s="21">
        <v>0</v>
      </c>
      <c r="DQ243" s="21" t="s">
        <v>2955</v>
      </c>
      <c r="DR243" s="21">
        <v>45113</v>
      </c>
      <c r="DS243" s="21">
        <v>45113</v>
      </c>
      <c r="DT243" s="21">
        <v>45113</v>
      </c>
      <c r="DU243" s="21">
        <v>45113</v>
      </c>
      <c r="DV243" s="21">
        <v>45113</v>
      </c>
      <c r="DW243" s="21">
        <v>45092</v>
      </c>
      <c r="DX243" s="21">
        <v>45113</v>
      </c>
      <c r="DY243" s="21">
        <v>45113</v>
      </c>
      <c r="DZ243" s="21">
        <v>45113</v>
      </c>
      <c r="EA243" s="8">
        <v>120</v>
      </c>
      <c r="EB243" s="8">
        <v>120</v>
      </c>
      <c r="EC243" s="8">
        <v>120</v>
      </c>
      <c r="ED243" s="8">
        <v>120</v>
      </c>
      <c r="EE243" s="8">
        <v>120</v>
      </c>
      <c r="EF243" s="8">
        <v>120</v>
      </c>
      <c r="EG243" s="8">
        <v>1000</v>
      </c>
      <c r="EH243" s="8">
        <v>120</v>
      </c>
      <c r="EI243" s="8">
        <v>120</v>
      </c>
      <c r="EJ243" s="8">
        <v>3</v>
      </c>
      <c r="EK243" s="8" t="s">
        <v>2624</v>
      </c>
      <c r="EL243" s="8">
        <v>70</v>
      </c>
      <c r="EM243" s="8">
        <v>210</v>
      </c>
      <c r="EN243" s="8">
        <v>-168</v>
      </c>
      <c r="EO243" s="8">
        <v>-168</v>
      </c>
      <c r="EP243" s="8">
        <v>-168</v>
      </c>
      <c r="EQ243" s="8">
        <v>-168</v>
      </c>
      <c r="ER243" s="8">
        <v>-168</v>
      </c>
      <c r="ES243" s="8">
        <v>-168</v>
      </c>
      <c r="ET243" s="8">
        <v>712</v>
      </c>
      <c r="EU243" s="8">
        <v>-168</v>
      </c>
      <c r="EV243" s="8">
        <v>-168</v>
      </c>
    </row>
    <row r="244" spans="1:152" x14ac:dyDescent="0.15">
      <c r="A244" s="8">
        <f>ROW([2]!tbl_DPSAC[[#This Row],[Sl. No.]])-1</f>
        <v>243</v>
      </c>
      <c r="B244" s="9" t="s">
        <v>136</v>
      </c>
      <c r="C244" s="9" t="s">
        <v>1291</v>
      </c>
      <c r="D244" s="9" t="s">
        <v>175</v>
      </c>
      <c r="E244" s="9" t="s">
        <v>176</v>
      </c>
      <c r="F244" s="9" t="s">
        <v>161</v>
      </c>
      <c r="G244" s="10" t="s">
        <v>1247</v>
      </c>
      <c r="H244" s="10" t="str">
        <f>_xlfn.XLOOKUP(C244,'[1]E&amp;DPSAC'!$K:$K,'[1]E&amp;DPSAC'!$E:$E,,0)</f>
        <v>SAHEBGANJ, JHARKHAND</v>
      </c>
      <c r="I244" s="10"/>
      <c r="J244" s="10">
        <v>9304930718</v>
      </c>
      <c r="K244" s="10">
        <f>_xlfn.XLOOKUP(C244,'[1]E&amp;DPSAC'!$K:$K,'[1]E&amp;DPSAC'!$G:$G,"",0)</f>
        <v>9065259183</v>
      </c>
      <c r="L244" s="9" t="str">
        <f t="shared" ca="1" si="12"/>
        <v>Non - Warranty</v>
      </c>
      <c r="M244" s="11">
        <v>44039.728472222203</v>
      </c>
      <c r="N244" s="12">
        <v>24</v>
      </c>
      <c r="O244" s="11">
        <f t="shared" si="13"/>
        <v>44773</v>
      </c>
      <c r="P244" s="8" t="s">
        <v>681</v>
      </c>
      <c r="Q244" s="16" t="s">
        <v>1295</v>
      </c>
      <c r="R244" s="15">
        <v>45266.493645833303</v>
      </c>
      <c r="S244" s="14">
        <v>4590</v>
      </c>
      <c r="T244" s="15">
        <v>45266</v>
      </c>
      <c r="U244" s="14">
        <v>4590</v>
      </c>
      <c r="V244" s="14">
        <v>5920</v>
      </c>
      <c r="W244" s="17">
        <v>45940.708333333336</v>
      </c>
      <c r="X244" s="14" t="s">
        <v>2726</v>
      </c>
      <c r="Y244" s="14">
        <v>-580</v>
      </c>
      <c r="Z244" s="14" t="s">
        <v>2697</v>
      </c>
      <c r="AA244" s="18">
        <v>846.50635416669684</v>
      </c>
      <c r="AB244" s="18" t="s">
        <v>2697</v>
      </c>
      <c r="AC244" s="8">
        <f>tbl_DPSAC[[#This Row],[Current Month Due Count]]</f>
        <v>0</v>
      </c>
      <c r="AD244" s="8">
        <f>tbl_DPSAC[[#This Row],[Next Month Due2]]</f>
        <v>0</v>
      </c>
      <c r="AE244" s="8">
        <f t="shared" si="14"/>
        <v>1</v>
      </c>
      <c r="AF244" s="8">
        <v>2</v>
      </c>
      <c r="AG244" s="14">
        <f t="shared" ca="1" si="15"/>
        <v>6265</v>
      </c>
      <c r="AH244" s="8" t="s">
        <v>1292</v>
      </c>
      <c r="AI244" s="8" t="s">
        <v>1293</v>
      </c>
      <c r="AJ244" s="8" t="s">
        <v>1294</v>
      </c>
      <c r="AK244" s="8">
        <v>0</v>
      </c>
      <c r="AL244" s="8">
        <v>0</v>
      </c>
      <c r="AM244" s="8">
        <v>0</v>
      </c>
      <c r="AN244" s="8">
        <v>0</v>
      </c>
      <c r="AO244" s="8">
        <v>0</v>
      </c>
      <c r="AP244" s="8">
        <v>0</v>
      </c>
      <c r="AQ244" s="8">
        <v>0</v>
      </c>
      <c r="AR244" s="8">
        <v>0</v>
      </c>
      <c r="AS244" s="8">
        <v>0</v>
      </c>
      <c r="AT244" s="8">
        <v>0</v>
      </c>
      <c r="AU244" s="8">
        <v>0</v>
      </c>
      <c r="AV244" s="8">
        <v>0</v>
      </c>
      <c r="AW244" s="8">
        <v>0</v>
      </c>
      <c r="AX244" s="8" t="s">
        <v>2961</v>
      </c>
      <c r="AY244" s="14">
        <v>4590</v>
      </c>
      <c r="AZ244" s="19">
        <v>45266</v>
      </c>
      <c r="BA244" s="14" t="s">
        <v>1295</v>
      </c>
      <c r="BB244" s="14">
        <v>3000</v>
      </c>
      <c r="BC244" s="19">
        <v>44631</v>
      </c>
      <c r="BD244" s="14"/>
      <c r="BE244" s="14">
        <v>4590</v>
      </c>
      <c r="BF244" s="19">
        <v>45266</v>
      </c>
      <c r="BG244" s="14" t="s">
        <v>1295</v>
      </c>
      <c r="BH244" s="14">
        <v>4590</v>
      </c>
      <c r="BI244" s="19">
        <v>45266</v>
      </c>
      <c r="BJ244" s="14" t="s">
        <v>1295</v>
      </c>
      <c r="BK244" s="14">
        <v>3000</v>
      </c>
      <c r="BL244" s="19">
        <v>44631</v>
      </c>
      <c r="BM244" s="14"/>
      <c r="BN244" s="27">
        <v>45446</v>
      </c>
      <c r="BO244" s="27">
        <v>44811</v>
      </c>
      <c r="BP244" s="27">
        <v>45446</v>
      </c>
      <c r="BQ244" s="27">
        <v>45446</v>
      </c>
      <c r="BR244" s="27">
        <v>44996</v>
      </c>
      <c r="BS244" s="28">
        <v>-925</v>
      </c>
      <c r="BT244" s="29">
        <v>-1765</v>
      </c>
      <c r="BU244" s="29">
        <v>-925</v>
      </c>
      <c r="BV244" s="29">
        <v>-925</v>
      </c>
      <c r="BW244" s="29">
        <v>-1765</v>
      </c>
      <c r="BX244" s="30" t="s">
        <v>152</v>
      </c>
      <c r="BY244" s="8">
        <v>5</v>
      </c>
      <c r="BZ244" s="8">
        <v>0</v>
      </c>
      <c r="CA244" s="8">
        <v>0</v>
      </c>
      <c r="CB244" s="21">
        <v>45265.770833333299</v>
      </c>
      <c r="CC244" s="21">
        <v>45265.770833333299</v>
      </c>
      <c r="CD244" s="21">
        <v>45265.770833333299</v>
      </c>
      <c r="CE244" s="21">
        <v>45265.770833333299</v>
      </c>
      <c r="CF244" s="21">
        <v>45265.770833333299</v>
      </c>
      <c r="CG244" s="21">
        <v>0</v>
      </c>
      <c r="CH244" s="21">
        <v>0</v>
      </c>
      <c r="CI244" s="21">
        <v>44558.770833333299</v>
      </c>
      <c r="CJ244" s="21">
        <v>0</v>
      </c>
      <c r="CK244" s="22" t="s">
        <v>2986</v>
      </c>
      <c r="CL244" s="22" t="s">
        <v>2986</v>
      </c>
      <c r="CM244" s="22" t="s">
        <v>2986</v>
      </c>
      <c r="CN244" s="22" t="s">
        <v>2986</v>
      </c>
      <c r="CO244" s="22" t="s">
        <v>2986</v>
      </c>
      <c r="CP244" s="22" t="s">
        <v>3130</v>
      </c>
      <c r="CQ244" s="22" t="s">
        <v>2953</v>
      </c>
      <c r="CR244" s="22" t="s">
        <v>3060</v>
      </c>
      <c r="CS244" s="22" t="s">
        <v>3060</v>
      </c>
      <c r="CT244" s="22">
        <v>2</v>
      </c>
      <c r="CU244" s="21">
        <v>45445</v>
      </c>
      <c r="CV244" s="21">
        <v>45445</v>
      </c>
      <c r="CW244" s="21">
        <v>45445</v>
      </c>
      <c r="CX244" s="21">
        <v>45445</v>
      </c>
      <c r="CY244" s="21">
        <v>45445</v>
      </c>
      <c r="CZ244" s="21">
        <v>46203</v>
      </c>
      <c r="DA244" s="21">
        <v>46033</v>
      </c>
      <c r="DB244" s="21">
        <v>44738</v>
      </c>
      <c r="DC244" s="21">
        <v>46162</v>
      </c>
      <c r="DD244" s="8">
        <v>1</v>
      </c>
      <c r="DE244" s="8">
        <v>0</v>
      </c>
      <c r="DF244" s="8">
        <v>0</v>
      </c>
      <c r="DG244" s="8">
        <v>7</v>
      </c>
      <c r="DH244" s="8">
        <v>0</v>
      </c>
      <c r="DI244" s="8">
        <v>1</v>
      </c>
      <c r="DJ244" s="8" t="s">
        <v>3025</v>
      </c>
      <c r="DK244" s="21">
        <v>44039</v>
      </c>
      <c r="DL244" s="21">
        <v>43784.229166666664</v>
      </c>
      <c r="DM244" s="21">
        <v>45940</v>
      </c>
      <c r="DN244" s="18">
        <v>5920</v>
      </c>
      <c r="DO244" s="21">
        <v>0</v>
      </c>
      <c r="DP244" s="21">
        <v>0</v>
      </c>
      <c r="DQ244" s="21" t="s">
        <v>2955</v>
      </c>
      <c r="DR244" s="21">
        <v>45266</v>
      </c>
      <c r="DS244" s="21">
        <v>45266</v>
      </c>
      <c r="DT244" s="21">
        <v>45266</v>
      </c>
      <c r="DU244" s="21">
        <v>45266</v>
      </c>
      <c r="DV244" s="21">
        <v>45266</v>
      </c>
      <c r="DW244" s="21">
        <v>0</v>
      </c>
      <c r="DX244" s="21">
        <v>0</v>
      </c>
      <c r="DY244" s="21">
        <v>44559</v>
      </c>
      <c r="DZ244" s="21">
        <v>0</v>
      </c>
      <c r="EA244" s="8">
        <v>580</v>
      </c>
      <c r="EB244" s="8">
        <v>580</v>
      </c>
      <c r="EC244" s="8">
        <v>580</v>
      </c>
      <c r="ED244" s="8">
        <v>580</v>
      </c>
      <c r="EE244" s="8">
        <v>580</v>
      </c>
      <c r="EF244" s="8">
        <v>1422</v>
      </c>
      <c r="EG244" s="8">
        <v>1000</v>
      </c>
      <c r="EH244" s="8">
        <v>1420</v>
      </c>
      <c r="EI244" s="8">
        <v>1420</v>
      </c>
      <c r="EJ244" s="8">
        <v>2</v>
      </c>
      <c r="EK244" s="8" t="s">
        <v>2624</v>
      </c>
      <c r="EL244" s="8">
        <v>172</v>
      </c>
      <c r="EM244" s="8">
        <v>344</v>
      </c>
      <c r="EN244" s="8">
        <v>292</v>
      </c>
      <c r="EO244" s="8">
        <v>292</v>
      </c>
      <c r="EP244" s="8">
        <v>292</v>
      </c>
      <c r="EQ244" s="8">
        <v>292</v>
      </c>
      <c r="ER244" s="8">
        <v>292</v>
      </c>
      <c r="ES244" s="8">
        <v>1134</v>
      </c>
      <c r="ET244" s="8">
        <v>712</v>
      </c>
      <c r="EU244" s="8">
        <v>1132</v>
      </c>
      <c r="EV244" s="8">
        <v>1132</v>
      </c>
    </row>
    <row r="245" spans="1:152" x14ac:dyDescent="0.15">
      <c r="A245" s="8">
        <f>ROW([2]!tbl_DPSAC[[#This Row],[Sl. No.]])-1</f>
        <v>244</v>
      </c>
      <c r="B245" s="9" t="s">
        <v>136</v>
      </c>
      <c r="C245" s="9" t="s">
        <v>1296</v>
      </c>
      <c r="D245" s="9" t="s">
        <v>175</v>
      </c>
      <c r="E245" s="9" t="s">
        <v>176</v>
      </c>
      <c r="F245" s="9" t="s">
        <v>161</v>
      </c>
      <c r="G245" s="10" t="s">
        <v>707</v>
      </c>
      <c r="H245" s="10" t="str">
        <f>_xlfn.XLOOKUP(C245,'[1]E&amp;DPSAC'!$K:$K,'[1]E&amp;DPSAC'!$E:$E,,0)</f>
        <v>ANKIT KUMAR SONTHALIA, R.N. BOSE ROAD, SATSANG GATE, NEAR HANUMAN MANDIR,, PURANDAHA, DEOGHAR, DIST. DUMKA,, JHARKHAND</v>
      </c>
      <c r="I245" s="10"/>
      <c r="J245" s="10">
        <v>7542025382</v>
      </c>
      <c r="K245" s="10">
        <f>_xlfn.XLOOKUP(C245,'[1]E&amp;DPSAC'!$K:$K,'[1]E&amp;DPSAC'!$G:$G,"",0)</f>
        <v>7542025382</v>
      </c>
      <c r="L245" s="9" t="str">
        <f t="shared" ca="1" si="12"/>
        <v>Non - Warranty</v>
      </c>
      <c r="M245" s="11">
        <v>44021.818055555603</v>
      </c>
      <c r="N245" s="12">
        <v>24</v>
      </c>
      <c r="O245" s="11">
        <f t="shared" si="13"/>
        <v>44773</v>
      </c>
      <c r="P245" s="8" t="s">
        <v>681</v>
      </c>
      <c r="Q245" s="16" t="s">
        <v>1299</v>
      </c>
      <c r="R245" s="15">
        <v>44057.542847222197</v>
      </c>
      <c r="S245" s="14">
        <v>495</v>
      </c>
      <c r="T245" s="15">
        <v>44632</v>
      </c>
      <c r="U245" s="14">
        <v>2515</v>
      </c>
      <c r="V245" s="14">
        <v>4650</v>
      </c>
      <c r="W245" s="17">
        <v>45966.535416666666</v>
      </c>
      <c r="X245" s="14">
        <v>0</v>
      </c>
      <c r="Y245" s="14">
        <v>-3405</v>
      </c>
      <c r="Z245" s="14" t="s">
        <v>2697</v>
      </c>
      <c r="AA245" s="18">
        <v>2055.4571527778025</v>
      </c>
      <c r="AB245" s="18" t="s">
        <v>2697</v>
      </c>
      <c r="AC245" s="8">
        <f>tbl_DPSAC[[#This Row],[Current Month Due Count]]</f>
        <v>0</v>
      </c>
      <c r="AD245" s="8">
        <f>tbl_DPSAC[[#This Row],[Next Month Due2]]</f>
        <v>0</v>
      </c>
      <c r="AE245" s="8">
        <f t="shared" si="14"/>
        <v>1</v>
      </c>
      <c r="AF245" s="8">
        <v>2</v>
      </c>
      <c r="AG245" s="14">
        <f t="shared" ca="1" si="15"/>
        <v>4943</v>
      </c>
      <c r="AH245" s="8" t="s">
        <v>1297</v>
      </c>
      <c r="AI245" s="8" t="s">
        <v>1298</v>
      </c>
      <c r="AJ245" s="8">
        <v>0</v>
      </c>
      <c r="AK245" s="8">
        <v>0</v>
      </c>
      <c r="AL245" s="8">
        <v>0</v>
      </c>
      <c r="AM245" s="8">
        <v>0</v>
      </c>
      <c r="AN245" s="8">
        <v>0</v>
      </c>
      <c r="AO245" s="8">
        <v>0</v>
      </c>
      <c r="AP245" s="8">
        <v>0</v>
      </c>
      <c r="AQ245" s="8">
        <v>0</v>
      </c>
      <c r="AR245" s="8">
        <v>0</v>
      </c>
      <c r="AS245" s="8">
        <v>0</v>
      </c>
      <c r="AT245" s="8">
        <v>0</v>
      </c>
      <c r="AU245" s="8">
        <v>0</v>
      </c>
      <c r="AV245" s="8">
        <v>0</v>
      </c>
      <c r="AW245" s="8">
        <v>0</v>
      </c>
      <c r="AX245" s="8" t="s">
        <v>2961</v>
      </c>
      <c r="AY245" s="14">
        <v>495</v>
      </c>
      <c r="AZ245" s="19">
        <v>44058</v>
      </c>
      <c r="BA245" s="14" t="s">
        <v>1299</v>
      </c>
      <c r="BB245" s="14">
        <v>495</v>
      </c>
      <c r="BC245" s="19">
        <v>44058</v>
      </c>
      <c r="BD245" s="14" t="s">
        <v>1299</v>
      </c>
      <c r="BE245" s="14">
        <v>495</v>
      </c>
      <c r="BF245" s="19">
        <v>44058</v>
      </c>
      <c r="BG245" s="14" t="s">
        <v>1299</v>
      </c>
      <c r="BH245" s="14">
        <v>495</v>
      </c>
      <c r="BI245" s="19">
        <v>44058</v>
      </c>
      <c r="BJ245" s="14" t="s">
        <v>1299</v>
      </c>
      <c r="BK245" s="14">
        <v>495</v>
      </c>
      <c r="BL245" s="19">
        <v>44058</v>
      </c>
      <c r="BM245" s="14" t="s">
        <v>1299</v>
      </c>
      <c r="BN245" s="27">
        <v>44238</v>
      </c>
      <c r="BO245" s="27">
        <v>44238</v>
      </c>
      <c r="BP245" s="27">
        <v>44238</v>
      </c>
      <c r="BQ245" s="27">
        <v>44238</v>
      </c>
      <c r="BR245" s="27">
        <v>44423</v>
      </c>
      <c r="BS245" s="28">
        <v>-3698</v>
      </c>
      <c r="BT245" s="29">
        <v>-2948</v>
      </c>
      <c r="BU245" s="29">
        <v>-3698</v>
      </c>
      <c r="BV245" s="29">
        <v>-3698</v>
      </c>
      <c r="BW245" s="29">
        <v>-2948</v>
      </c>
      <c r="BX245" s="30" t="s">
        <v>173</v>
      </c>
      <c r="BY245" s="8">
        <v>5</v>
      </c>
      <c r="BZ245" s="8">
        <v>0</v>
      </c>
      <c r="CA245" s="8">
        <v>0</v>
      </c>
      <c r="CB245" s="21">
        <v>0</v>
      </c>
      <c r="CC245" s="21">
        <v>0</v>
      </c>
      <c r="CD245" s="21">
        <v>0</v>
      </c>
      <c r="CE245" s="21">
        <v>0</v>
      </c>
      <c r="CF245" s="21">
        <v>0</v>
      </c>
      <c r="CG245" s="21">
        <v>0</v>
      </c>
      <c r="CH245" s="21">
        <v>0</v>
      </c>
      <c r="CI245" s="21">
        <v>0</v>
      </c>
      <c r="CJ245" s="21">
        <v>0</v>
      </c>
      <c r="CK245" s="22" t="s">
        <v>3113</v>
      </c>
      <c r="CL245" s="22" t="s">
        <v>3113</v>
      </c>
      <c r="CM245" s="22" t="s">
        <v>3113</v>
      </c>
      <c r="CN245" s="22" t="s">
        <v>3113</v>
      </c>
      <c r="CO245" s="22" t="s">
        <v>3113</v>
      </c>
      <c r="CP245" s="22" t="s">
        <v>3113</v>
      </c>
      <c r="CQ245" s="22" t="s">
        <v>2953</v>
      </c>
      <c r="CR245" s="22" t="s">
        <v>3113</v>
      </c>
      <c r="CS245" s="22" t="s">
        <v>3113</v>
      </c>
      <c r="CT245" s="22">
        <v>2</v>
      </c>
      <c r="CU245" s="21">
        <v>46115</v>
      </c>
      <c r="CV245" s="21">
        <v>46092</v>
      </c>
      <c r="CW245" s="21">
        <v>46092</v>
      </c>
      <c r="CX245" s="21">
        <v>46115</v>
      </c>
      <c r="CY245" s="21">
        <v>46115</v>
      </c>
      <c r="CZ245" s="21">
        <v>46136</v>
      </c>
      <c r="DA245" s="21">
        <v>46059</v>
      </c>
      <c r="DB245" s="21">
        <v>46046</v>
      </c>
      <c r="DC245" s="21">
        <v>46095</v>
      </c>
      <c r="DD245" s="8">
        <v>1</v>
      </c>
      <c r="DE245" s="8">
        <v>1</v>
      </c>
      <c r="DF245" s="8">
        <v>1</v>
      </c>
      <c r="DG245" s="8">
        <v>5</v>
      </c>
      <c r="DH245" s="8">
        <v>4</v>
      </c>
      <c r="DI245" s="8">
        <v>0</v>
      </c>
      <c r="DJ245" s="8" t="s">
        <v>3025</v>
      </c>
      <c r="DK245" s="21">
        <v>44021</v>
      </c>
      <c r="DL245" s="21">
        <v>43784.229166666664</v>
      </c>
      <c r="DM245" s="21">
        <v>45966</v>
      </c>
      <c r="DN245" s="18">
        <v>4650</v>
      </c>
      <c r="DO245" s="21">
        <v>0</v>
      </c>
      <c r="DP245" s="21">
        <v>0</v>
      </c>
      <c r="DQ245" s="21">
        <v>0</v>
      </c>
      <c r="DR245" s="21">
        <v>0</v>
      </c>
      <c r="DS245" s="21">
        <v>0</v>
      </c>
      <c r="DT245" s="21">
        <v>0</v>
      </c>
      <c r="DU245" s="21">
        <v>0</v>
      </c>
      <c r="DV245" s="21">
        <v>0</v>
      </c>
      <c r="DW245" s="21">
        <v>0</v>
      </c>
      <c r="DX245" s="21">
        <v>0</v>
      </c>
      <c r="DY245" s="21">
        <v>0</v>
      </c>
      <c r="DZ245" s="21">
        <v>0</v>
      </c>
      <c r="EA245" s="8">
        <v>400</v>
      </c>
      <c r="EB245" s="8">
        <v>400</v>
      </c>
      <c r="EC245" s="8">
        <v>400</v>
      </c>
      <c r="ED245" s="8">
        <v>400</v>
      </c>
      <c r="EE245" s="8">
        <v>400</v>
      </c>
      <c r="EF245" s="8">
        <v>400</v>
      </c>
      <c r="EG245" s="8">
        <v>1000</v>
      </c>
      <c r="EH245" s="8">
        <v>400</v>
      </c>
      <c r="EI245" s="8">
        <v>400</v>
      </c>
      <c r="EJ245" s="8">
        <v>2</v>
      </c>
      <c r="EK245" s="8" t="s">
        <v>2624</v>
      </c>
      <c r="EL245" s="8">
        <v>146</v>
      </c>
      <c r="EM245" s="8">
        <v>292</v>
      </c>
      <c r="EN245" s="8">
        <v>112</v>
      </c>
      <c r="EO245" s="8">
        <v>112</v>
      </c>
      <c r="EP245" s="8">
        <v>112</v>
      </c>
      <c r="EQ245" s="8">
        <v>112</v>
      </c>
      <c r="ER245" s="8">
        <v>112</v>
      </c>
      <c r="ES245" s="8">
        <v>112</v>
      </c>
      <c r="ET245" s="8">
        <v>712</v>
      </c>
      <c r="EU245" s="8">
        <v>112</v>
      </c>
      <c r="EV245" s="8">
        <v>112</v>
      </c>
    </row>
    <row r="246" spans="1:152" x14ac:dyDescent="0.15">
      <c r="A246" s="8">
        <f>ROW([2]!tbl_DPSAC[[#This Row],[Sl. No.]])-1</f>
        <v>245</v>
      </c>
      <c r="B246" s="9" t="s">
        <v>196</v>
      </c>
      <c r="C246" s="9" t="s">
        <v>1300</v>
      </c>
      <c r="D246" s="9" t="s">
        <v>169</v>
      </c>
      <c r="E246" s="9" t="s">
        <v>170</v>
      </c>
      <c r="F246" s="9" t="s">
        <v>161</v>
      </c>
      <c r="G246" s="10" t="s">
        <v>1301</v>
      </c>
      <c r="H246" s="10" t="str">
        <f>_xlfn.XLOOKUP(C246,'[1]E&amp;DPSAC'!$K:$K,'[1]E&amp;DPSAC'!$E:$E,,0)</f>
        <v>POLICE LINR, SHEIKHPURA</v>
      </c>
      <c r="I246" s="10"/>
      <c r="J246" s="10">
        <v>7782976533</v>
      </c>
      <c r="K246" s="10">
        <f>_xlfn.XLOOKUP(C246,'[1]E&amp;DPSAC'!$K:$K,'[1]E&amp;DPSAC'!$G:$G,"",0)</f>
        <v>7782976533</v>
      </c>
      <c r="L246" s="9" t="str">
        <f t="shared" ca="1" si="12"/>
        <v>Non - Warranty</v>
      </c>
      <c r="M246" s="11">
        <v>43990.7368055556</v>
      </c>
      <c r="N246" s="12">
        <v>24</v>
      </c>
      <c r="O246" s="11">
        <f t="shared" si="13"/>
        <v>44742</v>
      </c>
      <c r="P246" s="8" t="s">
        <v>681</v>
      </c>
      <c r="Q246" s="16" t="s">
        <v>2651</v>
      </c>
      <c r="R246" s="15">
        <v>44099.698750000003</v>
      </c>
      <c r="S246" s="14">
        <v>507</v>
      </c>
      <c r="T246" s="15">
        <v>44687</v>
      </c>
      <c r="U246" s="14">
        <v>2727</v>
      </c>
      <c r="V246" s="14">
        <v>7680</v>
      </c>
      <c r="W246" s="17">
        <v>45940.711111111108</v>
      </c>
      <c r="X246" s="14">
        <v>0</v>
      </c>
      <c r="Y246" s="14">
        <v>-6423</v>
      </c>
      <c r="Z246" s="14" t="s">
        <v>2697</v>
      </c>
      <c r="AA246" s="18">
        <v>2013.3012499999968</v>
      </c>
      <c r="AB246" s="18" t="s">
        <v>2697</v>
      </c>
      <c r="AC246" s="8">
        <f>tbl_DPSAC[[#This Row],[Current Month Due Count]]</f>
        <v>0</v>
      </c>
      <c r="AD246" s="8">
        <f>tbl_DPSAC[[#This Row],[Next Month Due2]]</f>
        <v>0</v>
      </c>
      <c r="AE246" s="8">
        <f t="shared" si="14"/>
        <v>1</v>
      </c>
      <c r="AF246" s="8">
        <v>4</v>
      </c>
      <c r="AG246" s="14">
        <f t="shared" ca="1" si="15"/>
        <v>8369</v>
      </c>
      <c r="AH246" s="8">
        <v>0</v>
      </c>
      <c r="AI246" s="8">
        <v>0</v>
      </c>
      <c r="AJ246" s="8">
        <v>0</v>
      </c>
      <c r="AK246" s="8">
        <v>0</v>
      </c>
      <c r="AL246" s="8">
        <v>0</v>
      </c>
      <c r="AM246" s="8">
        <v>0</v>
      </c>
      <c r="AN246" s="8">
        <v>0</v>
      </c>
      <c r="AO246" s="8">
        <v>0</v>
      </c>
      <c r="AP246" s="8">
        <v>0</v>
      </c>
      <c r="AQ246" s="8">
        <v>0</v>
      </c>
      <c r="AR246" s="8">
        <v>0</v>
      </c>
      <c r="AS246" s="8">
        <v>0</v>
      </c>
      <c r="AT246" s="8">
        <v>0</v>
      </c>
      <c r="AU246" s="8">
        <v>0</v>
      </c>
      <c r="AV246" s="8">
        <v>0</v>
      </c>
      <c r="AW246" s="8">
        <v>0</v>
      </c>
      <c r="AX246" s="8" t="s">
        <v>2977</v>
      </c>
      <c r="AY246" s="14">
        <v>3370</v>
      </c>
      <c r="AZ246" s="19">
        <v>44692.731493055602</v>
      </c>
      <c r="BA246" s="14"/>
      <c r="BB246" s="14">
        <v>2727</v>
      </c>
      <c r="BC246" s="19">
        <v>44692.731493055602</v>
      </c>
      <c r="BD246" s="14" t="s">
        <v>1302</v>
      </c>
      <c r="BE246" s="14">
        <v>3370</v>
      </c>
      <c r="BF246" s="19">
        <v>44692.731493055602</v>
      </c>
      <c r="BG246" s="14"/>
      <c r="BH246" s="14"/>
      <c r="BI246" s="19"/>
      <c r="BJ246" s="14"/>
      <c r="BK246" s="14">
        <v>2727</v>
      </c>
      <c r="BL246" s="19">
        <v>44692.731493055602</v>
      </c>
      <c r="BM246" s="14" t="s">
        <v>1302</v>
      </c>
      <c r="BN246" s="27">
        <v>44872.731493055602</v>
      </c>
      <c r="BO246" s="27">
        <v>44872.731493055602</v>
      </c>
      <c r="BP246" s="27">
        <v>44872.731493055602</v>
      </c>
      <c r="BQ246" s="27" t="s">
        <v>143</v>
      </c>
      <c r="BR246" s="27">
        <v>45057.731493055602</v>
      </c>
      <c r="BS246" s="28">
        <v>-4249</v>
      </c>
      <c r="BT246" s="29">
        <v>-4142</v>
      </c>
      <c r="BU246" s="29">
        <v>-4249</v>
      </c>
      <c r="BV246" s="29" t="s">
        <v>143</v>
      </c>
      <c r="BW246" s="29">
        <v>-4142</v>
      </c>
      <c r="BX246" s="30" t="s">
        <v>173</v>
      </c>
      <c r="BY246" s="8">
        <v>4</v>
      </c>
      <c r="BZ246" s="8">
        <v>0</v>
      </c>
      <c r="CA246" s="8">
        <v>0</v>
      </c>
      <c r="CB246" s="21">
        <v>0</v>
      </c>
      <c r="CC246" s="21">
        <v>0</v>
      </c>
      <c r="CD246" s="21">
        <v>0</v>
      </c>
      <c r="CE246" s="21">
        <v>0</v>
      </c>
      <c r="CF246" s="21">
        <v>0</v>
      </c>
      <c r="CG246" s="21">
        <v>0</v>
      </c>
      <c r="CH246" s="21">
        <v>0</v>
      </c>
      <c r="CI246" s="21">
        <v>0</v>
      </c>
      <c r="CJ246" s="21">
        <v>0</v>
      </c>
      <c r="CK246" s="22" t="s">
        <v>3131</v>
      </c>
      <c r="CL246" s="22" t="s">
        <v>3131</v>
      </c>
      <c r="CM246" s="22" t="s">
        <v>3131</v>
      </c>
      <c r="CN246" s="22" t="s">
        <v>3131</v>
      </c>
      <c r="CO246" s="22" t="s">
        <v>3131</v>
      </c>
      <c r="CP246" s="22" t="s">
        <v>2989</v>
      </c>
      <c r="CQ246" s="22" t="s">
        <v>2953</v>
      </c>
      <c r="CR246" s="22" t="s">
        <v>2989</v>
      </c>
      <c r="CS246" s="22" t="s">
        <v>2989</v>
      </c>
      <c r="CT246" s="22">
        <v>4</v>
      </c>
      <c r="CU246" s="21">
        <v>46080</v>
      </c>
      <c r="CV246" s="21">
        <v>46080</v>
      </c>
      <c r="CW246" s="21">
        <v>46080</v>
      </c>
      <c r="CX246" s="21">
        <v>46080</v>
      </c>
      <c r="CY246" s="21">
        <v>46080</v>
      </c>
      <c r="CZ246" s="21">
        <v>46052</v>
      </c>
      <c r="DA246" s="21">
        <v>46033</v>
      </c>
      <c r="DB246" s="21">
        <v>46025</v>
      </c>
      <c r="DC246" s="21">
        <v>46052</v>
      </c>
      <c r="DD246" s="8">
        <v>1</v>
      </c>
      <c r="DE246" s="8">
        <v>1</v>
      </c>
      <c r="DF246" s="8">
        <v>0</v>
      </c>
      <c r="DG246" s="8">
        <v>9</v>
      </c>
      <c r="DH246" s="8">
        <v>0</v>
      </c>
      <c r="DI246" s="8">
        <v>0</v>
      </c>
      <c r="DJ246" s="8" t="s">
        <v>3025</v>
      </c>
      <c r="DK246" s="21">
        <v>43990</v>
      </c>
      <c r="DL246" s="21">
        <v>43796.229166666664</v>
      </c>
      <c r="DM246" s="21">
        <v>45940</v>
      </c>
      <c r="DN246" s="18">
        <v>7680</v>
      </c>
      <c r="DO246" s="21">
        <v>0</v>
      </c>
      <c r="DP246" s="21">
        <v>0</v>
      </c>
      <c r="DQ246" s="21">
        <v>0</v>
      </c>
      <c r="DR246" s="21">
        <v>0</v>
      </c>
      <c r="DS246" s="21">
        <v>0</v>
      </c>
      <c r="DT246" s="21">
        <v>0</v>
      </c>
      <c r="DU246" s="21">
        <v>0</v>
      </c>
      <c r="DV246" s="21">
        <v>0</v>
      </c>
      <c r="DW246" s="21">
        <v>0</v>
      </c>
      <c r="DX246" s="21">
        <v>0</v>
      </c>
      <c r="DY246" s="21">
        <v>0</v>
      </c>
      <c r="DZ246" s="21">
        <v>0</v>
      </c>
      <c r="EA246" s="8">
        <v>560</v>
      </c>
      <c r="EB246" s="8">
        <v>560</v>
      </c>
      <c r="EC246" s="8">
        <v>560</v>
      </c>
      <c r="ED246" s="8">
        <v>560</v>
      </c>
      <c r="EE246" s="8">
        <v>560</v>
      </c>
      <c r="EF246" s="8">
        <v>450</v>
      </c>
      <c r="EG246" s="8">
        <v>1000</v>
      </c>
      <c r="EH246" s="8">
        <v>450</v>
      </c>
      <c r="EI246" s="8">
        <v>450</v>
      </c>
      <c r="EJ246" s="8">
        <v>4</v>
      </c>
      <c r="EK246" s="8" t="s">
        <v>2624</v>
      </c>
      <c r="EL246" s="8">
        <v>172</v>
      </c>
      <c r="EM246" s="8">
        <v>688</v>
      </c>
      <c r="EN246" s="8">
        <v>272</v>
      </c>
      <c r="EO246" s="8">
        <v>272</v>
      </c>
      <c r="EP246" s="8">
        <v>272</v>
      </c>
      <c r="EQ246" s="8">
        <v>272</v>
      </c>
      <c r="ER246" s="8">
        <v>272</v>
      </c>
      <c r="ES246" s="8">
        <v>162</v>
      </c>
      <c r="ET246" s="8">
        <v>712</v>
      </c>
      <c r="EU246" s="8">
        <v>162</v>
      </c>
      <c r="EV246" s="8">
        <v>162</v>
      </c>
    </row>
    <row r="247" spans="1:152" x14ac:dyDescent="0.15">
      <c r="A247" s="8">
        <f>ROW([2]!tbl_DPSAC[[#This Row],[Sl. No.]])-1</f>
        <v>246</v>
      </c>
      <c r="B247" s="9" t="s">
        <v>136</v>
      </c>
      <c r="C247" s="9" t="s">
        <v>1303</v>
      </c>
      <c r="D247" s="9" t="s">
        <v>138</v>
      </c>
      <c r="E247" s="9" t="s">
        <v>139</v>
      </c>
      <c r="F247" s="9" t="s">
        <v>161</v>
      </c>
      <c r="G247" s="10" t="s">
        <v>303</v>
      </c>
      <c r="H247" s="10" t="str">
        <f>_xlfn.XLOOKUP(C247,'[1]E&amp;DPSAC'!$K:$K,'[1]E&amp;DPSAC'!$E:$E,,0)</f>
        <v>LODNA</v>
      </c>
      <c r="I247" s="10"/>
      <c r="J247" s="10">
        <v>7644045555</v>
      </c>
      <c r="K247" s="10">
        <f>_xlfn.XLOOKUP(C247,'[1]E&amp;DPSAC'!$K:$K,'[1]E&amp;DPSAC'!$G:$G,"",0)</f>
        <v>9044360313</v>
      </c>
      <c r="L247" s="9" t="str">
        <f t="shared" ca="1" si="12"/>
        <v>Non - Warranty</v>
      </c>
      <c r="M247" s="11">
        <v>44022.710416666698</v>
      </c>
      <c r="N247" s="12">
        <v>24</v>
      </c>
      <c r="O247" s="11">
        <f t="shared" si="13"/>
        <v>44773</v>
      </c>
      <c r="P247" s="8" t="s">
        <v>142</v>
      </c>
      <c r="Q247" s="16" t="s">
        <v>1304</v>
      </c>
      <c r="R247" s="15">
        <v>46072.552627314799</v>
      </c>
      <c r="S247" s="14">
        <v>9800</v>
      </c>
      <c r="T247" s="15">
        <v>46072</v>
      </c>
      <c r="U247" s="14">
        <v>9800</v>
      </c>
      <c r="V247" s="14">
        <v>9800</v>
      </c>
      <c r="W247" s="17">
        <v>46072.552627314799</v>
      </c>
      <c r="X247" s="14" t="s">
        <v>2796</v>
      </c>
      <c r="Y247" s="14">
        <v>750</v>
      </c>
      <c r="Z247" s="14" t="s">
        <v>2692</v>
      </c>
      <c r="AA247" s="18">
        <v>40.447372685201117</v>
      </c>
      <c r="AB247" s="18" t="s">
        <v>2692</v>
      </c>
      <c r="AC247" s="8">
        <f>tbl_DPSAC[[#This Row],[Current Month Due Count]]</f>
        <v>0</v>
      </c>
      <c r="AD247" s="8">
        <f>tbl_DPSAC[[#This Row],[Next Month Due2]]</f>
        <v>0</v>
      </c>
      <c r="AE247" s="8">
        <f t="shared" si="14"/>
        <v>0</v>
      </c>
      <c r="AF247" s="8">
        <v>0</v>
      </c>
      <c r="AG247" s="14">
        <f t="shared" ca="1" si="15"/>
        <v>9800</v>
      </c>
      <c r="AH247" s="8">
        <v>0</v>
      </c>
      <c r="AI247" s="8">
        <v>0</v>
      </c>
      <c r="AJ247" s="8">
        <v>0</v>
      </c>
      <c r="AK247" s="8">
        <v>0</v>
      </c>
      <c r="AL247" s="8">
        <v>0</v>
      </c>
      <c r="AM247" s="8">
        <v>0</v>
      </c>
      <c r="AN247" s="8">
        <v>0</v>
      </c>
      <c r="AO247" s="8">
        <v>0</v>
      </c>
      <c r="AP247" s="8">
        <v>0</v>
      </c>
      <c r="AQ247" s="8">
        <v>0</v>
      </c>
      <c r="AR247" s="8">
        <v>0</v>
      </c>
      <c r="AS247" s="8">
        <v>0</v>
      </c>
      <c r="AT247" s="8">
        <v>0</v>
      </c>
      <c r="AU247" s="8">
        <v>0</v>
      </c>
      <c r="AV247" s="8">
        <v>0</v>
      </c>
      <c r="AW247" s="8">
        <v>0</v>
      </c>
      <c r="AX247" s="8" t="s">
        <v>2007</v>
      </c>
      <c r="AY247" s="14">
        <v>9800</v>
      </c>
      <c r="AZ247" s="19">
        <v>46072</v>
      </c>
      <c r="BA247" s="14" t="s">
        <v>1304</v>
      </c>
      <c r="BB247" s="14">
        <v>9800</v>
      </c>
      <c r="BC247" s="19">
        <v>46072</v>
      </c>
      <c r="BD247" s="14" t="s">
        <v>1304</v>
      </c>
      <c r="BE247" s="14">
        <v>9800</v>
      </c>
      <c r="BF247" s="19">
        <v>46072</v>
      </c>
      <c r="BG247" s="14" t="s">
        <v>1304</v>
      </c>
      <c r="BH247" s="14">
        <v>9800</v>
      </c>
      <c r="BI247" s="19">
        <v>46072</v>
      </c>
      <c r="BJ247" s="14" t="s">
        <v>1304</v>
      </c>
      <c r="BK247" s="14">
        <v>9800</v>
      </c>
      <c r="BL247" s="19">
        <v>46072</v>
      </c>
      <c r="BM247" s="14" t="s">
        <v>1304</v>
      </c>
      <c r="BN247" s="27">
        <v>46252</v>
      </c>
      <c r="BO247" s="27">
        <v>46252</v>
      </c>
      <c r="BP247" s="27">
        <v>46252</v>
      </c>
      <c r="BQ247" s="27">
        <v>46252</v>
      </c>
      <c r="BR247" s="27">
        <v>46437</v>
      </c>
      <c r="BS247" s="28">
        <v>750</v>
      </c>
      <c r="BT247" s="29">
        <v>1500</v>
      </c>
      <c r="BU247" s="29">
        <v>750</v>
      </c>
      <c r="BV247" s="29">
        <v>750</v>
      </c>
      <c r="BW247" s="29">
        <v>1500</v>
      </c>
      <c r="BX247" s="30" t="e">
        <v>#N/A</v>
      </c>
      <c r="BY247" s="8">
        <v>0</v>
      </c>
      <c r="BZ247" s="8">
        <v>0</v>
      </c>
      <c r="CA247" s="8">
        <v>0</v>
      </c>
      <c r="CB247" s="21">
        <v>46071.770833333299</v>
      </c>
      <c r="CC247" s="21">
        <v>46071.770833333299</v>
      </c>
      <c r="CD247" s="21">
        <v>46071.770833333299</v>
      </c>
      <c r="CE247" s="21">
        <v>46071.770833333299</v>
      </c>
      <c r="CF247" s="21">
        <v>46071.770833333299</v>
      </c>
      <c r="CG247" s="21">
        <v>46071.770833333299</v>
      </c>
      <c r="CH247" s="21">
        <v>46071.770833333299</v>
      </c>
      <c r="CI247" s="21">
        <v>46071.770833333299</v>
      </c>
      <c r="CJ247" s="21">
        <v>46071.770833333299</v>
      </c>
      <c r="CK247" s="22" t="s">
        <v>2956</v>
      </c>
      <c r="CL247" s="22" t="s">
        <v>2957</v>
      </c>
      <c r="CM247" s="22" t="s">
        <v>2959</v>
      </c>
      <c r="CN247" s="22" t="s">
        <v>2957</v>
      </c>
      <c r="CO247" s="22" t="s">
        <v>2957</v>
      </c>
      <c r="CP247" s="22" t="s">
        <v>2956</v>
      </c>
      <c r="CQ247" s="22" t="s">
        <v>2953</v>
      </c>
      <c r="CR247" s="22" t="s">
        <v>2956</v>
      </c>
      <c r="CS247" s="22" t="s">
        <v>2960</v>
      </c>
      <c r="CT247" s="22">
        <v>8</v>
      </c>
      <c r="CU247" s="21">
        <v>46251</v>
      </c>
      <c r="CV247" s="21">
        <v>46165</v>
      </c>
      <c r="CW247" s="21">
        <v>46134</v>
      </c>
      <c r="CX247" s="21">
        <v>46165</v>
      </c>
      <c r="CY247" s="21">
        <v>46165</v>
      </c>
      <c r="CZ247" s="21">
        <v>46259</v>
      </c>
      <c r="DA247" s="21">
        <v>46197</v>
      </c>
      <c r="DB247" s="21">
        <v>46251</v>
      </c>
      <c r="DC247" s="21">
        <v>46436</v>
      </c>
      <c r="DD247" s="8">
        <v>0</v>
      </c>
      <c r="DE247" s="8">
        <v>0</v>
      </c>
      <c r="DF247" s="8">
        <v>0</v>
      </c>
      <c r="DG247" s="8">
        <v>0</v>
      </c>
      <c r="DH247" s="8">
        <v>1</v>
      </c>
      <c r="DI247" s="8">
        <v>3</v>
      </c>
      <c r="DJ247" s="8" t="s">
        <v>2954</v>
      </c>
      <c r="DK247" s="21">
        <v>44022</v>
      </c>
      <c r="DL247" s="21">
        <v>43999.229166666664</v>
      </c>
      <c r="DM247" s="21">
        <v>46072</v>
      </c>
      <c r="DN247" s="18">
        <v>9800</v>
      </c>
      <c r="DO247" s="21">
        <v>0</v>
      </c>
      <c r="DP247" s="21">
        <v>0</v>
      </c>
      <c r="DQ247" s="21" t="s">
        <v>2955</v>
      </c>
      <c r="DR247" s="21">
        <v>46072</v>
      </c>
      <c r="DS247" s="21">
        <v>46072</v>
      </c>
      <c r="DT247" s="21">
        <v>46072</v>
      </c>
      <c r="DU247" s="21">
        <v>46072</v>
      </c>
      <c r="DV247" s="21">
        <v>46072</v>
      </c>
      <c r="DW247" s="21">
        <v>46072</v>
      </c>
      <c r="DX247" s="21">
        <v>46072</v>
      </c>
      <c r="DY247" s="21">
        <v>46072</v>
      </c>
      <c r="DZ247" s="21">
        <v>46072</v>
      </c>
      <c r="EA247" s="8">
        <v>1500</v>
      </c>
      <c r="EB247" s="8">
        <v>750</v>
      </c>
      <c r="EC247" s="8">
        <v>500</v>
      </c>
      <c r="ED247" s="8">
        <v>750</v>
      </c>
      <c r="EE247" s="8">
        <v>750</v>
      </c>
      <c r="EF247" s="8">
        <v>1500</v>
      </c>
      <c r="EG247" s="8">
        <v>1000</v>
      </c>
      <c r="EH247" s="8">
        <v>1500</v>
      </c>
      <c r="EI247" s="8">
        <v>3000</v>
      </c>
      <c r="EJ247" s="8">
        <v>8</v>
      </c>
      <c r="EK247" s="8" t="s">
        <v>2624</v>
      </c>
      <c r="EL247" s="8">
        <v>40</v>
      </c>
      <c r="EM247" s="8">
        <v>0</v>
      </c>
      <c r="EN247" s="8">
        <v>1212</v>
      </c>
      <c r="EO247" s="8">
        <v>462</v>
      </c>
      <c r="EP247" s="8">
        <v>212</v>
      </c>
      <c r="EQ247" s="8">
        <v>462</v>
      </c>
      <c r="ER247" s="8">
        <v>462</v>
      </c>
      <c r="ES247" s="8">
        <v>1212</v>
      </c>
      <c r="ET247" s="8">
        <v>712</v>
      </c>
      <c r="EU247" s="8">
        <v>1212</v>
      </c>
      <c r="EV247" s="8">
        <v>2712</v>
      </c>
    </row>
    <row r="248" spans="1:152" x14ac:dyDescent="0.15">
      <c r="A248" s="8">
        <f>ROW([2]!tbl_DPSAC[[#This Row],[Sl. No.]])-1</f>
        <v>247</v>
      </c>
      <c r="B248" s="9" t="s">
        <v>136</v>
      </c>
      <c r="C248" s="9" t="s">
        <v>1305</v>
      </c>
      <c r="D248" s="9" t="s">
        <v>138</v>
      </c>
      <c r="E248" s="9" t="s">
        <v>139</v>
      </c>
      <c r="F248" s="9" t="s">
        <v>161</v>
      </c>
      <c r="G248" s="10" t="s">
        <v>303</v>
      </c>
      <c r="H248" s="10" t="str">
        <f>_xlfn.XLOOKUP(C248,'[1]E&amp;DPSAC'!$K:$K,'[1]E&amp;DPSAC'!$E:$E,,0)</f>
        <v>SHEETLA PRASAD SINGH,, MISHRA PADA, NEAR DURGA MANDIR,, JHARIA, DHANBAD - 828 111, JHARKHAND.</v>
      </c>
      <c r="I248" s="10"/>
      <c r="J248" s="10">
        <v>7644045555</v>
      </c>
      <c r="K248" s="10">
        <f>_xlfn.XLOOKUP(C248,'[1]E&amp;DPSAC'!$K:$K,'[1]E&amp;DPSAC'!$G:$G,"",0)</f>
        <v>7644045555</v>
      </c>
      <c r="L248" s="9" t="str">
        <f t="shared" ca="1" si="12"/>
        <v>Non - Warranty</v>
      </c>
      <c r="M248" s="11">
        <v>43994.5847222222</v>
      </c>
      <c r="N248" s="12">
        <v>24</v>
      </c>
      <c r="O248" s="11">
        <f t="shared" si="13"/>
        <v>44742</v>
      </c>
      <c r="P248" s="8" t="s">
        <v>142</v>
      </c>
      <c r="Q248" s="16" t="s">
        <v>1306</v>
      </c>
      <c r="R248" s="15">
        <v>46072.553680555597</v>
      </c>
      <c r="S248" s="14">
        <v>8300</v>
      </c>
      <c r="T248" s="15">
        <v>46072</v>
      </c>
      <c r="U248" s="14">
        <v>8300</v>
      </c>
      <c r="V248" s="14">
        <v>8300</v>
      </c>
      <c r="W248" s="17">
        <v>46072.553680555597</v>
      </c>
      <c r="X248" s="14" t="s">
        <v>2796</v>
      </c>
      <c r="Y248" s="14">
        <v>750</v>
      </c>
      <c r="Z248" s="14" t="s">
        <v>2692</v>
      </c>
      <c r="AA248" s="18">
        <v>40.446319444403343</v>
      </c>
      <c r="AB248" s="18" t="s">
        <v>2692</v>
      </c>
      <c r="AC248" s="8">
        <f>tbl_DPSAC[[#This Row],[Current Month Due Count]]</f>
        <v>0</v>
      </c>
      <c r="AD248" s="8">
        <f>tbl_DPSAC[[#This Row],[Next Month Due2]]</f>
        <v>0</v>
      </c>
      <c r="AE248" s="8">
        <f t="shared" si="14"/>
        <v>0</v>
      </c>
      <c r="AF248" s="8">
        <v>0</v>
      </c>
      <c r="AG248" s="14">
        <f t="shared" ca="1" si="15"/>
        <v>8300</v>
      </c>
      <c r="AH248" s="8">
        <v>0</v>
      </c>
      <c r="AI248" s="8">
        <v>0</v>
      </c>
      <c r="AJ248" s="8">
        <v>0</v>
      </c>
      <c r="AK248" s="8">
        <v>0</v>
      </c>
      <c r="AL248" s="8">
        <v>0</v>
      </c>
      <c r="AM248" s="8">
        <v>0</v>
      </c>
      <c r="AN248" s="8">
        <v>0</v>
      </c>
      <c r="AO248" s="8">
        <v>0</v>
      </c>
      <c r="AP248" s="8">
        <v>0</v>
      </c>
      <c r="AQ248" s="8">
        <v>0</v>
      </c>
      <c r="AR248" s="8">
        <v>0</v>
      </c>
      <c r="AS248" s="8">
        <v>0</v>
      </c>
      <c r="AT248" s="8">
        <v>0</v>
      </c>
      <c r="AU248" s="8">
        <v>0</v>
      </c>
      <c r="AV248" s="8">
        <v>0</v>
      </c>
      <c r="AW248" s="8">
        <v>0</v>
      </c>
      <c r="AX248" s="8" t="s">
        <v>2007</v>
      </c>
      <c r="AY248" s="14">
        <v>8300</v>
      </c>
      <c r="AZ248" s="19">
        <v>46072</v>
      </c>
      <c r="BA248" s="14" t="s">
        <v>1306</v>
      </c>
      <c r="BB248" s="14">
        <v>8300</v>
      </c>
      <c r="BC248" s="19">
        <v>46072</v>
      </c>
      <c r="BD248" s="14" t="s">
        <v>1306</v>
      </c>
      <c r="BE248" s="14">
        <v>8300</v>
      </c>
      <c r="BF248" s="19">
        <v>46072</v>
      </c>
      <c r="BG248" s="14" t="s">
        <v>1306</v>
      </c>
      <c r="BH248" s="14">
        <v>8300</v>
      </c>
      <c r="BI248" s="19">
        <v>46072</v>
      </c>
      <c r="BJ248" s="14" t="s">
        <v>1306</v>
      </c>
      <c r="BK248" s="14">
        <v>8300</v>
      </c>
      <c r="BL248" s="19">
        <v>46072</v>
      </c>
      <c r="BM248" s="14" t="s">
        <v>1306</v>
      </c>
      <c r="BN248" s="27">
        <v>46252</v>
      </c>
      <c r="BO248" s="27">
        <v>46252</v>
      </c>
      <c r="BP248" s="27">
        <v>46252</v>
      </c>
      <c r="BQ248" s="27">
        <v>46252</v>
      </c>
      <c r="BR248" s="27">
        <v>46437</v>
      </c>
      <c r="BS248" s="28">
        <v>750</v>
      </c>
      <c r="BT248" s="29">
        <v>1500</v>
      </c>
      <c r="BU248" s="29">
        <v>750</v>
      </c>
      <c r="BV248" s="29">
        <v>750</v>
      </c>
      <c r="BW248" s="29">
        <v>1500</v>
      </c>
      <c r="BX248" s="30" t="s">
        <v>152</v>
      </c>
      <c r="BY248" s="8">
        <v>0</v>
      </c>
      <c r="BZ248" s="8">
        <v>0</v>
      </c>
      <c r="CA248" s="8">
        <v>0</v>
      </c>
      <c r="CB248" s="21">
        <v>46071.770833333299</v>
      </c>
      <c r="CC248" s="21">
        <v>46071.770833333299</v>
      </c>
      <c r="CD248" s="21">
        <v>46071.770833333299</v>
      </c>
      <c r="CE248" s="21">
        <v>46071.770833333299</v>
      </c>
      <c r="CF248" s="21">
        <v>46071.770833333299</v>
      </c>
      <c r="CG248" s="21">
        <v>46071.770833333299</v>
      </c>
      <c r="CH248" s="21">
        <v>46071.770833333299</v>
      </c>
      <c r="CI248" s="21">
        <v>46071.770833333299</v>
      </c>
      <c r="CJ248" s="21">
        <v>46071.770833333299</v>
      </c>
      <c r="CK248" s="22" t="s">
        <v>2956</v>
      </c>
      <c r="CL248" s="22" t="s">
        <v>2957</v>
      </c>
      <c r="CM248" s="22" t="s">
        <v>2959</v>
      </c>
      <c r="CN248" s="22" t="s">
        <v>2957</v>
      </c>
      <c r="CO248" s="22" t="s">
        <v>2957</v>
      </c>
      <c r="CP248" s="22" t="s">
        <v>2956</v>
      </c>
      <c r="CQ248" s="22" t="s">
        <v>2953</v>
      </c>
      <c r="CR248" s="22" t="s">
        <v>2956</v>
      </c>
      <c r="CS248" s="22" t="s">
        <v>2960</v>
      </c>
      <c r="CT248" s="22">
        <v>4</v>
      </c>
      <c r="CU248" s="21">
        <v>46251</v>
      </c>
      <c r="CV248" s="21">
        <v>46251</v>
      </c>
      <c r="CW248" s="21">
        <v>46197</v>
      </c>
      <c r="CX248" s="21">
        <v>46251</v>
      </c>
      <c r="CY248" s="21">
        <v>46251</v>
      </c>
      <c r="CZ248" s="21">
        <v>46341</v>
      </c>
      <c r="DA248" s="21">
        <v>46322</v>
      </c>
      <c r="DB248" s="21">
        <v>46251</v>
      </c>
      <c r="DC248" s="21">
        <v>46436</v>
      </c>
      <c r="DD248" s="8">
        <v>0</v>
      </c>
      <c r="DE248" s="8">
        <v>0</v>
      </c>
      <c r="DF248" s="8">
        <v>0</v>
      </c>
      <c r="DG248" s="8">
        <v>0</v>
      </c>
      <c r="DH248" s="8">
        <v>0</v>
      </c>
      <c r="DI248" s="8">
        <v>0</v>
      </c>
      <c r="DJ248" s="8" t="s">
        <v>2954</v>
      </c>
      <c r="DK248" s="21">
        <v>43994</v>
      </c>
      <c r="DL248" s="21">
        <v>43966.229166666664</v>
      </c>
      <c r="DM248" s="21">
        <v>46072</v>
      </c>
      <c r="DN248" s="18">
        <v>8300</v>
      </c>
      <c r="DO248" s="21">
        <v>0</v>
      </c>
      <c r="DP248" s="21">
        <v>0</v>
      </c>
      <c r="DQ248" s="21" t="s">
        <v>2955</v>
      </c>
      <c r="DR248" s="21">
        <v>46072</v>
      </c>
      <c r="DS248" s="21">
        <v>46072</v>
      </c>
      <c r="DT248" s="21">
        <v>46072</v>
      </c>
      <c r="DU248" s="21">
        <v>46072</v>
      </c>
      <c r="DV248" s="21">
        <v>46072</v>
      </c>
      <c r="DW248" s="21">
        <v>46072</v>
      </c>
      <c r="DX248" s="21">
        <v>46072</v>
      </c>
      <c r="DY248" s="21">
        <v>46072</v>
      </c>
      <c r="DZ248" s="21">
        <v>46072</v>
      </c>
      <c r="EA248" s="8">
        <v>1500</v>
      </c>
      <c r="EB248" s="8">
        <v>750</v>
      </c>
      <c r="EC248" s="8">
        <v>500</v>
      </c>
      <c r="ED248" s="8">
        <v>750</v>
      </c>
      <c r="EE248" s="8">
        <v>750</v>
      </c>
      <c r="EF248" s="8">
        <v>1500</v>
      </c>
      <c r="EG248" s="8">
        <v>1000</v>
      </c>
      <c r="EH248" s="8">
        <v>1500</v>
      </c>
      <c r="EI248" s="8">
        <v>3000</v>
      </c>
      <c r="EJ248" s="8">
        <v>4</v>
      </c>
      <c r="EK248" s="8" t="s">
        <v>2624</v>
      </c>
      <c r="EL248" s="8">
        <v>40</v>
      </c>
      <c r="EM248" s="8">
        <v>0</v>
      </c>
      <c r="EN248" s="8">
        <v>1212</v>
      </c>
      <c r="EO248" s="8">
        <v>462</v>
      </c>
      <c r="EP248" s="8">
        <v>212</v>
      </c>
      <c r="EQ248" s="8">
        <v>462</v>
      </c>
      <c r="ER248" s="8">
        <v>462</v>
      </c>
      <c r="ES248" s="8">
        <v>1212</v>
      </c>
      <c r="ET248" s="8">
        <v>712</v>
      </c>
      <c r="EU248" s="8">
        <v>1212</v>
      </c>
      <c r="EV248" s="8">
        <v>2712</v>
      </c>
    </row>
    <row r="249" spans="1:152" x14ac:dyDescent="0.15">
      <c r="A249" s="8">
        <f>ROW([2]!tbl_DPSAC[[#This Row],[Sl. No.]])-1</f>
        <v>248</v>
      </c>
      <c r="B249" s="9" t="s">
        <v>136</v>
      </c>
      <c r="C249" s="9" t="s">
        <v>1307</v>
      </c>
      <c r="D249" s="9" t="s">
        <v>138</v>
      </c>
      <c r="E249" s="9" t="s">
        <v>139</v>
      </c>
      <c r="F249" s="9" t="s">
        <v>161</v>
      </c>
      <c r="G249" s="10" t="s">
        <v>303</v>
      </c>
      <c r="H249" s="10" t="str">
        <f>_xlfn.XLOOKUP(C249,'[1]E&amp;DPSAC'!$K:$K,'[1]E&amp;DPSAC'!$E:$E,,0)</f>
        <v>LODNA</v>
      </c>
      <c r="I249" s="10"/>
      <c r="J249" s="10">
        <v>7644045555</v>
      </c>
      <c r="K249" s="10">
        <f>_xlfn.XLOOKUP(C249,'[1]E&amp;DPSAC'!$K:$K,'[1]E&amp;DPSAC'!$G:$G,"",0)</f>
        <v>7644045555</v>
      </c>
      <c r="L249" s="9" t="str">
        <f t="shared" ca="1" si="12"/>
        <v>Non - Warranty</v>
      </c>
      <c r="M249" s="11">
        <v>44035</v>
      </c>
      <c r="N249" s="12">
        <v>24</v>
      </c>
      <c r="O249" s="11">
        <f t="shared" si="13"/>
        <v>44773</v>
      </c>
      <c r="P249" s="8" t="s">
        <v>142</v>
      </c>
      <c r="Q249" s="16" t="s">
        <v>1308</v>
      </c>
      <c r="R249" s="15">
        <v>46072.5550462963</v>
      </c>
      <c r="S249" s="14">
        <v>16000</v>
      </c>
      <c r="T249" s="15">
        <v>46072</v>
      </c>
      <c r="U249" s="14">
        <v>16000</v>
      </c>
      <c r="V249" s="14">
        <v>16000</v>
      </c>
      <c r="W249" s="17">
        <v>46072.5550462963</v>
      </c>
      <c r="X249" s="14" t="s">
        <v>2796</v>
      </c>
      <c r="Y249" s="14">
        <v>750</v>
      </c>
      <c r="Z249" s="14" t="s">
        <v>2692</v>
      </c>
      <c r="AA249" s="18">
        <v>40.444953703699866</v>
      </c>
      <c r="AB249" s="18" t="s">
        <v>2692</v>
      </c>
      <c r="AC249" s="8">
        <f>tbl_DPSAC[[#This Row],[Current Month Due Count]]</f>
        <v>0</v>
      </c>
      <c r="AD249" s="8">
        <f>tbl_DPSAC[[#This Row],[Next Month Due2]]</f>
        <v>0</v>
      </c>
      <c r="AE249" s="8">
        <f t="shared" si="14"/>
        <v>0</v>
      </c>
      <c r="AF249" s="8">
        <v>0</v>
      </c>
      <c r="AG249" s="14">
        <f t="shared" ca="1" si="15"/>
        <v>16000</v>
      </c>
      <c r="AH249" s="8">
        <v>0</v>
      </c>
      <c r="AI249" s="8">
        <v>0</v>
      </c>
      <c r="AJ249" s="8">
        <v>0</v>
      </c>
      <c r="AK249" s="8">
        <v>0</v>
      </c>
      <c r="AL249" s="8">
        <v>0</v>
      </c>
      <c r="AM249" s="8">
        <v>0</v>
      </c>
      <c r="AN249" s="8">
        <v>0</v>
      </c>
      <c r="AO249" s="8">
        <v>0</v>
      </c>
      <c r="AP249" s="8">
        <v>0</v>
      </c>
      <c r="AQ249" s="8">
        <v>0</v>
      </c>
      <c r="AR249" s="8">
        <v>0</v>
      </c>
      <c r="AS249" s="8">
        <v>0</v>
      </c>
      <c r="AT249" s="8">
        <v>0</v>
      </c>
      <c r="AU249" s="8">
        <v>0</v>
      </c>
      <c r="AV249" s="8">
        <v>0</v>
      </c>
      <c r="AW249" s="8">
        <v>0</v>
      </c>
      <c r="AX249" s="8" t="s">
        <v>2007</v>
      </c>
      <c r="AY249" s="14">
        <v>16000</v>
      </c>
      <c r="AZ249" s="19">
        <v>46072</v>
      </c>
      <c r="BA249" s="14" t="s">
        <v>1308</v>
      </c>
      <c r="BB249" s="14">
        <v>16000</v>
      </c>
      <c r="BC249" s="19">
        <v>46072</v>
      </c>
      <c r="BD249" s="14" t="s">
        <v>1308</v>
      </c>
      <c r="BE249" s="14">
        <v>16000</v>
      </c>
      <c r="BF249" s="19">
        <v>46072</v>
      </c>
      <c r="BG249" s="14" t="s">
        <v>1308</v>
      </c>
      <c r="BH249" s="14">
        <v>16000</v>
      </c>
      <c r="BI249" s="19">
        <v>46072</v>
      </c>
      <c r="BJ249" s="14" t="s">
        <v>1308</v>
      </c>
      <c r="BK249" s="14">
        <v>16000</v>
      </c>
      <c r="BL249" s="19">
        <v>46072</v>
      </c>
      <c r="BM249" s="14" t="s">
        <v>1308</v>
      </c>
      <c r="BN249" s="27">
        <v>46252</v>
      </c>
      <c r="BO249" s="27">
        <v>46252</v>
      </c>
      <c r="BP249" s="27">
        <v>46252</v>
      </c>
      <c r="BQ249" s="27">
        <v>46252</v>
      </c>
      <c r="BR249" s="27">
        <v>46437</v>
      </c>
      <c r="BS249" s="28">
        <v>750</v>
      </c>
      <c r="BT249" s="29">
        <v>1500</v>
      </c>
      <c r="BU249" s="29">
        <v>750</v>
      </c>
      <c r="BV249" s="29">
        <v>750</v>
      </c>
      <c r="BW249" s="29">
        <v>1500</v>
      </c>
      <c r="BX249" s="30" t="e">
        <v>#N/A</v>
      </c>
      <c r="BY249" s="8">
        <v>0</v>
      </c>
      <c r="BZ249" s="8">
        <v>0</v>
      </c>
      <c r="CA249" s="8">
        <v>0</v>
      </c>
      <c r="CB249" s="21">
        <v>46071.770833333299</v>
      </c>
      <c r="CC249" s="21">
        <v>46071.770833333299</v>
      </c>
      <c r="CD249" s="21">
        <v>46071.770833333299</v>
      </c>
      <c r="CE249" s="21">
        <v>46071.770833333299</v>
      </c>
      <c r="CF249" s="21">
        <v>46071.770833333299</v>
      </c>
      <c r="CG249" s="21">
        <v>46071.770833333299</v>
      </c>
      <c r="CH249" s="21">
        <v>46071.770833333299</v>
      </c>
      <c r="CI249" s="21">
        <v>46071.770833333299</v>
      </c>
      <c r="CJ249" s="21">
        <v>46071.770833333299</v>
      </c>
      <c r="CK249" s="22" t="s">
        <v>2956</v>
      </c>
      <c r="CL249" s="22" t="s">
        <v>2957</v>
      </c>
      <c r="CM249" s="22" t="s">
        <v>2959</v>
      </c>
      <c r="CN249" s="22" t="s">
        <v>2957</v>
      </c>
      <c r="CO249" s="22" t="s">
        <v>2957</v>
      </c>
      <c r="CP249" s="22" t="s">
        <v>2956</v>
      </c>
      <c r="CQ249" s="22" t="s">
        <v>2953</v>
      </c>
      <c r="CR249" s="22" t="s">
        <v>2956</v>
      </c>
      <c r="CS249" s="22" t="s">
        <v>2960</v>
      </c>
      <c r="CT249" s="22">
        <v>5</v>
      </c>
      <c r="CU249" s="21">
        <v>46251</v>
      </c>
      <c r="CV249" s="21">
        <v>46222</v>
      </c>
      <c r="CW249" s="21">
        <v>46172</v>
      </c>
      <c r="CX249" s="21">
        <v>46222</v>
      </c>
      <c r="CY249" s="21">
        <v>46222</v>
      </c>
      <c r="CZ249" s="21">
        <v>46341</v>
      </c>
      <c r="DA249" s="21">
        <v>46272</v>
      </c>
      <c r="DB249" s="21">
        <v>46251</v>
      </c>
      <c r="DC249" s="21">
        <v>46436</v>
      </c>
      <c r="DD249" s="8">
        <v>0</v>
      </c>
      <c r="DE249" s="8">
        <v>0</v>
      </c>
      <c r="DF249" s="8">
        <v>0</v>
      </c>
      <c r="DG249" s="8">
        <v>0</v>
      </c>
      <c r="DH249" s="8">
        <v>0</v>
      </c>
      <c r="DI249" s="8">
        <v>1</v>
      </c>
      <c r="DJ249" s="8" t="s">
        <v>2954</v>
      </c>
      <c r="DK249" s="21">
        <v>44035</v>
      </c>
      <c r="DL249" s="21">
        <v>44022.229166666664</v>
      </c>
      <c r="DM249" s="21">
        <v>46072</v>
      </c>
      <c r="DN249" s="18">
        <v>16000</v>
      </c>
      <c r="DO249" s="21">
        <v>0</v>
      </c>
      <c r="DP249" s="21">
        <v>0</v>
      </c>
      <c r="DQ249" s="21" t="s">
        <v>2955</v>
      </c>
      <c r="DR249" s="21">
        <v>46072</v>
      </c>
      <c r="DS249" s="21">
        <v>46072</v>
      </c>
      <c r="DT249" s="21">
        <v>46072</v>
      </c>
      <c r="DU249" s="21">
        <v>46072</v>
      </c>
      <c r="DV249" s="21">
        <v>46072</v>
      </c>
      <c r="DW249" s="21">
        <v>46072</v>
      </c>
      <c r="DX249" s="21">
        <v>46072</v>
      </c>
      <c r="DY249" s="21">
        <v>46072</v>
      </c>
      <c r="DZ249" s="21">
        <v>46072</v>
      </c>
      <c r="EA249" s="8">
        <v>1500</v>
      </c>
      <c r="EB249" s="8">
        <v>750</v>
      </c>
      <c r="EC249" s="8">
        <v>500</v>
      </c>
      <c r="ED249" s="8">
        <v>750</v>
      </c>
      <c r="EE249" s="8">
        <v>750</v>
      </c>
      <c r="EF249" s="8">
        <v>1500</v>
      </c>
      <c r="EG249" s="8">
        <v>1000</v>
      </c>
      <c r="EH249" s="8">
        <v>1500</v>
      </c>
      <c r="EI249" s="8">
        <v>3000</v>
      </c>
      <c r="EJ249" s="8">
        <v>5</v>
      </c>
      <c r="EK249" s="8" t="s">
        <v>2624</v>
      </c>
      <c r="EL249" s="8">
        <v>40</v>
      </c>
      <c r="EM249" s="8">
        <v>0</v>
      </c>
      <c r="EN249" s="8">
        <v>1212</v>
      </c>
      <c r="EO249" s="8">
        <v>462</v>
      </c>
      <c r="EP249" s="8">
        <v>212</v>
      </c>
      <c r="EQ249" s="8">
        <v>462</v>
      </c>
      <c r="ER249" s="8">
        <v>462</v>
      </c>
      <c r="ES249" s="8">
        <v>1212</v>
      </c>
      <c r="ET249" s="8">
        <v>712</v>
      </c>
      <c r="EU249" s="8">
        <v>1212</v>
      </c>
      <c r="EV249" s="8">
        <v>2712</v>
      </c>
    </row>
    <row r="250" spans="1:152" x14ac:dyDescent="0.15">
      <c r="A250" s="8">
        <f>ROW([2]!tbl_DPSAC[[#This Row],[Sl. No.]])-1</f>
        <v>249</v>
      </c>
      <c r="B250" s="9" t="s">
        <v>136</v>
      </c>
      <c r="C250" s="9" t="s">
        <v>1309</v>
      </c>
      <c r="D250" s="9" t="s">
        <v>138</v>
      </c>
      <c r="E250" s="9" t="s">
        <v>139</v>
      </c>
      <c r="F250" s="9" t="s">
        <v>161</v>
      </c>
      <c r="G250" s="10" t="s">
        <v>670</v>
      </c>
      <c r="H250" s="10" t="str">
        <f>_xlfn.XLOOKUP(C250,'[1]E&amp;DPSAC'!$K:$K,'[1]E&amp;DPSAC'!$E:$E,,0)</f>
        <v>KASUNDA</v>
      </c>
      <c r="I250" s="10" t="s">
        <v>671</v>
      </c>
      <c r="J250" s="10">
        <v>7847058297</v>
      </c>
      <c r="K250" s="10">
        <f>_xlfn.XLOOKUP(C250,'[1]E&amp;DPSAC'!$K:$K,'[1]E&amp;DPSAC'!$G:$G,"",0)</f>
        <v>9101968918</v>
      </c>
      <c r="L250" s="9" t="str">
        <f t="shared" ca="1" si="12"/>
        <v>Non - Warranty</v>
      </c>
      <c r="M250" s="11">
        <v>44034</v>
      </c>
      <c r="N250" s="12">
        <v>24</v>
      </c>
      <c r="O250" s="11">
        <f t="shared" si="13"/>
        <v>44773</v>
      </c>
      <c r="P250" s="8" t="s">
        <v>142</v>
      </c>
      <c r="Q250" s="16" t="s">
        <v>1310</v>
      </c>
      <c r="R250" s="15">
        <v>45954.577777777777</v>
      </c>
      <c r="S250" s="14">
        <v>9420</v>
      </c>
      <c r="T250" s="15">
        <v>45854</v>
      </c>
      <c r="U250" s="14">
        <v>8200</v>
      </c>
      <c r="V250" s="14">
        <v>9445</v>
      </c>
      <c r="W250" s="17">
        <v>45966.54583333333</v>
      </c>
      <c r="X250" s="14" t="s">
        <v>2700</v>
      </c>
      <c r="Y250" s="14">
        <v>725</v>
      </c>
      <c r="Z250" s="14" t="s">
        <v>2692</v>
      </c>
      <c r="AA250" s="18">
        <v>158.42222222222335</v>
      </c>
      <c r="AB250" s="18" t="s">
        <v>2692</v>
      </c>
      <c r="AC250" s="8">
        <f>tbl_DPSAC[[#This Row],[Current Month Due Count]]</f>
        <v>4</v>
      </c>
      <c r="AD250" s="8">
        <f>tbl_DPSAC[[#This Row],[Next Month Due2]]</f>
        <v>0</v>
      </c>
      <c r="AE250" s="8">
        <f t="shared" si="14"/>
        <v>0</v>
      </c>
      <c r="AF250" s="8">
        <v>4</v>
      </c>
      <c r="AG250" s="14">
        <f t="shared" ca="1" si="15"/>
        <v>10031</v>
      </c>
      <c r="AH250" s="8">
        <v>0</v>
      </c>
      <c r="AI250" s="8">
        <v>0</v>
      </c>
      <c r="AJ250" s="8">
        <v>0</v>
      </c>
      <c r="AK250" s="8">
        <v>0</v>
      </c>
      <c r="AL250" s="8">
        <v>0</v>
      </c>
      <c r="AM250" s="8">
        <v>0</v>
      </c>
      <c r="AN250" s="8">
        <v>0</v>
      </c>
      <c r="AO250" s="8">
        <v>0</v>
      </c>
      <c r="AP250" s="8">
        <v>0</v>
      </c>
      <c r="AQ250" s="8">
        <v>0</v>
      </c>
      <c r="AR250" s="8">
        <v>0</v>
      </c>
      <c r="AS250" s="8">
        <v>0</v>
      </c>
      <c r="AT250" s="8">
        <v>0</v>
      </c>
      <c r="AU250" s="8">
        <v>0</v>
      </c>
      <c r="AV250" s="8">
        <v>0</v>
      </c>
      <c r="AW250" s="8">
        <v>0</v>
      </c>
      <c r="AX250" s="8" t="s">
        <v>2007</v>
      </c>
      <c r="AY250" s="14">
        <v>9428</v>
      </c>
      <c r="AZ250" s="19">
        <v>45954</v>
      </c>
      <c r="BA250" s="14" t="s">
        <v>1310</v>
      </c>
      <c r="BB250" s="14">
        <v>9428</v>
      </c>
      <c r="BC250" s="19">
        <v>45954</v>
      </c>
      <c r="BD250" s="14" t="s">
        <v>1310</v>
      </c>
      <c r="BE250" s="14">
        <v>9428</v>
      </c>
      <c r="BF250" s="19">
        <v>45954</v>
      </c>
      <c r="BG250" s="14" t="s">
        <v>1310</v>
      </c>
      <c r="BH250" s="14">
        <v>9428</v>
      </c>
      <c r="BI250" s="19">
        <v>45954</v>
      </c>
      <c r="BJ250" s="14" t="s">
        <v>1310</v>
      </c>
      <c r="BK250" s="14">
        <v>9428</v>
      </c>
      <c r="BL250" s="19">
        <v>45954</v>
      </c>
      <c r="BM250" s="14" t="s">
        <v>1310</v>
      </c>
      <c r="BN250" s="27">
        <v>46134</v>
      </c>
      <c r="BO250" s="27">
        <v>46134</v>
      </c>
      <c r="BP250" s="27">
        <v>46134</v>
      </c>
      <c r="BQ250" s="27">
        <v>46134</v>
      </c>
      <c r="BR250" s="27">
        <v>46319</v>
      </c>
      <c r="BS250" s="28">
        <v>147</v>
      </c>
      <c r="BT250" s="29">
        <v>897</v>
      </c>
      <c r="BU250" s="29">
        <v>147</v>
      </c>
      <c r="BV250" s="29">
        <v>147</v>
      </c>
      <c r="BW250" s="29">
        <v>897</v>
      </c>
      <c r="BX250" s="30" t="e">
        <v>#N/A</v>
      </c>
      <c r="BY250" s="8">
        <v>0</v>
      </c>
      <c r="BZ250" s="8">
        <v>4</v>
      </c>
      <c r="CA250" s="8">
        <v>0</v>
      </c>
      <c r="CB250" s="21">
        <v>45953.770833333299</v>
      </c>
      <c r="CC250" s="21">
        <v>45953.770833333299</v>
      </c>
      <c r="CD250" s="21">
        <v>45953.770833333299</v>
      </c>
      <c r="CE250" s="21">
        <v>45953.770833333299</v>
      </c>
      <c r="CF250" s="21">
        <v>45953.770833333299</v>
      </c>
      <c r="CG250" s="21">
        <v>45953.770833333299</v>
      </c>
      <c r="CH250" s="21">
        <v>45953.770833333299</v>
      </c>
      <c r="CI250" s="21">
        <v>45953.770833333299</v>
      </c>
      <c r="CJ250" s="21">
        <v>45953.770833333299</v>
      </c>
      <c r="CK250" s="22" t="s">
        <v>3096</v>
      </c>
      <c r="CL250" s="22" t="s">
        <v>3096</v>
      </c>
      <c r="CM250" s="22" t="s">
        <v>3096</v>
      </c>
      <c r="CN250" s="22" t="s">
        <v>3096</v>
      </c>
      <c r="CO250" s="22" t="s">
        <v>3096</v>
      </c>
      <c r="CP250" s="22" t="s">
        <v>3095</v>
      </c>
      <c r="CQ250" s="22" t="s">
        <v>2953</v>
      </c>
      <c r="CR250" s="22" t="s">
        <v>3095</v>
      </c>
      <c r="CS250" s="22" t="s">
        <v>3095</v>
      </c>
      <c r="CT250" s="22">
        <v>4</v>
      </c>
      <c r="CU250" s="21">
        <v>46133</v>
      </c>
      <c r="CV250" s="21">
        <v>46133</v>
      </c>
      <c r="CW250" s="21">
        <v>46133</v>
      </c>
      <c r="CX250" s="21">
        <v>46133</v>
      </c>
      <c r="CY250" s="21">
        <v>46133</v>
      </c>
      <c r="CZ250" s="21">
        <v>46223</v>
      </c>
      <c r="DA250" s="21">
        <v>46216</v>
      </c>
      <c r="DB250" s="21">
        <v>46133</v>
      </c>
      <c r="DC250" s="21">
        <v>46318</v>
      </c>
      <c r="DD250" s="8">
        <v>0</v>
      </c>
      <c r="DE250" s="8">
        <v>0</v>
      </c>
      <c r="DF250" s="8">
        <v>0</v>
      </c>
      <c r="DG250" s="8">
        <v>0</v>
      </c>
      <c r="DH250" s="8">
        <v>6</v>
      </c>
      <c r="DI250" s="8">
        <v>0</v>
      </c>
      <c r="DJ250" s="8" t="s">
        <v>2954</v>
      </c>
      <c r="DK250" s="21">
        <v>44034</v>
      </c>
      <c r="DL250" s="21">
        <v>44008.229166666664</v>
      </c>
      <c r="DM250" s="21">
        <v>45966</v>
      </c>
      <c r="DN250" s="18">
        <v>9445</v>
      </c>
      <c r="DO250" s="21">
        <v>0</v>
      </c>
      <c r="DP250" s="21">
        <v>0</v>
      </c>
      <c r="DQ250" s="21" t="s">
        <v>2955</v>
      </c>
      <c r="DR250" s="21">
        <v>45954</v>
      </c>
      <c r="DS250" s="21">
        <v>45954</v>
      </c>
      <c r="DT250" s="21">
        <v>45954</v>
      </c>
      <c r="DU250" s="21">
        <v>45954</v>
      </c>
      <c r="DV250" s="21">
        <v>45954</v>
      </c>
      <c r="DW250" s="21">
        <v>45954</v>
      </c>
      <c r="DX250" s="21">
        <v>45954</v>
      </c>
      <c r="DY250" s="21">
        <v>45954</v>
      </c>
      <c r="DZ250" s="21">
        <v>45954</v>
      </c>
      <c r="EA250" s="8">
        <v>710</v>
      </c>
      <c r="EB250" s="8">
        <v>710</v>
      </c>
      <c r="EC250" s="8">
        <v>710</v>
      </c>
      <c r="ED250" s="8">
        <v>710</v>
      </c>
      <c r="EE250" s="8">
        <v>710</v>
      </c>
      <c r="EF250" s="8">
        <v>1460</v>
      </c>
      <c r="EG250" s="8">
        <v>1000</v>
      </c>
      <c r="EH250" s="8">
        <v>1460</v>
      </c>
      <c r="EI250" s="8">
        <v>1460</v>
      </c>
      <c r="EJ250" s="8">
        <v>4</v>
      </c>
      <c r="EK250" s="8" t="s">
        <v>2624</v>
      </c>
      <c r="EL250" s="8">
        <v>146</v>
      </c>
      <c r="EM250" s="8">
        <v>584</v>
      </c>
      <c r="EN250" s="8">
        <v>422</v>
      </c>
      <c r="EO250" s="8">
        <v>422</v>
      </c>
      <c r="EP250" s="8">
        <v>422</v>
      </c>
      <c r="EQ250" s="8">
        <v>422</v>
      </c>
      <c r="ER250" s="8">
        <v>422</v>
      </c>
      <c r="ES250" s="8">
        <v>1172</v>
      </c>
      <c r="ET250" s="8">
        <v>712</v>
      </c>
      <c r="EU250" s="8">
        <v>1172</v>
      </c>
      <c r="EV250" s="8">
        <v>1172</v>
      </c>
    </row>
    <row r="251" spans="1:152" x14ac:dyDescent="0.15">
      <c r="A251" s="8">
        <f>ROW([2]!tbl_DPSAC[[#This Row],[Sl. No.]])-1</f>
        <v>250</v>
      </c>
      <c r="B251" s="9" t="s">
        <v>136</v>
      </c>
      <c r="C251" s="9" t="s">
        <v>1311</v>
      </c>
      <c r="D251" s="9" t="s">
        <v>1312</v>
      </c>
      <c r="E251" s="9" t="s">
        <v>199</v>
      </c>
      <c r="F251" s="9" t="s">
        <v>161</v>
      </c>
      <c r="G251" s="10" t="s">
        <v>1313</v>
      </c>
      <c r="H251" s="10" t="str">
        <f>_xlfn.XLOOKUP(C251,'[1]E&amp;DPSAC'!$K:$K,'[1]E&amp;DPSAC'!$E:$E,,0)</f>
        <v>TUPUDANA, RANCHI</v>
      </c>
      <c r="I251" s="10"/>
      <c r="J251" s="10">
        <v>8969978501</v>
      </c>
      <c r="K251" s="10">
        <f>_xlfn.XLOOKUP(C251,'[1]E&amp;DPSAC'!$K:$K,'[1]E&amp;DPSAC'!$G:$G,"",0)</f>
        <v>8969978501</v>
      </c>
      <c r="L251" s="9" t="str">
        <f t="shared" ca="1" si="12"/>
        <v>Non - Warranty</v>
      </c>
      <c r="M251" s="11">
        <v>44735</v>
      </c>
      <c r="N251" s="12">
        <v>24</v>
      </c>
      <c r="O251" s="11">
        <f t="shared" si="13"/>
        <v>45473</v>
      </c>
      <c r="P251" s="8" t="s">
        <v>142</v>
      </c>
      <c r="Q251" s="16" t="s">
        <v>1318</v>
      </c>
      <c r="R251" s="15">
        <v>45902.730578703697</v>
      </c>
      <c r="S251" s="14">
        <v>2896</v>
      </c>
      <c r="T251" s="15">
        <v>45902</v>
      </c>
      <c r="U251" s="14">
        <v>2796</v>
      </c>
      <c r="V251" s="14">
        <v>3045</v>
      </c>
      <c r="W251" s="17">
        <v>46042.528356481504</v>
      </c>
      <c r="X251" s="14" t="s">
        <v>2797</v>
      </c>
      <c r="Y251" s="14">
        <v>601</v>
      </c>
      <c r="Z251" s="14" t="s">
        <v>2692</v>
      </c>
      <c r="AA251" s="18">
        <v>210.26942129630334</v>
      </c>
      <c r="AB251" s="18" t="s">
        <v>2697</v>
      </c>
      <c r="AC251" s="8">
        <f>tbl_DPSAC[[#This Row],[Current Month Due Count]]</f>
        <v>0</v>
      </c>
      <c r="AD251" s="8">
        <f>tbl_DPSAC[[#This Row],[Next Month Due2]]</f>
        <v>0</v>
      </c>
      <c r="AE251" s="8">
        <f t="shared" si="14"/>
        <v>1</v>
      </c>
      <c r="AF251" s="8">
        <v>1</v>
      </c>
      <c r="AG251" s="14">
        <f t="shared" ca="1" si="15"/>
        <v>3115</v>
      </c>
      <c r="AH251" s="8" t="s">
        <v>1314</v>
      </c>
      <c r="AI251" s="8" t="s">
        <v>1315</v>
      </c>
      <c r="AJ251" s="8" t="s">
        <v>1316</v>
      </c>
      <c r="AK251" s="8" t="s">
        <v>1317</v>
      </c>
      <c r="AL251" s="8">
        <v>0</v>
      </c>
      <c r="AM251" s="8">
        <v>0</v>
      </c>
      <c r="AN251" s="8">
        <v>0</v>
      </c>
      <c r="AO251" s="8">
        <v>0</v>
      </c>
      <c r="AP251" s="8">
        <v>0</v>
      </c>
      <c r="AQ251" s="8">
        <v>0</v>
      </c>
      <c r="AR251" s="8">
        <v>0</v>
      </c>
      <c r="AS251" s="8">
        <v>0</v>
      </c>
      <c r="AT251" s="8">
        <v>0</v>
      </c>
      <c r="AU251" s="8">
        <v>0</v>
      </c>
      <c r="AV251" s="8">
        <v>0</v>
      </c>
      <c r="AW251" s="8">
        <v>0</v>
      </c>
      <c r="AX251" s="8" t="s">
        <v>2007</v>
      </c>
      <c r="AY251" s="14">
        <v>2896</v>
      </c>
      <c r="AZ251" s="19">
        <v>45902</v>
      </c>
      <c r="BA251" s="14" t="s">
        <v>1318</v>
      </c>
      <c r="BB251" s="14">
        <v>2896</v>
      </c>
      <c r="BC251" s="19">
        <v>45902</v>
      </c>
      <c r="BD251" s="14" t="s">
        <v>1318</v>
      </c>
      <c r="BE251" s="14">
        <v>2896</v>
      </c>
      <c r="BF251" s="19">
        <v>45902</v>
      </c>
      <c r="BG251" s="14" t="s">
        <v>1318</v>
      </c>
      <c r="BH251" s="14">
        <v>2896</v>
      </c>
      <c r="BI251" s="19">
        <v>45902</v>
      </c>
      <c r="BJ251" s="14" t="s">
        <v>1318</v>
      </c>
      <c r="BK251" s="14">
        <v>2896</v>
      </c>
      <c r="BL251" s="19">
        <v>45902</v>
      </c>
      <c r="BM251" s="14" t="s">
        <v>1318</v>
      </c>
      <c r="BN251" s="27">
        <v>46082</v>
      </c>
      <c r="BO251" s="27">
        <v>46082</v>
      </c>
      <c r="BP251" s="27">
        <v>46082</v>
      </c>
      <c r="BQ251" s="27">
        <v>46082</v>
      </c>
      <c r="BR251" s="27">
        <v>46267</v>
      </c>
      <c r="BS251" s="28">
        <v>531</v>
      </c>
      <c r="BT251" s="29">
        <v>1281</v>
      </c>
      <c r="BU251" s="29">
        <v>531</v>
      </c>
      <c r="BV251" s="29">
        <v>531</v>
      </c>
      <c r="BW251" s="29">
        <v>1281</v>
      </c>
      <c r="BX251" s="30">
        <v>0</v>
      </c>
      <c r="BY251" s="8">
        <v>4</v>
      </c>
      <c r="BZ251" s="8">
        <v>0</v>
      </c>
      <c r="CA251" s="8">
        <v>0</v>
      </c>
      <c r="CB251" s="21">
        <v>45901.770833333299</v>
      </c>
      <c r="CC251" s="21">
        <v>45901.770833333299</v>
      </c>
      <c r="CD251" s="21">
        <v>45901.770833333299</v>
      </c>
      <c r="CE251" s="21">
        <v>45901.770833333299</v>
      </c>
      <c r="CF251" s="21">
        <v>45901.770833333299</v>
      </c>
      <c r="CG251" s="21">
        <v>45901.770833333299</v>
      </c>
      <c r="CH251" s="21">
        <v>45901.770833333299</v>
      </c>
      <c r="CI251" s="21">
        <v>45901.770833333299</v>
      </c>
      <c r="CJ251" s="21">
        <v>45901.770833333299</v>
      </c>
      <c r="CK251" s="22" t="s">
        <v>3015</v>
      </c>
      <c r="CL251" s="22" t="s">
        <v>3015</v>
      </c>
      <c r="CM251" s="22" t="s">
        <v>3015</v>
      </c>
      <c r="CN251" s="22" t="s">
        <v>3015</v>
      </c>
      <c r="CO251" s="22" t="s">
        <v>3015</v>
      </c>
      <c r="CP251" s="22" t="s">
        <v>3132</v>
      </c>
      <c r="CQ251" s="22" t="s">
        <v>2953</v>
      </c>
      <c r="CR251" s="22" t="s">
        <v>3132</v>
      </c>
      <c r="CS251" s="22" t="s">
        <v>3132</v>
      </c>
      <c r="CT251" s="22">
        <v>3</v>
      </c>
      <c r="CU251" s="21">
        <v>46081</v>
      </c>
      <c r="CV251" s="21">
        <v>46081</v>
      </c>
      <c r="CW251" s="21">
        <v>46081</v>
      </c>
      <c r="CX251" s="21">
        <v>46081</v>
      </c>
      <c r="CY251" s="21">
        <v>46081</v>
      </c>
      <c r="CZ251" s="21">
        <v>46171</v>
      </c>
      <c r="DA251" s="21">
        <v>46266</v>
      </c>
      <c r="DB251" s="21">
        <v>46081</v>
      </c>
      <c r="DC251" s="21">
        <v>46266</v>
      </c>
      <c r="DD251" s="8">
        <v>0</v>
      </c>
      <c r="DE251" s="8">
        <v>1</v>
      </c>
      <c r="DF251" s="8">
        <v>0</v>
      </c>
      <c r="DG251" s="8">
        <v>6</v>
      </c>
      <c r="DH251" s="8">
        <v>0</v>
      </c>
      <c r="DI251" s="8">
        <v>1</v>
      </c>
      <c r="DJ251" s="8" t="s">
        <v>2954</v>
      </c>
      <c r="DK251" s="21">
        <v>44735</v>
      </c>
      <c r="DL251" s="21">
        <v>44685.229166666664</v>
      </c>
      <c r="DM251" s="21">
        <v>46042</v>
      </c>
      <c r="DN251" s="18">
        <v>3045</v>
      </c>
      <c r="DO251" s="21">
        <v>0</v>
      </c>
      <c r="DP251" s="21">
        <v>0</v>
      </c>
      <c r="DQ251" s="21" t="s">
        <v>2955</v>
      </c>
      <c r="DR251" s="21">
        <v>45902</v>
      </c>
      <c r="DS251" s="21">
        <v>45902</v>
      </c>
      <c r="DT251" s="21">
        <v>45902</v>
      </c>
      <c r="DU251" s="21">
        <v>45902</v>
      </c>
      <c r="DV251" s="21">
        <v>45902</v>
      </c>
      <c r="DW251" s="21">
        <v>45902</v>
      </c>
      <c r="DX251" s="21">
        <v>45902</v>
      </c>
      <c r="DY251" s="21">
        <v>45902</v>
      </c>
      <c r="DZ251" s="21">
        <v>45902</v>
      </c>
      <c r="EA251" s="8">
        <v>605</v>
      </c>
      <c r="EB251" s="8">
        <v>605</v>
      </c>
      <c r="EC251" s="8">
        <v>605</v>
      </c>
      <c r="ED251" s="8">
        <v>605</v>
      </c>
      <c r="EE251" s="8">
        <v>605</v>
      </c>
      <c r="EF251" s="8">
        <v>1355</v>
      </c>
      <c r="EG251" s="8">
        <v>1000</v>
      </c>
      <c r="EH251" s="8">
        <v>1355</v>
      </c>
      <c r="EI251" s="8">
        <v>1355</v>
      </c>
      <c r="EJ251" s="8">
        <v>3</v>
      </c>
      <c r="EK251" s="8" t="s">
        <v>2624</v>
      </c>
      <c r="EL251" s="8">
        <v>70</v>
      </c>
      <c r="EM251" s="8">
        <v>70</v>
      </c>
      <c r="EN251" s="8">
        <v>317</v>
      </c>
      <c r="EO251" s="8">
        <v>317</v>
      </c>
      <c r="EP251" s="8">
        <v>317</v>
      </c>
      <c r="EQ251" s="8">
        <v>317</v>
      </c>
      <c r="ER251" s="8">
        <v>317</v>
      </c>
      <c r="ES251" s="8">
        <v>1067</v>
      </c>
      <c r="ET251" s="8">
        <v>712</v>
      </c>
      <c r="EU251" s="8">
        <v>1067</v>
      </c>
      <c r="EV251" s="8">
        <v>1067</v>
      </c>
    </row>
    <row r="252" spans="1:152" x14ac:dyDescent="0.15">
      <c r="A252" s="8">
        <f>ROW([2]!tbl_DPSAC[[#This Row],[Sl. No.]])-1</f>
        <v>251</v>
      </c>
      <c r="B252" s="9" t="s">
        <v>136</v>
      </c>
      <c r="C252" s="9" t="s">
        <v>1319</v>
      </c>
      <c r="D252" s="9" t="s">
        <v>138</v>
      </c>
      <c r="E252" s="9" t="s">
        <v>139</v>
      </c>
      <c r="F252" s="9" t="s">
        <v>161</v>
      </c>
      <c r="G252" s="10" t="s">
        <v>1320</v>
      </c>
      <c r="H252" s="10" t="e">
        <f>_xlfn.XLOOKUP(C252,'[1]E&amp;DPSAC'!$K:$K,'[1]E&amp;DPSAC'!$E:$E,,0)</f>
        <v>#N/A</v>
      </c>
      <c r="I252" s="10"/>
      <c r="J252" s="10">
        <v>8521943060</v>
      </c>
      <c r="K252" s="10" t="str">
        <f>_xlfn.XLOOKUP(C252,'[1]E&amp;DPSAC'!$K:$K,'[1]E&amp;DPSAC'!$G:$G,"",0)</f>
        <v/>
      </c>
      <c r="L252" s="9" t="str">
        <f t="shared" ca="1" si="12"/>
        <v>Non - Warranty</v>
      </c>
      <c r="M252" s="11">
        <v>44259</v>
      </c>
      <c r="N252" s="12">
        <v>24</v>
      </c>
      <c r="O252" s="11">
        <f t="shared" si="13"/>
        <v>45016</v>
      </c>
      <c r="P252" s="8" t="s">
        <v>157</v>
      </c>
      <c r="Q252" s="16" t="s">
        <v>143</v>
      </c>
      <c r="R252" s="15" t="s">
        <v>143</v>
      </c>
      <c r="S252" s="14" t="s">
        <v>143</v>
      </c>
      <c r="T252" s="15" t="s">
        <v>143</v>
      </c>
      <c r="U252" s="14" t="s">
        <v>143</v>
      </c>
      <c r="V252" s="14">
        <v>2518</v>
      </c>
      <c r="W252" s="17">
        <v>44891.518981481502</v>
      </c>
      <c r="X252" s="14" t="s">
        <v>143</v>
      </c>
      <c r="Y252" s="14">
        <v>0</v>
      </c>
      <c r="Z252" s="14" t="s">
        <v>2692</v>
      </c>
      <c r="AA252" s="18">
        <v>1854</v>
      </c>
      <c r="AB252" s="18" t="s">
        <v>2697</v>
      </c>
      <c r="AC252" s="8">
        <f>tbl_DPSAC[[#This Row],[Current Month Due Count]]</f>
        <v>0</v>
      </c>
      <c r="AD252" s="8">
        <f>tbl_DPSAC[[#This Row],[Next Month Due2]]</f>
        <v>0</v>
      </c>
      <c r="AE252" s="8">
        <f t="shared" si="14"/>
        <v>1</v>
      </c>
      <c r="AF252" s="8">
        <v>3</v>
      </c>
      <c r="AG252" s="14">
        <f t="shared" ca="1" si="15"/>
        <v>6182</v>
      </c>
      <c r="AH252" s="8">
        <v>0</v>
      </c>
      <c r="AI252" s="8">
        <v>0</v>
      </c>
      <c r="AJ252" s="8">
        <v>0</v>
      </c>
      <c r="AK252" s="8">
        <v>0</v>
      </c>
      <c r="AL252" s="8">
        <v>0</v>
      </c>
      <c r="AM252" s="8">
        <v>0</v>
      </c>
      <c r="AN252" s="8">
        <v>0</v>
      </c>
      <c r="AO252" s="8">
        <v>0</v>
      </c>
      <c r="AP252" s="8">
        <v>0</v>
      </c>
      <c r="AQ252" s="8">
        <v>0</v>
      </c>
      <c r="AR252" s="8">
        <v>0</v>
      </c>
      <c r="AS252" s="8">
        <v>0</v>
      </c>
      <c r="AT252" s="8">
        <v>0</v>
      </c>
      <c r="AU252" s="8">
        <v>0</v>
      </c>
      <c r="AV252" s="8">
        <v>0</v>
      </c>
      <c r="AW252" s="8">
        <v>0</v>
      </c>
      <c r="AX252" s="8" t="s">
        <v>2007</v>
      </c>
      <c r="AY252" s="14"/>
      <c r="AZ252" s="19"/>
      <c r="BA252" s="14"/>
      <c r="BB252" s="14"/>
      <c r="BC252" s="19"/>
      <c r="BD252" s="14"/>
      <c r="BE252" s="14"/>
      <c r="BF252" s="19"/>
      <c r="BG252" s="14"/>
      <c r="BH252" s="14"/>
      <c r="BI252" s="19"/>
      <c r="BJ252" s="14"/>
      <c r="BK252" s="14"/>
      <c r="BL252" s="19"/>
      <c r="BM252" s="14"/>
      <c r="BN252" s="27" t="s">
        <v>143</v>
      </c>
      <c r="BO252" s="27" t="s">
        <v>143</v>
      </c>
      <c r="BP252" s="27" t="s">
        <v>143</v>
      </c>
      <c r="BQ252" s="27" t="s">
        <v>143</v>
      </c>
      <c r="BR252" s="27" t="s">
        <v>143</v>
      </c>
      <c r="BS252" s="28" t="s">
        <v>143</v>
      </c>
      <c r="BT252" s="29" t="s">
        <v>143</v>
      </c>
      <c r="BU252" s="29" t="s">
        <v>143</v>
      </c>
      <c r="BV252" s="29" t="s">
        <v>143</v>
      </c>
      <c r="BW252" s="29" t="s">
        <v>143</v>
      </c>
      <c r="BX252" s="30" t="s">
        <v>159</v>
      </c>
      <c r="BY252" s="8">
        <v>0</v>
      </c>
      <c r="BZ252" s="8">
        <v>0</v>
      </c>
      <c r="CA252" s="8">
        <v>0</v>
      </c>
      <c r="CB252" s="21" t="s">
        <v>143</v>
      </c>
      <c r="CC252" s="21" t="s">
        <v>143</v>
      </c>
      <c r="CD252" s="21" t="s">
        <v>143</v>
      </c>
      <c r="CE252" s="21" t="s">
        <v>143</v>
      </c>
      <c r="CF252" s="21" t="s">
        <v>143</v>
      </c>
      <c r="CG252" s="21" t="s">
        <v>143</v>
      </c>
      <c r="CH252" s="21" t="s">
        <v>143</v>
      </c>
      <c r="CI252" s="21" t="s">
        <v>143</v>
      </c>
      <c r="CJ252" s="21" t="s">
        <v>143</v>
      </c>
      <c r="CK252" s="22" t="s">
        <v>143</v>
      </c>
      <c r="CL252" s="22" t="s">
        <v>143</v>
      </c>
      <c r="CM252" s="22" t="s">
        <v>143</v>
      </c>
      <c r="CN252" s="22" t="s">
        <v>143</v>
      </c>
      <c r="CO252" s="22" t="s">
        <v>143</v>
      </c>
      <c r="CP252" s="22" t="s">
        <v>143</v>
      </c>
      <c r="CQ252" s="22" t="s">
        <v>143</v>
      </c>
      <c r="CR252" s="22" t="s">
        <v>143</v>
      </c>
      <c r="CS252" s="22" t="s">
        <v>143</v>
      </c>
      <c r="CT252" s="22" t="s">
        <v>143</v>
      </c>
      <c r="CU252" s="21" t="s">
        <v>143</v>
      </c>
      <c r="CV252" s="21" t="s">
        <v>143</v>
      </c>
      <c r="CW252" s="21" t="s">
        <v>143</v>
      </c>
      <c r="CX252" s="21" t="s">
        <v>143</v>
      </c>
      <c r="CY252" s="21" t="s">
        <v>143</v>
      </c>
      <c r="CZ252" s="21" t="s">
        <v>143</v>
      </c>
      <c r="DA252" s="21" t="s">
        <v>143</v>
      </c>
      <c r="DB252" s="21" t="s">
        <v>143</v>
      </c>
      <c r="DC252" s="21" t="s">
        <v>143</v>
      </c>
      <c r="DD252" s="8" t="s">
        <v>143</v>
      </c>
      <c r="DE252" s="8" t="s">
        <v>143</v>
      </c>
      <c r="DF252" s="8" t="s">
        <v>143</v>
      </c>
      <c r="DG252" s="8">
        <v>0</v>
      </c>
      <c r="DH252" s="8">
        <v>0</v>
      </c>
      <c r="DI252" s="8">
        <v>0</v>
      </c>
      <c r="DJ252" s="8" t="s">
        <v>143</v>
      </c>
      <c r="DK252" s="21" t="s">
        <v>143</v>
      </c>
      <c r="DL252" s="21" t="s">
        <v>143</v>
      </c>
      <c r="DM252" s="21" t="s">
        <v>143</v>
      </c>
      <c r="DN252" s="18" t="s">
        <v>143</v>
      </c>
      <c r="DO252" s="21" t="s">
        <v>143</v>
      </c>
      <c r="DP252" s="21" t="s">
        <v>143</v>
      </c>
      <c r="DQ252" s="21" t="s">
        <v>143</v>
      </c>
      <c r="DR252" s="21" t="s">
        <v>143</v>
      </c>
      <c r="DS252" s="21" t="s">
        <v>143</v>
      </c>
      <c r="DT252" s="21" t="s">
        <v>143</v>
      </c>
      <c r="DU252" s="21" t="s">
        <v>143</v>
      </c>
      <c r="DV252" s="21" t="s">
        <v>143</v>
      </c>
      <c r="DW252" s="21" t="s">
        <v>143</v>
      </c>
      <c r="DX252" s="21" t="s">
        <v>143</v>
      </c>
      <c r="DY252" s="21" t="s">
        <v>143</v>
      </c>
      <c r="DZ252" s="21" t="s">
        <v>143</v>
      </c>
      <c r="EA252" s="8" t="s">
        <v>143</v>
      </c>
      <c r="EB252" s="8" t="s">
        <v>143</v>
      </c>
      <c r="EC252" s="8" t="s">
        <v>143</v>
      </c>
      <c r="ED252" s="8" t="s">
        <v>143</v>
      </c>
      <c r="EE252" s="8" t="s">
        <v>143</v>
      </c>
      <c r="EF252" s="8" t="s">
        <v>143</v>
      </c>
      <c r="EG252" s="8" t="s">
        <v>143</v>
      </c>
      <c r="EH252" s="8" t="s">
        <v>143</v>
      </c>
      <c r="EI252" s="8" t="s">
        <v>143</v>
      </c>
      <c r="EJ252" s="8" t="s">
        <v>143</v>
      </c>
      <c r="EK252" s="8" t="s">
        <v>157</v>
      </c>
      <c r="EL252" s="8">
        <v>1221</v>
      </c>
      <c r="EM252" s="8">
        <v>3663</v>
      </c>
      <c r="EN252" s="8" t="s">
        <v>143</v>
      </c>
      <c r="EO252" s="8" t="s">
        <v>143</v>
      </c>
      <c r="EP252" s="8" t="s">
        <v>143</v>
      </c>
      <c r="EQ252" s="8" t="s">
        <v>143</v>
      </c>
      <c r="ER252" s="8" t="s">
        <v>143</v>
      </c>
      <c r="ES252" s="8" t="s">
        <v>143</v>
      </c>
      <c r="ET252" s="8" t="s">
        <v>143</v>
      </c>
      <c r="EU252" s="8" t="s">
        <v>143</v>
      </c>
      <c r="EV252" s="8" t="s">
        <v>143</v>
      </c>
    </row>
    <row r="253" spans="1:152" x14ac:dyDescent="0.15">
      <c r="A253" s="8">
        <f>ROW([2]!tbl_DPSAC[[#This Row],[Sl. No.]])-1</f>
        <v>252</v>
      </c>
      <c r="B253" s="9" t="s">
        <v>196</v>
      </c>
      <c r="C253" s="9" t="s">
        <v>1321</v>
      </c>
      <c r="D253" s="9" t="s">
        <v>169</v>
      </c>
      <c r="E253" s="9" t="s">
        <v>170</v>
      </c>
      <c r="F253" s="9" t="s">
        <v>161</v>
      </c>
      <c r="G253" s="10" t="s">
        <v>1322</v>
      </c>
      <c r="H253" s="10" t="str">
        <f>_xlfn.XLOOKUP(C253,'[1]E&amp;DPSAC'!$K:$K,'[1]E&amp;DPSAC'!$E:$E,,0)</f>
        <v>C/O L&amp;T LIMITED, CHOUSA, BUXER, BIHAR</v>
      </c>
      <c r="I253" s="10"/>
      <c r="J253" s="10">
        <v>8349233066</v>
      </c>
      <c r="K253" s="10">
        <f>_xlfn.XLOOKUP(C253,'[1]E&amp;DPSAC'!$K:$K,'[1]E&amp;DPSAC'!$G:$G,"",0)</f>
        <v>8349233066</v>
      </c>
      <c r="L253" s="9" t="str">
        <f t="shared" ca="1" si="12"/>
        <v>Non - Warranty</v>
      </c>
      <c r="M253" s="11">
        <v>44799</v>
      </c>
      <c r="N253" s="12">
        <v>24</v>
      </c>
      <c r="O253" s="11">
        <f t="shared" si="13"/>
        <v>45535</v>
      </c>
      <c r="P253" s="8" t="s">
        <v>715</v>
      </c>
      <c r="Q253" s="16" t="s">
        <v>1325</v>
      </c>
      <c r="R253" s="15">
        <v>44991.5079050926</v>
      </c>
      <c r="S253" s="14">
        <v>426</v>
      </c>
      <c r="T253" s="15">
        <v>44991</v>
      </c>
      <c r="U253" s="14">
        <v>426</v>
      </c>
      <c r="V253" s="14">
        <v>2520</v>
      </c>
      <c r="W253" s="17">
        <v>45940.718055555553</v>
      </c>
      <c r="X253" s="14" t="s">
        <v>2798</v>
      </c>
      <c r="Y253" s="14">
        <v>-1344</v>
      </c>
      <c r="Z253" s="14" t="s">
        <v>2697</v>
      </c>
      <c r="AA253" s="18">
        <v>1121.4920949074003</v>
      </c>
      <c r="AB253" s="18" t="s">
        <v>2697</v>
      </c>
      <c r="AC253" s="8">
        <f>tbl_DPSAC[[#This Row],[Current Month Due Count]]</f>
        <v>0</v>
      </c>
      <c r="AD253" s="8">
        <f>tbl_DPSAC[[#This Row],[Next Month Due2]]</f>
        <v>0</v>
      </c>
      <c r="AE253" s="8">
        <f t="shared" si="14"/>
        <v>1</v>
      </c>
      <c r="AF253" s="8">
        <v>3</v>
      </c>
      <c r="AG253" s="14">
        <f t="shared" ca="1" si="15"/>
        <v>3037</v>
      </c>
      <c r="AH253" s="8" t="s">
        <v>1323</v>
      </c>
      <c r="AI253" s="8" t="s">
        <v>1324</v>
      </c>
      <c r="AJ253" s="8">
        <v>0</v>
      </c>
      <c r="AK253" s="8">
        <v>0</v>
      </c>
      <c r="AL253" s="8">
        <v>0</v>
      </c>
      <c r="AM253" s="8">
        <v>0</v>
      </c>
      <c r="AN253" s="8">
        <v>0</v>
      </c>
      <c r="AO253" s="8">
        <v>0</v>
      </c>
      <c r="AP253" s="8">
        <v>0</v>
      </c>
      <c r="AQ253" s="8">
        <v>0</v>
      </c>
      <c r="AR253" s="8">
        <v>0</v>
      </c>
      <c r="AS253" s="8">
        <v>0</v>
      </c>
      <c r="AT253" s="8">
        <v>0</v>
      </c>
      <c r="AU253" s="8">
        <v>0</v>
      </c>
      <c r="AV253" s="8">
        <v>0</v>
      </c>
      <c r="AW253" s="8">
        <v>0</v>
      </c>
      <c r="AX253" s="8" t="s">
        <v>2961</v>
      </c>
      <c r="AY253" s="14">
        <v>426</v>
      </c>
      <c r="AZ253" s="19">
        <v>44991</v>
      </c>
      <c r="BA253" s="14" t="s">
        <v>1325</v>
      </c>
      <c r="BB253" s="14">
        <v>426</v>
      </c>
      <c r="BC253" s="19">
        <v>44991</v>
      </c>
      <c r="BD253" s="14" t="s">
        <v>1325</v>
      </c>
      <c r="BE253" s="14">
        <v>426</v>
      </c>
      <c r="BF253" s="19">
        <v>44991</v>
      </c>
      <c r="BG253" s="14" t="s">
        <v>1325</v>
      </c>
      <c r="BH253" s="14">
        <v>1</v>
      </c>
      <c r="BI253" s="19">
        <v>44799</v>
      </c>
      <c r="BJ253" s="14" t="s">
        <v>1326</v>
      </c>
      <c r="BK253" s="14">
        <v>1</v>
      </c>
      <c r="BL253" s="19">
        <v>44799</v>
      </c>
      <c r="BM253" s="14" t="s">
        <v>1326</v>
      </c>
      <c r="BN253" s="27">
        <v>45171</v>
      </c>
      <c r="BO253" s="27">
        <v>45171</v>
      </c>
      <c r="BP253" s="27">
        <v>45171</v>
      </c>
      <c r="BQ253" s="27">
        <v>44979</v>
      </c>
      <c r="BR253" s="27">
        <v>45164</v>
      </c>
      <c r="BS253" s="28">
        <v>-1861</v>
      </c>
      <c r="BT253" s="29">
        <v>-1111</v>
      </c>
      <c r="BU253" s="29">
        <v>-1861</v>
      </c>
      <c r="BV253" s="29">
        <v>-2286</v>
      </c>
      <c r="BW253" s="29">
        <v>-1536</v>
      </c>
      <c r="BX253" s="30">
        <v>0</v>
      </c>
      <c r="BY253" s="8">
        <v>5</v>
      </c>
      <c r="BZ253" s="8">
        <v>0</v>
      </c>
      <c r="CA253" s="8">
        <v>0</v>
      </c>
      <c r="CB253" s="21" t="s">
        <v>143</v>
      </c>
      <c r="CC253" s="21" t="s">
        <v>143</v>
      </c>
      <c r="CD253" s="21" t="s">
        <v>143</v>
      </c>
      <c r="CE253" s="21" t="s">
        <v>143</v>
      </c>
      <c r="CF253" s="21" t="s">
        <v>143</v>
      </c>
      <c r="CG253" s="21" t="s">
        <v>143</v>
      </c>
      <c r="CH253" s="21" t="s">
        <v>143</v>
      </c>
      <c r="CI253" s="21" t="s">
        <v>143</v>
      </c>
      <c r="CJ253" s="21" t="s">
        <v>143</v>
      </c>
      <c r="CK253" s="22" t="s">
        <v>143</v>
      </c>
      <c r="CL253" s="22" t="s">
        <v>143</v>
      </c>
      <c r="CM253" s="22" t="s">
        <v>143</v>
      </c>
      <c r="CN253" s="22" t="s">
        <v>143</v>
      </c>
      <c r="CO253" s="22" t="s">
        <v>143</v>
      </c>
      <c r="CP253" s="22" t="s">
        <v>143</v>
      </c>
      <c r="CQ253" s="22" t="s">
        <v>143</v>
      </c>
      <c r="CR253" s="22" t="s">
        <v>143</v>
      </c>
      <c r="CS253" s="22" t="s">
        <v>143</v>
      </c>
      <c r="CT253" s="22" t="s">
        <v>143</v>
      </c>
      <c r="CU253" s="21" t="s">
        <v>143</v>
      </c>
      <c r="CV253" s="21" t="s">
        <v>143</v>
      </c>
      <c r="CW253" s="21" t="s">
        <v>143</v>
      </c>
      <c r="CX253" s="21" t="s">
        <v>143</v>
      </c>
      <c r="CY253" s="21" t="s">
        <v>143</v>
      </c>
      <c r="CZ253" s="21" t="s">
        <v>143</v>
      </c>
      <c r="DA253" s="21" t="s">
        <v>143</v>
      </c>
      <c r="DB253" s="21" t="s">
        <v>143</v>
      </c>
      <c r="DC253" s="21" t="s">
        <v>143</v>
      </c>
      <c r="DD253" s="8" t="s">
        <v>143</v>
      </c>
      <c r="DE253" s="8" t="s">
        <v>143</v>
      </c>
      <c r="DF253" s="8" t="s">
        <v>143</v>
      </c>
      <c r="DG253" s="8">
        <v>0</v>
      </c>
      <c r="DH253" s="8">
        <v>0</v>
      </c>
      <c r="DI253" s="8">
        <v>0</v>
      </c>
      <c r="DJ253" s="8">
        <v>0</v>
      </c>
      <c r="DK253" s="21">
        <v>44799</v>
      </c>
      <c r="DL253" s="21">
        <v>44785.229166666664</v>
      </c>
      <c r="DM253" s="21">
        <v>45940</v>
      </c>
      <c r="DN253" s="18">
        <v>2520</v>
      </c>
      <c r="DO253" s="21">
        <v>0</v>
      </c>
      <c r="DP253" s="21">
        <v>0</v>
      </c>
      <c r="DQ253" s="21" t="s">
        <v>2955</v>
      </c>
      <c r="DR253" s="21">
        <v>44991</v>
      </c>
      <c r="DS253" s="21">
        <v>44991</v>
      </c>
      <c r="DT253" s="21">
        <v>0</v>
      </c>
      <c r="DU253" s="21">
        <v>44991</v>
      </c>
      <c r="DV253" s="21">
        <v>44991</v>
      </c>
      <c r="DW253" s="21">
        <v>44991</v>
      </c>
      <c r="DX253" s="21">
        <v>0</v>
      </c>
      <c r="DY253" s="21">
        <v>0</v>
      </c>
      <c r="DZ253" s="21">
        <v>0</v>
      </c>
      <c r="EA253" s="8">
        <v>340</v>
      </c>
      <c r="EB253" s="8">
        <v>340</v>
      </c>
      <c r="EC253" s="8">
        <v>340</v>
      </c>
      <c r="ED253" s="8">
        <v>340</v>
      </c>
      <c r="EE253" s="8">
        <v>340</v>
      </c>
      <c r="EF253" s="8">
        <v>900</v>
      </c>
      <c r="EG253" s="8">
        <v>1000</v>
      </c>
      <c r="EH253" s="8">
        <v>600</v>
      </c>
      <c r="EI253" s="8">
        <v>600</v>
      </c>
      <c r="EJ253" s="8">
        <v>3</v>
      </c>
      <c r="EK253" s="8" t="s">
        <v>715</v>
      </c>
      <c r="EL253" s="8">
        <v>172</v>
      </c>
      <c r="EM253" s="8">
        <v>516</v>
      </c>
      <c r="EN253" s="8">
        <v>52</v>
      </c>
      <c r="EO253" s="8">
        <v>52</v>
      </c>
      <c r="EP253" s="8">
        <v>52</v>
      </c>
      <c r="EQ253" s="8">
        <v>52</v>
      </c>
      <c r="ER253" s="8">
        <v>52</v>
      </c>
      <c r="ES253" s="8">
        <v>612</v>
      </c>
      <c r="ET253" s="8">
        <v>712</v>
      </c>
      <c r="EU253" s="8">
        <v>312</v>
      </c>
      <c r="EV253" s="8">
        <v>312</v>
      </c>
    </row>
    <row r="254" spans="1:152" x14ac:dyDescent="0.15">
      <c r="A254" s="8">
        <f>ROW([2]!tbl_DPSAC[[#This Row],[Sl. No.]])-1</f>
        <v>253</v>
      </c>
      <c r="B254" s="9" t="s">
        <v>136</v>
      </c>
      <c r="C254" s="9" t="s">
        <v>1327</v>
      </c>
      <c r="D254" s="9" t="s">
        <v>1328</v>
      </c>
      <c r="E254" s="9" t="s">
        <v>139</v>
      </c>
      <c r="F254" s="9" t="s">
        <v>161</v>
      </c>
      <c r="G254" s="10" t="s">
        <v>386</v>
      </c>
      <c r="H254" s="10" t="str">
        <f>_xlfn.XLOOKUP(C254,'[1]E&amp;DPSAC'!$K:$K,'[1]E&amp;DPSAC'!$E:$E,,0)</f>
        <v>SUNDER NAGAR, JAMSHEDPUR</v>
      </c>
      <c r="I254" s="10" t="s">
        <v>387</v>
      </c>
      <c r="J254" s="10">
        <v>9556546094</v>
      </c>
      <c r="K254" s="10">
        <f>_xlfn.XLOOKUP(C254,'[1]E&amp;DPSAC'!$K:$K,'[1]E&amp;DPSAC'!$G:$G,"",0)</f>
        <v>9556546094</v>
      </c>
      <c r="L254" s="9" t="str">
        <f t="shared" ca="1" si="12"/>
        <v>Non - Warranty</v>
      </c>
      <c r="M254" s="11">
        <v>44847</v>
      </c>
      <c r="N254" s="12">
        <v>24</v>
      </c>
      <c r="O254" s="11">
        <f t="shared" si="13"/>
        <v>45596</v>
      </c>
      <c r="P254" s="8" t="s">
        <v>142</v>
      </c>
      <c r="Q254" s="16" t="s">
        <v>1333</v>
      </c>
      <c r="R254" s="15">
        <v>45168.431678240697</v>
      </c>
      <c r="S254" s="14">
        <v>3073</v>
      </c>
      <c r="T254" s="15">
        <v>45461</v>
      </c>
      <c r="U254" s="14">
        <v>5040</v>
      </c>
      <c r="V254" s="14">
        <v>7900</v>
      </c>
      <c r="W254" s="17">
        <v>46042.531099537002</v>
      </c>
      <c r="X254" s="14" t="s">
        <v>2799</v>
      </c>
      <c r="Y254" s="14">
        <v>-4077</v>
      </c>
      <c r="Z254" s="14" t="s">
        <v>2697</v>
      </c>
      <c r="AA254" s="18">
        <v>944.56832175930322</v>
      </c>
      <c r="AB254" s="18" t="s">
        <v>2697</v>
      </c>
      <c r="AC254" s="8">
        <f>tbl_DPSAC[[#This Row],[Current Month Due Count]]</f>
        <v>0</v>
      </c>
      <c r="AD254" s="8">
        <f>tbl_DPSAC[[#This Row],[Next Month Due2]]</f>
        <v>0</v>
      </c>
      <c r="AE254" s="8">
        <f t="shared" si="14"/>
        <v>1</v>
      </c>
      <c r="AF254" s="8">
        <v>8</v>
      </c>
      <c r="AG254" s="14">
        <f t="shared" ca="1" si="15"/>
        <v>8464</v>
      </c>
      <c r="AH254" s="8" t="s">
        <v>1329</v>
      </c>
      <c r="AI254" s="8" t="s">
        <v>1330</v>
      </c>
      <c r="AJ254" s="8">
        <v>0</v>
      </c>
      <c r="AK254" s="8" t="s">
        <v>1331</v>
      </c>
      <c r="AL254" s="8">
        <v>0</v>
      </c>
      <c r="AM254" s="8" t="s">
        <v>1332</v>
      </c>
      <c r="AN254" s="8">
        <v>0</v>
      </c>
      <c r="AO254" s="8">
        <v>0</v>
      </c>
      <c r="AP254" s="8">
        <v>0</v>
      </c>
      <c r="AQ254" s="8">
        <v>0</v>
      </c>
      <c r="AR254" s="8">
        <v>0</v>
      </c>
      <c r="AS254" s="8">
        <v>0</v>
      </c>
      <c r="AT254" s="8">
        <v>0</v>
      </c>
      <c r="AU254" s="8">
        <v>0</v>
      </c>
      <c r="AV254" s="8">
        <v>0</v>
      </c>
      <c r="AW254" s="8">
        <v>0</v>
      </c>
      <c r="AX254" s="8" t="s">
        <v>2961</v>
      </c>
      <c r="AY254" s="14">
        <v>3073</v>
      </c>
      <c r="AZ254" s="19">
        <v>45168</v>
      </c>
      <c r="BA254" s="14" t="s">
        <v>1333</v>
      </c>
      <c r="BB254" s="14">
        <v>3073</v>
      </c>
      <c r="BC254" s="19">
        <v>45168</v>
      </c>
      <c r="BD254" s="14" t="s">
        <v>1333</v>
      </c>
      <c r="BE254" s="14">
        <v>3073</v>
      </c>
      <c r="BF254" s="19">
        <v>45168</v>
      </c>
      <c r="BG254" s="14" t="s">
        <v>1333</v>
      </c>
      <c r="BH254" s="14">
        <v>3073</v>
      </c>
      <c r="BI254" s="19">
        <v>45168</v>
      </c>
      <c r="BJ254" s="14" t="s">
        <v>1333</v>
      </c>
      <c r="BK254" s="14">
        <v>3073</v>
      </c>
      <c r="BL254" s="19">
        <v>45168</v>
      </c>
      <c r="BM254" s="14" t="s">
        <v>1333</v>
      </c>
      <c r="BN254" s="27">
        <v>45348</v>
      </c>
      <c r="BO254" s="27">
        <v>45348</v>
      </c>
      <c r="BP254" s="27">
        <v>45348</v>
      </c>
      <c r="BQ254" s="27">
        <v>45348</v>
      </c>
      <c r="BR254" s="27">
        <v>45533</v>
      </c>
      <c r="BS254" s="28">
        <v>-4641</v>
      </c>
      <c r="BT254" s="29">
        <v>-3891</v>
      </c>
      <c r="BU254" s="29">
        <v>-4641</v>
      </c>
      <c r="BV254" s="29">
        <v>-4641</v>
      </c>
      <c r="BW254" s="29">
        <v>-3891</v>
      </c>
      <c r="BX254" s="30" t="s">
        <v>395</v>
      </c>
      <c r="BY254" s="8">
        <v>5</v>
      </c>
      <c r="BZ254" s="8">
        <v>0</v>
      </c>
      <c r="CA254" s="8">
        <v>0</v>
      </c>
      <c r="CB254" s="21">
        <v>45167.770833333299</v>
      </c>
      <c r="CC254" s="21">
        <v>45167.770833333299</v>
      </c>
      <c r="CD254" s="21">
        <v>45167.770833333299</v>
      </c>
      <c r="CE254" s="21">
        <v>45167.770833333299</v>
      </c>
      <c r="CF254" s="21">
        <v>45167.770833333299</v>
      </c>
      <c r="CG254" s="21">
        <v>45167.770833333299</v>
      </c>
      <c r="CH254" s="21">
        <v>45167.770833333299</v>
      </c>
      <c r="CI254" s="21">
        <v>45167.770833333299</v>
      </c>
      <c r="CJ254" s="21">
        <v>45167.770833333299</v>
      </c>
      <c r="CK254" s="22" t="s">
        <v>3133</v>
      </c>
      <c r="CL254" s="22" t="s">
        <v>3133</v>
      </c>
      <c r="CM254" s="22" t="s">
        <v>3133</v>
      </c>
      <c r="CN254" s="22" t="s">
        <v>3133</v>
      </c>
      <c r="CO254" s="22" t="s">
        <v>3133</v>
      </c>
      <c r="CP254" s="22" t="s">
        <v>3134</v>
      </c>
      <c r="CQ254" s="22" t="s">
        <v>2953</v>
      </c>
      <c r="CR254" s="22" t="s">
        <v>3134</v>
      </c>
      <c r="CS254" s="22" t="s">
        <v>3134</v>
      </c>
      <c r="CT254" s="22">
        <v>3</v>
      </c>
      <c r="CU254" s="21">
        <v>45347</v>
      </c>
      <c r="CV254" s="21">
        <v>45347</v>
      </c>
      <c r="CW254" s="21">
        <v>45347</v>
      </c>
      <c r="CX254" s="21">
        <v>45347</v>
      </c>
      <c r="CY254" s="21">
        <v>45347</v>
      </c>
      <c r="CZ254" s="21">
        <v>45437</v>
      </c>
      <c r="DA254" s="21">
        <v>45532</v>
      </c>
      <c r="DB254" s="21">
        <v>45347</v>
      </c>
      <c r="DC254" s="21">
        <v>45532</v>
      </c>
      <c r="DD254" s="8">
        <v>1</v>
      </c>
      <c r="DE254" s="8">
        <v>0</v>
      </c>
      <c r="DF254" s="8">
        <v>0</v>
      </c>
      <c r="DG254" s="8">
        <v>9</v>
      </c>
      <c r="DH254" s="8">
        <v>0</v>
      </c>
      <c r="DI254" s="8">
        <v>0</v>
      </c>
      <c r="DJ254" s="8" t="s">
        <v>2954</v>
      </c>
      <c r="DK254" s="21">
        <v>44847</v>
      </c>
      <c r="DL254" s="21">
        <v>44813.229166666664</v>
      </c>
      <c r="DM254" s="21">
        <v>46042</v>
      </c>
      <c r="DN254" s="18">
        <v>7900</v>
      </c>
      <c r="DO254" s="21">
        <v>0</v>
      </c>
      <c r="DP254" s="21">
        <v>0</v>
      </c>
      <c r="DQ254" s="21" t="s">
        <v>2955</v>
      </c>
      <c r="DR254" s="21">
        <v>45168</v>
      </c>
      <c r="DS254" s="21">
        <v>45168</v>
      </c>
      <c r="DT254" s="21">
        <v>45168</v>
      </c>
      <c r="DU254" s="21">
        <v>45168</v>
      </c>
      <c r="DV254" s="21">
        <v>45168</v>
      </c>
      <c r="DW254" s="21">
        <v>45168</v>
      </c>
      <c r="DX254" s="21">
        <v>45168</v>
      </c>
      <c r="DY254" s="21">
        <v>45168</v>
      </c>
      <c r="DZ254" s="21">
        <v>45168</v>
      </c>
      <c r="EA254" s="8">
        <v>77</v>
      </c>
      <c r="EB254" s="8">
        <v>77</v>
      </c>
      <c r="EC254" s="8">
        <v>77</v>
      </c>
      <c r="ED254" s="8">
        <v>77</v>
      </c>
      <c r="EE254" s="8">
        <v>77</v>
      </c>
      <c r="EF254" s="8">
        <v>27</v>
      </c>
      <c r="EG254" s="8">
        <v>1000</v>
      </c>
      <c r="EH254" s="8">
        <v>27</v>
      </c>
      <c r="EI254" s="8">
        <v>27</v>
      </c>
      <c r="EJ254" s="8">
        <v>3</v>
      </c>
      <c r="EK254" s="8" t="s">
        <v>2624</v>
      </c>
      <c r="EL254" s="8">
        <v>70</v>
      </c>
      <c r="EM254" s="8">
        <v>560</v>
      </c>
      <c r="EN254" s="8">
        <v>-211</v>
      </c>
      <c r="EO254" s="8">
        <v>-211</v>
      </c>
      <c r="EP254" s="8">
        <v>-211</v>
      </c>
      <c r="EQ254" s="8">
        <v>-211</v>
      </c>
      <c r="ER254" s="8">
        <v>-211</v>
      </c>
      <c r="ES254" s="8">
        <v>-261</v>
      </c>
      <c r="ET254" s="8">
        <v>712</v>
      </c>
      <c r="EU254" s="8">
        <v>-261</v>
      </c>
      <c r="EV254" s="8">
        <v>-261</v>
      </c>
    </row>
    <row r="255" spans="1:152" x14ac:dyDescent="0.15">
      <c r="A255" s="8">
        <f>ROW([2]!tbl_DPSAC[[#This Row],[Sl. No.]])-1</f>
        <v>254</v>
      </c>
      <c r="B255" s="9" t="s">
        <v>136</v>
      </c>
      <c r="C255" s="9" t="s">
        <v>1334</v>
      </c>
      <c r="D255" s="9" t="s">
        <v>1328</v>
      </c>
      <c r="E255" s="9" t="s">
        <v>139</v>
      </c>
      <c r="F255" s="9" t="s">
        <v>161</v>
      </c>
      <c r="G255" s="10" t="s">
        <v>386</v>
      </c>
      <c r="H255" s="10" t="str">
        <f>_xlfn.XLOOKUP(C255,'[1]E&amp;DPSAC'!$K:$K,'[1]E&amp;DPSAC'!$E:$E,,0)</f>
        <v>SUNDER NAGAR, JAMSHEDPUR</v>
      </c>
      <c r="I255" s="10" t="s">
        <v>387</v>
      </c>
      <c r="J255" s="10">
        <v>9556546094</v>
      </c>
      <c r="K255" s="10">
        <f>_xlfn.XLOOKUP(C255,'[1]E&amp;DPSAC'!$K:$K,'[1]E&amp;DPSAC'!$G:$G,"",0)</f>
        <v>9437548852</v>
      </c>
      <c r="L255" s="9" t="str">
        <f t="shared" ca="1" si="12"/>
        <v>Non - Warranty</v>
      </c>
      <c r="M255" s="11">
        <v>44851</v>
      </c>
      <c r="N255" s="12">
        <v>24</v>
      </c>
      <c r="O255" s="11">
        <f t="shared" si="13"/>
        <v>45596</v>
      </c>
      <c r="P255" s="8" t="s">
        <v>142</v>
      </c>
      <c r="Q255" s="16" t="s">
        <v>1339</v>
      </c>
      <c r="R255" s="15">
        <v>45168.433680555601</v>
      </c>
      <c r="S255" s="14">
        <v>2950</v>
      </c>
      <c r="T255" s="15">
        <v>45168</v>
      </c>
      <c r="U255" s="14">
        <v>2950</v>
      </c>
      <c r="V255" s="14">
        <v>10000</v>
      </c>
      <c r="W255" s="17">
        <v>46042.5472337963</v>
      </c>
      <c r="X255" s="14" t="s">
        <v>2800</v>
      </c>
      <c r="Y255" s="14">
        <v>-6300</v>
      </c>
      <c r="Z255" s="14" t="s">
        <v>2697</v>
      </c>
      <c r="AA255" s="18">
        <v>944.56631944439869</v>
      </c>
      <c r="AB255" s="18" t="s">
        <v>2697</v>
      </c>
      <c r="AC255" s="8">
        <f>tbl_DPSAC[[#This Row],[Current Month Due Count]]</f>
        <v>0</v>
      </c>
      <c r="AD255" s="8">
        <f>tbl_DPSAC[[#This Row],[Next Month Due2]]</f>
        <v>0</v>
      </c>
      <c r="AE255" s="8">
        <f t="shared" si="14"/>
        <v>1</v>
      </c>
      <c r="AF255" s="8">
        <v>1</v>
      </c>
      <c r="AG255" s="14">
        <f t="shared" ca="1" si="15"/>
        <v>10070</v>
      </c>
      <c r="AH255" s="8" t="s">
        <v>1335</v>
      </c>
      <c r="AI255" s="8" t="s">
        <v>1336</v>
      </c>
      <c r="AJ255" s="8">
        <v>0</v>
      </c>
      <c r="AK255" s="8" t="s">
        <v>1337</v>
      </c>
      <c r="AL255" s="8">
        <v>0</v>
      </c>
      <c r="AM255" s="8" t="s">
        <v>1338</v>
      </c>
      <c r="AN255" s="8">
        <v>0</v>
      </c>
      <c r="AO255" s="8">
        <v>0</v>
      </c>
      <c r="AP255" s="8">
        <v>0</v>
      </c>
      <c r="AQ255" s="8">
        <v>0</v>
      </c>
      <c r="AR255" s="8">
        <v>0</v>
      </c>
      <c r="AS255" s="8">
        <v>0</v>
      </c>
      <c r="AT255" s="8">
        <v>0</v>
      </c>
      <c r="AU255" s="8">
        <v>0</v>
      </c>
      <c r="AV255" s="8">
        <v>0</v>
      </c>
      <c r="AW255" s="8">
        <v>0</v>
      </c>
      <c r="AX255" s="8" t="s">
        <v>2961</v>
      </c>
      <c r="AY255" s="14">
        <v>2950</v>
      </c>
      <c r="AZ255" s="19">
        <v>45168</v>
      </c>
      <c r="BA255" s="14" t="s">
        <v>1339</v>
      </c>
      <c r="BB255" s="14">
        <v>2950</v>
      </c>
      <c r="BC255" s="19">
        <v>45168</v>
      </c>
      <c r="BD255" s="14" t="s">
        <v>1339</v>
      </c>
      <c r="BE255" s="14">
        <v>2950</v>
      </c>
      <c r="BF255" s="19">
        <v>45168</v>
      </c>
      <c r="BG255" s="14" t="s">
        <v>1339</v>
      </c>
      <c r="BH255" s="14">
        <v>2950</v>
      </c>
      <c r="BI255" s="19">
        <v>45168</v>
      </c>
      <c r="BJ255" s="14" t="s">
        <v>1339</v>
      </c>
      <c r="BK255" s="14">
        <v>2950</v>
      </c>
      <c r="BL255" s="19">
        <v>45168</v>
      </c>
      <c r="BM255" s="14" t="s">
        <v>1339</v>
      </c>
      <c r="BN255" s="27">
        <v>45348</v>
      </c>
      <c r="BO255" s="27">
        <v>45348</v>
      </c>
      <c r="BP255" s="27">
        <v>45348</v>
      </c>
      <c r="BQ255" s="27">
        <v>45348</v>
      </c>
      <c r="BR255" s="27">
        <v>45533</v>
      </c>
      <c r="BS255" s="28">
        <v>-6370</v>
      </c>
      <c r="BT255" s="29">
        <v>-5620</v>
      </c>
      <c r="BU255" s="29">
        <v>-6370</v>
      </c>
      <c r="BV255" s="29">
        <v>-6370</v>
      </c>
      <c r="BW255" s="29">
        <v>-5620</v>
      </c>
      <c r="BX255" s="30" t="s">
        <v>395</v>
      </c>
      <c r="BY255" s="8">
        <v>5</v>
      </c>
      <c r="BZ255" s="8">
        <v>0</v>
      </c>
      <c r="CA255" s="8">
        <v>0</v>
      </c>
      <c r="CB255" s="21">
        <v>45167.770833333299</v>
      </c>
      <c r="CC255" s="21">
        <v>45167.770833333299</v>
      </c>
      <c r="CD255" s="21">
        <v>45167.770833333299</v>
      </c>
      <c r="CE255" s="21">
        <v>45167.770833333299</v>
      </c>
      <c r="CF255" s="21">
        <v>45167.770833333299</v>
      </c>
      <c r="CG255" s="21">
        <v>45167.770833333299</v>
      </c>
      <c r="CH255" s="21">
        <v>45167.770833333299</v>
      </c>
      <c r="CI255" s="21">
        <v>45167.770833333299</v>
      </c>
      <c r="CJ255" s="21">
        <v>45167.770833333299</v>
      </c>
      <c r="CK255" s="22" t="s">
        <v>3019</v>
      </c>
      <c r="CL255" s="22" t="s">
        <v>3019</v>
      </c>
      <c r="CM255" s="22" t="s">
        <v>3019</v>
      </c>
      <c r="CN255" s="22" t="s">
        <v>3019</v>
      </c>
      <c r="CO255" s="22" t="s">
        <v>3019</v>
      </c>
      <c r="CP255" s="22" t="s">
        <v>3019</v>
      </c>
      <c r="CQ255" s="22" t="s">
        <v>2953</v>
      </c>
      <c r="CR255" s="22" t="s">
        <v>3019</v>
      </c>
      <c r="CS255" s="22" t="s">
        <v>3019</v>
      </c>
      <c r="CT255" s="22">
        <v>3</v>
      </c>
      <c r="CU255" s="21">
        <v>45347</v>
      </c>
      <c r="CV255" s="21">
        <v>45347</v>
      </c>
      <c r="CW255" s="21">
        <v>45347</v>
      </c>
      <c r="CX255" s="21">
        <v>45347</v>
      </c>
      <c r="CY255" s="21">
        <v>45347</v>
      </c>
      <c r="CZ255" s="21">
        <v>45437</v>
      </c>
      <c r="DA255" s="21">
        <v>45532</v>
      </c>
      <c r="DB255" s="21">
        <v>45347</v>
      </c>
      <c r="DC255" s="21">
        <v>45532</v>
      </c>
      <c r="DD255" s="8">
        <v>1</v>
      </c>
      <c r="DE255" s="8">
        <v>0</v>
      </c>
      <c r="DF255" s="8">
        <v>0</v>
      </c>
      <c r="DG255" s="8">
        <v>9</v>
      </c>
      <c r="DH255" s="8">
        <v>0</v>
      </c>
      <c r="DI255" s="8">
        <v>0</v>
      </c>
      <c r="DJ255" s="8" t="s">
        <v>2954</v>
      </c>
      <c r="DK255" s="21">
        <v>44851</v>
      </c>
      <c r="DL255" s="21">
        <v>44813.229166666664</v>
      </c>
      <c r="DM255" s="21">
        <v>46042</v>
      </c>
      <c r="DN255" s="18">
        <v>10000</v>
      </c>
      <c r="DO255" s="21">
        <v>0</v>
      </c>
      <c r="DP255" s="21">
        <v>0</v>
      </c>
      <c r="DQ255" s="21" t="s">
        <v>2955</v>
      </c>
      <c r="DR255" s="21">
        <v>45168</v>
      </c>
      <c r="DS255" s="21">
        <v>45168</v>
      </c>
      <c r="DT255" s="21">
        <v>45168</v>
      </c>
      <c r="DU255" s="21">
        <v>45168</v>
      </c>
      <c r="DV255" s="21">
        <v>45168</v>
      </c>
      <c r="DW255" s="21">
        <v>45168</v>
      </c>
      <c r="DX255" s="21">
        <v>45168</v>
      </c>
      <c r="DY255" s="21">
        <v>45168</v>
      </c>
      <c r="DZ255" s="21">
        <v>45168</v>
      </c>
      <c r="EA255" s="8">
        <v>300</v>
      </c>
      <c r="EB255" s="8">
        <v>300</v>
      </c>
      <c r="EC255" s="8">
        <v>300</v>
      </c>
      <c r="ED255" s="8">
        <v>300</v>
      </c>
      <c r="EE255" s="8">
        <v>300</v>
      </c>
      <c r="EF255" s="8">
        <v>300</v>
      </c>
      <c r="EG255" s="8">
        <v>1000</v>
      </c>
      <c r="EH255" s="8">
        <v>300</v>
      </c>
      <c r="EI255" s="8">
        <v>300</v>
      </c>
      <c r="EJ255" s="8">
        <v>3</v>
      </c>
      <c r="EK255" s="8" t="s">
        <v>2624</v>
      </c>
      <c r="EL255" s="8">
        <v>70</v>
      </c>
      <c r="EM255" s="8">
        <v>70</v>
      </c>
      <c r="EN255" s="8">
        <v>12</v>
      </c>
      <c r="EO255" s="8">
        <v>12</v>
      </c>
      <c r="EP255" s="8">
        <v>12</v>
      </c>
      <c r="EQ255" s="8">
        <v>12</v>
      </c>
      <c r="ER255" s="8">
        <v>12</v>
      </c>
      <c r="ES255" s="8">
        <v>12</v>
      </c>
      <c r="ET255" s="8">
        <v>712</v>
      </c>
      <c r="EU255" s="8">
        <v>12</v>
      </c>
      <c r="EV255" s="8">
        <v>12</v>
      </c>
    </row>
    <row r="256" spans="1:152" x14ac:dyDescent="0.15">
      <c r="A256" s="8">
        <f>ROW([2]!tbl_DPSAC[[#This Row],[Sl. No.]])-1</f>
        <v>255</v>
      </c>
      <c r="B256" s="9" t="s">
        <v>136</v>
      </c>
      <c r="C256" s="9" t="s">
        <v>1340</v>
      </c>
      <c r="D256" s="9" t="s">
        <v>333</v>
      </c>
      <c r="E256" s="9" t="s">
        <v>333</v>
      </c>
      <c r="F256" s="9" t="s">
        <v>161</v>
      </c>
      <c r="G256" s="10" t="s">
        <v>162</v>
      </c>
      <c r="H256" s="10" t="str">
        <f>_xlfn.XLOOKUP(C256,'[1]E&amp;DPSAC'!$K:$K,'[1]E&amp;DPSAC'!$E:$E,,0)</f>
        <v>BARKAGAON, HAZARIBAGH</v>
      </c>
      <c r="I256" s="10" t="s">
        <v>163</v>
      </c>
      <c r="J256" s="10">
        <v>7070010949</v>
      </c>
      <c r="K256" s="10">
        <f>_xlfn.XLOOKUP(C256,'[1]E&amp;DPSAC'!$K:$K,'[1]E&amp;DPSAC'!$G:$G,"",0)</f>
        <v>7070010949</v>
      </c>
      <c r="L256" s="9" t="str">
        <f t="shared" ca="1" si="12"/>
        <v>Non - Warranty</v>
      </c>
      <c r="M256" s="11">
        <v>44849</v>
      </c>
      <c r="N256" s="12">
        <v>24</v>
      </c>
      <c r="O256" s="11">
        <f t="shared" si="13"/>
        <v>45596</v>
      </c>
      <c r="P256" s="8" t="s">
        <v>157</v>
      </c>
      <c r="Q256" s="16" t="s">
        <v>2652</v>
      </c>
      <c r="R256" s="15">
        <v>45330.703564814801</v>
      </c>
      <c r="S256" s="14">
        <v>3879</v>
      </c>
      <c r="T256" s="15">
        <v>45407</v>
      </c>
      <c r="U256" s="14">
        <v>4061</v>
      </c>
      <c r="V256" s="14">
        <v>4840</v>
      </c>
      <c r="W256" s="17">
        <v>45714.6476736111</v>
      </c>
      <c r="X256" s="14" t="s">
        <v>2801</v>
      </c>
      <c r="Y256" s="14">
        <v>-211</v>
      </c>
      <c r="Z256" s="14" t="s">
        <v>2697</v>
      </c>
      <c r="AA256" s="18">
        <v>782.29643518519879</v>
      </c>
      <c r="AB256" s="18" t="s">
        <v>2697</v>
      </c>
      <c r="AC256" s="8">
        <f>tbl_DPSAC[[#This Row],[Current Month Due Count]]</f>
        <v>0</v>
      </c>
      <c r="AD256" s="8">
        <f>tbl_DPSAC[[#This Row],[Next Month Due2]]</f>
        <v>0</v>
      </c>
      <c r="AE256" s="8">
        <f t="shared" si="14"/>
        <v>1</v>
      </c>
      <c r="AF256" s="8">
        <v>2</v>
      </c>
      <c r="AG256" s="14">
        <f t="shared" ca="1" si="15"/>
        <v>5637</v>
      </c>
      <c r="AH256" s="8" t="s">
        <v>1341</v>
      </c>
      <c r="AI256" s="8" t="s">
        <v>1342</v>
      </c>
      <c r="AJ256" s="8" t="s">
        <v>1343</v>
      </c>
      <c r="AK256" s="8" t="s">
        <v>1344</v>
      </c>
      <c r="AL256" s="8" t="s">
        <v>1345</v>
      </c>
      <c r="AM256" s="8">
        <v>0</v>
      </c>
      <c r="AN256" s="8" t="s">
        <v>1346</v>
      </c>
      <c r="AO256" s="8" t="s">
        <v>1347</v>
      </c>
      <c r="AP256" s="8">
        <v>0</v>
      </c>
      <c r="AQ256" s="8">
        <v>0</v>
      </c>
      <c r="AR256" s="8">
        <v>0</v>
      </c>
      <c r="AS256" s="8">
        <v>0</v>
      </c>
      <c r="AT256" s="8">
        <v>0</v>
      </c>
      <c r="AU256" s="8">
        <v>0</v>
      </c>
      <c r="AV256" s="8">
        <v>0</v>
      </c>
      <c r="AW256" s="8">
        <v>0</v>
      </c>
      <c r="AX256" s="8" t="s">
        <v>2961</v>
      </c>
      <c r="AY256" s="14">
        <v>3879</v>
      </c>
      <c r="AZ256" s="19">
        <v>45330</v>
      </c>
      <c r="BA256" s="14" t="s">
        <v>1348</v>
      </c>
      <c r="BB256" s="14">
        <v>3100</v>
      </c>
      <c r="BC256" s="19">
        <v>45239</v>
      </c>
      <c r="BD256" s="14" t="s">
        <v>1349</v>
      </c>
      <c r="BE256" s="14">
        <v>3879</v>
      </c>
      <c r="BF256" s="19">
        <v>45330</v>
      </c>
      <c r="BG256" s="14" t="s">
        <v>1348</v>
      </c>
      <c r="BH256" s="14">
        <v>3100</v>
      </c>
      <c r="BI256" s="19">
        <v>45239</v>
      </c>
      <c r="BJ256" s="14" t="s">
        <v>1349</v>
      </c>
      <c r="BK256" s="14">
        <v>3100</v>
      </c>
      <c r="BL256" s="19">
        <v>45239</v>
      </c>
      <c r="BM256" s="14" t="s">
        <v>1349</v>
      </c>
      <c r="BN256" s="27">
        <v>45510</v>
      </c>
      <c r="BO256" s="27">
        <v>45419</v>
      </c>
      <c r="BP256" s="27">
        <v>45510</v>
      </c>
      <c r="BQ256" s="27">
        <v>45419</v>
      </c>
      <c r="BR256" s="27">
        <v>45604</v>
      </c>
      <c r="BS256" s="28">
        <v>-1008</v>
      </c>
      <c r="BT256" s="29">
        <v>-1037</v>
      </c>
      <c r="BU256" s="29">
        <v>-1008</v>
      </c>
      <c r="BV256" s="29">
        <v>-1787</v>
      </c>
      <c r="BW256" s="29">
        <v>-1037</v>
      </c>
      <c r="BX256" s="30" t="s">
        <v>1350</v>
      </c>
      <c r="BY256" s="8">
        <v>5</v>
      </c>
      <c r="BZ256" s="8">
        <v>0</v>
      </c>
      <c r="CA256" s="8">
        <v>0</v>
      </c>
      <c r="CB256" s="21" t="s">
        <v>143</v>
      </c>
      <c r="CC256" s="21" t="s">
        <v>143</v>
      </c>
      <c r="CD256" s="21" t="s">
        <v>143</v>
      </c>
      <c r="CE256" s="21" t="s">
        <v>143</v>
      </c>
      <c r="CF256" s="21" t="s">
        <v>143</v>
      </c>
      <c r="CG256" s="21" t="s">
        <v>143</v>
      </c>
      <c r="CH256" s="21" t="s">
        <v>143</v>
      </c>
      <c r="CI256" s="21" t="s">
        <v>143</v>
      </c>
      <c r="CJ256" s="21" t="s">
        <v>143</v>
      </c>
      <c r="CK256" s="22" t="s">
        <v>143</v>
      </c>
      <c r="CL256" s="22" t="s">
        <v>143</v>
      </c>
      <c r="CM256" s="22" t="s">
        <v>143</v>
      </c>
      <c r="CN256" s="22" t="s">
        <v>143</v>
      </c>
      <c r="CO256" s="22" t="s">
        <v>143</v>
      </c>
      <c r="CP256" s="22" t="s">
        <v>143</v>
      </c>
      <c r="CQ256" s="22" t="s">
        <v>143</v>
      </c>
      <c r="CR256" s="22" t="s">
        <v>143</v>
      </c>
      <c r="CS256" s="22" t="s">
        <v>143</v>
      </c>
      <c r="CT256" s="22" t="s">
        <v>143</v>
      </c>
      <c r="CU256" s="21" t="s">
        <v>143</v>
      </c>
      <c r="CV256" s="21" t="s">
        <v>143</v>
      </c>
      <c r="CW256" s="21" t="s">
        <v>143</v>
      </c>
      <c r="CX256" s="21" t="s">
        <v>143</v>
      </c>
      <c r="CY256" s="21" t="s">
        <v>143</v>
      </c>
      <c r="CZ256" s="21" t="s">
        <v>143</v>
      </c>
      <c r="DA256" s="21" t="s">
        <v>143</v>
      </c>
      <c r="DB256" s="21" t="s">
        <v>143</v>
      </c>
      <c r="DC256" s="21" t="s">
        <v>143</v>
      </c>
      <c r="DD256" s="8" t="s">
        <v>143</v>
      </c>
      <c r="DE256" s="8" t="s">
        <v>143</v>
      </c>
      <c r="DF256" s="8" t="s">
        <v>143</v>
      </c>
      <c r="DG256" s="8">
        <v>0</v>
      </c>
      <c r="DH256" s="8">
        <v>0</v>
      </c>
      <c r="DI256" s="8">
        <v>0</v>
      </c>
      <c r="DJ256" s="8" t="s">
        <v>143</v>
      </c>
      <c r="DK256" s="21" t="s">
        <v>143</v>
      </c>
      <c r="DL256" s="21" t="s">
        <v>143</v>
      </c>
      <c r="DM256" s="21" t="s">
        <v>143</v>
      </c>
      <c r="DN256" s="18" t="s">
        <v>143</v>
      </c>
      <c r="DO256" s="21" t="s">
        <v>143</v>
      </c>
      <c r="DP256" s="21" t="s">
        <v>143</v>
      </c>
      <c r="DQ256" s="21" t="s">
        <v>143</v>
      </c>
      <c r="DR256" s="21" t="s">
        <v>143</v>
      </c>
      <c r="DS256" s="21" t="s">
        <v>143</v>
      </c>
      <c r="DT256" s="21" t="s">
        <v>143</v>
      </c>
      <c r="DU256" s="21" t="s">
        <v>143</v>
      </c>
      <c r="DV256" s="21" t="s">
        <v>143</v>
      </c>
      <c r="DW256" s="21" t="s">
        <v>143</v>
      </c>
      <c r="DX256" s="21" t="s">
        <v>143</v>
      </c>
      <c r="DY256" s="21" t="s">
        <v>143</v>
      </c>
      <c r="DZ256" s="21" t="s">
        <v>143</v>
      </c>
      <c r="EA256" s="8" t="s">
        <v>143</v>
      </c>
      <c r="EB256" s="8" t="s">
        <v>143</v>
      </c>
      <c r="EC256" s="8" t="s">
        <v>143</v>
      </c>
      <c r="ED256" s="8" t="s">
        <v>143</v>
      </c>
      <c r="EE256" s="8" t="s">
        <v>143</v>
      </c>
      <c r="EF256" s="8" t="s">
        <v>143</v>
      </c>
      <c r="EG256" s="8" t="s">
        <v>143</v>
      </c>
      <c r="EH256" s="8" t="s">
        <v>143</v>
      </c>
      <c r="EI256" s="8" t="s">
        <v>143</v>
      </c>
      <c r="EJ256" s="8" t="s">
        <v>143</v>
      </c>
      <c r="EK256" s="8" t="s">
        <v>157</v>
      </c>
      <c r="EL256" s="8">
        <v>398</v>
      </c>
      <c r="EM256" s="8">
        <v>796</v>
      </c>
      <c r="EN256" s="8" t="s">
        <v>143</v>
      </c>
      <c r="EO256" s="8" t="s">
        <v>143</v>
      </c>
      <c r="EP256" s="8" t="s">
        <v>143</v>
      </c>
      <c r="EQ256" s="8" t="s">
        <v>143</v>
      </c>
      <c r="ER256" s="8" t="s">
        <v>143</v>
      </c>
      <c r="ES256" s="8" t="s">
        <v>143</v>
      </c>
      <c r="ET256" s="8" t="s">
        <v>143</v>
      </c>
      <c r="EU256" s="8" t="s">
        <v>143</v>
      </c>
      <c r="EV256" s="8" t="s">
        <v>143</v>
      </c>
    </row>
    <row r="257" spans="1:152" x14ac:dyDescent="0.15">
      <c r="A257" s="8">
        <f>ROW([2]!tbl_DPSAC[[#This Row],[Sl. No.]])-1</f>
        <v>256</v>
      </c>
      <c r="B257" s="9" t="s">
        <v>196</v>
      </c>
      <c r="C257" s="9" t="s">
        <v>1351</v>
      </c>
      <c r="D257" s="9" t="s">
        <v>1312</v>
      </c>
      <c r="E257" s="9" t="s">
        <v>199</v>
      </c>
      <c r="F257" s="9" t="s">
        <v>161</v>
      </c>
      <c r="G257" s="10" t="s">
        <v>1352</v>
      </c>
      <c r="H257" s="10" t="str">
        <f>_xlfn.XLOOKUP(C257,'[1]E&amp;DPSAC'!$K:$K,'[1]E&amp;DPSAC'!$E:$E,,0)</f>
        <v>KAILWAR, ARA, BIHAR</v>
      </c>
      <c r="I257" s="10" t="s">
        <v>1353</v>
      </c>
      <c r="J257" s="10" t="s">
        <v>143</v>
      </c>
      <c r="K257" s="10">
        <f>_xlfn.XLOOKUP(C257,'[1]E&amp;DPSAC'!$K:$K,'[1]E&amp;DPSAC'!$G:$G,"",0)</f>
        <v>8102875698</v>
      </c>
      <c r="L257" s="9" t="str">
        <f t="shared" ca="1" si="12"/>
        <v>Non - Warranty</v>
      </c>
      <c r="M257" s="11">
        <v>44828</v>
      </c>
      <c r="N257" s="12">
        <v>24</v>
      </c>
      <c r="O257" s="11">
        <f t="shared" si="13"/>
        <v>45565</v>
      </c>
      <c r="P257" s="8" t="s">
        <v>157</v>
      </c>
      <c r="Q257" s="16" t="s">
        <v>1356</v>
      </c>
      <c r="R257" s="15">
        <v>45043.510949074102</v>
      </c>
      <c r="S257" s="14">
        <v>549</v>
      </c>
      <c r="T257" s="15">
        <v>45043</v>
      </c>
      <c r="U257" s="14">
        <v>549</v>
      </c>
      <c r="V257" s="14">
        <v>1556</v>
      </c>
      <c r="W257" s="17">
        <v>45294.556875000002</v>
      </c>
      <c r="X257" s="14" t="s">
        <v>2729</v>
      </c>
      <c r="Y257" s="14">
        <v>-257</v>
      </c>
      <c r="Z257" s="14" t="s">
        <v>2697</v>
      </c>
      <c r="AA257" s="18">
        <v>1069.4890509258985</v>
      </c>
      <c r="AB257" s="18" t="s">
        <v>2697</v>
      </c>
      <c r="AC257" s="8">
        <f>tbl_DPSAC[[#This Row],[Current Month Due Count]]</f>
        <v>0</v>
      </c>
      <c r="AD257" s="8">
        <f>tbl_DPSAC[[#This Row],[Next Month Due2]]</f>
        <v>0</v>
      </c>
      <c r="AE257" s="8">
        <f t="shared" si="14"/>
        <v>1</v>
      </c>
      <c r="AF257" s="8">
        <v>4</v>
      </c>
      <c r="AG257" s="14">
        <f t="shared" ca="1" si="15"/>
        <v>4830</v>
      </c>
      <c r="AH257" s="8" t="s">
        <v>1354</v>
      </c>
      <c r="AI257" s="8" t="s">
        <v>1355</v>
      </c>
      <c r="AJ257" s="8">
        <v>0</v>
      </c>
      <c r="AK257" s="8">
        <v>0</v>
      </c>
      <c r="AL257" s="8">
        <v>0</v>
      </c>
      <c r="AM257" s="8">
        <v>0</v>
      </c>
      <c r="AN257" s="8">
        <v>0</v>
      </c>
      <c r="AO257" s="8">
        <v>0</v>
      </c>
      <c r="AP257" s="8">
        <v>0</v>
      </c>
      <c r="AQ257" s="8">
        <v>0</v>
      </c>
      <c r="AR257" s="8">
        <v>0</v>
      </c>
      <c r="AS257" s="8">
        <v>0</v>
      </c>
      <c r="AT257" s="8">
        <v>0</v>
      </c>
      <c r="AU257" s="8">
        <v>0</v>
      </c>
      <c r="AV257" s="8">
        <v>0</v>
      </c>
      <c r="AW257" s="8">
        <v>0</v>
      </c>
      <c r="AX257" s="8" t="s">
        <v>2961</v>
      </c>
      <c r="AY257" s="14">
        <v>546</v>
      </c>
      <c r="AZ257" s="19">
        <v>45043</v>
      </c>
      <c r="BA257" s="14" t="s">
        <v>1356</v>
      </c>
      <c r="BB257" s="14">
        <v>1</v>
      </c>
      <c r="BC257" s="19">
        <v>44828</v>
      </c>
      <c r="BD257" s="14" t="s">
        <v>1357</v>
      </c>
      <c r="BE257" s="14">
        <v>546</v>
      </c>
      <c r="BF257" s="19">
        <v>45043</v>
      </c>
      <c r="BG257" s="14" t="s">
        <v>1356</v>
      </c>
      <c r="BH257" s="14">
        <v>1</v>
      </c>
      <c r="BI257" s="19">
        <v>44828</v>
      </c>
      <c r="BJ257" s="14" t="s">
        <v>1357</v>
      </c>
      <c r="BK257" s="14">
        <v>1</v>
      </c>
      <c r="BL257" s="19">
        <v>44828</v>
      </c>
      <c r="BM257" s="14" t="s">
        <v>1357</v>
      </c>
      <c r="BN257" s="27">
        <v>45223</v>
      </c>
      <c r="BO257" s="27">
        <v>45008</v>
      </c>
      <c r="BP257" s="27">
        <v>45223</v>
      </c>
      <c r="BQ257" s="27">
        <v>45008</v>
      </c>
      <c r="BR257" s="27">
        <v>45193</v>
      </c>
      <c r="BS257" s="28">
        <v>-3534</v>
      </c>
      <c r="BT257" s="29">
        <v>-3329</v>
      </c>
      <c r="BU257" s="29">
        <v>-3534</v>
      </c>
      <c r="BV257" s="29">
        <v>-4079</v>
      </c>
      <c r="BW257" s="29">
        <v>-3329</v>
      </c>
      <c r="BX257" s="30" t="s">
        <v>1350</v>
      </c>
      <c r="BY257" s="8">
        <v>5</v>
      </c>
      <c r="BZ257" s="8">
        <v>0</v>
      </c>
      <c r="CA257" s="8">
        <v>0</v>
      </c>
      <c r="CB257" s="21" t="s">
        <v>143</v>
      </c>
      <c r="CC257" s="21" t="s">
        <v>143</v>
      </c>
      <c r="CD257" s="21" t="s">
        <v>143</v>
      </c>
      <c r="CE257" s="21" t="s">
        <v>143</v>
      </c>
      <c r="CF257" s="21" t="s">
        <v>143</v>
      </c>
      <c r="CG257" s="21" t="s">
        <v>143</v>
      </c>
      <c r="CH257" s="21" t="s">
        <v>143</v>
      </c>
      <c r="CI257" s="21" t="s">
        <v>143</v>
      </c>
      <c r="CJ257" s="21" t="s">
        <v>143</v>
      </c>
      <c r="CK257" s="22" t="s">
        <v>143</v>
      </c>
      <c r="CL257" s="22" t="s">
        <v>143</v>
      </c>
      <c r="CM257" s="22" t="s">
        <v>143</v>
      </c>
      <c r="CN257" s="22" t="s">
        <v>143</v>
      </c>
      <c r="CO257" s="22" t="s">
        <v>143</v>
      </c>
      <c r="CP257" s="22" t="s">
        <v>143</v>
      </c>
      <c r="CQ257" s="22" t="s">
        <v>143</v>
      </c>
      <c r="CR257" s="22" t="s">
        <v>143</v>
      </c>
      <c r="CS257" s="22" t="s">
        <v>143</v>
      </c>
      <c r="CT257" s="22" t="s">
        <v>143</v>
      </c>
      <c r="CU257" s="21" t="s">
        <v>143</v>
      </c>
      <c r="CV257" s="21" t="s">
        <v>143</v>
      </c>
      <c r="CW257" s="21" t="s">
        <v>143</v>
      </c>
      <c r="CX257" s="21" t="s">
        <v>143</v>
      </c>
      <c r="CY257" s="21" t="s">
        <v>143</v>
      </c>
      <c r="CZ257" s="21" t="s">
        <v>143</v>
      </c>
      <c r="DA257" s="21" t="s">
        <v>143</v>
      </c>
      <c r="DB257" s="21" t="s">
        <v>143</v>
      </c>
      <c r="DC257" s="21" t="s">
        <v>143</v>
      </c>
      <c r="DD257" s="8" t="s">
        <v>143</v>
      </c>
      <c r="DE257" s="8" t="s">
        <v>143</v>
      </c>
      <c r="DF257" s="8" t="s">
        <v>143</v>
      </c>
      <c r="DG257" s="8">
        <v>0</v>
      </c>
      <c r="DH257" s="8">
        <v>0</v>
      </c>
      <c r="DI257" s="8">
        <v>0</v>
      </c>
      <c r="DJ257" s="8" t="s">
        <v>143</v>
      </c>
      <c r="DK257" s="21" t="s">
        <v>143</v>
      </c>
      <c r="DL257" s="21" t="s">
        <v>143</v>
      </c>
      <c r="DM257" s="21" t="s">
        <v>143</v>
      </c>
      <c r="DN257" s="18" t="s">
        <v>143</v>
      </c>
      <c r="DO257" s="21" t="s">
        <v>143</v>
      </c>
      <c r="DP257" s="21" t="s">
        <v>143</v>
      </c>
      <c r="DQ257" s="21" t="s">
        <v>143</v>
      </c>
      <c r="DR257" s="21" t="s">
        <v>143</v>
      </c>
      <c r="DS257" s="21" t="s">
        <v>143</v>
      </c>
      <c r="DT257" s="21" t="s">
        <v>143</v>
      </c>
      <c r="DU257" s="21" t="s">
        <v>143</v>
      </c>
      <c r="DV257" s="21" t="s">
        <v>143</v>
      </c>
      <c r="DW257" s="21" t="s">
        <v>143</v>
      </c>
      <c r="DX257" s="21" t="s">
        <v>143</v>
      </c>
      <c r="DY257" s="21" t="s">
        <v>143</v>
      </c>
      <c r="DZ257" s="21" t="s">
        <v>143</v>
      </c>
      <c r="EA257" s="8" t="s">
        <v>143</v>
      </c>
      <c r="EB257" s="8" t="s">
        <v>143</v>
      </c>
      <c r="EC257" s="8" t="s">
        <v>143</v>
      </c>
      <c r="ED257" s="8" t="s">
        <v>143</v>
      </c>
      <c r="EE257" s="8" t="s">
        <v>143</v>
      </c>
      <c r="EF257" s="8" t="s">
        <v>143</v>
      </c>
      <c r="EG257" s="8" t="s">
        <v>143</v>
      </c>
      <c r="EH257" s="8" t="s">
        <v>143</v>
      </c>
      <c r="EI257" s="8" t="s">
        <v>143</v>
      </c>
      <c r="EJ257" s="8" t="s">
        <v>143</v>
      </c>
      <c r="EK257" s="8" t="s">
        <v>157</v>
      </c>
      <c r="EL257" s="8">
        <v>818</v>
      </c>
      <c r="EM257" s="8">
        <v>3272</v>
      </c>
      <c r="EN257" s="8" t="s">
        <v>143</v>
      </c>
      <c r="EO257" s="8" t="s">
        <v>143</v>
      </c>
      <c r="EP257" s="8" t="s">
        <v>143</v>
      </c>
      <c r="EQ257" s="8" t="s">
        <v>143</v>
      </c>
      <c r="ER257" s="8" t="s">
        <v>143</v>
      </c>
      <c r="ES257" s="8" t="s">
        <v>143</v>
      </c>
      <c r="ET257" s="8" t="s">
        <v>143</v>
      </c>
      <c r="EU257" s="8" t="s">
        <v>143</v>
      </c>
      <c r="EV257" s="8" t="s">
        <v>143</v>
      </c>
    </row>
    <row r="258" spans="1:152" x14ac:dyDescent="0.15">
      <c r="A258" s="8">
        <f>ROW([2]!tbl_DPSAC[[#This Row],[Sl. No.]])-1</f>
        <v>257</v>
      </c>
      <c r="B258" s="9" t="s">
        <v>136</v>
      </c>
      <c r="C258" s="9" t="s">
        <v>1358</v>
      </c>
      <c r="D258" s="9" t="s">
        <v>138</v>
      </c>
      <c r="E258" s="9" t="s">
        <v>139</v>
      </c>
      <c r="F258" s="9" t="s">
        <v>161</v>
      </c>
      <c r="G258" s="10" t="s">
        <v>303</v>
      </c>
      <c r="H258" s="10" t="str">
        <f>_xlfn.XLOOKUP(C258,'[1]E&amp;DPSAC'!$K:$K,'[1]E&amp;DPSAC'!$E:$E,,0)</f>
        <v>LODNA</v>
      </c>
      <c r="I258" s="10"/>
      <c r="J258" s="10">
        <v>7644045555</v>
      </c>
      <c r="K258" s="10">
        <f>_xlfn.XLOOKUP(C258,'[1]E&amp;DPSAC'!$K:$K,'[1]E&amp;DPSAC'!$G:$G,"",0)</f>
        <v>7644045555</v>
      </c>
      <c r="L258" s="9" t="str">
        <f t="shared" ref="L258:L321" ca="1" si="16">IF(O258&gt;=TODAY(),"Warranty","Non - Warranty")</f>
        <v>Non - Warranty</v>
      </c>
      <c r="M258" s="11">
        <v>44630</v>
      </c>
      <c r="N258" s="12">
        <v>24</v>
      </c>
      <c r="O258" s="11">
        <f t="shared" ref="O258:O295" si="17">EOMONTH(DATE(YEAR(M258)+SUM(N258/12),MONTH(M258),DAY(M258))-1,0)</f>
        <v>45382</v>
      </c>
      <c r="P258" s="8" t="s">
        <v>142</v>
      </c>
      <c r="Q258" s="16" t="s">
        <v>1366</v>
      </c>
      <c r="R258" s="15">
        <v>46009.6944097222</v>
      </c>
      <c r="S258" s="14">
        <v>7780</v>
      </c>
      <c r="T258" s="15">
        <v>46009</v>
      </c>
      <c r="U258" s="14">
        <v>7780</v>
      </c>
      <c r="V258" s="14">
        <v>7780</v>
      </c>
      <c r="W258" s="17">
        <v>46009.6944097222</v>
      </c>
      <c r="X258" s="14" t="s">
        <v>2802</v>
      </c>
      <c r="Y258" s="14">
        <v>750</v>
      </c>
      <c r="Z258" s="14" t="s">
        <v>2692</v>
      </c>
      <c r="AA258" s="18">
        <v>103.30559027779964</v>
      </c>
      <c r="AB258" s="18" t="s">
        <v>2692</v>
      </c>
      <c r="AC258" s="8">
        <f>tbl_DPSAC[[#This Row],[Current Month Due Count]]</f>
        <v>0</v>
      </c>
      <c r="AD258" s="8">
        <f>tbl_DPSAC[[#This Row],[Next Month Due2]]</f>
        <v>0</v>
      </c>
      <c r="AE258" s="8">
        <f t="shared" ref="AE258:AE297" si="18">IF(AB258="Due",1,0)</f>
        <v>0</v>
      </c>
      <c r="AF258" s="8">
        <v>8</v>
      </c>
      <c r="AG258" s="14">
        <f t="shared" ref="AG258:AG321" ca="1" si="19">IFERROR(IF(V258&gt;=1,ROUND(SUM(SUM(TODAY()-W258)*AF258)+V258,0),""),"")</f>
        <v>8606</v>
      </c>
      <c r="AH258" s="8" t="s">
        <v>1359</v>
      </c>
      <c r="AI258" s="8" t="s">
        <v>1360</v>
      </c>
      <c r="AJ258" s="8" t="s">
        <v>1361</v>
      </c>
      <c r="AK258" s="8" t="s">
        <v>1362</v>
      </c>
      <c r="AL258" s="8" t="s">
        <v>1363</v>
      </c>
      <c r="AM258" s="8" t="s">
        <v>1364</v>
      </c>
      <c r="AN258" s="8" t="s">
        <v>1365</v>
      </c>
      <c r="AO258" s="8">
        <v>0</v>
      </c>
      <c r="AP258" s="8">
        <v>0</v>
      </c>
      <c r="AQ258" s="8">
        <v>0</v>
      </c>
      <c r="AR258" s="8">
        <v>0</v>
      </c>
      <c r="AS258" s="8">
        <v>0</v>
      </c>
      <c r="AT258" s="8">
        <v>0</v>
      </c>
      <c r="AU258" s="8">
        <v>0</v>
      </c>
      <c r="AV258" s="8">
        <v>0</v>
      </c>
      <c r="AW258" s="8">
        <v>0</v>
      </c>
      <c r="AX258" s="8" t="s">
        <v>2980</v>
      </c>
      <c r="AY258" s="14">
        <v>7780</v>
      </c>
      <c r="AZ258" s="19">
        <v>46009</v>
      </c>
      <c r="BA258" s="14" t="s">
        <v>1366</v>
      </c>
      <c r="BB258" s="14">
        <v>7780</v>
      </c>
      <c r="BC258" s="19">
        <v>46009</v>
      </c>
      <c r="BD258" s="14" t="s">
        <v>1366</v>
      </c>
      <c r="BE258" s="14">
        <v>7780</v>
      </c>
      <c r="BF258" s="19">
        <v>46009</v>
      </c>
      <c r="BG258" s="14" t="s">
        <v>1366</v>
      </c>
      <c r="BH258" s="14">
        <v>7780</v>
      </c>
      <c r="BI258" s="19">
        <v>46009</v>
      </c>
      <c r="BJ258" s="14" t="s">
        <v>1366</v>
      </c>
      <c r="BK258" s="14">
        <v>7780</v>
      </c>
      <c r="BL258" s="19">
        <v>46009</v>
      </c>
      <c r="BM258" s="14" t="s">
        <v>1366</v>
      </c>
      <c r="BN258" s="27">
        <v>46189</v>
      </c>
      <c r="BO258" s="27">
        <v>46189</v>
      </c>
      <c r="BP258" s="27">
        <v>46189</v>
      </c>
      <c r="BQ258" s="27">
        <v>46189</v>
      </c>
      <c r="BR258" s="27">
        <v>46374</v>
      </c>
      <c r="BS258" s="28">
        <v>-76</v>
      </c>
      <c r="BT258" s="29">
        <v>674</v>
      </c>
      <c r="BU258" s="29">
        <v>-76</v>
      </c>
      <c r="BV258" s="29">
        <v>-76</v>
      </c>
      <c r="BW258" s="29">
        <v>674</v>
      </c>
      <c r="BX258" s="30">
        <v>0</v>
      </c>
      <c r="BY258" s="8">
        <v>0</v>
      </c>
      <c r="BZ258" s="8">
        <v>0</v>
      </c>
      <c r="CA258" s="8">
        <v>0</v>
      </c>
      <c r="CB258" s="21">
        <v>46008.770833333299</v>
      </c>
      <c r="CC258" s="21">
        <v>45873.770833333299</v>
      </c>
      <c r="CD258" s="21">
        <v>45873.770833333299</v>
      </c>
      <c r="CE258" s="21">
        <v>46008.770833333299</v>
      </c>
      <c r="CF258" s="21">
        <v>46008.770833333299</v>
      </c>
      <c r="CG258" s="21">
        <v>45694.770833333299</v>
      </c>
      <c r="CH258" s="21">
        <v>0</v>
      </c>
      <c r="CI258" s="21">
        <v>44593.770833333299</v>
      </c>
      <c r="CJ258" s="21">
        <v>45694.770833333299</v>
      </c>
      <c r="CK258" s="22" t="s">
        <v>2959</v>
      </c>
      <c r="CL258" s="22" t="s">
        <v>2959</v>
      </c>
      <c r="CM258" s="22" t="s">
        <v>2959</v>
      </c>
      <c r="CN258" s="22" t="s">
        <v>2959</v>
      </c>
      <c r="CO258" s="22" t="s">
        <v>2959</v>
      </c>
      <c r="CP258" s="22" t="s">
        <v>2956</v>
      </c>
      <c r="CQ258" s="22" t="s">
        <v>2953</v>
      </c>
      <c r="CR258" s="22" t="s">
        <v>2956</v>
      </c>
      <c r="CS258" s="22" t="s">
        <v>2960</v>
      </c>
      <c r="CT258" s="22">
        <v>10</v>
      </c>
      <c r="CU258" s="21">
        <v>46059</v>
      </c>
      <c r="CV258" s="21">
        <v>46053</v>
      </c>
      <c r="CW258" s="21">
        <v>46053</v>
      </c>
      <c r="CX258" s="21">
        <v>46059</v>
      </c>
      <c r="CY258" s="21">
        <v>46059</v>
      </c>
      <c r="CZ258" s="21">
        <v>45964</v>
      </c>
      <c r="DA258" s="21">
        <v>46074</v>
      </c>
      <c r="DB258" s="21">
        <v>44773</v>
      </c>
      <c r="DC258" s="21">
        <v>46059</v>
      </c>
      <c r="DD258" s="8">
        <v>1</v>
      </c>
      <c r="DE258" s="8">
        <v>1</v>
      </c>
      <c r="DF258" s="8">
        <v>0</v>
      </c>
      <c r="DG258" s="8">
        <v>9</v>
      </c>
      <c r="DH258" s="8">
        <v>0</v>
      </c>
      <c r="DI258" s="8">
        <v>0</v>
      </c>
      <c r="DJ258" s="8" t="s">
        <v>2954</v>
      </c>
      <c r="DK258" s="21">
        <v>44630</v>
      </c>
      <c r="DL258" s="21">
        <v>44592.229166666664</v>
      </c>
      <c r="DM258" s="21">
        <v>46009</v>
      </c>
      <c r="DN258" s="18">
        <v>7780</v>
      </c>
      <c r="DO258" s="21">
        <v>0</v>
      </c>
      <c r="DP258" s="21">
        <v>0</v>
      </c>
      <c r="DQ258" s="21" t="s">
        <v>2955</v>
      </c>
      <c r="DR258" s="21">
        <v>46009</v>
      </c>
      <c r="DS258" s="21">
        <v>45874</v>
      </c>
      <c r="DT258" s="21">
        <v>45874</v>
      </c>
      <c r="DU258" s="21">
        <v>46009</v>
      </c>
      <c r="DV258" s="21">
        <v>46009</v>
      </c>
      <c r="DW258" s="21">
        <v>45695</v>
      </c>
      <c r="DX258" s="21">
        <v>0</v>
      </c>
      <c r="DY258" s="21">
        <v>44594</v>
      </c>
      <c r="DZ258" s="21">
        <v>45695</v>
      </c>
      <c r="EA258" s="8">
        <v>500</v>
      </c>
      <c r="EB258" s="8">
        <v>500</v>
      </c>
      <c r="EC258" s="8">
        <v>500</v>
      </c>
      <c r="ED258" s="8">
        <v>500</v>
      </c>
      <c r="EE258" s="8">
        <v>500</v>
      </c>
      <c r="EF258" s="8">
        <v>1500</v>
      </c>
      <c r="EG258" s="8">
        <v>1000</v>
      </c>
      <c r="EH258" s="8">
        <v>1500</v>
      </c>
      <c r="EI258" s="8">
        <v>3000</v>
      </c>
      <c r="EJ258" s="8">
        <v>10</v>
      </c>
      <c r="EK258" s="8" t="s">
        <v>2624</v>
      </c>
      <c r="EL258" s="8">
        <v>103</v>
      </c>
      <c r="EM258" s="8">
        <v>824</v>
      </c>
      <c r="EN258" s="8">
        <v>212</v>
      </c>
      <c r="EO258" s="8">
        <v>212</v>
      </c>
      <c r="EP258" s="8">
        <v>212</v>
      </c>
      <c r="EQ258" s="8">
        <v>212</v>
      </c>
      <c r="ER258" s="8">
        <v>212</v>
      </c>
      <c r="ES258" s="8">
        <v>1212</v>
      </c>
      <c r="ET258" s="8">
        <v>712</v>
      </c>
      <c r="EU258" s="8">
        <v>1212</v>
      </c>
      <c r="EV258" s="8">
        <v>2712</v>
      </c>
    </row>
    <row r="259" spans="1:152" x14ac:dyDescent="0.15">
      <c r="A259" s="8">
        <f>ROW([2]!tbl_DPSAC[[#This Row],[Sl. No.]])-1</f>
        <v>258</v>
      </c>
      <c r="B259" s="9" t="s">
        <v>136</v>
      </c>
      <c r="C259" s="9" t="s">
        <v>1367</v>
      </c>
      <c r="D259" s="9" t="s">
        <v>251</v>
      </c>
      <c r="E259" s="9" t="s">
        <v>147</v>
      </c>
      <c r="F259" s="9" t="s">
        <v>161</v>
      </c>
      <c r="G259" s="10" t="s">
        <v>263</v>
      </c>
      <c r="H259" s="10" t="str">
        <f>_xlfn.XLOOKUP(C259,'[1]E&amp;DPSAC'!$K:$K,'[1]E&amp;DPSAC'!$E:$E,,0)</f>
        <v>CHATRA,JHARKHAND</v>
      </c>
      <c r="I259" s="10"/>
      <c r="J259" s="10">
        <v>7004203427</v>
      </c>
      <c r="K259" s="10">
        <f>_xlfn.XLOOKUP(C259,'[1]E&amp;DPSAC'!$K:$K,'[1]E&amp;DPSAC'!$G:$G,"",0)</f>
        <v>9905024960</v>
      </c>
      <c r="L259" s="9" t="str">
        <f t="shared" ca="1" si="16"/>
        <v>Non - Warranty</v>
      </c>
      <c r="M259" s="11">
        <v>43589.70208333333</v>
      </c>
      <c r="N259" s="12">
        <v>24</v>
      </c>
      <c r="O259" s="11">
        <f t="shared" si="17"/>
        <v>44347</v>
      </c>
      <c r="P259" s="8" t="s">
        <v>681</v>
      </c>
      <c r="Q259" s="16" t="s">
        <v>1368</v>
      </c>
      <c r="R259" s="15">
        <v>46078.4768287037</v>
      </c>
      <c r="S259" s="14">
        <v>7240</v>
      </c>
      <c r="T259" s="15">
        <v>45762</v>
      </c>
      <c r="U259" s="14">
        <v>4206</v>
      </c>
      <c r="V259" s="14">
        <v>7240</v>
      </c>
      <c r="W259" s="17">
        <v>46078.4768287037</v>
      </c>
      <c r="X259" s="14" t="s">
        <v>2762</v>
      </c>
      <c r="Y259" s="14">
        <v>750</v>
      </c>
      <c r="Z259" s="14" t="s">
        <v>2692</v>
      </c>
      <c r="AA259" s="18">
        <v>34.523171296299552</v>
      </c>
      <c r="AB259" s="18" t="s">
        <v>2692</v>
      </c>
      <c r="AC259" s="8">
        <f>tbl_DPSAC[[#This Row],[Current Month Due Count]]</f>
        <v>0</v>
      </c>
      <c r="AD259" s="8">
        <f>tbl_DPSAC[[#This Row],[Next Month Due2]]</f>
        <v>0</v>
      </c>
      <c r="AE259" s="8">
        <f t="shared" si="18"/>
        <v>0</v>
      </c>
      <c r="AF259" s="8">
        <v>3</v>
      </c>
      <c r="AG259" s="14">
        <f t="shared" ca="1" si="19"/>
        <v>7344</v>
      </c>
      <c r="AH259" s="8">
        <v>0</v>
      </c>
      <c r="AI259" s="8">
        <v>0</v>
      </c>
      <c r="AJ259" s="8">
        <v>0</v>
      </c>
      <c r="AK259" s="8">
        <v>0</v>
      </c>
      <c r="AL259" s="8">
        <v>0</v>
      </c>
      <c r="AM259" s="8">
        <v>0</v>
      </c>
      <c r="AN259" s="8">
        <v>0</v>
      </c>
      <c r="AO259" s="8">
        <v>0</v>
      </c>
      <c r="AP259" s="8">
        <v>0</v>
      </c>
      <c r="AQ259" s="8">
        <v>0</v>
      </c>
      <c r="AR259" s="8">
        <v>0</v>
      </c>
      <c r="AS259" s="8">
        <v>0</v>
      </c>
      <c r="AT259" s="8">
        <v>0</v>
      </c>
      <c r="AU259" s="8">
        <v>0</v>
      </c>
      <c r="AV259" s="8">
        <v>0</v>
      </c>
      <c r="AW259" s="8">
        <v>0</v>
      </c>
      <c r="AX259" s="8" t="s">
        <v>2007</v>
      </c>
      <c r="AY259" s="14">
        <v>7240</v>
      </c>
      <c r="AZ259" s="19">
        <v>46078</v>
      </c>
      <c r="BA259" s="14" t="s">
        <v>1368</v>
      </c>
      <c r="BB259" s="14">
        <v>7240</v>
      </c>
      <c r="BC259" s="19">
        <v>46078</v>
      </c>
      <c r="BD259" s="14" t="s">
        <v>1368</v>
      </c>
      <c r="BE259" s="14">
        <v>7240</v>
      </c>
      <c r="BF259" s="19">
        <v>46078</v>
      </c>
      <c r="BG259" s="14" t="s">
        <v>1368</v>
      </c>
      <c r="BH259" s="14">
        <v>7240</v>
      </c>
      <c r="BI259" s="19">
        <v>46078</v>
      </c>
      <c r="BJ259" s="14" t="s">
        <v>1368</v>
      </c>
      <c r="BK259" s="14">
        <v>7240</v>
      </c>
      <c r="BL259" s="19">
        <v>46078</v>
      </c>
      <c r="BM259" s="14" t="s">
        <v>1368</v>
      </c>
      <c r="BN259" s="27">
        <v>46258</v>
      </c>
      <c r="BO259" s="27">
        <v>46258</v>
      </c>
      <c r="BP259" s="27">
        <v>46258</v>
      </c>
      <c r="BQ259" s="27">
        <v>46258</v>
      </c>
      <c r="BR259" s="27">
        <v>46443</v>
      </c>
      <c r="BS259" s="28">
        <v>646</v>
      </c>
      <c r="BT259" s="29">
        <v>1396</v>
      </c>
      <c r="BU259" s="29">
        <v>646</v>
      </c>
      <c r="BV259" s="29">
        <v>646</v>
      </c>
      <c r="BW259" s="29">
        <v>1396</v>
      </c>
      <c r="BX259" s="30" t="s">
        <v>173</v>
      </c>
      <c r="BY259" s="8">
        <v>0</v>
      </c>
      <c r="BZ259" s="8">
        <v>0</v>
      </c>
      <c r="CA259" s="8">
        <v>0</v>
      </c>
      <c r="CB259" s="21">
        <v>46077.770833333299</v>
      </c>
      <c r="CC259" s="21">
        <v>46077.770833333299</v>
      </c>
      <c r="CD259" s="21">
        <v>46077.770833333299</v>
      </c>
      <c r="CE259" s="21">
        <v>46077.770833333299</v>
      </c>
      <c r="CF259" s="21">
        <v>46077.770833333299</v>
      </c>
      <c r="CG259" s="21">
        <v>46077.770833333299</v>
      </c>
      <c r="CH259" s="21">
        <v>46077.770833333299</v>
      </c>
      <c r="CI259" s="21">
        <v>46077.770833333299</v>
      </c>
      <c r="CJ259" s="21">
        <v>46077.770833333299</v>
      </c>
      <c r="CK259" s="22" t="s">
        <v>2956</v>
      </c>
      <c r="CL259" s="22" t="s">
        <v>2957</v>
      </c>
      <c r="CM259" s="22" t="s">
        <v>2959</v>
      </c>
      <c r="CN259" s="22" t="s">
        <v>2957</v>
      </c>
      <c r="CO259" s="22" t="s">
        <v>2957</v>
      </c>
      <c r="CP259" s="22" t="s">
        <v>2956</v>
      </c>
      <c r="CQ259" s="22" t="s">
        <v>2953</v>
      </c>
      <c r="CR259" s="22" t="s">
        <v>2956</v>
      </c>
      <c r="CS259" s="22" t="s">
        <v>2960</v>
      </c>
      <c r="CT259" s="22">
        <v>4</v>
      </c>
      <c r="CU259" s="21">
        <v>46257</v>
      </c>
      <c r="CV259" s="21">
        <v>46257</v>
      </c>
      <c r="CW259" s="21">
        <v>46203</v>
      </c>
      <c r="CX259" s="21">
        <v>46257</v>
      </c>
      <c r="CY259" s="21">
        <v>46257</v>
      </c>
      <c r="CZ259" s="21">
        <v>46347</v>
      </c>
      <c r="DA259" s="21">
        <v>46328</v>
      </c>
      <c r="DB259" s="21">
        <v>46257</v>
      </c>
      <c r="DC259" s="21">
        <v>46442</v>
      </c>
      <c r="DD259" s="8">
        <v>0</v>
      </c>
      <c r="DE259" s="8">
        <v>0</v>
      </c>
      <c r="DF259" s="8">
        <v>0</v>
      </c>
      <c r="DG259" s="8">
        <v>0</v>
      </c>
      <c r="DH259" s="8">
        <v>0</v>
      </c>
      <c r="DI259" s="8">
        <v>0</v>
      </c>
      <c r="DJ259" s="8" t="s">
        <v>3025</v>
      </c>
      <c r="DK259" s="21">
        <v>43589</v>
      </c>
      <c r="DL259" s="21">
        <v>43572.229166666664</v>
      </c>
      <c r="DM259" s="21">
        <v>46078</v>
      </c>
      <c r="DN259" s="18">
        <v>7240</v>
      </c>
      <c r="DO259" s="21">
        <v>0</v>
      </c>
      <c r="DP259" s="21">
        <v>0</v>
      </c>
      <c r="DQ259" s="21" t="s">
        <v>2955</v>
      </c>
      <c r="DR259" s="21">
        <v>46078</v>
      </c>
      <c r="DS259" s="21">
        <v>46078</v>
      </c>
      <c r="DT259" s="21">
        <v>46078</v>
      </c>
      <c r="DU259" s="21">
        <v>46078</v>
      </c>
      <c r="DV259" s="21">
        <v>46078</v>
      </c>
      <c r="DW259" s="21">
        <v>46078</v>
      </c>
      <c r="DX259" s="21">
        <v>46078</v>
      </c>
      <c r="DY259" s="21">
        <v>46078</v>
      </c>
      <c r="DZ259" s="21">
        <v>46078</v>
      </c>
      <c r="EA259" s="8">
        <v>1500</v>
      </c>
      <c r="EB259" s="8">
        <v>750</v>
      </c>
      <c r="EC259" s="8">
        <v>500</v>
      </c>
      <c r="ED259" s="8">
        <v>750</v>
      </c>
      <c r="EE259" s="8">
        <v>750</v>
      </c>
      <c r="EF259" s="8">
        <v>1500</v>
      </c>
      <c r="EG259" s="8">
        <v>1000</v>
      </c>
      <c r="EH259" s="8">
        <v>1500</v>
      </c>
      <c r="EI259" s="8">
        <v>3000</v>
      </c>
      <c r="EJ259" s="8">
        <v>4</v>
      </c>
      <c r="EK259" s="8" t="s">
        <v>2624</v>
      </c>
      <c r="EL259" s="8">
        <v>35</v>
      </c>
      <c r="EM259" s="8">
        <v>105</v>
      </c>
      <c r="EN259" s="8">
        <v>1212</v>
      </c>
      <c r="EO259" s="8">
        <v>462</v>
      </c>
      <c r="EP259" s="8">
        <v>212</v>
      </c>
      <c r="EQ259" s="8">
        <v>462</v>
      </c>
      <c r="ER259" s="8">
        <v>462</v>
      </c>
      <c r="ES259" s="8">
        <v>1212</v>
      </c>
      <c r="ET259" s="8">
        <v>712</v>
      </c>
      <c r="EU259" s="8">
        <v>1212</v>
      </c>
      <c r="EV259" s="8">
        <v>2712</v>
      </c>
    </row>
    <row r="260" spans="1:152" x14ac:dyDescent="0.15">
      <c r="A260" s="8">
        <f>ROW([2]!tbl_DPSAC[[#This Row],[Sl. No.]])-1</f>
        <v>259</v>
      </c>
      <c r="B260" s="9" t="s">
        <v>136</v>
      </c>
      <c r="C260" s="9" t="s">
        <v>1369</v>
      </c>
      <c r="D260" s="9" t="s">
        <v>146</v>
      </c>
      <c r="E260" s="9" t="s">
        <v>147</v>
      </c>
      <c r="F260" s="9" t="s">
        <v>161</v>
      </c>
      <c r="G260" s="10" t="s">
        <v>1370</v>
      </c>
      <c r="H260" s="10" t="str">
        <f>_xlfn.XLOOKUP(C260,'[1]E&amp;DPSAC'!$K:$K,'[1]E&amp;DPSAC'!$E:$E,,0)</f>
        <v>RANCHI PATNA ROAD, NH-33, SINDUR, HAZARIBAGH</v>
      </c>
      <c r="I260" s="10" t="s">
        <v>1371</v>
      </c>
      <c r="J260" s="10">
        <v>7004095574</v>
      </c>
      <c r="K260" s="10">
        <f>_xlfn.XLOOKUP(C260,'[1]E&amp;DPSAC'!$K:$K,'[1]E&amp;DPSAC'!$G:$G,"",0)</f>
        <v>7004095574</v>
      </c>
      <c r="L260" s="9" t="str">
        <f t="shared" ca="1" si="16"/>
        <v>Non - Warranty</v>
      </c>
      <c r="M260" s="11">
        <v>43979.815972222219</v>
      </c>
      <c r="N260" s="12">
        <v>24</v>
      </c>
      <c r="O260" s="11">
        <f t="shared" si="17"/>
        <v>44712</v>
      </c>
      <c r="P260" s="8" t="s">
        <v>142</v>
      </c>
      <c r="Q260" s="16" t="s">
        <v>1372</v>
      </c>
      <c r="R260" s="15">
        <v>45113.583217592597</v>
      </c>
      <c r="S260" s="14">
        <v>1210</v>
      </c>
      <c r="T260" s="15">
        <v>45113</v>
      </c>
      <c r="U260" s="14">
        <v>1210</v>
      </c>
      <c r="V260" s="14">
        <v>2975</v>
      </c>
      <c r="W260" s="17">
        <v>46042.552928240701</v>
      </c>
      <c r="X260" s="14" t="s">
        <v>2803</v>
      </c>
      <c r="Y260" s="14">
        <v>-1015</v>
      </c>
      <c r="Z260" s="14" t="s">
        <v>2697</v>
      </c>
      <c r="AA260" s="18">
        <v>999.41678240740293</v>
      </c>
      <c r="AB260" s="18" t="s">
        <v>2697</v>
      </c>
      <c r="AC260" s="8">
        <f>tbl_DPSAC[[#This Row],[Current Month Due Count]]</f>
        <v>0</v>
      </c>
      <c r="AD260" s="8">
        <f>tbl_DPSAC[[#This Row],[Next Month Due2]]</f>
        <v>0</v>
      </c>
      <c r="AE260" s="8">
        <f t="shared" si="18"/>
        <v>1</v>
      </c>
      <c r="AF260" s="8">
        <v>2</v>
      </c>
      <c r="AG260" s="14">
        <f t="shared" ca="1" si="19"/>
        <v>3116</v>
      </c>
      <c r="AH260" s="8">
        <v>0</v>
      </c>
      <c r="AI260" s="8">
        <v>0</v>
      </c>
      <c r="AJ260" s="8">
        <v>0</v>
      </c>
      <c r="AK260" s="8">
        <v>0</v>
      </c>
      <c r="AL260" s="8">
        <v>0</v>
      </c>
      <c r="AM260" s="8">
        <v>0</v>
      </c>
      <c r="AN260" s="8">
        <v>0</v>
      </c>
      <c r="AO260" s="8">
        <v>0</v>
      </c>
      <c r="AP260" s="8">
        <v>0</v>
      </c>
      <c r="AQ260" s="8">
        <v>0</v>
      </c>
      <c r="AR260" s="8">
        <v>0</v>
      </c>
      <c r="AS260" s="8">
        <v>0</v>
      </c>
      <c r="AT260" s="8">
        <v>0</v>
      </c>
      <c r="AU260" s="8">
        <v>0</v>
      </c>
      <c r="AV260" s="8">
        <v>0</v>
      </c>
      <c r="AW260" s="8">
        <v>0</v>
      </c>
      <c r="AX260" s="8" t="s">
        <v>2961</v>
      </c>
      <c r="AY260" s="14">
        <v>1210</v>
      </c>
      <c r="AZ260" s="19">
        <v>45113</v>
      </c>
      <c r="BA260" s="14" t="s">
        <v>1372</v>
      </c>
      <c r="BB260" s="14">
        <v>880</v>
      </c>
      <c r="BC260" s="19">
        <v>44881</v>
      </c>
      <c r="BD260" s="14" t="s">
        <v>1373</v>
      </c>
      <c r="BE260" s="14">
        <v>1210</v>
      </c>
      <c r="BF260" s="19">
        <v>45113</v>
      </c>
      <c r="BG260" s="14" t="s">
        <v>1372</v>
      </c>
      <c r="BH260" s="14">
        <v>1210</v>
      </c>
      <c r="BI260" s="19">
        <v>45113</v>
      </c>
      <c r="BJ260" s="14" t="s">
        <v>1372</v>
      </c>
      <c r="BK260" s="14">
        <v>880</v>
      </c>
      <c r="BL260" s="19">
        <v>44881</v>
      </c>
      <c r="BM260" s="14" t="s">
        <v>1373</v>
      </c>
      <c r="BN260" s="27">
        <v>45293</v>
      </c>
      <c r="BO260" s="27">
        <v>45061</v>
      </c>
      <c r="BP260" s="27">
        <v>45293</v>
      </c>
      <c r="BQ260" s="27">
        <v>45293</v>
      </c>
      <c r="BR260" s="27">
        <v>45246</v>
      </c>
      <c r="BS260" s="28">
        <v>-1156</v>
      </c>
      <c r="BT260" s="29">
        <v>-736</v>
      </c>
      <c r="BU260" s="29">
        <v>-1156</v>
      </c>
      <c r="BV260" s="29">
        <v>-1156</v>
      </c>
      <c r="BW260" s="29">
        <v>-736</v>
      </c>
      <c r="BX260" s="30" t="e">
        <v>#N/A</v>
      </c>
      <c r="BY260" s="8">
        <v>5</v>
      </c>
      <c r="BZ260" s="8">
        <v>0</v>
      </c>
      <c r="CA260" s="8">
        <v>0</v>
      </c>
      <c r="CB260" s="21">
        <v>45112.770833333299</v>
      </c>
      <c r="CC260" s="21">
        <v>45112.770833333299</v>
      </c>
      <c r="CD260" s="21">
        <v>44888.770833333299</v>
      </c>
      <c r="CE260" s="21">
        <v>45112.770833333299</v>
      </c>
      <c r="CF260" s="21">
        <v>45112.770833333299</v>
      </c>
      <c r="CG260" s="21">
        <v>44888.770833333299</v>
      </c>
      <c r="CH260" s="21">
        <v>0</v>
      </c>
      <c r="CI260" s="21">
        <v>0</v>
      </c>
      <c r="CJ260" s="21">
        <v>0</v>
      </c>
      <c r="CK260" s="22" t="s">
        <v>3029</v>
      </c>
      <c r="CL260" s="22" t="s">
        <v>3029</v>
      </c>
      <c r="CM260" s="22" t="s">
        <v>3029</v>
      </c>
      <c r="CN260" s="22" t="s">
        <v>3029</v>
      </c>
      <c r="CO260" s="22" t="s">
        <v>3029</v>
      </c>
      <c r="CP260" s="22" t="s">
        <v>3029</v>
      </c>
      <c r="CQ260" s="22" t="s">
        <v>2953</v>
      </c>
      <c r="CR260" s="22" t="s">
        <v>3029</v>
      </c>
      <c r="CS260" s="22" t="s">
        <v>3029</v>
      </c>
      <c r="CT260" s="22">
        <v>3</v>
      </c>
      <c r="CU260" s="21">
        <v>45292</v>
      </c>
      <c r="CV260" s="21">
        <v>45292</v>
      </c>
      <c r="CW260" s="21">
        <v>45068</v>
      </c>
      <c r="CX260" s="21">
        <v>45292</v>
      </c>
      <c r="CY260" s="21">
        <v>45292</v>
      </c>
      <c r="CZ260" s="21">
        <v>45158</v>
      </c>
      <c r="DA260" s="21">
        <v>46135</v>
      </c>
      <c r="DB260" s="21">
        <v>46050</v>
      </c>
      <c r="DC260" s="21">
        <v>46050</v>
      </c>
      <c r="DD260" s="8">
        <v>1</v>
      </c>
      <c r="DE260" s="8">
        <v>0</v>
      </c>
      <c r="DF260" s="8">
        <v>0</v>
      </c>
      <c r="DG260" s="8">
        <v>8</v>
      </c>
      <c r="DH260" s="8">
        <v>1</v>
      </c>
      <c r="DI260" s="8">
        <v>0</v>
      </c>
      <c r="DJ260" s="8" t="s">
        <v>2954</v>
      </c>
      <c r="DK260" s="21">
        <v>43979</v>
      </c>
      <c r="DL260" s="21">
        <v>43816.229166666664</v>
      </c>
      <c r="DM260" s="21">
        <v>46042</v>
      </c>
      <c r="DN260" s="18">
        <v>2975</v>
      </c>
      <c r="DO260" s="21">
        <v>0</v>
      </c>
      <c r="DP260" s="21">
        <v>0</v>
      </c>
      <c r="DQ260" s="21" t="s">
        <v>2955</v>
      </c>
      <c r="DR260" s="21">
        <v>45113</v>
      </c>
      <c r="DS260" s="21">
        <v>45113</v>
      </c>
      <c r="DT260" s="21">
        <v>44889</v>
      </c>
      <c r="DU260" s="21">
        <v>45113</v>
      </c>
      <c r="DV260" s="21">
        <v>45113</v>
      </c>
      <c r="DW260" s="21">
        <v>44889</v>
      </c>
      <c r="DX260" s="21">
        <v>0</v>
      </c>
      <c r="DY260" s="21">
        <v>0</v>
      </c>
      <c r="DZ260" s="21">
        <v>0</v>
      </c>
      <c r="EA260" s="8">
        <v>25</v>
      </c>
      <c r="EB260" s="8">
        <v>25</v>
      </c>
      <c r="EC260" s="8">
        <v>25</v>
      </c>
      <c r="ED260" s="8">
        <v>25</v>
      </c>
      <c r="EE260" s="8">
        <v>25</v>
      </c>
      <c r="EF260" s="8">
        <v>25</v>
      </c>
      <c r="EG260" s="8">
        <v>1000</v>
      </c>
      <c r="EH260" s="8">
        <v>25</v>
      </c>
      <c r="EI260" s="8">
        <v>25</v>
      </c>
      <c r="EJ260" s="8">
        <v>3</v>
      </c>
      <c r="EK260" s="8" t="s">
        <v>2624</v>
      </c>
      <c r="EL260" s="8">
        <v>70</v>
      </c>
      <c r="EM260" s="8">
        <v>140</v>
      </c>
      <c r="EN260" s="8">
        <v>-263</v>
      </c>
      <c r="EO260" s="8">
        <v>-263</v>
      </c>
      <c r="EP260" s="8">
        <v>-263</v>
      </c>
      <c r="EQ260" s="8">
        <v>-263</v>
      </c>
      <c r="ER260" s="8">
        <v>-263</v>
      </c>
      <c r="ES260" s="8">
        <v>-263</v>
      </c>
      <c r="ET260" s="8">
        <v>712</v>
      </c>
      <c r="EU260" s="8">
        <v>-263</v>
      </c>
      <c r="EV260" s="8">
        <v>-263</v>
      </c>
    </row>
    <row r="261" spans="1:152" x14ac:dyDescent="0.15">
      <c r="A261" s="8">
        <f>ROW([2]!tbl_DPSAC[[#This Row],[Sl. No.]])-1</f>
        <v>260</v>
      </c>
      <c r="B261" s="9" t="s">
        <v>136</v>
      </c>
      <c r="C261" s="9" t="s">
        <v>1374</v>
      </c>
      <c r="D261" s="9" t="s">
        <v>175</v>
      </c>
      <c r="E261" s="9" t="s">
        <v>176</v>
      </c>
      <c r="F261" s="9" t="s">
        <v>161</v>
      </c>
      <c r="G261" s="10" t="s">
        <v>1375</v>
      </c>
      <c r="H261" s="10" t="str">
        <f>_xlfn.XLOOKUP(C261,'[1]E&amp;DPSAC'!$K:$K,'[1]E&amp;DPSAC'!$E:$E,,0)</f>
        <v>C/O - NAVEEN KUMAR SINGH, PLOT NO.-538,718, DUNDURIA, GUMLA</v>
      </c>
      <c r="I261" s="10"/>
      <c r="J261" s="10">
        <v>8757678464</v>
      </c>
      <c r="K261" s="10">
        <f>_xlfn.XLOOKUP(C261,'[1]E&amp;DPSAC'!$K:$K,'[1]E&amp;DPSAC'!$G:$G,"",0)</f>
        <v>8757678474</v>
      </c>
      <c r="L261" s="9" t="str">
        <f t="shared" ca="1" si="16"/>
        <v>Non - Warranty</v>
      </c>
      <c r="M261" s="11">
        <v>43966.774305555555</v>
      </c>
      <c r="N261" s="12">
        <v>24</v>
      </c>
      <c r="O261" s="11">
        <f t="shared" si="17"/>
        <v>44712</v>
      </c>
      <c r="P261" s="8" t="s">
        <v>681</v>
      </c>
      <c r="Q261" s="16" t="s">
        <v>1378</v>
      </c>
      <c r="R261" s="15">
        <v>46072.556956018503</v>
      </c>
      <c r="S261" s="14">
        <v>6490</v>
      </c>
      <c r="T261" s="15">
        <v>46072</v>
      </c>
      <c r="U261" s="14">
        <v>6490</v>
      </c>
      <c r="V261" s="14">
        <v>6490</v>
      </c>
      <c r="W261" s="17">
        <v>46072.556956018503</v>
      </c>
      <c r="X261" s="14" t="s">
        <v>2796</v>
      </c>
      <c r="Y261" s="14">
        <v>750</v>
      </c>
      <c r="Z261" s="14" t="s">
        <v>2692</v>
      </c>
      <c r="AA261" s="18">
        <v>40.443043981496885</v>
      </c>
      <c r="AB261" s="18" t="s">
        <v>2692</v>
      </c>
      <c r="AC261" s="8">
        <f>tbl_DPSAC[[#This Row],[Current Month Due Count]]</f>
        <v>0</v>
      </c>
      <c r="AD261" s="8">
        <f>tbl_DPSAC[[#This Row],[Next Month Due2]]</f>
        <v>0</v>
      </c>
      <c r="AE261" s="8">
        <f t="shared" si="18"/>
        <v>0</v>
      </c>
      <c r="AF261" s="8">
        <v>3</v>
      </c>
      <c r="AG261" s="14">
        <f t="shared" ca="1" si="19"/>
        <v>6611</v>
      </c>
      <c r="AH261" s="8" t="s">
        <v>1376</v>
      </c>
      <c r="AI261" s="8" t="s">
        <v>1377</v>
      </c>
      <c r="AJ261" s="8">
        <v>0</v>
      </c>
      <c r="AK261" s="8">
        <v>0</v>
      </c>
      <c r="AL261" s="8">
        <v>0</v>
      </c>
      <c r="AM261" s="8">
        <v>0</v>
      </c>
      <c r="AN261" s="8">
        <v>0</v>
      </c>
      <c r="AO261" s="8">
        <v>0</v>
      </c>
      <c r="AP261" s="8">
        <v>0</v>
      </c>
      <c r="AQ261" s="8">
        <v>0</v>
      </c>
      <c r="AR261" s="8">
        <v>0</v>
      </c>
      <c r="AS261" s="8">
        <v>0</v>
      </c>
      <c r="AT261" s="8">
        <v>0</v>
      </c>
      <c r="AU261" s="8">
        <v>0</v>
      </c>
      <c r="AV261" s="8">
        <v>0</v>
      </c>
      <c r="AW261" s="8">
        <v>0</v>
      </c>
      <c r="AX261" s="8" t="s">
        <v>2007</v>
      </c>
      <c r="AY261" s="14">
        <v>6490</v>
      </c>
      <c r="AZ261" s="19">
        <v>46072</v>
      </c>
      <c r="BA261" s="14" t="s">
        <v>1378</v>
      </c>
      <c r="BB261" s="14">
        <v>6490</v>
      </c>
      <c r="BC261" s="19">
        <v>46072</v>
      </c>
      <c r="BD261" s="14" t="s">
        <v>1378</v>
      </c>
      <c r="BE261" s="14">
        <v>6490</v>
      </c>
      <c r="BF261" s="19">
        <v>46072</v>
      </c>
      <c r="BG261" s="14" t="s">
        <v>1378</v>
      </c>
      <c r="BH261" s="14">
        <v>6490</v>
      </c>
      <c r="BI261" s="19">
        <v>46072</v>
      </c>
      <c r="BJ261" s="14" t="s">
        <v>1378</v>
      </c>
      <c r="BK261" s="14">
        <v>6490</v>
      </c>
      <c r="BL261" s="19">
        <v>46072</v>
      </c>
      <c r="BM261" s="14" t="s">
        <v>1378</v>
      </c>
      <c r="BN261" s="27">
        <v>46252</v>
      </c>
      <c r="BO261" s="27">
        <v>46252</v>
      </c>
      <c r="BP261" s="27">
        <v>46252</v>
      </c>
      <c r="BQ261" s="27">
        <v>46252</v>
      </c>
      <c r="BR261" s="27">
        <v>46437</v>
      </c>
      <c r="BS261" s="28">
        <v>629</v>
      </c>
      <c r="BT261" s="29">
        <v>1379</v>
      </c>
      <c r="BU261" s="29">
        <v>629</v>
      </c>
      <c r="BV261" s="29">
        <v>629</v>
      </c>
      <c r="BW261" s="29">
        <v>1379</v>
      </c>
      <c r="BX261" s="30" t="s">
        <v>173</v>
      </c>
      <c r="BY261" s="8">
        <v>0</v>
      </c>
      <c r="BZ261" s="8">
        <v>0</v>
      </c>
      <c r="CA261" s="8">
        <v>0</v>
      </c>
      <c r="CB261" s="21">
        <v>46071.770833333299</v>
      </c>
      <c r="CC261" s="21">
        <v>46071.770833333299</v>
      </c>
      <c r="CD261" s="21">
        <v>46071.770833333299</v>
      </c>
      <c r="CE261" s="21">
        <v>46071.770833333299</v>
      </c>
      <c r="CF261" s="21">
        <v>46071.770833333299</v>
      </c>
      <c r="CG261" s="21">
        <v>46071.770833333299</v>
      </c>
      <c r="CH261" s="21">
        <v>46071.770833333299</v>
      </c>
      <c r="CI261" s="21">
        <v>46071.770833333299</v>
      </c>
      <c r="CJ261" s="21">
        <v>46071.770833333299</v>
      </c>
      <c r="CK261" s="22" t="s">
        <v>2956</v>
      </c>
      <c r="CL261" s="22" t="s">
        <v>2957</v>
      </c>
      <c r="CM261" s="22" t="s">
        <v>2959</v>
      </c>
      <c r="CN261" s="22" t="s">
        <v>2957</v>
      </c>
      <c r="CO261" s="22" t="s">
        <v>2957</v>
      </c>
      <c r="CP261" s="22" t="s">
        <v>2956</v>
      </c>
      <c r="CQ261" s="22" t="s">
        <v>2953</v>
      </c>
      <c r="CR261" s="22" t="s">
        <v>2956</v>
      </c>
      <c r="CS261" s="22" t="s">
        <v>2960</v>
      </c>
      <c r="CT261" s="22">
        <v>5</v>
      </c>
      <c r="CU261" s="21">
        <v>46251</v>
      </c>
      <c r="CV261" s="21">
        <v>46222</v>
      </c>
      <c r="CW261" s="21">
        <v>46172</v>
      </c>
      <c r="CX261" s="21">
        <v>46222</v>
      </c>
      <c r="CY261" s="21">
        <v>46222</v>
      </c>
      <c r="CZ261" s="21">
        <v>46341</v>
      </c>
      <c r="DA261" s="21">
        <v>46272</v>
      </c>
      <c r="DB261" s="21">
        <v>46251</v>
      </c>
      <c r="DC261" s="21">
        <v>46436</v>
      </c>
      <c r="DD261" s="8">
        <v>0</v>
      </c>
      <c r="DE261" s="8">
        <v>0</v>
      </c>
      <c r="DF261" s="8">
        <v>0</v>
      </c>
      <c r="DG261" s="8">
        <v>0</v>
      </c>
      <c r="DH261" s="8">
        <v>0</v>
      </c>
      <c r="DI261" s="8">
        <v>1</v>
      </c>
      <c r="DJ261" s="8" t="s">
        <v>3025</v>
      </c>
      <c r="DK261" s="21">
        <v>43966</v>
      </c>
      <c r="DL261" s="21">
        <v>43784.229166666664</v>
      </c>
      <c r="DM261" s="21">
        <v>46072</v>
      </c>
      <c r="DN261" s="18">
        <v>6490</v>
      </c>
      <c r="DO261" s="21">
        <v>0</v>
      </c>
      <c r="DP261" s="21">
        <v>0</v>
      </c>
      <c r="DQ261" s="21" t="s">
        <v>2955</v>
      </c>
      <c r="DR261" s="21">
        <v>46072</v>
      </c>
      <c r="DS261" s="21">
        <v>46072</v>
      </c>
      <c r="DT261" s="21">
        <v>46072</v>
      </c>
      <c r="DU261" s="21">
        <v>46072</v>
      </c>
      <c r="DV261" s="21">
        <v>46072</v>
      </c>
      <c r="DW261" s="21">
        <v>46072</v>
      </c>
      <c r="DX261" s="21">
        <v>46072</v>
      </c>
      <c r="DY261" s="21">
        <v>46072</v>
      </c>
      <c r="DZ261" s="21">
        <v>46072</v>
      </c>
      <c r="EA261" s="8">
        <v>1500</v>
      </c>
      <c r="EB261" s="8">
        <v>750</v>
      </c>
      <c r="EC261" s="8">
        <v>500</v>
      </c>
      <c r="ED261" s="8">
        <v>750</v>
      </c>
      <c r="EE261" s="8">
        <v>750</v>
      </c>
      <c r="EF261" s="8">
        <v>1500</v>
      </c>
      <c r="EG261" s="8">
        <v>1000</v>
      </c>
      <c r="EH261" s="8">
        <v>1500</v>
      </c>
      <c r="EI261" s="8">
        <v>3000</v>
      </c>
      <c r="EJ261" s="8">
        <v>5</v>
      </c>
      <c r="EK261" s="8" t="s">
        <v>2624</v>
      </c>
      <c r="EL261" s="8">
        <v>40</v>
      </c>
      <c r="EM261" s="8">
        <v>120</v>
      </c>
      <c r="EN261" s="8">
        <v>1212</v>
      </c>
      <c r="EO261" s="8">
        <v>462</v>
      </c>
      <c r="EP261" s="8">
        <v>212</v>
      </c>
      <c r="EQ261" s="8">
        <v>462</v>
      </c>
      <c r="ER261" s="8">
        <v>462</v>
      </c>
      <c r="ES261" s="8">
        <v>1212</v>
      </c>
      <c r="ET261" s="8">
        <v>712</v>
      </c>
      <c r="EU261" s="8">
        <v>1212</v>
      </c>
      <c r="EV261" s="8">
        <v>2712</v>
      </c>
    </row>
    <row r="262" spans="1:152" x14ac:dyDescent="0.15">
      <c r="A262" s="8">
        <f>ROW([2]!tbl_DPSAC[[#This Row],[Sl. No.]])-1</f>
        <v>261</v>
      </c>
      <c r="B262" s="9" t="s">
        <v>136</v>
      </c>
      <c r="C262" s="9" t="s">
        <v>1379</v>
      </c>
      <c r="D262" s="9" t="s">
        <v>175</v>
      </c>
      <c r="E262" s="9" t="s">
        <v>176</v>
      </c>
      <c r="F262" s="9" t="s">
        <v>161</v>
      </c>
      <c r="G262" s="10" t="s">
        <v>707</v>
      </c>
      <c r="H262" s="10" t="str">
        <f>_xlfn.XLOOKUP(C262,'[1]E&amp;DPSAC'!$K:$K,'[1]E&amp;DPSAC'!$E:$E,,0)</f>
        <v>ANKIT KUMAR SONTHALIA, R.N. BOSE ROAD, SATSANG GATE, NEAR HANUMAN MANDIR,, PURANDAHA, DEOGHAR, DIST. DUMKA,, JHARKHAND</v>
      </c>
      <c r="I262" s="10"/>
      <c r="J262" s="10">
        <v>8101028484</v>
      </c>
      <c r="K262" s="10">
        <f>_xlfn.XLOOKUP(C262,'[1]E&amp;DPSAC'!$K:$K,'[1]E&amp;DPSAC'!$G:$G,"",0)</f>
        <v>8101028484</v>
      </c>
      <c r="L262" s="9" t="str">
        <f t="shared" ca="1" si="16"/>
        <v>Non - Warranty</v>
      </c>
      <c r="M262" s="11">
        <v>43977</v>
      </c>
      <c r="N262" s="12">
        <v>24</v>
      </c>
      <c r="O262" s="11">
        <f t="shared" si="17"/>
        <v>44712</v>
      </c>
      <c r="P262" s="8" t="s">
        <v>681</v>
      </c>
      <c r="Q262" s="16" t="s">
        <v>1380</v>
      </c>
      <c r="R262" s="15">
        <v>45289.452928240702</v>
      </c>
      <c r="S262" s="14">
        <v>6778</v>
      </c>
      <c r="T262" s="15">
        <v>45289</v>
      </c>
      <c r="U262" s="14">
        <v>6778</v>
      </c>
      <c r="V262" s="14">
        <v>8785</v>
      </c>
      <c r="W262" s="17">
        <v>45966.556250000001</v>
      </c>
      <c r="X262" s="14" t="s">
        <v>2712</v>
      </c>
      <c r="Y262" s="14">
        <v>-1257</v>
      </c>
      <c r="Z262" s="14" t="s">
        <v>2697</v>
      </c>
      <c r="AA262" s="18">
        <v>823.54707175929798</v>
      </c>
      <c r="AB262" s="18" t="s">
        <v>2697</v>
      </c>
      <c r="AC262" s="8">
        <f>tbl_DPSAC[[#This Row],[Current Month Due Count]]</f>
        <v>0</v>
      </c>
      <c r="AD262" s="8">
        <f>tbl_DPSAC[[#This Row],[Next Month Due2]]</f>
        <v>0</v>
      </c>
      <c r="AE262" s="8">
        <f t="shared" si="18"/>
        <v>1</v>
      </c>
      <c r="AF262" s="8">
        <v>3</v>
      </c>
      <c r="AG262" s="14">
        <f t="shared" ca="1" si="19"/>
        <v>9224</v>
      </c>
      <c r="AH262" s="8">
        <v>0</v>
      </c>
      <c r="AI262" s="8">
        <v>0</v>
      </c>
      <c r="AJ262" s="8">
        <v>0</v>
      </c>
      <c r="AK262" s="8">
        <v>0</v>
      </c>
      <c r="AL262" s="8">
        <v>0</v>
      </c>
      <c r="AM262" s="8">
        <v>0</v>
      </c>
      <c r="AN262" s="8">
        <v>0</v>
      </c>
      <c r="AO262" s="8">
        <v>0</v>
      </c>
      <c r="AP262" s="8">
        <v>0</v>
      </c>
      <c r="AQ262" s="8">
        <v>0</v>
      </c>
      <c r="AR262" s="8">
        <v>0</v>
      </c>
      <c r="AS262" s="8">
        <v>0</v>
      </c>
      <c r="AT262" s="8">
        <v>0</v>
      </c>
      <c r="AU262" s="8">
        <v>0</v>
      </c>
      <c r="AV262" s="8">
        <v>0</v>
      </c>
      <c r="AW262" s="8">
        <v>0</v>
      </c>
      <c r="AX262" s="8" t="s">
        <v>2961</v>
      </c>
      <c r="AY262" s="14">
        <v>6778</v>
      </c>
      <c r="AZ262" s="19">
        <v>45259</v>
      </c>
      <c r="BA262" s="14" t="s">
        <v>1380</v>
      </c>
      <c r="BB262" s="14">
        <v>6778</v>
      </c>
      <c r="BC262" s="19">
        <v>45259</v>
      </c>
      <c r="BD262" s="14" t="s">
        <v>1380</v>
      </c>
      <c r="BE262" s="14">
        <v>6778</v>
      </c>
      <c r="BF262" s="19">
        <v>45259</v>
      </c>
      <c r="BG262" s="14" t="s">
        <v>1380</v>
      </c>
      <c r="BH262" s="14">
        <v>6778</v>
      </c>
      <c r="BI262" s="19">
        <v>45259</v>
      </c>
      <c r="BJ262" s="14" t="s">
        <v>1380</v>
      </c>
      <c r="BK262" s="14">
        <v>6778</v>
      </c>
      <c r="BL262" s="19">
        <v>45259</v>
      </c>
      <c r="BM262" s="14" t="s">
        <v>1380</v>
      </c>
      <c r="BN262" s="27">
        <v>45439</v>
      </c>
      <c r="BO262" s="27">
        <v>45439</v>
      </c>
      <c r="BP262" s="27">
        <v>45439</v>
      </c>
      <c r="BQ262" s="27">
        <v>45439</v>
      </c>
      <c r="BR262" s="27">
        <v>45624</v>
      </c>
      <c r="BS262" s="28">
        <v>-1696</v>
      </c>
      <c r="BT262" s="29">
        <v>-946</v>
      </c>
      <c r="BU262" s="29">
        <v>-1696</v>
      </c>
      <c r="BV262" s="29">
        <v>-1696</v>
      </c>
      <c r="BW262" s="29">
        <v>-946</v>
      </c>
      <c r="BX262" s="30" t="s">
        <v>173</v>
      </c>
      <c r="BY262" s="8">
        <v>5</v>
      </c>
      <c r="BZ262" s="8">
        <v>0</v>
      </c>
      <c r="CA262" s="8">
        <v>0</v>
      </c>
      <c r="CB262" s="21">
        <v>45288.770833333299</v>
      </c>
      <c r="CC262" s="21">
        <v>45288.770833333299</v>
      </c>
      <c r="CD262" s="21">
        <v>45288.770833333299</v>
      </c>
      <c r="CE262" s="21">
        <v>45288.770833333299</v>
      </c>
      <c r="CF262" s="21">
        <v>45288.770833333299</v>
      </c>
      <c r="CG262" s="21">
        <v>45288.770833333299</v>
      </c>
      <c r="CH262" s="21">
        <v>45288.770833333299</v>
      </c>
      <c r="CI262" s="21">
        <v>45288.770833333299</v>
      </c>
      <c r="CJ262" s="21">
        <v>45288.770833333299</v>
      </c>
      <c r="CK262" s="22" t="s">
        <v>2959</v>
      </c>
      <c r="CL262" s="22" t="s">
        <v>2959</v>
      </c>
      <c r="CM262" s="22" t="s">
        <v>2959</v>
      </c>
      <c r="CN262" s="22" t="s">
        <v>2959</v>
      </c>
      <c r="CO262" s="22" t="s">
        <v>2959</v>
      </c>
      <c r="CP262" s="22" t="s">
        <v>2959</v>
      </c>
      <c r="CQ262" s="22" t="s">
        <v>2953</v>
      </c>
      <c r="CR262" s="22" t="s">
        <v>2959</v>
      </c>
      <c r="CS262" s="22" t="s">
        <v>2959</v>
      </c>
      <c r="CT262" s="22">
        <v>2</v>
      </c>
      <c r="CU262" s="21">
        <v>45468</v>
      </c>
      <c r="CV262" s="21">
        <v>45468</v>
      </c>
      <c r="CW262" s="21">
        <v>45468</v>
      </c>
      <c r="CX262" s="21">
        <v>45468</v>
      </c>
      <c r="CY262" s="21">
        <v>45468</v>
      </c>
      <c r="CZ262" s="21">
        <v>45558</v>
      </c>
      <c r="DA262" s="21">
        <v>45653</v>
      </c>
      <c r="DB262" s="21">
        <v>45468</v>
      </c>
      <c r="DC262" s="21">
        <v>45653</v>
      </c>
      <c r="DD262" s="8">
        <v>1</v>
      </c>
      <c r="DE262" s="8">
        <v>0</v>
      </c>
      <c r="DF262" s="8">
        <v>0</v>
      </c>
      <c r="DG262" s="8">
        <v>9</v>
      </c>
      <c r="DH262" s="8">
        <v>0</v>
      </c>
      <c r="DI262" s="8">
        <v>0</v>
      </c>
      <c r="DJ262" s="8" t="s">
        <v>3025</v>
      </c>
      <c r="DK262" s="21">
        <v>43977</v>
      </c>
      <c r="DL262" s="21">
        <v>43727.229166666664</v>
      </c>
      <c r="DM262" s="21">
        <v>45966</v>
      </c>
      <c r="DN262" s="18">
        <v>8785</v>
      </c>
      <c r="DO262" s="21">
        <v>0</v>
      </c>
      <c r="DP262" s="21">
        <v>0</v>
      </c>
      <c r="DQ262" s="21" t="s">
        <v>2955</v>
      </c>
      <c r="DR262" s="21">
        <v>45289</v>
      </c>
      <c r="DS262" s="21">
        <v>45289</v>
      </c>
      <c r="DT262" s="21">
        <v>45289</v>
      </c>
      <c r="DU262" s="21">
        <v>45289</v>
      </c>
      <c r="DV262" s="21">
        <v>45289</v>
      </c>
      <c r="DW262" s="21">
        <v>45289</v>
      </c>
      <c r="DX262" s="21">
        <v>45289</v>
      </c>
      <c r="DY262" s="21">
        <v>45289</v>
      </c>
      <c r="DZ262" s="21">
        <v>45289</v>
      </c>
      <c r="EA262" s="8">
        <v>500</v>
      </c>
      <c r="EB262" s="8">
        <v>500</v>
      </c>
      <c r="EC262" s="8">
        <v>500</v>
      </c>
      <c r="ED262" s="8">
        <v>500</v>
      </c>
      <c r="EE262" s="8">
        <v>500</v>
      </c>
      <c r="EF262" s="8">
        <v>500</v>
      </c>
      <c r="EG262" s="8">
        <v>1000</v>
      </c>
      <c r="EH262" s="8">
        <v>500</v>
      </c>
      <c r="EI262" s="8">
        <v>500</v>
      </c>
      <c r="EJ262" s="8">
        <v>2</v>
      </c>
      <c r="EK262" s="8" t="s">
        <v>2624</v>
      </c>
      <c r="EL262" s="8">
        <v>146</v>
      </c>
      <c r="EM262" s="8">
        <v>438</v>
      </c>
      <c r="EN262" s="8">
        <v>212</v>
      </c>
      <c r="EO262" s="8">
        <v>212</v>
      </c>
      <c r="EP262" s="8">
        <v>212</v>
      </c>
      <c r="EQ262" s="8">
        <v>212</v>
      </c>
      <c r="ER262" s="8">
        <v>212</v>
      </c>
      <c r="ES262" s="8">
        <v>212</v>
      </c>
      <c r="ET262" s="8">
        <v>712</v>
      </c>
      <c r="EU262" s="8">
        <v>212</v>
      </c>
      <c r="EV262" s="8">
        <v>212</v>
      </c>
    </row>
    <row r="263" spans="1:152" x14ac:dyDescent="0.15">
      <c r="A263" s="8">
        <f>ROW([2]!tbl_DPSAC[[#This Row],[Sl. No.]])-1</f>
        <v>262</v>
      </c>
      <c r="B263" s="9" t="s">
        <v>136</v>
      </c>
      <c r="C263" s="9" t="s">
        <v>1381</v>
      </c>
      <c r="D263" s="9" t="s">
        <v>198</v>
      </c>
      <c r="E263" s="9" t="s">
        <v>199</v>
      </c>
      <c r="F263" s="9" t="s">
        <v>161</v>
      </c>
      <c r="G263" s="10" t="s">
        <v>1382</v>
      </c>
      <c r="H263" s="10" t="str">
        <f>_xlfn.XLOOKUP(C263,'[1]E&amp;DPSAC'!$K:$K,'[1]E&amp;DPSAC'!$E:$E,,0)</f>
        <v>BARKAGAON, HAZARIBAGH</v>
      </c>
      <c r="I263" s="10" t="s">
        <v>1383</v>
      </c>
      <c r="J263" s="10">
        <v>9791616091</v>
      </c>
      <c r="K263" s="10">
        <f>_xlfn.XLOOKUP(C263,'[1]E&amp;DPSAC'!$K:$K,'[1]E&amp;DPSAC'!$G:$G,"",0)</f>
        <v>9791616091</v>
      </c>
      <c r="L263" s="9" t="str">
        <f t="shared" ca="1" si="16"/>
        <v>Non - Warranty</v>
      </c>
      <c r="M263" s="11">
        <v>43979.657638888886</v>
      </c>
      <c r="N263" s="12">
        <v>24</v>
      </c>
      <c r="O263" s="11">
        <f t="shared" si="17"/>
        <v>44712</v>
      </c>
      <c r="P263" s="8" t="s">
        <v>681</v>
      </c>
      <c r="Q263" s="16" t="s">
        <v>143</v>
      </c>
      <c r="R263" s="15" t="s">
        <v>143</v>
      </c>
      <c r="S263" s="14" t="s">
        <v>143</v>
      </c>
      <c r="T263" s="15">
        <v>43978</v>
      </c>
      <c r="U263" s="14">
        <v>1</v>
      </c>
      <c r="V263" s="14">
        <v>496</v>
      </c>
      <c r="W263" s="17">
        <v>45966.558333333334</v>
      </c>
      <c r="X263" s="14" t="s">
        <v>143</v>
      </c>
      <c r="Y263" s="14">
        <v>0</v>
      </c>
      <c r="Z263" s="14" t="s">
        <v>2692</v>
      </c>
      <c r="AA263" s="18">
        <v>2133.3423611111139</v>
      </c>
      <c r="AB263" s="18" t="s">
        <v>2697</v>
      </c>
      <c r="AC263" s="8">
        <f>tbl_DPSAC[[#This Row],[Current Month Due Count]]</f>
        <v>0</v>
      </c>
      <c r="AD263" s="8">
        <f>tbl_DPSAC[[#This Row],[Next Month Due2]]</f>
        <v>0</v>
      </c>
      <c r="AE263" s="8">
        <f t="shared" si="18"/>
        <v>1</v>
      </c>
      <c r="AF263" s="8">
        <v>0</v>
      </c>
      <c r="AG263" s="14">
        <f t="shared" ca="1" si="19"/>
        <v>496</v>
      </c>
      <c r="AH263" s="8">
        <v>0</v>
      </c>
      <c r="AI263" s="8">
        <v>0</v>
      </c>
      <c r="AJ263" s="8">
        <v>0</v>
      </c>
      <c r="AK263" s="8">
        <v>0</v>
      </c>
      <c r="AL263" s="8">
        <v>0</v>
      </c>
      <c r="AM263" s="8">
        <v>0</v>
      </c>
      <c r="AN263" s="8">
        <v>0</v>
      </c>
      <c r="AO263" s="8">
        <v>0</v>
      </c>
      <c r="AP263" s="8">
        <v>0</v>
      </c>
      <c r="AQ263" s="8">
        <v>0</v>
      </c>
      <c r="AR263" s="8">
        <v>0</v>
      </c>
      <c r="AS263" s="8">
        <v>0</v>
      </c>
      <c r="AT263" s="8">
        <v>0</v>
      </c>
      <c r="AU263" s="8">
        <v>0</v>
      </c>
      <c r="AV263" s="8">
        <v>0</v>
      </c>
      <c r="AW263" s="8">
        <v>0</v>
      </c>
      <c r="AX263" s="8" t="s">
        <v>2007</v>
      </c>
      <c r="AY263" s="14">
        <v>496</v>
      </c>
      <c r="AZ263" s="19">
        <v>44707.675474536998</v>
      </c>
      <c r="BA263" s="14" t="s">
        <v>1384</v>
      </c>
      <c r="BB263" s="14">
        <v>496</v>
      </c>
      <c r="BC263" s="19">
        <v>44707.675474536998</v>
      </c>
      <c r="BD263" s="14" t="s">
        <v>1384</v>
      </c>
      <c r="BE263" s="14">
        <v>496</v>
      </c>
      <c r="BF263" s="19">
        <v>44707.675474536998</v>
      </c>
      <c r="BG263" s="14" t="s">
        <v>1384</v>
      </c>
      <c r="BH263" s="14">
        <v>496</v>
      </c>
      <c r="BI263" s="19">
        <v>44707.675474536998</v>
      </c>
      <c r="BJ263" s="14" t="s">
        <v>1384</v>
      </c>
      <c r="BK263" s="14">
        <v>496</v>
      </c>
      <c r="BL263" s="19">
        <v>44707.675474536998</v>
      </c>
      <c r="BM263" s="14" t="s">
        <v>1384</v>
      </c>
      <c r="BN263" s="27">
        <v>44887.675474536998</v>
      </c>
      <c r="BO263" s="27">
        <v>44887.675474536998</v>
      </c>
      <c r="BP263" s="27">
        <v>44887.675474536998</v>
      </c>
      <c r="BQ263" s="27">
        <v>44887.675474536998</v>
      </c>
      <c r="BR263" s="27">
        <v>45072.675474536998</v>
      </c>
      <c r="BS263" s="28">
        <v>750</v>
      </c>
      <c r="BT263" s="29">
        <v>1500</v>
      </c>
      <c r="BU263" s="29">
        <v>750</v>
      </c>
      <c r="BV263" s="29">
        <v>750</v>
      </c>
      <c r="BW263" s="29">
        <v>1500</v>
      </c>
      <c r="BX263" s="30" t="s">
        <v>173</v>
      </c>
      <c r="BY263" s="8">
        <v>5</v>
      </c>
      <c r="BZ263" s="8">
        <v>0</v>
      </c>
      <c r="CA263" s="8">
        <v>0</v>
      </c>
      <c r="CB263" s="21">
        <v>0</v>
      </c>
      <c r="CC263" s="21">
        <v>0</v>
      </c>
      <c r="CD263" s="21">
        <v>0</v>
      </c>
      <c r="CE263" s="21">
        <v>0</v>
      </c>
      <c r="CF263" s="21">
        <v>0</v>
      </c>
      <c r="CG263" s="21">
        <v>0</v>
      </c>
      <c r="CH263" s="21">
        <v>0</v>
      </c>
      <c r="CI263" s="21">
        <v>0</v>
      </c>
      <c r="CJ263" s="21">
        <v>0</v>
      </c>
      <c r="CK263" s="22" t="s">
        <v>3083</v>
      </c>
      <c r="CL263" s="22" t="s">
        <v>3083</v>
      </c>
      <c r="CM263" s="22" t="s">
        <v>3083</v>
      </c>
      <c r="CN263" s="22" t="s">
        <v>3083</v>
      </c>
      <c r="CO263" s="22" t="s">
        <v>3083</v>
      </c>
      <c r="CP263" s="22" t="s">
        <v>3021</v>
      </c>
      <c r="CQ263" s="22" t="s">
        <v>2953</v>
      </c>
      <c r="CR263" s="22" t="s">
        <v>3021</v>
      </c>
      <c r="CS263" s="22" t="s">
        <v>3021</v>
      </c>
      <c r="CT263" s="22">
        <v>0</v>
      </c>
      <c r="CU263" s="21">
        <v>0</v>
      </c>
      <c r="CV263" s="21">
        <v>0</v>
      </c>
      <c r="CW263" s="21">
        <v>0</v>
      </c>
      <c r="CX263" s="21">
        <v>0</v>
      </c>
      <c r="CY263" s="21">
        <v>0</v>
      </c>
      <c r="CZ263" s="21">
        <v>0</v>
      </c>
      <c r="DA263" s="21">
        <v>0</v>
      </c>
      <c r="DB263" s="21">
        <v>0</v>
      </c>
      <c r="DC263" s="21">
        <v>0</v>
      </c>
      <c r="DD263" s="8">
        <v>0</v>
      </c>
      <c r="DE263" s="8">
        <v>0</v>
      </c>
      <c r="DF263" s="8">
        <v>0</v>
      </c>
      <c r="DG263" s="8">
        <v>9</v>
      </c>
      <c r="DH263" s="8">
        <v>0</v>
      </c>
      <c r="DI263" s="8">
        <v>0</v>
      </c>
      <c r="DJ263" s="8" t="s">
        <v>3025</v>
      </c>
      <c r="DK263" s="21">
        <v>43979</v>
      </c>
      <c r="DL263" s="21">
        <v>43732.229166666664</v>
      </c>
      <c r="DM263" s="21">
        <v>45966</v>
      </c>
      <c r="DN263" s="18">
        <v>496</v>
      </c>
      <c r="DO263" s="21">
        <v>0</v>
      </c>
      <c r="DP263" s="21">
        <v>0</v>
      </c>
      <c r="DQ263" s="21">
        <v>0</v>
      </c>
      <c r="DR263" s="21">
        <v>0</v>
      </c>
      <c r="DS263" s="21">
        <v>0</v>
      </c>
      <c r="DT263" s="21">
        <v>0</v>
      </c>
      <c r="DU263" s="21">
        <v>0</v>
      </c>
      <c r="DV263" s="21">
        <v>0</v>
      </c>
      <c r="DW263" s="21">
        <v>0</v>
      </c>
      <c r="DX263" s="21">
        <v>0</v>
      </c>
      <c r="DY263" s="21">
        <v>0</v>
      </c>
      <c r="DZ263" s="21">
        <v>0</v>
      </c>
      <c r="EA263" s="8">
        <v>100</v>
      </c>
      <c r="EB263" s="8">
        <v>100</v>
      </c>
      <c r="EC263" s="8">
        <v>100</v>
      </c>
      <c r="ED263" s="8">
        <v>100</v>
      </c>
      <c r="EE263" s="8">
        <v>100</v>
      </c>
      <c r="EF263" s="8">
        <v>1100</v>
      </c>
      <c r="EG263" s="8">
        <v>1000</v>
      </c>
      <c r="EH263" s="8">
        <v>1100</v>
      </c>
      <c r="EI263" s="8">
        <v>1100</v>
      </c>
      <c r="EJ263" s="8">
        <v>0</v>
      </c>
      <c r="EK263" s="8" t="s">
        <v>2624</v>
      </c>
      <c r="EL263" s="8">
        <v>146</v>
      </c>
      <c r="EM263" s="8">
        <v>0</v>
      </c>
      <c r="EN263" s="8">
        <v>-188</v>
      </c>
      <c r="EO263" s="8">
        <v>-188</v>
      </c>
      <c r="EP263" s="8">
        <v>-188</v>
      </c>
      <c r="EQ263" s="8">
        <v>-188</v>
      </c>
      <c r="ER263" s="8">
        <v>-188</v>
      </c>
      <c r="ES263" s="8">
        <v>812</v>
      </c>
      <c r="ET263" s="8">
        <v>712</v>
      </c>
      <c r="EU263" s="8">
        <v>812</v>
      </c>
      <c r="EV263" s="8">
        <v>812</v>
      </c>
    </row>
    <row r="264" spans="1:152" x14ac:dyDescent="0.15">
      <c r="A264" s="8">
        <f>ROW([2]!tbl_DPSAC[[#This Row],[Sl. No.]])-1</f>
        <v>263</v>
      </c>
      <c r="B264" s="9" t="s">
        <v>136</v>
      </c>
      <c r="C264" s="9" t="s">
        <v>1385</v>
      </c>
      <c r="D264" s="9" t="s">
        <v>198</v>
      </c>
      <c r="E264" s="9" t="s">
        <v>199</v>
      </c>
      <c r="F264" s="9" t="s">
        <v>161</v>
      </c>
      <c r="G264" s="10" t="s">
        <v>1382</v>
      </c>
      <c r="H264" s="10" t="str">
        <f>_xlfn.XLOOKUP(C264,'[1]E&amp;DPSAC'!$K:$K,'[1]E&amp;DPSAC'!$E:$E,,0)</f>
        <v>BARKAGAON, HAZARIBAGH</v>
      </c>
      <c r="I264" s="10" t="s">
        <v>1383</v>
      </c>
      <c r="J264" s="10">
        <v>9791616091</v>
      </c>
      <c r="K264" s="10">
        <f>_xlfn.XLOOKUP(C264,'[1]E&amp;DPSAC'!$K:$K,'[1]E&amp;DPSAC'!$G:$G,"",0)</f>
        <v>9791616091</v>
      </c>
      <c r="L264" s="9" t="str">
        <f t="shared" ca="1" si="16"/>
        <v>Non - Warranty</v>
      </c>
      <c r="M264" s="11">
        <v>43979.625</v>
      </c>
      <c r="N264" s="12">
        <v>24</v>
      </c>
      <c r="O264" s="11">
        <f t="shared" si="17"/>
        <v>44712</v>
      </c>
      <c r="P264" s="8" t="s">
        <v>681</v>
      </c>
      <c r="Q264" s="16" t="s">
        <v>143</v>
      </c>
      <c r="R264" s="15" t="s">
        <v>143</v>
      </c>
      <c r="S264" s="14" t="s">
        <v>143</v>
      </c>
      <c r="T264" s="15">
        <v>43978</v>
      </c>
      <c r="U264" s="14">
        <v>1</v>
      </c>
      <c r="V264" s="14">
        <v>496</v>
      </c>
      <c r="W264" s="17">
        <v>45966.561111111114</v>
      </c>
      <c r="X264" s="14" t="s">
        <v>143</v>
      </c>
      <c r="Y264" s="14">
        <v>0</v>
      </c>
      <c r="Z264" s="14" t="s">
        <v>2692</v>
      </c>
      <c r="AA264" s="18">
        <v>2133.375</v>
      </c>
      <c r="AB264" s="18" t="s">
        <v>2697</v>
      </c>
      <c r="AC264" s="8">
        <f>tbl_DPSAC[[#This Row],[Current Month Due Count]]</f>
        <v>0</v>
      </c>
      <c r="AD264" s="8">
        <f>tbl_DPSAC[[#This Row],[Next Month Due2]]</f>
        <v>0</v>
      </c>
      <c r="AE264" s="8">
        <f t="shared" si="18"/>
        <v>1</v>
      </c>
      <c r="AF264" s="8">
        <v>0</v>
      </c>
      <c r="AG264" s="14">
        <f t="shared" ca="1" si="19"/>
        <v>496</v>
      </c>
      <c r="AH264" s="8">
        <v>0</v>
      </c>
      <c r="AI264" s="8">
        <v>0</v>
      </c>
      <c r="AJ264" s="8">
        <v>0</v>
      </c>
      <c r="AK264" s="8">
        <v>0</v>
      </c>
      <c r="AL264" s="8">
        <v>0</v>
      </c>
      <c r="AM264" s="8">
        <v>0</v>
      </c>
      <c r="AN264" s="8">
        <v>0</v>
      </c>
      <c r="AO264" s="8">
        <v>0</v>
      </c>
      <c r="AP264" s="8">
        <v>0</v>
      </c>
      <c r="AQ264" s="8">
        <v>0</v>
      </c>
      <c r="AR264" s="8">
        <v>0</v>
      </c>
      <c r="AS264" s="8">
        <v>0</v>
      </c>
      <c r="AT264" s="8">
        <v>0</v>
      </c>
      <c r="AU264" s="8">
        <v>0</v>
      </c>
      <c r="AV264" s="8">
        <v>0</v>
      </c>
      <c r="AW264" s="8">
        <v>0</v>
      </c>
      <c r="AX264" s="8" t="s">
        <v>2007</v>
      </c>
      <c r="AY264" s="14">
        <v>486</v>
      </c>
      <c r="AZ264" s="19">
        <v>44707</v>
      </c>
      <c r="BA264" s="14" t="s">
        <v>1386</v>
      </c>
      <c r="BB264" s="14">
        <v>486</v>
      </c>
      <c r="BC264" s="19">
        <v>44707</v>
      </c>
      <c r="BD264" s="14" t="s">
        <v>1386</v>
      </c>
      <c r="BE264" s="14">
        <v>486</v>
      </c>
      <c r="BF264" s="19">
        <v>44707</v>
      </c>
      <c r="BG264" s="14" t="s">
        <v>1386</v>
      </c>
      <c r="BH264" s="14">
        <v>486</v>
      </c>
      <c r="BI264" s="19">
        <v>44707</v>
      </c>
      <c r="BJ264" s="14" t="s">
        <v>1386</v>
      </c>
      <c r="BK264" s="14">
        <v>486</v>
      </c>
      <c r="BL264" s="19">
        <v>44707</v>
      </c>
      <c r="BM264" s="14" t="s">
        <v>1386</v>
      </c>
      <c r="BN264" s="27">
        <v>44887</v>
      </c>
      <c r="BO264" s="27">
        <v>44887</v>
      </c>
      <c r="BP264" s="27">
        <v>44887</v>
      </c>
      <c r="BQ264" s="27">
        <v>44887</v>
      </c>
      <c r="BR264" s="27">
        <v>45072</v>
      </c>
      <c r="BS264" s="28">
        <v>740</v>
      </c>
      <c r="BT264" s="29">
        <v>1490</v>
      </c>
      <c r="BU264" s="29">
        <v>740</v>
      </c>
      <c r="BV264" s="29">
        <v>740</v>
      </c>
      <c r="BW264" s="29">
        <v>1490</v>
      </c>
      <c r="BX264" s="30" t="s">
        <v>173</v>
      </c>
      <c r="BY264" s="8">
        <v>5</v>
      </c>
      <c r="BZ264" s="8">
        <v>0</v>
      </c>
      <c r="CA264" s="8">
        <v>0</v>
      </c>
      <c r="CB264" s="21">
        <v>0</v>
      </c>
      <c r="CC264" s="21">
        <v>0</v>
      </c>
      <c r="CD264" s="21">
        <v>0</v>
      </c>
      <c r="CE264" s="21">
        <v>0</v>
      </c>
      <c r="CF264" s="21">
        <v>0</v>
      </c>
      <c r="CG264" s="21">
        <v>0</v>
      </c>
      <c r="CH264" s="21">
        <v>0</v>
      </c>
      <c r="CI264" s="21">
        <v>0</v>
      </c>
      <c r="CJ264" s="21">
        <v>0</v>
      </c>
      <c r="CK264" s="22" t="s">
        <v>3083</v>
      </c>
      <c r="CL264" s="22" t="s">
        <v>3083</v>
      </c>
      <c r="CM264" s="22" t="s">
        <v>3083</v>
      </c>
      <c r="CN264" s="22" t="s">
        <v>3083</v>
      </c>
      <c r="CO264" s="22" t="s">
        <v>3083</v>
      </c>
      <c r="CP264" s="22" t="s">
        <v>3021</v>
      </c>
      <c r="CQ264" s="22" t="s">
        <v>3083</v>
      </c>
      <c r="CR264" s="22" t="s">
        <v>3021</v>
      </c>
      <c r="CS264" s="22" t="s">
        <v>3021</v>
      </c>
      <c r="CT264" s="22">
        <v>0</v>
      </c>
      <c r="CU264" s="21">
        <v>0</v>
      </c>
      <c r="CV264" s="21">
        <v>0</v>
      </c>
      <c r="CW264" s="21">
        <v>0</v>
      </c>
      <c r="CX264" s="21">
        <v>0</v>
      </c>
      <c r="CY264" s="21">
        <v>0</v>
      </c>
      <c r="CZ264" s="21">
        <v>0</v>
      </c>
      <c r="DA264" s="21">
        <v>0</v>
      </c>
      <c r="DB264" s="21">
        <v>0</v>
      </c>
      <c r="DC264" s="21">
        <v>0</v>
      </c>
      <c r="DD264" s="8">
        <v>0</v>
      </c>
      <c r="DE264" s="8">
        <v>0</v>
      </c>
      <c r="DF264" s="8">
        <v>0</v>
      </c>
      <c r="DG264" s="8">
        <v>9</v>
      </c>
      <c r="DH264" s="8">
        <v>0</v>
      </c>
      <c r="DI264" s="8">
        <v>0</v>
      </c>
      <c r="DJ264" s="8" t="s">
        <v>3025</v>
      </c>
      <c r="DK264" s="21">
        <v>43979</v>
      </c>
      <c r="DL264" s="21">
        <v>43732.229166666664</v>
      </c>
      <c r="DM264" s="21">
        <v>45966</v>
      </c>
      <c r="DN264" s="18">
        <v>496</v>
      </c>
      <c r="DO264" s="21">
        <v>0</v>
      </c>
      <c r="DP264" s="21">
        <v>0</v>
      </c>
      <c r="DQ264" s="21">
        <v>0</v>
      </c>
      <c r="DR264" s="21">
        <v>0</v>
      </c>
      <c r="DS264" s="21">
        <v>0</v>
      </c>
      <c r="DT264" s="21">
        <v>0</v>
      </c>
      <c r="DU264" s="21">
        <v>0</v>
      </c>
      <c r="DV264" s="21">
        <v>0</v>
      </c>
      <c r="DW264" s="21">
        <v>0</v>
      </c>
      <c r="DX264" s="21">
        <v>0</v>
      </c>
      <c r="DY264" s="21">
        <v>0</v>
      </c>
      <c r="DZ264" s="21">
        <v>0</v>
      </c>
      <c r="EA264" s="8">
        <v>100</v>
      </c>
      <c r="EB264" s="8">
        <v>100</v>
      </c>
      <c r="EC264" s="8">
        <v>100</v>
      </c>
      <c r="ED264" s="8">
        <v>100</v>
      </c>
      <c r="EE264" s="8">
        <v>100</v>
      </c>
      <c r="EF264" s="8">
        <v>1100</v>
      </c>
      <c r="EG264" s="8">
        <v>100</v>
      </c>
      <c r="EH264" s="8">
        <v>1100</v>
      </c>
      <c r="EI264" s="8">
        <v>1100</v>
      </c>
      <c r="EJ264" s="8">
        <v>0</v>
      </c>
      <c r="EK264" s="8" t="s">
        <v>2624</v>
      </c>
      <c r="EL264" s="8">
        <v>146</v>
      </c>
      <c r="EM264" s="8">
        <v>0</v>
      </c>
      <c r="EN264" s="8">
        <v>-188</v>
      </c>
      <c r="EO264" s="8">
        <v>-188</v>
      </c>
      <c r="EP264" s="8">
        <v>-188</v>
      </c>
      <c r="EQ264" s="8">
        <v>-188</v>
      </c>
      <c r="ER264" s="8">
        <v>-188</v>
      </c>
      <c r="ES264" s="8">
        <v>812</v>
      </c>
      <c r="ET264" s="8">
        <v>-188</v>
      </c>
      <c r="EU264" s="8">
        <v>812</v>
      </c>
      <c r="EV264" s="8">
        <v>812</v>
      </c>
    </row>
    <row r="265" spans="1:152" x14ac:dyDescent="0.15">
      <c r="A265" s="8">
        <f>ROW([2]!tbl_DPSAC[[#This Row],[Sl. No.]])-1</f>
        <v>264</v>
      </c>
      <c r="B265" s="9" t="s">
        <v>196</v>
      </c>
      <c r="C265" s="9" t="s">
        <v>1387</v>
      </c>
      <c r="D265" s="9" t="s">
        <v>198</v>
      </c>
      <c r="E265" s="9" t="s">
        <v>199</v>
      </c>
      <c r="F265" s="9" t="s">
        <v>161</v>
      </c>
      <c r="G265" s="10" t="s">
        <v>1388</v>
      </c>
      <c r="H265" s="10" t="e">
        <f>_xlfn.XLOOKUP(C265,'[1]E&amp;DPSAC'!$K:$K,'[1]E&amp;DPSAC'!$E:$E,,0)</f>
        <v>#N/A</v>
      </c>
      <c r="I265" s="10" t="s">
        <v>1389</v>
      </c>
      <c r="J265" s="10" t="s">
        <v>143</v>
      </c>
      <c r="K265" s="10" t="str">
        <f>_xlfn.XLOOKUP(C265,'[1]E&amp;DPSAC'!$K:$K,'[1]E&amp;DPSAC'!$G:$G,"",0)</f>
        <v/>
      </c>
      <c r="L265" s="9" t="str">
        <f t="shared" ca="1" si="16"/>
        <v>Non - Warranty</v>
      </c>
      <c r="M265" s="11">
        <v>43975.663194444445</v>
      </c>
      <c r="N265" s="12">
        <v>24</v>
      </c>
      <c r="O265" s="11">
        <f t="shared" si="17"/>
        <v>44712</v>
      </c>
      <c r="P265" s="8" t="s">
        <v>681</v>
      </c>
      <c r="Q265" s="16" t="s">
        <v>143</v>
      </c>
      <c r="R265" s="15" t="s">
        <v>143</v>
      </c>
      <c r="S265" s="14" t="s">
        <v>143</v>
      </c>
      <c r="T265" s="15" t="s">
        <v>143</v>
      </c>
      <c r="U265" s="14" t="s">
        <v>143</v>
      </c>
      <c r="V265" s="14">
        <v>2170</v>
      </c>
      <c r="W265" s="17">
        <v>45940.727777777778</v>
      </c>
      <c r="X265" s="14" t="s">
        <v>143</v>
      </c>
      <c r="Y265" s="14">
        <v>0</v>
      </c>
      <c r="Z265" s="14" t="s">
        <v>2692</v>
      </c>
      <c r="AA265" s="18">
        <v>2137.3368055555547</v>
      </c>
      <c r="AB265" s="18" t="s">
        <v>2697</v>
      </c>
      <c r="AC265" s="8">
        <f>tbl_DPSAC[[#This Row],[Current Month Due Count]]</f>
        <v>0</v>
      </c>
      <c r="AD265" s="8">
        <f>tbl_DPSAC[[#This Row],[Next Month Due2]]</f>
        <v>0</v>
      </c>
      <c r="AE265" s="8">
        <f t="shared" si="18"/>
        <v>1</v>
      </c>
      <c r="AF265" s="8">
        <v>5</v>
      </c>
      <c r="AG265" s="14">
        <f t="shared" ca="1" si="19"/>
        <v>3031</v>
      </c>
      <c r="AH265" s="8">
        <v>0</v>
      </c>
      <c r="AI265" s="8">
        <v>0</v>
      </c>
      <c r="AJ265" s="8">
        <v>0</v>
      </c>
      <c r="AK265" s="8">
        <v>0</v>
      </c>
      <c r="AL265" s="8">
        <v>0</v>
      </c>
      <c r="AM265" s="8">
        <v>0</v>
      </c>
      <c r="AN265" s="8">
        <v>0</v>
      </c>
      <c r="AO265" s="8">
        <v>0</v>
      </c>
      <c r="AP265" s="8">
        <v>0</v>
      </c>
      <c r="AQ265" s="8">
        <v>0</v>
      </c>
      <c r="AR265" s="8">
        <v>0</v>
      </c>
      <c r="AS265" s="8">
        <v>0</v>
      </c>
      <c r="AT265" s="8">
        <v>0</v>
      </c>
      <c r="AU265" s="8">
        <v>0</v>
      </c>
      <c r="AV265" s="8">
        <v>0</v>
      </c>
      <c r="AW265" s="8">
        <v>0</v>
      </c>
      <c r="AX265" s="8" t="s">
        <v>2961</v>
      </c>
      <c r="AY265" s="14">
        <v>800</v>
      </c>
      <c r="AZ265" s="19">
        <v>44707.687199074098</v>
      </c>
      <c r="BA265" s="14" t="s">
        <v>1390</v>
      </c>
      <c r="BB265" s="14">
        <v>800</v>
      </c>
      <c r="BC265" s="19">
        <v>44707.687199074098</v>
      </c>
      <c r="BD265" s="14" t="s">
        <v>1390</v>
      </c>
      <c r="BE265" s="14">
        <v>800</v>
      </c>
      <c r="BF265" s="19">
        <v>44707.687199074098</v>
      </c>
      <c r="BG265" s="14" t="s">
        <v>1390</v>
      </c>
      <c r="BH265" s="14">
        <v>800</v>
      </c>
      <c r="BI265" s="19">
        <v>44707.687199074098</v>
      </c>
      <c r="BJ265" s="14" t="s">
        <v>1390</v>
      </c>
      <c r="BK265" s="14">
        <v>800</v>
      </c>
      <c r="BL265" s="19">
        <v>44707.687199074098</v>
      </c>
      <c r="BM265" s="14" t="s">
        <v>1390</v>
      </c>
      <c r="BN265" s="27">
        <v>44887.687199074098</v>
      </c>
      <c r="BO265" s="27">
        <v>44887.687199074098</v>
      </c>
      <c r="BP265" s="27">
        <v>44887.687199074098</v>
      </c>
      <c r="BQ265" s="27">
        <v>44887.687199074098</v>
      </c>
      <c r="BR265" s="27">
        <v>45072.687199074098</v>
      </c>
      <c r="BS265" s="28">
        <v>-1481</v>
      </c>
      <c r="BT265" s="29">
        <v>-731</v>
      </c>
      <c r="BU265" s="29">
        <v>-1481</v>
      </c>
      <c r="BV265" s="29">
        <v>-1481</v>
      </c>
      <c r="BW265" s="29">
        <v>-731</v>
      </c>
      <c r="BX265" s="30" t="s">
        <v>173</v>
      </c>
      <c r="BY265" s="8">
        <v>5</v>
      </c>
      <c r="BZ265" s="8">
        <v>0</v>
      </c>
      <c r="CA265" s="8">
        <v>0</v>
      </c>
      <c r="CB265" s="21">
        <v>0</v>
      </c>
      <c r="CC265" s="21">
        <v>0</v>
      </c>
      <c r="CD265" s="21">
        <v>0</v>
      </c>
      <c r="CE265" s="21">
        <v>0</v>
      </c>
      <c r="CF265" s="21">
        <v>0</v>
      </c>
      <c r="CG265" s="21">
        <v>0</v>
      </c>
      <c r="CH265" s="21">
        <v>0</v>
      </c>
      <c r="CI265" s="21">
        <v>0</v>
      </c>
      <c r="CJ265" s="21">
        <v>0</v>
      </c>
      <c r="CK265" s="22" t="s">
        <v>3111</v>
      </c>
      <c r="CL265" s="22" t="s">
        <v>3111</v>
      </c>
      <c r="CM265" s="22" t="s">
        <v>3111</v>
      </c>
      <c r="CN265" s="22" t="s">
        <v>3111</v>
      </c>
      <c r="CO265" s="22" t="s">
        <v>3111</v>
      </c>
      <c r="CP265" s="22" t="s">
        <v>3070</v>
      </c>
      <c r="CQ265" s="22" t="s">
        <v>2953</v>
      </c>
      <c r="CR265" s="22" t="s">
        <v>3070</v>
      </c>
      <c r="CS265" s="22" t="s">
        <v>3070</v>
      </c>
      <c r="CT265" s="22">
        <v>4</v>
      </c>
      <c r="CU265" s="21">
        <v>45972</v>
      </c>
      <c r="CV265" s="21">
        <v>45972</v>
      </c>
      <c r="CW265" s="21">
        <v>45972</v>
      </c>
      <c r="CX265" s="21">
        <v>45972</v>
      </c>
      <c r="CY265" s="21">
        <v>45972</v>
      </c>
      <c r="CZ265" s="21">
        <v>46097</v>
      </c>
      <c r="DA265" s="21">
        <v>46033</v>
      </c>
      <c r="DB265" s="21">
        <v>46041</v>
      </c>
      <c r="DC265" s="21">
        <v>46090</v>
      </c>
      <c r="DD265" s="8">
        <v>1</v>
      </c>
      <c r="DE265" s="8">
        <v>0</v>
      </c>
      <c r="DF265" s="8">
        <v>1</v>
      </c>
      <c r="DG265" s="8">
        <v>9</v>
      </c>
      <c r="DH265" s="8">
        <v>0</v>
      </c>
      <c r="DI265" s="8">
        <v>0</v>
      </c>
      <c r="DJ265" s="8" t="s">
        <v>3025</v>
      </c>
      <c r="DK265" s="21">
        <v>43975</v>
      </c>
      <c r="DL265" s="21">
        <v>43735.229166666664</v>
      </c>
      <c r="DM265" s="21">
        <v>45940</v>
      </c>
      <c r="DN265" s="18">
        <v>2170</v>
      </c>
      <c r="DO265" s="21">
        <v>0</v>
      </c>
      <c r="DP265" s="21">
        <v>0</v>
      </c>
      <c r="DQ265" s="21">
        <v>0</v>
      </c>
      <c r="DR265" s="21">
        <v>0</v>
      </c>
      <c r="DS265" s="21">
        <v>0</v>
      </c>
      <c r="DT265" s="21">
        <v>0</v>
      </c>
      <c r="DU265" s="21">
        <v>0</v>
      </c>
      <c r="DV265" s="21">
        <v>0</v>
      </c>
      <c r="DW265" s="21">
        <v>0</v>
      </c>
      <c r="DX265" s="21">
        <v>0</v>
      </c>
      <c r="DY265" s="21">
        <v>0</v>
      </c>
      <c r="DZ265" s="21">
        <v>0</v>
      </c>
      <c r="EA265" s="8">
        <v>130</v>
      </c>
      <c r="EB265" s="8">
        <v>130</v>
      </c>
      <c r="EC265" s="8">
        <v>130</v>
      </c>
      <c r="ED265" s="8">
        <v>130</v>
      </c>
      <c r="EE265" s="8">
        <v>130</v>
      </c>
      <c r="EF265" s="8">
        <v>630</v>
      </c>
      <c r="EG265" s="8">
        <v>1000</v>
      </c>
      <c r="EH265" s="8">
        <v>630</v>
      </c>
      <c r="EI265" s="8">
        <v>630</v>
      </c>
      <c r="EJ265" s="8">
        <v>4</v>
      </c>
      <c r="EK265" s="8" t="s">
        <v>2624</v>
      </c>
      <c r="EL265" s="8">
        <v>172</v>
      </c>
      <c r="EM265" s="8">
        <v>860</v>
      </c>
      <c r="EN265" s="8">
        <v>-158</v>
      </c>
      <c r="EO265" s="8">
        <v>-158</v>
      </c>
      <c r="EP265" s="8">
        <v>-158</v>
      </c>
      <c r="EQ265" s="8">
        <v>-158</v>
      </c>
      <c r="ER265" s="8">
        <v>-158</v>
      </c>
      <c r="ES265" s="8">
        <v>342</v>
      </c>
      <c r="ET265" s="8">
        <v>712</v>
      </c>
      <c r="EU265" s="8">
        <v>342</v>
      </c>
      <c r="EV265" s="8">
        <v>342</v>
      </c>
    </row>
    <row r="266" spans="1:152" x14ac:dyDescent="0.15">
      <c r="A266" s="8">
        <f>ROW([2]!tbl_DPSAC[[#This Row],[Sl. No.]])-1</f>
        <v>265</v>
      </c>
      <c r="B266" s="9" t="s">
        <v>136</v>
      </c>
      <c r="C266" s="9" t="s">
        <v>1391</v>
      </c>
      <c r="D266" s="9" t="s">
        <v>1392</v>
      </c>
      <c r="E266" s="9" t="s">
        <v>147</v>
      </c>
      <c r="F266" s="9" t="s">
        <v>140</v>
      </c>
      <c r="G266" s="10" t="s">
        <v>1393</v>
      </c>
      <c r="H266" s="10" t="str">
        <f>_xlfn.XLOOKUP(C266,'[1]E&amp;DPSAC'!$K:$K,'[1]E&amp;DPSAC'!$E:$E,,0)</f>
        <v>DALADALI, RANCHUI</v>
      </c>
      <c r="I266" s="10"/>
      <c r="J266" s="10">
        <v>7992413342</v>
      </c>
      <c r="K266" s="10">
        <f>_xlfn.XLOOKUP(C266,'[1]E&amp;DPSAC'!$K:$K,'[1]E&amp;DPSAC'!$G:$G,"",0)</f>
        <v>7992413342</v>
      </c>
      <c r="L266" s="9" t="str">
        <f t="shared" ca="1" si="16"/>
        <v>Non - Warranty</v>
      </c>
      <c r="M266" s="11">
        <v>41312</v>
      </c>
      <c r="N266" s="12">
        <v>36</v>
      </c>
      <c r="O266" s="11">
        <f t="shared" si="17"/>
        <v>42429</v>
      </c>
      <c r="P266" s="8" t="s">
        <v>715</v>
      </c>
      <c r="Q266" s="16" t="s">
        <v>1394</v>
      </c>
      <c r="R266" s="15">
        <v>45289.466273148202</v>
      </c>
      <c r="S266" s="14">
        <v>25820</v>
      </c>
      <c r="T266" s="15">
        <v>45289</v>
      </c>
      <c r="U266" s="14">
        <v>25820</v>
      </c>
      <c r="V266" s="14">
        <v>27140</v>
      </c>
      <c r="W266" s="17">
        <v>45966.563194444447</v>
      </c>
      <c r="X266" s="14" t="s">
        <v>2778</v>
      </c>
      <c r="Y266" s="14">
        <v>-570</v>
      </c>
      <c r="Z266" s="14" t="s">
        <v>2697</v>
      </c>
      <c r="AA266" s="18">
        <v>823.53372685179784</v>
      </c>
      <c r="AB266" s="18" t="s">
        <v>2697</v>
      </c>
      <c r="AC266" s="8">
        <f>tbl_DPSAC[[#This Row],[Current Month Due Count]]</f>
        <v>0</v>
      </c>
      <c r="AD266" s="8">
        <f>tbl_DPSAC[[#This Row],[Next Month Due2]]</f>
        <v>0</v>
      </c>
      <c r="AE266" s="8">
        <f t="shared" si="18"/>
        <v>1</v>
      </c>
      <c r="AF266" s="8">
        <v>2</v>
      </c>
      <c r="AG266" s="14">
        <f t="shared" ca="1" si="19"/>
        <v>27433</v>
      </c>
      <c r="AH266" s="8">
        <v>0</v>
      </c>
      <c r="AI266" s="8">
        <v>0</v>
      </c>
      <c r="AJ266" s="8">
        <v>0</v>
      </c>
      <c r="AK266" s="8">
        <v>0</v>
      </c>
      <c r="AL266" s="8">
        <v>0</v>
      </c>
      <c r="AM266" s="8">
        <v>0</v>
      </c>
      <c r="AN266" s="8">
        <v>0</v>
      </c>
      <c r="AO266" s="8">
        <v>0</v>
      </c>
      <c r="AP266" s="8">
        <v>0</v>
      </c>
      <c r="AQ266" s="8">
        <v>0</v>
      </c>
      <c r="AR266" s="8">
        <v>0</v>
      </c>
      <c r="AS266" s="8">
        <v>0</v>
      </c>
      <c r="AT266" s="8">
        <v>0</v>
      </c>
      <c r="AU266" s="8">
        <v>0</v>
      </c>
      <c r="AV266" s="8">
        <v>0</v>
      </c>
      <c r="AW266" s="8">
        <v>0</v>
      </c>
      <c r="AX266" s="8" t="s">
        <v>2977</v>
      </c>
      <c r="AY266" s="14">
        <v>25820</v>
      </c>
      <c r="AZ266" s="19">
        <v>45289</v>
      </c>
      <c r="BA266" s="14" t="s">
        <v>1394</v>
      </c>
      <c r="BB266" s="14">
        <v>24055</v>
      </c>
      <c r="BC266" s="19">
        <v>44680</v>
      </c>
      <c r="BD266" s="14" t="s">
        <v>1395</v>
      </c>
      <c r="BE266" s="14">
        <v>25820</v>
      </c>
      <c r="BF266" s="19">
        <v>45289</v>
      </c>
      <c r="BG266" s="14" t="s">
        <v>1394</v>
      </c>
      <c r="BH266" s="14"/>
      <c r="BI266" s="19"/>
      <c r="BJ266" s="14"/>
      <c r="BK266" s="14">
        <v>24055</v>
      </c>
      <c r="BL266" s="19">
        <v>44680</v>
      </c>
      <c r="BM266" s="14" t="s">
        <v>1395</v>
      </c>
      <c r="BN266" s="27">
        <v>45469</v>
      </c>
      <c r="BO266" s="27">
        <v>44860</v>
      </c>
      <c r="BP266" s="27">
        <v>45469</v>
      </c>
      <c r="BQ266" s="27" t="s">
        <v>143</v>
      </c>
      <c r="BR266" s="27">
        <v>45045</v>
      </c>
      <c r="BS266" s="28">
        <v>-863</v>
      </c>
      <c r="BT266" s="29">
        <v>-1878</v>
      </c>
      <c r="BU266" s="29">
        <v>-863</v>
      </c>
      <c r="BV266" s="29" t="s">
        <v>143</v>
      </c>
      <c r="BW266" s="29">
        <v>-1878</v>
      </c>
      <c r="BX266" s="30" t="s">
        <v>152</v>
      </c>
      <c r="BY266" s="8">
        <v>4</v>
      </c>
      <c r="BZ266" s="8">
        <v>0</v>
      </c>
      <c r="CA266" s="8">
        <v>0</v>
      </c>
      <c r="CB266" s="21" t="s">
        <v>143</v>
      </c>
      <c r="CC266" s="21" t="s">
        <v>143</v>
      </c>
      <c r="CD266" s="21" t="s">
        <v>143</v>
      </c>
      <c r="CE266" s="21" t="s">
        <v>143</v>
      </c>
      <c r="CF266" s="21" t="s">
        <v>143</v>
      </c>
      <c r="CG266" s="21" t="s">
        <v>143</v>
      </c>
      <c r="CH266" s="21" t="s">
        <v>143</v>
      </c>
      <c r="CI266" s="21" t="s">
        <v>143</v>
      </c>
      <c r="CJ266" s="21" t="s">
        <v>143</v>
      </c>
      <c r="CK266" s="22" t="s">
        <v>143</v>
      </c>
      <c r="CL266" s="22" t="s">
        <v>143</v>
      </c>
      <c r="CM266" s="22" t="s">
        <v>143</v>
      </c>
      <c r="CN266" s="22" t="s">
        <v>143</v>
      </c>
      <c r="CO266" s="22" t="s">
        <v>143</v>
      </c>
      <c r="CP266" s="22" t="s">
        <v>143</v>
      </c>
      <c r="CQ266" s="22" t="s">
        <v>143</v>
      </c>
      <c r="CR266" s="22" t="s">
        <v>143</v>
      </c>
      <c r="CS266" s="22" t="s">
        <v>143</v>
      </c>
      <c r="CT266" s="22" t="s">
        <v>143</v>
      </c>
      <c r="CU266" s="21" t="s">
        <v>143</v>
      </c>
      <c r="CV266" s="21" t="s">
        <v>143</v>
      </c>
      <c r="CW266" s="21" t="s">
        <v>143</v>
      </c>
      <c r="CX266" s="21" t="s">
        <v>143</v>
      </c>
      <c r="CY266" s="21" t="s">
        <v>143</v>
      </c>
      <c r="CZ266" s="21" t="s">
        <v>143</v>
      </c>
      <c r="DA266" s="21" t="s">
        <v>143</v>
      </c>
      <c r="DB266" s="21" t="s">
        <v>143</v>
      </c>
      <c r="DC266" s="21" t="s">
        <v>143</v>
      </c>
      <c r="DD266" s="8" t="s">
        <v>143</v>
      </c>
      <c r="DE266" s="8" t="s">
        <v>143</v>
      </c>
      <c r="DF266" s="8" t="s">
        <v>143</v>
      </c>
      <c r="DG266" s="8">
        <v>0</v>
      </c>
      <c r="DH266" s="8">
        <v>0</v>
      </c>
      <c r="DI266" s="8">
        <v>0</v>
      </c>
      <c r="DJ266" s="8" t="s">
        <v>3032</v>
      </c>
      <c r="DK266" s="21">
        <v>41312</v>
      </c>
      <c r="DL266" s="21">
        <v>41299</v>
      </c>
      <c r="DM266" s="21">
        <v>45966</v>
      </c>
      <c r="DN266" s="18">
        <v>27140</v>
      </c>
      <c r="DO266" s="21">
        <v>0</v>
      </c>
      <c r="DP266" s="21">
        <v>0</v>
      </c>
      <c r="DQ266" s="21" t="s">
        <v>2955</v>
      </c>
      <c r="DR266" s="21">
        <v>45289</v>
      </c>
      <c r="DS266" s="21">
        <v>45289</v>
      </c>
      <c r="DT266" s="21">
        <v>44965</v>
      </c>
      <c r="DU266" s="21">
        <v>45289</v>
      </c>
      <c r="DV266" s="21">
        <v>45289</v>
      </c>
      <c r="DW266" s="21">
        <v>45090</v>
      </c>
      <c r="DX266" s="21">
        <v>0</v>
      </c>
      <c r="DY266" s="21">
        <v>45090</v>
      </c>
      <c r="DZ266" s="21">
        <v>0</v>
      </c>
      <c r="EA266" s="8">
        <v>230</v>
      </c>
      <c r="EB266" s="8">
        <v>230</v>
      </c>
      <c r="EC266" s="8">
        <v>230</v>
      </c>
      <c r="ED266" s="8">
        <v>230</v>
      </c>
      <c r="EE266" s="8">
        <v>230</v>
      </c>
      <c r="EF266" s="8">
        <v>230</v>
      </c>
      <c r="EG266" s="8">
        <v>1000</v>
      </c>
      <c r="EH266" s="8">
        <v>230</v>
      </c>
      <c r="EI266" s="8">
        <v>230</v>
      </c>
      <c r="EJ266" s="8">
        <v>2</v>
      </c>
      <c r="EK266" s="8" t="s">
        <v>715</v>
      </c>
      <c r="EL266" s="8">
        <v>146</v>
      </c>
      <c r="EM266" s="8">
        <v>292</v>
      </c>
      <c r="EN266" s="8">
        <v>-58</v>
      </c>
      <c r="EO266" s="8">
        <v>-58</v>
      </c>
      <c r="EP266" s="8">
        <v>-58</v>
      </c>
      <c r="EQ266" s="8">
        <v>-58</v>
      </c>
      <c r="ER266" s="8">
        <v>-58</v>
      </c>
      <c r="ES266" s="8">
        <v>-58</v>
      </c>
      <c r="ET266" s="8">
        <v>712</v>
      </c>
      <c r="EU266" s="8">
        <v>-58</v>
      </c>
      <c r="EV266" s="8">
        <v>-58</v>
      </c>
    </row>
    <row r="267" spans="1:152" x14ac:dyDescent="0.15">
      <c r="A267" s="8">
        <f>ROW([2]!tbl_DPSAC[[#This Row],[Sl. No.]])-1</f>
        <v>266</v>
      </c>
      <c r="B267" s="9" t="s">
        <v>136</v>
      </c>
      <c r="C267" s="9" t="s">
        <v>1396</v>
      </c>
      <c r="D267" s="9" t="s">
        <v>138</v>
      </c>
      <c r="E267" s="9" t="s">
        <v>139</v>
      </c>
      <c r="F267" s="9" t="s">
        <v>161</v>
      </c>
      <c r="G267" s="10" t="s">
        <v>670</v>
      </c>
      <c r="H267" s="10" t="str">
        <f>_xlfn.XLOOKUP(C267,'[1]E&amp;DPSAC'!$K:$K,'[1]E&amp;DPSAC'!$E:$E,,0)</f>
        <v>GONDUDIH</v>
      </c>
      <c r="I267" s="10" t="s">
        <v>671</v>
      </c>
      <c r="J267" s="10">
        <v>9304207056</v>
      </c>
      <c r="K267" s="10">
        <f>_xlfn.XLOOKUP(C267,'[1]E&amp;DPSAC'!$K:$K,'[1]E&amp;DPSAC'!$G:$G,"",0)</f>
        <v>9113788032</v>
      </c>
      <c r="L267" s="9" t="str">
        <f t="shared" ca="1" si="16"/>
        <v>Non - Warranty</v>
      </c>
      <c r="M267" s="11">
        <v>43638</v>
      </c>
      <c r="N267" s="12">
        <v>24</v>
      </c>
      <c r="O267" s="11">
        <f t="shared" si="17"/>
        <v>44377</v>
      </c>
      <c r="P267" s="8" t="s">
        <v>715</v>
      </c>
      <c r="Q267" s="16" t="s">
        <v>1399</v>
      </c>
      <c r="R267" s="15">
        <v>45824.459328703699</v>
      </c>
      <c r="S267" s="14">
        <v>13710</v>
      </c>
      <c r="T267" s="15">
        <v>45824</v>
      </c>
      <c r="U267" s="14">
        <v>13710</v>
      </c>
      <c r="V267" s="14">
        <v>14415</v>
      </c>
      <c r="W267" s="17">
        <v>45966.56527777778</v>
      </c>
      <c r="X267" s="14" t="s">
        <v>2804</v>
      </c>
      <c r="Y267" s="14">
        <v>45</v>
      </c>
      <c r="Z267" s="14" t="s">
        <v>2692</v>
      </c>
      <c r="AA267" s="18">
        <v>288.5406712963013</v>
      </c>
      <c r="AB267" s="18" t="s">
        <v>2697</v>
      </c>
      <c r="AC267" s="8">
        <f>tbl_DPSAC[[#This Row],[Current Month Due Count]]</f>
        <v>0</v>
      </c>
      <c r="AD267" s="8">
        <f>tbl_DPSAC[[#This Row],[Next Month Due2]]</f>
        <v>0</v>
      </c>
      <c r="AE267" s="8">
        <f t="shared" si="18"/>
        <v>1</v>
      </c>
      <c r="AF267" s="8">
        <v>5</v>
      </c>
      <c r="AG267" s="14">
        <f t="shared" ca="1" si="19"/>
        <v>15147</v>
      </c>
      <c r="AH267" s="8">
        <v>0</v>
      </c>
      <c r="AI267" s="8">
        <v>0</v>
      </c>
      <c r="AJ267" s="8">
        <v>0</v>
      </c>
      <c r="AK267" s="8">
        <v>0</v>
      </c>
      <c r="AL267" s="8">
        <v>0</v>
      </c>
      <c r="AM267" s="8">
        <v>0</v>
      </c>
      <c r="AN267" s="8" t="s">
        <v>1397</v>
      </c>
      <c r="AO267" s="8">
        <v>0</v>
      </c>
      <c r="AP267" s="8">
        <v>0</v>
      </c>
      <c r="AQ267" s="8">
        <v>0</v>
      </c>
      <c r="AR267" s="8">
        <v>0</v>
      </c>
      <c r="AS267" s="8">
        <v>0</v>
      </c>
      <c r="AT267" s="8">
        <v>0</v>
      </c>
      <c r="AU267" s="8" t="s">
        <v>1398</v>
      </c>
      <c r="AV267" s="8">
        <v>0</v>
      </c>
      <c r="AW267" s="8">
        <v>0</v>
      </c>
      <c r="AX267" s="8" t="s">
        <v>2980</v>
      </c>
      <c r="AY267" s="14">
        <v>13710</v>
      </c>
      <c r="AZ267" s="19">
        <v>45824</v>
      </c>
      <c r="BA267" s="14" t="s">
        <v>1399</v>
      </c>
      <c r="BB267" s="14">
        <v>13710</v>
      </c>
      <c r="BC267" s="19">
        <v>45824</v>
      </c>
      <c r="BD267" s="14" t="s">
        <v>1399</v>
      </c>
      <c r="BE267" s="14">
        <v>13710</v>
      </c>
      <c r="BF267" s="19">
        <v>45824</v>
      </c>
      <c r="BG267" s="14" t="s">
        <v>1399</v>
      </c>
      <c r="BH267" s="14">
        <v>13710</v>
      </c>
      <c r="BI267" s="19">
        <v>45824</v>
      </c>
      <c r="BJ267" s="14" t="s">
        <v>1399</v>
      </c>
      <c r="BK267" s="14">
        <v>13710</v>
      </c>
      <c r="BL267" s="19">
        <v>45824</v>
      </c>
      <c r="BM267" s="14" t="s">
        <v>1399</v>
      </c>
      <c r="BN267" s="27">
        <v>46004</v>
      </c>
      <c r="BO267" s="27">
        <v>46004</v>
      </c>
      <c r="BP267" s="27">
        <v>46004</v>
      </c>
      <c r="BQ267" s="27">
        <v>46004</v>
      </c>
      <c r="BR267" s="27">
        <v>46189</v>
      </c>
      <c r="BS267" s="28">
        <v>-687</v>
      </c>
      <c r="BT267" s="29">
        <v>63</v>
      </c>
      <c r="BU267" s="29">
        <v>-687</v>
      </c>
      <c r="BV267" s="29">
        <v>-687</v>
      </c>
      <c r="BW267" s="29">
        <v>63</v>
      </c>
      <c r="BX267" s="30" t="e">
        <v>#N/A</v>
      </c>
      <c r="BY267" s="8">
        <v>4</v>
      </c>
      <c r="BZ267" s="8">
        <v>0</v>
      </c>
      <c r="CA267" s="8">
        <v>0</v>
      </c>
      <c r="CB267" s="21" t="s">
        <v>143</v>
      </c>
      <c r="CC267" s="21" t="s">
        <v>143</v>
      </c>
      <c r="CD267" s="21" t="s">
        <v>143</v>
      </c>
      <c r="CE267" s="21" t="s">
        <v>143</v>
      </c>
      <c r="CF267" s="21" t="s">
        <v>143</v>
      </c>
      <c r="CG267" s="21" t="s">
        <v>143</v>
      </c>
      <c r="CH267" s="21" t="s">
        <v>143</v>
      </c>
      <c r="CI267" s="21" t="s">
        <v>143</v>
      </c>
      <c r="CJ267" s="21" t="s">
        <v>143</v>
      </c>
      <c r="CK267" s="22" t="s">
        <v>143</v>
      </c>
      <c r="CL267" s="22" t="s">
        <v>143</v>
      </c>
      <c r="CM267" s="22" t="s">
        <v>143</v>
      </c>
      <c r="CN267" s="22" t="s">
        <v>143</v>
      </c>
      <c r="CO267" s="22" t="s">
        <v>143</v>
      </c>
      <c r="CP267" s="22" t="s">
        <v>143</v>
      </c>
      <c r="CQ267" s="22" t="s">
        <v>143</v>
      </c>
      <c r="CR267" s="22" t="s">
        <v>143</v>
      </c>
      <c r="CS267" s="22" t="s">
        <v>143</v>
      </c>
      <c r="CT267" s="22" t="s">
        <v>143</v>
      </c>
      <c r="CU267" s="21" t="s">
        <v>143</v>
      </c>
      <c r="CV267" s="21" t="s">
        <v>143</v>
      </c>
      <c r="CW267" s="21" t="s">
        <v>143</v>
      </c>
      <c r="CX267" s="21" t="s">
        <v>143</v>
      </c>
      <c r="CY267" s="21" t="s">
        <v>143</v>
      </c>
      <c r="CZ267" s="21" t="s">
        <v>143</v>
      </c>
      <c r="DA267" s="21" t="s">
        <v>143</v>
      </c>
      <c r="DB267" s="21" t="s">
        <v>143</v>
      </c>
      <c r="DC267" s="21" t="s">
        <v>143</v>
      </c>
      <c r="DD267" s="8" t="s">
        <v>143</v>
      </c>
      <c r="DE267" s="8" t="s">
        <v>143</v>
      </c>
      <c r="DF267" s="8" t="s">
        <v>143</v>
      </c>
      <c r="DG267" s="8">
        <v>0</v>
      </c>
      <c r="DH267" s="8">
        <v>0</v>
      </c>
      <c r="DI267" s="8">
        <v>0</v>
      </c>
      <c r="DJ267" s="8" t="s">
        <v>3032</v>
      </c>
      <c r="DK267" s="21">
        <v>43638</v>
      </c>
      <c r="DL267" s="21">
        <v>43613.229166666664</v>
      </c>
      <c r="DM267" s="21">
        <v>45966</v>
      </c>
      <c r="DN267" s="18">
        <v>14415</v>
      </c>
      <c r="DO267" s="21">
        <v>0</v>
      </c>
      <c r="DP267" s="21">
        <v>0</v>
      </c>
      <c r="DQ267" s="21" t="s">
        <v>2955</v>
      </c>
      <c r="DR267" s="21">
        <v>45266</v>
      </c>
      <c r="DS267" s="21">
        <v>45824</v>
      </c>
      <c r="DT267" s="21">
        <v>45824</v>
      </c>
      <c r="DU267" s="21">
        <v>45824</v>
      </c>
      <c r="DV267" s="21">
        <v>45824</v>
      </c>
      <c r="DW267" s="21">
        <v>45824</v>
      </c>
      <c r="DX267" s="21">
        <v>45824</v>
      </c>
      <c r="DY267" s="21">
        <v>45824</v>
      </c>
      <c r="DZ267" s="21">
        <v>0</v>
      </c>
      <c r="EA267" s="8">
        <v>50</v>
      </c>
      <c r="EB267" s="8">
        <v>50</v>
      </c>
      <c r="EC267" s="8">
        <v>50</v>
      </c>
      <c r="ED267" s="8">
        <v>50</v>
      </c>
      <c r="EE267" s="8">
        <v>50</v>
      </c>
      <c r="EF267" s="8">
        <v>800</v>
      </c>
      <c r="EG267" s="8">
        <v>1000</v>
      </c>
      <c r="EH267" s="8">
        <v>800</v>
      </c>
      <c r="EI267" s="8">
        <v>800</v>
      </c>
      <c r="EJ267" s="8">
        <v>5</v>
      </c>
      <c r="EK267" s="8" t="s">
        <v>715</v>
      </c>
      <c r="EL267" s="8">
        <v>146</v>
      </c>
      <c r="EM267" s="8">
        <v>730</v>
      </c>
      <c r="EN267" s="8">
        <v>-238</v>
      </c>
      <c r="EO267" s="8">
        <v>-238</v>
      </c>
      <c r="EP267" s="8">
        <v>-238</v>
      </c>
      <c r="EQ267" s="8">
        <v>-238</v>
      </c>
      <c r="ER267" s="8">
        <v>-238</v>
      </c>
      <c r="ES267" s="8">
        <v>512</v>
      </c>
      <c r="ET267" s="8">
        <v>712</v>
      </c>
      <c r="EU267" s="8">
        <v>512</v>
      </c>
      <c r="EV267" s="8">
        <v>512</v>
      </c>
    </row>
    <row r="268" spans="1:152" x14ac:dyDescent="0.15">
      <c r="A268" s="8">
        <f>ROW([2]!tbl_DPSAC[[#This Row],[Sl. No.]])-1</f>
        <v>267</v>
      </c>
      <c r="B268" s="9" t="s">
        <v>136</v>
      </c>
      <c r="C268" s="9" t="s">
        <v>1400</v>
      </c>
      <c r="D268" s="9" t="s">
        <v>251</v>
      </c>
      <c r="E268" s="9" t="s">
        <v>147</v>
      </c>
      <c r="F268" s="9" t="s">
        <v>161</v>
      </c>
      <c r="G268" s="10" t="s">
        <v>1401</v>
      </c>
      <c r="H268" s="10" t="str">
        <f>_xlfn.XLOOKUP(C268,'[1]E&amp;DPSAC'!$K:$K,'[1]E&amp;DPSAC'!$E:$E,,0)</f>
        <v>RAJAPUR, DHANBAD</v>
      </c>
      <c r="I268" s="10"/>
      <c r="J268" s="10">
        <v>7667544644</v>
      </c>
      <c r="K268" s="10">
        <f>_xlfn.XLOOKUP(C268,'[1]E&amp;DPSAC'!$K:$K,'[1]E&amp;DPSAC'!$G:$G,"",0)</f>
        <v>7667544644</v>
      </c>
      <c r="L268" s="9" t="str">
        <f t="shared" ca="1" si="16"/>
        <v>Non - Warranty</v>
      </c>
      <c r="M268" s="11">
        <v>42821</v>
      </c>
      <c r="N268" s="12">
        <v>24</v>
      </c>
      <c r="O268" s="11">
        <f t="shared" si="17"/>
        <v>43555</v>
      </c>
      <c r="P268" s="8" t="s">
        <v>715</v>
      </c>
      <c r="Q268" s="16" t="s">
        <v>1402</v>
      </c>
      <c r="R268" s="15">
        <v>45335.567534722199</v>
      </c>
      <c r="S268" s="14">
        <v>3970</v>
      </c>
      <c r="T268" s="15">
        <v>45265</v>
      </c>
      <c r="U268" s="14">
        <v>3480</v>
      </c>
      <c r="V268" s="14">
        <v>5960</v>
      </c>
      <c r="W268" s="17">
        <v>45966.567361111112</v>
      </c>
      <c r="X268" s="14" t="s">
        <v>2805</v>
      </c>
      <c r="Y268" s="14">
        <v>-1240</v>
      </c>
      <c r="Z268" s="14" t="s">
        <v>2697</v>
      </c>
      <c r="AA268" s="18">
        <v>777.43246527780138</v>
      </c>
      <c r="AB268" s="18" t="s">
        <v>2697</v>
      </c>
      <c r="AC268" s="8">
        <f>tbl_DPSAC[[#This Row],[Current Month Due Count]]</f>
        <v>0</v>
      </c>
      <c r="AD268" s="8">
        <f>tbl_DPSAC[[#This Row],[Next Month Due2]]</f>
        <v>0</v>
      </c>
      <c r="AE268" s="8">
        <f t="shared" si="18"/>
        <v>1</v>
      </c>
      <c r="AF268" s="8">
        <v>3</v>
      </c>
      <c r="AG268" s="14">
        <f t="shared" ca="1" si="19"/>
        <v>6399</v>
      </c>
      <c r="AH268" s="8">
        <v>0</v>
      </c>
      <c r="AI268" s="8">
        <v>0</v>
      </c>
      <c r="AJ268" s="8">
        <v>0</v>
      </c>
      <c r="AK268" s="8">
        <v>0</v>
      </c>
      <c r="AL268" s="8">
        <v>0</v>
      </c>
      <c r="AM268" s="8">
        <v>0</v>
      </c>
      <c r="AN268" s="8">
        <v>0</v>
      </c>
      <c r="AO268" s="8">
        <v>0</v>
      </c>
      <c r="AP268" s="8">
        <v>0</v>
      </c>
      <c r="AQ268" s="8">
        <v>0</v>
      </c>
      <c r="AR268" s="8">
        <v>0</v>
      </c>
      <c r="AS268" s="8">
        <v>0</v>
      </c>
      <c r="AT268" s="8">
        <v>0</v>
      </c>
      <c r="AU268" s="8">
        <v>0</v>
      </c>
      <c r="AV268" s="8">
        <v>0</v>
      </c>
      <c r="AW268" s="8">
        <v>0</v>
      </c>
      <c r="AX268" s="8" t="s">
        <v>2961</v>
      </c>
      <c r="AY268" s="14">
        <v>3970</v>
      </c>
      <c r="AZ268" s="19">
        <v>45335</v>
      </c>
      <c r="BA268" s="14" t="s">
        <v>1402</v>
      </c>
      <c r="BB268" s="14">
        <v>3970</v>
      </c>
      <c r="BC268" s="19">
        <v>45335</v>
      </c>
      <c r="BD268" s="14" t="s">
        <v>1402</v>
      </c>
      <c r="BE268" s="14">
        <v>3970</v>
      </c>
      <c r="BF268" s="19">
        <v>45335</v>
      </c>
      <c r="BG268" s="14" t="s">
        <v>1402</v>
      </c>
      <c r="BH268" s="14">
        <v>3970</v>
      </c>
      <c r="BI268" s="19">
        <v>45335</v>
      </c>
      <c r="BJ268" s="14" t="s">
        <v>1402</v>
      </c>
      <c r="BK268" s="14">
        <v>3970</v>
      </c>
      <c r="BL268" s="19">
        <v>45335</v>
      </c>
      <c r="BM268" s="14" t="s">
        <v>1402</v>
      </c>
      <c r="BN268" s="27">
        <v>45515</v>
      </c>
      <c r="BO268" s="27">
        <v>45515</v>
      </c>
      <c r="BP268" s="27">
        <v>45515</v>
      </c>
      <c r="BQ268" s="27">
        <v>45515</v>
      </c>
      <c r="BR268" s="27">
        <v>45700</v>
      </c>
      <c r="BS268" s="28">
        <v>-1679</v>
      </c>
      <c r="BT268" s="29">
        <v>-929</v>
      </c>
      <c r="BU268" s="29">
        <v>-1679</v>
      </c>
      <c r="BV268" s="29">
        <v>-1679</v>
      </c>
      <c r="BW268" s="29">
        <v>-929</v>
      </c>
      <c r="BX268" s="30" t="e">
        <v>#N/A</v>
      </c>
      <c r="BY268" s="8">
        <v>5</v>
      </c>
      <c r="BZ268" s="8">
        <v>0</v>
      </c>
      <c r="CA268" s="8">
        <v>0</v>
      </c>
      <c r="CB268" s="21" t="s">
        <v>143</v>
      </c>
      <c r="CC268" s="21" t="s">
        <v>143</v>
      </c>
      <c r="CD268" s="21" t="s">
        <v>143</v>
      </c>
      <c r="CE268" s="21" t="s">
        <v>143</v>
      </c>
      <c r="CF268" s="21" t="s">
        <v>143</v>
      </c>
      <c r="CG268" s="21" t="s">
        <v>143</v>
      </c>
      <c r="CH268" s="21" t="s">
        <v>143</v>
      </c>
      <c r="CI268" s="21" t="s">
        <v>143</v>
      </c>
      <c r="CJ268" s="21" t="s">
        <v>143</v>
      </c>
      <c r="CK268" s="22" t="s">
        <v>143</v>
      </c>
      <c r="CL268" s="22" t="s">
        <v>143</v>
      </c>
      <c r="CM268" s="22" t="s">
        <v>143</v>
      </c>
      <c r="CN268" s="22" t="s">
        <v>143</v>
      </c>
      <c r="CO268" s="22" t="s">
        <v>143</v>
      </c>
      <c r="CP268" s="22" t="s">
        <v>143</v>
      </c>
      <c r="CQ268" s="22" t="s">
        <v>143</v>
      </c>
      <c r="CR268" s="22" t="s">
        <v>143</v>
      </c>
      <c r="CS268" s="22" t="s">
        <v>143</v>
      </c>
      <c r="CT268" s="22" t="s">
        <v>143</v>
      </c>
      <c r="CU268" s="21" t="s">
        <v>143</v>
      </c>
      <c r="CV268" s="21" t="s">
        <v>143</v>
      </c>
      <c r="CW268" s="21" t="s">
        <v>143</v>
      </c>
      <c r="CX268" s="21" t="s">
        <v>143</v>
      </c>
      <c r="CY268" s="21" t="s">
        <v>143</v>
      </c>
      <c r="CZ268" s="21" t="s">
        <v>143</v>
      </c>
      <c r="DA268" s="21" t="s">
        <v>143</v>
      </c>
      <c r="DB268" s="21" t="s">
        <v>143</v>
      </c>
      <c r="DC268" s="21" t="s">
        <v>143</v>
      </c>
      <c r="DD268" s="8" t="s">
        <v>143</v>
      </c>
      <c r="DE268" s="8" t="s">
        <v>143</v>
      </c>
      <c r="DF268" s="8" t="s">
        <v>143</v>
      </c>
      <c r="DG268" s="8">
        <v>0</v>
      </c>
      <c r="DH268" s="8">
        <v>0</v>
      </c>
      <c r="DI268" s="8">
        <v>0</v>
      </c>
      <c r="DJ268" s="8" t="s">
        <v>3032</v>
      </c>
      <c r="DK268" s="21">
        <v>42821</v>
      </c>
      <c r="DL268" s="21">
        <v>42787</v>
      </c>
      <c r="DM268" s="21">
        <v>45966</v>
      </c>
      <c r="DN268" s="18">
        <v>5960</v>
      </c>
      <c r="DO268" s="21">
        <v>0</v>
      </c>
      <c r="DP268" s="21">
        <v>0</v>
      </c>
      <c r="DQ268" s="21" t="s">
        <v>2955</v>
      </c>
      <c r="DR268" s="21">
        <v>45335</v>
      </c>
      <c r="DS268" s="21">
        <v>45265</v>
      </c>
      <c r="DT268" s="21">
        <v>0</v>
      </c>
      <c r="DU268" s="21">
        <v>45265</v>
      </c>
      <c r="DV268" s="21">
        <v>45265</v>
      </c>
      <c r="DW268" s="21">
        <v>44988</v>
      </c>
      <c r="DX268" s="21">
        <v>45335</v>
      </c>
      <c r="DY268" s="21">
        <v>45335</v>
      </c>
      <c r="DZ268" s="21">
        <v>45335</v>
      </c>
      <c r="EA268" s="8">
        <v>240</v>
      </c>
      <c r="EB268" s="8">
        <v>240</v>
      </c>
      <c r="EC268" s="8">
        <v>240</v>
      </c>
      <c r="ED268" s="8">
        <v>240</v>
      </c>
      <c r="EE268" s="8">
        <v>240</v>
      </c>
      <c r="EF268" s="8">
        <v>490</v>
      </c>
      <c r="EG268" s="8">
        <v>1000</v>
      </c>
      <c r="EH268" s="8">
        <v>490</v>
      </c>
      <c r="EI268" s="8">
        <v>490</v>
      </c>
      <c r="EJ268" s="8">
        <v>3</v>
      </c>
      <c r="EK268" s="8" t="s">
        <v>715</v>
      </c>
      <c r="EL268" s="8">
        <v>146</v>
      </c>
      <c r="EM268" s="8">
        <v>438</v>
      </c>
      <c r="EN268" s="8">
        <v>-48</v>
      </c>
      <c r="EO268" s="8">
        <v>-48</v>
      </c>
      <c r="EP268" s="8">
        <v>-48</v>
      </c>
      <c r="EQ268" s="8">
        <v>-48</v>
      </c>
      <c r="ER268" s="8">
        <v>-48</v>
      </c>
      <c r="ES268" s="8">
        <v>202</v>
      </c>
      <c r="ET268" s="8">
        <v>712</v>
      </c>
      <c r="EU268" s="8">
        <v>202</v>
      </c>
      <c r="EV268" s="8">
        <v>202</v>
      </c>
    </row>
    <row r="269" spans="1:152" x14ac:dyDescent="0.15">
      <c r="A269" s="8">
        <f>ROW([2]!tbl_DPSAC[[#This Row],[Sl. No.]])-1</f>
        <v>268</v>
      </c>
      <c r="B269" s="9" t="s">
        <v>136</v>
      </c>
      <c r="C269" s="9" t="s">
        <v>1403</v>
      </c>
      <c r="D269" s="9" t="s">
        <v>138</v>
      </c>
      <c r="E269" s="9" t="s">
        <v>139</v>
      </c>
      <c r="F269" s="9" t="s">
        <v>161</v>
      </c>
      <c r="G269" s="10" t="s">
        <v>1404</v>
      </c>
      <c r="H269" s="10" t="str">
        <f>_xlfn.XLOOKUP(C269,'[1]E&amp;DPSAC'!$K:$K,'[1]E&amp;DPSAC'!$E:$E,,0)</f>
        <v>MAGADH PROJECT, BALUMATH</v>
      </c>
      <c r="I269" s="10" t="s">
        <v>1405</v>
      </c>
      <c r="J269" s="10">
        <v>9102402602</v>
      </c>
      <c r="K269" s="10">
        <f>_xlfn.XLOOKUP(C269,'[1]E&amp;DPSAC'!$K:$K,'[1]E&amp;DPSAC'!$G:$G,"",0)</f>
        <v>9102402602</v>
      </c>
      <c r="L269" s="9" t="str">
        <f t="shared" ca="1" si="16"/>
        <v>Non - Warranty</v>
      </c>
      <c r="M269" s="11">
        <v>44061</v>
      </c>
      <c r="N269" s="12">
        <v>24</v>
      </c>
      <c r="O269" s="11">
        <f t="shared" si="17"/>
        <v>44804</v>
      </c>
      <c r="P269" s="8" t="s">
        <v>142</v>
      </c>
      <c r="Q269" s="16" t="s">
        <v>1406</v>
      </c>
      <c r="R269" s="15">
        <v>46008.430648148104</v>
      </c>
      <c r="S269" s="14">
        <v>6930</v>
      </c>
      <c r="T269" s="15">
        <v>46007</v>
      </c>
      <c r="U269" s="14">
        <v>6930</v>
      </c>
      <c r="V269" s="14">
        <v>7000</v>
      </c>
      <c r="W269" s="17">
        <v>46042.555370370399</v>
      </c>
      <c r="X269" s="14" t="s">
        <v>2772</v>
      </c>
      <c r="Y269" s="14">
        <v>680</v>
      </c>
      <c r="Z269" s="14" t="s">
        <v>2692</v>
      </c>
      <c r="AA269" s="18">
        <v>104.5693518518965</v>
      </c>
      <c r="AB269" s="18" t="s">
        <v>2692</v>
      </c>
      <c r="AC269" s="8">
        <f>tbl_DPSAC[[#This Row],[Current Month Due Count]]</f>
        <v>0</v>
      </c>
      <c r="AD269" s="8">
        <f>tbl_DPSAC[[#This Row],[Next Month Due2]]</f>
        <v>0</v>
      </c>
      <c r="AE269" s="8">
        <f t="shared" si="18"/>
        <v>0</v>
      </c>
      <c r="AF269" s="8">
        <v>2</v>
      </c>
      <c r="AG269" s="14">
        <f t="shared" ca="1" si="19"/>
        <v>7141</v>
      </c>
      <c r="AH269" s="8">
        <v>0</v>
      </c>
      <c r="AI269" s="8">
        <v>0</v>
      </c>
      <c r="AJ269" s="8">
        <v>0</v>
      </c>
      <c r="AK269" s="8">
        <v>0</v>
      </c>
      <c r="AL269" s="8">
        <v>0</v>
      </c>
      <c r="AM269" s="8">
        <v>0</v>
      </c>
      <c r="AN269" s="8">
        <v>0</v>
      </c>
      <c r="AO269" s="8">
        <v>0</v>
      </c>
      <c r="AP269" s="8">
        <v>0</v>
      </c>
      <c r="AQ269" s="8">
        <v>0</v>
      </c>
      <c r="AR269" s="8">
        <v>0</v>
      </c>
      <c r="AS269" s="8">
        <v>0</v>
      </c>
      <c r="AT269" s="8">
        <v>0</v>
      </c>
      <c r="AU269" s="8">
        <v>0</v>
      </c>
      <c r="AV269" s="8">
        <v>0</v>
      </c>
      <c r="AW269" s="8">
        <v>0</v>
      </c>
      <c r="AX269" s="8" t="s">
        <v>2007</v>
      </c>
      <c r="AY269" s="14">
        <v>6930</v>
      </c>
      <c r="AZ269" s="19">
        <v>46008</v>
      </c>
      <c r="BA269" s="14" t="s">
        <v>1406</v>
      </c>
      <c r="BB269" s="14">
        <v>6930</v>
      </c>
      <c r="BC269" s="19">
        <v>46008</v>
      </c>
      <c r="BD269" s="14" t="s">
        <v>1406</v>
      </c>
      <c r="BE269" s="14">
        <v>6930</v>
      </c>
      <c r="BF269" s="19">
        <v>46008</v>
      </c>
      <c r="BG269" s="14" t="s">
        <v>1406</v>
      </c>
      <c r="BH269" s="14">
        <v>6930</v>
      </c>
      <c r="BI269" s="19">
        <v>46008</v>
      </c>
      <c r="BJ269" s="14" t="s">
        <v>1406</v>
      </c>
      <c r="BK269" s="14">
        <v>6930</v>
      </c>
      <c r="BL269" s="19">
        <v>46008</v>
      </c>
      <c r="BM269" s="14" t="s">
        <v>1406</v>
      </c>
      <c r="BN269" s="27">
        <v>46188</v>
      </c>
      <c r="BO269" s="27">
        <v>46188</v>
      </c>
      <c r="BP269" s="27">
        <v>46188</v>
      </c>
      <c r="BQ269" s="27">
        <v>46188</v>
      </c>
      <c r="BR269" s="27">
        <v>46373</v>
      </c>
      <c r="BS269" s="28">
        <v>539</v>
      </c>
      <c r="BT269" s="29">
        <v>1289</v>
      </c>
      <c r="BU269" s="29">
        <v>539</v>
      </c>
      <c r="BV269" s="29">
        <v>539</v>
      </c>
      <c r="BW269" s="29">
        <v>1289</v>
      </c>
      <c r="BX269" s="30" t="e">
        <v>#N/A</v>
      </c>
      <c r="BY269" s="8">
        <v>0</v>
      </c>
      <c r="BZ269" s="8">
        <v>0</v>
      </c>
      <c r="CA269" s="8">
        <v>0</v>
      </c>
      <c r="CB269" s="21">
        <v>46007.770833333299</v>
      </c>
      <c r="CC269" s="21">
        <v>46007.770833333299</v>
      </c>
      <c r="CD269" s="21">
        <v>46007.770833333299</v>
      </c>
      <c r="CE269" s="21">
        <v>46007.770833333299</v>
      </c>
      <c r="CF269" s="21">
        <v>46007.770833333299</v>
      </c>
      <c r="CG269" s="21">
        <v>46007.770833333299</v>
      </c>
      <c r="CH269" s="21">
        <v>46007.770833333299</v>
      </c>
      <c r="CI269" s="21">
        <v>46007.770833333299</v>
      </c>
      <c r="CJ269" s="21">
        <v>45265.770833333299</v>
      </c>
      <c r="CK269" s="22" t="s">
        <v>3135</v>
      </c>
      <c r="CL269" s="22" t="s">
        <v>3042</v>
      </c>
      <c r="CM269" s="22" t="s">
        <v>3042</v>
      </c>
      <c r="CN269" s="22" t="s">
        <v>3042</v>
      </c>
      <c r="CO269" s="22" t="s">
        <v>3042</v>
      </c>
      <c r="CP269" s="22" t="s">
        <v>3135</v>
      </c>
      <c r="CQ269" s="22" t="s">
        <v>2953</v>
      </c>
      <c r="CR269" s="22" t="s">
        <v>3135</v>
      </c>
      <c r="CS269" s="22" t="s">
        <v>3135</v>
      </c>
      <c r="CT269" s="22">
        <v>3</v>
      </c>
      <c r="CU269" s="21">
        <v>46187</v>
      </c>
      <c r="CV269" s="21">
        <v>46187</v>
      </c>
      <c r="CW269" s="21">
        <v>46187</v>
      </c>
      <c r="CX269" s="21">
        <v>46187</v>
      </c>
      <c r="CY269" s="21">
        <v>46187</v>
      </c>
      <c r="CZ269" s="21">
        <v>46277</v>
      </c>
      <c r="DA269" s="21">
        <v>46372</v>
      </c>
      <c r="DB269" s="21">
        <v>46187</v>
      </c>
      <c r="DC269" s="21">
        <v>45630</v>
      </c>
      <c r="DD269" s="8">
        <v>1</v>
      </c>
      <c r="DE269" s="8">
        <v>0</v>
      </c>
      <c r="DF269" s="8">
        <v>0</v>
      </c>
      <c r="DG269" s="8">
        <v>1</v>
      </c>
      <c r="DH269" s="8">
        <v>0</v>
      </c>
      <c r="DI269" s="8">
        <v>0</v>
      </c>
      <c r="DJ269" s="8" t="s">
        <v>2954</v>
      </c>
      <c r="DK269" s="21">
        <v>44061</v>
      </c>
      <c r="DL269" s="21">
        <v>44034.229166666664</v>
      </c>
      <c r="DM269" s="21">
        <v>46042</v>
      </c>
      <c r="DN269" s="18">
        <v>7000</v>
      </c>
      <c r="DO269" s="21">
        <v>0</v>
      </c>
      <c r="DP269" s="21">
        <v>0</v>
      </c>
      <c r="DQ269" s="21" t="s">
        <v>2955</v>
      </c>
      <c r="DR269" s="21">
        <v>46008</v>
      </c>
      <c r="DS269" s="21">
        <v>46008</v>
      </c>
      <c r="DT269" s="21">
        <v>46008</v>
      </c>
      <c r="DU269" s="21">
        <v>46008</v>
      </c>
      <c r="DV269" s="21">
        <v>46008</v>
      </c>
      <c r="DW269" s="21">
        <v>46008</v>
      </c>
      <c r="DX269" s="21">
        <v>46008</v>
      </c>
      <c r="DY269" s="21">
        <v>46008</v>
      </c>
      <c r="DZ269" s="21">
        <v>45266</v>
      </c>
      <c r="EA269" s="8">
        <v>1435</v>
      </c>
      <c r="EB269" s="8">
        <v>690</v>
      </c>
      <c r="EC269" s="8">
        <v>690</v>
      </c>
      <c r="ED269" s="8">
        <v>690</v>
      </c>
      <c r="EE269" s="8">
        <v>690</v>
      </c>
      <c r="EF269" s="8">
        <v>1435</v>
      </c>
      <c r="EG269" s="8">
        <v>1000</v>
      </c>
      <c r="EH269" s="8">
        <v>1435</v>
      </c>
      <c r="EI269" s="8">
        <v>1435</v>
      </c>
      <c r="EJ269" s="8">
        <v>3</v>
      </c>
      <c r="EK269" s="8" t="s">
        <v>2624</v>
      </c>
      <c r="EL269" s="8">
        <v>70</v>
      </c>
      <c r="EM269" s="8">
        <v>140</v>
      </c>
      <c r="EN269" s="8">
        <v>1147</v>
      </c>
      <c r="EO269" s="8">
        <v>402</v>
      </c>
      <c r="EP269" s="8">
        <v>402</v>
      </c>
      <c r="EQ269" s="8">
        <v>402</v>
      </c>
      <c r="ER269" s="8">
        <v>402</v>
      </c>
      <c r="ES269" s="8">
        <v>1147</v>
      </c>
      <c r="ET269" s="8">
        <v>712</v>
      </c>
      <c r="EU269" s="8">
        <v>1147</v>
      </c>
      <c r="EV269" s="8">
        <v>1147</v>
      </c>
    </row>
    <row r="270" spans="1:152" x14ac:dyDescent="0.15">
      <c r="A270" s="8">
        <f>ROW([2]!tbl_DPSAC[[#This Row],[Sl. No.]])-1</f>
        <v>269</v>
      </c>
      <c r="B270" s="9" t="s">
        <v>136</v>
      </c>
      <c r="C270" s="9" t="s">
        <v>1407</v>
      </c>
      <c r="D270" s="9" t="s">
        <v>1408</v>
      </c>
      <c r="E270" s="9" t="s">
        <v>333</v>
      </c>
      <c r="F270" s="9" t="s">
        <v>161</v>
      </c>
      <c r="G270" s="10" t="s">
        <v>334</v>
      </c>
      <c r="H270" s="10" t="str">
        <f>_xlfn.XLOOKUP(C270,'[1]E&amp;DPSAC'!$K:$K,'[1]E&amp;DPSAC'!$E:$E,,0)</f>
        <v>BAKHTIYARPUR</v>
      </c>
      <c r="I270" s="10" t="s">
        <v>335</v>
      </c>
      <c r="J270" s="10">
        <v>7486815310</v>
      </c>
      <c r="K270" s="10">
        <f>_xlfn.XLOOKUP(C270,'[1]E&amp;DPSAC'!$K:$K,'[1]E&amp;DPSAC'!$G:$G,"",0)</f>
        <v>7486815310</v>
      </c>
      <c r="L270" s="9" t="str">
        <f t="shared" ca="1" si="16"/>
        <v>Non - Warranty</v>
      </c>
      <c r="M270" s="11">
        <v>41892</v>
      </c>
      <c r="N270" s="12">
        <v>24</v>
      </c>
      <c r="O270" s="11">
        <f t="shared" si="17"/>
        <v>42643</v>
      </c>
      <c r="P270" s="8" t="s">
        <v>157</v>
      </c>
      <c r="Q270" s="16" t="s">
        <v>2653</v>
      </c>
      <c r="R270" s="15">
        <v>44741.724976851903</v>
      </c>
      <c r="S270" s="14">
        <v>0</v>
      </c>
      <c r="T270" s="15">
        <v>44742</v>
      </c>
      <c r="U270" s="14">
        <v>1340</v>
      </c>
      <c r="V270" s="14">
        <v>1932</v>
      </c>
      <c r="W270" s="17">
        <v>45024.590775463003</v>
      </c>
      <c r="X270" s="14">
        <v>0</v>
      </c>
      <c r="Y270" s="14">
        <v>-1182</v>
      </c>
      <c r="Z270" s="14" t="s">
        <v>2697</v>
      </c>
      <c r="AA270" s="18">
        <v>1371.2750231480968</v>
      </c>
      <c r="AB270" s="18" t="s">
        <v>2697</v>
      </c>
      <c r="AC270" s="8">
        <f>tbl_DPSAC[[#This Row],[Current Month Due Count]]</f>
        <v>0</v>
      </c>
      <c r="AD270" s="8">
        <f>tbl_DPSAC[[#This Row],[Next Month Due2]]</f>
        <v>0</v>
      </c>
      <c r="AE270" s="8">
        <f t="shared" si="18"/>
        <v>1</v>
      </c>
      <c r="AF270" s="8">
        <v>5</v>
      </c>
      <c r="AG270" s="14">
        <f t="shared" ca="1" si="19"/>
        <v>7374</v>
      </c>
      <c r="AH270" s="8">
        <v>0</v>
      </c>
      <c r="AI270" s="8">
        <v>0</v>
      </c>
      <c r="AJ270" s="8">
        <v>0</v>
      </c>
      <c r="AK270" s="8">
        <v>0</v>
      </c>
      <c r="AL270" s="8">
        <v>0</v>
      </c>
      <c r="AM270" s="8">
        <v>0</v>
      </c>
      <c r="AN270" s="8">
        <v>0</v>
      </c>
      <c r="AO270" s="8">
        <v>0</v>
      </c>
      <c r="AP270" s="8">
        <v>0</v>
      </c>
      <c r="AQ270" s="8">
        <v>0</v>
      </c>
      <c r="AR270" s="8">
        <v>0</v>
      </c>
      <c r="AS270" s="8">
        <v>0</v>
      </c>
      <c r="AT270" s="8">
        <v>0</v>
      </c>
      <c r="AU270" s="8">
        <v>0</v>
      </c>
      <c r="AV270" s="8">
        <v>0</v>
      </c>
      <c r="AW270" s="8">
        <v>0</v>
      </c>
      <c r="AX270" s="8" t="s">
        <v>2961</v>
      </c>
      <c r="AY270" s="14">
        <v>1340</v>
      </c>
      <c r="AZ270" s="19">
        <v>44783</v>
      </c>
      <c r="BA270" s="14" t="s">
        <v>1409</v>
      </c>
      <c r="BB270" s="14">
        <v>1340</v>
      </c>
      <c r="BC270" s="19">
        <v>44783</v>
      </c>
      <c r="BD270" s="14" t="s">
        <v>1409</v>
      </c>
      <c r="BE270" s="14">
        <v>1340</v>
      </c>
      <c r="BF270" s="19">
        <v>44783</v>
      </c>
      <c r="BG270" s="14" t="s">
        <v>1409</v>
      </c>
      <c r="BH270" s="14">
        <v>1340</v>
      </c>
      <c r="BI270" s="19">
        <v>44783</v>
      </c>
      <c r="BJ270" s="14" t="s">
        <v>1409</v>
      </c>
      <c r="BK270" s="14">
        <v>1340</v>
      </c>
      <c r="BL270" s="19">
        <v>44783</v>
      </c>
      <c r="BM270" s="14" t="s">
        <v>1409</v>
      </c>
      <c r="BN270" s="27">
        <v>44963</v>
      </c>
      <c r="BO270" s="27">
        <v>44963</v>
      </c>
      <c r="BP270" s="27">
        <v>44963</v>
      </c>
      <c r="BQ270" s="27">
        <v>44963</v>
      </c>
      <c r="BR270" s="27">
        <v>45148</v>
      </c>
      <c r="BS270" s="28">
        <v>-5284</v>
      </c>
      <c r="BT270" s="29">
        <v>-4534</v>
      </c>
      <c r="BU270" s="29">
        <v>-5284</v>
      </c>
      <c r="BV270" s="29">
        <v>-5284</v>
      </c>
      <c r="BW270" s="29">
        <v>-4534</v>
      </c>
      <c r="BX270" s="8" t="s">
        <v>1016</v>
      </c>
      <c r="BY270" s="8">
        <v>5</v>
      </c>
      <c r="BZ270" s="8">
        <v>0</v>
      </c>
      <c r="CA270" s="8">
        <v>0</v>
      </c>
      <c r="CB270" s="21" t="s">
        <v>143</v>
      </c>
      <c r="CC270" s="21" t="s">
        <v>143</v>
      </c>
      <c r="CD270" s="21" t="s">
        <v>143</v>
      </c>
      <c r="CE270" s="21" t="s">
        <v>143</v>
      </c>
      <c r="CF270" s="21" t="s">
        <v>143</v>
      </c>
      <c r="CG270" s="21" t="s">
        <v>143</v>
      </c>
      <c r="CH270" s="21" t="s">
        <v>143</v>
      </c>
      <c r="CI270" s="21" t="s">
        <v>143</v>
      </c>
      <c r="CJ270" s="21" t="s">
        <v>143</v>
      </c>
      <c r="CK270" s="22" t="s">
        <v>143</v>
      </c>
      <c r="CL270" s="22" t="s">
        <v>143</v>
      </c>
      <c r="CM270" s="22" t="s">
        <v>143</v>
      </c>
      <c r="CN270" s="22" t="s">
        <v>143</v>
      </c>
      <c r="CO270" s="22" t="s">
        <v>143</v>
      </c>
      <c r="CP270" s="22" t="s">
        <v>143</v>
      </c>
      <c r="CQ270" s="22" t="s">
        <v>143</v>
      </c>
      <c r="CR270" s="22" t="s">
        <v>143</v>
      </c>
      <c r="CS270" s="22" t="s">
        <v>143</v>
      </c>
      <c r="CT270" s="22" t="s">
        <v>143</v>
      </c>
      <c r="CU270" s="21" t="s">
        <v>143</v>
      </c>
      <c r="CV270" s="21" t="s">
        <v>143</v>
      </c>
      <c r="CW270" s="21" t="s">
        <v>143</v>
      </c>
      <c r="CX270" s="21" t="s">
        <v>143</v>
      </c>
      <c r="CY270" s="21" t="s">
        <v>143</v>
      </c>
      <c r="CZ270" s="21" t="s">
        <v>143</v>
      </c>
      <c r="DA270" s="21" t="s">
        <v>143</v>
      </c>
      <c r="DB270" s="21" t="s">
        <v>143</v>
      </c>
      <c r="DC270" s="21" t="s">
        <v>143</v>
      </c>
      <c r="DD270" s="8" t="s">
        <v>143</v>
      </c>
      <c r="DE270" s="8" t="s">
        <v>143</v>
      </c>
      <c r="DF270" s="8" t="s">
        <v>143</v>
      </c>
      <c r="DG270" s="8">
        <v>0</v>
      </c>
      <c r="DH270" s="8">
        <v>0</v>
      </c>
      <c r="DI270" s="8">
        <v>0</v>
      </c>
      <c r="DJ270" s="8" t="s">
        <v>143</v>
      </c>
      <c r="DK270" s="21" t="s">
        <v>143</v>
      </c>
      <c r="DL270" s="21" t="s">
        <v>143</v>
      </c>
      <c r="DM270" s="21" t="s">
        <v>143</v>
      </c>
      <c r="DN270" s="18" t="s">
        <v>143</v>
      </c>
      <c r="DO270" s="21" t="s">
        <v>143</v>
      </c>
      <c r="DP270" s="21" t="s">
        <v>143</v>
      </c>
      <c r="DQ270" s="21" t="s">
        <v>143</v>
      </c>
      <c r="DR270" s="21" t="s">
        <v>143</v>
      </c>
      <c r="DS270" s="21" t="s">
        <v>143</v>
      </c>
      <c r="DT270" s="21" t="s">
        <v>143</v>
      </c>
      <c r="DU270" s="21" t="s">
        <v>143</v>
      </c>
      <c r="DV270" s="21" t="s">
        <v>143</v>
      </c>
      <c r="DW270" s="21" t="s">
        <v>143</v>
      </c>
      <c r="DX270" s="21" t="s">
        <v>143</v>
      </c>
      <c r="DY270" s="21" t="s">
        <v>143</v>
      </c>
      <c r="DZ270" s="21" t="s">
        <v>143</v>
      </c>
      <c r="EA270" s="8" t="s">
        <v>143</v>
      </c>
      <c r="EB270" s="8" t="s">
        <v>143</v>
      </c>
      <c r="EC270" s="8" t="s">
        <v>143</v>
      </c>
      <c r="ED270" s="8" t="s">
        <v>143</v>
      </c>
      <c r="EE270" s="8" t="s">
        <v>143</v>
      </c>
      <c r="EF270" s="8" t="s">
        <v>143</v>
      </c>
      <c r="EG270" s="8" t="s">
        <v>143</v>
      </c>
      <c r="EH270" s="8" t="s">
        <v>143</v>
      </c>
      <c r="EI270" s="8" t="s">
        <v>143</v>
      </c>
      <c r="EJ270" s="8" t="s">
        <v>143</v>
      </c>
      <c r="EK270" s="8" t="s">
        <v>157</v>
      </c>
      <c r="EL270" s="8">
        <v>1088</v>
      </c>
      <c r="EM270" s="8">
        <v>5440</v>
      </c>
      <c r="EN270" s="8" t="s">
        <v>143</v>
      </c>
      <c r="EO270" s="8" t="s">
        <v>143</v>
      </c>
      <c r="EP270" s="8" t="s">
        <v>143</v>
      </c>
      <c r="EQ270" s="8" t="s">
        <v>143</v>
      </c>
      <c r="ER270" s="8" t="s">
        <v>143</v>
      </c>
      <c r="ES270" s="8" t="s">
        <v>143</v>
      </c>
      <c r="ET270" s="8" t="s">
        <v>143</v>
      </c>
      <c r="EU270" s="8" t="s">
        <v>143</v>
      </c>
      <c r="EV270" s="8" t="s">
        <v>143</v>
      </c>
    </row>
    <row r="271" spans="1:152" x14ac:dyDescent="0.15">
      <c r="A271" s="8">
        <f>ROW([2]!tbl_DPSAC[[#This Row],[Sl. No.]])-1</f>
        <v>270</v>
      </c>
      <c r="B271" s="9" t="s">
        <v>196</v>
      </c>
      <c r="C271" s="9" t="s">
        <v>1410</v>
      </c>
      <c r="D271" s="9" t="s">
        <v>198</v>
      </c>
      <c r="E271" s="9" t="s">
        <v>199</v>
      </c>
      <c r="F271" s="9" t="s">
        <v>161</v>
      </c>
      <c r="G271" s="10" t="s">
        <v>1411</v>
      </c>
      <c r="H271" s="10" t="str">
        <f>_xlfn.XLOOKUP(C271,'[1]E&amp;DPSAC'!$K:$K,'[1]E&amp;DPSAC'!$E:$E,,0)</f>
        <v>PATNA</v>
      </c>
      <c r="I271" s="10"/>
      <c r="J271" s="10" t="s">
        <v>143</v>
      </c>
      <c r="K271" s="10">
        <f>_xlfn.XLOOKUP(C271,'[1]E&amp;DPSAC'!$K:$K,'[1]E&amp;DPSAC'!$G:$G,"",0)</f>
        <v>6282133100</v>
      </c>
      <c r="L271" s="9" t="str">
        <f t="shared" ca="1" si="16"/>
        <v>Non - Warranty</v>
      </c>
      <c r="M271" s="11">
        <v>42058</v>
      </c>
      <c r="N271" s="12">
        <v>24</v>
      </c>
      <c r="O271" s="11">
        <f t="shared" si="17"/>
        <v>42794</v>
      </c>
      <c r="P271" s="8" t="s">
        <v>715</v>
      </c>
      <c r="Q271" s="16" t="s">
        <v>1412</v>
      </c>
      <c r="R271" s="15">
        <v>45266.478310185201</v>
      </c>
      <c r="S271" s="14">
        <v>1155</v>
      </c>
      <c r="T271" s="15">
        <v>45266</v>
      </c>
      <c r="U271" s="14">
        <v>1155</v>
      </c>
      <c r="V271" s="14">
        <v>1775</v>
      </c>
      <c r="W271" s="17">
        <v>45941.462500000001</v>
      </c>
      <c r="X271" s="14" t="s">
        <v>2726</v>
      </c>
      <c r="Y271" s="14">
        <v>130</v>
      </c>
      <c r="Z271" s="14" t="s">
        <v>2692</v>
      </c>
      <c r="AA271" s="18">
        <v>846.52168981479917</v>
      </c>
      <c r="AB271" s="18" t="s">
        <v>2697</v>
      </c>
      <c r="AC271" s="8">
        <f>tbl_DPSAC[[#This Row],[Current Month Due Count]]</f>
        <v>0</v>
      </c>
      <c r="AD271" s="8">
        <f>tbl_DPSAC[[#This Row],[Next Month Due2]]</f>
        <v>0</v>
      </c>
      <c r="AE271" s="8">
        <f t="shared" si="18"/>
        <v>1</v>
      </c>
      <c r="AF271" s="8">
        <v>1</v>
      </c>
      <c r="AG271" s="14">
        <f t="shared" ca="1" si="19"/>
        <v>1947</v>
      </c>
      <c r="AH271" s="8">
        <v>0</v>
      </c>
      <c r="AI271" s="8">
        <v>0</v>
      </c>
      <c r="AJ271" s="8">
        <v>0</v>
      </c>
      <c r="AK271" s="8">
        <v>0</v>
      </c>
      <c r="AL271" s="8">
        <v>0</v>
      </c>
      <c r="AM271" s="8">
        <v>0</v>
      </c>
      <c r="AN271" s="8">
        <v>0</v>
      </c>
      <c r="AO271" s="8">
        <v>0</v>
      </c>
      <c r="AP271" s="8">
        <v>0</v>
      </c>
      <c r="AQ271" s="8">
        <v>0</v>
      </c>
      <c r="AR271" s="8">
        <v>0</v>
      </c>
      <c r="AS271" s="8">
        <v>0</v>
      </c>
      <c r="AT271" s="8">
        <v>0</v>
      </c>
      <c r="AU271" s="8">
        <v>0</v>
      </c>
      <c r="AV271" s="8">
        <v>0</v>
      </c>
      <c r="AW271" s="8">
        <v>0</v>
      </c>
      <c r="AX271" s="8" t="s">
        <v>2980</v>
      </c>
      <c r="AY271" s="14">
        <v>1155</v>
      </c>
      <c r="AZ271" s="19">
        <v>45266</v>
      </c>
      <c r="BA271" s="14" t="s">
        <v>1412</v>
      </c>
      <c r="BB271" s="14">
        <v>769</v>
      </c>
      <c r="BC271" s="19">
        <v>44940</v>
      </c>
      <c r="BD271" s="14"/>
      <c r="BE271" s="14">
        <v>1155</v>
      </c>
      <c r="BF271" s="19">
        <v>45266</v>
      </c>
      <c r="BG271" s="14" t="s">
        <v>1412</v>
      </c>
      <c r="BH271" s="14">
        <v>1155</v>
      </c>
      <c r="BI271" s="19">
        <v>45266</v>
      </c>
      <c r="BJ271" s="14" t="s">
        <v>1412</v>
      </c>
      <c r="BK271" s="14">
        <v>769</v>
      </c>
      <c r="BL271" s="19">
        <v>44940</v>
      </c>
      <c r="BM271" s="14"/>
      <c r="BN271" s="27">
        <v>45446</v>
      </c>
      <c r="BO271" s="27">
        <v>45120</v>
      </c>
      <c r="BP271" s="27">
        <v>45446</v>
      </c>
      <c r="BQ271" s="27">
        <v>45446</v>
      </c>
      <c r="BR271" s="27">
        <v>45305</v>
      </c>
      <c r="BS271" s="28">
        <v>-42</v>
      </c>
      <c r="BT271" s="29">
        <v>322</v>
      </c>
      <c r="BU271" s="29">
        <v>-42</v>
      </c>
      <c r="BV271" s="29">
        <v>-42</v>
      </c>
      <c r="BW271" s="29">
        <v>322</v>
      </c>
      <c r="BX271" s="30" t="s">
        <v>173</v>
      </c>
      <c r="BY271" s="8">
        <v>5</v>
      </c>
      <c r="BZ271" s="8">
        <v>0</v>
      </c>
      <c r="CA271" s="8">
        <v>0</v>
      </c>
      <c r="CB271" s="21" t="s">
        <v>143</v>
      </c>
      <c r="CC271" s="21" t="s">
        <v>143</v>
      </c>
      <c r="CD271" s="21" t="s">
        <v>143</v>
      </c>
      <c r="CE271" s="21" t="s">
        <v>143</v>
      </c>
      <c r="CF271" s="21" t="s">
        <v>143</v>
      </c>
      <c r="CG271" s="21" t="s">
        <v>143</v>
      </c>
      <c r="CH271" s="21" t="s">
        <v>143</v>
      </c>
      <c r="CI271" s="21" t="s">
        <v>143</v>
      </c>
      <c r="CJ271" s="21" t="s">
        <v>143</v>
      </c>
      <c r="CK271" s="22" t="s">
        <v>143</v>
      </c>
      <c r="CL271" s="22" t="s">
        <v>143</v>
      </c>
      <c r="CM271" s="22" t="s">
        <v>143</v>
      </c>
      <c r="CN271" s="22" t="s">
        <v>143</v>
      </c>
      <c r="CO271" s="22" t="s">
        <v>143</v>
      </c>
      <c r="CP271" s="22" t="s">
        <v>143</v>
      </c>
      <c r="CQ271" s="22" t="s">
        <v>143</v>
      </c>
      <c r="CR271" s="22" t="s">
        <v>143</v>
      </c>
      <c r="CS271" s="22" t="s">
        <v>143</v>
      </c>
      <c r="CT271" s="22" t="s">
        <v>143</v>
      </c>
      <c r="CU271" s="21" t="s">
        <v>143</v>
      </c>
      <c r="CV271" s="21" t="s">
        <v>143</v>
      </c>
      <c r="CW271" s="21" t="s">
        <v>143</v>
      </c>
      <c r="CX271" s="21" t="s">
        <v>143</v>
      </c>
      <c r="CY271" s="21" t="s">
        <v>143</v>
      </c>
      <c r="CZ271" s="21" t="s">
        <v>143</v>
      </c>
      <c r="DA271" s="21" t="s">
        <v>143</v>
      </c>
      <c r="DB271" s="21" t="s">
        <v>143</v>
      </c>
      <c r="DC271" s="21" t="s">
        <v>143</v>
      </c>
      <c r="DD271" s="8" t="s">
        <v>143</v>
      </c>
      <c r="DE271" s="8" t="s">
        <v>143</v>
      </c>
      <c r="DF271" s="8" t="s">
        <v>143</v>
      </c>
      <c r="DG271" s="8">
        <v>0</v>
      </c>
      <c r="DH271" s="8">
        <v>0</v>
      </c>
      <c r="DI271" s="8">
        <v>0</v>
      </c>
      <c r="DJ271" s="8" t="s">
        <v>3032</v>
      </c>
      <c r="DK271" s="21">
        <v>41754</v>
      </c>
      <c r="DL271" s="21">
        <v>41724</v>
      </c>
      <c r="DM271" s="21">
        <v>45941</v>
      </c>
      <c r="DN271" s="18">
        <v>1775</v>
      </c>
      <c r="DO271" s="21">
        <v>0</v>
      </c>
      <c r="DP271" s="21">
        <v>0</v>
      </c>
      <c r="DQ271" s="21" t="s">
        <v>2955</v>
      </c>
      <c r="DR271" s="21">
        <v>45266</v>
      </c>
      <c r="DS271" s="21">
        <v>45266</v>
      </c>
      <c r="DT271" s="21">
        <v>45266</v>
      </c>
      <c r="DU271" s="21">
        <v>45266</v>
      </c>
      <c r="DV271" s="21">
        <v>45266</v>
      </c>
      <c r="DW271" s="21">
        <v>0</v>
      </c>
      <c r="DX271" s="21">
        <v>0</v>
      </c>
      <c r="DY271" s="21">
        <v>0</v>
      </c>
      <c r="DZ271" s="21">
        <v>0</v>
      </c>
      <c r="EA271" s="8">
        <v>130</v>
      </c>
      <c r="EB271" s="8">
        <v>130</v>
      </c>
      <c r="EC271" s="8">
        <v>130</v>
      </c>
      <c r="ED271" s="8">
        <v>130</v>
      </c>
      <c r="EE271" s="8">
        <v>130</v>
      </c>
      <c r="EF271" s="8">
        <v>495</v>
      </c>
      <c r="EG271" s="8">
        <v>1000</v>
      </c>
      <c r="EH271" s="8">
        <v>495</v>
      </c>
      <c r="EI271" s="8">
        <v>495</v>
      </c>
      <c r="EJ271" s="8">
        <v>1</v>
      </c>
      <c r="EK271" s="8" t="s">
        <v>715</v>
      </c>
      <c r="EL271" s="8">
        <v>172</v>
      </c>
      <c r="EM271" s="8">
        <v>172</v>
      </c>
      <c r="EN271" s="8">
        <v>-158</v>
      </c>
      <c r="EO271" s="8">
        <v>-158</v>
      </c>
      <c r="EP271" s="8">
        <v>-158</v>
      </c>
      <c r="EQ271" s="8">
        <v>-158</v>
      </c>
      <c r="ER271" s="8">
        <v>-158</v>
      </c>
      <c r="ES271" s="8">
        <v>207</v>
      </c>
      <c r="ET271" s="8">
        <v>712</v>
      </c>
      <c r="EU271" s="8">
        <v>207</v>
      </c>
      <c r="EV271" s="8">
        <v>207</v>
      </c>
    </row>
    <row r="272" spans="1:152" x14ac:dyDescent="0.15">
      <c r="A272" s="8">
        <f>ROW([2]!tbl_DPSAC[[#This Row],[Sl. No.]])-1</f>
        <v>271</v>
      </c>
      <c r="B272" s="9" t="s">
        <v>196</v>
      </c>
      <c r="C272" s="9" t="s">
        <v>1413</v>
      </c>
      <c r="D272" s="9" t="s">
        <v>623</v>
      </c>
      <c r="E272" s="9" t="s">
        <v>199</v>
      </c>
      <c r="F272" s="9" t="s">
        <v>161</v>
      </c>
      <c r="G272" s="10" t="s">
        <v>1411</v>
      </c>
      <c r="H272" s="10" t="str">
        <f>_xlfn.XLOOKUP(C272,'[1]E&amp;DPSAC'!$K:$K,'[1]E&amp;DPSAC'!$E:$E,,0)</f>
        <v>PATNA</v>
      </c>
      <c r="I272" s="10" t="s">
        <v>1414</v>
      </c>
      <c r="J272" s="10" t="s">
        <v>143</v>
      </c>
      <c r="K272" s="10">
        <f>_xlfn.XLOOKUP(C272,'[1]E&amp;DPSAC'!$K:$K,'[1]E&amp;DPSAC'!$G:$G,"",0)</f>
        <v>8744075416</v>
      </c>
      <c r="L272" s="9" t="str">
        <f t="shared" ca="1" si="16"/>
        <v>Non - Warranty</v>
      </c>
      <c r="M272" s="11">
        <v>43775</v>
      </c>
      <c r="N272" s="12">
        <v>24</v>
      </c>
      <c r="O272" s="11">
        <f t="shared" si="17"/>
        <v>44530</v>
      </c>
      <c r="P272" s="8" t="s">
        <v>213</v>
      </c>
      <c r="Q272" s="16" t="s">
        <v>1415</v>
      </c>
      <c r="R272" s="15">
        <v>46052.511793981503</v>
      </c>
      <c r="S272" s="14">
        <v>1412</v>
      </c>
      <c r="T272" s="15">
        <v>46053</v>
      </c>
      <c r="U272" s="14">
        <v>1412</v>
      </c>
      <c r="V272" s="14">
        <v>1412</v>
      </c>
      <c r="W272" s="17">
        <v>46052.511793981503</v>
      </c>
      <c r="X272" s="14" t="s">
        <v>2705</v>
      </c>
      <c r="Y272" s="14">
        <v>750</v>
      </c>
      <c r="Z272" s="14" t="s">
        <v>2692</v>
      </c>
      <c r="AA272" s="18">
        <v>60.488206018497294</v>
      </c>
      <c r="AB272" s="18" t="s">
        <v>2692</v>
      </c>
      <c r="AC272" s="8">
        <f>tbl_DPSAC[[#This Row],[Current Month Due Count]]</f>
        <v>0</v>
      </c>
      <c r="AD272" s="8">
        <f>tbl_DPSAC[[#This Row],[Next Month Due2]]</f>
        <v>0</v>
      </c>
      <c r="AE272" s="8">
        <f t="shared" si="18"/>
        <v>0</v>
      </c>
      <c r="AF272" s="8">
        <v>1</v>
      </c>
      <c r="AG272" s="14">
        <f t="shared" ca="1" si="19"/>
        <v>1472</v>
      </c>
      <c r="AH272" s="8">
        <v>0</v>
      </c>
      <c r="AI272" s="8">
        <v>0</v>
      </c>
      <c r="AJ272" s="8">
        <v>0</v>
      </c>
      <c r="AK272" s="8">
        <v>0</v>
      </c>
      <c r="AL272" s="8">
        <v>0</v>
      </c>
      <c r="AM272" s="8">
        <v>0</v>
      </c>
      <c r="AN272" s="8">
        <v>0</v>
      </c>
      <c r="AO272" s="8">
        <v>0</v>
      </c>
      <c r="AP272" s="8">
        <v>0</v>
      </c>
      <c r="AQ272" s="8">
        <v>0</v>
      </c>
      <c r="AR272" s="8">
        <v>0</v>
      </c>
      <c r="AS272" s="8">
        <v>0</v>
      </c>
      <c r="AT272" s="8">
        <v>0</v>
      </c>
      <c r="AU272" s="8">
        <v>0</v>
      </c>
      <c r="AV272" s="8">
        <v>0</v>
      </c>
      <c r="AW272" s="8">
        <v>0</v>
      </c>
      <c r="AX272" s="8" t="s">
        <v>2007</v>
      </c>
      <c r="AY272" s="14">
        <v>1412</v>
      </c>
      <c r="AZ272" s="19">
        <v>46052</v>
      </c>
      <c r="BA272" s="14" t="s">
        <v>1415</v>
      </c>
      <c r="BB272" s="14">
        <v>1412</v>
      </c>
      <c r="BC272" s="19">
        <v>46052</v>
      </c>
      <c r="BD272" s="14" t="s">
        <v>1415</v>
      </c>
      <c r="BE272" s="14">
        <v>1412</v>
      </c>
      <c r="BF272" s="19">
        <v>46052</v>
      </c>
      <c r="BG272" s="14" t="s">
        <v>1415</v>
      </c>
      <c r="BH272" s="14">
        <v>1412</v>
      </c>
      <c r="BI272" s="19">
        <v>46052</v>
      </c>
      <c r="BJ272" s="14" t="s">
        <v>1415</v>
      </c>
      <c r="BK272" s="14">
        <v>1412</v>
      </c>
      <c r="BL272" s="19">
        <v>46052</v>
      </c>
      <c r="BM272" s="14" t="s">
        <v>1415</v>
      </c>
      <c r="BN272" s="27">
        <v>46232</v>
      </c>
      <c r="BO272" s="27">
        <v>46232</v>
      </c>
      <c r="BP272" s="27">
        <v>46232</v>
      </c>
      <c r="BQ272" s="27">
        <v>46232</v>
      </c>
      <c r="BR272" s="27">
        <v>46417</v>
      </c>
      <c r="BS272" s="28">
        <v>690</v>
      </c>
      <c r="BT272" s="29">
        <v>1440</v>
      </c>
      <c r="BU272" s="29">
        <v>690</v>
      </c>
      <c r="BV272" s="29">
        <v>690</v>
      </c>
      <c r="BW272" s="29">
        <v>1440</v>
      </c>
      <c r="BX272" s="30" t="s">
        <v>152</v>
      </c>
      <c r="BY272" s="8">
        <v>0</v>
      </c>
      <c r="BZ272" s="8">
        <v>0</v>
      </c>
      <c r="CA272" s="8">
        <v>0</v>
      </c>
      <c r="CB272" s="21">
        <v>46052.770833333299</v>
      </c>
      <c r="CC272" s="21">
        <v>46051.770833333299</v>
      </c>
      <c r="CD272" s="21">
        <v>46051.770833333299</v>
      </c>
      <c r="CE272" s="21">
        <v>46051.770833333299</v>
      </c>
      <c r="CF272" s="21">
        <v>46051.770833333299</v>
      </c>
      <c r="CG272" s="21">
        <v>46051.770833333299</v>
      </c>
      <c r="CH272" s="21">
        <v>46051.770833333299</v>
      </c>
      <c r="CI272" s="21">
        <v>46051.770833333299</v>
      </c>
      <c r="CJ272" s="21">
        <v>46051.770833333299</v>
      </c>
      <c r="CK272" s="22" t="s">
        <v>2956</v>
      </c>
      <c r="CL272" s="22" t="s">
        <v>2957</v>
      </c>
      <c r="CM272" s="22" t="s">
        <v>2959</v>
      </c>
      <c r="CN272" s="22" t="s">
        <v>2957</v>
      </c>
      <c r="CO272" s="22" t="s">
        <v>2957</v>
      </c>
      <c r="CP272" s="22" t="s">
        <v>2956</v>
      </c>
      <c r="CQ272" s="22" t="s">
        <v>2953</v>
      </c>
      <c r="CR272" s="22" t="s">
        <v>2956</v>
      </c>
      <c r="CS272" s="22" t="s">
        <v>2960</v>
      </c>
      <c r="CT272" s="22">
        <v>6</v>
      </c>
      <c r="CU272" s="21">
        <v>46232</v>
      </c>
      <c r="CV272" s="21">
        <v>46178</v>
      </c>
      <c r="CW272" s="21">
        <v>46136</v>
      </c>
      <c r="CX272" s="21">
        <v>46178</v>
      </c>
      <c r="CY272" s="21">
        <v>46178</v>
      </c>
      <c r="CZ272" s="21">
        <v>46303</v>
      </c>
      <c r="DA272" s="21">
        <v>46219</v>
      </c>
      <c r="DB272" s="21">
        <v>46231</v>
      </c>
      <c r="DC272" s="21">
        <v>46416</v>
      </c>
      <c r="DD272" s="8">
        <v>0</v>
      </c>
      <c r="DE272" s="8">
        <v>0</v>
      </c>
      <c r="DF272" s="8">
        <v>0</v>
      </c>
      <c r="DG272" s="8">
        <v>0</v>
      </c>
      <c r="DH272" s="8">
        <v>1</v>
      </c>
      <c r="DI272" s="8">
        <v>0</v>
      </c>
      <c r="DJ272" s="8" t="s">
        <v>2976</v>
      </c>
      <c r="DK272" s="21">
        <v>43627</v>
      </c>
      <c r="DL272" s="21">
        <v>43594.229166666664</v>
      </c>
      <c r="DM272" s="21">
        <v>46053</v>
      </c>
      <c r="DN272" s="18">
        <v>1412</v>
      </c>
      <c r="DO272" s="21">
        <v>0</v>
      </c>
      <c r="DP272" s="21">
        <v>0</v>
      </c>
      <c r="DQ272" s="21" t="s">
        <v>2955</v>
      </c>
      <c r="DR272" s="21">
        <v>46053</v>
      </c>
      <c r="DS272" s="21">
        <v>46052</v>
      </c>
      <c r="DT272" s="21">
        <v>46052</v>
      </c>
      <c r="DU272" s="21">
        <v>46052</v>
      </c>
      <c r="DV272" s="21">
        <v>46052</v>
      </c>
      <c r="DW272" s="21">
        <v>46052</v>
      </c>
      <c r="DX272" s="21">
        <v>46052</v>
      </c>
      <c r="DY272" s="21">
        <v>46052</v>
      </c>
      <c r="DZ272" s="21">
        <v>46052</v>
      </c>
      <c r="EA272" s="8">
        <v>1500</v>
      </c>
      <c r="EB272" s="8">
        <v>750</v>
      </c>
      <c r="EC272" s="8">
        <v>500</v>
      </c>
      <c r="ED272" s="8">
        <v>750</v>
      </c>
      <c r="EE272" s="8">
        <v>750</v>
      </c>
      <c r="EF272" s="8">
        <v>1500</v>
      </c>
      <c r="EG272" s="8">
        <v>1000</v>
      </c>
      <c r="EH272" s="8">
        <v>1500</v>
      </c>
      <c r="EI272" s="8">
        <v>3000</v>
      </c>
      <c r="EJ272" s="8">
        <v>6</v>
      </c>
      <c r="EK272" s="8" t="s">
        <v>2624</v>
      </c>
      <c r="EL272" s="8">
        <v>60</v>
      </c>
      <c r="EM272" s="8">
        <v>60</v>
      </c>
      <c r="EN272" s="8">
        <v>1212</v>
      </c>
      <c r="EO272" s="8">
        <v>462</v>
      </c>
      <c r="EP272" s="8">
        <v>212</v>
      </c>
      <c r="EQ272" s="8">
        <v>462</v>
      </c>
      <c r="ER272" s="8">
        <v>462</v>
      </c>
      <c r="ES272" s="8">
        <v>1212</v>
      </c>
      <c r="ET272" s="8">
        <v>712</v>
      </c>
      <c r="EU272" s="8">
        <v>1212</v>
      </c>
      <c r="EV272" s="8">
        <v>2712</v>
      </c>
    </row>
    <row r="273" spans="1:152" x14ac:dyDescent="0.15">
      <c r="A273" s="8">
        <f>ROW([2]!tbl_DPSAC[[#This Row],[Sl. No.]])-1</f>
        <v>272</v>
      </c>
      <c r="B273" s="9" t="s">
        <v>196</v>
      </c>
      <c r="C273" s="9" t="s">
        <v>1416</v>
      </c>
      <c r="D273" s="9" t="s">
        <v>169</v>
      </c>
      <c r="E273" s="9" t="s">
        <v>170</v>
      </c>
      <c r="F273" s="9" t="s">
        <v>161</v>
      </c>
      <c r="G273" s="10" t="s">
        <v>1417</v>
      </c>
      <c r="H273" s="10" t="e">
        <f>_xlfn.XLOOKUP(C273,'[1]E&amp;DPSAC'!$K:$K,'[1]E&amp;DPSAC'!$E:$E,,0)</f>
        <v>#N/A</v>
      </c>
      <c r="I273" s="10"/>
      <c r="J273" s="10" t="s">
        <v>143</v>
      </c>
      <c r="K273" s="10" t="str">
        <f>_xlfn.XLOOKUP(C273,'[1]E&amp;DPSAC'!$K:$K,'[1]E&amp;DPSAC'!$G:$G,"",0)</f>
        <v/>
      </c>
      <c r="L273" s="9" t="str">
        <f t="shared" ca="1" si="16"/>
        <v>Non - Warranty</v>
      </c>
      <c r="M273" s="11">
        <v>42522</v>
      </c>
      <c r="N273" s="12">
        <v>24</v>
      </c>
      <c r="O273" s="11">
        <f t="shared" si="17"/>
        <v>43251</v>
      </c>
      <c r="P273" s="8" t="s">
        <v>157</v>
      </c>
      <c r="Q273" s="16" t="s">
        <v>143</v>
      </c>
      <c r="R273" s="15" t="s">
        <v>143</v>
      </c>
      <c r="S273" s="14" t="s">
        <v>143</v>
      </c>
      <c r="T273" s="15" t="s">
        <v>143</v>
      </c>
      <c r="U273" s="14" t="s">
        <v>143</v>
      </c>
      <c r="V273" s="14">
        <v>4350</v>
      </c>
      <c r="W273" s="17">
        <v>45134.683692129598</v>
      </c>
      <c r="X273" s="14" t="s">
        <v>143</v>
      </c>
      <c r="Y273" s="14">
        <v>0</v>
      </c>
      <c r="Z273" s="14" t="s">
        <v>2692</v>
      </c>
      <c r="AA273" s="18">
        <v>3591</v>
      </c>
      <c r="AB273" s="18" t="s">
        <v>2697</v>
      </c>
      <c r="AC273" s="8">
        <f>tbl_DPSAC[[#This Row],[Current Month Due Count]]</f>
        <v>0</v>
      </c>
      <c r="AD273" s="8">
        <f>tbl_DPSAC[[#This Row],[Next Month Due2]]</f>
        <v>0</v>
      </c>
      <c r="AE273" s="8">
        <f t="shared" si="18"/>
        <v>1</v>
      </c>
      <c r="AF273" s="8">
        <v>1</v>
      </c>
      <c r="AG273" s="14">
        <f t="shared" ca="1" si="19"/>
        <v>5328</v>
      </c>
      <c r="AH273" s="8">
        <v>0</v>
      </c>
      <c r="AI273" s="8">
        <v>0</v>
      </c>
      <c r="AJ273" s="8">
        <v>0</v>
      </c>
      <c r="AK273" s="8">
        <v>0</v>
      </c>
      <c r="AL273" s="8">
        <v>0</v>
      </c>
      <c r="AM273" s="8">
        <v>0</v>
      </c>
      <c r="AN273" s="8">
        <v>0</v>
      </c>
      <c r="AO273" s="8">
        <v>0</v>
      </c>
      <c r="AP273" s="8">
        <v>0</v>
      </c>
      <c r="AQ273" s="8">
        <v>0</v>
      </c>
      <c r="AR273" s="8">
        <v>0</v>
      </c>
      <c r="AS273" s="8">
        <v>0</v>
      </c>
      <c r="AT273" s="8">
        <v>0</v>
      </c>
      <c r="AU273" s="8">
        <v>0</v>
      </c>
      <c r="AV273" s="8">
        <v>0</v>
      </c>
      <c r="AW273" s="8">
        <v>0</v>
      </c>
      <c r="AX273" s="8" t="s">
        <v>3033</v>
      </c>
      <c r="AY273" s="14">
        <v>4100</v>
      </c>
      <c r="AZ273" s="19">
        <v>44831</v>
      </c>
      <c r="BA273" s="14"/>
      <c r="BB273" s="14">
        <v>4100</v>
      </c>
      <c r="BC273" s="19">
        <v>44831</v>
      </c>
      <c r="BD273" s="14"/>
      <c r="BE273" s="14">
        <v>4100</v>
      </c>
      <c r="BF273" s="19">
        <v>44831</v>
      </c>
      <c r="BG273" s="14"/>
      <c r="BH273" s="14"/>
      <c r="BI273" s="19"/>
      <c r="BJ273" s="14"/>
      <c r="BK273" s="14">
        <v>4100</v>
      </c>
      <c r="BL273" s="19">
        <v>44831</v>
      </c>
      <c r="BM273" s="14"/>
      <c r="BN273" s="27">
        <v>45011</v>
      </c>
      <c r="BO273" s="27">
        <v>45011</v>
      </c>
      <c r="BP273" s="27">
        <v>45011</v>
      </c>
      <c r="BQ273" s="27" t="s">
        <v>143</v>
      </c>
      <c r="BR273" s="27">
        <v>45196</v>
      </c>
      <c r="BS273" s="28">
        <v>-478</v>
      </c>
      <c r="BT273" s="29">
        <v>272</v>
      </c>
      <c r="BU273" s="29">
        <v>-478</v>
      </c>
      <c r="BV273" s="29" t="s">
        <v>143</v>
      </c>
      <c r="BW273" s="29">
        <v>272</v>
      </c>
      <c r="BX273" s="8" t="s">
        <v>1016</v>
      </c>
      <c r="BY273" s="8">
        <v>4</v>
      </c>
      <c r="BZ273" s="8">
        <v>0</v>
      </c>
      <c r="CA273" s="8">
        <v>0</v>
      </c>
      <c r="CB273" s="21">
        <v>0</v>
      </c>
      <c r="CC273" s="21">
        <v>0</v>
      </c>
      <c r="CD273" s="21">
        <v>0</v>
      </c>
      <c r="CE273" s="21">
        <v>0</v>
      </c>
      <c r="CF273" s="21">
        <v>0</v>
      </c>
      <c r="CG273" s="21">
        <v>0</v>
      </c>
      <c r="CH273" s="21">
        <v>0</v>
      </c>
      <c r="CI273" s="21">
        <v>0</v>
      </c>
      <c r="CJ273" s="21">
        <v>0</v>
      </c>
      <c r="CK273" s="22" t="s">
        <v>3007</v>
      </c>
      <c r="CL273" s="22" t="s">
        <v>3007</v>
      </c>
      <c r="CM273" s="22" t="s">
        <v>3007</v>
      </c>
      <c r="CN273" s="22" t="s">
        <v>3007</v>
      </c>
      <c r="CO273" s="22" t="s">
        <v>3007</v>
      </c>
      <c r="CP273" s="22" t="s">
        <v>3007</v>
      </c>
      <c r="CQ273" s="22" t="s">
        <v>3007</v>
      </c>
      <c r="CR273" s="22" t="s">
        <v>3007</v>
      </c>
      <c r="CS273" s="22" t="s">
        <v>3007</v>
      </c>
      <c r="CT273" s="22">
        <v>0</v>
      </c>
      <c r="CU273" s="21">
        <v>0</v>
      </c>
      <c r="CV273" s="21">
        <v>0</v>
      </c>
      <c r="CW273" s="21">
        <v>0</v>
      </c>
      <c r="CX273" s="21">
        <v>0</v>
      </c>
      <c r="CY273" s="21">
        <v>0</v>
      </c>
      <c r="CZ273" s="21">
        <v>0</v>
      </c>
      <c r="DA273" s="21">
        <v>0</v>
      </c>
      <c r="DB273" s="21">
        <v>0</v>
      </c>
      <c r="DC273" s="21">
        <v>0</v>
      </c>
      <c r="DD273" s="8">
        <v>0</v>
      </c>
      <c r="DE273" s="8">
        <v>0</v>
      </c>
      <c r="DF273" s="8">
        <v>0</v>
      </c>
      <c r="DG273" s="8">
        <v>9</v>
      </c>
      <c r="DH273" s="8">
        <v>0</v>
      </c>
      <c r="DI273" s="8">
        <v>0</v>
      </c>
      <c r="DJ273" s="8" t="s">
        <v>3025</v>
      </c>
      <c r="DK273" s="21">
        <v>42562</v>
      </c>
      <c r="DL273" s="21">
        <v>42333</v>
      </c>
      <c r="DM273" s="21">
        <v>45134</v>
      </c>
      <c r="DN273" s="18">
        <v>4350</v>
      </c>
      <c r="DO273" s="21">
        <v>0</v>
      </c>
      <c r="DP273" s="21">
        <v>0</v>
      </c>
      <c r="DQ273" s="21">
        <v>0</v>
      </c>
      <c r="DR273" s="21">
        <v>0</v>
      </c>
      <c r="DS273" s="21">
        <v>0</v>
      </c>
      <c r="DT273" s="21">
        <v>0</v>
      </c>
      <c r="DU273" s="21">
        <v>0</v>
      </c>
      <c r="DV273" s="21">
        <v>0</v>
      </c>
      <c r="DW273" s="21">
        <v>0</v>
      </c>
      <c r="DX273" s="21">
        <v>0</v>
      </c>
      <c r="DY273" s="21">
        <v>0</v>
      </c>
      <c r="DZ273" s="21">
        <v>0</v>
      </c>
      <c r="EA273" s="8">
        <v>650</v>
      </c>
      <c r="EB273" s="8">
        <v>650</v>
      </c>
      <c r="EC273" s="8">
        <v>650</v>
      </c>
      <c r="ED273" s="8">
        <v>650</v>
      </c>
      <c r="EE273" s="8">
        <v>650</v>
      </c>
      <c r="EF273" s="8">
        <v>650</v>
      </c>
      <c r="EG273" s="8">
        <v>650</v>
      </c>
      <c r="EH273" s="8">
        <v>650</v>
      </c>
      <c r="EI273" s="8">
        <v>650</v>
      </c>
      <c r="EJ273" s="8">
        <v>0</v>
      </c>
      <c r="EK273" s="8" t="s">
        <v>157</v>
      </c>
      <c r="EL273" s="8">
        <v>978</v>
      </c>
      <c r="EM273" s="8">
        <v>978</v>
      </c>
      <c r="EN273" s="8">
        <v>362</v>
      </c>
      <c r="EO273" s="8">
        <v>362</v>
      </c>
      <c r="EP273" s="8">
        <v>362</v>
      </c>
      <c r="EQ273" s="8">
        <v>362</v>
      </c>
      <c r="ER273" s="8">
        <v>362</v>
      </c>
      <c r="ES273" s="8">
        <v>362</v>
      </c>
      <c r="ET273" s="8">
        <v>362</v>
      </c>
      <c r="EU273" s="8">
        <v>362</v>
      </c>
      <c r="EV273" s="8">
        <v>362</v>
      </c>
    </row>
    <row r="274" spans="1:152" x14ac:dyDescent="0.15">
      <c r="A274" s="8">
        <f>ROW([2]!tbl_DPSAC[[#This Row],[Sl. No.]])-1</f>
        <v>273</v>
      </c>
      <c r="B274" s="9" t="s">
        <v>196</v>
      </c>
      <c r="C274" s="9" t="s">
        <v>1418</v>
      </c>
      <c r="D274" s="9" t="s">
        <v>623</v>
      </c>
      <c r="E274" s="9" t="s">
        <v>199</v>
      </c>
      <c r="F274" s="9" t="s">
        <v>161</v>
      </c>
      <c r="G274" s="10" t="s">
        <v>1419</v>
      </c>
      <c r="H274" s="10">
        <f>_xlfn.XLOOKUP(C274,'[1]E&amp;DPSAC'!$K:$K,'[1]E&amp;DPSAC'!$E:$E,,0)</f>
        <v>0</v>
      </c>
      <c r="I274" s="10" t="s">
        <v>1420</v>
      </c>
      <c r="J274" s="10">
        <v>9905577070</v>
      </c>
      <c r="K274" s="10">
        <f>_xlfn.XLOOKUP(C274,'[1]E&amp;DPSAC'!$K:$K,'[1]E&amp;DPSAC'!$G:$G,"",0)</f>
        <v>9905577070</v>
      </c>
      <c r="L274" s="9" t="str">
        <f t="shared" ca="1" si="16"/>
        <v>Non - Warranty</v>
      </c>
      <c r="M274" s="11">
        <v>43514.714583333334</v>
      </c>
      <c r="N274" s="12">
        <v>24</v>
      </c>
      <c r="O274" s="11">
        <f t="shared" si="17"/>
        <v>44255</v>
      </c>
      <c r="P274" s="8" t="s">
        <v>681</v>
      </c>
      <c r="Q274" s="16" t="s">
        <v>1421</v>
      </c>
      <c r="R274" s="15">
        <v>45339.649050925902</v>
      </c>
      <c r="S274" s="14">
        <v>1398</v>
      </c>
      <c r="T274" s="15">
        <v>45339</v>
      </c>
      <c r="U274" s="14">
        <v>1398</v>
      </c>
      <c r="V274" s="14">
        <v>1798</v>
      </c>
      <c r="W274" s="17">
        <v>45475.7106712963</v>
      </c>
      <c r="X274" s="14" t="s">
        <v>2769</v>
      </c>
      <c r="Y274" s="14">
        <v>350</v>
      </c>
      <c r="Z274" s="14" t="s">
        <v>2692</v>
      </c>
      <c r="AA274" s="18">
        <v>773.35094907409803</v>
      </c>
      <c r="AB274" s="18" t="s">
        <v>2697</v>
      </c>
      <c r="AC274" s="8">
        <f>tbl_DPSAC[[#This Row],[Current Month Due Count]]</f>
        <v>0</v>
      </c>
      <c r="AD274" s="8">
        <f>tbl_DPSAC[[#This Row],[Next Month Due2]]</f>
        <v>0</v>
      </c>
      <c r="AE274" s="8">
        <f t="shared" si="18"/>
        <v>1</v>
      </c>
      <c r="AF274" s="8">
        <v>3</v>
      </c>
      <c r="AG274" s="14">
        <f t="shared" ca="1" si="19"/>
        <v>3710</v>
      </c>
      <c r="AH274" s="8">
        <v>0</v>
      </c>
      <c r="AI274" s="8">
        <v>0</v>
      </c>
      <c r="AJ274" s="8">
        <v>0</v>
      </c>
      <c r="AK274" s="8">
        <v>0</v>
      </c>
      <c r="AL274" s="8">
        <v>0</v>
      </c>
      <c r="AM274" s="8">
        <v>0</v>
      </c>
      <c r="AN274" s="8">
        <v>0</v>
      </c>
      <c r="AO274" s="8">
        <v>0</v>
      </c>
      <c r="AP274" s="8">
        <v>0</v>
      </c>
      <c r="AQ274" s="8">
        <v>0</v>
      </c>
      <c r="AR274" s="8">
        <v>0</v>
      </c>
      <c r="AS274" s="8">
        <v>0</v>
      </c>
      <c r="AT274" s="8">
        <v>0</v>
      </c>
      <c r="AU274" s="8">
        <v>0</v>
      </c>
      <c r="AV274" s="8">
        <v>0</v>
      </c>
      <c r="AW274" s="8">
        <v>0</v>
      </c>
      <c r="AX274" s="8" t="s">
        <v>2961</v>
      </c>
      <c r="AY274" s="14">
        <v>1398</v>
      </c>
      <c r="AZ274" s="19">
        <v>45339</v>
      </c>
      <c r="BA274" s="14" t="s">
        <v>1421</v>
      </c>
      <c r="BB274" s="14">
        <v>1398</v>
      </c>
      <c r="BC274" s="19">
        <v>45339</v>
      </c>
      <c r="BD274" s="14" t="s">
        <v>1421</v>
      </c>
      <c r="BE274" s="14">
        <v>1398</v>
      </c>
      <c r="BF274" s="19">
        <v>45339</v>
      </c>
      <c r="BG274" s="14" t="s">
        <v>1421</v>
      </c>
      <c r="BH274" s="14">
        <v>1398</v>
      </c>
      <c r="BI274" s="19">
        <v>45339</v>
      </c>
      <c r="BJ274" s="14" t="s">
        <v>1421</v>
      </c>
      <c r="BK274" s="14">
        <v>1398</v>
      </c>
      <c r="BL274" s="19">
        <v>45339</v>
      </c>
      <c r="BM274" s="14" t="s">
        <v>1421</v>
      </c>
      <c r="BN274" s="27">
        <v>45519</v>
      </c>
      <c r="BO274" s="27">
        <v>45519</v>
      </c>
      <c r="BP274" s="27">
        <v>45519</v>
      </c>
      <c r="BQ274" s="27">
        <v>45519</v>
      </c>
      <c r="BR274" s="27">
        <v>45704</v>
      </c>
      <c r="BS274" s="28">
        <v>-1562</v>
      </c>
      <c r="BT274" s="29">
        <v>-812</v>
      </c>
      <c r="BU274" s="29">
        <v>-1562</v>
      </c>
      <c r="BV274" s="29">
        <v>-1562</v>
      </c>
      <c r="BW274" s="29">
        <v>-812</v>
      </c>
      <c r="BX274" s="30" t="s">
        <v>416</v>
      </c>
      <c r="BY274" s="8">
        <v>5</v>
      </c>
      <c r="BZ274" s="8">
        <v>0</v>
      </c>
      <c r="CA274" s="8">
        <v>0</v>
      </c>
      <c r="CB274" s="21">
        <v>45338.770833333299</v>
      </c>
      <c r="CC274" s="21">
        <v>45338.770833333299</v>
      </c>
      <c r="CD274" s="21">
        <v>45338.770833333299</v>
      </c>
      <c r="CE274" s="21">
        <v>45338.770833333299</v>
      </c>
      <c r="CF274" s="21">
        <v>45338.770833333299</v>
      </c>
      <c r="CG274" s="21">
        <v>45338.770833333299</v>
      </c>
      <c r="CH274" s="21">
        <v>45338.770833333299</v>
      </c>
      <c r="CI274" s="21">
        <v>45338.770833333299</v>
      </c>
      <c r="CJ274" s="21">
        <v>45338.770833333299</v>
      </c>
      <c r="CK274" s="22" t="s">
        <v>2978</v>
      </c>
      <c r="CL274" s="22" t="s">
        <v>2978</v>
      </c>
      <c r="CM274" s="22" t="s">
        <v>2978</v>
      </c>
      <c r="CN274" s="22" t="s">
        <v>2978</v>
      </c>
      <c r="CO274" s="22" t="s">
        <v>2978</v>
      </c>
      <c r="CP274" s="22" t="s">
        <v>3021</v>
      </c>
      <c r="CQ274" s="22" t="s">
        <v>2953</v>
      </c>
      <c r="CR274" s="22" t="s">
        <v>3021</v>
      </c>
      <c r="CS274" s="22" t="s">
        <v>3021</v>
      </c>
      <c r="CT274" s="22">
        <v>3</v>
      </c>
      <c r="CU274" s="21">
        <v>45518</v>
      </c>
      <c r="CV274" s="21">
        <v>45518</v>
      </c>
      <c r="CW274" s="21">
        <v>45518</v>
      </c>
      <c r="CX274" s="21">
        <v>45518</v>
      </c>
      <c r="CY274" s="21">
        <v>45518</v>
      </c>
      <c r="CZ274" s="21">
        <v>45608</v>
      </c>
      <c r="DA274" s="21">
        <v>45703</v>
      </c>
      <c r="DB274" s="21">
        <v>45518</v>
      </c>
      <c r="DC274" s="21">
        <v>45703</v>
      </c>
      <c r="DD274" s="8">
        <v>1</v>
      </c>
      <c r="DE274" s="8">
        <v>0</v>
      </c>
      <c r="DF274" s="8">
        <v>0</v>
      </c>
      <c r="DG274" s="8">
        <v>9</v>
      </c>
      <c r="DH274" s="8">
        <v>0</v>
      </c>
      <c r="DI274" s="8">
        <v>0</v>
      </c>
      <c r="DJ274" s="8" t="s">
        <v>3025</v>
      </c>
      <c r="DK274" s="21">
        <v>43514</v>
      </c>
      <c r="DL274" s="21">
        <v>43476.229166666664</v>
      </c>
      <c r="DM274" s="21">
        <v>45475</v>
      </c>
      <c r="DN274" s="18">
        <v>1798</v>
      </c>
      <c r="DO274" s="21">
        <v>0</v>
      </c>
      <c r="DP274" s="21">
        <v>0</v>
      </c>
      <c r="DQ274" s="21" t="s">
        <v>2955</v>
      </c>
      <c r="DR274" s="21">
        <v>45339</v>
      </c>
      <c r="DS274" s="21">
        <v>45339</v>
      </c>
      <c r="DT274" s="21">
        <v>45339</v>
      </c>
      <c r="DU274" s="21">
        <v>45339</v>
      </c>
      <c r="DV274" s="21">
        <v>45339</v>
      </c>
      <c r="DW274" s="21">
        <v>45339</v>
      </c>
      <c r="DX274" s="21">
        <v>45339</v>
      </c>
      <c r="DY274" s="21">
        <v>45339</v>
      </c>
      <c r="DZ274" s="21">
        <v>45339</v>
      </c>
      <c r="EA274" s="8">
        <v>350</v>
      </c>
      <c r="EB274" s="8">
        <v>350</v>
      </c>
      <c r="EC274" s="8">
        <v>350</v>
      </c>
      <c r="ED274" s="8">
        <v>350</v>
      </c>
      <c r="EE274" s="8">
        <v>350</v>
      </c>
      <c r="EF274" s="8">
        <v>1100</v>
      </c>
      <c r="EG274" s="8">
        <v>1000</v>
      </c>
      <c r="EH274" s="8">
        <v>1100</v>
      </c>
      <c r="EI274" s="8">
        <v>1100</v>
      </c>
      <c r="EJ274" s="8">
        <v>3</v>
      </c>
      <c r="EK274" s="8" t="s">
        <v>2624</v>
      </c>
      <c r="EL274" s="8">
        <v>637</v>
      </c>
      <c r="EM274" s="8">
        <v>1911</v>
      </c>
      <c r="EN274" s="8">
        <v>62</v>
      </c>
      <c r="EO274" s="8">
        <v>62</v>
      </c>
      <c r="EP274" s="8">
        <v>62</v>
      </c>
      <c r="EQ274" s="8">
        <v>62</v>
      </c>
      <c r="ER274" s="8">
        <v>62</v>
      </c>
      <c r="ES274" s="8">
        <v>812</v>
      </c>
      <c r="ET274" s="8">
        <v>712</v>
      </c>
      <c r="EU274" s="8">
        <v>812</v>
      </c>
      <c r="EV274" s="8">
        <v>812</v>
      </c>
    </row>
    <row r="275" spans="1:152" x14ac:dyDescent="0.15">
      <c r="A275" s="8">
        <f>ROW([2]!tbl_DPSAC[[#This Row],[Sl. No.]])-1</f>
        <v>274</v>
      </c>
      <c r="B275" s="9" t="s">
        <v>136</v>
      </c>
      <c r="C275" s="9" t="s">
        <v>1422</v>
      </c>
      <c r="D275" s="9" t="s">
        <v>1423</v>
      </c>
      <c r="E275" s="9" t="s">
        <v>333</v>
      </c>
      <c r="F275" s="9" t="s">
        <v>161</v>
      </c>
      <c r="G275" s="10" t="s">
        <v>162</v>
      </c>
      <c r="H275" s="10" t="str">
        <f>_xlfn.XLOOKUP(C275,'[1]E&amp;DPSAC'!$K:$K,'[1]E&amp;DPSAC'!$E:$E,,0)</f>
        <v>BENIDIH</v>
      </c>
      <c r="I275" s="10" t="s">
        <v>163</v>
      </c>
      <c r="J275" s="10">
        <v>9006617909</v>
      </c>
      <c r="K275" s="10">
        <f>_xlfn.XLOOKUP(C275,'[1]E&amp;DPSAC'!$K:$K,'[1]E&amp;DPSAC'!$G:$G,"",0)</f>
        <v>9006617909</v>
      </c>
      <c r="L275" s="9" t="str">
        <f t="shared" ca="1" si="16"/>
        <v>Non - Warranty</v>
      </c>
      <c r="M275" s="11">
        <v>42816</v>
      </c>
      <c r="N275" s="12">
        <v>24</v>
      </c>
      <c r="O275" s="11">
        <f t="shared" si="17"/>
        <v>43555</v>
      </c>
      <c r="P275" s="8" t="s">
        <v>689</v>
      </c>
      <c r="Q275" s="16" t="s">
        <v>1424</v>
      </c>
      <c r="R275" s="15">
        <v>46052.507152777798</v>
      </c>
      <c r="S275" s="14">
        <v>10829</v>
      </c>
      <c r="T275" s="15">
        <v>46053</v>
      </c>
      <c r="U275" s="14">
        <v>10829</v>
      </c>
      <c r="V275" s="14">
        <v>10829</v>
      </c>
      <c r="W275" s="17">
        <v>46052.507152777798</v>
      </c>
      <c r="X275" s="14" t="s">
        <v>2705</v>
      </c>
      <c r="Y275" s="14">
        <v>750</v>
      </c>
      <c r="Z275" s="14" t="s">
        <v>2692</v>
      </c>
      <c r="AA275" s="18">
        <v>60.492847222201817</v>
      </c>
      <c r="AB275" s="18" t="s">
        <v>2692</v>
      </c>
      <c r="AC275" s="8">
        <f>tbl_DPSAC[[#This Row],[Current Month Due Count]]</f>
        <v>0</v>
      </c>
      <c r="AD275" s="8">
        <f>tbl_DPSAC[[#This Row],[Next Month Due2]]</f>
        <v>0</v>
      </c>
      <c r="AE275" s="8">
        <f t="shared" si="18"/>
        <v>0</v>
      </c>
      <c r="AF275" s="8">
        <v>6</v>
      </c>
      <c r="AG275" s="14">
        <f t="shared" ca="1" si="19"/>
        <v>11192</v>
      </c>
      <c r="AH275" s="8">
        <v>0</v>
      </c>
      <c r="AI275" s="8">
        <v>0</v>
      </c>
      <c r="AJ275" s="8">
        <v>0</v>
      </c>
      <c r="AK275" s="8">
        <v>0</v>
      </c>
      <c r="AL275" s="8">
        <v>0</v>
      </c>
      <c r="AM275" s="8">
        <v>0</v>
      </c>
      <c r="AN275" s="8">
        <v>0</v>
      </c>
      <c r="AO275" s="8">
        <v>0</v>
      </c>
      <c r="AP275" s="8">
        <v>0</v>
      </c>
      <c r="AQ275" s="8">
        <v>0</v>
      </c>
      <c r="AR275" s="8">
        <v>0</v>
      </c>
      <c r="AS275" s="8">
        <v>0</v>
      </c>
      <c r="AT275" s="8">
        <v>0</v>
      </c>
      <c r="AU275" s="8">
        <v>0</v>
      </c>
      <c r="AV275" s="8">
        <v>0</v>
      </c>
      <c r="AW275" s="8">
        <v>0</v>
      </c>
      <c r="AX275" s="8" t="s">
        <v>2007</v>
      </c>
      <c r="AY275" s="14">
        <v>10829</v>
      </c>
      <c r="AZ275" s="19">
        <v>46052</v>
      </c>
      <c r="BA275" s="14" t="s">
        <v>1424</v>
      </c>
      <c r="BB275" s="14">
        <v>10829</v>
      </c>
      <c r="BC275" s="19">
        <v>46052</v>
      </c>
      <c r="BD275" s="14" t="s">
        <v>1424</v>
      </c>
      <c r="BE275" s="14">
        <v>10829</v>
      </c>
      <c r="BF275" s="19">
        <v>46052</v>
      </c>
      <c r="BG275" s="14" t="s">
        <v>1424</v>
      </c>
      <c r="BH275" s="14">
        <v>10829</v>
      </c>
      <c r="BI275" s="19">
        <v>46052</v>
      </c>
      <c r="BJ275" s="14" t="s">
        <v>1424</v>
      </c>
      <c r="BK275" s="14">
        <v>10829</v>
      </c>
      <c r="BL275" s="19">
        <v>46052</v>
      </c>
      <c r="BM275" s="14" t="s">
        <v>1424</v>
      </c>
      <c r="BN275" s="27">
        <v>46232</v>
      </c>
      <c r="BO275" s="27">
        <v>46232</v>
      </c>
      <c r="BP275" s="27">
        <v>46232</v>
      </c>
      <c r="BQ275" s="27">
        <v>46232</v>
      </c>
      <c r="BR275" s="27">
        <v>46417</v>
      </c>
      <c r="BS275" s="28">
        <v>387</v>
      </c>
      <c r="BT275" s="29">
        <v>1137</v>
      </c>
      <c r="BU275" s="29">
        <v>387</v>
      </c>
      <c r="BV275" s="29">
        <v>387</v>
      </c>
      <c r="BW275" s="29">
        <v>1137</v>
      </c>
      <c r="BX275" s="30" t="s">
        <v>693</v>
      </c>
      <c r="BY275" s="8">
        <v>0</v>
      </c>
      <c r="BZ275" s="8">
        <v>0</v>
      </c>
      <c r="CA275" s="8">
        <v>0</v>
      </c>
      <c r="CB275" s="21">
        <v>46051.770833333299</v>
      </c>
      <c r="CC275" s="21">
        <v>46051.770833333299</v>
      </c>
      <c r="CD275" s="21">
        <v>46051.770833333299</v>
      </c>
      <c r="CE275" s="21">
        <v>46051.770833333299</v>
      </c>
      <c r="CF275" s="21">
        <v>46051.770833333299</v>
      </c>
      <c r="CG275" s="21">
        <v>46051.770833333299</v>
      </c>
      <c r="CH275" s="21">
        <v>46052.770833333299</v>
      </c>
      <c r="CI275" s="21">
        <v>46052.770833333299</v>
      </c>
      <c r="CJ275" s="21">
        <v>46052.770833333299</v>
      </c>
      <c r="CK275" s="22" t="s">
        <v>2956</v>
      </c>
      <c r="CL275" s="22" t="s">
        <v>2957</v>
      </c>
      <c r="CM275" s="22" t="s">
        <v>2959</v>
      </c>
      <c r="CN275" s="22" t="s">
        <v>2957</v>
      </c>
      <c r="CO275" s="22" t="s">
        <v>2957</v>
      </c>
      <c r="CP275" s="22" t="s">
        <v>2956</v>
      </c>
      <c r="CQ275" s="22" t="s">
        <v>2953</v>
      </c>
      <c r="CR275" s="22" t="s">
        <v>2956</v>
      </c>
      <c r="CS275" s="22" t="s">
        <v>2960</v>
      </c>
      <c r="CT275" s="22">
        <v>4</v>
      </c>
      <c r="CU275" s="21">
        <v>46231</v>
      </c>
      <c r="CV275" s="21">
        <v>46231</v>
      </c>
      <c r="CW275" s="21">
        <v>46178</v>
      </c>
      <c r="CX275" s="21">
        <v>46231</v>
      </c>
      <c r="CY275" s="21">
        <v>46231</v>
      </c>
      <c r="CZ275" s="21">
        <v>46321</v>
      </c>
      <c r="DA275" s="21">
        <v>46303</v>
      </c>
      <c r="DB275" s="21">
        <v>46232</v>
      </c>
      <c r="DC275" s="21">
        <v>46417</v>
      </c>
      <c r="DD275" s="8">
        <v>0</v>
      </c>
      <c r="DE275" s="8">
        <v>0</v>
      </c>
      <c r="DF275" s="8">
        <v>0</v>
      </c>
      <c r="DG275" s="8">
        <v>0</v>
      </c>
      <c r="DH275" s="8">
        <v>0</v>
      </c>
      <c r="DI275" s="8">
        <v>0</v>
      </c>
      <c r="DJ275" s="8" t="s">
        <v>2976</v>
      </c>
      <c r="DK275" s="21">
        <v>42816</v>
      </c>
      <c r="DL275" s="21">
        <v>42654</v>
      </c>
      <c r="DM275" s="21">
        <v>46053</v>
      </c>
      <c r="DN275" s="18">
        <v>10829</v>
      </c>
      <c r="DO275" s="21">
        <v>0</v>
      </c>
      <c r="DP275" s="21">
        <v>0</v>
      </c>
      <c r="DQ275" s="21" t="s">
        <v>2955</v>
      </c>
      <c r="DR275" s="21">
        <v>46052</v>
      </c>
      <c r="DS275" s="21">
        <v>46052</v>
      </c>
      <c r="DT275" s="21">
        <v>46052</v>
      </c>
      <c r="DU275" s="21">
        <v>46052</v>
      </c>
      <c r="DV275" s="21">
        <v>46052</v>
      </c>
      <c r="DW275" s="21">
        <v>46052</v>
      </c>
      <c r="DX275" s="21">
        <v>46053</v>
      </c>
      <c r="DY275" s="21">
        <v>46053</v>
      </c>
      <c r="DZ275" s="21">
        <v>46053</v>
      </c>
      <c r="EA275" s="8">
        <v>1500</v>
      </c>
      <c r="EB275" s="8">
        <v>750</v>
      </c>
      <c r="EC275" s="8">
        <v>500</v>
      </c>
      <c r="ED275" s="8">
        <v>750</v>
      </c>
      <c r="EE275" s="8">
        <v>750</v>
      </c>
      <c r="EF275" s="8">
        <v>1500</v>
      </c>
      <c r="EG275" s="8">
        <v>1000</v>
      </c>
      <c r="EH275" s="8">
        <v>1500</v>
      </c>
      <c r="EI275" s="8">
        <v>3000</v>
      </c>
      <c r="EJ275" s="8">
        <v>4</v>
      </c>
      <c r="EK275" s="8" t="s">
        <v>689</v>
      </c>
      <c r="EL275" s="8">
        <v>60</v>
      </c>
      <c r="EM275" s="8">
        <v>360</v>
      </c>
      <c r="EN275" s="8">
        <v>1212</v>
      </c>
      <c r="EO275" s="8">
        <v>462</v>
      </c>
      <c r="EP275" s="8">
        <v>212</v>
      </c>
      <c r="EQ275" s="8">
        <v>462</v>
      </c>
      <c r="ER275" s="8">
        <v>462</v>
      </c>
      <c r="ES275" s="8">
        <v>1212</v>
      </c>
      <c r="ET275" s="8">
        <v>712</v>
      </c>
      <c r="EU275" s="8">
        <v>1212</v>
      </c>
      <c r="EV275" s="8">
        <v>2712</v>
      </c>
    </row>
    <row r="276" spans="1:152" x14ac:dyDescent="0.15">
      <c r="A276" s="8">
        <f>ROW([2]!tbl_DPSAC[[#This Row],[Sl. No.]])-1</f>
        <v>275</v>
      </c>
      <c r="B276" s="9" t="s">
        <v>196</v>
      </c>
      <c r="C276" s="9" t="s">
        <v>1425</v>
      </c>
      <c r="D276" s="9" t="s">
        <v>1426</v>
      </c>
      <c r="E276" s="9" t="s">
        <v>199</v>
      </c>
      <c r="F276" s="9" t="s">
        <v>140</v>
      </c>
      <c r="G276" s="10" t="s">
        <v>1427</v>
      </c>
      <c r="H276" s="10" t="str">
        <f>_xlfn.XLOOKUP(C276,'[1]E&amp;DPSAC'!$K:$K,'[1]E&amp;DPSAC'!$E:$E,,0)</f>
        <v>BEGUSARAI, BIHAR</v>
      </c>
      <c r="I276" s="10"/>
      <c r="J276" s="10">
        <v>8678000802</v>
      </c>
      <c r="K276" s="10">
        <f>IF(_xlfn.XLOOKUP(C276,'[1]E&amp;DPSAC'!$K:$K,'[1]E&amp;DPSAC'!$G:$G,"",0)=J276,"",_xlfn.XLOOKUP(C276,'[1]E&amp;DPSAC'!$K:$K,'[1]E&amp;DPSAC'!$G:$G,"",0))</f>
        <v>9973237962</v>
      </c>
      <c r="L276" s="9" t="str">
        <f t="shared" ca="1" si="16"/>
        <v>Non - Warranty</v>
      </c>
      <c r="M276" s="11">
        <v>44876</v>
      </c>
      <c r="N276" s="12">
        <v>36</v>
      </c>
      <c r="O276" s="11">
        <f t="shared" si="17"/>
        <v>45991</v>
      </c>
      <c r="P276" s="8" t="s">
        <v>213</v>
      </c>
      <c r="Q276" s="16" t="s">
        <v>1434</v>
      </c>
      <c r="R276" s="15">
        <v>45846.459444444401</v>
      </c>
      <c r="S276" s="14">
        <v>4330</v>
      </c>
      <c r="T276" s="15">
        <v>45923</v>
      </c>
      <c r="U276" s="14">
        <v>4682</v>
      </c>
      <c r="V276" s="14">
        <v>4740</v>
      </c>
      <c r="W276" s="17">
        <v>45967.872604166703</v>
      </c>
      <c r="X276" s="14" t="s">
        <v>2806</v>
      </c>
      <c r="Y276" s="14">
        <v>340</v>
      </c>
      <c r="Z276" s="14" t="s">
        <v>2692</v>
      </c>
      <c r="AA276" s="18">
        <v>266.54055555559898</v>
      </c>
      <c r="AB276" s="18" t="s">
        <v>2697</v>
      </c>
      <c r="AC276" s="8">
        <f>tbl_DPSAC[[#This Row],[Current Month Due Count]]</f>
        <v>0</v>
      </c>
      <c r="AD276" s="8">
        <f>tbl_DPSAC[[#This Row],[Next Month Due2]]</f>
        <v>0</v>
      </c>
      <c r="AE276" s="8">
        <f t="shared" si="18"/>
        <v>1</v>
      </c>
      <c r="AF276" s="8">
        <v>0</v>
      </c>
      <c r="AG276" s="14">
        <f t="shared" ca="1" si="19"/>
        <v>4740</v>
      </c>
      <c r="AH276" s="8" t="s">
        <v>1428</v>
      </c>
      <c r="AI276" s="8" t="s">
        <v>1429</v>
      </c>
      <c r="AJ276" s="8" t="s">
        <v>1430</v>
      </c>
      <c r="AK276" s="8" t="s">
        <v>1431</v>
      </c>
      <c r="AL276" s="8" t="s">
        <v>1432</v>
      </c>
      <c r="AM276" s="8" t="s">
        <v>1433</v>
      </c>
      <c r="AN276" s="8">
        <v>0</v>
      </c>
      <c r="AO276" s="8">
        <v>0</v>
      </c>
      <c r="AP276" s="8">
        <v>0</v>
      </c>
      <c r="AQ276" s="8">
        <v>0</v>
      </c>
      <c r="AR276" s="8">
        <v>0</v>
      </c>
      <c r="AS276" s="8">
        <v>0</v>
      </c>
      <c r="AT276" s="8">
        <v>0</v>
      </c>
      <c r="AU276" s="8">
        <v>0</v>
      </c>
      <c r="AV276" s="8">
        <v>0</v>
      </c>
      <c r="AW276" s="8">
        <v>0</v>
      </c>
      <c r="AX276" s="8" t="s">
        <v>3033</v>
      </c>
      <c r="AY276" s="14">
        <v>4330</v>
      </c>
      <c r="AZ276" s="19">
        <v>45846</v>
      </c>
      <c r="BA276" s="14" t="s">
        <v>1434</v>
      </c>
      <c r="BB276" s="14">
        <v>1505</v>
      </c>
      <c r="BC276" s="19">
        <v>45343</v>
      </c>
      <c r="BD276" s="14" t="s">
        <v>1435</v>
      </c>
      <c r="BE276" s="14">
        <v>4330</v>
      </c>
      <c r="BF276" s="19">
        <v>45846</v>
      </c>
      <c r="BG276" s="14" t="s">
        <v>1434</v>
      </c>
      <c r="BH276" s="14">
        <v>4330</v>
      </c>
      <c r="BI276" s="19">
        <v>45846</v>
      </c>
      <c r="BJ276" s="14" t="s">
        <v>1434</v>
      </c>
      <c r="BK276" s="14">
        <v>1505</v>
      </c>
      <c r="BL276" s="19">
        <v>45343</v>
      </c>
      <c r="BM276" s="14" t="s">
        <v>1435</v>
      </c>
      <c r="BN276" s="27">
        <v>46026</v>
      </c>
      <c r="BO276" s="27">
        <v>45523</v>
      </c>
      <c r="BP276" s="27">
        <v>46026</v>
      </c>
      <c r="BQ276" s="27">
        <v>46026</v>
      </c>
      <c r="BR276" s="27">
        <v>45708</v>
      </c>
      <c r="BS276" s="28">
        <v>340</v>
      </c>
      <c r="BT276" s="29">
        <v>-1735</v>
      </c>
      <c r="BU276" s="29">
        <v>340</v>
      </c>
      <c r="BV276" s="29">
        <v>340</v>
      </c>
      <c r="BW276" s="29">
        <v>-1735</v>
      </c>
      <c r="BX276" s="30">
        <v>0</v>
      </c>
      <c r="BY276" s="8">
        <v>5</v>
      </c>
      <c r="BZ276" s="8">
        <v>0</v>
      </c>
      <c r="CA276" s="8">
        <v>0</v>
      </c>
      <c r="CB276" s="21">
        <v>45740.770833333299</v>
      </c>
      <c r="CC276" s="21">
        <v>45740.770833333299</v>
      </c>
      <c r="CD276" s="21">
        <v>45740.770833333299</v>
      </c>
      <c r="CE276" s="21">
        <v>45740.770833333299</v>
      </c>
      <c r="CF276" s="21">
        <v>45740.770833333299</v>
      </c>
      <c r="CG276" s="21">
        <v>45481.770833333299</v>
      </c>
      <c r="CH276" s="21">
        <v>45481.770833333299</v>
      </c>
      <c r="CI276" s="21">
        <v>45481.770833333299</v>
      </c>
      <c r="CJ276" s="21">
        <v>45481.770833333299</v>
      </c>
      <c r="CK276" s="22" t="s">
        <v>2974</v>
      </c>
      <c r="CL276" s="22" t="s">
        <v>2974</v>
      </c>
      <c r="CM276" s="22" t="s">
        <v>2974</v>
      </c>
      <c r="CN276" s="22" t="s">
        <v>2974</v>
      </c>
      <c r="CO276" s="22" t="s">
        <v>2974</v>
      </c>
      <c r="CP276" s="22" t="s">
        <v>2974</v>
      </c>
      <c r="CQ276" s="22" t="s">
        <v>2953</v>
      </c>
      <c r="CR276" s="22" t="s">
        <v>2974</v>
      </c>
      <c r="CS276" s="22" t="s">
        <v>2974</v>
      </c>
      <c r="CT276" s="22">
        <v>0</v>
      </c>
      <c r="CU276" s="21">
        <v>0</v>
      </c>
      <c r="CV276" s="21">
        <v>0</v>
      </c>
      <c r="CW276" s="21">
        <v>0</v>
      </c>
      <c r="CX276" s="21">
        <v>0</v>
      </c>
      <c r="CY276" s="21">
        <v>0</v>
      </c>
      <c r="CZ276" s="21">
        <v>0</v>
      </c>
      <c r="DA276" s="21">
        <v>0</v>
      </c>
      <c r="DB276" s="21">
        <v>0</v>
      </c>
      <c r="DC276" s="21">
        <v>0</v>
      </c>
      <c r="DD276" s="8">
        <v>0</v>
      </c>
      <c r="DE276" s="8">
        <v>0</v>
      </c>
      <c r="DF276" s="8">
        <v>0</v>
      </c>
      <c r="DG276" s="8">
        <v>9</v>
      </c>
      <c r="DH276" s="8">
        <v>0</v>
      </c>
      <c r="DI276" s="8">
        <v>0</v>
      </c>
      <c r="DJ276" s="8" t="s">
        <v>2976</v>
      </c>
      <c r="DK276" s="21">
        <v>44876</v>
      </c>
      <c r="DL276" s="21">
        <v>44855.229166666664</v>
      </c>
      <c r="DM276" s="21">
        <v>45967</v>
      </c>
      <c r="DN276" s="18">
        <v>4740</v>
      </c>
      <c r="DO276" s="21">
        <v>0</v>
      </c>
      <c r="DP276" s="21">
        <v>0</v>
      </c>
      <c r="DQ276" s="21" t="s">
        <v>2955</v>
      </c>
      <c r="DR276" s="21">
        <v>45741</v>
      </c>
      <c r="DS276" s="21">
        <v>45741</v>
      </c>
      <c r="DT276" s="21">
        <v>45741</v>
      </c>
      <c r="DU276" s="21">
        <v>45741</v>
      </c>
      <c r="DV276" s="21">
        <v>45741</v>
      </c>
      <c r="DW276" s="21">
        <v>45482</v>
      </c>
      <c r="DX276" s="21">
        <v>45482</v>
      </c>
      <c r="DY276" s="21">
        <v>45482</v>
      </c>
      <c r="DZ276" s="21">
        <v>45482</v>
      </c>
      <c r="EA276" s="8">
        <v>340</v>
      </c>
      <c r="EB276" s="8">
        <v>340</v>
      </c>
      <c r="EC276" s="8">
        <v>340</v>
      </c>
      <c r="ED276" s="8">
        <v>340</v>
      </c>
      <c r="EE276" s="8">
        <v>340</v>
      </c>
      <c r="EF276" s="8">
        <v>340</v>
      </c>
      <c r="EG276" s="8">
        <v>1000</v>
      </c>
      <c r="EH276" s="8">
        <v>340</v>
      </c>
      <c r="EI276" s="8">
        <v>340</v>
      </c>
      <c r="EJ276" s="8">
        <v>0</v>
      </c>
      <c r="EK276" s="8" t="s">
        <v>2624</v>
      </c>
      <c r="EL276" s="8">
        <v>145</v>
      </c>
      <c r="EM276" s="8">
        <v>0</v>
      </c>
      <c r="EN276" s="8">
        <v>52</v>
      </c>
      <c r="EO276" s="8">
        <v>52</v>
      </c>
      <c r="EP276" s="8">
        <v>52</v>
      </c>
      <c r="EQ276" s="8">
        <v>52</v>
      </c>
      <c r="ER276" s="8">
        <v>52</v>
      </c>
      <c r="ES276" s="8">
        <v>52</v>
      </c>
      <c r="ET276" s="8">
        <v>712</v>
      </c>
      <c r="EU276" s="8">
        <v>52</v>
      </c>
      <c r="EV276" s="8">
        <v>52</v>
      </c>
    </row>
    <row r="277" spans="1:152" x14ac:dyDescent="0.15">
      <c r="A277" s="8">
        <f>ROW([2]!tbl_DPSAC[[#This Row],[Sl. No.]])-1</f>
        <v>276</v>
      </c>
      <c r="B277" s="9" t="s">
        <v>136</v>
      </c>
      <c r="C277" s="9" t="s">
        <v>1436</v>
      </c>
      <c r="D277" s="9" t="s">
        <v>138</v>
      </c>
      <c r="E277" s="9" t="s">
        <v>139</v>
      </c>
      <c r="F277" s="9" t="s">
        <v>161</v>
      </c>
      <c r="G277" s="10" t="s">
        <v>1404</v>
      </c>
      <c r="H277" s="10" t="str">
        <f>_xlfn.XLOOKUP(C277,'[1]E&amp;DPSAC'!$K:$K,'[1]E&amp;DPSAC'!$E:$E,,0)</f>
        <v>PAKUR</v>
      </c>
      <c r="I277" s="10" t="s">
        <v>1437</v>
      </c>
      <c r="J277" s="10" t="s">
        <v>143</v>
      </c>
      <c r="K277" s="10">
        <f>_xlfn.XLOOKUP(C277,'[1]E&amp;DPSAC'!$K:$K,'[1]E&amp;DPSAC'!$G:$G,"",0)</f>
        <v>9133666330</v>
      </c>
      <c r="L277" s="9" t="str">
        <f t="shared" ca="1" si="16"/>
        <v>Non - Warranty</v>
      </c>
      <c r="M277" s="11">
        <v>44279</v>
      </c>
      <c r="N277" s="12">
        <v>24</v>
      </c>
      <c r="O277" s="11">
        <f t="shared" si="17"/>
        <v>45016</v>
      </c>
      <c r="P277" s="8" t="s">
        <v>142</v>
      </c>
      <c r="Q277" s="16" t="s">
        <v>1445</v>
      </c>
      <c r="R277" s="15">
        <v>46008.431701388901</v>
      </c>
      <c r="S277" s="14">
        <v>8325</v>
      </c>
      <c r="T277" s="15">
        <v>46008</v>
      </c>
      <c r="U277" s="14">
        <v>8325</v>
      </c>
      <c r="V277" s="14">
        <v>8325</v>
      </c>
      <c r="W277" s="17">
        <v>46008.431701388901</v>
      </c>
      <c r="X277" s="14" t="s">
        <v>2807</v>
      </c>
      <c r="Y277" s="14">
        <v>750</v>
      </c>
      <c r="Z277" s="14" t="s">
        <v>2692</v>
      </c>
      <c r="AA277" s="18">
        <v>104.56829861109873</v>
      </c>
      <c r="AB277" s="18" t="s">
        <v>2692</v>
      </c>
      <c r="AC277" s="8">
        <f>tbl_DPSAC[[#This Row],[Current Month Due Count]]</f>
        <v>1</v>
      </c>
      <c r="AD277" s="8">
        <f>tbl_DPSAC[[#This Row],[Next Month Due2]]</f>
        <v>0</v>
      </c>
      <c r="AE277" s="8">
        <f t="shared" si="18"/>
        <v>0</v>
      </c>
      <c r="AF277" s="8">
        <v>4</v>
      </c>
      <c r="AG277" s="14">
        <f t="shared" ca="1" si="19"/>
        <v>8743</v>
      </c>
      <c r="AH277" s="8" t="s">
        <v>1438</v>
      </c>
      <c r="AI277" s="8" t="s">
        <v>1439</v>
      </c>
      <c r="AJ277" s="8" t="s">
        <v>1440</v>
      </c>
      <c r="AK277" s="8" t="s">
        <v>1441</v>
      </c>
      <c r="AL277" s="8" t="s">
        <v>1442</v>
      </c>
      <c r="AM277" s="8" t="s">
        <v>1443</v>
      </c>
      <c r="AN277" s="8" t="s">
        <v>1444</v>
      </c>
      <c r="AO277" s="8">
        <v>0</v>
      </c>
      <c r="AP277" s="8">
        <v>0</v>
      </c>
      <c r="AQ277" s="8">
        <v>0</v>
      </c>
      <c r="AR277" s="8">
        <v>0</v>
      </c>
      <c r="AS277" s="8">
        <v>0</v>
      </c>
      <c r="AT277" s="8">
        <v>0</v>
      </c>
      <c r="AU277" s="8">
        <v>0</v>
      </c>
      <c r="AV277" s="8">
        <v>0</v>
      </c>
      <c r="AW277" s="8">
        <v>0</v>
      </c>
      <c r="AX277" s="8" t="s">
        <v>2007</v>
      </c>
      <c r="AY277" s="14">
        <v>8325</v>
      </c>
      <c r="AZ277" s="19">
        <v>46008</v>
      </c>
      <c r="BA277" s="14" t="s">
        <v>1445</v>
      </c>
      <c r="BB277" s="14">
        <v>7768</v>
      </c>
      <c r="BC277" s="19">
        <v>45953</v>
      </c>
      <c r="BD277" s="14" t="s">
        <v>1446</v>
      </c>
      <c r="BE277" s="14">
        <v>8325</v>
      </c>
      <c r="BF277" s="19">
        <v>46008</v>
      </c>
      <c r="BG277" s="14" t="s">
        <v>1445</v>
      </c>
      <c r="BH277" s="14">
        <v>8325</v>
      </c>
      <c r="BI277" s="19">
        <v>46008</v>
      </c>
      <c r="BJ277" s="14" t="s">
        <v>1445</v>
      </c>
      <c r="BK277" s="14">
        <v>7768</v>
      </c>
      <c r="BL277" s="19">
        <v>45953</v>
      </c>
      <c r="BM277" s="14" t="s">
        <v>1446</v>
      </c>
      <c r="BN277" s="27">
        <v>46188</v>
      </c>
      <c r="BO277" s="27">
        <v>46133</v>
      </c>
      <c r="BP277" s="27">
        <v>46188</v>
      </c>
      <c r="BQ277" s="27">
        <v>46188</v>
      </c>
      <c r="BR277" s="27">
        <v>46318</v>
      </c>
      <c r="BS277" s="28">
        <v>332</v>
      </c>
      <c r="BT277" s="29">
        <v>525</v>
      </c>
      <c r="BU277" s="29">
        <v>332</v>
      </c>
      <c r="BV277" s="29">
        <v>332</v>
      </c>
      <c r="BW277" s="29">
        <v>525</v>
      </c>
      <c r="BX277" s="30">
        <v>0</v>
      </c>
      <c r="BY277" s="8">
        <v>0</v>
      </c>
      <c r="BZ277" s="8">
        <v>1</v>
      </c>
      <c r="CA277" s="8">
        <v>0</v>
      </c>
      <c r="CB277" s="21">
        <v>45952.770833333299</v>
      </c>
      <c r="CC277" s="21">
        <v>46007.770833333299</v>
      </c>
      <c r="CD277" s="21">
        <v>46007.770833333299</v>
      </c>
      <c r="CE277" s="21">
        <v>46007.770833333299</v>
      </c>
      <c r="CF277" s="21">
        <v>46007.770833333299</v>
      </c>
      <c r="CG277" s="21">
        <v>45952.770833333299</v>
      </c>
      <c r="CH277" s="21">
        <v>45952.770833333299</v>
      </c>
      <c r="CI277" s="21">
        <v>45952.770833333299</v>
      </c>
      <c r="CJ277" s="21">
        <v>45952.770833333299</v>
      </c>
      <c r="CK277" s="22" t="s">
        <v>3136</v>
      </c>
      <c r="CL277" s="22" t="s">
        <v>2957</v>
      </c>
      <c r="CM277" s="22" t="s">
        <v>2957</v>
      </c>
      <c r="CN277" s="22" t="s">
        <v>2957</v>
      </c>
      <c r="CO277" s="22" t="s">
        <v>2957</v>
      </c>
      <c r="CP277" s="22" t="s">
        <v>3136</v>
      </c>
      <c r="CQ277" s="22" t="s">
        <v>3136</v>
      </c>
      <c r="CR277" s="22" t="s">
        <v>3136</v>
      </c>
      <c r="CS277" s="22" t="s">
        <v>3137</v>
      </c>
      <c r="CT277" s="22">
        <v>4</v>
      </c>
      <c r="CU277" s="21">
        <v>46132</v>
      </c>
      <c r="CV277" s="21">
        <v>46187</v>
      </c>
      <c r="CW277" s="21">
        <v>46187</v>
      </c>
      <c r="CX277" s="21">
        <v>46187</v>
      </c>
      <c r="CY277" s="21">
        <v>46187</v>
      </c>
      <c r="CZ277" s="21">
        <v>46201</v>
      </c>
      <c r="DA277" s="21">
        <v>46201</v>
      </c>
      <c r="DB277" s="21">
        <v>46132</v>
      </c>
      <c r="DC277" s="21">
        <v>46317</v>
      </c>
      <c r="DD277" s="8">
        <v>0</v>
      </c>
      <c r="DE277" s="8">
        <v>0</v>
      </c>
      <c r="DF277" s="8">
        <v>0</v>
      </c>
      <c r="DG277" s="8">
        <v>0</v>
      </c>
      <c r="DH277" s="8">
        <v>2</v>
      </c>
      <c r="DI277" s="8">
        <v>0</v>
      </c>
      <c r="DJ277" s="8" t="s">
        <v>2954</v>
      </c>
      <c r="DK277" s="21">
        <v>44279</v>
      </c>
      <c r="DL277" s="21">
        <v>44238.229166666664</v>
      </c>
      <c r="DM277" s="21">
        <v>46008</v>
      </c>
      <c r="DN277" s="18">
        <v>8325</v>
      </c>
      <c r="DO277" s="21">
        <v>0</v>
      </c>
      <c r="DP277" s="21">
        <v>0</v>
      </c>
      <c r="DQ277" s="21" t="s">
        <v>2955</v>
      </c>
      <c r="DR277" s="21">
        <v>45953</v>
      </c>
      <c r="DS277" s="21">
        <v>46008</v>
      </c>
      <c r="DT277" s="21">
        <v>46008</v>
      </c>
      <c r="DU277" s="21">
        <v>46008</v>
      </c>
      <c r="DV277" s="21">
        <v>46008</v>
      </c>
      <c r="DW277" s="21">
        <v>45953</v>
      </c>
      <c r="DX277" s="21">
        <v>45953</v>
      </c>
      <c r="DY277" s="21">
        <v>45953</v>
      </c>
      <c r="DZ277" s="21">
        <v>45953</v>
      </c>
      <c r="EA277" s="8">
        <v>775</v>
      </c>
      <c r="EB277" s="8">
        <v>750</v>
      </c>
      <c r="EC277" s="8">
        <v>750</v>
      </c>
      <c r="ED277" s="8">
        <v>750</v>
      </c>
      <c r="EE277" s="8">
        <v>750</v>
      </c>
      <c r="EF277" s="8">
        <v>775</v>
      </c>
      <c r="EG277" s="8">
        <v>775</v>
      </c>
      <c r="EH277" s="8">
        <v>775</v>
      </c>
      <c r="EI277" s="8">
        <v>2275</v>
      </c>
      <c r="EJ277" s="8">
        <v>4</v>
      </c>
      <c r="EK277" s="8" t="s">
        <v>2624</v>
      </c>
      <c r="EL277" s="8">
        <v>105</v>
      </c>
      <c r="EM277" s="8">
        <v>420</v>
      </c>
      <c r="EN277" s="8">
        <v>487</v>
      </c>
      <c r="EO277" s="8">
        <v>462</v>
      </c>
      <c r="EP277" s="8">
        <v>462</v>
      </c>
      <c r="EQ277" s="8">
        <v>462</v>
      </c>
      <c r="ER277" s="8">
        <v>462</v>
      </c>
      <c r="ES277" s="8">
        <v>487</v>
      </c>
      <c r="ET277" s="8">
        <v>487</v>
      </c>
      <c r="EU277" s="8">
        <v>487</v>
      </c>
      <c r="EV277" s="8">
        <v>1987</v>
      </c>
    </row>
    <row r="278" spans="1:152" x14ac:dyDescent="0.15">
      <c r="A278" s="8">
        <f>ROW([2]!tbl_DPSAC[[#This Row],[Sl. No.]])-1</f>
        <v>277</v>
      </c>
      <c r="B278" s="9" t="s">
        <v>136</v>
      </c>
      <c r="C278" s="9" t="s">
        <v>1447</v>
      </c>
      <c r="D278" s="9" t="s">
        <v>138</v>
      </c>
      <c r="E278" s="9" t="s">
        <v>139</v>
      </c>
      <c r="F278" s="9" t="s">
        <v>161</v>
      </c>
      <c r="G278" s="10" t="s">
        <v>1404</v>
      </c>
      <c r="H278" s="10" t="str">
        <f>_xlfn.XLOOKUP(C278,'[1]E&amp;DPSAC'!$K:$K,'[1]E&amp;DPSAC'!$E:$E,,0)</f>
        <v>PAKUR</v>
      </c>
      <c r="I278" s="10" t="s">
        <v>1448</v>
      </c>
      <c r="J278" s="10" t="s">
        <v>143</v>
      </c>
      <c r="K278" s="10">
        <f>_xlfn.XLOOKUP(C278,'[1]E&amp;DPSAC'!$K:$K,'[1]E&amp;DPSAC'!$G:$G,"",0)</f>
        <v>9133666330</v>
      </c>
      <c r="L278" s="9" t="str">
        <f t="shared" ca="1" si="16"/>
        <v>Non - Warranty</v>
      </c>
      <c r="M278" s="11">
        <v>44279</v>
      </c>
      <c r="N278" s="12">
        <v>24</v>
      </c>
      <c r="O278" s="11">
        <f t="shared" si="17"/>
        <v>45016</v>
      </c>
      <c r="P278" s="8" t="s">
        <v>142</v>
      </c>
      <c r="Q278" s="16" t="s">
        <v>1457</v>
      </c>
      <c r="R278" s="15">
        <v>46008.432523148098</v>
      </c>
      <c r="S278" s="14">
        <v>8210</v>
      </c>
      <c r="T278" s="15">
        <v>46008</v>
      </c>
      <c r="U278" s="14">
        <v>8210</v>
      </c>
      <c r="V278" s="14">
        <v>8210</v>
      </c>
      <c r="W278" s="17">
        <v>46008.432523148098</v>
      </c>
      <c r="X278" s="14" t="s">
        <v>2772</v>
      </c>
      <c r="Y278" s="14">
        <v>750</v>
      </c>
      <c r="Z278" s="14" t="s">
        <v>2692</v>
      </c>
      <c r="AA278" s="18">
        <v>104.56747685190203</v>
      </c>
      <c r="AB278" s="18" t="s">
        <v>2692</v>
      </c>
      <c r="AC278" s="8">
        <f>tbl_DPSAC[[#This Row],[Current Month Due Count]]</f>
        <v>0</v>
      </c>
      <c r="AD278" s="8">
        <f>tbl_DPSAC[[#This Row],[Next Month Due2]]</f>
        <v>0</v>
      </c>
      <c r="AE278" s="8">
        <f t="shared" si="18"/>
        <v>0</v>
      </c>
      <c r="AF278" s="8">
        <v>15</v>
      </c>
      <c r="AG278" s="14">
        <f t="shared" ca="1" si="19"/>
        <v>9779</v>
      </c>
      <c r="AH278" s="8" t="s">
        <v>1449</v>
      </c>
      <c r="AI278" s="8" t="s">
        <v>1450</v>
      </c>
      <c r="AJ278" s="8" t="s">
        <v>1451</v>
      </c>
      <c r="AK278" s="8" t="s">
        <v>1452</v>
      </c>
      <c r="AL278" s="8" t="s">
        <v>1453</v>
      </c>
      <c r="AM278" s="8" t="s">
        <v>1454</v>
      </c>
      <c r="AN278" s="8" t="s">
        <v>1455</v>
      </c>
      <c r="AO278" s="8">
        <v>0</v>
      </c>
      <c r="AP278" s="8" t="s">
        <v>1456</v>
      </c>
      <c r="AQ278" s="8">
        <v>0</v>
      </c>
      <c r="AR278" s="8">
        <v>0</v>
      </c>
      <c r="AS278" s="8">
        <v>0</v>
      </c>
      <c r="AT278" s="8">
        <v>0</v>
      </c>
      <c r="AU278" s="8">
        <v>0</v>
      </c>
      <c r="AV278" s="8">
        <v>0</v>
      </c>
      <c r="AW278" s="8">
        <v>0</v>
      </c>
      <c r="AX278" s="8" t="s">
        <v>2961</v>
      </c>
      <c r="AY278" s="14">
        <v>8210</v>
      </c>
      <c r="AZ278" s="19">
        <v>46008</v>
      </c>
      <c r="BA278" s="14" t="s">
        <v>1457</v>
      </c>
      <c r="BB278" s="14">
        <v>8210</v>
      </c>
      <c r="BC278" s="19">
        <v>46008</v>
      </c>
      <c r="BD278" s="14" t="s">
        <v>1457</v>
      </c>
      <c r="BE278" s="14">
        <v>8210</v>
      </c>
      <c r="BF278" s="19">
        <v>46008</v>
      </c>
      <c r="BG278" s="14" t="s">
        <v>1457</v>
      </c>
      <c r="BH278" s="14">
        <v>8210</v>
      </c>
      <c r="BI278" s="19">
        <v>46008</v>
      </c>
      <c r="BJ278" s="14" t="s">
        <v>1457</v>
      </c>
      <c r="BK278" s="14">
        <v>8210</v>
      </c>
      <c r="BL278" s="19">
        <v>46008</v>
      </c>
      <c r="BM278" s="14" t="s">
        <v>1457</v>
      </c>
      <c r="BN278" s="27">
        <v>46188</v>
      </c>
      <c r="BO278" s="27">
        <v>46188</v>
      </c>
      <c r="BP278" s="27">
        <v>46188</v>
      </c>
      <c r="BQ278" s="27">
        <v>46188</v>
      </c>
      <c r="BR278" s="27">
        <v>46373</v>
      </c>
      <c r="BS278" s="28">
        <v>-819</v>
      </c>
      <c r="BT278" s="29">
        <v>-69</v>
      </c>
      <c r="BU278" s="29">
        <v>-819</v>
      </c>
      <c r="BV278" s="29">
        <v>-819</v>
      </c>
      <c r="BW278" s="29">
        <v>-69</v>
      </c>
      <c r="BX278" s="30">
        <v>0</v>
      </c>
      <c r="BY278" s="8">
        <v>0</v>
      </c>
      <c r="BZ278" s="8">
        <v>0</v>
      </c>
      <c r="CA278" s="8">
        <v>0</v>
      </c>
      <c r="CB278" s="21">
        <v>46007.770833333299</v>
      </c>
      <c r="CC278" s="21">
        <v>46007.770833333299</v>
      </c>
      <c r="CD278" s="21">
        <v>46007.770833333299</v>
      </c>
      <c r="CE278" s="21">
        <v>46007.770833333299</v>
      </c>
      <c r="CF278" s="21">
        <v>46007.770833333299</v>
      </c>
      <c r="CG278" s="21">
        <v>46007.770833333299</v>
      </c>
      <c r="CH278" s="21">
        <v>46007.770833333299</v>
      </c>
      <c r="CI278" s="21">
        <v>46007.770833333299</v>
      </c>
      <c r="CJ278" s="21">
        <v>46007.770833333299</v>
      </c>
      <c r="CK278" s="22" t="s">
        <v>2956</v>
      </c>
      <c r="CL278" s="22" t="s">
        <v>2957</v>
      </c>
      <c r="CM278" s="22" t="s">
        <v>2957</v>
      </c>
      <c r="CN278" s="22" t="s">
        <v>2957</v>
      </c>
      <c r="CO278" s="22" t="s">
        <v>2957</v>
      </c>
      <c r="CP278" s="22" t="s">
        <v>2956</v>
      </c>
      <c r="CQ278" s="22" t="s">
        <v>2953</v>
      </c>
      <c r="CR278" s="22" t="s">
        <v>2956</v>
      </c>
      <c r="CS278" s="22" t="s">
        <v>2956</v>
      </c>
      <c r="CT278" s="22">
        <v>5</v>
      </c>
      <c r="CU278" s="21">
        <v>46187</v>
      </c>
      <c r="CV278" s="21">
        <v>46158</v>
      </c>
      <c r="CW278" s="21">
        <v>46158</v>
      </c>
      <c r="CX278" s="21">
        <v>46158</v>
      </c>
      <c r="CY278" s="21">
        <v>46158</v>
      </c>
      <c r="CZ278" s="21">
        <v>46277</v>
      </c>
      <c r="DA278" s="21">
        <v>46208</v>
      </c>
      <c r="DB278" s="21">
        <v>46187</v>
      </c>
      <c r="DC278" s="21">
        <v>46308</v>
      </c>
      <c r="DD278" s="8">
        <v>0</v>
      </c>
      <c r="DE278" s="8">
        <v>0</v>
      </c>
      <c r="DF278" s="8">
        <v>0</v>
      </c>
      <c r="DG278" s="8">
        <v>0</v>
      </c>
      <c r="DH278" s="8">
        <v>0</v>
      </c>
      <c r="DI278" s="8">
        <v>4</v>
      </c>
      <c r="DJ278" s="8" t="s">
        <v>2954</v>
      </c>
      <c r="DK278" s="21">
        <v>44280</v>
      </c>
      <c r="DL278" s="21">
        <v>44238.229166666664</v>
      </c>
      <c r="DM278" s="21">
        <v>46008</v>
      </c>
      <c r="DN278" s="18">
        <v>8210</v>
      </c>
      <c r="DO278" s="21">
        <v>0</v>
      </c>
      <c r="DP278" s="21">
        <v>0</v>
      </c>
      <c r="DQ278" s="21" t="s">
        <v>2955</v>
      </c>
      <c r="DR278" s="21">
        <v>46008</v>
      </c>
      <c r="DS278" s="21">
        <v>46008</v>
      </c>
      <c r="DT278" s="21">
        <v>46008</v>
      </c>
      <c r="DU278" s="21">
        <v>46008</v>
      </c>
      <c r="DV278" s="21">
        <v>46008</v>
      </c>
      <c r="DW278" s="21">
        <v>46008</v>
      </c>
      <c r="DX278" s="21">
        <v>46008</v>
      </c>
      <c r="DY278" s="21">
        <v>46008</v>
      </c>
      <c r="DZ278" s="21">
        <v>46008</v>
      </c>
      <c r="EA278" s="8">
        <v>1500</v>
      </c>
      <c r="EB278" s="8">
        <v>750</v>
      </c>
      <c r="EC278" s="8">
        <v>750</v>
      </c>
      <c r="ED278" s="8">
        <v>750</v>
      </c>
      <c r="EE278" s="8">
        <v>750</v>
      </c>
      <c r="EF278" s="8">
        <v>1500</v>
      </c>
      <c r="EG278" s="8">
        <v>1000</v>
      </c>
      <c r="EH278" s="8">
        <v>1500</v>
      </c>
      <c r="EI278" s="8">
        <v>1500</v>
      </c>
      <c r="EJ278" s="8">
        <v>5</v>
      </c>
      <c r="EK278" s="8" t="s">
        <v>2624</v>
      </c>
      <c r="EL278" s="8">
        <v>105</v>
      </c>
      <c r="EM278" s="8">
        <v>1575</v>
      </c>
      <c r="EN278" s="8">
        <v>1212</v>
      </c>
      <c r="EO278" s="8">
        <v>462</v>
      </c>
      <c r="EP278" s="8">
        <v>462</v>
      </c>
      <c r="EQ278" s="8">
        <v>462</v>
      </c>
      <c r="ER278" s="8">
        <v>462</v>
      </c>
      <c r="ES278" s="8">
        <v>1212</v>
      </c>
      <c r="ET278" s="8">
        <v>712</v>
      </c>
      <c r="EU278" s="8">
        <v>1212</v>
      </c>
      <c r="EV278" s="8">
        <v>1212</v>
      </c>
    </row>
    <row r="279" spans="1:152" x14ac:dyDescent="0.15">
      <c r="A279" s="8">
        <f>ROW([2]!tbl_DPSAC[[#This Row],[Sl. No.]])-1</f>
        <v>278</v>
      </c>
      <c r="B279" s="9" t="s">
        <v>136</v>
      </c>
      <c r="C279" s="9" t="s">
        <v>1458</v>
      </c>
      <c r="D279" s="9" t="s">
        <v>1459</v>
      </c>
      <c r="E279" s="9" t="s">
        <v>1232</v>
      </c>
      <c r="F279" s="9" t="s">
        <v>161</v>
      </c>
      <c r="G279" s="10" t="s">
        <v>303</v>
      </c>
      <c r="H279" s="10" t="str">
        <f>_xlfn.XLOOKUP(C279,'[1]E&amp;DPSAC'!$K:$K,'[1]E&amp;DPSAC'!$E:$E,,0)</f>
        <v>KWJAMA COLLIERY, DHANBAD</v>
      </c>
      <c r="I279" s="10"/>
      <c r="J279" s="10">
        <v>7644045555</v>
      </c>
      <c r="K279" s="10">
        <f>_xlfn.XLOOKUP(C279,'[1]E&amp;DPSAC'!$K:$K,'[1]E&amp;DPSAC'!$G:$G,"",0)</f>
        <v>7644045555</v>
      </c>
      <c r="L279" s="9" t="str">
        <f t="shared" ca="1" si="16"/>
        <v>Non - Warranty</v>
      </c>
      <c r="M279" s="11">
        <v>44797</v>
      </c>
      <c r="N279" s="12">
        <v>24</v>
      </c>
      <c r="O279" s="11">
        <f t="shared" si="17"/>
        <v>45535</v>
      </c>
      <c r="P279" s="8" t="s">
        <v>142</v>
      </c>
      <c r="Q279" s="16" t="s">
        <v>1469</v>
      </c>
      <c r="R279" s="15">
        <v>46043.650451388901</v>
      </c>
      <c r="S279" s="14">
        <v>9566</v>
      </c>
      <c r="T279" s="15">
        <v>45983</v>
      </c>
      <c r="U279" s="14">
        <v>9173</v>
      </c>
      <c r="V279" s="14">
        <v>9566</v>
      </c>
      <c r="W279" s="17">
        <v>46043.650451388901</v>
      </c>
      <c r="X279" s="14" t="s">
        <v>2808</v>
      </c>
      <c r="Y279" s="14">
        <v>750</v>
      </c>
      <c r="Z279" s="14" t="s">
        <v>2692</v>
      </c>
      <c r="AA279" s="18">
        <v>69.349548611098726</v>
      </c>
      <c r="AB279" s="18" t="s">
        <v>2692</v>
      </c>
      <c r="AC279" s="8">
        <f>tbl_DPSAC[[#This Row],[Current Month Due Count]]</f>
        <v>0</v>
      </c>
      <c r="AD279" s="8">
        <f>tbl_DPSAC[[#This Row],[Next Month Due2]]</f>
        <v>1</v>
      </c>
      <c r="AE279" s="8">
        <f t="shared" si="18"/>
        <v>0</v>
      </c>
      <c r="AF279" s="8">
        <v>6</v>
      </c>
      <c r="AG279" s="14">
        <f t="shared" ca="1" si="19"/>
        <v>9982</v>
      </c>
      <c r="AH279" s="8" t="s">
        <v>1460</v>
      </c>
      <c r="AI279" s="8" t="s">
        <v>1461</v>
      </c>
      <c r="AJ279" s="8" t="s">
        <v>1462</v>
      </c>
      <c r="AK279" s="8" t="s">
        <v>404</v>
      </c>
      <c r="AL279" s="8" t="s">
        <v>1463</v>
      </c>
      <c r="AM279" s="8" t="s">
        <v>1464</v>
      </c>
      <c r="AN279" s="8" t="s">
        <v>1465</v>
      </c>
      <c r="AO279" s="8" t="s">
        <v>1466</v>
      </c>
      <c r="AP279" s="8" t="s">
        <v>1467</v>
      </c>
      <c r="AQ279" s="8" t="s">
        <v>1468</v>
      </c>
      <c r="AR279" s="8">
        <v>0</v>
      </c>
      <c r="AS279" s="8">
        <v>0</v>
      </c>
      <c r="AT279" s="8">
        <v>0</v>
      </c>
      <c r="AU279" s="8">
        <v>0</v>
      </c>
      <c r="AV279" s="8">
        <v>0</v>
      </c>
      <c r="AW279" s="8">
        <v>0</v>
      </c>
      <c r="AX279" s="8" t="s">
        <v>2007</v>
      </c>
      <c r="AY279" s="14">
        <v>9566</v>
      </c>
      <c r="AZ279" s="19">
        <v>46043</v>
      </c>
      <c r="BA279" s="14" t="s">
        <v>1469</v>
      </c>
      <c r="BB279" s="14">
        <v>9173</v>
      </c>
      <c r="BC279" s="19">
        <v>45983</v>
      </c>
      <c r="BD279" s="14" t="s">
        <v>1470</v>
      </c>
      <c r="BE279" s="14">
        <v>9566</v>
      </c>
      <c r="BF279" s="19">
        <v>46043</v>
      </c>
      <c r="BG279" s="14" t="s">
        <v>1469</v>
      </c>
      <c r="BH279" s="14">
        <v>9566</v>
      </c>
      <c r="BI279" s="19">
        <v>46043</v>
      </c>
      <c r="BJ279" s="14" t="s">
        <v>1469</v>
      </c>
      <c r="BK279" s="14">
        <v>9173</v>
      </c>
      <c r="BL279" s="19">
        <v>45983</v>
      </c>
      <c r="BM279" s="14" t="s">
        <v>1470</v>
      </c>
      <c r="BN279" s="27">
        <v>46223</v>
      </c>
      <c r="BO279" s="27">
        <v>46163</v>
      </c>
      <c r="BP279" s="27">
        <v>46223</v>
      </c>
      <c r="BQ279" s="27">
        <v>46223</v>
      </c>
      <c r="BR279" s="27">
        <v>46348</v>
      </c>
      <c r="BS279" s="28">
        <v>334</v>
      </c>
      <c r="BT279" s="29">
        <v>691</v>
      </c>
      <c r="BU279" s="29">
        <v>334</v>
      </c>
      <c r="BV279" s="29">
        <v>334</v>
      </c>
      <c r="BW279" s="29">
        <v>691</v>
      </c>
      <c r="BX279" s="30">
        <v>0</v>
      </c>
      <c r="BY279" s="8">
        <v>0</v>
      </c>
      <c r="BZ279" s="8">
        <v>0</v>
      </c>
      <c r="CA279" s="8">
        <v>1</v>
      </c>
      <c r="CB279" s="21">
        <v>46042.770833333299</v>
      </c>
      <c r="CC279" s="21">
        <v>46042.770833333299</v>
      </c>
      <c r="CD279" s="21">
        <v>46042.770833333299</v>
      </c>
      <c r="CE279" s="21">
        <v>46042.770833333299</v>
      </c>
      <c r="CF279" s="21">
        <v>46042.770833333299</v>
      </c>
      <c r="CG279" s="21">
        <v>45981.770833333299</v>
      </c>
      <c r="CH279" s="21">
        <v>45450.770833333299</v>
      </c>
      <c r="CI279" s="21">
        <v>45981.770833333299</v>
      </c>
      <c r="CJ279" s="21">
        <v>45450.770833333299</v>
      </c>
      <c r="CK279" s="22" t="s">
        <v>2959</v>
      </c>
      <c r="CL279" s="22" t="s">
        <v>2959</v>
      </c>
      <c r="CM279" s="22" t="s">
        <v>2959</v>
      </c>
      <c r="CN279" s="22" t="s">
        <v>2959</v>
      </c>
      <c r="CO279" s="22" t="s">
        <v>2959</v>
      </c>
      <c r="CP279" s="22" t="s">
        <v>2956</v>
      </c>
      <c r="CQ279" s="22" t="s">
        <v>2953</v>
      </c>
      <c r="CR279" s="22" t="s">
        <v>2956</v>
      </c>
      <c r="CS279" s="22" t="s">
        <v>2960</v>
      </c>
      <c r="CT279" s="22">
        <v>8</v>
      </c>
      <c r="CU279" s="21">
        <v>46105</v>
      </c>
      <c r="CV279" s="21">
        <v>46105</v>
      </c>
      <c r="CW279" s="21">
        <v>46105</v>
      </c>
      <c r="CX279" s="21">
        <v>46105</v>
      </c>
      <c r="CY279" s="21">
        <v>46105</v>
      </c>
      <c r="CZ279" s="21">
        <v>46230</v>
      </c>
      <c r="DA279" s="21">
        <v>45815</v>
      </c>
      <c r="DB279" s="21">
        <v>46161</v>
      </c>
      <c r="DC279" s="21">
        <v>45815</v>
      </c>
      <c r="DD279" s="8">
        <v>1</v>
      </c>
      <c r="DE279" s="8">
        <v>0</v>
      </c>
      <c r="DF279" s="8">
        <v>1</v>
      </c>
      <c r="DG279" s="8">
        <v>7</v>
      </c>
      <c r="DH279" s="8">
        <v>0</v>
      </c>
      <c r="DI279" s="8">
        <v>1</v>
      </c>
      <c r="DJ279" s="8" t="s">
        <v>2954</v>
      </c>
      <c r="DK279" s="21">
        <v>44797</v>
      </c>
      <c r="DL279" s="21">
        <v>44770.229166666664</v>
      </c>
      <c r="DM279" s="21">
        <v>46043</v>
      </c>
      <c r="DN279" s="18">
        <v>9566</v>
      </c>
      <c r="DO279" s="21">
        <v>0</v>
      </c>
      <c r="DP279" s="21">
        <v>0</v>
      </c>
      <c r="DQ279" s="21" t="s">
        <v>2955</v>
      </c>
      <c r="DR279" s="21">
        <v>46043</v>
      </c>
      <c r="DS279" s="21">
        <v>46043</v>
      </c>
      <c r="DT279" s="21">
        <v>46043</v>
      </c>
      <c r="DU279" s="21">
        <v>46043</v>
      </c>
      <c r="DV279" s="21">
        <v>46043</v>
      </c>
      <c r="DW279" s="21">
        <v>45982</v>
      </c>
      <c r="DX279" s="21">
        <v>45451</v>
      </c>
      <c r="DY279" s="21">
        <v>45982</v>
      </c>
      <c r="DZ279" s="21">
        <v>45451</v>
      </c>
      <c r="EA279" s="8">
        <v>500</v>
      </c>
      <c r="EB279" s="8">
        <v>500</v>
      </c>
      <c r="EC279" s="8">
        <v>500</v>
      </c>
      <c r="ED279" s="8">
        <v>500</v>
      </c>
      <c r="EE279" s="8">
        <v>500</v>
      </c>
      <c r="EF279" s="8">
        <v>1500</v>
      </c>
      <c r="EG279" s="8">
        <v>1000</v>
      </c>
      <c r="EH279" s="8">
        <v>1500</v>
      </c>
      <c r="EI279" s="8">
        <v>3000</v>
      </c>
      <c r="EJ279" s="8">
        <v>8</v>
      </c>
      <c r="EK279" s="8" t="s">
        <v>2624</v>
      </c>
      <c r="EL279" s="8">
        <v>69</v>
      </c>
      <c r="EM279" s="8">
        <v>414</v>
      </c>
      <c r="EN279" s="8">
        <v>212</v>
      </c>
      <c r="EO279" s="8">
        <v>212</v>
      </c>
      <c r="EP279" s="8">
        <v>212</v>
      </c>
      <c r="EQ279" s="8">
        <v>212</v>
      </c>
      <c r="ER279" s="8">
        <v>212</v>
      </c>
      <c r="ES279" s="8">
        <v>1212</v>
      </c>
      <c r="ET279" s="8">
        <v>712</v>
      </c>
      <c r="EU279" s="8">
        <v>1212</v>
      </c>
      <c r="EV279" s="8">
        <v>2712</v>
      </c>
    </row>
    <row r="280" spans="1:152" x14ac:dyDescent="0.15">
      <c r="A280" s="8">
        <f>ROW([2]!tbl_DPSAC[[#This Row],[Sl. No.]])-1</f>
        <v>279</v>
      </c>
      <c r="B280" s="9" t="s">
        <v>136</v>
      </c>
      <c r="C280" s="9" t="s">
        <v>1471</v>
      </c>
      <c r="D280" s="9" t="s">
        <v>332</v>
      </c>
      <c r="E280" s="9" t="s">
        <v>333</v>
      </c>
      <c r="F280" s="9" t="s">
        <v>140</v>
      </c>
      <c r="G280" s="10" t="s">
        <v>889</v>
      </c>
      <c r="H280" s="10" t="e">
        <f>_xlfn.XLOOKUP(C280,'[1]E&amp;DPSAC'!$K:$K,'[1]E&amp;DPSAC'!$E:$E,,0)</f>
        <v>#N/A</v>
      </c>
      <c r="I280" s="10" t="s">
        <v>1472</v>
      </c>
      <c r="J280" s="10">
        <v>9866081219</v>
      </c>
      <c r="K280" s="10" t="str">
        <f>_xlfn.XLOOKUP(C280,'[1]E&amp;DPSAC'!$K:$K,'[1]E&amp;DPSAC'!$G:$G,"",0)</f>
        <v/>
      </c>
      <c r="L280" s="9" t="str">
        <f t="shared" ca="1" si="16"/>
        <v>Non - Warranty</v>
      </c>
      <c r="M280" s="11">
        <v>44329</v>
      </c>
      <c r="N280" s="12">
        <v>36</v>
      </c>
      <c r="O280" s="11">
        <f t="shared" si="17"/>
        <v>45443</v>
      </c>
      <c r="P280" s="8" t="s">
        <v>157</v>
      </c>
      <c r="Q280" s="16" t="s">
        <v>143</v>
      </c>
      <c r="R280" s="15" t="s">
        <v>143</v>
      </c>
      <c r="S280" s="14" t="s">
        <v>143</v>
      </c>
      <c r="T280" s="15" t="s">
        <v>143</v>
      </c>
      <c r="U280" s="14" t="s">
        <v>143</v>
      </c>
      <c r="V280" s="14">
        <v>650</v>
      </c>
      <c r="W280" s="17">
        <v>44865.491296296299</v>
      </c>
      <c r="X280" s="14" t="s">
        <v>143</v>
      </c>
      <c r="Y280" s="14">
        <v>0</v>
      </c>
      <c r="Z280" s="14" t="s">
        <v>2692</v>
      </c>
      <c r="AA280" s="18">
        <v>1784</v>
      </c>
      <c r="AB280" s="18" t="s">
        <v>2697</v>
      </c>
      <c r="AC280" s="8">
        <f>tbl_DPSAC[[#This Row],[Current Month Due Count]]</f>
        <v>0</v>
      </c>
      <c r="AD280" s="8">
        <f>tbl_DPSAC[[#This Row],[Next Month Due2]]</f>
        <v>0</v>
      </c>
      <c r="AE280" s="8">
        <f t="shared" si="18"/>
        <v>1</v>
      </c>
      <c r="AF280" s="8">
        <v>8</v>
      </c>
      <c r="AG280" s="14">
        <f t="shared" ca="1" si="19"/>
        <v>10630</v>
      </c>
      <c r="AH280" s="8" t="s">
        <v>1473</v>
      </c>
      <c r="AI280" s="8" t="s">
        <v>1474</v>
      </c>
      <c r="AJ280" s="8">
        <v>0</v>
      </c>
      <c r="AK280" s="8">
        <v>0</v>
      </c>
      <c r="AL280" s="8">
        <v>0</v>
      </c>
      <c r="AM280" s="8">
        <v>0</v>
      </c>
      <c r="AN280" s="8">
        <v>0</v>
      </c>
      <c r="AO280" s="8">
        <v>0</v>
      </c>
      <c r="AP280" s="8">
        <v>0</v>
      </c>
      <c r="AQ280" s="8">
        <v>0</v>
      </c>
      <c r="AR280" s="8">
        <v>0</v>
      </c>
      <c r="AS280" s="8">
        <v>0</v>
      </c>
      <c r="AT280" s="8">
        <v>0</v>
      </c>
      <c r="AU280" s="8">
        <v>0</v>
      </c>
      <c r="AV280" s="8">
        <v>0</v>
      </c>
      <c r="AW280" s="8">
        <v>0</v>
      </c>
      <c r="AX280" s="8" t="s">
        <v>2961</v>
      </c>
      <c r="AY280" s="14">
        <v>1</v>
      </c>
      <c r="AZ280" s="19">
        <v>44329</v>
      </c>
      <c r="BA280" s="14"/>
      <c r="BB280" s="14">
        <v>1</v>
      </c>
      <c r="BC280" s="19">
        <v>44329</v>
      </c>
      <c r="BD280" s="14"/>
      <c r="BE280" s="14">
        <v>1</v>
      </c>
      <c r="BF280" s="19">
        <v>44329</v>
      </c>
      <c r="BG280" s="14"/>
      <c r="BH280" s="14">
        <v>1</v>
      </c>
      <c r="BI280" s="19">
        <v>44329</v>
      </c>
      <c r="BJ280" s="14"/>
      <c r="BK280" s="14">
        <v>1</v>
      </c>
      <c r="BL280" s="19">
        <v>44329</v>
      </c>
      <c r="BM280" s="14"/>
      <c r="BN280" s="27">
        <v>44509</v>
      </c>
      <c r="BO280" s="27">
        <v>44509</v>
      </c>
      <c r="BP280" s="27">
        <v>44509</v>
      </c>
      <c r="BQ280" s="27">
        <v>44509</v>
      </c>
      <c r="BR280" s="27">
        <v>44694</v>
      </c>
      <c r="BS280" s="28">
        <v>-9879</v>
      </c>
      <c r="BT280" s="29">
        <v>-9129</v>
      </c>
      <c r="BU280" s="29">
        <v>-9879</v>
      </c>
      <c r="BV280" s="29">
        <v>-9879</v>
      </c>
      <c r="BW280" s="29">
        <v>-9129</v>
      </c>
      <c r="BX280" s="8" t="s">
        <v>1016</v>
      </c>
      <c r="BY280" s="8">
        <v>5</v>
      </c>
      <c r="BZ280" s="8">
        <v>0</v>
      </c>
      <c r="CA280" s="8">
        <v>0</v>
      </c>
      <c r="CB280" s="21" t="s">
        <v>143</v>
      </c>
      <c r="CC280" s="21" t="s">
        <v>143</v>
      </c>
      <c r="CD280" s="21" t="s">
        <v>143</v>
      </c>
      <c r="CE280" s="21" t="s">
        <v>143</v>
      </c>
      <c r="CF280" s="21" t="s">
        <v>143</v>
      </c>
      <c r="CG280" s="21" t="s">
        <v>143</v>
      </c>
      <c r="CH280" s="21" t="s">
        <v>143</v>
      </c>
      <c r="CI280" s="21" t="s">
        <v>143</v>
      </c>
      <c r="CJ280" s="21" t="s">
        <v>143</v>
      </c>
      <c r="CK280" s="22" t="s">
        <v>143</v>
      </c>
      <c r="CL280" s="22" t="s">
        <v>143</v>
      </c>
      <c r="CM280" s="22" t="s">
        <v>143</v>
      </c>
      <c r="CN280" s="22" t="s">
        <v>143</v>
      </c>
      <c r="CO280" s="22" t="s">
        <v>143</v>
      </c>
      <c r="CP280" s="22" t="s">
        <v>143</v>
      </c>
      <c r="CQ280" s="22" t="s">
        <v>143</v>
      </c>
      <c r="CR280" s="22" t="s">
        <v>143</v>
      </c>
      <c r="CS280" s="22" t="s">
        <v>143</v>
      </c>
      <c r="CT280" s="22" t="s">
        <v>143</v>
      </c>
      <c r="CU280" s="21" t="s">
        <v>143</v>
      </c>
      <c r="CV280" s="21" t="s">
        <v>143</v>
      </c>
      <c r="CW280" s="21" t="s">
        <v>143</v>
      </c>
      <c r="CX280" s="21" t="s">
        <v>143</v>
      </c>
      <c r="CY280" s="21" t="s">
        <v>143</v>
      </c>
      <c r="CZ280" s="21" t="s">
        <v>143</v>
      </c>
      <c r="DA280" s="21" t="s">
        <v>143</v>
      </c>
      <c r="DB280" s="21" t="s">
        <v>143</v>
      </c>
      <c r="DC280" s="21" t="s">
        <v>143</v>
      </c>
      <c r="DD280" s="8" t="s">
        <v>143</v>
      </c>
      <c r="DE280" s="8" t="s">
        <v>143</v>
      </c>
      <c r="DF280" s="8" t="s">
        <v>143</v>
      </c>
      <c r="DG280" s="8">
        <v>0</v>
      </c>
      <c r="DH280" s="8">
        <v>0</v>
      </c>
      <c r="DI280" s="8">
        <v>0</v>
      </c>
      <c r="DJ280" s="8" t="s">
        <v>143</v>
      </c>
      <c r="DK280" s="21" t="s">
        <v>143</v>
      </c>
      <c r="DL280" s="21" t="s">
        <v>143</v>
      </c>
      <c r="DM280" s="21" t="s">
        <v>143</v>
      </c>
      <c r="DN280" s="18" t="s">
        <v>143</v>
      </c>
      <c r="DO280" s="21" t="s">
        <v>143</v>
      </c>
      <c r="DP280" s="21" t="s">
        <v>143</v>
      </c>
      <c r="DQ280" s="21" t="s">
        <v>143</v>
      </c>
      <c r="DR280" s="21" t="s">
        <v>143</v>
      </c>
      <c r="DS280" s="21" t="s">
        <v>143</v>
      </c>
      <c r="DT280" s="21" t="s">
        <v>143</v>
      </c>
      <c r="DU280" s="21" t="s">
        <v>143</v>
      </c>
      <c r="DV280" s="21" t="s">
        <v>143</v>
      </c>
      <c r="DW280" s="21" t="s">
        <v>143</v>
      </c>
      <c r="DX280" s="21" t="s">
        <v>143</v>
      </c>
      <c r="DY280" s="21" t="s">
        <v>143</v>
      </c>
      <c r="DZ280" s="21" t="s">
        <v>143</v>
      </c>
      <c r="EA280" s="8" t="s">
        <v>143</v>
      </c>
      <c r="EB280" s="8" t="s">
        <v>143</v>
      </c>
      <c r="EC280" s="8" t="s">
        <v>143</v>
      </c>
      <c r="ED280" s="8" t="s">
        <v>143</v>
      </c>
      <c r="EE280" s="8" t="s">
        <v>143</v>
      </c>
      <c r="EF280" s="8" t="s">
        <v>143</v>
      </c>
      <c r="EG280" s="8" t="s">
        <v>143</v>
      </c>
      <c r="EH280" s="8" t="s">
        <v>143</v>
      </c>
      <c r="EI280" s="8" t="s">
        <v>143</v>
      </c>
      <c r="EJ280" s="8" t="s">
        <v>143</v>
      </c>
      <c r="EK280" s="8" t="s">
        <v>157</v>
      </c>
      <c r="EL280" s="8">
        <v>1248</v>
      </c>
      <c r="EM280" s="8">
        <v>9984</v>
      </c>
      <c r="EN280" s="8" t="s">
        <v>143</v>
      </c>
      <c r="EO280" s="8" t="s">
        <v>143</v>
      </c>
      <c r="EP280" s="8" t="s">
        <v>143</v>
      </c>
      <c r="EQ280" s="8" t="s">
        <v>143</v>
      </c>
      <c r="ER280" s="8" t="s">
        <v>143</v>
      </c>
      <c r="ES280" s="8" t="s">
        <v>143</v>
      </c>
      <c r="ET280" s="8" t="s">
        <v>143</v>
      </c>
      <c r="EU280" s="8" t="s">
        <v>143</v>
      </c>
      <c r="EV280" s="8" t="s">
        <v>143</v>
      </c>
    </row>
    <row r="281" spans="1:152" x14ac:dyDescent="0.15">
      <c r="A281" s="8">
        <f>ROW([2]!tbl_DPSAC[[#This Row],[Sl. No.]])-1</f>
        <v>280</v>
      </c>
      <c r="B281" s="9" t="s">
        <v>196</v>
      </c>
      <c r="C281" s="9" t="s">
        <v>1475</v>
      </c>
      <c r="D281" s="9" t="s">
        <v>532</v>
      </c>
      <c r="E281" s="9" t="s">
        <v>217</v>
      </c>
      <c r="F281" s="9" t="s">
        <v>161</v>
      </c>
      <c r="G281" s="10" t="s">
        <v>1183</v>
      </c>
      <c r="H281" s="10" t="e">
        <f>_xlfn.XLOOKUP(C281,'[1]E&amp;DPSAC'!$K:$K,'[1]E&amp;DPSAC'!$E:$E,,0)</f>
        <v>#N/A</v>
      </c>
      <c r="I281" s="10" t="s">
        <v>1184</v>
      </c>
      <c r="J281" s="10">
        <v>9798441909</v>
      </c>
      <c r="K281" s="10" t="str">
        <f>_xlfn.XLOOKUP(C281,'[1]E&amp;DPSAC'!$K:$K,'[1]E&amp;DPSAC'!$G:$G,"",0)</f>
        <v/>
      </c>
      <c r="L281" s="9" t="str">
        <f t="shared" ca="1" si="16"/>
        <v>Non - Warranty</v>
      </c>
      <c r="M281" s="11">
        <v>44673</v>
      </c>
      <c r="N281" s="12">
        <v>24</v>
      </c>
      <c r="O281" s="11">
        <f t="shared" si="17"/>
        <v>45412</v>
      </c>
      <c r="P281" s="8" t="s">
        <v>157</v>
      </c>
      <c r="Q281" s="16" t="s">
        <v>143</v>
      </c>
      <c r="R281" s="15" t="s">
        <v>143</v>
      </c>
      <c r="S281" s="14" t="s">
        <v>143</v>
      </c>
      <c r="T281" s="15" t="s">
        <v>143</v>
      </c>
      <c r="U281" s="14" t="s">
        <v>143</v>
      </c>
      <c r="V281" s="14" t="s">
        <v>143</v>
      </c>
      <c r="W281" s="17" t="s">
        <v>143</v>
      </c>
      <c r="X281" s="14" t="s">
        <v>143</v>
      </c>
      <c r="Y281" s="14">
        <v>0</v>
      </c>
      <c r="Z281" s="14" t="s">
        <v>2692</v>
      </c>
      <c r="AA281" s="18">
        <v>1440</v>
      </c>
      <c r="AB281" s="18" t="s">
        <v>2697</v>
      </c>
      <c r="AC281" s="8">
        <f>tbl_DPSAC[[#This Row],[Current Month Due Count]]</f>
        <v>0</v>
      </c>
      <c r="AD281" s="8">
        <f>tbl_DPSAC[[#This Row],[Next Month Due2]]</f>
        <v>0</v>
      </c>
      <c r="AE281" s="8">
        <f t="shared" si="18"/>
        <v>1</v>
      </c>
      <c r="AF281" s="8">
        <v>8</v>
      </c>
      <c r="AG281" s="14" t="str">
        <f t="shared" ca="1" si="19"/>
        <v/>
      </c>
      <c r="AH281" s="8">
        <v>0</v>
      </c>
      <c r="AI281" s="8">
        <v>0</v>
      </c>
      <c r="AJ281" s="8">
        <v>0</v>
      </c>
      <c r="AK281" s="8">
        <v>0</v>
      </c>
      <c r="AL281" s="8">
        <v>0</v>
      </c>
      <c r="AM281" s="8">
        <v>0</v>
      </c>
      <c r="AN281" s="8">
        <v>0</v>
      </c>
      <c r="AO281" s="8">
        <v>0</v>
      </c>
      <c r="AP281" s="8">
        <v>0</v>
      </c>
      <c r="AQ281" s="8">
        <v>0</v>
      </c>
      <c r="AR281" s="8">
        <v>0</v>
      </c>
      <c r="AS281" s="8">
        <v>0</v>
      </c>
      <c r="AT281" s="8">
        <v>0</v>
      </c>
      <c r="AU281" s="8">
        <v>0</v>
      </c>
      <c r="AV281" s="8">
        <v>0</v>
      </c>
      <c r="AW281" s="8">
        <v>0</v>
      </c>
      <c r="AX281" s="8" t="s">
        <v>2007</v>
      </c>
      <c r="AY281" s="14">
        <v>1</v>
      </c>
      <c r="AZ281" s="19">
        <v>44673</v>
      </c>
      <c r="BA281" s="14"/>
      <c r="BB281" s="14">
        <v>1</v>
      </c>
      <c r="BC281" s="19">
        <v>44673</v>
      </c>
      <c r="BD281" s="14"/>
      <c r="BE281" s="14">
        <v>1</v>
      </c>
      <c r="BF281" s="19">
        <v>44673</v>
      </c>
      <c r="BG281" s="14"/>
      <c r="BH281" s="14">
        <v>1</v>
      </c>
      <c r="BI281" s="19">
        <v>44673</v>
      </c>
      <c r="BJ281" s="14"/>
      <c r="BK281" s="14">
        <v>1</v>
      </c>
      <c r="BL281" s="19">
        <v>44673</v>
      </c>
      <c r="BM281" s="14"/>
      <c r="BN281" s="27">
        <v>44853</v>
      </c>
      <c r="BO281" s="27">
        <v>44853</v>
      </c>
      <c r="BP281" s="27">
        <v>44853</v>
      </c>
      <c r="BQ281" s="27">
        <v>44853</v>
      </c>
      <c r="BR281" s="27">
        <v>45038</v>
      </c>
      <c r="BS281" s="28" t="s">
        <v>143</v>
      </c>
      <c r="BT281" s="29" t="s">
        <v>143</v>
      </c>
      <c r="BU281" s="29" t="s">
        <v>143</v>
      </c>
      <c r="BV281" s="29" t="s">
        <v>143</v>
      </c>
      <c r="BW281" s="29" t="s">
        <v>143</v>
      </c>
      <c r="BX281" s="8" t="s">
        <v>1016</v>
      </c>
      <c r="BY281" s="8">
        <v>5</v>
      </c>
      <c r="BZ281" s="8">
        <v>0</v>
      </c>
      <c r="CA281" s="8">
        <v>0</v>
      </c>
      <c r="CB281" s="21">
        <v>0</v>
      </c>
      <c r="CC281" s="21">
        <v>0</v>
      </c>
      <c r="CD281" s="21">
        <v>0</v>
      </c>
      <c r="CE281" s="21">
        <v>0</v>
      </c>
      <c r="CF281" s="21">
        <v>0</v>
      </c>
      <c r="CG281" s="21">
        <v>0</v>
      </c>
      <c r="CH281" s="21">
        <v>0</v>
      </c>
      <c r="CI281" s="21">
        <v>0</v>
      </c>
      <c r="CJ281" s="21">
        <v>0</v>
      </c>
      <c r="CK281" s="22" t="s">
        <v>2989</v>
      </c>
      <c r="CL281" s="22" t="s">
        <v>2989</v>
      </c>
      <c r="CM281" s="22" t="s">
        <v>2989</v>
      </c>
      <c r="CN281" s="22" t="s">
        <v>2989</v>
      </c>
      <c r="CO281" s="22" t="s">
        <v>2989</v>
      </c>
      <c r="CP281" s="22" t="s">
        <v>3059</v>
      </c>
      <c r="CQ281" s="22" t="s">
        <v>3138</v>
      </c>
      <c r="CR281" s="22" t="s">
        <v>3059</v>
      </c>
      <c r="CS281" s="22" t="s">
        <v>3138</v>
      </c>
      <c r="CT281" s="22">
        <v>0</v>
      </c>
      <c r="CU281" s="21">
        <v>0</v>
      </c>
      <c r="CV281" s="21">
        <v>0</v>
      </c>
      <c r="CW281" s="21">
        <v>0</v>
      </c>
      <c r="CX281" s="21">
        <v>0</v>
      </c>
      <c r="CY281" s="21">
        <v>0</v>
      </c>
      <c r="CZ281" s="21">
        <v>0</v>
      </c>
      <c r="DA281" s="21">
        <v>0</v>
      </c>
      <c r="DB281" s="21">
        <v>0</v>
      </c>
      <c r="DC281" s="21">
        <v>0</v>
      </c>
      <c r="DD281" s="8">
        <v>0</v>
      </c>
      <c r="DE281" s="8">
        <v>0</v>
      </c>
      <c r="DF281" s="8">
        <v>0</v>
      </c>
      <c r="DG281" s="8">
        <v>9</v>
      </c>
      <c r="DH281" s="8">
        <v>0</v>
      </c>
      <c r="DI281" s="8">
        <v>0</v>
      </c>
      <c r="DJ281" s="8" t="s">
        <v>2954</v>
      </c>
      <c r="DK281" s="21">
        <v>44673</v>
      </c>
      <c r="DL281" s="21">
        <v>44581.229166666664</v>
      </c>
      <c r="DM281" s="21">
        <v>44862</v>
      </c>
      <c r="DN281" s="18">
        <v>50</v>
      </c>
      <c r="DO281" s="21">
        <v>0</v>
      </c>
      <c r="DP281" s="21">
        <v>0</v>
      </c>
      <c r="DQ281" s="21" t="s">
        <v>2955</v>
      </c>
      <c r="DR281" s="21">
        <v>0</v>
      </c>
      <c r="DS281" s="21">
        <v>0</v>
      </c>
      <c r="DT281" s="21">
        <v>0</v>
      </c>
      <c r="DU281" s="21">
        <v>0</v>
      </c>
      <c r="DV281" s="21">
        <v>0</v>
      </c>
      <c r="DW281" s="21">
        <v>0</v>
      </c>
      <c r="DX281" s="21">
        <v>0</v>
      </c>
      <c r="DY281" s="21">
        <v>0</v>
      </c>
      <c r="DZ281" s="21">
        <v>0</v>
      </c>
      <c r="EA281" s="8">
        <v>450</v>
      </c>
      <c r="EB281" s="8">
        <v>450</v>
      </c>
      <c r="EC281" s="8">
        <v>450</v>
      </c>
      <c r="ED281" s="8">
        <v>450</v>
      </c>
      <c r="EE281" s="8">
        <v>450</v>
      </c>
      <c r="EF281" s="8">
        <v>1450</v>
      </c>
      <c r="EG281" s="8">
        <v>2950</v>
      </c>
      <c r="EH281" s="8">
        <v>1450</v>
      </c>
      <c r="EI281" s="8">
        <v>2950</v>
      </c>
      <c r="EJ281" s="8">
        <v>0</v>
      </c>
      <c r="EK281" s="8" t="s">
        <v>157</v>
      </c>
      <c r="EL281" s="8" t="e">
        <v>#VALUE!</v>
      </c>
      <c r="EM281" s="8" t="e">
        <v>#VALUE!</v>
      </c>
      <c r="EN281" s="8">
        <v>162</v>
      </c>
      <c r="EO281" s="8">
        <v>162</v>
      </c>
      <c r="EP281" s="8">
        <v>162</v>
      </c>
      <c r="EQ281" s="8">
        <v>162</v>
      </c>
      <c r="ER281" s="8">
        <v>162</v>
      </c>
      <c r="ES281" s="8">
        <v>1162</v>
      </c>
      <c r="ET281" s="8">
        <v>2662</v>
      </c>
      <c r="EU281" s="8">
        <v>1162</v>
      </c>
      <c r="EV281" s="8">
        <v>2662</v>
      </c>
    </row>
    <row r="282" spans="1:152" x14ac:dyDescent="0.15">
      <c r="A282" s="8">
        <f>ROW([2]!tbl_DPSAC[[#This Row],[Sl. No.]])-1</f>
        <v>281</v>
      </c>
      <c r="B282" s="9" t="s">
        <v>136</v>
      </c>
      <c r="C282" s="9" t="s">
        <v>1476</v>
      </c>
      <c r="D282" s="9" t="s">
        <v>175</v>
      </c>
      <c r="E282" s="9" t="s">
        <v>176</v>
      </c>
      <c r="F282" s="9" t="s">
        <v>161</v>
      </c>
      <c r="G282" s="10" t="s">
        <v>1477</v>
      </c>
      <c r="H282" s="10" t="str">
        <f>_xlfn.XLOOKUP(C282,'[1]E&amp;DPSAC'!$K:$K,'[1]E&amp;DPSAC'!$E:$E,,0)</f>
        <v>DASMILE, RANCHI</v>
      </c>
      <c r="I282" s="10" t="s">
        <v>1478</v>
      </c>
      <c r="J282" s="10">
        <v>9304803878</v>
      </c>
      <c r="K282" s="10">
        <f>_xlfn.XLOOKUP(C282,'[1]E&amp;DPSAC'!$K:$K,'[1]E&amp;DPSAC'!$G:$G,"",0)</f>
        <v>8002234200</v>
      </c>
      <c r="L282" s="9" t="str">
        <f t="shared" ca="1" si="16"/>
        <v>Non - Warranty</v>
      </c>
      <c r="M282" s="11">
        <v>44895</v>
      </c>
      <c r="N282" s="12">
        <v>24</v>
      </c>
      <c r="O282" s="11">
        <f t="shared" si="17"/>
        <v>45626</v>
      </c>
      <c r="P282" s="8" t="s">
        <v>142</v>
      </c>
      <c r="Q282" s="16" t="s">
        <v>1482</v>
      </c>
      <c r="R282" s="15">
        <v>46072.558217592603</v>
      </c>
      <c r="S282" s="14">
        <v>4340</v>
      </c>
      <c r="T282" s="15">
        <v>46072</v>
      </c>
      <c r="U282" s="14">
        <v>4340</v>
      </c>
      <c r="V282" s="14">
        <v>4340</v>
      </c>
      <c r="W282" s="17">
        <v>46072.558217592603</v>
      </c>
      <c r="X282" s="14" t="s">
        <v>2796</v>
      </c>
      <c r="Y282" s="14">
        <v>750</v>
      </c>
      <c r="Z282" s="14" t="s">
        <v>2692</v>
      </c>
      <c r="AA282" s="18">
        <v>40.441782407397113</v>
      </c>
      <c r="AB282" s="18" t="s">
        <v>2692</v>
      </c>
      <c r="AC282" s="8">
        <f>tbl_DPSAC[[#This Row],[Current Month Due Count]]</f>
        <v>0</v>
      </c>
      <c r="AD282" s="8">
        <f>tbl_DPSAC[[#This Row],[Next Month Due2]]</f>
        <v>0</v>
      </c>
      <c r="AE282" s="8">
        <f t="shared" si="18"/>
        <v>0</v>
      </c>
      <c r="AF282" s="8">
        <v>5</v>
      </c>
      <c r="AG282" s="14">
        <f t="shared" ca="1" si="19"/>
        <v>4542</v>
      </c>
      <c r="AH282" s="8" t="s">
        <v>1479</v>
      </c>
      <c r="AI282" s="8" t="s">
        <v>1480</v>
      </c>
      <c r="AJ282" s="8">
        <v>0</v>
      </c>
      <c r="AK282" s="8" t="s">
        <v>1481</v>
      </c>
      <c r="AL282" s="8">
        <v>0</v>
      </c>
      <c r="AM282" s="8">
        <v>0</v>
      </c>
      <c r="AN282" s="8">
        <v>0</v>
      </c>
      <c r="AO282" s="8">
        <v>0</v>
      </c>
      <c r="AP282" s="8">
        <v>0</v>
      </c>
      <c r="AQ282" s="8">
        <v>0</v>
      </c>
      <c r="AR282" s="8">
        <v>0</v>
      </c>
      <c r="AS282" s="8">
        <v>0</v>
      </c>
      <c r="AT282" s="8">
        <v>0</v>
      </c>
      <c r="AU282" s="8">
        <v>0</v>
      </c>
      <c r="AV282" s="8">
        <v>0</v>
      </c>
      <c r="AW282" s="8">
        <v>0</v>
      </c>
      <c r="AX282" s="8" t="s">
        <v>2007</v>
      </c>
      <c r="AY282" s="14">
        <v>4340</v>
      </c>
      <c r="AZ282" s="19">
        <v>46072</v>
      </c>
      <c r="BA282" s="14" t="s">
        <v>1482</v>
      </c>
      <c r="BB282" s="14">
        <v>4340</v>
      </c>
      <c r="BC282" s="19">
        <v>46072</v>
      </c>
      <c r="BD282" s="14" t="s">
        <v>1482</v>
      </c>
      <c r="BE282" s="14">
        <v>4340</v>
      </c>
      <c r="BF282" s="19">
        <v>46072</v>
      </c>
      <c r="BG282" s="14" t="s">
        <v>1482</v>
      </c>
      <c r="BH282" s="14">
        <v>4340</v>
      </c>
      <c r="BI282" s="19">
        <v>46072</v>
      </c>
      <c r="BJ282" s="14" t="s">
        <v>1482</v>
      </c>
      <c r="BK282" s="14">
        <v>4340</v>
      </c>
      <c r="BL282" s="19">
        <v>46072</v>
      </c>
      <c r="BM282" s="14" t="s">
        <v>1482</v>
      </c>
      <c r="BN282" s="27">
        <v>46252</v>
      </c>
      <c r="BO282" s="27">
        <v>46252</v>
      </c>
      <c r="BP282" s="27">
        <v>46252</v>
      </c>
      <c r="BQ282" s="27">
        <v>46252</v>
      </c>
      <c r="BR282" s="27">
        <v>46437</v>
      </c>
      <c r="BS282" s="28">
        <v>548</v>
      </c>
      <c r="BT282" s="29">
        <v>1298</v>
      </c>
      <c r="BU282" s="29">
        <v>548</v>
      </c>
      <c r="BV282" s="29">
        <v>548</v>
      </c>
      <c r="BW282" s="29">
        <v>1298</v>
      </c>
      <c r="BX282" s="30">
        <v>0</v>
      </c>
      <c r="BY282" s="8">
        <v>0</v>
      </c>
      <c r="BZ282" s="8">
        <v>0</v>
      </c>
      <c r="CA282" s="8">
        <v>0</v>
      </c>
      <c r="CB282" s="21">
        <v>46071.770833333299</v>
      </c>
      <c r="CC282" s="21">
        <v>46071.770833333299</v>
      </c>
      <c r="CD282" s="21">
        <v>46071.770833333299</v>
      </c>
      <c r="CE282" s="21">
        <v>46071.770833333299</v>
      </c>
      <c r="CF282" s="21">
        <v>46071.770833333299</v>
      </c>
      <c r="CG282" s="21">
        <v>46071.770833333299</v>
      </c>
      <c r="CH282" s="21">
        <v>46071.770833333299</v>
      </c>
      <c r="CI282" s="21">
        <v>46071.770833333299</v>
      </c>
      <c r="CJ282" s="21">
        <v>46071.770833333299</v>
      </c>
      <c r="CK282" s="22" t="s">
        <v>2956</v>
      </c>
      <c r="CL282" s="22" t="s">
        <v>2957</v>
      </c>
      <c r="CM282" s="22" t="s">
        <v>2959</v>
      </c>
      <c r="CN282" s="22" t="s">
        <v>2957</v>
      </c>
      <c r="CO282" s="22" t="s">
        <v>2957</v>
      </c>
      <c r="CP282" s="22" t="s">
        <v>2956</v>
      </c>
      <c r="CQ282" s="22" t="s">
        <v>2953</v>
      </c>
      <c r="CR282" s="22" t="s">
        <v>2956</v>
      </c>
      <c r="CS282" s="22" t="s">
        <v>2960</v>
      </c>
      <c r="CT282" s="22">
        <v>5</v>
      </c>
      <c r="CU282" s="21">
        <v>46251</v>
      </c>
      <c r="CV282" s="21">
        <v>46222</v>
      </c>
      <c r="CW282" s="21">
        <v>46172</v>
      </c>
      <c r="CX282" s="21">
        <v>46222</v>
      </c>
      <c r="CY282" s="21">
        <v>46222</v>
      </c>
      <c r="CZ282" s="21">
        <v>46341</v>
      </c>
      <c r="DA282" s="21">
        <v>46272</v>
      </c>
      <c r="DB282" s="21">
        <v>46251</v>
      </c>
      <c r="DC282" s="21">
        <v>46436</v>
      </c>
      <c r="DD282" s="8">
        <v>0</v>
      </c>
      <c r="DE282" s="8">
        <v>0</v>
      </c>
      <c r="DF282" s="8">
        <v>0</v>
      </c>
      <c r="DG282" s="8">
        <v>0</v>
      </c>
      <c r="DH282" s="8">
        <v>0</v>
      </c>
      <c r="DI282" s="8">
        <v>1</v>
      </c>
      <c r="DJ282" s="8" t="s">
        <v>2954</v>
      </c>
      <c r="DK282" s="21">
        <v>44895</v>
      </c>
      <c r="DL282" s="21">
        <v>44886.229166666664</v>
      </c>
      <c r="DM282" s="21">
        <v>46072</v>
      </c>
      <c r="DN282" s="18">
        <v>4340</v>
      </c>
      <c r="DO282" s="21">
        <v>0</v>
      </c>
      <c r="DP282" s="21">
        <v>0</v>
      </c>
      <c r="DQ282" s="21" t="s">
        <v>2955</v>
      </c>
      <c r="DR282" s="21">
        <v>46072</v>
      </c>
      <c r="DS282" s="21">
        <v>46072</v>
      </c>
      <c r="DT282" s="21">
        <v>46072</v>
      </c>
      <c r="DU282" s="21">
        <v>46072</v>
      </c>
      <c r="DV282" s="21">
        <v>46072</v>
      </c>
      <c r="DW282" s="21">
        <v>46072</v>
      </c>
      <c r="DX282" s="21">
        <v>46072</v>
      </c>
      <c r="DY282" s="21">
        <v>46072</v>
      </c>
      <c r="DZ282" s="21">
        <v>46072</v>
      </c>
      <c r="EA282" s="8">
        <v>1500</v>
      </c>
      <c r="EB282" s="8">
        <v>750</v>
      </c>
      <c r="EC282" s="8">
        <v>500</v>
      </c>
      <c r="ED282" s="8">
        <v>750</v>
      </c>
      <c r="EE282" s="8">
        <v>750</v>
      </c>
      <c r="EF282" s="8">
        <v>1500</v>
      </c>
      <c r="EG282" s="8">
        <v>1000</v>
      </c>
      <c r="EH282" s="8">
        <v>1500</v>
      </c>
      <c r="EI282" s="8">
        <v>3000</v>
      </c>
      <c r="EJ282" s="8">
        <v>5</v>
      </c>
      <c r="EK282" s="8" t="s">
        <v>2624</v>
      </c>
      <c r="EL282" s="8">
        <v>40</v>
      </c>
      <c r="EM282" s="8">
        <v>200</v>
      </c>
      <c r="EN282" s="8">
        <v>1212</v>
      </c>
      <c r="EO282" s="8">
        <v>462</v>
      </c>
      <c r="EP282" s="8">
        <v>212</v>
      </c>
      <c r="EQ282" s="8">
        <v>462</v>
      </c>
      <c r="ER282" s="8">
        <v>462</v>
      </c>
      <c r="ES282" s="8">
        <v>1212</v>
      </c>
      <c r="ET282" s="8">
        <v>712</v>
      </c>
      <c r="EU282" s="8">
        <v>1212</v>
      </c>
      <c r="EV282" s="8">
        <v>2712</v>
      </c>
    </row>
    <row r="283" spans="1:152" x14ac:dyDescent="0.15">
      <c r="A283" s="8">
        <f>ROW([2]!tbl_DPSAC[[#This Row],[Sl. No.]])-1</f>
        <v>282</v>
      </c>
      <c r="B283" s="9" t="s">
        <v>136</v>
      </c>
      <c r="C283" s="9" t="s">
        <v>1483</v>
      </c>
      <c r="D283" s="9" t="s">
        <v>175</v>
      </c>
      <c r="E283" s="9" t="s">
        <v>176</v>
      </c>
      <c r="F283" s="9" t="s">
        <v>161</v>
      </c>
      <c r="G283" s="10" t="s">
        <v>1484</v>
      </c>
      <c r="H283" s="10" t="str">
        <f>_xlfn.XLOOKUP(C283,'[1]E&amp;DPSAC'!$K:$K,'[1]E&amp;DPSAC'!$E:$E,,0)</f>
        <v>ORMANJHI</v>
      </c>
      <c r="I283" s="10"/>
      <c r="J283" s="10">
        <v>7488145094</v>
      </c>
      <c r="K283" s="10">
        <f>_xlfn.XLOOKUP(C283,'[1]E&amp;DPSAC'!$K:$K,'[1]E&amp;DPSAC'!$G:$G,"",0)</f>
        <v>6205364351</v>
      </c>
      <c r="L283" s="9" t="str">
        <f t="shared" ca="1" si="16"/>
        <v>Non - Warranty</v>
      </c>
      <c r="M283" s="11">
        <v>44880</v>
      </c>
      <c r="N283" s="12">
        <v>24</v>
      </c>
      <c r="O283" s="11">
        <f t="shared" si="17"/>
        <v>45626</v>
      </c>
      <c r="P283" s="8" t="s">
        <v>142</v>
      </c>
      <c r="Q283" s="16" t="s">
        <v>1489</v>
      </c>
      <c r="R283" s="15">
        <v>46072.559722222199</v>
      </c>
      <c r="S283" s="14">
        <v>3090</v>
      </c>
      <c r="T283" s="15">
        <v>46072</v>
      </c>
      <c r="U283" s="14">
        <v>3090</v>
      </c>
      <c r="V283" s="14">
        <v>3090</v>
      </c>
      <c r="W283" s="17">
        <v>46072.559722222199</v>
      </c>
      <c r="X283" s="14" t="s">
        <v>2796</v>
      </c>
      <c r="Y283" s="14">
        <v>750</v>
      </c>
      <c r="Z283" s="14" t="s">
        <v>2692</v>
      </c>
      <c r="AA283" s="18">
        <v>40.440277777801384</v>
      </c>
      <c r="AB283" s="18" t="s">
        <v>2692</v>
      </c>
      <c r="AC283" s="8">
        <f>tbl_DPSAC[[#This Row],[Current Month Due Count]]</f>
        <v>0</v>
      </c>
      <c r="AD283" s="8">
        <f>tbl_DPSAC[[#This Row],[Next Month Due2]]</f>
        <v>0</v>
      </c>
      <c r="AE283" s="8">
        <f t="shared" si="18"/>
        <v>0</v>
      </c>
      <c r="AF283" s="8">
        <v>0</v>
      </c>
      <c r="AG283" s="14">
        <f t="shared" ca="1" si="19"/>
        <v>3090</v>
      </c>
      <c r="AH283" s="8" t="s">
        <v>1485</v>
      </c>
      <c r="AI283" s="8" t="s">
        <v>1486</v>
      </c>
      <c r="AJ283" s="8" t="s">
        <v>1487</v>
      </c>
      <c r="AK283" s="8" t="s">
        <v>1488</v>
      </c>
      <c r="AL283" s="8">
        <v>0</v>
      </c>
      <c r="AM283" s="8">
        <v>0</v>
      </c>
      <c r="AN283" s="8">
        <v>0</v>
      </c>
      <c r="AO283" s="8">
        <v>0</v>
      </c>
      <c r="AP283" s="8">
        <v>0</v>
      </c>
      <c r="AQ283" s="8">
        <v>0</v>
      </c>
      <c r="AR283" s="8">
        <v>0</v>
      </c>
      <c r="AS283" s="8">
        <v>0</v>
      </c>
      <c r="AT283" s="8">
        <v>0</v>
      </c>
      <c r="AU283" s="8">
        <v>0</v>
      </c>
      <c r="AV283" s="8">
        <v>0</v>
      </c>
      <c r="AW283" s="8">
        <v>0</v>
      </c>
      <c r="AX283" s="8" t="s">
        <v>2007</v>
      </c>
      <c r="AY283" s="14">
        <v>3090</v>
      </c>
      <c r="AZ283" s="19">
        <v>46072</v>
      </c>
      <c r="BA283" s="14" t="s">
        <v>1489</v>
      </c>
      <c r="BB283" s="14">
        <v>3090</v>
      </c>
      <c r="BC283" s="19">
        <v>46072</v>
      </c>
      <c r="BD283" s="14" t="s">
        <v>1489</v>
      </c>
      <c r="BE283" s="14">
        <v>3090</v>
      </c>
      <c r="BF283" s="19">
        <v>46072</v>
      </c>
      <c r="BG283" s="14" t="s">
        <v>1489</v>
      </c>
      <c r="BH283" s="14">
        <v>3090</v>
      </c>
      <c r="BI283" s="19">
        <v>46072</v>
      </c>
      <c r="BJ283" s="14" t="s">
        <v>1489</v>
      </c>
      <c r="BK283" s="14">
        <v>3090</v>
      </c>
      <c r="BL283" s="19">
        <v>46072</v>
      </c>
      <c r="BM283" s="14" t="s">
        <v>1489</v>
      </c>
      <c r="BN283" s="27">
        <v>46252</v>
      </c>
      <c r="BO283" s="27">
        <v>46252</v>
      </c>
      <c r="BP283" s="27">
        <v>46252</v>
      </c>
      <c r="BQ283" s="27">
        <v>46252</v>
      </c>
      <c r="BR283" s="27">
        <v>46437</v>
      </c>
      <c r="BS283" s="28">
        <v>750</v>
      </c>
      <c r="BT283" s="29">
        <v>1500</v>
      </c>
      <c r="BU283" s="29">
        <v>750</v>
      </c>
      <c r="BV283" s="29">
        <v>750</v>
      </c>
      <c r="BW283" s="29">
        <v>1500</v>
      </c>
      <c r="BX283" s="30">
        <v>0</v>
      </c>
      <c r="BY283" s="8">
        <v>0</v>
      </c>
      <c r="BZ283" s="8">
        <v>0</v>
      </c>
      <c r="CA283" s="8">
        <v>0</v>
      </c>
      <c r="CB283" s="21">
        <v>46071.770833333299</v>
      </c>
      <c r="CC283" s="21">
        <v>46071.770833333299</v>
      </c>
      <c r="CD283" s="21">
        <v>46071.770833333299</v>
      </c>
      <c r="CE283" s="21">
        <v>46071.770833333299</v>
      </c>
      <c r="CF283" s="21">
        <v>46071.770833333299</v>
      </c>
      <c r="CG283" s="21">
        <v>46071.770833333299</v>
      </c>
      <c r="CH283" s="21">
        <v>46071.770833333299</v>
      </c>
      <c r="CI283" s="21">
        <v>46071.770833333299</v>
      </c>
      <c r="CJ283" s="21">
        <v>46071.770833333299</v>
      </c>
      <c r="CK283" s="22" t="s">
        <v>2956</v>
      </c>
      <c r="CL283" s="22" t="s">
        <v>2957</v>
      </c>
      <c r="CM283" s="22" t="s">
        <v>2959</v>
      </c>
      <c r="CN283" s="22" t="s">
        <v>2957</v>
      </c>
      <c r="CO283" s="22" t="s">
        <v>2957</v>
      </c>
      <c r="CP283" s="22" t="s">
        <v>2956</v>
      </c>
      <c r="CQ283" s="22" t="s">
        <v>2953</v>
      </c>
      <c r="CR283" s="22" t="s">
        <v>2956</v>
      </c>
      <c r="CS283" s="22" t="s">
        <v>2960</v>
      </c>
      <c r="CT283" s="22">
        <v>8</v>
      </c>
      <c r="CU283" s="21">
        <v>46251</v>
      </c>
      <c r="CV283" s="21">
        <v>46165</v>
      </c>
      <c r="CW283" s="21">
        <v>46134</v>
      </c>
      <c r="CX283" s="21">
        <v>46165</v>
      </c>
      <c r="CY283" s="21">
        <v>46165</v>
      </c>
      <c r="CZ283" s="21">
        <v>46259</v>
      </c>
      <c r="DA283" s="21">
        <v>46197</v>
      </c>
      <c r="DB283" s="21">
        <v>46251</v>
      </c>
      <c r="DC283" s="21">
        <v>46436</v>
      </c>
      <c r="DD283" s="8">
        <v>0</v>
      </c>
      <c r="DE283" s="8">
        <v>0</v>
      </c>
      <c r="DF283" s="8">
        <v>0</v>
      </c>
      <c r="DG283" s="8">
        <v>0</v>
      </c>
      <c r="DH283" s="8">
        <v>1</v>
      </c>
      <c r="DI283" s="8">
        <v>3</v>
      </c>
      <c r="DJ283" s="8" t="s">
        <v>2954</v>
      </c>
      <c r="DK283" s="21">
        <v>44880</v>
      </c>
      <c r="DL283" s="21">
        <v>44869.229166666664</v>
      </c>
      <c r="DM283" s="21">
        <v>46072</v>
      </c>
      <c r="DN283" s="18">
        <v>3090</v>
      </c>
      <c r="DO283" s="21">
        <v>0</v>
      </c>
      <c r="DP283" s="21">
        <v>0</v>
      </c>
      <c r="DQ283" s="21" t="s">
        <v>2955</v>
      </c>
      <c r="DR283" s="21">
        <v>46072</v>
      </c>
      <c r="DS283" s="21">
        <v>46072</v>
      </c>
      <c r="DT283" s="21">
        <v>46072</v>
      </c>
      <c r="DU283" s="21">
        <v>46072</v>
      </c>
      <c r="DV283" s="21">
        <v>46072</v>
      </c>
      <c r="DW283" s="21">
        <v>46072</v>
      </c>
      <c r="DX283" s="21">
        <v>46072</v>
      </c>
      <c r="DY283" s="21">
        <v>46072</v>
      </c>
      <c r="DZ283" s="21">
        <v>46072</v>
      </c>
      <c r="EA283" s="8">
        <v>1500</v>
      </c>
      <c r="EB283" s="8">
        <v>750</v>
      </c>
      <c r="EC283" s="8">
        <v>500</v>
      </c>
      <c r="ED283" s="8">
        <v>750</v>
      </c>
      <c r="EE283" s="8">
        <v>750</v>
      </c>
      <c r="EF283" s="8">
        <v>1500</v>
      </c>
      <c r="EG283" s="8">
        <v>1000</v>
      </c>
      <c r="EH283" s="8">
        <v>1500</v>
      </c>
      <c r="EI283" s="8">
        <v>3000</v>
      </c>
      <c r="EJ283" s="8">
        <v>8</v>
      </c>
      <c r="EK283" s="8" t="s">
        <v>2624</v>
      </c>
      <c r="EL283" s="8">
        <v>40</v>
      </c>
      <c r="EM283" s="8">
        <v>0</v>
      </c>
      <c r="EN283" s="8">
        <v>1212</v>
      </c>
      <c r="EO283" s="8">
        <v>462</v>
      </c>
      <c r="EP283" s="8">
        <v>212</v>
      </c>
      <c r="EQ283" s="8">
        <v>462</v>
      </c>
      <c r="ER283" s="8">
        <v>462</v>
      </c>
      <c r="ES283" s="8">
        <v>1212</v>
      </c>
      <c r="ET283" s="8">
        <v>712</v>
      </c>
      <c r="EU283" s="8">
        <v>1212</v>
      </c>
      <c r="EV283" s="8">
        <v>2712</v>
      </c>
    </row>
    <row r="284" spans="1:152" x14ac:dyDescent="0.15">
      <c r="A284" s="8">
        <f>ROW([2]!tbl_DPSAC[[#This Row],[Sl. No.]])-1</f>
        <v>283</v>
      </c>
      <c r="B284" s="9" t="s">
        <v>136</v>
      </c>
      <c r="C284" s="9" t="s">
        <v>1490</v>
      </c>
      <c r="D284" s="9" t="s">
        <v>1491</v>
      </c>
      <c r="E284" s="9" t="s">
        <v>1492</v>
      </c>
      <c r="F284" s="9" t="s">
        <v>161</v>
      </c>
      <c r="G284" s="10" t="s">
        <v>291</v>
      </c>
      <c r="H284" s="10" t="str">
        <f>_xlfn.XLOOKUP(C284,'[1]E&amp;DPSAC'!$K:$K,'[1]E&amp;DPSAC'!$E:$E,,0)</f>
        <v>DHANBAD</v>
      </c>
      <c r="I284" s="10"/>
      <c r="J284" s="10">
        <v>8210106692</v>
      </c>
      <c r="K284" s="10">
        <f>_xlfn.XLOOKUP(C284,'[1]E&amp;DPSAC'!$K:$K,'[1]E&amp;DPSAC'!$G:$G,"",0)</f>
        <v>9294578541</v>
      </c>
      <c r="L284" s="9" t="str">
        <f t="shared" ca="1" si="16"/>
        <v>Non - Warranty</v>
      </c>
      <c r="M284" s="11">
        <v>44879</v>
      </c>
      <c r="N284" s="12">
        <v>24</v>
      </c>
      <c r="O284" s="11">
        <f t="shared" si="17"/>
        <v>45626</v>
      </c>
      <c r="P284" s="8" t="s">
        <v>157</v>
      </c>
      <c r="Q284" s="16" t="s">
        <v>1501</v>
      </c>
      <c r="R284" s="15">
        <v>45607.507997685199</v>
      </c>
      <c r="S284" s="14">
        <v>3712</v>
      </c>
      <c r="T284" s="15">
        <v>45997</v>
      </c>
      <c r="U284" s="14">
        <v>5631</v>
      </c>
      <c r="V284" s="14">
        <v>4686</v>
      </c>
      <c r="W284" s="17">
        <v>45966.580555555556</v>
      </c>
      <c r="X284" s="14" t="s">
        <v>2809</v>
      </c>
      <c r="Y284" s="14">
        <v>-224</v>
      </c>
      <c r="Z284" s="14" t="s">
        <v>2697</v>
      </c>
      <c r="AA284" s="18">
        <v>505.49200231480063</v>
      </c>
      <c r="AB284" s="18" t="s">
        <v>2697</v>
      </c>
      <c r="AC284" s="8">
        <f>tbl_DPSAC[[#This Row],[Current Month Due Count]]</f>
        <v>0</v>
      </c>
      <c r="AD284" s="8">
        <f>tbl_DPSAC[[#This Row],[Next Month Due2]]</f>
        <v>0</v>
      </c>
      <c r="AE284" s="8">
        <f t="shared" si="18"/>
        <v>1</v>
      </c>
      <c r="AF284" s="8">
        <v>4</v>
      </c>
      <c r="AG284" s="14">
        <f t="shared" ca="1" si="19"/>
        <v>5272</v>
      </c>
      <c r="AH284" s="8" t="s">
        <v>1493</v>
      </c>
      <c r="AI284" s="8" t="s">
        <v>1494</v>
      </c>
      <c r="AJ284" s="8" t="s">
        <v>1495</v>
      </c>
      <c r="AK284" s="8" t="s">
        <v>1496</v>
      </c>
      <c r="AL284" s="8" t="s">
        <v>1497</v>
      </c>
      <c r="AM284" s="8" t="s">
        <v>1498</v>
      </c>
      <c r="AN284" s="8" t="s">
        <v>1499</v>
      </c>
      <c r="AO284" s="8" t="s">
        <v>1500</v>
      </c>
      <c r="AP284" s="8">
        <v>0</v>
      </c>
      <c r="AQ284" s="8">
        <v>0</v>
      </c>
      <c r="AR284" s="8">
        <v>0</v>
      </c>
      <c r="AS284" s="8">
        <v>0</v>
      </c>
      <c r="AT284" s="8">
        <v>0</v>
      </c>
      <c r="AU284" s="8">
        <v>0</v>
      </c>
      <c r="AV284" s="8">
        <v>0</v>
      </c>
      <c r="AW284" s="8">
        <v>0</v>
      </c>
      <c r="AX284" s="8" t="s">
        <v>2961</v>
      </c>
      <c r="AY284" s="14">
        <v>3712</v>
      </c>
      <c r="AZ284" s="19">
        <v>45607</v>
      </c>
      <c r="BA284" s="14" t="s">
        <v>1501</v>
      </c>
      <c r="BB284" s="14">
        <v>3170</v>
      </c>
      <c r="BC284" s="19">
        <v>45443</v>
      </c>
      <c r="BD284" s="14" t="s">
        <v>1502</v>
      </c>
      <c r="BE284" s="14">
        <v>3712</v>
      </c>
      <c r="BF284" s="19">
        <v>45607</v>
      </c>
      <c r="BG284" s="14" t="s">
        <v>1501</v>
      </c>
      <c r="BH284" s="14">
        <v>3712</v>
      </c>
      <c r="BI284" s="19">
        <v>45607</v>
      </c>
      <c r="BJ284" s="14" t="s">
        <v>1501</v>
      </c>
      <c r="BK284" s="14">
        <v>3170</v>
      </c>
      <c r="BL284" s="19">
        <v>45443</v>
      </c>
      <c r="BM284" s="14" t="s">
        <v>1502</v>
      </c>
      <c r="BN284" s="27">
        <v>45787</v>
      </c>
      <c r="BO284" s="27">
        <v>45623</v>
      </c>
      <c r="BP284" s="27">
        <v>45787</v>
      </c>
      <c r="BQ284" s="27">
        <v>45787</v>
      </c>
      <c r="BR284" s="27">
        <v>45808</v>
      </c>
      <c r="BS284" s="28">
        <v>-810</v>
      </c>
      <c r="BT284" s="29">
        <v>-602</v>
      </c>
      <c r="BU284" s="29">
        <v>-810</v>
      </c>
      <c r="BV284" s="29">
        <v>-810</v>
      </c>
      <c r="BW284" s="29">
        <v>-602</v>
      </c>
      <c r="BX284" s="30" t="s">
        <v>1503</v>
      </c>
      <c r="BY284" s="8">
        <v>5</v>
      </c>
      <c r="BZ284" s="8">
        <v>0</v>
      </c>
      <c r="CA284" s="8">
        <v>0</v>
      </c>
      <c r="CB284" s="21">
        <v>45606.770833333299</v>
      </c>
      <c r="CC284" s="21">
        <v>45606.770833333299</v>
      </c>
      <c r="CD284" s="21">
        <v>45606.770833333299</v>
      </c>
      <c r="CE284" s="21">
        <v>45606.770833333299</v>
      </c>
      <c r="CF284" s="21">
        <v>45342.770833333299</v>
      </c>
      <c r="CG284" s="21">
        <v>45442.770833333299</v>
      </c>
      <c r="CH284" s="21">
        <v>0</v>
      </c>
      <c r="CI284" s="21">
        <v>45179.770833333299</v>
      </c>
      <c r="CJ284" s="21">
        <v>45442.770833333299</v>
      </c>
      <c r="CK284" s="22" t="s">
        <v>3139</v>
      </c>
      <c r="CL284" s="22" t="s">
        <v>3139</v>
      </c>
      <c r="CM284" s="22" t="s">
        <v>3139</v>
      </c>
      <c r="CN284" s="22" t="s">
        <v>3139</v>
      </c>
      <c r="CO284" s="22" t="s">
        <v>3139</v>
      </c>
      <c r="CP284" s="22" t="s">
        <v>3140</v>
      </c>
      <c r="CQ284" s="22" t="s">
        <v>2953</v>
      </c>
      <c r="CR284" s="22" t="s">
        <v>3140</v>
      </c>
      <c r="CS284" s="22" t="s">
        <v>3140</v>
      </c>
      <c r="CT284" s="22">
        <v>4</v>
      </c>
      <c r="CU284" s="21">
        <v>45786</v>
      </c>
      <c r="CV284" s="21">
        <v>45786</v>
      </c>
      <c r="CW284" s="21">
        <v>45786</v>
      </c>
      <c r="CX284" s="21">
        <v>45786</v>
      </c>
      <c r="CY284" s="21">
        <v>45522</v>
      </c>
      <c r="CZ284" s="21">
        <v>45712</v>
      </c>
      <c r="DA284" s="21">
        <v>46059</v>
      </c>
      <c r="DB284" s="21">
        <v>45359</v>
      </c>
      <c r="DC284" s="21">
        <v>45807</v>
      </c>
      <c r="DD284" s="8">
        <v>1</v>
      </c>
      <c r="DE284" s="8">
        <v>1</v>
      </c>
      <c r="DF284" s="8">
        <v>0</v>
      </c>
      <c r="DG284" s="8">
        <v>9</v>
      </c>
      <c r="DH284" s="8">
        <v>0</v>
      </c>
      <c r="DI284" s="8">
        <v>0</v>
      </c>
      <c r="DJ284" s="8" t="s">
        <v>2954</v>
      </c>
      <c r="DK284" s="21">
        <v>44879</v>
      </c>
      <c r="DL284" s="21">
        <v>44851.229861111111</v>
      </c>
      <c r="DM284" s="21">
        <v>45966</v>
      </c>
      <c r="DN284" s="18">
        <v>4686</v>
      </c>
      <c r="DO284" s="21">
        <v>0</v>
      </c>
      <c r="DP284" s="21">
        <v>0</v>
      </c>
      <c r="DQ284" s="21" t="s">
        <v>2955</v>
      </c>
      <c r="DR284" s="21">
        <v>45607</v>
      </c>
      <c r="DS284" s="21">
        <v>45607</v>
      </c>
      <c r="DT284" s="21">
        <v>45607</v>
      </c>
      <c r="DU284" s="21">
        <v>45607</v>
      </c>
      <c r="DV284" s="21">
        <v>45343</v>
      </c>
      <c r="DW284" s="21">
        <v>45443</v>
      </c>
      <c r="DX284" s="21">
        <v>0</v>
      </c>
      <c r="DY284" s="21">
        <v>45180</v>
      </c>
      <c r="DZ284" s="21">
        <v>45443</v>
      </c>
      <c r="EA284" s="8">
        <v>224</v>
      </c>
      <c r="EB284" s="8">
        <v>224</v>
      </c>
      <c r="EC284" s="8">
        <v>224</v>
      </c>
      <c r="ED284" s="8">
        <v>224</v>
      </c>
      <c r="EE284" s="8">
        <v>224</v>
      </c>
      <c r="EF284" s="8">
        <v>14</v>
      </c>
      <c r="EG284" s="8">
        <v>1000</v>
      </c>
      <c r="EH284" s="8">
        <v>14</v>
      </c>
      <c r="EI284" s="8">
        <v>14</v>
      </c>
      <c r="EJ284" s="8">
        <v>4</v>
      </c>
      <c r="EK284" s="8" t="s">
        <v>157</v>
      </c>
      <c r="EL284" s="8">
        <v>146</v>
      </c>
      <c r="EM284" s="8">
        <v>584</v>
      </c>
      <c r="EN284" s="8">
        <v>-64</v>
      </c>
      <c r="EO284" s="8">
        <v>-64</v>
      </c>
      <c r="EP284" s="8">
        <v>-64</v>
      </c>
      <c r="EQ284" s="8">
        <v>-64</v>
      </c>
      <c r="ER284" s="8">
        <v>-64</v>
      </c>
      <c r="ES284" s="8">
        <v>-274</v>
      </c>
      <c r="ET284" s="8">
        <v>712</v>
      </c>
      <c r="EU284" s="8">
        <v>-274</v>
      </c>
      <c r="EV284" s="8">
        <v>-274</v>
      </c>
    </row>
    <row r="285" spans="1:152" x14ac:dyDescent="0.15">
      <c r="A285" s="8">
        <f>ROW([2]!tbl_DPSAC[[#This Row],[Sl. No.]])-1</f>
        <v>284</v>
      </c>
      <c r="B285" s="9" t="s">
        <v>136</v>
      </c>
      <c r="C285" s="9" t="s">
        <v>1504</v>
      </c>
      <c r="D285" s="9" t="s">
        <v>138</v>
      </c>
      <c r="E285" s="9" t="s">
        <v>139</v>
      </c>
      <c r="F285" s="9" t="s">
        <v>161</v>
      </c>
      <c r="G285" s="10" t="s">
        <v>1505</v>
      </c>
      <c r="H285" s="10" t="str">
        <f>_xlfn.XLOOKUP(C285,'[1]E&amp;DPSAC'!$K:$K,'[1]E&amp;DPSAC'!$E:$E,,0)</f>
        <v>BHOWRA, DHANBAD</v>
      </c>
      <c r="I285" s="10"/>
      <c r="J285" s="10">
        <v>7402773991</v>
      </c>
      <c r="K285" s="10">
        <f>_xlfn.XLOOKUP(C285,'[1]E&amp;DPSAC'!$K:$K,'[1]E&amp;DPSAC'!$G:$G,"",0)</f>
        <v>6207308280</v>
      </c>
      <c r="L285" s="9" t="str">
        <f t="shared" ca="1" si="16"/>
        <v>Non - Warranty</v>
      </c>
      <c r="M285" s="11">
        <v>44650</v>
      </c>
      <c r="N285" s="12">
        <v>24</v>
      </c>
      <c r="O285" s="11">
        <f t="shared" si="17"/>
        <v>45382</v>
      </c>
      <c r="P285" s="8" t="s">
        <v>142</v>
      </c>
      <c r="Q285" s="16" t="s">
        <v>1512</v>
      </c>
      <c r="R285" s="15">
        <v>45280.614097222198</v>
      </c>
      <c r="S285" s="14">
        <v>2660</v>
      </c>
      <c r="T285" s="15">
        <v>45280</v>
      </c>
      <c r="U285" s="14">
        <v>2660</v>
      </c>
      <c r="V285" s="14">
        <v>4900</v>
      </c>
      <c r="W285" s="17">
        <v>45941.47152777778</v>
      </c>
      <c r="X285" s="14" t="s">
        <v>2810</v>
      </c>
      <c r="Y285" s="14">
        <v>-1490</v>
      </c>
      <c r="Z285" s="14" t="s">
        <v>2697</v>
      </c>
      <c r="AA285" s="18">
        <v>832.38590277780168</v>
      </c>
      <c r="AB285" s="18" t="s">
        <v>2697</v>
      </c>
      <c r="AC285" s="8">
        <f>tbl_DPSAC[[#This Row],[Current Month Due Count]]</f>
        <v>0</v>
      </c>
      <c r="AD285" s="8">
        <f>tbl_DPSAC[[#This Row],[Next Month Due2]]</f>
        <v>0</v>
      </c>
      <c r="AE285" s="8">
        <f t="shared" si="18"/>
        <v>1</v>
      </c>
      <c r="AF285" s="8">
        <v>3</v>
      </c>
      <c r="AG285" s="14">
        <f t="shared" ca="1" si="19"/>
        <v>5415</v>
      </c>
      <c r="AH285" s="8" t="s">
        <v>1506</v>
      </c>
      <c r="AI285" s="8" t="s">
        <v>1507</v>
      </c>
      <c r="AJ285" s="8" t="s">
        <v>1508</v>
      </c>
      <c r="AK285" s="8" t="s">
        <v>1509</v>
      </c>
      <c r="AL285" s="8" t="s">
        <v>1510</v>
      </c>
      <c r="AM285" s="8" t="s">
        <v>1511</v>
      </c>
      <c r="AN285" s="8">
        <v>0</v>
      </c>
      <c r="AO285" s="8">
        <v>0</v>
      </c>
      <c r="AP285" s="8">
        <v>0</v>
      </c>
      <c r="AQ285" s="8">
        <v>0</v>
      </c>
      <c r="AR285" s="8">
        <v>0</v>
      </c>
      <c r="AS285" s="8">
        <v>0</v>
      </c>
      <c r="AT285" s="8">
        <v>0</v>
      </c>
      <c r="AU285" s="8">
        <v>0</v>
      </c>
      <c r="AV285" s="8">
        <v>0</v>
      </c>
      <c r="AW285" s="8">
        <v>0</v>
      </c>
      <c r="AX285" s="8" t="s">
        <v>2961</v>
      </c>
      <c r="AY285" s="14">
        <v>2660</v>
      </c>
      <c r="AZ285" s="19">
        <v>45280</v>
      </c>
      <c r="BA285" s="14" t="s">
        <v>1512</v>
      </c>
      <c r="BB285" s="14">
        <v>1526</v>
      </c>
      <c r="BC285" s="19">
        <v>45026</v>
      </c>
      <c r="BD285" s="14" t="s">
        <v>1513</v>
      </c>
      <c r="BE285" s="14">
        <v>2660</v>
      </c>
      <c r="BF285" s="19">
        <v>45280</v>
      </c>
      <c r="BG285" s="14" t="s">
        <v>1512</v>
      </c>
      <c r="BH285" s="14">
        <v>2660</v>
      </c>
      <c r="BI285" s="19">
        <v>45280</v>
      </c>
      <c r="BJ285" s="14" t="s">
        <v>1512</v>
      </c>
      <c r="BK285" s="14">
        <v>1526</v>
      </c>
      <c r="BL285" s="19">
        <v>45026</v>
      </c>
      <c r="BM285" s="14" t="s">
        <v>1513</v>
      </c>
      <c r="BN285" s="27">
        <v>45460</v>
      </c>
      <c r="BO285" s="27">
        <v>45206</v>
      </c>
      <c r="BP285" s="27">
        <v>45460</v>
      </c>
      <c r="BQ285" s="27">
        <v>45460</v>
      </c>
      <c r="BR285" s="27">
        <v>45391</v>
      </c>
      <c r="BS285" s="28">
        <v>-2005</v>
      </c>
      <c r="BT285" s="29">
        <v>-2389</v>
      </c>
      <c r="BU285" s="29">
        <v>-2005</v>
      </c>
      <c r="BV285" s="29">
        <v>-2005</v>
      </c>
      <c r="BW285" s="29">
        <v>-2389</v>
      </c>
      <c r="BX285" s="30">
        <v>0</v>
      </c>
      <c r="BY285" s="8">
        <v>5</v>
      </c>
      <c r="BZ285" s="8">
        <v>0</v>
      </c>
      <c r="CA285" s="8">
        <v>0</v>
      </c>
      <c r="CB285" s="21">
        <v>45279.770833333299</v>
      </c>
      <c r="CC285" s="21">
        <v>45279.770833333299</v>
      </c>
      <c r="CD285" s="21">
        <v>45279.770833333299</v>
      </c>
      <c r="CE285" s="21">
        <v>45279.770833333299</v>
      </c>
      <c r="CF285" s="21">
        <v>45279.770833333299</v>
      </c>
      <c r="CG285" s="21">
        <v>45025.770833333299</v>
      </c>
      <c r="CH285" s="21">
        <v>0</v>
      </c>
      <c r="CI285" s="21">
        <v>45025.770833333299</v>
      </c>
      <c r="CJ285" s="21">
        <v>0</v>
      </c>
      <c r="CK285" s="22" t="s">
        <v>2966</v>
      </c>
      <c r="CL285" s="22" t="s">
        <v>2966</v>
      </c>
      <c r="CM285" s="22" t="s">
        <v>2966</v>
      </c>
      <c r="CN285" s="22" t="s">
        <v>2966</v>
      </c>
      <c r="CO285" s="22" t="s">
        <v>2966</v>
      </c>
      <c r="CP285" s="22" t="s">
        <v>3101</v>
      </c>
      <c r="CQ285" s="22" t="s">
        <v>2953</v>
      </c>
      <c r="CR285" s="22" t="s">
        <v>3101</v>
      </c>
      <c r="CS285" s="22" t="s">
        <v>3101</v>
      </c>
      <c r="CT285" s="22">
        <v>3</v>
      </c>
      <c r="CU285" s="21">
        <v>45459</v>
      </c>
      <c r="CV285" s="21">
        <v>45459</v>
      </c>
      <c r="CW285" s="21">
        <v>45459</v>
      </c>
      <c r="CX285" s="21">
        <v>45459</v>
      </c>
      <c r="CY285" s="21">
        <v>45459</v>
      </c>
      <c r="CZ285" s="21">
        <v>45295</v>
      </c>
      <c r="DA285" s="21">
        <v>46034</v>
      </c>
      <c r="DB285" s="21">
        <v>45205</v>
      </c>
      <c r="DC285" s="21">
        <v>46114</v>
      </c>
      <c r="DD285" s="8">
        <v>1</v>
      </c>
      <c r="DE285" s="8">
        <v>0</v>
      </c>
      <c r="DF285" s="8">
        <v>0</v>
      </c>
      <c r="DG285" s="8">
        <v>8</v>
      </c>
      <c r="DH285" s="8">
        <v>1</v>
      </c>
      <c r="DI285" s="8">
        <v>0</v>
      </c>
      <c r="DJ285" s="8" t="s">
        <v>2954</v>
      </c>
      <c r="DK285" s="21">
        <v>44650</v>
      </c>
      <c r="DL285" s="21">
        <v>44574.229166666664</v>
      </c>
      <c r="DM285" s="21">
        <v>45941</v>
      </c>
      <c r="DN285" s="18">
        <v>4900</v>
      </c>
      <c r="DO285" s="21">
        <v>0</v>
      </c>
      <c r="DP285" s="21">
        <v>0</v>
      </c>
      <c r="DQ285" s="21" t="s">
        <v>2955</v>
      </c>
      <c r="DR285" s="21">
        <v>45280</v>
      </c>
      <c r="DS285" s="21">
        <v>45280</v>
      </c>
      <c r="DT285" s="21">
        <v>45280</v>
      </c>
      <c r="DU285" s="21">
        <v>45280</v>
      </c>
      <c r="DV285" s="21">
        <v>45280</v>
      </c>
      <c r="DW285" s="21">
        <v>45026</v>
      </c>
      <c r="DX285" s="21">
        <v>0</v>
      </c>
      <c r="DY285" s="21">
        <v>45026</v>
      </c>
      <c r="DZ285" s="21">
        <v>0</v>
      </c>
      <c r="EA285" s="8">
        <v>490</v>
      </c>
      <c r="EB285" s="8">
        <v>490</v>
      </c>
      <c r="EC285" s="8">
        <v>490</v>
      </c>
      <c r="ED285" s="8">
        <v>490</v>
      </c>
      <c r="EE285" s="8">
        <v>490</v>
      </c>
      <c r="EF285" s="8">
        <v>880</v>
      </c>
      <c r="EG285" s="8">
        <v>1000</v>
      </c>
      <c r="EH285" s="8">
        <v>880</v>
      </c>
      <c r="EI285" s="8">
        <v>880</v>
      </c>
      <c r="EJ285" s="8">
        <v>3</v>
      </c>
      <c r="EK285" s="8" t="s">
        <v>2624</v>
      </c>
      <c r="EL285" s="8">
        <v>172</v>
      </c>
      <c r="EM285" s="8">
        <v>516</v>
      </c>
      <c r="EN285" s="8">
        <v>202</v>
      </c>
      <c r="EO285" s="8">
        <v>202</v>
      </c>
      <c r="EP285" s="8">
        <v>202</v>
      </c>
      <c r="EQ285" s="8">
        <v>202</v>
      </c>
      <c r="ER285" s="8">
        <v>202</v>
      </c>
      <c r="ES285" s="8">
        <v>592</v>
      </c>
      <c r="ET285" s="8">
        <v>712</v>
      </c>
      <c r="EU285" s="8">
        <v>592</v>
      </c>
      <c r="EV285" s="8">
        <v>592</v>
      </c>
    </row>
    <row r="286" spans="1:152" x14ac:dyDescent="0.15">
      <c r="A286" s="8">
        <f>ROW([2]!tbl_DPSAC[[#This Row],[Sl. No.]])-1</f>
        <v>285</v>
      </c>
      <c r="B286" s="9" t="s">
        <v>136</v>
      </c>
      <c r="C286" s="9" t="s">
        <v>1514</v>
      </c>
      <c r="D286" s="9" t="s">
        <v>1515</v>
      </c>
      <c r="E286" s="9" t="s">
        <v>1232</v>
      </c>
      <c r="F286" s="9" t="s">
        <v>161</v>
      </c>
      <c r="G286" s="10" t="s">
        <v>1516</v>
      </c>
      <c r="H286" s="10" t="e">
        <f>_xlfn.XLOOKUP(C286,'[1]E&amp;DPSAC'!$K:$K,'[1]E&amp;DPSAC'!$E:$E,,0)</f>
        <v>#N/A</v>
      </c>
      <c r="I286" s="10"/>
      <c r="J286" s="10">
        <v>9487713345</v>
      </c>
      <c r="K286" s="10" t="str">
        <f>_xlfn.XLOOKUP(C286,'[1]E&amp;DPSAC'!$K:$K,'[1]E&amp;DPSAC'!$G:$G,"",0)</f>
        <v/>
      </c>
      <c r="L286" s="9" t="str">
        <f t="shared" ca="1" si="16"/>
        <v>Non - Warranty</v>
      </c>
      <c r="M286" s="11">
        <v>44499</v>
      </c>
      <c r="N286" s="12">
        <v>24</v>
      </c>
      <c r="O286" s="11">
        <f t="shared" si="17"/>
        <v>45230</v>
      </c>
      <c r="P286" s="8" t="s">
        <v>157</v>
      </c>
      <c r="Q286" s="16" t="s">
        <v>143</v>
      </c>
      <c r="R286" s="15" t="s">
        <v>143</v>
      </c>
      <c r="S286" s="14" t="s">
        <v>143</v>
      </c>
      <c r="T286" s="15" t="s">
        <v>143</v>
      </c>
      <c r="U286" s="14" t="s">
        <v>143</v>
      </c>
      <c r="V286" s="14" t="s">
        <v>143</v>
      </c>
      <c r="W286" s="17" t="s">
        <v>143</v>
      </c>
      <c r="X286" s="14" t="s">
        <v>143</v>
      </c>
      <c r="Y286" s="14">
        <v>0</v>
      </c>
      <c r="Z286" s="14" t="s">
        <v>2692</v>
      </c>
      <c r="AA286" s="18">
        <v>1614</v>
      </c>
      <c r="AB286" s="18" t="s">
        <v>2697</v>
      </c>
      <c r="AC286" s="8">
        <f>tbl_DPSAC[[#This Row],[Current Month Due Count]]</f>
        <v>0</v>
      </c>
      <c r="AD286" s="8">
        <f>tbl_DPSAC[[#This Row],[Next Month Due2]]</f>
        <v>0</v>
      </c>
      <c r="AE286" s="8">
        <f t="shared" si="18"/>
        <v>1</v>
      </c>
      <c r="AF286" s="8">
        <v>8</v>
      </c>
      <c r="AG286" s="14" t="str">
        <f t="shared" ca="1" si="19"/>
        <v/>
      </c>
      <c r="AH286" s="8">
        <v>0</v>
      </c>
      <c r="AI286" s="8">
        <v>0</v>
      </c>
      <c r="AJ286" s="8">
        <v>0</v>
      </c>
      <c r="AK286" s="8">
        <v>0</v>
      </c>
      <c r="AL286" s="8">
        <v>0</v>
      </c>
      <c r="AM286" s="8">
        <v>0</v>
      </c>
      <c r="AN286" s="8">
        <v>0</v>
      </c>
      <c r="AO286" s="8">
        <v>0</v>
      </c>
      <c r="AP286" s="8">
        <v>0</v>
      </c>
      <c r="AQ286" s="8">
        <v>0</v>
      </c>
      <c r="AR286" s="8">
        <v>0</v>
      </c>
      <c r="AS286" s="8">
        <v>0</v>
      </c>
      <c r="AT286" s="8">
        <v>0</v>
      </c>
      <c r="AU286" s="8">
        <v>0</v>
      </c>
      <c r="AV286" s="8">
        <v>0</v>
      </c>
      <c r="AW286" s="8">
        <v>0</v>
      </c>
      <c r="AX286" s="8" t="s">
        <v>2007</v>
      </c>
      <c r="AY286" s="14"/>
      <c r="AZ286" s="19"/>
      <c r="BA286" s="14"/>
      <c r="BB286" s="14"/>
      <c r="BC286" s="19"/>
      <c r="BD286" s="14"/>
      <c r="BE286" s="14"/>
      <c r="BF286" s="19"/>
      <c r="BG286" s="14"/>
      <c r="BH286" s="14"/>
      <c r="BI286" s="19"/>
      <c r="BJ286" s="14"/>
      <c r="BK286" s="14"/>
      <c r="BL286" s="19"/>
      <c r="BM286" s="14"/>
      <c r="BN286" s="27" t="s">
        <v>143</v>
      </c>
      <c r="BO286" s="27" t="s">
        <v>143</v>
      </c>
      <c r="BP286" s="27" t="s">
        <v>143</v>
      </c>
      <c r="BQ286" s="27" t="s">
        <v>143</v>
      </c>
      <c r="BR286" s="27" t="s">
        <v>143</v>
      </c>
      <c r="BS286" s="28" t="s">
        <v>143</v>
      </c>
      <c r="BT286" s="29" t="s">
        <v>143</v>
      </c>
      <c r="BU286" s="29" t="s">
        <v>143</v>
      </c>
      <c r="BV286" s="29" t="s">
        <v>143</v>
      </c>
      <c r="BW286" s="29" t="s">
        <v>143</v>
      </c>
      <c r="BX286" s="30" t="s">
        <v>159</v>
      </c>
      <c r="BY286" s="8">
        <v>0</v>
      </c>
      <c r="BZ286" s="8">
        <v>0</v>
      </c>
      <c r="CA286" s="8">
        <v>0</v>
      </c>
      <c r="CB286" s="21" t="s">
        <v>143</v>
      </c>
      <c r="CC286" s="21" t="s">
        <v>143</v>
      </c>
      <c r="CD286" s="21" t="s">
        <v>143</v>
      </c>
      <c r="CE286" s="21" t="s">
        <v>143</v>
      </c>
      <c r="CF286" s="21" t="s">
        <v>143</v>
      </c>
      <c r="CG286" s="21" t="s">
        <v>143</v>
      </c>
      <c r="CH286" s="21" t="s">
        <v>143</v>
      </c>
      <c r="CI286" s="21" t="s">
        <v>143</v>
      </c>
      <c r="CJ286" s="21" t="s">
        <v>143</v>
      </c>
      <c r="CK286" s="22" t="s">
        <v>143</v>
      </c>
      <c r="CL286" s="22" t="s">
        <v>143</v>
      </c>
      <c r="CM286" s="22" t="s">
        <v>143</v>
      </c>
      <c r="CN286" s="22" t="s">
        <v>143</v>
      </c>
      <c r="CO286" s="22" t="s">
        <v>143</v>
      </c>
      <c r="CP286" s="22" t="s">
        <v>143</v>
      </c>
      <c r="CQ286" s="22" t="s">
        <v>143</v>
      </c>
      <c r="CR286" s="22" t="s">
        <v>143</v>
      </c>
      <c r="CS286" s="22" t="s">
        <v>143</v>
      </c>
      <c r="CT286" s="22" t="s">
        <v>143</v>
      </c>
      <c r="CU286" s="21" t="s">
        <v>143</v>
      </c>
      <c r="CV286" s="21" t="s">
        <v>143</v>
      </c>
      <c r="CW286" s="21" t="s">
        <v>143</v>
      </c>
      <c r="CX286" s="21" t="s">
        <v>143</v>
      </c>
      <c r="CY286" s="21" t="s">
        <v>143</v>
      </c>
      <c r="CZ286" s="21" t="s">
        <v>143</v>
      </c>
      <c r="DA286" s="21" t="s">
        <v>143</v>
      </c>
      <c r="DB286" s="21" t="s">
        <v>143</v>
      </c>
      <c r="DC286" s="21" t="s">
        <v>143</v>
      </c>
      <c r="DD286" s="8" t="s">
        <v>143</v>
      </c>
      <c r="DE286" s="8" t="s">
        <v>143</v>
      </c>
      <c r="DF286" s="8" t="s">
        <v>143</v>
      </c>
      <c r="DG286" s="8">
        <v>0</v>
      </c>
      <c r="DH286" s="8">
        <v>0</v>
      </c>
      <c r="DI286" s="8">
        <v>0</v>
      </c>
      <c r="DJ286" s="8" t="s">
        <v>143</v>
      </c>
      <c r="DK286" s="21" t="s">
        <v>143</v>
      </c>
      <c r="DL286" s="21" t="s">
        <v>143</v>
      </c>
      <c r="DM286" s="21" t="s">
        <v>143</v>
      </c>
      <c r="DN286" s="18" t="s">
        <v>143</v>
      </c>
      <c r="DO286" s="21" t="s">
        <v>143</v>
      </c>
      <c r="DP286" s="21" t="s">
        <v>143</v>
      </c>
      <c r="DQ286" s="21" t="s">
        <v>143</v>
      </c>
      <c r="DR286" s="21" t="s">
        <v>143</v>
      </c>
      <c r="DS286" s="21" t="s">
        <v>143</v>
      </c>
      <c r="DT286" s="21" t="s">
        <v>143</v>
      </c>
      <c r="DU286" s="21" t="s">
        <v>143</v>
      </c>
      <c r="DV286" s="21" t="s">
        <v>143</v>
      </c>
      <c r="DW286" s="21" t="s">
        <v>143</v>
      </c>
      <c r="DX286" s="21" t="s">
        <v>143</v>
      </c>
      <c r="DY286" s="21" t="s">
        <v>143</v>
      </c>
      <c r="DZ286" s="21" t="s">
        <v>143</v>
      </c>
      <c r="EA286" s="8" t="s">
        <v>143</v>
      </c>
      <c r="EB286" s="8" t="s">
        <v>143</v>
      </c>
      <c r="EC286" s="8" t="s">
        <v>143</v>
      </c>
      <c r="ED286" s="8" t="s">
        <v>143</v>
      </c>
      <c r="EE286" s="8" t="s">
        <v>143</v>
      </c>
      <c r="EF286" s="8" t="s">
        <v>143</v>
      </c>
      <c r="EG286" s="8" t="s">
        <v>143</v>
      </c>
      <c r="EH286" s="8" t="s">
        <v>143</v>
      </c>
      <c r="EI286" s="8" t="s">
        <v>143</v>
      </c>
      <c r="EJ286" s="8" t="s">
        <v>143</v>
      </c>
      <c r="EK286" s="8" t="s">
        <v>157</v>
      </c>
      <c r="EL286" s="8" t="e">
        <v>#VALUE!</v>
      </c>
      <c r="EM286" s="8" t="e">
        <v>#VALUE!</v>
      </c>
      <c r="EN286" s="8" t="s">
        <v>143</v>
      </c>
      <c r="EO286" s="8" t="s">
        <v>143</v>
      </c>
      <c r="EP286" s="8" t="s">
        <v>143</v>
      </c>
      <c r="EQ286" s="8" t="s">
        <v>143</v>
      </c>
      <c r="ER286" s="8" t="s">
        <v>143</v>
      </c>
      <c r="ES286" s="8" t="s">
        <v>143</v>
      </c>
      <c r="ET286" s="8" t="s">
        <v>143</v>
      </c>
      <c r="EU286" s="8" t="s">
        <v>143</v>
      </c>
      <c r="EV286" s="8" t="s">
        <v>143</v>
      </c>
    </row>
    <row r="287" spans="1:152" x14ac:dyDescent="0.15">
      <c r="A287" s="8">
        <f>ROW([2]!tbl_DPSAC[[#This Row],[Sl. No.]])-1</f>
        <v>286</v>
      </c>
      <c r="B287" s="9" t="s">
        <v>196</v>
      </c>
      <c r="C287" s="9" t="s">
        <v>1517</v>
      </c>
      <c r="D287" s="9" t="s">
        <v>460</v>
      </c>
      <c r="E287" s="9" t="s">
        <v>170</v>
      </c>
      <c r="F287" s="9" t="s">
        <v>161</v>
      </c>
      <c r="G287" s="10" t="s">
        <v>1518</v>
      </c>
      <c r="H287" s="10" t="str">
        <f>_xlfn.XLOOKUP(C287,'[1]E&amp;DPSAC'!$K:$K,'[1]E&amp;DPSAC'!$E:$E,,0)</f>
        <v>HAJIPUR, BIHAR</v>
      </c>
      <c r="I287" s="10"/>
      <c r="J287" s="10">
        <v>8809338483</v>
      </c>
      <c r="K287" s="10">
        <f>_xlfn.XLOOKUP(C287,'[1]E&amp;DPSAC'!$K:$K,'[1]E&amp;DPSAC'!$G:$G,"",0)</f>
        <v>7368928746</v>
      </c>
      <c r="L287" s="9" t="str">
        <f t="shared" ca="1" si="16"/>
        <v>Non - Warranty</v>
      </c>
      <c r="M287" s="11">
        <v>44565</v>
      </c>
      <c r="N287" s="12">
        <v>24</v>
      </c>
      <c r="O287" s="11">
        <f t="shared" si="17"/>
        <v>45322</v>
      </c>
      <c r="P287" s="8" t="s">
        <v>157</v>
      </c>
      <c r="Q287" s="16" t="s">
        <v>1522</v>
      </c>
      <c r="R287" s="15">
        <v>45372.544467592597</v>
      </c>
      <c r="S287" s="14">
        <v>2971</v>
      </c>
      <c r="T287" s="15">
        <v>45372</v>
      </c>
      <c r="U287" s="14">
        <v>2556</v>
      </c>
      <c r="V287" s="14">
        <v>2980</v>
      </c>
      <c r="W287" s="17">
        <v>45476.654803240701</v>
      </c>
      <c r="X287" s="14" t="s">
        <v>2722</v>
      </c>
      <c r="Y287" s="14">
        <v>741</v>
      </c>
      <c r="Z287" s="14" t="s">
        <v>2692</v>
      </c>
      <c r="AA287" s="18">
        <v>740.45553240740264</v>
      </c>
      <c r="AB287" s="18" t="s">
        <v>2697</v>
      </c>
      <c r="AC287" s="8">
        <f>tbl_DPSAC[[#This Row],[Current Month Due Count]]</f>
        <v>0</v>
      </c>
      <c r="AD287" s="8">
        <f>tbl_DPSAC[[#This Row],[Next Month Due2]]</f>
        <v>0</v>
      </c>
      <c r="AE287" s="8">
        <f t="shared" si="18"/>
        <v>1</v>
      </c>
      <c r="AF287" s="8">
        <v>0</v>
      </c>
      <c r="AG287" s="14">
        <f t="shared" ca="1" si="19"/>
        <v>2980</v>
      </c>
      <c r="AH287" s="8" t="s">
        <v>1519</v>
      </c>
      <c r="AI287" s="8" t="s">
        <v>1520</v>
      </c>
      <c r="AJ287" s="8">
        <v>0</v>
      </c>
      <c r="AK287" s="8" t="s">
        <v>1521</v>
      </c>
      <c r="AL287" s="8">
        <v>0</v>
      </c>
      <c r="AM287" s="8">
        <v>0</v>
      </c>
      <c r="AN287" s="8">
        <v>0</v>
      </c>
      <c r="AO287" s="8">
        <v>0</v>
      </c>
      <c r="AP287" s="8">
        <v>0</v>
      </c>
      <c r="AQ287" s="8">
        <v>0</v>
      </c>
      <c r="AR287" s="8">
        <v>0</v>
      </c>
      <c r="AS287" s="8">
        <v>0</v>
      </c>
      <c r="AT287" s="8">
        <v>0</v>
      </c>
      <c r="AU287" s="8">
        <v>0</v>
      </c>
      <c r="AV287" s="8">
        <v>0</v>
      </c>
      <c r="AW287" s="8">
        <v>0</v>
      </c>
      <c r="AX287" s="8" t="s">
        <v>3033</v>
      </c>
      <c r="AY287" s="14">
        <v>2971</v>
      </c>
      <c r="AZ287" s="19">
        <v>45372</v>
      </c>
      <c r="BA287" s="14" t="s">
        <v>1522</v>
      </c>
      <c r="BB287" s="14">
        <v>1</v>
      </c>
      <c r="BC287" s="19">
        <v>44565</v>
      </c>
      <c r="BD287" s="14"/>
      <c r="BE287" s="14">
        <v>2971</v>
      </c>
      <c r="BF287" s="19">
        <v>45372</v>
      </c>
      <c r="BG287" s="14" t="s">
        <v>1522</v>
      </c>
      <c r="BH287" s="14">
        <v>2971</v>
      </c>
      <c r="BI287" s="19">
        <v>45372</v>
      </c>
      <c r="BJ287" s="14" t="s">
        <v>1522</v>
      </c>
      <c r="BK287" s="14">
        <v>1</v>
      </c>
      <c r="BL287" s="19">
        <v>44565</v>
      </c>
      <c r="BM287" s="14"/>
      <c r="BN287" s="27">
        <v>45552</v>
      </c>
      <c r="BO287" s="27">
        <v>44745</v>
      </c>
      <c r="BP287" s="27">
        <v>45552</v>
      </c>
      <c r="BQ287" s="27">
        <v>45552</v>
      </c>
      <c r="BR287" s="27">
        <v>44930</v>
      </c>
      <c r="BS287" s="28">
        <v>741</v>
      </c>
      <c r="BT287" s="29">
        <v>-1479</v>
      </c>
      <c r="BU287" s="29">
        <v>741</v>
      </c>
      <c r="BV287" s="29">
        <v>741</v>
      </c>
      <c r="BW287" s="29">
        <v>-1479</v>
      </c>
      <c r="BX287" s="30" t="s">
        <v>1523</v>
      </c>
      <c r="BY287" s="8">
        <v>5</v>
      </c>
      <c r="BZ287" s="8">
        <v>0</v>
      </c>
      <c r="CA287" s="8">
        <v>0</v>
      </c>
      <c r="CB287" s="21" t="s">
        <v>143</v>
      </c>
      <c r="CC287" s="21" t="s">
        <v>143</v>
      </c>
      <c r="CD287" s="21" t="s">
        <v>143</v>
      </c>
      <c r="CE287" s="21" t="s">
        <v>143</v>
      </c>
      <c r="CF287" s="21" t="s">
        <v>143</v>
      </c>
      <c r="CG287" s="21" t="s">
        <v>143</v>
      </c>
      <c r="CH287" s="21" t="s">
        <v>143</v>
      </c>
      <c r="CI287" s="21" t="s">
        <v>143</v>
      </c>
      <c r="CJ287" s="21" t="s">
        <v>143</v>
      </c>
      <c r="CK287" s="22" t="s">
        <v>143</v>
      </c>
      <c r="CL287" s="22" t="s">
        <v>143</v>
      </c>
      <c r="CM287" s="22" t="s">
        <v>143</v>
      </c>
      <c r="CN287" s="22" t="s">
        <v>143</v>
      </c>
      <c r="CO287" s="22" t="s">
        <v>143</v>
      </c>
      <c r="CP287" s="22" t="s">
        <v>143</v>
      </c>
      <c r="CQ287" s="22" t="s">
        <v>143</v>
      </c>
      <c r="CR287" s="22" t="s">
        <v>143</v>
      </c>
      <c r="CS287" s="22" t="s">
        <v>143</v>
      </c>
      <c r="CT287" s="22" t="s">
        <v>143</v>
      </c>
      <c r="CU287" s="21" t="s">
        <v>143</v>
      </c>
      <c r="CV287" s="21" t="s">
        <v>143</v>
      </c>
      <c r="CW287" s="21" t="s">
        <v>143</v>
      </c>
      <c r="CX287" s="21" t="s">
        <v>143</v>
      </c>
      <c r="CY287" s="21" t="s">
        <v>143</v>
      </c>
      <c r="CZ287" s="21" t="s">
        <v>143</v>
      </c>
      <c r="DA287" s="21" t="s">
        <v>143</v>
      </c>
      <c r="DB287" s="21" t="s">
        <v>143</v>
      </c>
      <c r="DC287" s="21" t="s">
        <v>143</v>
      </c>
      <c r="DD287" s="8" t="s">
        <v>143</v>
      </c>
      <c r="DE287" s="8" t="s">
        <v>143</v>
      </c>
      <c r="DF287" s="8" t="s">
        <v>143</v>
      </c>
      <c r="DG287" s="8">
        <v>0</v>
      </c>
      <c r="DH287" s="8">
        <v>0</v>
      </c>
      <c r="DI287" s="8">
        <v>0</v>
      </c>
      <c r="DJ287" s="8" t="s">
        <v>143</v>
      </c>
      <c r="DK287" s="21" t="s">
        <v>143</v>
      </c>
      <c r="DL287" s="21" t="s">
        <v>143</v>
      </c>
      <c r="DM287" s="21" t="s">
        <v>143</v>
      </c>
      <c r="DN287" s="18" t="s">
        <v>143</v>
      </c>
      <c r="DO287" s="21" t="s">
        <v>143</v>
      </c>
      <c r="DP287" s="21" t="s">
        <v>143</v>
      </c>
      <c r="DQ287" s="21" t="s">
        <v>143</v>
      </c>
      <c r="DR287" s="21" t="s">
        <v>143</v>
      </c>
      <c r="DS287" s="21" t="s">
        <v>143</v>
      </c>
      <c r="DT287" s="21" t="s">
        <v>143</v>
      </c>
      <c r="DU287" s="21" t="s">
        <v>143</v>
      </c>
      <c r="DV287" s="21" t="s">
        <v>143</v>
      </c>
      <c r="DW287" s="21" t="s">
        <v>143</v>
      </c>
      <c r="DX287" s="21" t="s">
        <v>143</v>
      </c>
      <c r="DY287" s="21" t="s">
        <v>143</v>
      </c>
      <c r="DZ287" s="21" t="s">
        <v>143</v>
      </c>
      <c r="EA287" s="8" t="s">
        <v>143</v>
      </c>
      <c r="EB287" s="8" t="s">
        <v>143</v>
      </c>
      <c r="EC287" s="8" t="s">
        <v>143</v>
      </c>
      <c r="ED287" s="8" t="s">
        <v>143</v>
      </c>
      <c r="EE287" s="8" t="s">
        <v>143</v>
      </c>
      <c r="EF287" s="8" t="s">
        <v>143</v>
      </c>
      <c r="EG287" s="8" t="s">
        <v>143</v>
      </c>
      <c r="EH287" s="8" t="s">
        <v>143</v>
      </c>
      <c r="EI287" s="8" t="s">
        <v>143</v>
      </c>
      <c r="EJ287" s="8" t="s">
        <v>143</v>
      </c>
      <c r="EK287" s="8" t="s">
        <v>157</v>
      </c>
      <c r="EL287" s="8">
        <v>636</v>
      </c>
      <c r="EM287" s="8">
        <v>0</v>
      </c>
      <c r="EN287" s="8" t="s">
        <v>143</v>
      </c>
      <c r="EO287" s="8" t="s">
        <v>143</v>
      </c>
      <c r="EP287" s="8" t="s">
        <v>143</v>
      </c>
      <c r="EQ287" s="8" t="s">
        <v>143</v>
      </c>
      <c r="ER287" s="8" t="s">
        <v>143</v>
      </c>
      <c r="ES287" s="8" t="s">
        <v>143</v>
      </c>
      <c r="ET287" s="8" t="s">
        <v>143</v>
      </c>
      <c r="EU287" s="8" t="s">
        <v>143</v>
      </c>
      <c r="EV287" s="8" t="s">
        <v>143</v>
      </c>
    </row>
    <row r="288" spans="1:152" x14ac:dyDescent="0.15">
      <c r="A288" s="8">
        <f>ROW([2]!tbl_DPSAC[[#This Row],[Sl. No.]])-1</f>
        <v>287</v>
      </c>
      <c r="B288" s="9" t="s">
        <v>136</v>
      </c>
      <c r="C288" s="9" t="s">
        <v>1524</v>
      </c>
      <c r="D288" s="9" t="s">
        <v>175</v>
      </c>
      <c r="E288" s="9" t="s">
        <v>176</v>
      </c>
      <c r="F288" s="9" t="s">
        <v>161</v>
      </c>
      <c r="G288" s="10" t="s">
        <v>1525</v>
      </c>
      <c r="H288" s="10" t="str">
        <f>_xlfn.XLOOKUP(C288,'[1]E&amp;DPSAC'!$K:$K,'[1]E&amp;DPSAC'!$E:$E,,0)</f>
        <v>TUPUDANA</v>
      </c>
      <c r="I288" s="10"/>
      <c r="J288" s="10">
        <v>8340549423</v>
      </c>
      <c r="K288" s="10">
        <f>_xlfn.XLOOKUP(C288,'[1]E&amp;DPSAC'!$K:$K,'[1]E&amp;DPSAC'!$G:$G,"",0)</f>
        <v>8340549423</v>
      </c>
      <c r="L288" s="9" t="str">
        <f t="shared" ca="1" si="16"/>
        <v>Non - Warranty</v>
      </c>
      <c r="M288" s="11">
        <v>44921</v>
      </c>
      <c r="N288" s="12">
        <v>24</v>
      </c>
      <c r="O288" s="11">
        <f t="shared" si="17"/>
        <v>45657</v>
      </c>
      <c r="P288" s="8" t="s">
        <v>142</v>
      </c>
      <c r="Q288" s="16" t="s">
        <v>1529</v>
      </c>
      <c r="R288" s="15">
        <v>45425.497997685197</v>
      </c>
      <c r="S288" s="14">
        <v>1695</v>
      </c>
      <c r="T288" s="15">
        <v>45546</v>
      </c>
      <c r="U288" s="14">
        <v>2324</v>
      </c>
      <c r="V288" s="14">
        <v>3685</v>
      </c>
      <c r="W288" s="17">
        <v>45941.480555555558</v>
      </c>
      <c r="X288" s="14" t="s">
        <v>2811</v>
      </c>
      <c r="Y288" s="14">
        <v>-1240</v>
      </c>
      <c r="Z288" s="14" t="s">
        <v>2697</v>
      </c>
      <c r="AA288" s="18">
        <v>687.50200231480267</v>
      </c>
      <c r="AB288" s="18" t="s">
        <v>2697</v>
      </c>
      <c r="AC288" s="8">
        <f>tbl_DPSAC[[#This Row],[Current Month Due Count]]</f>
        <v>0</v>
      </c>
      <c r="AD288" s="8">
        <f>tbl_DPSAC[[#This Row],[Next Month Due2]]</f>
        <v>0</v>
      </c>
      <c r="AE288" s="8">
        <f t="shared" si="18"/>
        <v>1</v>
      </c>
      <c r="AF288" s="8">
        <v>4</v>
      </c>
      <c r="AG288" s="14">
        <f t="shared" ca="1" si="19"/>
        <v>4371</v>
      </c>
      <c r="AH288" s="8" t="s">
        <v>1526</v>
      </c>
      <c r="AI288" s="8" t="s">
        <v>1527</v>
      </c>
      <c r="AJ288" s="8">
        <v>0</v>
      </c>
      <c r="AK288" s="8" t="s">
        <v>1528</v>
      </c>
      <c r="AL288" s="8">
        <v>0</v>
      </c>
      <c r="AM288" s="8">
        <v>0</v>
      </c>
      <c r="AN288" s="8">
        <v>0</v>
      </c>
      <c r="AO288" s="8">
        <v>0</v>
      </c>
      <c r="AP288" s="8">
        <v>0</v>
      </c>
      <c r="AQ288" s="8">
        <v>0</v>
      </c>
      <c r="AR288" s="8">
        <v>0</v>
      </c>
      <c r="AS288" s="8">
        <v>0</v>
      </c>
      <c r="AT288" s="8">
        <v>0</v>
      </c>
      <c r="AU288" s="8">
        <v>0</v>
      </c>
      <c r="AV288" s="8">
        <v>0</v>
      </c>
      <c r="AW288" s="8">
        <v>0</v>
      </c>
      <c r="AX288" s="8" t="s">
        <v>2961</v>
      </c>
      <c r="AY288" s="14">
        <v>1695</v>
      </c>
      <c r="AZ288" s="19">
        <v>45425</v>
      </c>
      <c r="BA288" s="14" t="s">
        <v>1529</v>
      </c>
      <c r="BB288" s="14">
        <v>1695</v>
      </c>
      <c r="BC288" s="19">
        <v>45425</v>
      </c>
      <c r="BD288" s="14" t="s">
        <v>1529</v>
      </c>
      <c r="BE288" s="14">
        <v>1695</v>
      </c>
      <c r="BF288" s="19">
        <v>45425</v>
      </c>
      <c r="BG288" s="14" t="s">
        <v>1529</v>
      </c>
      <c r="BH288" s="14">
        <v>1695</v>
      </c>
      <c r="BI288" s="19">
        <v>45425</v>
      </c>
      <c r="BJ288" s="14" t="s">
        <v>1529</v>
      </c>
      <c r="BK288" s="14">
        <v>1695</v>
      </c>
      <c r="BL288" s="19">
        <v>45425</v>
      </c>
      <c r="BM288" s="14" t="s">
        <v>1529</v>
      </c>
      <c r="BN288" s="27">
        <v>45605</v>
      </c>
      <c r="BO288" s="27">
        <v>45605</v>
      </c>
      <c r="BP288" s="27">
        <v>45605</v>
      </c>
      <c r="BQ288" s="27">
        <v>45605</v>
      </c>
      <c r="BR288" s="27">
        <v>45790</v>
      </c>
      <c r="BS288" s="28">
        <v>-1926</v>
      </c>
      <c r="BT288" s="29">
        <v>-1176</v>
      </c>
      <c r="BU288" s="29">
        <v>-1926</v>
      </c>
      <c r="BV288" s="29">
        <v>-1926</v>
      </c>
      <c r="BW288" s="29">
        <v>-1176</v>
      </c>
      <c r="BX288" s="30">
        <v>0</v>
      </c>
      <c r="BY288" s="8">
        <v>5</v>
      </c>
      <c r="BZ288" s="8">
        <v>0</v>
      </c>
      <c r="CA288" s="8">
        <v>0</v>
      </c>
      <c r="CB288" s="21">
        <v>45424.770833333299</v>
      </c>
      <c r="CC288" s="21">
        <v>45424.770833333299</v>
      </c>
      <c r="CD288" s="21">
        <v>45424.770833333299</v>
      </c>
      <c r="CE288" s="21">
        <v>45424.770833333299</v>
      </c>
      <c r="CF288" s="21">
        <v>45424.770833333299</v>
      </c>
      <c r="CG288" s="21">
        <v>45424.770833333299</v>
      </c>
      <c r="CH288" s="21">
        <v>45424.770833333299</v>
      </c>
      <c r="CI288" s="21">
        <v>45424.770833333299</v>
      </c>
      <c r="CJ288" s="21">
        <v>0</v>
      </c>
      <c r="CK288" s="22" t="s">
        <v>3055</v>
      </c>
      <c r="CL288" s="22" t="s">
        <v>3071</v>
      </c>
      <c r="CM288" s="22" t="s">
        <v>3071</v>
      </c>
      <c r="CN288" s="22" t="s">
        <v>3071</v>
      </c>
      <c r="CO288" s="22" t="s">
        <v>3071</v>
      </c>
      <c r="CP288" s="22" t="s">
        <v>3141</v>
      </c>
      <c r="CQ288" s="22" t="s">
        <v>2953</v>
      </c>
      <c r="CR288" s="22" t="s">
        <v>3141</v>
      </c>
      <c r="CS288" s="22" t="s">
        <v>3141</v>
      </c>
      <c r="CT288" s="22">
        <v>4</v>
      </c>
      <c r="CU288" s="21">
        <v>45604</v>
      </c>
      <c r="CV288" s="21">
        <v>45604</v>
      </c>
      <c r="CW288" s="21">
        <v>45604</v>
      </c>
      <c r="CX288" s="21">
        <v>45604</v>
      </c>
      <c r="CY288" s="21">
        <v>45604</v>
      </c>
      <c r="CZ288" s="21">
        <v>45694</v>
      </c>
      <c r="DA288" s="21">
        <v>45789</v>
      </c>
      <c r="DB288" s="21">
        <v>45604</v>
      </c>
      <c r="DC288" s="21">
        <v>46061</v>
      </c>
      <c r="DD288" s="8">
        <v>1</v>
      </c>
      <c r="DE288" s="8">
        <v>1</v>
      </c>
      <c r="DF288" s="8">
        <v>0</v>
      </c>
      <c r="DG288" s="8">
        <v>9</v>
      </c>
      <c r="DH288" s="8">
        <v>0</v>
      </c>
      <c r="DI288" s="8">
        <v>0</v>
      </c>
      <c r="DJ288" s="8" t="s">
        <v>2954</v>
      </c>
      <c r="DK288" s="21">
        <v>44921</v>
      </c>
      <c r="DL288" s="21">
        <v>44651.229166666664</v>
      </c>
      <c r="DM288" s="21">
        <v>45941</v>
      </c>
      <c r="DN288" s="18">
        <v>3685</v>
      </c>
      <c r="DO288" s="21">
        <v>0</v>
      </c>
      <c r="DP288" s="21">
        <v>0</v>
      </c>
      <c r="DQ288" s="21" t="s">
        <v>2955</v>
      </c>
      <c r="DR288" s="21">
        <v>45425</v>
      </c>
      <c r="DS288" s="21">
        <v>45425</v>
      </c>
      <c r="DT288" s="21">
        <v>45425</v>
      </c>
      <c r="DU288" s="21">
        <v>45425</v>
      </c>
      <c r="DV288" s="21">
        <v>45425</v>
      </c>
      <c r="DW288" s="21">
        <v>45425</v>
      </c>
      <c r="DX288" s="21">
        <v>45425</v>
      </c>
      <c r="DY288" s="21">
        <v>45425</v>
      </c>
      <c r="DZ288" s="21">
        <v>0</v>
      </c>
      <c r="EA288" s="8">
        <v>280</v>
      </c>
      <c r="EB288" s="8">
        <v>240</v>
      </c>
      <c r="EC288" s="8">
        <v>240</v>
      </c>
      <c r="ED288" s="8">
        <v>240</v>
      </c>
      <c r="EE288" s="8">
        <v>240</v>
      </c>
      <c r="EF288" s="8">
        <v>480</v>
      </c>
      <c r="EG288" s="8">
        <v>1000</v>
      </c>
      <c r="EH288" s="8">
        <v>480</v>
      </c>
      <c r="EI288" s="8">
        <v>480</v>
      </c>
      <c r="EJ288" s="8">
        <v>4</v>
      </c>
      <c r="EK288" s="8" t="s">
        <v>2624</v>
      </c>
      <c r="EL288" s="8">
        <v>172</v>
      </c>
      <c r="EM288" s="8">
        <v>688</v>
      </c>
      <c r="EN288" s="8">
        <v>-8</v>
      </c>
      <c r="EO288" s="8">
        <v>-48</v>
      </c>
      <c r="EP288" s="8">
        <v>-48</v>
      </c>
      <c r="EQ288" s="8">
        <v>-48</v>
      </c>
      <c r="ER288" s="8">
        <v>-48</v>
      </c>
      <c r="ES288" s="8">
        <v>192</v>
      </c>
      <c r="ET288" s="8">
        <v>712</v>
      </c>
      <c r="EU288" s="8">
        <v>192</v>
      </c>
      <c r="EV288" s="8">
        <v>192</v>
      </c>
    </row>
    <row r="289" spans="1:152" x14ac:dyDescent="0.15">
      <c r="A289" s="8">
        <f>ROW([2]!tbl_DPSAC[[#This Row],[Sl. No.]])-1</f>
        <v>288</v>
      </c>
      <c r="B289" s="9" t="s">
        <v>136</v>
      </c>
      <c r="C289" s="9" t="s">
        <v>1530</v>
      </c>
      <c r="D289" s="9" t="s">
        <v>175</v>
      </c>
      <c r="E289" s="9" t="s">
        <v>176</v>
      </c>
      <c r="F289" s="9" t="s">
        <v>161</v>
      </c>
      <c r="G289" s="10" t="s">
        <v>758</v>
      </c>
      <c r="H289" s="10" t="str">
        <f>_xlfn.XLOOKUP(C289,'[1]E&amp;DPSAC'!$K:$K,'[1]E&amp;DPSAC'!$E:$E,,0)</f>
        <v>DUMRI, DHANBAD</v>
      </c>
      <c r="I289" s="10"/>
      <c r="J289" s="10">
        <v>9608325210</v>
      </c>
      <c r="K289" s="10">
        <f>_xlfn.XLOOKUP(C289,'[1]E&amp;DPSAC'!$K:$K,'[1]E&amp;DPSAC'!$G:$G,"",0)</f>
        <v>7654254469</v>
      </c>
      <c r="L289" s="9" t="str">
        <f t="shared" ca="1" si="16"/>
        <v>Non - Warranty</v>
      </c>
      <c r="M289" s="11">
        <v>44921</v>
      </c>
      <c r="N289" s="12">
        <v>24</v>
      </c>
      <c r="O289" s="11">
        <f t="shared" si="17"/>
        <v>45657</v>
      </c>
      <c r="P289" s="8" t="s">
        <v>142</v>
      </c>
      <c r="Q289" s="16" t="s">
        <v>1537</v>
      </c>
      <c r="R289" s="15">
        <v>46072.561030092598</v>
      </c>
      <c r="S289" s="14">
        <v>5610</v>
      </c>
      <c r="T289" s="15">
        <v>46072</v>
      </c>
      <c r="U289" s="14">
        <v>5610</v>
      </c>
      <c r="V289" s="14">
        <v>5610</v>
      </c>
      <c r="W289" s="17">
        <v>46072.561030092598</v>
      </c>
      <c r="X289" s="14" t="s">
        <v>2796</v>
      </c>
      <c r="Y289" s="14">
        <v>750</v>
      </c>
      <c r="Z289" s="14" t="s">
        <v>2692</v>
      </c>
      <c r="AA289" s="18">
        <v>40.43896990740177</v>
      </c>
      <c r="AB289" s="18" t="s">
        <v>2692</v>
      </c>
      <c r="AC289" s="8">
        <f>tbl_DPSAC[[#This Row],[Current Month Due Count]]</f>
        <v>0</v>
      </c>
      <c r="AD289" s="8">
        <f>tbl_DPSAC[[#This Row],[Next Month Due2]]</f>
        <v>0</v>
      </c>
      <c r="AE289" s="8">
        <f t="shared" si="18"/>
        <v>0</v>
      </c>
      <c r="AF289" s="8">
        <v>4</v>
      </c>
      <c r="AG289" s="14">
        <f t="shared" ca="1" si="19"/>
        <v>5772</v>
      </c>
      <c r="AH289" s="8" t="s">
        <v>1531</v>
      </c>
      <c r="AI289" s="8" t="s">
        <v>1532</v>
      </c>
      <c r="AJ289" s="8" t="s">
        <v>1533</v>
      </c>
      <c r="AK289" s="8" t="s">
        <v>1534</v>
      </c>
      <c r="AL289" s="8" t="s">
        <v>1535</v>
      </c>
      <c r="AM289" s="8">
        <v>0</v>
      </c>
      <c r="AN289" s="8" t="s">
        <v>1536</v>
      </c>
      <c r="AO289" s="8">
        <v>0</v>
      </c>
      <c r="AP289" s="8">
        <v>0</v>
      </c>
      <c r="AQ289" s="8">
        <v>0</v>
      </c>
      <c r="AR289" s="8">
        <v>0</v>
      </c>
      <c r="AS289" s="8">
        <v>0</v>
      </c>
      <c r="AT289" s="8">
        <v>0</v>
      </c>
      <c r="AU289" s="8">
        <v>0</v>
      </c>
      <c r="AV289" s="8">
        <v>0</v>
      </c>
      <c r="AW289" s="8">
        <v>0</v>
      </c>
      <c r="AX289" s="8" t="s">
        <v>2007</v>
      </c>
      <c r="AY289" s="14">
        <v>5610</v>
      </c>
      <c r="AZ289" s="19">
        <v>46072</v>
      </c>
      <c r="BA289" s="14" t="s">
        <v>1537</v>
      </c>
      <c r="BB289" s="14">
        <v>5610</v>
      </c>
      <c r="BC289" s="19">
        <v>46072</v>
      </c>
      <c r="BD289" s="14" t="s">
        <v>1537</v>
      </c>
      <c r="BE289" s="14">
        <v>5610</v>
      </c>
      <c r="BF289" s="19">
        <v>46072</v>
      </c>
      <c r="BG289" s="14" t="s">
        <v>1537</v>
      </c>
      <c r="BH289" s="14">
        <v>5610</v>
      </c>
      <c r="BI289" s="19">
        <v>46072</v>
      </c>
      <c r="BJ289" s="14" t="s">
        <v>1537</v>
      </c>
      <c r="BK289" s="14">
        <v>5610</v>
      </c>
      <c r="BL289" s="19">
        <v>46072</v>
      </c>
      <c r="BM289" s="14" t="s">
        <v>1537</v>
      </c>
      <c r="BN289" s="27">
        <v>46252</v>
      </c>
      <c r="BO289" s="27">
        <v>46252</v>
      </c>
      <c r="BP289" s="27">
        <v>46252</v>
      </c>
      <c r="BQ289" s="27">
        <v>46252</v>
      </c>
      <c r="BR289" s="27">
        <v>46437</v>
      </c>
      <c r="BS289" s="28">
        <v>588</v>
      </c>
      <c r="BT289" s="29">
        <v>1338</v>
      </c>
      <c r="BU289" s="29">
        <v>588</v>
      </c>
      <c r="BV289" s="29">
        <v>588</v>
      </c>
      <c r="BW289" s="29">
        <v>1338</v>
      </c>
      <c r="BX289" s="30">
        <v>0</v>
      </c>
      <c r="BY289" s="8">
        <v>0</v>
      </c>
      <c r="BZ289" s="8">
        <v>0</v>
      </c>
      <c r="CA289" s="8">
        <v>0</v>
      </c>
      <c r="CB289" s="21">
        <v>46071.770833333299</v>
      </c>
      <c r="CC289" s="21">
        <v>46071.770833333299</v>
      </c>
      <c r="CD289" s="21">
        <v>46071.770833333299</v>
      </c>
      <c r="CE289" s="21">
        <v>46071.770833333299</v>
      </c>
      <c r="CF289" s="21">
        <v>46071.770833333299</v>
      </c>
      <c r="CG289" s="21">
        <v>46071.770833333299</v>
      </c>
      <c r="CH289" s="21">
        <v>46071.770833333299</v>
      </c>
      <c r="CI289" s="21">
        <v>46071.770833333299</v>
      </c>
      <c r="CJ289" s="21">
        <v>46071.770833333299</v>
      </c>
      <c r="CK289" s="22" t="s">
        <v>2956</v>
      </c>
      <c r="CL289" s="22" t="s">
        <v>2957</v>
      </c>
      <c r="CM289" s="22" t="s">
        <v>2959</v>
      </c>
      <c r="CN289" s="22" t="s">
        <v>2957</v>
      </c>
      <c r="CO289" s="22" t="s">
        <v>2957</v>
      </c>
      <c r="CP289" s="22" t="s">
        <v>2956</v>
      </c>
      <c r="CQ289" s="22" t="s">
        <v>2953</v>
      </c>
      <c r="CR289" s="22" t="s">
        <v>2956</v>
      </c>
      <c r="CS289" s="22" t="s">
        <v>2960</v>
      </c>
      <c r="CT289" s="22">
        <v>5</v>
      </c>
      <c r="CU289" s="21">
        <v>46251</v>
      </c>
      <c r="CV289" s="21">
        <v>46222</v>
      </c>
      <c r="CW289" s="21">
        <v>46172</v>
      </c>
      <c r="CX289" s="21">
        <v>46222</v>
      </c>
      <c r="CY289" s="21">
        <v>46222</v>
      </c>
      <c r="CZ289" s="21">
        <v>46341</v>
      </c>
      <c r="DA289" s="21">
        <v>46272</v>
      </c>
      <c r="DB289" s="21">
        <v>46251</v>
      </c>
      <c r="DC289" s="21">
        <v>46436</v>
      </c>
      <c r="DD289" s="8">
        <v>0</v>
      </c>
      <c r="DE289" s="8">
        <v>0</v>
      </c>
      <c r="DF289" s="8">
        <v>0</v>
      </c>
      <c r="DG289" s="8">
        <v>0</v>
      </c>
      <c r="DH289" s="8">
        <v>0</v>
      </c>
      <c r="DI289" s="8">
        <v>1</v>
      </c>
      <c r="DJ289" s="8" t="s">
        <v>2954</v>
      </c>
      <c r="DK289" s="21">
        <v>44921</v>
      </c>
      <c r="DL289" s="21">
        <v>44890.229166666664</v>
      </c>
      <c r="DM289" s="21">
        <v>46072</v>
      </c>
      <c r="DN289" s="18">
        <v>5610</v>
      </c>
      <c r="DO289" s="21">
        <v>0</v>
      </c>
      <c r="DP289" s="21">
        <v>0</v>
      </c>
      <c r="DQ289" s="21" t="s">
        <v>2955</v>
      </c>
      <c r="DR289" s="21">
        <v>46072</v>
      </c>
      <c r="DS289" s="21">
        <v>46072</v>
      </c>
      <c r="DT289" s="21">
        <v>46072</v>
      </c>
      <c r="DU289" s="21">
        <v>46072</v>
      </c>
      <c r="DV289" s="21">
        <v>46072</v>
      </c>
      <c r="DW289" s="21">
        <v>46072</v>
      </c>
      <c r="DX289" s="21">
        <v>46072</v>
      </c>
      <c r="DY289" s="21">
        <v>46072</v>
      </c>
      <c r="DZ289" s="21">
        <v>46072</v>
      </c>
      <c r="EA289" s="8">
        <v>1500</v>
      </c>
      <c r="EB289" s="8">
        <v>750</v>
      </c>
      <c r="EC289" s="8">
        <v>500</v>
      </c>
      <c r="ED289" s="8">
        <v>750</v>
      </c>
      <c r="EE289" s="8">
        <v>750</v>
      </c>
      <c r="EF289" s="8">
        <v>1500</v>
      </c>
      <c r="EG289" s="8">
        <v>1000</v>
      </c>
      <c r="EH289" s="8">
        <v>1500</v>
      </c>
      <c r="EI289" s="8">
        <v>3000</v>
      </c>
      <c r="EJ289" s="8">
        <v>5</v>
      </c>
      <c r="EK289" s="8" t="s">
        <v>2624</v>
      </c>
      <c r="EL289" s="8">
        <v>40</v>
      </c>
      <c r="EM289" s="8">
        <v>160</v>
      </c>
      <c r="EN289" s="8">
        <v>1212</v>
      </c>
      <c r="EO289" s="8">
        <v>462</v>
      </c>
      <c r="EP289" s="8">
        <v>212</v>
      </c>
      <c r="EQ289" s="8">
        <v>462</v>
      </c>
      <c r="ER289" s="8">
        <v>462</v>
      </c>
      <c r="ES289" s="8">
        <v>1212</v>
      </c>
      <c r="ET289" s="8">
        <v>712</v>
      </c>
      <c r="EU289" s="8">
        <v>1212</v>
      </c>
      <c r="EV289" s="8">
        <v>2712</v>
      </c>
    </row>
    <row r="290" spans="1:152" x14ac:dyDescent="0.15">
      <c r="A290" s="8">
        <f>ROW([2]!tbl_DPSAC[[#This Row],[Sl. No.]])-1</f>
        <v>289</v>
      </c>
      <c r="B290" s="9" t="s">
        <v>196</v>
      </c>
      <c r="C290" s="9" t="s">
        <v>1538</v>
      </c>
      <c r="D290" s="9" t="s">
        <v>1312</v>
      </c>
      <c r="E290" s="9" t="s">
        <v>199</v>
      </c>
      <c r="F290" s="9" t="s">
        <v>161</v>
      </c>
      <c r="G290" s="10" t="s">
        <v>200</v>
      </c>
      <c r="H290" s="10" t="e">
        <f>_xlfn.XLOOKUP(C290,'[1]E&amp;DPSAC'!$K:$K,'[1]E&amp;DPSAC'!$E:$E,,0)</f>
        <v>#N/A</v>
      </c>
      <c r="I290" s="10"/>
      <c r="J290" s="10">
        <v>6266139043</v>
      </c>
      <c r="K290" s="10" t="str">
        <f>_xlfn.XLOOKUP(C290,'[1]E&amp;DPSAC'!$K:$K,'[1]E&amp;DPSAC'!$G:$G,"",0)</f>
        <v/>
      </c>
      <c r="L290" s="9" t="str">
        <f t="shared" ca="1" si="16"/>
        <v>Non - Warranty</v>
      </c>
      <c r="M290" s="11">
        <v>44963.690277777801</v>
      </c>
      <c r="N290" s="12">
        <v>24</v>
      </c>
      <c r="O290" s="11">
        <f t="shared" si="17"/>
        <v>45716</v>
      </c>
      <c r="P290" s="8" t="s">
        <v>213</v>
      </c>
      <c r="Q290" s="16" t="s">
        <v>143</v>
      </c>
      <c r="R290" s="15" t="s">
        <v>143</v>
      </c>
      <c r="S290" s="14" t="s">
        <v>143</v>
      </c>
      <c r="T290" s="15" t="s">
        <v>143</v>
      </c>
      <c r="U290" s="14" t="s">
        <v>143</v>
      </c>
      <c r="V290" s="14">
        <v>1300</v>
      </c>
      <c r="W290" s="17">
        <v>45941.486111111109</v>
      </c>
      <c r="X290" s="14" t="s">
        <v>143</v>
      </c>
      <c r="Y290" s="14">
        <v>0</v>
      </c>
      <c r="Z290" s="14" t="s">
        <v>2692</v>
      </c>
      <c r="AA290" s="18">
        <v>1149.3097222221986</v>
      </c>
      <c r="AB290" s="18" t="s">
        <v>2697</v>
      </c>
      <c r="AC290" s="8">
        <f>tbl_DPSAC[[#This Row],[Current Month Due Count]]</f>
        <v>0</v>
      </c>
      <c r="AD290" s="8">
        <f>tbl_DPSAC[[#This Row],[Next Month Due2]]</f>
        <v>0</v>
      </c>
      <c r="AE290" s="8">
        <f t="shared" si="18"/>
        <v>1</v>
      </c>
      <c r="AF290" s="8">
        <v>0</v>
      </c>
      <c r="AG290" s="14">
        <f t="shared" ca="1" si="19"/>
        <v>1300</v>
      </c>
      <c r="AH290" s="8">
        <v>0</v>
      </c>
      <c r="AI290" s="8">
        <v>0</v>
      </c>
      <c r="AJ290" s="8">
        <v>0</v>
      </c>
      <c r="AK290" s="8">
        <v>0</v>
      </c>
      <c r="AL290" s="8">
        <v>0</v>
      </c>
      <c r="AM290" s="8">
        <v>0</v>
      </c>
      <c r="AN290" s="8">
        <v>0</v>
      </c>
      <c r="AO290" s="8">
        <v>0</v>
      </c>
      <c r="AP290" s="8">
        <v>0</v>
      </c>
      <c r="AQ290" s="8">
        <v>0</v>
      </c>
      <c r="AR290" s="8">
        <v>0</v>
      </c>
      <c r="AS290" s="8">
        <v>0</v>
      </c>
      <c r="AT290" s="8">
        <v>0</v>
      </c>
      <c r="AU290" s="8">
        <v>0</v>
      </c>
      <c r="AV290" s="8">
        <v>0</v>
      </c>
      <c r="AW290" s="8">
        <v>0</v>
      </c>
      <c r="AX290" s="8" t="s">
        <v>2980</v>
      </c>
      <c r="AY290" s="14">
        <v>1</v>
      </c>
      <c r="AZ290" s="19">
        <v>44963</v>
      </c>
      <c r="BA290" s="14" t="s">
        <v>1539</v>
      </c>
      <c r="BB290" s="14">
        <v>1</v>
      </c>
      <c r="BC290" s="19">
        <v>44963</v>
      </c>
      <c r="BD290" s="14" t="s">
        <v>1539</v>
      </c>
      <c r="BE290" s="14">
        <v>1</v>
      </c>
      <c r="BF290" s="19">
        <v>44963</v>
      </c>
      <c r="BG290" s="14" t="s">
        <v>1539</v>
      </c>
      <c r="BH290" s="14">
        <v>1</v>
      </c>
      <c r="BI290" s="19">
        <v>44963</v>
      </c>
      <c r="BJ290" s="14" t="s">
        <v>1539</v>
      </c>
      <c r="BK290" s="14">
        <v>1</v>
      </c>
      <c r="BL290" s="19">
        <v>44963</v>
      </c>
      <c r="BM290" s="14" t="s">
        <v>1539</v>
      </c>
      <c r="BN290" s="27">
        <v>45143</v>
      </c>
      <c r="BO290" s="27">
        <v>45143</v>
      </c>
      <c r="BP290" s="27">
        <v>45143</v>
      </c>
      <c r="BQ290" s="27">
        <v>45143</v>
      </c>
      <c r="BR290" s="27">
        <v>45328</v>
      </c>
      <c r="BS290" s="28">
        <v>-549</v>
      </c>
      <c r="BT290" s="29">
        <v>201</v>
      </c>
      <c r="BU290" s="29">
        <v>-549</v>
      </c>
      <c r="BV290" s="29">
        <v>-549</v>
      </c>
      <c r="BW290" s="29">
        <v>201</v>
      </c>
      <c r="BX290" s="30">
        <v>0</v>
      </c>
      <c r="BY290" s="8">
        <v>5</v>
      </c>
      <c r="BZ290" s="8">
        <v>0</v>
      </c>
      <c r="CA290" s="8">
        <v>0</v>
      </c>
      <c r="CB290" s="21">
        <v>0</v>
      </c>
      <c r="CC290" s="21">
        <v>0</v>
      </c>
      <c r="CD290" s="21">
        <v>0</v>
      </c>
      <c r="CE290" s="21">
        <v>0</v>
      </c>
      <c r="CF290" s="21">
        <v>0</v>
      </c>
      <c r="CG290" s="21">
        <v>0</v>
      </c>
      <c r="CH290" s="21">
        <v>0</v>
      </c>
      <c r="CI290" s="21">
        <v>0</v>
      </c>
      <c r="CJ290" s="21">
        <v>0</v>
      </c>
      <c r="CK290" s="22" t="s">
        <v>3110</v>
      </c>
      <c r="CL290" s="22" t="s">
        <v>3110</v>
      </c>
      <c r="CM290" s="22" t="s">
        <v>3110</v>
      </c>
      <c r="CN290" s="22" t="s">
        <v>3110</v>
      </c>
      <c r="CO290" s="22" t="s">
        <v>3110</v>
      </c>
      <c r="CP290" s="22" t="s">
        <v>3110</v>
      </c>
      <c r="CQ290" s="22" t="s">
        <v>2953</v>
      </c>
      <c r="CR290" s="22" t="s">
        <v>3110</v>
      </c>
      <c r="CS290" s="22" t="s">
        <v>3142</v>
      </c>
      <c r="CT290" s="22">
        <v>0</v>
      </c>
      <c r="CU290" s="21">
        <v>0</v>
      </c>
      <c r="CV290" s="21">
        <v>0</v>
      </c>
      <c r="CW290" s="21">
        <v>0</v>
      </c>
      <c r="CX290" s="21">
        <v>0</v>
      </c>
      <c r="CY290" s="21">
        <v>0</v>
      </c>
      <c r="CZ290" s="21">
        <v>0</v>
      </c>
      <c r="DA290" s="21">
        <v>0</v>
      </c>
      <c r="DB290" s="21">
        <v>0</v>
      </c>
      <c r="DC290" s="21">
        <v>0</v>
      </c>
      <c r="DD290" s="8">
        <v>0</v>
      </c>
      <c r="DE290" s="8">
        <v>0</v>
      </c>
      <c r="DF290" s="8">
        <v>0</v>
      </c>
      <c r="DG290" s="8">
        <v>9</v>
      </c>
      <c r="DH290" s="8">
        <v>0</v>
      </c>
      <c r="DI290" s="8">
        <v>0</v>
      </c>
      <c r="DJ290" s="8" t="s">
        <v>2976</v>
      </c>
      <c r="DK290" s="21">
        <v>44963</v>
      </c>
      <c r="DL290" s="21">
        <v>44917.229166666664</v>
      </c>
      <c r="DM290" s="21">
        <v>45941</v>
      </c>
      <c r="DN290" s="18">
        <v>1300</v>
      </c>
      <c r="DO290" s="21">
        <v>0</v>
      </c>
      <c r="DP290" s="21">
        <v>0</v>
      </c>
      <c r="DQ290" s="21">
        <v>0</v>
      </c>
      <c r="DR290" s="21">
        <v>0</v>
      </c>
      <c r="DS290" s="21">
        <v>0</v>
      </c>
      <c r="DT290" s="21">
        <v>0</v>
      </c>
      <c r="DU290" s="21">
        <v>0</v>
      </c>
      <c r="DV290" s="21">
        <v>0</v>
      </c>
      <c r="DW290" s="21">
        <v>0</v>
      </c>
      <c r="DX290" s="21">
        <v>0</v>
      </c>
      <c r="DY290" s="21">
        <v>0</v>
      </c>
      <c r="DZ290" s="21">
        <v>0</v>
      </c>
      <c r="EA290" s="8">
        <v>200</v>
      </c>
      <c r="EB290" s="8">
        <v>200</v>
      </c>
      <c r="EC290" s="8">
        <v>200</v>
      </c>
      <c r="ED290" s="8">
        <v>200</v>
      </c>
      <c r="EE290" s="8">
        <v>200</v>
      </c>
      <c r="EF290" s="8">
        <v>200</v>
      </c>
      <c r="EG290" s="8">
        <v>1000</v>
      </c>
      <c r="EH290" s="8">
        <v>200</v>
      </c>
      <c r="EI290" s="8">
        <v>1700</v>
      </c>
      <c r="EJ290" s="8">
        <v>0</v>
      </c>
      <c r="EK290" s="8" t="s">
        <v>2624</v>
      </c>
      <c r="EL290" s="8">
        <v>172</v>
      </c>
      <c r="EM290" s="8">
        <v>0</v>
      </c>
      <c r="EN290" s="8">
        <v>-88</v>
      </c>
      <c r="EO290" s="8">
        <v>-88</v>
      </c>
      <c r="EP290" s="8">
        <v>-88</v>
      </c>
      <c r="EQ290" s="8">
        <v>-88</v>
      </c>
      <c r="ER290" s="8">
        <v>-88</v>
      </c>
      <c r="ES290" s="8">
        <v>-88</v>
      </c>
      <c r="ET290" s="8">
        <v>712</v>
      </c>
      <c r="EU290" s="8">
        <v>-88</v>
      </c>
      <c r="EV290" s="8">
        <v>1412</v>
      </c>
    </row>
    <row r="291" spans="1:152" x14ac:dyDescent="0.15">
      <c r="A291" s="8">
        <f>ROW([2]!tbl_DPSAC[[#This Row],[Sl. No.]])-1</f>
        <v>290</v>
      </c>
      <c r="B291" s="9" t="s">
        <v>136</v>
      </c>
      <c r="C291" s="9" t="s">
        <v>1540</v>
      </c>
      <c r="D291" s="9" t="s">
        <v>1491</v>
      </c>
      <c r="E291" s="9" t="s">
        <v>1492</v>
      </c>
      <c r="F291" s="9" t="s">
        <v>161</v>
      </c>
      <c r="G291" s="10" t="s">
        <v>291</v>
      </c>
      <c r="H291" s="10" t="str">
        <f>_xlfn.XLOOKUP(C291,'[1]E&amp;DPSAC'!$K:$K,'[1]E&amp;DPSAC'!$E:$E,,0)</f>
        <v>PHOOLWARTAND, DHANBAD</v>
      </c>
      <c r="I291" s="10"/>
      <c r="J291" s="10">
        <v>7544958524</v>
      </c>
      <c r="K291" s="10">
        <f>_xlfn.XLOOKUP(C291,'[1]E&amp;DPSAC'!$K:$K,'[1]E&amp;DPSAC'!$G:$G,"",0)</f>
        <v>8210106692</v>
      </c>
      <c r="L291" s="9" t="str">
        <f t="shared" ca="1" si="16"/>
        <v>Non - Warranty</v>
      </c>
      <c r="M291" s="11">
        <v>44954.667361111096</v>
      </c>
      <c r="N291" s="12">
        <v>24</v>
      </c>
      <c r="O291" s="11">
        <f t="shared" si="17"/>
        <v>45688</v>
      </c>
      <c r="P291" s="8" t="s">
        <v>157</v>
      </c>
      <c r="Q291" s="16" t="s">
        <v>1546</v>
      </c>
      <c r="R291" s="15">
        <v>45558.4550578704</v>
      </c>
      <c r="S291" s="14">
        <v>3400</v>
      </c>
      <c r="T291" s="15">
        <v>46028</v>
      </c>
      <c r="U291" s="14">
        <v>6341</v>
      </c>
      <c r="V291" s="14">
        <v>3580</v>
      </c>
      <c r="W291" s="17">
        <v>45650.6894791667</v>
      </c>
      <c r="X291" s="14" t="s">
        <v>2812</v>
      </c>
      <c r="Y291" s="14">
        <v>570</v>
      </c>
      <c r="Z291" s="14" t="s">
        <v>2692</v>
      </c>
      <c r="AA291" s="18">
        <v>554.5449421295998</v>
      </c>
      <c r="AB291" s="18" t="s">
        <v>2697</v>
      </c>
      <c r="AC291" s="8">
        <f>tbl_DPSAC[[#This Row],[Current Month Due Count]]</f>
        <v>0</v>
      </c>
      <c r="AD291" s="8">
        <f>tbl_DPSAC[[#This Row],[Next Month Due2]]</f>
        <v>0</v>
      </c>
      <c r="AE291" s="8">
        <f t="shared" si="18"/>
        <v>1</v>
      </c>
      <c r="AF291" s="8">
        <v>2</v>
      </c>
      <c r="AG291" s="14">
        <f t="shared" ca="1" si="19"/>
        <v>4505</v>
      </c>
      <c r="AH291" s="8" t="s">
        <v>1541</v>
      </c>
      <c r="AI291" s="8" t="s">
        <v>1542</v>
      </c>
      <c r="AJ291" s="8" t="s">
        <v>1543</v>
      </c>
      <c r="AK291" s="8" t="s">
        <v>1544</v>
      </c>
      <c r="AL291" s="8" t="s">
        <v>1545</v>
      </c>
      <c r="AM291" s="8">
        <v>0</v>
      </c>
      <c r="AN291" s="8">
        <v>0</v>
      </c>
      <c r="AO291" s="8">
        <v>0</v>
      </c>
      <c r="AP291" s="8">
        <v>0</v>
      </c>
      <c r="AQ291" s="8">
        <v>0</v>
      </c>
      <c r="AR291" s="8">
        <v>0</v>
      </c>
      <c r="AS291" s="8">
        <v>0</v>
      </c>
      <c r="AT291" s="8">
        <v>0</v>
      </c>
      <c r="AU291" s="8">
        <v>0</v>
      </c>
      <c r="AV291" s="8">
        <v>0</v>
      </c>
      <c r="AW291" s="8">
        <v>0</v>
      </c>
      <c r="AX291" s="8" t="s">
        <v>2980</v>
      </c>
      <c r="AY291" s="14">
        <v>3400</v>
      </c>
      <c r="AZ291" s="19">
        <v>45559</v>
      </c>
      <c r="BA291" s="14" t="s">
        <v>1546</v>
      </c>
      <c r="BB291" s="14">
        <v>3400</v>
      </c>
      <c r="BC291" s="19">
        <v>45559</v>
      </c>
      <c r="BD291" s="14" t="s">
        <v>1546</v>
      </c>
      <c r="BE291" s="14">
        <v>3400</v>
      </c>
      <c r="BF291" s="19">
        <v>45559</v>
      </c>
      <c r="BG291" s="14" t="s">
        <v>1546</v>
      </c>
      <c r="BH291" s="14">
        <v>3400</v>
      </c>
      <c r="BI291" s="19">
        <v>45559</v>
      </c>
      <c r="BJ291" s="14" t="s">
        <v>1546</v>
      </c>
      <c r="BK291" s="14">
        <v>3400</v>
      </c>
      <c r="BL291" s="19">
        <v>45559</v>
      </c>
      <c r="BM291" s="14" t="s">
        <v>1546</v>
      </c>
      <c r="BN291" s="27">
        <v>45739</v>
      </c>
      <c r="BO291" s="27">
        <v>45739</v>
      </c>
      <c r="BP291" s="27">
        <v>45739</v>
      </c>
      <c r="BQ291" s="27">
        <v>45739</v>
      </c>
      <c r="BR291" s="27">
        <v>45924</v>
      </c>
      <c r="BS291" s="28">
        <v>-355</v>
      </c>
      <c r="BT291" s="29">
        <v>395</v>
      </c>
      <c r="BU291" s="29">
        <v>-355</v>
      </c>
      <c r="BV291" s="29">
        <v>-355</v>
      </c>
      <c r="BW291" s="29">
        <v>395</v>
      </c>
      <c r="BX291" s="30" t="s">
        <v>1547</v>
      </c>
      <c r="BY291" s="8">
        <v>5</v>
      </c>
      <c r="BZ291" s="8">
        <v>0</v>
      </c>
      <c r="CA291" s="8">
        <v>0</v>
      </c>
      <c r="CB291" s="21">
        <v>45557.770833333299</v>
      </c>
      <c r="CC291" s="21">
        <v>45557.770833333299</v>
      </c>
      <c r="CD291" s="21">
        <v>45557.770833333299</v>
      </c>
      <c r="CE291" s="21">
        <v>45557.770833333299</v>
      </c>
      <c r="CF291" s="21">
        <v>45218.770833333299</v>
      </c>
      <c r="CG291" s="21">
        <v>45557.770833333299</v>
      </c>
      <c r="CH291" s="21">
        <v>45218.770833333299</v>
      </c>
      <c r="CI291" s="21">
        <v>45557.770833333299</v>
      </c>
      <c r="CJ291" s="21">
        <v>45557.770833333299</v>
      </c>
      <c r="CK291" s="22" t="s">
        <v>3066</v>
      </c>
      <c r="CL291" s="22" t="s">
        <v>3066</v>
      </c>
      <c r="CM291" s="22" t="s">
        <v>3066</v>
      </c>
      <c r="CN291" s="22" t="s">
        <v>3066</v>
      </c>
      <c r="CO291" s="22" t="s">
        <v>3066</v>
      </c>
      <c r="CP291" s="22" t="s">
        <v>3066</v>
      </c>
      <c r="CQ291" s="22" t="s">
        <v>3066</v>
      </c>
      <c r="CR291" s="22" t="s">
        <v>3066</v>
      </c>
      <c r="CS291" s="22" t="s">
        <v>3066</v>
      </c>
      <c r="CT291" s="22">
        <v>2</v>
      </c>
      <c r="CU291" s="21">
        <v>45737</v>
      </c>
      <c r="CV291" s="21">
        <v>45737</v>
      </c>
      <c r="CW291" s="21">
        <v>45737</v>
      </c>
      <c r="CX291" s="21">
        <v>45737</v>
      </c>
      <c r="CY291" s="21">
        <v>45398</v>
      </c>
      <c r="CZ291" s="21">
        <v>45827</v>
      </c>
      <c r="DA291" s="21">
        <v>45583</v>
      </c>
      <c r="DB291" s="21">
        <v>45737</v>
      </c>
      <c r="DC291" s="21">
        <v>45922</v>
      </c>
      <c r="DD291" s="8">
        <v>1</v>
      </c>
      <c r="DE291" s="8">
        <v>0</v>
      </c>
      <c r="DF291" s="8">
        <v>0</v>
      </c>
      <c r="DG291" s="8">
        <v>9</v>
      </c>
      <c r="DH291" s="8">
        <v>0</v>
      </c>
      <c r="DI291" s="8">
        <v>0</v>
      </c>
      <c r="DJ291" s="8" t="s">
        <v>2954</v>
      </c>
      <c r="DK291" s="21">
        <v>44954</v>
      </c>
      <c r="DL291" s="21">
        <v>44895.229166666664</v>
      </c>
      <c r="DM291" s="21">
        <v>45650</v>
      </c>
      <c r="DN291" s="18">
        <v>3580</v>
      </c>
      <c r="DO291" s="21">
        <v>0</v>
      </c>
      <c r="DP291" s="21">
        <v>0</v>
      </c>
      <c r="DQ291" s="21" t="s">
        <v>2955</v>
      </c>
      <c r="DR291" s="21">
        <v>45558</v>
      </c>
      <c r="DS291" s="21">
        <v>45558</v>
      </c>
      <c r="DT291" s="21">
        <v>45558</v>
      </c>
      <c r="DU291" s="21">
        <v>45558</v>
      </c>
      <c r="DV291" s="21">
        <v>45219</v>
      </c>
      <c r="DW291" s="21">
        <v>45558</v>
      </c>
      <c r="DX291" s="21">
        <v>45219</v>
      </c>
      <c r="DY291" s="21">
        <v>45558</v>
      </c>
      <c r="DZ291" s="21">
        <v>45558</v>
      </c>
      <c r="EA291" s="8">
        <v>570</v>
      </c>
      <c r="EB291" s="8">
        <v>570</v>
      </c>
      <c r="EC291" s="8">
        <v>570</v>
      </c>
      <c r="ED291" s="8">
        <v>570</v>
      </c>
      <c r="EE291" s="8">
        <v>570</v>
      </c>
      <c r="EF291" s="8">
        <v>570</v>
      </c>
      <c r="EG291" s="8">
        <v>570</v>
      </c>
      <c r="EH291" s="8">
        <v>570</v>
      </c>
      <c r="EI291" s="8">
        <v>570</v>
      </c>
      <c r="EJ291" s="8">
        <v>2</v>
      </c>
      <c r="EK291" s="8" t="s">
        <v>157</v>
      </c>
      <c r="EL291" s="8">
        <v>462</v>
      </c>
      <c r="EM291" s="8">
        <v>924</v>
      </c>
      <c r="EN291" s="8">
        <v>282</v>
      </c>
      <c r="EO291" s="8">
        <v>282</v>
      </c>
      <c r="EP291" s="8">
        <v>282</v>
      </c>
      <c r="EQ291" s="8">
        <v>282</v>
      </c>
      <c r="ER291" s="8">
        <v>282</v>
      </c>
      <c r="ES291" s="8">
        <v>282</v>
      </c>
      <c r="ET291" s="8">
        <v>282</v>
      </c>
      <c r="EU291" s="8">
        <v>282</v>
      </c>
      <c r="EV291" s="8">
        <v>282</v>
      </c>
    </row>
    <row r="292" spans="1:152" x14ac:dyDescent="0.15">
      <c r="A292" s="8">
        <f>ROW([2]!tbl_DPSAC[[#This Row],[Sl. No.]])-1</f>
        <v>291</v>
      </c>
      <c r="B292" s="9" t="s">
        <v>196</v>
      </c>
      <c r="C292" s="9" t="s">
        <v>1548</v>
      </c>
      <c r="D292" s="9" t="s">
        <v>1312</v>
      </c>
      <c r="E292" s="9" t="s">
        <v>199</v>
      </c>
      <c r="F292" s="9" t="s">
        <v>161</v>
      </c>
      <c r="G292" s="10" t="s">
        <v>200</v>
      </c>
      <c r="H292" s="10" t="str">
        <f>_xlfn.XLOOKUP(C292,'[1]E&amp;DPSAC'!$K:$K,'[1]E&amp;DPSAC'!$E:$E,,0)</f>
        <v>BIDPUR, VAISHALI, BIHAR</v>
      </c>
      <c r="I292" s="10"/>
      <c r="J292" s="10">
        <v>8521430494</v>
      </c>
      <c r="K292" s="10">
        <f>_xlfn.XLOOKUP(C292,'[1]E&amp;DPSAC'!$K:$K,'[1]E&amp;DPSAC'!$G:$G,"",0)</f>
        <v>8252793386</v>
      </c>
      <c r="L292" s="9" t="str">
        <f t="shared" ca="1" si="16"/>
        <v>Non - Warranty</v>
      </c>
      <c r="M292" s="11">
        <v>44953.798611111102</v>
      </c>
      <c r="N292" s="12">
        <v>24</v>
      </c>
      <c r="O292" s="11">
        <f t="shared" si="17"/>
        <v>45688</v>
      </c>
      <c r="P292" s="8" t="s">
        <v>213</v>
      </c>
      <c r="Q292" s="16" t="s">
        <v>143</v>
      </c>
      <c r="R292" s="15" t="s">
        <v>143</v>
      </c>
      <c r="S292" s="14" t="s">
        <v>143</v>
      </c>
      <c r="T292" s="15">
        <v>44953</v>
      </c>
      <c r="U292" s="14">
        <v>1</v>
      </c>
      <c r="V292" s="14">
        <v>1850</v>
      </c>
      <c r="W292" s="17">
        <v>45941.488888888889</v>
      </c>
      <c r="X292" s="14" t="s">
        <v>143</v>
      </c>
      <c r="Y292" s="14">
        <v>0</v>
      </c>
      <c r="Z292" s="14" t="s">
        <v>2692</v>
      </c>
      <c r="AA292" s="18">
        <v>1159.2013888888978</v>
      </c>
      <c r="AB292" s="18" t="s">
        <v>2697</v>
      </c>
      <c r="AC292" s="8">
        <f>tbl_DPSAC[[#This Row],[Current Month Due Count]]</f>
        <v>0</v>
      </c>
      <c r="AD292" s="8">
        <f>tbl_DPSAC[[#This Row],[Next Month Due2]]</f>
        <v>0</v>
      </c>
      <c r="AE292" s="8">
        <f t="shared" si="18"/>
        <v>1</v>
      </c>
      <c r="AF292" s="8">
        <v>3</v>
      </c>
      <c r="AG292" s="14">
        <f t="shared" ca="1" si="19"/>
        <v>2365</v>
      </c>
      <c r="AH292" s="8">
        <v>0</v>
      </c>
      <c r="AI292" s="8">
        <v>0</v>
      </c>
      <c r="AJ292" s="8">
        <v>0</v>
      </c>
      <c r="AK292" s="8">
        <v>0</v>
      </c>
      <c r="AL292" s="8">
        <v>0</v>
      </c>
      <c r="AM292" s="8">
        <v>0</v>
      </c>
      <c r="AN292" s="8">
        <v>0</v>
      </c>
      <c r="AO292" s="8">
        <v>0</v>
      </c>
      <c r="AP292" s="8">
        <v>0</v>
      </c>
      <c r="AQ292" s="8">
        <v>0</v>
      </c>
      <c r="AR292" s="8">
        <v>0</v>
      </c>
      <c r="AS292" s="8">
        <v>0</v>
      </c>
      <c r="AT292" s="8">
        <v>0</v>
      </c>
      <c r="AU292" s="8">
        <v>0</v>
      </c>
      <c r="AV292" s="8">
        <v>0</v>
      </c>
      <c r="AW292" s="8">
        <v>0</v>
      </c>
      <c r="AX292" s="8" t="s">
        <v>2961</v>
      </c>
      <c r="AY292" s="14">
        <v>1</v>
      </c>
      <c r="AZ292" s="19">
        <v>44953</v>
      </c>
      <c r="BA292" s="14" t="s">
        <v>1549</v>
      </c>
      <c r="BB292" s="14">
        <v>1</v>
      </c>
      <c r="BC292" s="19">
        <v>44953</v>
      </c>
      <c r="BD292" s="14" t="s">
        <v>1549</v>
      </c>
      <c r="BE292" s="14">
        <v>1</v>
      </c>
      <c r="BF292" s="19">
        <v>44953</v>
      </c>
      <c r="BG292" s="14" t="s">
        <v>1549</v>
      </c>
      <c r="BH292" s="14">
        <v>1</v>
      </c>
      <c r="BI292" s="19">
        <v>44953</v>
      </c>
      <c r="BJ292" s="14" t="s">
        <v>1549</v>
      </c>
      <c r="BK292" s="14">
        <v>1</v>
      </c>
      <c r="BL292" s="19">
        <v>44953</v>
      </c>
      <c r="BM292" s="14" t="s">
        <v>1549</v>
      </c>
      <c r="BN292" s="27">
        <v>45133</v>
      </c>
      <c r="BO292" s="27">
        <v>45133</v>
      </c>
      <c r="BP292" s="27">
        <v>45133</v>
      </c>
      <c r="BQ292" s="27">
        <v>45133</v>
      </c>
      <c r="BR292" s="27">
        <v>45318</v>
      </c>
      <c r="BS292" s="28">
        <v>-1614</v>
      </c>
      <c r="BT292" s="29">
        <v>-864</v>
      </c>
      <c r="BU292" s="29">
        <v>-1614</v>
      </c>
      <c r="BV292" s="29">
        <v>-1614</v>
      </c>
      <c r="BW292" s="29">
        <v>-864</v>
      </c>
      <c r="BX292" s="30">
        <v>0</v>
      </c>
      <c r="BY292" s="8">
        <v>5</v>
      </c>
      <c r="BZ292" s="8">
        <v>0</v>
      </c>
      <c r="CA292" s="8">
        <v>0</v>
      </c>
      <c r="CB292" s="21">
        <v>0</v>
      </c>
      <c r="CC292" s="21">
        <v>0</v>
      </c>
      <c r="CD292" s="21">
        <v>0</v>
      </c>
      <c r="CE292" s="21">
        <v>0</v>
      </c>
      <c r="CF292" s="21">
        <v>0</v>
      </c>
      <c r="CG292" s="21">
        <v>0</v>
      </c>
      <c r="CH292" s="21">
        <v>0</v>
      </c>
      <c r="CI292" s="21">
        <v>0</v>
      </c>
      <c r="CJ292" s="21">
        <v>0</v>
      </c>
      <c r="CK292" s="22" t="s">
        <v>2978</v>
      </c>
      <c r="CL292" s="22" t="s">
        <v>3083</v>
      </c>
      <c r="CM292" s="22" t="s">
        <v>3083</v>
      </c>
      <c r="CN292" s="22" t="s">
        <v>3083</v>
      </c>
      <c r="CO292" s="22" t="s">
        <v>3083</v>
      </c>
      <c r="CP292" s="22" t="s">
        <v>2978</v>
      </c>
      <c r="CQ292" s="22" t="s">
        <v>2953</v>
      </c>
      <c r="CR292" s="22" t="s">
        <v>2978</v>
      </c>
      <c r="CS292" s="22" t="s">
        <v>2978</v>
      </c>
      <c r="CT292" s="22">
        <v>3</v>
      </c>
      <c r="CU292" s="21">
        <v>46057</v>
      </c>
      <c r="CV292" s="21">
        <v>45974</v>
      </c>
      <c r="CW292" s="21">
        <v>45974</v>
      </c>
      <c r="CX292" s="21">
        <v>45974</v>
      </c>
      <c r="CY292" s="21">
        <v>45974</v>
      </c>
      <c r="CZ292" s="21">
        <v>46057</v>
      </c>
      <c r="DA292" s="21">
        <v>46034</v>
      </c>
      <c r="DB292" s="21">
        <v>46017</v>
      </c>
      <c r="DC292" s="21">
        <v>46057</v>
      </c>
      <c r="DD292" s="8">
        <v>1</v>
      </c>
      <c r="DE292" s="8">
        <v>1</v>
      </c>
      <c r="DF292" s="8">
        <v>0</v>
      </c>
      <c r="DG292" s="8">
        <v>9</v>
      </c>
      <c r="DH292" s="8">
        <v>0</v>
      </c>
      <c r="DI292" s="8">
        <v>0</v>
      </c>
      <c r="DJ292" s="8" t="s">
        <v>2976</v>
      </c>
      <c r="DK292" s="21">
        <v>44953</v>
      </c>
      <c r="DL292" s="21">
        <v>44917.229166666664</v>
      </c>
      <c r="DM292" s="21">
        <v>45941</v>
      </c>
      <c r="DN292" s="18">
        <v>1850</v>
      </c>
      <c r="DO292" s="21">
        <v>0</v>
      </c>
      <c r="DP292" s="21">
        <v>0</v>
      </c>
      <c r="DQ292" s="21">
        <v>0</v>
      </c>
      <c r="DR292" s="21">
        <v>0</v>
      </c>
      <c r="DS292" s="21">
        <v>0</v>
      </c>
      <c r="DT292" s="21">
        <v>0</v>
      </c>
      <c r="DU292" s="21">
        <v>0</v>
      </c>
      <c r="DV292" s="21">
        <v>0</v>
      </c>
      <c r="DW292" s="21">
        <v>0</v>
      </c>
      <c r="DX292" s="21">
        <v>0</v>
      </c>
      <c r="DY292" s="21">
        <v>0</v>
      </c>
      <c r="DZ292" s="21">
        <v>0</v>
      </c>
      <c r="EA292" s="8">
        <v>350</v>
      </c>
      <c r="EB292" s="8">
        <v>100</v>
      </c>
      <c r="EC292" s="8">
        <v>100</v>
      </c>
      <c r="ED292" s="8">
        <v>100</v>
      </c>
      <c r="EE292" s="8">
        <v>100</v>
      </c>
      <c r="EF292" s="8">
        <v>350</v>
      </c>
      <c r="EG292" s="8">
        <v>1000</v>
      </c>
      <c r="EH292" s="8">
        <v>350</v>
      </c>
      <c r="EI292" s="8">
        <v>350</v>
      </c>
      <c r="EJ292" s="8">
        <v>3</v>
      </c>
      <c r="EK292" s="8" t="s">
        <v>2624</v>
      </c>
      <c r="EL292" s="8">
        <v>172</v>
      </c>
      <c r="EM292" s="8">
        <v>516</v>
      </c>
      <c r="EN292" s="8">
        <v>62</v>
      </c>
      <c r="EO292" s="8">
        <v>-188</v>
      </c>
      <c r="EP292" s="8">
        <v>-188</v>
      </c>
      <c r="EQ292" s="8">
        <v>-188</v>
      </c>
      <c r="ER292" s="8">
        <v>-188</v>
      </c>
      <c r="ES292" s="8">
        <v>62</v>
      </c>
      <c r="ET292" s="8">
        <v>712</v>
      </c>
      <c r="EU292" s="8">
        <v>62</v>
      </c>
      <c r="EV292" s="8">
        <v>62</v>
      </c>
    </row>
    <row r="293" spans="1:152" x14ac:dyDescent="0.15">
      <c r="A293" s="8">
        <f>ROW([2]!tbl_DPSAC[[#This Row],[Sl. No.]])-1</f>
        <v>292</v>
      </c>
      <c r="B293" s="9" t="s">
        <v>196</v>
      </c>
      <c r="C293" s="9" t="s">
        <v>1550</v>
      </c>
      <c r="D293" s="9" t="s">
        <v>345</v>
      </c>
      <c r="E293" s="9" t="s">
        <v>346</v>
      </c>
      <c r="F293" s="9" t="s">
        <v>161</v>
      </c>
      <c r="G293" s="10" t="s">
        <v>1551</v>
      </c>
      <c r="H293" s="10" t="str">
        <f>_xlfn.XLOOKUP(C293,'[1]E&amp;DPSAC'!$K:$K,'[1]E&amp;DPSAC'!$E:$E,,0)</f>
        <v>BEGUSARAI, BIHAR</v>
      </c>
      <c r="I293" s="10"/>
      <c r="J293" s="10">
        <v>6200119580</v>
      </c>
      <c r="K293" s="10">
        <f>_xlfn.XLOOKUP(C293,'[1]E&amp;DPSAC'!$K:$K,'[1]E&amp;DPSAC'!$G:$G,"",0)</f>
        <v>8877841639</v>
      </c>
      <c r="L293" s="9" t="str">
        <f t="shared" ca="1" si="16"/>
        <v>Non - Warranty</v>
      </c>
      <c r="M293" s="11">
        <v>44951.507638888899</v>
      </c>
      <c r="N293" s="12">
        <v>24</v>
      </c>
      <c r="O293" s="11">
        <f t="shared" si="17"/>
        <v>45688</v>
      </c>
      <c r="P293" s="8" t="s">
        <v>213</v>
      </c>
      <c r="Q293" s="16" t="s">
        <v>1554</v>
      </c>
      <c r="R293" s="15">
        <v>45134.846875000003</v>
      </c>
      <c r="S293" s="14">
        <v>570</v>
      </c>
      <c r="T293" s="15">
        <v>45297</v>
      </c>
      <c r="U293" s="14">
        <v>925</v>
      </c>
      <c r="V293" s="14">
        <v>2950</v>
      </c>
      <c r="W293" s="17">
        <v>45941.498611111114</v>
      </c>
      <c r="X293" s="14" t="s">
        <v>2813</v>
      </c>
      <c r="Y293" s="14">
        <v>-1630</v>
      </c>
      <c r="Z293" s="14" t="s">
        <v>2697</v>
      </c>
      <c r="AA293" s="18">
        <v>978.15312499999709</v>
      </c>
      <c r="AB293" s="18" t="s">
        <v>2697</v>
      </c>
      <c r="AC293" s="8">
        <f>tbl_DPSAC[[#This Row],[Current Month Due Count]]</f>
        <v>0</v>
      </c>
      <c r="AD293" s="8">
        <f>tbl_DPSAC[[#This Row],[Next Month Due2]]</f>
        <v>0</v>
      </c>
      <c r="AE293" s="8">
        <f t="shared" si="18"/>
        <v>1</v>
      </c>
      <c r="AF293" s="8">
        <v>4</v>
      </c>
      <c r="AG293" s="14">
        <f t="shared" ca="1" si="19"/>
        <v>3636</v>
      </c>
      <c r="AH293" s="8" t="s">
        <v>1552</v>
      </c>
      <c r="AI293" s="8" t="s">
        <v>1553</v>
      </c>
      <c r="AJ293" s="8">
        <v>0</v>
      </c>
      <c r="AK293" s="8">
        <v>0</v>
      </c>
      <c r="AL293" s="8">
        <v>0</v>
      </c>
      <c r="AM293" s="8">
        <v>0</v>
      </c>
      <c r="AN293" s="8">
        <v>0</v>
      </c>
      <c r="AO293" s="8">
        <v>0</v>
      </c>
      <c r="AP293" s="8">
        <v>0</v>
      </c>
      <c r="AQ293" s="8">
        <v>0</v>
      </c>
      <c r="AR293" s="8">
        <v>0</v>
      </c>
      <c r="AS293" s="8">
        <v>0</v>
      </c>
      <c r="AT293" s="8">
        <v>0</v>
      </c>
      <c r="AU293" s="8">
        <v>0</v>
      </c>
      <c r="AV293" s="8">
        <v>0</v>
      </c>
      <c r="AW293" s="8">
        <v>0</v>
      </c>
      <c r="AX293" s="8" t="s">
        <v>2961</v>
      </c>
      <c r="AY293" s="14">
        <v>570</v>
      </c>
      <c r="AZ293" s="19">
        <v>45134</v>
      </c>
      <c r="BA293" s="14" t="s">
        <v>1554</v>
      </c>
      <c r="BB293" s="14">
        <v>63</v>
      </c>
      <c r="BC293" s="19">
        <v>44951</v>
      </c>
      <c r="BD293" s="14" t="s">
        <v>1555</v>
      </c>
      <c r="BE293" s="14">
        <v>570</v>
      </c>
      <c r="BF293" s="19">
        <v>45134</v>
      </c>
      <c r="BG293" s="14" t="s">
        <v>1554</v>
      </c>
      <c r="BH293" s="14">
        <v>63</v>
      </c>
      <c r="BI293" s="19">
        <v>44951</v>
      </c>
      <c r="BJ293" s="14" t="s">
        <v>1555</v>
      </c>
      <c r="BK293" s="14">
        <v>63</v>
      </c>
      <c r="BL293" s="19">
        <v>44951</v>
      </c>
      <c r="BM293" s="14" t="s">
        <v>1555</v>
      </c>
      <c r="BN293" s="27">
        <v>45314</v>
      </c>
      <c r="BO293" s="27">
        <v>45131</v>
      </c>
      <c r="BP293" s="27">
        <v>45314</v>
      </c>
      <c r="BQ293" s="27">
        <v>45131</v>
      </c>
      <c r="BR293" s="27">
        <v>45316</v>
      </c>
      <c r="BS293" s="28">
        <v>-2316</v>
      </c>
      <c r="BT293" s="29">
        <v>-2073</v>
      </c>
      <c r="BU293" s="29">
        <v>-2316</v>
      </c>
      <c r="BV293" s="29">
        <v>-2823</v>
      </c>
      <c r="BW293" s="29">
        <v>-2073</v>
      </c>
      <c r="BX293" s="30">
        <v>0</v>
      </c>
      <c r="BY293" s="8">
        <v>5</v>
      </c>
      <c r="BZ293" s="8">
        <v>0</v>
      </c>
      <c r="CA293" s="8">
        <v>0</v>
      </c>
      <c r="CB293" s="21">
        <v>45135.770833333299</v>
      </c>
      <c r="CC293" s="21">
        <v>45135.770833333299</v>
      </c>
      <c r="CD293" s="21">
        <v>0</v>
      </c>
      <c r="CE293" s="21">
        <v>45135.770833333299</v>
      </c>
      <c r="CF293" s="21">
        <v>45135.770833333299</v>
      </c>
      <c r="CG293" s="21">
        <v>0</v>
      </c>
      <c r="CH293" s="21">
        <v>0</v>
      </c>
      <c r="CI293" s="21">
        <v>0</v>
      </c>
      <c r="CJ293" s="21">
        <v>0</v>
      </c>
      <c r="CK293" s="22" t="s">
        <v>3070</v>
      </c>
      <c r="CL293" s="22" t="s">
        <v>3070</v>
      </c>
      <c r="CM293" s="22" t="s">
        <v>3070</v>
      </c>
      <c r="CN293" s="22" t="s">
        <v>3070</v>
      </c>
      <c r="CO293" s="22" t="s">
        <v>3070</v>
      </c>
      <c r="CP293" s="22" t="s">
        <v>3074</v>
      </c>
      <c r="CQ293" s="22" t="s">
        <v>2953</v>
      </c>
      <c r="CR293" s="22" t="s">
        <v>3074</v>
      </c>
      <c r="CS293" s="22" t="s">
        <v>3074</v>
      </c>
      <c r="CT293" s="22">
        <v>4</v>
      </c>
      <c r="CU293" s="21">
        <v>45315</v>
      </c>
      <c r="CV293" s="21">
        <v>45315</v>
      </c>
      <c r="CW293" s="21">
        <v>46088</v>
      </c>
      <c r="CX293" s="21">
        <v>45315</v>
      </c>
      <c r="CY293" s="21">
        <v>45315</v>
      </c>
      <c r="CZ293" s="21">
        <v>46038</v>
      </c>
      <c r="DA293" s="21">
        <v>46034</v>
      </c>
      <c r="DB293" s="21">
        <v>46021</v>
      </c>
      <c r="DC293" s="21">
        <v>46038</v>
      </c>
      <c r="DD293" s="8">
        <v>1</v>
      </c>
      <c r="DE293" s="8">
        <v>0</v>
      </c>
      <c r="DF293" s="8">
        <v>1</v>
      </c>
      <c r="DG293" s="8">
        <v>9</v>
      </c>
      <c r="DH293" s="8">
        <v>0</v>
      </c>
      <c r="DI293" s="8">
        <v>0</v>
      </c>
      <c r="DJ293" s="8" t="s">
        <v>2976</v>
      </c>
      <c r="DK293" s="21">
        <v>44951</v>
      </c>
      <c r="DL293" s="21">
        <v>44916.229166666664</v>
      </c>
      <c r="DM293" s="21">
        <v>45941</v>
      </c>
      <c r="DN293" s="18">
        <v>2950</v>
      </c>
      <c r="DO293" s="21">
        <v>0</v>
      </c>
      <c r="DP293" s="21">
        <v>0</v>
      </c>
      <c r="DQ293" s="21" t="s">
        <v>2955</v>
      </c>
      <c r="DR293" s="21">
        <v>45136</v>
      </c>
      <c r="DS293" s="21">
        <v>45136</v>
      </c>
      <c r="DT293" s="21">
        <v>0</v>
      </c>
      <c r="DU293" s="21">
        <v>45136</v>
      </c>
      <c r="DV293" s="21">
        <v>45136</v>
      </c>
      <c r="DW293" s="21">
        <v>0</v>
      </c>
      <c r="DX293" s="21">
        <v>0</v>
      </c>
      <c r="DY293" s="21">
        <v>0</v>
      </c>
      <c r="DZ293" s="21">
        <v>0</v>
      </c>
      <c r="EA293" s="8">
        <v>630</v>
      </c>
      <c r="EB293" s="8">
        <v>630</v>
      </c>
      <c r="EC293" s="8">
        <v>630</v>
      </c>
      <c r="ED293" s="8">
        <v>630</v>
      </c>
      <c r="EE293" s="8">
        <v>630</v>
      </c>
      <c r="EF293" s="8">
        <v>390</v>
      </c>
      <c r="EG293" s="8">
        <v>1000</v>
      </c>
      <c r="EH293" s="8">
        <v>390</v>
      </c>
      <c r="EI293" s="8">
        <v>390</v>
      </c>
      <c r="EJ293" s="8">
        <v>4</v>
      </c>
      <c r="EK293" s="8" t="s">
        <v>2624</v>
      </c>
      <c r="EL293" s="8">
        <v>172</v>
      </c>
      <c r="EM293" s="8">
        <v>688</v>
      </c>
      <c r="EN293" s="8">
        <v>342</v>
      </c>
      <c r="EO293" s="8">
        <v>342</v>
      </c>
      <c r="EP293" s="8">
        <v>342</v>
      </c>
      <c r="EQ293" s="8">
        <v>342</v>
      </c>
      <c r="ER293" s="8">
        <v>342</v>
      </c>
      <c r="ES293" s="8">
        <v>102</v>
      </c>
      <c r="ET293" s="8">
        <v>712</v>
      </c>
      <c r="EU293" s="8">
        <v>102</v>
      </c>
      <c r="EV293" s="8">
        <v>102</v>
      </c>
    </row>
    <row r="294" spans="1:152" x14ac:dyDescent="0.15">
      <c r="A294" s="8">
        <f>ROW([2]!tbl_DPSAC[[#This Row],[Sl. No.]])-1</f>
        <v>293</v>
      </c>
      <c r="B294" s="9" t="s">
        <v>196</v>
      </c>
      <c r="C294" s="9" t="s">
        <v>1556</v>
      </c>
      <c r="D294" s="9" t="s">
        <v>1312</v>
      </c>
      <c r="E294" s="9" t="s">
        <v>199</v>
      </c>
      <c r="F294" s="9" t="s">
        <v>161</v>
      </c>
      <c r="G294" s="10" t="s">
        <v>200</v>
      </c>
      <c r="H294" s="10" t="e">
        <f>_xlfn.XLOOKUP(C294,'[1]E&amp;DPSAC'!$K:$K,'[1]E&amp;DPSAC'!$E:$E,,0)</f>
        <v>#N/A</v>
      </c>
      <c r="I294" s="10"/>
      <c r="J294" s="10">
        <v>7368926835</v>
      </c>
      <c r="K294" s="10" t="str">
        <f>_xlfn.XLOOKUP(C294,'[1]E&amp;DPSAC'!$K:$K,'[1]E&amp;DPSAC'!$G:$G,"",0)</f>
        <v/>
      </c>
      <c r="L294" s="9" t="str">
        <f t="shared" ca="1" si="16"/>
        <v>Non - Warranty</v>
      </c>
      <c r="M294" s="11">
        <v>44938.572222222203</v>
      </c>
      <c r="N294" s="12">
        <v>24</v>
      </c>
      <c r="O294" s="11">
        <f t="shared" si="17"/>
        <v>45688</v>
      </c>
      <c r="P294" s="8" t="s">
        <v>213</v>
      </c>
      <c r="Q294" s="16" t="s">
        <v>143</v>
      </c>
      <c r="R294" s="15" t="s">
        <v>143</v>
      </c>
      <c r="S294" s="14" t="s">
        <v>143</v>
      </c>
      <c r="T294" s="15" t="s">
        <v>143</v>
      </c>
      <c r="U294" s="14" t="s">
        <v>143</v>
      </c>
      <c r="V294" s="14">
        <v>2460</v>
      </c>
      <c r="W294" s="17">
        <v>45941.503472222219</v>
      </c>
      <c r="X294" s="14" t="s">
        <v>143</v>
      </c>
      <c r="Y294" s="14">
        <v>0</v>
      </c>
      <c r="Z294" s="14" t="s">
        <v>2692</v>
      </c>
      <c r="AA294" s="18">
        <v>1174.427777777797</v>
      </c>
      <c r="AB294" s="18" t="s">
        <v>2697</v>
      </c>
      <c r="AC294" s="8">
        <f>tbl_DPSAC[[#This Row],[Current Month Due Count]]</f>
        <v>0</v>
      </c>
      <c r="AD294" s="8">
        <f>tbl_DPSAC[[#This Row],[Next Month Due2]]</f>
        <v>0</v>
      </c>
      <c r="AE294" s="8">
        <f t="shared" si="18"/>
        <v>1</v>
      </c>
      <c r="AF294" s="8">
        <v>4</v>
      </c>
      <c r="AG294" s="14">
        <f t="shared" ca="1" si="19"/>
        <v>3146</v>
      </c>
      <c r="AH294" s="8">
        <v>0</v>
      </c>
      <c r="AI294" s="8">
        <v>0</v>
      </c>
      <c r="AJ294" s="8">
        <v>0</v>
      </c>
      <c r="AK294" s="8">
        <v>0</v>
      </c>
      <c r="AL294" s="8">
        <v>0</v>
      </c>
      <c r="AM294" s="8">
        <v>0</v>
      </c>
      <c r="AN294" s="8">
        <v>0</v>
      </c>
      <c r="AO294" s="8">
        <v>0</v>
      </c>
      <c r="AP294" s="8">
        <v>0</v>
      </c>
      <c r="AQ294" s="8">
        <v>0</v>
      </c>
      <c r="AR294" s="8">
        <v>0</v>
      </c>
      <c r="AS294" s="8">
        <v>0</v>
      </c>
      <c r="AT294" s="8">
        <v>0</v>
      </c>
      <c r="AU294" s="8">
        <v>0</v>
      </c>
      <c r="AV294" s="8">
        <v>0</v>
      </c>
      <c r="AW294" s="8">
        <v>0</v>
      </c>
      <c r="AX294" s="8" t="s">
        <v>2961</v>
      </c>
      <c r="AY294" s="14">
        <v>1</v>
      </c>
      <c r="AZ294" s="19">
        <v>44938</v>
      </c>
      <c r="BA294" s="14" t="s">
        <v>1557</v>
      </c>
      <c r="BB294" s="14">
        <v>1</v>
      </c>
      <c r="BC294" s="19">
        <v>44938</v>
      </c>
      <c r="BD294" s="14" t="s">
        <v>1557</v>
      </c>
      <c r="BE294" s="14">
        <v>1</v>
      </c>
      <c r="BF294" s="19">
        <v>44938</v>
      </c>
      <c r="BG294" s="14" t="s">
        <v>1557</v>
      </c>
      <c r="BH294" s="14">
        <v>1</v>
      </c>
      <c r="BI294" s="19">
        <v>44938</v>
      </c>
      <c r="BJ294" s="14" t="s">
        <v>1557</v>
      </c>
      <c r="BK294" s="14">
        <v>1</v>
      </c>
      <c r="BL294" s="19">
        <v>44938</v>
      </c>
      <c r="BM294" s="14" t="s">
        <v>1557</v>
      </c>
      <c r="BN294" s="27">
        <v>45118</v>
      </c>
      <c r="BO294" s="27">
        <v>45118</v>
      </c>
      <c r="BP294" s="27">
        <v>45118</v>
      </c>
      <c r="BQ294" s="27">
        <v>45118</v>
      </c>
      <c r="BR294" s="27">
        <v>45303</v>
      </c>
      <c r="BS294" s="28">
        <v>-2395</v>
      </c>
      <c r="BT294" s="29">
        <v>-1645</v>
      </c>
      <c r="BU294" s="29">
        <v>-2395</v>
      </c>
      <c r="BV294" s="29">
        <v>-2395</v>
      </c>
      <c r="BW294" s="29">
        <v>-1645</v>
      </c>
      <c r="BX294" s="30">
        <v>0</v>
      </c>
      <c r="BY294" s="8">
        <v>5</v>
      </c>
      <c r="BZ294" s="8">
        <v>0</v>
      </c>
      <c r="CA294" s="8">
        <v>0</v>
      </c>
      <c r="CB294" s="21">
        <v>0</v>
      </c>
      <c r="CC294" s="21">
        <v>0</v>
      </c>
      <c r="CD294" s="21">
        <v>0</v>
      </c>
      <c r="CE294" s="21">
        <v>0</v>
      </c>
      <c r="CF294" s="21">
        <v>0</v>
      </c>
      <c r="CG294" s="21">
        <v>0</v>
      </c>
      <c r="CH294" s="21">
        <v>0</v>
      </c>
      <c r="CI294" s="21">
        <v>0</v>
      </c>
      <c r="CJ294" s="21">
        <v>0</v>
      </c>
      <c r="CK294" s="22" t="s">
        <v>3128</v>
      </c>
      <c r="CL294" s="22" t="s">
        <v>3128</v>
      </c>
      <c r="CM294" s="22" t="s">
        <v>3128</v>
      </c>
      <c r="CN294" s="22" t="s">
        <v>3128</v>
      </c>
      <c r="CO294" s="22" t="s">
        <v>3128</v>
      </c>
      <c r="CP294" s="22" t="s">
        <v>3026</v>
      </c>
      <c r="CQ294" s="22" t="s">
        <v>2953</v>
      </c>
      <c r="CR294" s="22" t="s">
        <v>3026</v>
      </c>
      <c r="CS294" s="22" t="s">
        <v>3026</v>
      </c>
      <c r="CT294" s="22">
        <v>4</v>
      </c>
      <c r="CU294" s="21">
        <v>46116</v>
      </c>
      <c r="CV294" s="21">
        <v>46094</v>
      </c>
      <c r="CW294" s="21">
        <v>46094</v>
      </c>
      <c r="CX294" s="21">
        <v>46116</v>
      </c>
      <c r="CY294" s="21">
        <v>46116</v>
      </c>
      <c r="CZ294" s="21">
        <v>46184</v>
      </c>
      <c r="DA294" s="21">
        <v>46034</v>
      </c>
      <c r="DB294" s="21">
        <v>46094</v>
      </c>
      <c r="DC294" s="21">
        <v>46143</v>
      </c>
      <c r="DD294" s="8">
        <v>1</v>
      </c>
      <c r="DE294" s="8">
        <v>0</v>
      </c>
      <c r="DF294" s="8">
        <v>1</v>
      </c>
      <c r="DG294" s="8">
        <v>4</v>
      </c>
      <c r="DH294" s="8">
        <v>3</v>
      </c>
      <c r="DI294" s="8">
        <v>1</v>
      </c>
      <c r="DJ294" s="8" t="s">
        <v>2976</v>
      </c>
      <c r="DK294" s="21">
        <v>44938</v>
      </c>
      <c r="DL294" s="21">
        <v>44917.229166666664</v>
      </c>
      <c r="DM294" s="21">
        <v>45941</v>
      </c>
      <c r="DN294" s="18">
        <v>2460</v>
      </c>
      <c r="DO294" s="21">
        <v>0</v>
      </c>
      <c r="DP294" s="21">
        <v>0</v>
      </c>
      <c r="DQ294" s="21">
        <v>0</v>
      </c>
      <c r="DR294" s="21">
        <v>0</v>
      </c>
      <c r="DS294" s="21">
        <v>0</v>
      </c>
      <c r="DT294" s="21">
        <v>0</v>
      </c>
      <c r="DU294" s="21">
        <v>0</v>
      </c>
      <c r="DV294" s="21">
        <v>0</v>
      </c>
      <c r="DW294" s="21">
        <v>0</v>
      </c>
      <c r="DX294" s="21">
        <v>0</v>
      </c>
      <c r="DY294" s="21">
        <v>0</v>
      </c>
      <c r="DZ294" s="21">
        <v>0</v>
      </c>
      <c r="EA294" s="8">
        <v>700</v>
      </c>
      <c r="EB294" s="8">
        <v>700</v>
      </c>
      <c r="EC294" s="8">
        <v>700</v>
      </c>
      <c r="ED294" s="8">
        <v>700</v>
      </c>
      <c r="EE294" s="8">
        <v>700</v>
      </c>
      <c r="EF294" s="8">
        <v>1200</v>
      </c>
      <c r="EG294" s="8">
        <v>1000</v>
      </c>
      <c r="EH294" s="8">
        <v>1200</v>
      </c>
      <c r="EI294" s="8">
        <v>1200</v>
      </c>
      <c r="EJ294" s="8">
        <v>4</v>
      </c>
      <c r="EK294" s="8" t="s">
        <v>2624</v>
      </c>
      <c r="EL294" s="8">
        <v>171</v>
      </c>
      <c r="EM294" s="8">
        <v>684</v>
      </c>
      <c r="EN294" s="8">
        <v>412</v>
      </c>
      <c r="EO294" s="8">
        <v>412</v>
      </c>
      <c r="EP294" s="8">
        <v>412</v>
      </c>
      <c r="EQ294" s="8">
        <v>412</v>
      </c>
      <c r="ER294" s="8">
        <v>412</v>
      </c>
      <c r="ES294" s="8">
        <v>912</v>
      </c>
      <c r="ET294" s="8">
        <v>712</v>
      </c>
      <c r="EU294" s="8">
        <v>912</v>
      </c>
      <c r="EV294" s="8">
        <v>912</v>
      </c>
    </row>
    <row r="295" spans="1:152" x14ac:dyDescent="0.15">
      <c r="A295" s="8">
        <f>ROW([2]!tbl_DPSAC[[#This Row],[Sl. No.]])-1</f>
        <v>294</v>
      </c>
      <c r="B295" s="9" t="s">
        <v>196</v>
      </c>
      <c r="C295" s="9" t="s">
        <v>1558</v>
      </c>
      <c r="D295" s="9" t="s">
        <v>1312</v>
      </c>
      <c r="E295" s="9" t="s">
        <v>199</v>
      </c>
      <c r="F295" s="9" t="s">
        <v>161</v>
      </c>
      <c r="G295" s="10" t="s">
        <v>200</v>
      </c>
      <c r="H295" s="10" t="str">
        <f>_xlfn.XLOOKUP(C295,'[1]E&amp;DPSAC'!$K:$K,'[1]E&amp;DPSAC'!$E:$E,,0)</f>
        <v>PATNA</v>
      </c>
      <c r="I295" s="10"/>
      <c r="J295" s="10">
        <v>9304198323</v>
      </c>
      <c r="K295" s="10">
        <f>_xlfn.XLOOKUP(C295,'[1]E&amp;DPSAC'!$K:$K,'[1]E&amp;DPSAC'!$G:$G,"",0)</f>
        <v>0</v>
      </c>
      <c r="L295" s="9" t="str">
        <f t="shared" ca="1" si="16"/>
        <v>Non - Warranty</v>
      </c>
      <c r="M295" s="11">
        <v>44938.586805555598</v>
      </c>
      <c r="N295" s="12">
        <v>24</v>
      </c>
      <c r="O295" s="11">
        <f t="shared" si="17"/>
        <v>45688</v>
      </c>
      <c r="P295" s="8" t="s">
        <v>142</v>
      </c>
      <c r="Q295" s="16" t="s">
        <v>143</v>
      </c>
      <c r="R295" s="15" t="s">
        <v>143</v>
      </c>
      <c r="S295" s="14" t="s">
        <v>143</v>
      </c>
      <c r="T295" s="15">
        <v>44938</v>
      </c>
      <c r="U295" s="14">
        <v>1</v>
      </c>
      <c r="V295" s="14">
        <v>2190</v>
      </c>
      <c r="W295" s="17">
        <v>45941.505555555559</v>
      </c>
      <c r="X295" s="14" t="s">
        <v>143</v>
      </c>
      <c r="Y295" s="14">
        <v>0</v>
      </c>
      <c r="Z295" s="14" t="s">
        <v>2692</v>
      </c>
      <c r="AA295" s="18">
        <v>1174.4131944444016</v>
      </c>
      <c r="AB295" s="18" t="s">
        <v>2697</v>
      </c>
      <c r="AC295" s="8">
        <f>tbl_DPSAC[[#This Row],[Current Month Due Count]]</f>
        <v>0</v>
      </c>
      <c r="AD295" s="8">
        <f>tbl_DPSAC[[#This Row],[Next Month Due2]]</f>
        <v>0</v>
      </c>
      <c r="AE295" s="8">
        <f t="shared" si="18"/>
        <v>1</v>
      </c>
      <c r="AF295" s="8">
        <v>3</v>
      </c>
      <c r="AG295" s="14">
        <f t="shared" ca="1" si="19"/>
        <v>2704</v>
      </c>
      <c r="AH295" s="8">
        <v>0</v>
      </c>
      <c r="AI295" s="8">
        <v>0</v>
      </c>
      <c r="AJ295" s="8">
        <v>0</v>
      </c>
      <c r="AK295" s="8">
        <v>0</v>
      </c>
      <c r="AL295" s="8">
        <v>0</v>
      </c>
      <c r="AM295" s="8">
        <v>0</v>
      </c>
      <c r="AN295" s="8">
        <v>0</v>
      </c>
      <c r="AO295" s="8">
        <v>0</v>
      </c>
      <c r="AP295" s="8">
        <v>0</v>
      </c>
      <c r="AQ295" s="8">
        <v>0</v>
      </c>
      <c r="AR295" s="8">
        <v>0</v>
      </c>
      <c r="AS295" s="8">
        <v>0</v>
      </c>
      <c r="AT295" s="8">
        <v>0</v>
      </c>
      <c r="AU295" s="8">
        <v>0</v>
      </c>
      <c r="AV295" s="8">
        <v>0</v>
      </c>
      <c r="AW295" s="8">
        <v>0</v>
      </c>
      <c r="AX295" s="8" t="s">
        <v>2961</v>
      </c>
      <c r="AY295" s="14">
        <v>1</v>
      </c>
      <c r="AZ295" s="19">
        <v>44938</v>
      </c>
      <c r="BA295" s="14" t="s">
        <v>1559</v>
      </c>
      <c r="BB295" s="14">
        <v>1</v>
      </c>
      <c r="BC295" s="19">
        <v>44938</v>
      </c>
      <c r="BD295" s="14" t="s">
        <v>1559</v>
      </c>
      <c r="BE295" s="14">
        <v>1</v>
      </c>
      <c r="BF295" s="19">
        <v>44938</v>
      </c>
      <c r="BG295" s="14" t="s">
        <v>1559</v>
      </c>
      <c r="BH295" s="14">
        <v>1</v>
      </c>
      <c r="BI295" s="19">
        <v>44938</v>
      </c>
      <c r="BJ295" s="14" t="s">
        <v>1559</v>
      </c>
      <c r="BK295" s="14">
        <v>1</v>
      </c>
      <c r="BL295" s="19">
        <v>44938</v>
      </c>
      <c r="BM295" s="14" t="s">
        <v>1559</v>
      </c>
      <c r="BN295" s="27">
        <v>45118</v>
      </c>
      <c r="BO295" s="27">
        <v>45118</v>
      </c>
      <c r="BP295" s="27">
        <v>45118</v>
      </c>
      <c r="BQ295" s="27">
        <v>45118</v>
      </c>
      <c r="BR295" s="27">
        <v>45303</v>
      </c>
      <c r="BS295" s="28">
        <v>-1953</v>
      </c>
      <c r="BT295" s="29">
        <v>-1203</v>
      </c>
      <c r="BU295" s="29">
        <v>-1953</v>
      </c>
      <c r="BV295" s="29">
        <v>-1953</v>
      </c>
      <c r="BW295" s="29">
        <v>-1203</v>
      </c>
      <c r="BX295" s="30">
        <v>0</v>
      </c>
      <c r="BY295" s="8">
        <v>5</v>
      </c>
      <c r="BZ295" s="8">
        <v>0</v>
      </c>
      <c r="CA295" s="8">
        <v>0</v>
      </c>
      <c r="CB295" s="21">
        <v>0</v>
      </c>
      <c r="CC295" s="21">
        <v>0</v>
      </c>
      <c r="CD295" s="21">
        <v>0</v>
      </c>
      <c r="CE295" s="21">
        <v>0</v>
      </c>
      <c r="CF295" s="21">
        <v>0</v>
      </c>
      <c r="CG295" s="21">
        <v>0</v>
      </c>
      <c r="CH295" s="21">
        <v>0</v>
      </c>
      <c r="CI295" s="21">
        <v>0</v>
      </c>
      <c r="CJ295" s="21">
        <v>0</v>
      </c>
      <c r="CK295" s="22" t="s">
        <v>3106</v>
      </c>
      <c r="CL295" s="22" t="s">
        <v>3106</v>
      </c>
      <c r="CM295" s="22" t="s">
        <v>3106</v>
      </c>
      <c r="CN295" s="22" t="s">
        <v>3106</v>
      </c>
      <c r="CO295" s="22" t="s">
        <v>3106</v>
      </c>
      <c r="CP295" s="22" t="s">
        <v>2998</v>
      </c>
      <c r="CQ295" s="22" t="s">
        <v>2953</v>
      </c>
      <c r="CR295" s="22" t="s">
        <v>2998</v>
      </c>
      <c r="CS295" s="22" t="s">
        <v>2998</v>
      </c>
      <c r="CT295" s="22">
        <v>4</v>
      </c>
      <c r="CU295" s="21">
        <v>45993</v>
      </c>
      <c r="CV295" s="21">
        <v>45993</v>
      </c>
      <c r="CW295" s="21">
        <v>45993</v>
      </c>
      <c r="CX295" s="21">
        <v>45993</v>
      </c>
      <c r="CY295" s="21">
        <v>45993</v>
      </c>
      <c r="CZ295" s="21">
        <v>46156</v>
      </c>
      <c r="DA295" s="21">
        <v>46034</v>
      </c>
      <c r="DB295" s="21">
        <v>46066</v>
      </c>
      <c r="DC295" s="21">
        <v>46115</v>
      </c>
      <c r="DD295" s="8">
        <v>1</v>
      </c>
      <c r="DE295" s="8">
        <v>1</v>
      </c>
      <c r="DF295" s="8">
        <v>0</v>
      </c>
      <c r="DG295" s="8">
        <v>7</v>
      </c>
      <c r="DH295" s="8">
        <v>1</v>
      </c>
      <c r="DI295" s="8">
        <v>1</v>
      </c>
      <c r="DJ295" s="8" t="s">
        <v>2954</v>
      </c>
      <c r="DK295" s="21">
        <v>44938</v>
      </c>
      <c r="DL295" s="21">
        <v>44917.229166666664</v>
      </c>
      <c r="DM295" s="21">
        <v>45941</v>
      </c>
      <c r="DN295" s="18">
        <v>2190</v>
      </c>
      <c r="DO295" s="21">
        <v>0</v>
      </c>
      <c r="DP295" s="21">
        <v>0</v>
      </c>
      <c r="DQ295" s="21">
        <v>0</v>
      </c>
      <c r="DR295" s="21">
        <v>0</v>
      </c>
      <c r="DS295" s="21">
        <v>0</v>
      </c>
      <c r="DT295" s="21">
        <v>0</v>
      </c>
      <c r="DU295" s="21">
        <v>0</v>
      </c>
      <c r="DV295" s="21">
        <v>0</v>
      </c>
      <c r="DW295" s="21">
        <v>0</v>
      </c>
      <c r="DX295" s="21">
        <v>0</v>
      </c>
      <c r="DY295" s="21">
        <v>0</v>
      </c>
      <c r="DZ295" s="21">
        <v>0</v>
      </c>
      <c r="EA295" s="8">
        <v>210</v>
      </c>
      <c r="EB295" s="8">
        <v>210</v>
      </c>
      <c r="EC295" s="8">
        <v>210</v>
      </c>
      <c r="ED295" s="8">
        <v>210</v>
      </c>
      <c r="EE295" s="8">
        <v>210</v>
      </c>
      <c r="EF295" s="8">
        <v>890</v>
      </c>
      <c r="EG295" s="8">
        <v>1000</v>
      </c>
      <c r="EH295" s="8">
        <v>890</v>
      </c>
      <c r="EI295" s="8">
        <v>890</v>
      </c>
      <c r="EJ295" s="8">
        <v>4</v>
      </c>
      <c r="EK295" s="8" t="s">
        <v>2624</v>
      </c>
      <c r="EL295" s="8">
        <v>171</v>
      </c>
      <c r="EM295" s="8">
        <v>513</v>
      </c>
      <c r="EN295" s="8">
        <v>-78</v>
      </c>
      <c r="EO295" s="8">
        <v>-78</v>
      </c>
      <c r="EP295" s="8">
        <v>-78</v>
      </c>
      <c r="EQ295" s="8">
        <v>-78</v>
      </c>
      <c r="ER295" s="8">
        <v>-78</v>
      </c>
      <c r="ES295" s="8">
        <v>602</v>
      </c>
      <c r="ET295" s="8">
        <v>712</v>
      </c>
      <c r="EU295" s="8">
        <v>602</v>
      </c>
      <c r="EV295" s="8">
        <v>602</v>
      </c>
    </row>
    <row r="296" spans="1:152" x14ac:dyDescent="0.15">
      <c r="A296" s="8">
        <f>ROW([2]!tbl_DPSAC[[#This Row],[Sl. No.]])-1</f>
        <v>295</v>
      </c>
      <c r="B296" s="9" t="s">
        <v>136</v>
      </c>
      <c r="C296" s="9" t="s">
        <v>1560</v>
      </c>
      <c r="D296" s="9" t="s">
        <v>1491</v>
      </c>
      <c r="E296" s="9" t="s">
        <v>1492</v>
      </c>
      <c r="F296" s="9" t="s">
        <v>161</v>
      </c>
      <c r="G296" s="10" t="s">
        <v>1561</v>
      </c>
      <c r="H296" s="10" t="str">
        <f>_xlfn.XLOOKUP(C296,'[1]E&amp;DPSAC'!$K:$K,'[1]E&amp;DPSAC'!$E:$E,,0)</f>
        <v>ORGA RAIL DIVISION. ORGA</v>
      </c>
      <c r="I296" s="10"/>
      <c r="J296" s="10">
        <v>7735105297</v>
      </c>
      <c r="K296" s="10">
        <f>IF(_xlfn.XLOOKUP(C296,'[1]E&amp;DPSAC'!$K:$K,'[1]E&amp;DPSAC'!$G:$G,"",0)=J296,"",_xlfn.XLOOKUP(C296,'[1]E&amp;DPSAC'!$K:$K,'[1]E&amp;DPSAC'!$G:$G,"",0))</f>
        <v>6203768613</v>
      </c>
      <c r="L296" s="9" t="str">
        <f t="shared" ca="1" si="16"/>
        <v>Non - Warranty</v>
      </c>
      <c r="M296" s="11">
        <v>44966</v>
      </c>
      <c r="N296" s="12">
        <v>24</v>
      </c>
      <c r="O296" s="11">
        <v>45716</v>
      </c>
      <c r="P296" s="8" t="s">
        <v>142</v>
      </c>
      <c r="Q296" s="16" t="s">
        <v>143</v>
      </c>
      <c r="R296" s="15" t="s">
        <v>143</v>
      </c>
      <c r="S296" s="14" t="s">
        <v>143</v>
      </c>
      <c r="T296" s="15">
        <v>45050</v>
      </c>
      <c r="U296" s="14">
        <v>198</v>
      </c>
      <c r="V296" s="14">
        <v>660</v>
      </c>
      <c r="W296" s="17">
        <v>45933.550694444442</v>
      </c>
      <c r="X296" s="14" t="s">
        <v>143</v>
      </c>
      <c r="Y296" s="14">
        <v>0</v>
      </c>
      <c r="Z296" s="14" t="s">
        <v>2692</v>
      </c>
      <c r="AA296" s="18">
        <v>1147</v>
      </c>
      <c r="AB296" s="18" t="s">
        <v>2697</v>
      </c>
      <c r="AC296" s="8">
        <f>tbl_DPSAC[[#This Row],[Current Month Due Count]]</f>
        <v>0</v>
      </c>
      <c r="AD296" s="8">
        <f>tbl_DPSAC[[#This Row],[Next Month Due2]]</f>
        <v>0</v>
      </c>
      <c r="AE296" s="8">
        <f t="shared" si="18"/>
        <v>1</v>
      </c>
      <c r="AF296" s="8">
        <v>0</v>
      </c>
      <c r="AG296" s="14">
        <f t="shared" ca="1" si="19"/>
        <v>660</v>
      </c>
      <c r="AH296" s="8">
        <v>0</v>
      </c>
      <c r="AI296" s="8">
        <v>0</v>
      </c>
      <c r="AJ296" s="8">
        <v>0</v>
      </c>
      <c r="AK296" s="8">
        <v>0</v>
      </c>
      <c r="AL296" s="8">
        <v>0</v>
      </c>
      <c r="AM296" s="8">
        <v>0</v>
      </c>
      <c r="AN296" s="8">
        <v>0</v>
      </c>
      <c r="AO296" s="8">
        <v>0</v>
      </c>
      <c r="AP296" s="8">
        <v>0</v>
      </c>
      <c r="AQ296" s="8">
        <v>0</v>
      </c>
      <c r="AR296" s="8">
        <v>0</v>
      </c>
      <c r="AS296" s="8">
        <v>0</v>
      </c>
      <c r="AT296" s="8">
        <v>0</v>
      </c>
      <c r="AU296" s="8">
        <v>0</v>
      </c>
      <c r="AV296" s="8">
        <v>0</v>
      </c>
      <c r="AW296" s="8">
        <v>0</v>
      </c>
      <c r="AX296" s="8" t="s">
        <v>2007</v>
      </c>
      <c r="AY296" s="14">
        <v>1</v>
      </c>
      <c r="AZ296" s="19">
        <v>44966</v>
      </c>
      <c r="BA296" s="14" t="s">
        <v>1562</v>
      </c>
      <c r="BB296" s="14">
        <v>1</v>
      </c>
      <c r="BC296" s="19">
        <v>44966</v>
      </c>
      <c r="BD296" s="14" t="s">
        <v>1562</v>
      </c>
      <c r="BE296" s="14">
        <v>1</v>
      </c>
      <c r="BF296" s="19">
        <v>44966</v>
      </c>
      <c r="BG296" s="14" t="s">
        <v>1562</v>
      </c>
      <c r="BH296" s="14">
        <v>1</v>
      </c>
      <c r="BI296" s="19">
        <v>44966</v>
      </c>
      <c r="BJ296" s="14" t="s">
        <v>1562</v>
      </c>
      <c r="BK296" s="14">
        <v>1</v>
      </c>
      <c r="BL296" s="19">
        <v>44966</v>
      </c>
      <c r="BM296" s="14" t="s">
        <v>1562</v>
      </c>
      <c r="BN296" s="27">
        <v>45146</v>
      </c>
      <c r="BO296" s="27">
        <v>45146</v>
      </c>
      <c r="BP296" s="27">
        <v>45146</v>
      </c>
      <c r="BQ296" s="27">
        <v>45146</v>
      </c>
      <c r="BR296" s="27">
        <v>45331</v>
      </c>
      <c r="BS296" s="28">
        <v>91</v>
      </c>
      <c r="BT296" s="29">
        <v>841</v>
      </c>
      <c r="BU296" s="29">
        <v>91</v>
      </c>
      <c r="BV296" s="29">
        <v>91</v>
      </c>
      <c r="BW296" s="29">
        <v>841</v>
      </c>
      <c r="BX296" s="30">
        <v>0</v>
      </c>
      <c r="BY296" s="8">
        <v>5</v>
      </c>
      <c r="BZ296" s="8">
        <v>0</v>
      </c>
      <c r="CA296" s="8">
        <v>0</v>
      </c>
      <c r="CB296" s="21">
        <v>44965.770833333299</v>
      </c>
      <c r="CC296" s="21">
        <v>44965.770833333299</v>
      </c>
      <c r="CD296" s="21">
        <v>44965.770833333299</v>
      </c>
      <c r="CE296" s="21">
        <v>44965.770833333299</v>
      </c>
      <c r="CF296" s="21">
        <v>44965.770833333299</v>
      </c>
      <c r="CG296" s="21">
        <v>44965.770833333299</v>
      </c>
      <c r="CH296" s="21">
        <v>44965.770833333299</v>
      </c>
      <c r="CI296" s="21">
        <v>44965.770833333299</v>
      </c>
      <c r="CJ296" s="21">
        <v>44965.770833333299</v>
      </c>
      <c r="CK296" s="22" t="s">
        <v>3010</v>
      </c>
      <c r="CL296" s="22" t="s">
        <v>3010</v>
      </c>
      <c r="CM296" s="22" t="s">
        <v>3010</v>
      </c>
      <c r="CN296" s="22" t="s">
        <v>3010</v>
      </c>
      <c r="CO296" s="22" t="s">
        <v>3010</v>
      </c>
      <c r="CP296" s="22" t="s">
        <v>3143</v>
      </c>
      <c r="CQ296" s="22" t="s">
        <v>2953</v>
      </c>
      <c r="CR296" s="22" t="s">
        <v>3143</v>
      </c>
      <c r="CS296" s="22" t="s">
        <v>3144</v>
      </c>
      <c r="CT296" s="22">
        <v>0</v>
      </c>
      <c r="CU296" s="21">
        <v>0</v>
      </c>
      <c r="CV296" s="21">
        <v>0</v>
      </c>
      <c r="CW296" s="21">
        <v>0</v>
      </c>
      <c r="CX296" s="21">
        <v>0</v>
      </c>
      <c r="CY296" s="21">
        <v>0</v>
      </c>
      <c r="CZ296" s="21">
        <v>0</v>
      </c>
      <c r="DA296" s="21">
        <v>0</v>
      </c>
      <c r="DB296" s="21">
        <v>0</v>
      </c>
      <c r="DC296" s="21">
        <v>0</v>
      </c>
      <c r="DD296" s="8">
        <v>0</v>
      </c>
      <c r="DE296" s="8">
        <v>0</v>
      </c>
      <c r="DF296" s="8">
        <v>0</v>
      </c>
      <c r="DG296" s="8">
        <v>9</v>
      </c>
      <c r="DH296" s="8">
        <v>0</v>
      </c>
      <c r="DI296" s="8">
        <v>0</v>
      </c>
      <c r="DJ296" s="8" t="s">
        <v>2954</v>
      </c>
      <c r="DK296" s="21">
        <v>44966</v>
      </c>
      <c r="DL296" s="21">
        <v>44916.229166666664</v>
      </c>
      <c r="DM296" s="21">
        <v>45933</v>
      </c>
      <c r="DN296" s="18">
        <v>660</v>
      </c>
      <c r="DO296" s="21">
        <v>0</v>
      </c>
      <c r="DP296" s="21">
        <v>0</v>
      </c>
      <c r="DQ296" s="21" t="s">
        <v>3049</v>
      </c>
      <c r="DR296" s="21">
        <v>44966</v>
      </c>
      <c r="DS296" s="21">
        <v>44966</v>
      </c>
      <c r="DT296" s="21">
        <v>44966</v>
      </c>
      <c r="DU296" s="21">
        <v>44966</v>
      </c>
      <c r="DV296" s="21">
        <v>44966</v>
      </c>
      <c r="DW296" s="21">
        <v>44966</v>
      </c>
      <c r="DX296" s="21">
        <v>44966</v>
      </c>
      <c r="DY296" s="21">
        <v>44966</v>
      </c>
      <c r="DZ296" s="21">
        <v>44966</v>
      </c>
      <c r="EA296" s="8">
        <v>90</v>
      </c>
      <c r="EB296" s="8">
        <v>90</v>
      </c>
      <c r="EC296" s="8">
        <v>90</v>
      </c>
      <c r="ED296" s="8">
        <v>90</v>
      </c>
      <c r="EE296" s="8">
        <v>90</v>
      </c>
      <c r="EF296" s="8">
        <v>841</v>
      </c>
      <c r="EG296" s="8">
        <v>1000</v>
      </c>
      <c r="EH296" s="8">
        <v>841</v>
      </c>
      <c r="EI296" s="8">
        <v>2341</v>
      </c>
      <c r="EJ296" s="8">
        <v>0</v>
      </c>
      <c r="EK296" s="8" t="s">
        <v>2624</v>
      </c>
      <c r="EL296" s="8">
        <v>179</v>
      </c>
      <c r="EM296" s="8">
        <v>0</v>
      </c>
      <c r="EN296" s="8">
        <v>-198</v>
      </c>
      <c r="EO296" s="8">
        <v>-198</v>
      </c>
      <c r="EP296" s="8">
        <v>-198</v>
      </c>
      <c r="EQ296" s="8">
        <v>-198</v>
      </c>
      <c r="ER296" s="8">
        <v>-198</v>
      </c>
      <c r="ES296" s="8">
        <v>553</v>
      </c>
      <c r="ET296" s="8">
        <v>712</v>
      </c>
      <c r="EU296" s="8">
        <v>553</v>
      </c>
      <c r="EV296" s="8">
        <v>2053</v>
      </c>
    </row>
    <row r="297" spans="1:152" x14ac:dyDescent="0.15">
      <c r="A297" s="8">
        <f>ROW([2]!tbl_DPSAC[[#This Row],[Sl. No.]])-1</f>
        <v>296</v>
      </c>
      <c r="B297" s="9" t="s">
        <v>136</v>
      </c>
      <c r="C297" s="9" t="s">
        <v>1563</v>
      </c>
      <c r="D297" s="9" t="s">
        <v>204</v>
      </c>
      <c r="E297" s="9" t="s">
        <v>1564</v>
      </c>
      <c r="F297" s="9" t="s">
        <v>161</v>
      </c>
      <c r="G297" s="10" t="s">
        <v>1565</v>
      </c>
      <c r="H297" s="10" t="str">
        <f>_xlfn.XLOOKUP(C297,'[1]E&amp;DPSAC'!$K:$K,'[1]E&amp;DPSAC'!$E:$E,,0)</f>
        <v>PIPRA</v>
      </c>
      <c r="I297" s="10"/>
      <c r="J297" s="10">
        <v>7546914655</v>
      </c>
      <c r="K297" s="10">
        <f>IF(_xlfn.XLOOKUP(C297,'[1]E&amp;DPSAC'!$K:$K,'[1]E&amp;DPSAC'!$G:$G,"",0)=J297,"",_xlfn.XLOOKUP(C297,'[1]E&amp;DPSAC'!$K:$K,'[1]E&amp;DPSAC'!$G:$G,"",0))</f>
        <v>9304258268</v>
      </c>
      <c r="L297" s="9" t="str">
        <f t="shared" ca="1" si="16"/>
        <v>Non - Warranty</v>
      </c>
      <c r="M297" s="11">
        <v>44967</v>
      </c>
      <c r="N297" s="12">
        <v>24</v>
      </c>
      <c r="O297" s="11">
        <v>45716</v>
      </c>
      <c r="P297" s="8" t="s">
        <v>142</v>
      </c>
      <c r="Q297" s="16" t="s">
        <v>1569</v>
      </c>
      <c r="R297" s="15">
        <v>45485.415277777778</v>
      </c>
      <c r="S297" s="14">
        <v>2351</v>
      </c>
      <c r="T297" s="15">
        <v>45660</v>
      </c>
      <c r="U297" s="14">
        <v>2826</v>
      </c>
      <c r="V297" s="14">
        <v>3275</v>
      </c>
      <c r="W297" s="17">
        <v>45933.554861111108</v>
      </c>
      <c r="X297" s="14" t="s">
        <v>2814</v>
      </c>
      <c r="Y297" s="14">
        <v>-174</v>
      </c>
      <c r="Z297" s="14" t="s">
        <v>2697</v>
      </c>
      <c r="AA297" s="18">
        <v>627.5847222222219</v>
      </c>
      <c r="AB297" s="18" t="s">
        <v>2697</v>
      </c>
      <c r="AC297" s="8">
        <f>tbl_DPSAC[[#This Row],[Current Month Due Count]]</f>
        <v>0</v>
      </c>
      <c r="AD297" s="8">
        <f>tbl_DPSAC[[#This Row],[Next Month Due2]]</f>
        <v>0</v>
      </c>
      <c r="AE297" s="8">
        <f t="shared" si="18"/>
        <v>1</v>
      </c>
      <c r="AF297" s="8">
        <v>1</v>
      </c>
      <c r="AG297" s="14">
        <f t="shared" ca="1" si="19"/>
        <v>3454</v>
      </c>
      <c r="AH297" s="8" t="s">
        <v>1566</v>
      </c>
      <c r="AI297" s="8" t="s">
        <v>1520</v>
      </c>
      <c r="AJ297" s="8" t="s">
        <v>1567</v>
      </c>
      <c r="AK297" s="8" t="s">
        <v>1568</v>
      </c>
      <c r="AL297" s="8">
        <v>0</v>
      </c>
      <c r="AM297" s="8">
        <v>0</v>
      </c>
      <c r="AN297" s="8">
        <v>0</v>
      </c>
      <c r="AO297" s="8">
        <v>0</v>
      </c>
      <c r="AP297" s="8">
        <v>0</v>
      </c>
      <c r="AQ297" s="8">
        <v>0</v>
      </c>
      <c r="AR297" s="8">
        <v>0</v>
      </c>
      <c r="AS297" s="8">
        <v>0</v>
      </c>
      <c r="AT297" s="8">
        <v>0</v>
      </c>
      <c r="AU297" s="8">
        <v>0</v>
      </c>
      <c r="AV297" s="8">
        <v>0</v>
      </c>
      <c r="AW297" s="8">
        <v>0</v>
      </c>
      <c r="AX297" s="8" t="s">
        <v>2961</v>
      </c>
      <c r="AY297" s="14">
        <v>2351</v>
      </c>
      <c r="AZ297" s="19">
        <v>45485</v>
      </c>
      <c r="BA297" s="14" t="s">
        <v>1569</v>
      </c>
      <c r="BB297" s="14">
        <v>1854</v>
      </c>
      <c r="BC297" s="19">
        <v>45369</v>
      </c>
      <c r="BD297" s="14" t="s">
        <v>1570</v>
      </c>
      <c r="BE297" s="14">
        <v>2351</v>
      </c>
      <c r="BF297" s="19">
        <v>45485</v>
      </c>
      <c r="BG297" s="14" t="s">
        <v>1569</v>
      </c>
      <c r="BH297" s="14">
        <v>2351</v>
      </c>
      <c r="BI297" s="19">
        <v>45485</v>
      </c>
      <c r="BJ297" s="14" t="s">
        <v>1569</v>
      </c>
      <c r="BK297" s="14">
        <v>1854</v>
      </c>
      <c r="BL297" s="19">
        <v>45369</v>
      </c>
      <c r="BM297" s="14" t="s">
        <v>1570</v>
      </c>
      <c r="BN297" s="27">
        <v>45665</v>
      </c>
      <c r="BO297" s="27">
        <v>45549</v>
      </c>
      <c r="BP297" s="27">
        <v>45665</v>
      </c>
      <c r="BQ297" s="27">
        <v>45665</v>
      </c>
      <c r="BR297" s="27">
        <v>45734</v>
      </c>
      <c r="BS297" s="28">
        <v>-353</v>
      </c>
      <c r="BT297" s="29">
        <v>-100</v>
      </c>
      <c r="BU297" s="29">
        <v>-353</v>
      </c>
      <c r="BV297" s="29">
        <v>-353</v>
      </c>
      <c r="BW297" s="29">
        <v>-100</v>
      </c>
      <c r="BX297" s="30">
        <v>0</v>
      </c>
      <c r="BY297" s="8">
        <v>5</v>
      </c>
      <c r="BZ297" s="8">
        <v>0</v>
      </c>
      <c r="CA297" s="8">
        <v>0</v>
      </c>
      <c r="CB297" s="21">
        <v>45368.770833333299</v>
      </c>
      <c r="CC297" s="21">
        <v>45484.770833333299</v>
      </c>
      <c r="CD297" s="21">
        <v>45484.770833333299</v>
      </c>
      <c r="CE297" s="21">
        <v>45484.770833333299</v>
      </c>
      <c r="CF297" s="21">
        <v>45484.770833333299</v>
      </c>
      <c r="CG297" s="21">
        <v>45484.770833333299</v>
      </c>
      <c r="CH297" s="21">
        <v>45484.770833333299</v>
      </c>
      <c r="CI297" s="21">
        <v>45484.770833333299</v>
      </c>
      <c r="CJ297" s="21">
        <v>45484.770833333299</v>
      </c>
      <c r="CK297" s="22" t="s">
        <v>3087</v>
      </c>
      <c r="CL297" s="22" t="s">
        <v>3078</v>
      </c>
      <c r="CM297" s="22" t="s">
        <v>3078</v>
      </c>
      <c r="CN297" s="22" t="s">
        <v>3078</v>
      </c>
      <c r="CO297" s="22" t="s">
        <v>3078</v>
      </c>
      <c r="CP297" s="22" t="s">
        <v>3087</v>
      </c>
      <c r="CQ297" s="22" t="s">
        <v>2953</v>
      </c>
      <c r="CR297" s="22" t="s">
        <v>3087</v>
      </c>
      <c r="CS297" s="22" t="s">
        <v>3087</v>
      </c>
      <c r="CT297" s="22">
        <v>0</v>
      </c>
      <c r="CU297" s="21">
        <v>0</v>
      </c>
      <c r="CV297" s="21">
        <v>0</v>
      </c>
      <c r="CW297" s="21">
        <v>0</v>
      </c>
      <c r="CX297" s="21">
        <v>0</v>
      </c>
      <c r="CY297" s="21">
        <v>0</v>
      </c>
      <c r="CZ297" s="21">
        <v>0</v>
      </c>
      <c r="DA297" s="21">
        <v>0</v>
      </c>
      <c r="DB297" s="21">
        <v>0</v>
      </c>
      <c r="DC297" s="21">
        <v>0</v>
      </c>
      <c r="DD297" s="8">
        <v>0</v>
      </c>
      <c r="DE297" s="8">
        <v>0</v>
      </c>
      <c r="DF297" s="8">
        <v>0</v>
      </c>
      <c r="DG297" s="8">
        <v>9</v>
      </c>
      <c r="DH297" s="8">
        <v>0</v>
      </c>
      <c r="DI297" s="8">
        <v>0</v>
      </c>
      <c r="DJ297" s="8" t="s">
        <v>2954</v>
      </c>
      <c r="DK297" s="21">
        <v>44967</v>
      </c>
      <c r="DL297" s="21">
        <v>44925.229166666664</v>
      </c>
      <c r="DM297" s="21">
        <v>45933</v>
      </c>
      <c r="DN297" s="18">
        <v>3275</v>
      </c>
      <c r="DO297" s="21">
        <v>0</v>
      </c>
      <c r="DP297" s="21">
        <v>0</v>
      </c>
      <c r="DQ297" s="21" t="s">
        <v>2955</v>
      </c>
      <c r="DR297" s="21">
        <v>45369</v>
      </c>
      <c r="DS297" s="21">
        <v>45485</v>
      </c>
      <c r="DT297" s="21">
        <v>45485</v>
      </c>
      <c r="DU297" s="21">
        <v>45485</v>
      </c>
      <c r="DV297" s="21">
        <v>45485</v>
      </c>
      <c r="DW297" s="21">
        <v>45485</v>
      </c>
      <c r="DX297" s="21">
        <v>45485</v>
      </c>
      <c r="DY297" s="21">
        <v>45485</v>
      </c>
      <c r="DZ297" s="21">
        <v>45485</v>
      </c>
      <c r="EA297" s="8">
        <v>80</v>
      </c>
      <c r="EB297" s="8">
        <v>170</v>
      </c>
      <c r="EC297" s="8">
        <v>170</v>
      </c>
      <c r="ED297" s="8">
        <v>170</v>
      </c>
      <c r="EE297" s="8">
        <v>170</v>
      </c>
      <c r="EF297" s="8">
        <v>80</v>
      </c>
      <c r="EG297" s="8">
        <v>1000</v>
      </c>
      <c r="EH297" s="8">
        <v>80</v>
      </c>
      <c r="EI297" s="8">
        <v>80</v>
      </c>
      <c r="EJ297" s="8">
        <v>0</v>
      </c>
      <c r="EK297" s="8" t="s">
        <v>2624</v>
      </c>
      <c r="EL297" s="8">
        <v>179</v>
      </c>
      <c r="EM297" s="8">
        <v>179</v>
      </c>
      <c r="EN297" s="8">
        <v>-208</v>
      </c>
      <c r="EO297" s="8">
        <v>-118</v>
      </c>
      <c r="EP297" s="8">
        <v>-118</v>
      </c>
      <c r="EQ297" s="8">
        <v>-118</v>
      </c>
      <c r="ER297" s="8">
        <v>-118</v>
      </c>
      <c r="ES297" s="8">
        <v>-208</v>
      </c>
      <c r="ET297" s="8">
        <v>712</v>
      </c>
      <c r="EU297" s="8">
        <v>-208</v>
      </c>
      <c r="EV297" s="8">
        <v>-208</v>
      </c>
    </row>
    <row r="298" spans="1:152" x14ac:dyDescent="0.15">
      <c r="A298" s="8">
        <f>ROW([2]!tbl_DPSAC[[#This Row],[Sl. No.]])-1</f>
        <v>297</v>
      </c>
      <c r="B298" s="9" t="s">
        <v>136</v>
      </c>
      <c r="C298" s="9" t="s">
        <v>1571</v>
      </c>
      <c r="D298" s="9" t="s">
        <v>1572</v>
      </c>
      <c r="E298" s="9" t="s">
        <v>147</v>
      </c>
      <c r="F298" s="9" t="s">
        <v>161</v>
      </c>
      <c r="G298" s="10" t="s">
        <v>1573</v>
      </c>
      <c r="H298" s="10" t="str">
        <f>_xlfn.XLOOKUP(C298,'[1]E&amp;DPSAC'!$K:$K,'[1]E&amp;DPSAC'!$E:$E,,0)</f>
        <v>KUSAMDHANGA, PAKUR</v>
      </c>
      <c r="I298" s="10"/>
      <c r="J298" s="10">
        <v>9525750010</v>
      </c>
      <c r="K298" s="10">
        <f>_xlfn.XLOOKUP(C298,'[1]E&amp;DPSAC'!$K:$K,'[1]E&amp;DPSAC'!$G:$G,"",0)</f>
        <v>9525750010</v>
      </c>
      <c r="L298" s="9" t="str">
        <f t="shared" ca="1" si="16"/>
        <v>Non - Warranty</v>
      </c>
      <c r="M298" s="11">
        <v>43146</v>
      </c>
      <c r="N298" s="12">
        <v>24</v>
      </c>
      <c r="O298" s="11">
        <f t="shared" ref="O298:O361" si="20">EOMONTH(DATE(YEAR(M298)+SUM(N298/12),MONTH(M298),DAY(M298))-1,0)</f>
        <v>43890</v>
      </c>
      <c r="P298" s="8" t="s">
        <v>715</v>
      </c>
      <c r="Q298" s="16" t="s">
        <v>2654</v>
      </c>
      <c r="R298" s="15">
        <v>45714.605810185203</v>
      </c>
      <c r="S298" s="14">
        <v>3321</v>
      </c>
      <c r="T298" s="15">
        <v>45714</v>
      </c>
      <c r="U298" s="14">
        <v>3321</v>
      </c>
      <c r="V298" s="14">
        <v>3321</v>
      </c>
      <c r="W298" s="17">
        <v>45714.605810185203</v>
      </c>
      <c r="X298" s="14" t="s">
        <v>2815</v>
      </c>
      <c r="Y298" s="14">
        <v>750</v>
      </c>
      <c r="Z298" s="14" t="s">
        <v>2692</v>
      </c>
      <c r="AA298" s="18">
        <v>398.39418981479685</v>
      </c>
      <c r="AB298" s="18" t="s">
        <v>2697</v>
      </c>
      <c r="AC298" s="8">
        <f>tbl_DPSAC[[#This Row],[Current Month Due Count]]</f>
        <v>0</v>
      </c>
      <c r="AD298" s="8">
        <f>tbl_DPSAC[[#This Row],[Next Month Due2]]</f>
        <v>0</v>
      </c>
      <c r="AE298" s="8">
        <v>0</v>
      </c>
      <c r="AF298" s="8">
        <v>4</v>
      </c>
      <c r="AG298" s="14">
        <f t="shared" ca="1" si="19"/>
        <v>4915</v>
      </c>
      <c r="AH298" s="8">
        <v>0</v>
      </c>
      <c r="AI298" s="8">
        <v>0</v>
      </c>
      <c r="AJ298" s="8">
        <v>0</v>
      </c>
      <c r="AK298" s="8">
        <v>0</v>
      </c>
      <c r="AL298" s="8">
        <v>0</v>
      </c>
      <c r="AM298" s="8">
        <v>0</v>
      </c>
      <c r="AN298" s="8">
        <v>0</v>
      </c>
      <c r="AO298" s="8">
        <v>0</v>
      </c>
      <c r="AP298" s="8">
        <v>0</v>
      </c>
      <c r="AQ298" s="8">
        <v>0</v>
      </c>
      <c r="AR298" s="8">
        <v>0</v>
      </c>
      <c r="AS298" s="8">
        <v>0</v>
      </c>
      <c r="AT298" s="8">
        <v>0</v>
      </c>
      <c r="AU298" s="8">
        <v>0</v>
      </c>
      <c r="AV298" s="8">
        <v>0</v>
      </c>
      <c r="AW298" s="8">
        <v>0</v>
      </c>
      <c r="AX298" s="8" t="s">
        <v>2961</v>
      </c>
      <c r="AY298" s="14">
        <v>3000</v>
      </c>
      <c r="AZ298" s="19">
        <v>45359</v>
      </c>
      <c r="BA298" s="14" t="s">
        <v>1574</v>
      </c>
      <c r="BB298" s="14">
        <v>2469</v>
      </c>
      <c r="BC298" s="19">
        <v>45141</v>
      </c>
      <c r="BD298" s="14" t="s">
        <v>1575</v>
      </c>
      <c r="BE298" s="14">
        <v>3000</v>
      </c>
      <c r="BF298" s="19">
        <v>45359</v>
      </c>
      <c r="BG298" s="14" t="s">
        <v>1574</v>
      </c>
      <c r="BH298" s="14">
        <v>3000</v>
      </c>
      <c r="BI298" s="19">
        <v>45359</v>
      </c>
      <c r="BJ298" s="14" t="s">
        <v>1574</v>
      </c>
      <c r="BK298" s="14">
        <v>1508</v>
      </c>
      <c r="BL298" s="19">
        <v>44989</v>
      </c>
      <c r="BM298" s="14" t="s">
        <v>1576</v>
      </c>
      <c r="BN298" s="27">
        <v>45539</v>
      </c>
      <c r="BO298" s="27">
        <v>45321</v>
      </c>
      <c r="BP298" s="27">
        <v>45539</v>
      </c>
      <c r="BQ298" s="27">
        <v>45539</v>
      </c>
      <c r="BR298" s="27">
        <v>45354</v>
      </c>
      <c r="BS298" s="28">
        <v>-1165</v>
      </c>
      <c r="BT298" s="29">
        <v>-946</v>
      </c>
      <c r="BU298" s="29">
        <v>-1165</v>
      </c>
      <c r="BV298" s="29">
        <v>-1165</v>
      </c>
      <c r="BW298" s="29">
        <v>-1907</v>
      </c>
      <c r="BX298" s="8" t="s">
        <v>1016</v>
      </c>
      <c r="BY298" s="8">
        <v>5</v>
      </c>
      <c r="BZ298" s="8">
        <v>0</v>
      </c>
      <c r="CA298" s="8">
        <v>0</v>
      </c>
      <c r="CB298" s="21" t="s">
        <v>143</v>
      </c>
      <c r="CC298" s="21" t="s">
        <v>143</v>
      </c>
      <c r="CD298" s="21" t="s">
        <v>143</v>
      </c>
      <c r="CE298" s="21" t="s">
        <v>143</v>
      </c>
      <c r="CF298" s="21" t="s">
        <v>143</v>
      </c>
      <c r="CG298" s="21" t="s">
        <v>143</v>
      </c>
      <c r="CH298" s="21" t="s">
        <v>143</v>
      </c>
      <c r="CI298" s="21" t="s">
        <v>143</v>
      </c>
      <c r="CJ298" s="21" t="s">
        <v>143</v>
      </c>
      <c r="CK298" s="22" t="s">
        <v>143</v>
      </c>
      <c r="CL298" s="22" t="s">
        <v>143</v>
      </c>
      <c r="CM298" s="22" t="s">
        <v>143</v>
      </c>
      <c r="CN298" s="22" t="s">
        <v>143</v>
      </c>
      <c r="CO298" s="22" t="s">
        <v>143</v>
      </c>
      <c r="CP298" s="22" t="s">
        <v>143</v>
      </c>
      <c r="CQ298" s="22" t="s">
        <v>143</v>
      </c>
      <c r="CR298" s="22" t="s">
        <v>143</v>
      </c>
      <c r="CS298" s="22" t="s">
        <v>143</v>
      </c>
      <c r="CT298" s="22" t="s">
        <v>143</v>
      </c>
      <c r="CU298" s="21" t="s">
        <v>143</v>
      </c>
      <c r="CV298" s="21" t="s">
        <v>143</v>
      </c>
      <c r="CW298" s="21" t="s">
        <v>143</v>
      </c>
      <c r="CX298" s="21" t="s">
        <v>143</v>
      </c>
      <c r="CY298" s="21" t="s">
        <v>143</v>
      </c>
      <c r="CZ298" s="21" t="s">
        <v>143</v>
      </c>
      <c r="DA298" s="21" t="s">
        <v>143</v>
      </c>
      <c r="DB298" s="21" t="s">
        <v>143</v>
      </c>
      <c r="DC298" s="21" t="s">
        <v>143</v>
      </c>
      <c r="DD298" s="8" t="s">
        <v>143</v>
      </c>
      <c r="DE298" s="8" t="s">
        <v>143</v>
      </c>
      <c r="DF298" s="8" t="s">
        <v>143</v>
      </c>
      <c r="DG298" s="8">
        <v>0</v>
      </c>
      <c r="DH298" s="8">
        <v>0</v>
      </c>
      <c r="DI298" s="8">
        <v>0</v>
      </c>
      <c r="DJ298" s="8" t="s">
        <v>3032</v>
      </c>
      <c r="DK298" s="21">
        <v>43146</v>
      </c>
      <c r="DL298" s="21">
        <v>43125</v>
      </c>
      <c r="DM298" s="21">
        <v>45360</v>
      </c>
      <c r="DN298" s="18">
        <v>3321</v>
      </c>
      <c r="DO298" s="21">
        <v>0</v>
      </c>
      <c r="DP298" s="21">
        <v>0</v>
      </c>
      <c r="DQ298" s="21" t="s">
        <v>2955</v>
      </c>
      <c r="DR298" s="21">
        <v>45360</v>
      </c>
      <c r="DS298" s="21">
        <v>45714</v>
      </c>
      <c r="DT298" s="21">
        <v>45714</v>
      </c>
      <c r="DU298" s="21">
        <v>45714</v>
      </c>
      <c r="DV298" s="21">
        <v>45714</v>
      </c>
      <c r="DW298" s="21">
        <v>44989</v>
      </c>
      <c r="DX298" s="21">
        <v>45714</v>
      </c>
      <c r="DY298" s="21">
        <v>44989</v>
      </c>
      <c r="DZ298" s="21">
        <v>0</v>
      </c>
      <c r="EA298" s="8">
        <v>429</v>
      </c>
      <c r="EB298" s="8">
        <v>750</v>
      </c>
      <c r="EC298" s="8">
        <v>750</v>
      </c>
      <c r="ED298" s="8">
        <v>750</v>
      </c>
      <c r="EE298" s="8">
        <v>750</v>
      </c>
      <c r="EF298" s="8">
        <v>625</v>
      </c>
      <c r="EG298" s="8">
        <v>1000</v>
      </c>
      <c r="EH298" s="8">
        <v>625</v>
      </c>
      <c r="EI298" s="8">
        <v>625</v>
      </c>
      <c r="EJ298" s="8">
        <v>12</v>
      </c>
      <c r="EK298" s="8" t="s">
        <v>715</v>
      </c>
      <c r="EL298" s="8">
        <v>398</v>
      </c>
      <c r="EM298" s="8">
        <v>1592</v>
      </c>
      <c r="EN298" s="8">
        <v>141</v>
      </c>
      <c r="EO298" s="8">
        <v>462</v>
      </c>
      <c r="EP298" s="8">
        <v>462</v>
      </c>
      <c r="EQ298" s="8">
        <v>462</v>
      </c>
      <c r="ER298" s="8">
        <v>462</v>
      </c>
      <c r="ES298" s="8">
        <v>337</v>
      </c>
      <c r="ET298" s="8">
        <v>712</v>
      </c>
      <c r="EU298" s="8">
        <v>337</v>
      </c>
      <c r="EV298" s="8">
        <v>337</v>
      </c>
    </row>
    <row r="299" spans="1:152" x14ac:dyDescent="0.15">
      <c r="A299" s="8">
        <f>ROW([2]!tbl_DPSAC[[#This Row],[Sl. No.]])-1</f>
        <v>298</v>
      </c>
      <c r="B299" s="9" t="s">
        <v>136</v>
      </c>
      <c r="C299" s="9" t="s">
        <v>1577</v>
      </c>
      <c r="D299" s="9" t="s">
        <v>138</v>
      </c>
      <c r="E299" s="9" t="s">
        <v>139</v>
      </c>
      <c r="F299" s="9" t="s">
        <v>161</v>
      </c>
      <c r="G299" s="10" t="s">
        <v>303</v>
      </c>
      <c r="H299" s="10" t="str">
        <f>_xlfn.XLOOKUP(C299,'[1]E&amp;DPSAC'!$K:$K,'[1]E&amp;DPSAC'!$E:$E,,0)</f>
        <v>LODNA</v>
      </c>
      <c r="I299" s="10"/>
      <c r="J299" s="10">
        <v>7644045555</v>
      </c>
      <c r="K299" s="10">
        <f>_xlfn.XLOOKUP(C299,'[1]E&amp;DPSAC'!$K:$K,'[1]E&amp;DPSAC'!$G:$G,"",0)</f>
        <v>9044360313</v>
      </c>
      <c r="L299" s="9" t="str">
        <f t="shared" ca="1" si="16"/>
        <v>Non - Warranty</v>
      </c>
      <c r="M299" s="11">
        <v>44995</v>
      </c>
      <c r="N299" s="12">
        <v>24</v>
      </c>
      <c r="O299" s="11">
        <f t="shared" si="20"/>
        <v>45747</v>
      </c>
      <c r="P299" s="8" t="s">
        <v>157</v>
      </c>
      <c r="Q299" s="16" t="s">
        <v>2655</v>
      </c>
      <c r="R299" s="15">
        <v>46092.511122685202</v>
      </c>
      <c r="S299" s="14">
        <v>5180</v>
      </c>
      <c r="T299" s="15">
        <v>45328</v>
      </c>
      <c r="U299" s="14">
        <v>3415</v>
      </c>
      <c r="V299" s="14">
        <v>5180</v>
      </c>
      <c r="W299" s="17">
        <v>46092.511122685202</v>
      </c>
      <c r="X299" s="14" t="s">
        <v>2816</v>
      </c>
      <c r="Y299" s="14">
        <v>750</v>
      </c>
      <c r="Z299" s="14" t="s">
        <v>2692</v>
      </c>
      <c r="AA299" s="18">
        <v>20.488877314797719</v>
      </c>
      <c r="AB299" s="18" t="s">
        <v>2692</v>
      </c>
      <c r="AC299" s="8">
        <f>tbl_DPSAC[[#This Row],[Current Month Due Count]]</f>
        <v>0</v>
      </c>
      <c r="AD299" s="8">
        <f>tbl_DPSAC[[#This Row],[Next Month Due2]]</f>
        <v>0</v>
      </c>
      <c r="AE299" s="8"/>
      <c r="AF299" s="8">
        <v>5</v>
      </c>
      <c r="AG299" s="14">
        <f t="shared" ca="1" si="19"/>
        <v>5282</v>
      </c>
      <c r="AH299" s="8" t="s">
        <v>1578</v>
      </c>
      <c r="AI299" s="8" t="s">
        <v>1579</v>
      </c>
      <c r="AJ299" s="8" t="s">
        <v>1580</v>
      </c>
      <c r="AK299" s="8" t="s">
        <v>1581</v>
      </c>
      <c r="AL299" s="8" t="s">
        <v>1582</v>
      </c>
      <c r="AM299" s="8" t="s">
        <v>1583</v>
      </c>
      <c r="AN299" s="8">
        <v>0</v>
      </c>
      <c r="AO299" s="8">
        <v>0</v>
      </c>
      <c r="AP299" s="8">
        <v>0</v>
      </c>
      <c r="AQ299" s="8">
        <v>0</v>
      </c>
      <c r="AR299" s="8">
        <v>0</v>
      </c>
      <c r="AS299" s="8">
        <v>0</v>
      </c>
      <c r="AT299" s="8">
        <v>0</v>
      </c>
      <c r="AU299" s="8">
        <v>0</v>
      </c>
      <c r="AV299" s="8">
        <v>0</v>
      </c>
      <c r="AW299" s="8">
        <v>0</v>
      </c>
      <c r="AX299" s="8" t="s">
        <v>2007</v>
      </c>
      <c r="AY299" s="14">
        <v>5180</v>
      </c>
      <c r="AZ299" s="19">
        <v>46092</v>
      </c>
      <c r="BA299" s="14" t="s">
        <v>2655</v>
      </c>
      <c r="BB299" s="14">
        <v>5180</v>
      </c>
      <c r="BC299" s="19">
        <v>46092</v>
      </c>
      <c r="BD299" s="14" t="s">
        <v>2655</v>
      </c>
      <c r="BE299" s="14">
        <v>5180</v>
      </c>
      <c r="BF299" s="19">
        <v>46092</v>
      </c>
      <c r="BG299" s="14" t="s">
        <v>2655</v>
      </c>
      <c r="BH299" s="14">
        <v>5180</v>
      </c>
      <c r="BI299" s="19">
        <v>46092</v>
      </c>
      <c r="BJ299" s="14" t="s">
        <v>2655</v>
      </c>
      <c r="BK299" s="14">
        <v>5180</v>
      </c>
      <c r="BL299" s="19">
        <v>46092</v>
      </c>
      <c r="BM299" s="14" t="s">
        <v>2655</v>
      </c>
      <c r="BN299" s="27">
        <v>46272</v>
      </c>
      <c r="BO299" s="27">
        <v>46272</v>
      </c>
      <c r="BP299" s="27">
        <v>46272</v>
      </c>
      <c r="BQ299" s="27">
        <v>46272</v>
      </c>
      <c r="BR299" s="27">
        <v>46457</v>
      </c>
      <c r="BS299" s="28">
        <v>648</v>
      </c>
      <c r="BT299" s="29">
        <v>1398</v>
      </c>
      <c r="BU299" s="29">
        <v>648</v>
      </c>
      <c r="BV299" s="29">
        <v>648</v>
      </c>
      <c r="BW299" s="29">
        <v>1398</v>
      </c>
      <c r="BX299" s="30" t="s">
        <v>159</v>
      </c>
      <c r="BY299" s="8">
        <v>0</v>
      </c>
      <c r="BZ299" s="8">
        <v>0</v>
      </c>
      <c r="CA299" s="8">
        <v>0</v>
      </c>
      <c r="CB299" s="21" t="s">
        <v>143</v>
      </c>
      <c r="CC299" s="21" t="s">
        <v>143</v>
      </c>
      <c r="CD299" s="21" t="s">
        <v>143</v>
      </c>
      <c r="CE299" s="21" t="s">
        <v>143</v>
      </c>
      <c r="CF299" s="21" t="s">
        <v>143</v>
      </c>
      <c r="CG299" s="21" t="s">
        <v>143</v>
      </c>
      <c r="CH299" s="21" t="s">
        <v>143</v>
      </c>
      <c r="CI299" s="21" t="s">
        <v>143</v>
      </c>
      <c r="CJ299" s="21" t="s">
        <v>143</v>
      </c>
      <c r="CK299" s="22" t="s">
        <v>143</v>
      </c>
      <c r="CL299" s="22" t="s">
        <v>143</v>
      </c>
      <c r="CM299" s="22" t="s">
        <v>143</v>
      </c>
      <c r="CN299" s="22" t="s">
        <v>143</v>
      </c>
      <c r="CO299" s="22" t="s">
        <v>143</v>
      </c>
      <c r="CP299" s="22" t="s">
        <v>143</v>
      </c>
      <c r="CQ299" s="22" t="s">
        <v>143</v>
      </c>
      <c r="CR299" s="22" t="s">
        <v>143</v>
      </c>
      <c r="CS299" s="22" t="s">
        <v>143</v>
      </c>
      <c r="CT299" s="22" t="s">
        <v>143</v>
      </c>
      <c r="CU299" s="21" t="s">
        <v>143</v>
      </c>
      <c r="CV299" s="21" t="s">
        <v>143</v>
      </c>
      <c r="CW299" s="21" t="s">
        <v>143</v>
      </c>
      <c r="CX299" s="21" t="s">
        <v>143</v>
      </c>
      <c r="CY299" s="21" t="s">
        <v>143</v>
      </c>
      <c r="CZ299" s="21" t="s">
        <v>143</v>
      </c>
      <c r="DA299" s="21" t="s">
        <v>143</v>
      </c>
      <c r="DB299" s="21" t="s">
        <v>143</v>
      </c>
      <c r="DC299" s="21" t="s">
        <v>143</v>
      </c>
      <c r="DD299" s="8" t="s">
        <v>143</v>
      </c>
      <c r="DE299" s="8" t="s">
        <v>143</v>
      </c>
      <c r="DF299" s="8" t="s">
        <v>143</v>
      </c>
      <c r="DG299" s="8">
        <v>0</v>
      </c>
      <c r="DH299" s="8">
        <v>0</v>
      </c>
      <c r="DI299" s="8">
        <v>0</v>
      </c>
      <c r="DJ299" s="8" t="s">
        <v>2954</v>
      </c>
      <c r="DK299" s="21">
        <v>44995</v>
      </c>
      <c r="DL299" s="21">
        <v>44956.229166666664</v>
      </c>
      <c r="DM299" s="21">
        <v>46093</v>
      </c>
      <c r="DN299" s="18">
        <v>5180</v>
      </c>
      <c r="DO299" s="21">
        <v>0</v>
      </c>
      <c r="DP299" s="21">
        <v>0</v>
      </c>
      <c r="DQ299" s="21" t="s">
        <v>2955</v>
      </c>
      <c r="DR299" s="21">
        <v>46093</v>
      </c>
      <c r="DS299" s="21">
        <v>46093</v>
      </c>
      <c r="DT299" s="21">
        <v>46093</v>
      </c>
      <c r="DU299" s="21">
        <v>46093</v>
      </c>
      <c r="DV299" s="21">
        <v>46093</v>
      </c>
      <c r="DW299" s="21">
        <v>46093</v>
      </c>
      <c r="DX299" s="21">
        <v>46093</v>
      </c>
      <c r="DY299" s="21">
        <v>46093</v>
      </c>
      <c r="DZ299" s="21">
        <v>46093</v>
      </c>
      <c r="EA299" s="8">
        <v>1500</v>
      </c>
      <c r="EB299" s="8">
        <v>750</v>
      </c>
      <c r="EC299" s="8">
        <v>500</v>
      </c>
      <c r="ED299" s="8">
        <v>750</v>
      </c>
      <c r="EE299" s="8">
        <v>750</v>
      </c>
      <c r="EF299" s="8">
        <v>1500</v>
      </c>
      <c r="EG299" s="8">
        <v>1000</v>
      </c>
      <c r="EH299" s="8">
        <v>1500</v>
      </c>
      <c r="EI299" s="8">
        <v>3000</v>
      </c>
      <c r="EJ299" s="8">
        <v>6</v>
      </c>
      <c r="EK299" s="8" t="s">
        <v>157</v>
      </c>
      <c r="EL299" s="8">
        <v>20</v>
      </c>
      <c r="EM299" s="8">
        <v>100</v>
      </c>
      <c r="EN299" s="8">
        <v>1212</v>
      </c>
      <c r="EO299" s="8">
        <v>462</v>
      </c>
      <c r="EP299" s="8">
        <v>212</v>
      </c>
      <c r="EQ299" s="8">
        <v>462</v>
      </c>
      <c r="ER299" s="8">
        <v>462</v>
      </c>
      <c r="ES299" s="8">
        <v>1212</v>
      </c>
      <c r="ET299" s="8">
        <v>712</v>
      </c>
      <c r="EU299" s="8">
        <v>1212</v>
      </c>
      <c r="EV299" s="8">
        <v>2712</v>
      </c>
    </row>
    <row r="300" spans="1:152" x14ac:dyDescent="0.15">
      <c r="A300" s="8">
        <f>ROW([2]!tbl_DPSAC[[#This Row],[Sl. No.]])-1</f>
        <v>299</v>
      </c>
      <c r="B300" s="9" t="s">
        <v>196</v>
      </c>
      <c r="C300" s="9" t="s">
        <v>1584</v>
      </c>
      <c r="D300" s="9" t="s">
        <v>532</v>
      </c>
      <c r="E300" s="9" t="s">
        <v>217</v>
      </c>
      <c r="F300" s="9" t="s">
        <v>161</v>
      </c>
      <c r="G300" s="10" t="s">
        <v>1585</v>
      </c>
      <c r="H300" s="10" t="str">
        <f>_xlfn.XLOOKUP(C300,'[1]E&amp;DPSAC'!$K:$K,'[1]E&amp;DPSAC'!$E:$E,,0)</f>
        <v>BEGUSARAI</v>
      </c>
      <c r="I300" s="10"/>
      <c r="J300" s="10">
        <v>7608869816</v>
      </c>
      <c r="K300" s="10">
        <f>_xlfn.XLOOKUP(C300,'[1]E&amp;DPSAC'!$K:$K,'[1]E&amp;DPSAC'!$G:$G,"",0)</f>
        <v>7738515781</v>
      </c>
      <c r="L300" s="9" t="str">
        <f t="shared" ca="1" si="16"/>
        <v>Non - Warranty</v>
      </c>
      <c r="M300" s="11">
        <v>44981</v>
      </c>
      <c r="N300" s="12">
        <v>24</v>
      </c>
      <c r="O300" s="11">
        <f t="shared" si="20"/>
        <v>45716</v>
      </c>
      <c r="P300" s="8" t="s">
        <v>142</v>
      </c>
      <c r="Q300" s="16" t="s">
        <v>1589</v>
      </c>
      <c r="R300" s="15">
        <v>45297.643055555556</v>
      </c>
      <c r="S300" s="14">
        <v>1925</v>
      </c>
      <c r="T300" s="15">
        <v>45121</v>
      </c>
      <c r="U300" s="14">
        <v>835</v>
      </c>
      <c r="V300" s="14">
        <v>5120</v>
      </c>
      <c r="W300" s="17">
        <v>45941.508333333331</v>
      </c>
      <c r="X300" s="14" t="s">
        <v>2817</v>
      </c>
      <c r="Y300" s="14">
        <v>-2445</v>
      </c>
      <c r="Z300" s="14" t="s">
        <v>2697</v>
      </c>
      <c r="AA300" s="18">
        <v>815.3569444444438</v>
      </c>
      <c r="AB300" s="18" t="s">
        <v>2697</v>
      </c>
      <c r="AC300" s="8">
        <f>tbl_DPSAC[[#This Row],[Current Month Due Count]]</f>
        <v>0</v>
      </c>
      <c r="AD300" s="8">
        <f>tbl_DPSAC[[#This Row],[Next Month Due2]]</f>
        <v>0</v>
      </c>
      <c r="AE300" s="8"/>
      <c r="AF300" s="8">
        <v>8</v>
      </c>
      <c r="AG300" s="14">
        <f t="shared" ca="1" si="19"/>
        <v>6492</v>
      </c>
      <c r="AH300" s="8" t="s">
        <v>1586</v>
      </c>
      <c r="AI300" s="8" t="s">
        <v>1587</v>
      </c>
      <c r="AJ300" s="8">
        <v>0</v>
      </c>
      <c r="AK300" s="8">
        <v>0</v>
      </c>
      <c r="AL300" s="8" t="s">
        <v>1588</v>
      </c>
      <c r="AM300" s="8">
        <v>0</v>
      </c>
      <c r="AN300" s="8">
        <v>0</v>
      </c>
      <c r="AO300" s="8">
        <v>0</v>
      </c>
      <c r="AP300" s="8">
        <v>0</v>
      </c>
      <c r="AQ300" s="8">
        <v>0</v>
      </c>
      <c r="AR300" s="8">
        <v>0</v>
      </c>
      <c r="AS300" s="8">
        <v>0</v>
      </c>
      <c r="AT300" s="8">
        <v>0</v>
      </c>
      <c r="AU300" s="8">
        <v>0</v>
      </c>
      <c r="AV300" s="8">
        <v>0</v>
      </c>
      <c r="AW300" s="8">
        <v>0</v>
      </c>
      <c r="AX300" s="8" t="s">
        <v>2961</v>
      </c>
      <c r="AY300" s="14">
        <v>1925</v>
      </c>
      <c r="AZ300" s="19">
        <v>45297</v>
      </c>
      <c r="BA300" s="14" t="s">
        <v>1589</v>
      </c>
      <c r="BB300" s="14">
        <v>1</v>
      </c>
      <c r="BC300" s="19">
        <v>44981</v>
      </c>
      <c r="BD300" s="14" t="s">
        <v>1590</v>
      </c>
      <c r="BE300" s="14">
        <v>1925</v>
      </c>
      <c r="BF300" s="19">
        <v>45297</v>
      </c>
      <c r="BG300" s="14" t="s">
        <v>1589</v>
      </c>
      <c r="BH300" s="14">
        <v>1</v>
      </c>
      <c r="BI300" s="19">
        <v>44981</v>
      </c>
      <c r="BJ300" s="14" t="s">
        <v>1590</v>
      </c>
      <c r="BK300" s="14">
        <v>1</v>
      </c>
      <c r="BL300" s="19">
        <v>44981</v>
      </c>
      <c r="BM300" s="14" t="s">
        <v>1590</v>
      </c>
      <c r="BN300" s="27">
        <v>45477</v>
      </c>
      <c r="BO300" s="27">
        <v>45161</v>
      </c>
      <c r="BP300" s="27">
        <v>45477</v>
      </c>
      <c r="BQ300" s="27">
        <v>45161</v>
      </c>
      <c r="BR300" s="27">
        <v>45346</v>
      </c>
      <c r="BS300" s="28">
        <v>-3817</v>
      </c>
      <c r="BT300" s="29">
        <v>-4991</v>
      </c>
      <c r="BU300" s="29">
        <v>-3817</v>
      </c>
      <c r="BV300" s="29">
        <v>-5741</v>
      </c>
      <c r="BW300" s="29">
        <v>-4991</v>
      </c>
      <c r="BX300" s="30">
        <v>0</v>
      </c>
      <c r="BY300" s="8">
        <v>5</v>
      </c>
      <c r="BZ300" s="8">
        <v>0</v>
      </c>
      <c r="CA300" s="8">
        <v>0</v>
      </c>
      <c r="CB300" s="21">
        <v>45296.770833333299</v>
      </c>
      <c r="CC300" s="21">
        <v>45296.770833333299</v>
      </c>
      <c r="CD300" s="21">
        <v>0</v>
      </c>
      <c r="CE300" s="21">
        <v>45296.770833333299</v>
      </c>
      <c r="CF300" s="21">
        <v>45296.770833333299</v>
      </c>
      <c r="CG300" s="21">
        <v>0</v>
      </c>
      <c r="CH300" s="21">
        <v>0</v>
      </c>
      <c r="CI300" s="21">
        <v>0</v>
      </c>
      <c r="CJ300" s="21">
        <v>0</v>
      </c>
      <c r="CK300" s="22" t="s">
        <v>3145</v>
      </c>
      <c r="CL300" s="22" t="s">
        <v>3145</v>
      </c>
      <c r="CM300" s="22" t="s">
        <v>3145</v>
      </c>
      <c r="CN300" s="22" t="s">
        <v>3145</v>
      </c>
      <c r="CO300" s="22" t="s">
        <v>3145</v>
      </c>
      <c r="CP300" s="22" t="s">
        <v>2951</v>
      </c>
      <c r="CQ300" s="22" t="s">
        <v>2953</v>
      </c>
      <c r="CR300" s="22" t="s">
        <v>2951</v>
      </c>
      <c r="CS300" s="22" t="s">
        <v>2951</v>
      </c>
      <c r="CT300" s="22">
        <v>5</v>
      </c>
      <c r="CU300" s="21">
        <v>45476</v>
      </c>
      <c r="CV300" s="21">
        <v>45476</v>
      </c>
      <c r="CW300" s="21">
        <v>46030</v>
      </c>
      <c r="CX300" s="21">
        <v>45476</v>
      </c>
      <c r="CY300" s="21">
        <v>45476</v>
      </c>
      <c r="CZ300" s="21">
        <v>46065</v>
      </c>
      <c r="DA300" s="21">
        <v>46034</v>
      </c>
      <c r="DB300" s="21">
        <v>46041</v>
      </c>
      <c r="DC300" s="21">
        <v>46065</v>
      </c>
      <c r="DD300" s="8">
        <v>1</v>
      </c>
      <c r="DE300" s="8">
        <v>1</v>
      </c>
      <c r="DF300" s="8">
        <v>0</v>
      </c>
      <c r="DG300" s="8">
        <v>9</v>
      </c>
      <c r="DH300" s="8">
        <v>0</v>
      </c>
      <c r="DI300" s="8">
        <v>0</v>
      </c>
      <c r="DJ300" s="8" t="s">
        <v>2954</v>
      </c>
      <c r="DK300" s="21">
        <v>44981</v>
      </c>
      <c r="DL300" s="21">
        <v>44951.229166666664</v>
      </c>
      <c r="DM300" s="21">
        <v>45941</v>
      </c>
      <c r="DN300" s="18">
        <v>5120</v>
      </c>
      <c r="DO300" s="21">
        <v>0</v>
      </c>
      <c r="DP300" s="21">
        <v>0</v>
      </c>
      <c r="DQ300" s="21" t="s">
        <v>2955</v>
      </c>
      <c r="DR300" s="21">
        <v>45297</v>
      </c>
      <c r="DS300" s="21">
        <v>45297</v>
      </c>
      <c r="DT300" s="21">
        <v>0</v>
      </c>
      <c r="DU300" s="21">
        <v>45297</v>
      </c>
      <c r="DV300" s="21">
        <v>45297</v>
      </c>
      <c r="DW300" s="21">
        <v>0</v>
      </c>
      <c r="DX300" s="21">
        <v>0</v>
      </c>
      <c r="DY300" s="21">
        <v>0</v>
      </c>
      <c r="DZ300" s="21">
        <v>0</v>
      </c>
      <c r="EA300" s="8">
        <v>445</v>
      </c>
      <c r="EB300" s="8">
        <v>445</v>
      </c>
      <c r="EC300" s="8">
        <v>445</v>
      </c>
      <c r="ED300" s="8">
        <v>445</v>
      </c>
      <c r="EE300" s="8">
        <v>445</v>
      </c>
      <c r="EF300" s="8">
        <v>620</v>
      </c>
      <c r="EG300" s="8">
        <v>1000</v>
      </c>
      <c r="EH300" s="8">
        <v>620</v>
      </c>
      <c r="EI300" s="8">
        <v>620</v>
      </c>
      <c r="EJ300" s="8">
        <v>5</v>
      </c>
      <c r="EK300" s="8" t="s">
        <v>2624</v>
      </c>
      <c r="EL300" s="8">
        <v>171</v>
      </c>
      <c r="EM300" s="8">
        <v>1368</v>
      </c>
      <c r="EN300" s="8">
        <v>157</v>
      </c>
      <c r="EO300" s="8">
        <v>157</v>
      </c>
      <c r="EP300" s="8">
        <v>157</v>
      </c>
      <c r="EQ300" s="8">
        <v>157</v>
      </c>
      <c r="ER300" s="8">
        <v>157</v>
      </c>
      <c r="ES300" s="8">
        <v>332</v>
      </c>
      <c r="ET300" s="8">
        <v>712</v>
      </c>
      <c r="EU300" s="8">
        <v>332</v>
      </c>
      <c r="EV300" s="8">
        <v>332</v>
      </c>
    </row>
    <row r="301" spans="1:152" x14ac:dyDescent="0.15">
      <c r="A301" s="8">
        <f>ROW([2]!tbl_DPSAC[[#This Row],[Sl. No.]])-1</f>
        <v>300</v>
      </c>
      <c r="B301" s="9" t="s">
        <v>136</v>
      </c>
      <c r="C301" s="9" t="s">
        <v>1591</v>
      </c>
      <c r="D301" s="9" t="s">
        <v>1491</v>
      </c>
      <c r="E301" s="9" t="s">
        <v>1492</v>
      </c>
      <c r="F301" s="9" t="s">
        <v>161</v>
      </c>
      <c r="G301" s="10" t="s">
        <v>184</v>
      </c>
      <c r="H301" s="10" t="str">
        <f>_xlfn.XLOOKUP(C301,'[1]E&amp;DPSAC'!$K:$K,'[1]E&amp;DPSAC'!$E:$E,,0)</f>
        <v>LODNA MORE</v>
      </c>
      <c r="I301" s="10"/>
      <c r="J301" s="10">
        <v>9666638889</v>
      </c>
      <c r="K301" s="10">
        <f>_xlfn.XLOOKUP(C301,'[1]E&amp;DPSAC'!$K:$K,'[1]E&amp;DPSAC'!$G:$G,"",0)</f>
        <v>9693269669</v>
      </c>
      <c r="L301" s="9" t="str">
        <f t="shared" ca="1" si="16"/>
        <v>Non - Warranty</v>
      </c>
      <c r="M301" s="11">
        <v>44977</v>
      </c>
      <c r="N301" s="12">
        <v>24</v>
      </c>
      <c r="O301" s="11">
        <f t="shared" si="20"/>
        <v>45716</v>
      </c>
      <c r="P301" s="8" t="s">
        <v>142</v>
      </c>
      <c r="Q301" s="16" t="s">
        <v>1596</v>
      </c>
      <c r="R301" s="15">
        <v>45520.46875</v>
      </c>
      <c r="S301" s="14">
        <v>2541</v>
      </c>
      <c r="T301" s="15">
        <v>45645</v>
      </c>
      <c r="U301" s="14">
        <v>3179</v>
      </c>
      <c r="V301" s="14">
        <v>4475</v>
      </c>
      <c r="W301" s="17">
        <v>45966.582638888889</v>
      </c>
      <c r="X301" s="14" t="s">
        <v>2818</v>
      </c>
      <c r="Y301" s="14">
        <v>-1184</v>
      </c>
      <c r="Z301" s="14" t="s">
        <v>2697</v>
      </c>
      <c r="AA301" s="18">
        <v>592.53125</v>
      </c>
      <c r="AB301" s="18" t="s">
        <v>2697</v>
      </c>
      <c r="AC301" s="8">
        <f>tbl_DPSAC[[#This Row],[Current Month Due Count]]</f>
        <v>0</v>
      </c>
      <c r="AD301" s="8">
        <f>tbl_DPSAC[[#This Row],[Next Month Due2]]</f>
        <v>0</v>
      </c>
      <c r="AE301" s="8"/>
      <c r="AF301" s="8">
        <v>4</v>
      </c>
      <c r="AG301" s="14">
        <f t="shared" ca="1" si="19"/>
        <v>5061</v>
      </c>
      <c r="AH301" s="8" t="s">
        <v>1592</v>
      </c>
      <c r="AI301" s="8" t="s">
        <v>536</v>
      </c>
      <c r="AJ301" s="8" t="s">
        <v>1593</v>
      </c>
      <c r="AK301" s="8" t="s">
        <v>1594</v>
      </c>
      <c r="AL301" s="8" t="s">
        <v>1595</v>
      </c>
      <c r="AM301" s="8">
        <v>0</v>
      </c>
      <c r="AN301" s="8">
        <v>0</v>
      </c>
      <c r="AO301" s="8">
        <v>0</v>
      </c>
      <c r="AP301" s="8">
        <v>0</v>
      </c>
      <c r="AQ301" s="8">
        <v>0</v>
      </c>
      <c r="AR301" s="8">
        <v>0</v>
      </c>
      <c r="AS301" s="8">
        <v>0</v>
      </c>
      <c r="AT301" s="8">
        <v>0</v>
      </c>
      <c r="AU301" s="8">
        <v>0</v>
      </c>
      <c r="AV301" s="8">
        <v>0</v>
      </c>
      <c r="AW301" s="8">
        <v>0</v>
      </c>
      <c r="AX301" s="8" t="s">
        <v>2961</v>
      </c>
      <c r="AY301" s="14">
        <v>2541</v>
      </c>
      <c r="AZ301" s="19">
        <v>45520</v>
      </c>
      <c r="BA301" s="14" t="s">
        <v>1596</v>
      </c>
      <c r="BB301" s="14">
        <v>1530</v>
      </c>
      <c r="BC301" s="19">
        <v>45323</v>
      </c>
      <c r="BD301" s="14" t="s">
        <v>1597</v>
      </c>
      <c r="BE301" s="14">
        <v>2541</v>
      </c>
      <c r="BF301" s="19">
        <v>45520</v>
      </c>
      <c r="BG301" s="14" t="s">
        <v>1596</v>
      </c>
      <c r="BH301" s="14">
        <v>2541</v>
      </c>
      <c r="BI301" s="19">
        <v>45520</v>
      </c>
      <c r="BJ301" s="14" t="s">
        <v>1596</v>
      </c>
      <c r="BK301" s="14">
        <v>1530</v>
      </c>
      <c r="BL301" s="19">
        <v>45323</v>
      </c>
      <c r="BM301" s="14" t="s">
        <v>1597</v>
      </c>
      <c r="BN301" s="27">
        <v>45700</v>
      </c>
      <c r="BO301" s="27">
        <v>45503</v>
      </c>
      <c r="BP301" s="27">
        <v>45700</v>
      </c>
      <c r="BQ301" s="27">
        <v>45700</v>
      </c>
      <c r="BR301" s="27">
        <v>45688</v>
      </c>
      <c r="BS301" s="28">
        <v>-1770</v>
      </c>
      <c r="BT301" s="29">
        <v>-2031</v>
      </c>
      <c r="BU301" s="29">
        <v>-1770</v>
      </c>
      <c r="BV301" s="29">
        <v>-1770</v>
      </c>
      <c r="BW301" s="29">
        <v>-2031</v>
      </c>
      <c r="BX301" s="30" t="s">
        <v>384</v>
      </c>
      <c r="BY301" s="8">
        <v>5</v>
      </c>
      <c r="BZ301" s="8">
        <v>0</v>
      </c>
      <c r="CA301" s="8">
        <v>0</v>
      </c>
      <c r="CB301" s="21">
        <v>45432.770833333299</v>
      </c>
      <c r="CC301" s="21">
        <v>45519.770833333299</v>
      </c>
      <c r="CD301" s="21">
        <v>45519.770833333299</v>
      </c>
      <c r="CE301" s="21">
        <v>45519.770833333299</v>
      </c>
      <c r="CF301" s="21">
        <v>45519.770833333299</v>
      </c>
      <c r="CG301" s="21">
        <v>45322.770833333299</v>
      </c>
      <c r="CH301" s="21">
        <v>0</v>
      </c>
      <c r="CI301" s="21">
        <v>45322.770833333299</v>
      </c>
      <c r="CJ301" s="21">
        <v>0</v>
      </c>
      <c r="CK301" s="22" t="s">
        <v>3146</v>
      </c>
      <c r="CL301" s="22" t="s">
        <v>3146</v>
      </c>
      <c r="CM301" s="22" t="s">
        <v>3146</v>
      </c>
      <c r="CN301" s="22" t="s">
        <v>3146</v>
      </c>
      <c r="CO301" s="22" t="s">
        <v>3146</v>
      </c>
      <c r="CP301" s="22" t="s">
        <v>3027</v>
      </c>
      <c r="CQ301" s="22" t="s">
        <v>2953</v>
      </c>
      <c r="CR301" s="22" t="s">
        <v>3027</v>
      </c>
      <c r="CS301" s="22" t="s">
        <v>3027</v>
      </c>
      <c r="CT301" s="22">
        <v>2</v>
      </c>
      <c r="CU301" s="21">
        <v>45612</v>
      </c>
      <c r="CV301" s="21">
        <v>45699</v>
      </c>
      <c r="CW301" s="21">
        <v>45699</v>
      </c>
      <c r="CX301" s="21">
        <v>45699</v>
      </c>
      <c r="CY301" s="21">
        <v>45699</v>
      </c>
      <c r="CZ301" s="21">
        <v>45592</v>
      </c>
      <c r="DA301" s="21">
        <v>46059</v>
      </c>
      <c r="DB301" s="21">
        <v>45502</v>
      </c>
      <c r="DC301" s="21">
        <v>46121</v>
      </c>
      <c r="DD301" s="8">
        <v>1</v>
      </c>
      <c r="DE301" s="8">
        <v>1</v>
      </c>
      <c r="DF301" s="8">
        <v>0</v>
      </c>
      <c r="DG301" s="8">
        <v>8</v>
      </c>
      <c r="DH301" s="8">
        <v>1</v>
      </c>
      <c r="DI301" s="8">
        <v>0</v>
      </c>
      <c r="DJ301" s="8" t="s">
        <v>2954</v>
      </c>
      <c r="DK301" s="21">
        <v>44977</v>
      </c>
      <c r="DL301" s="21">
        <v>44819.229166666664</v>
      </c>
      <c r="DM301" s="21">
        <v>45966</v>
      </c>
      <c r="DN301" s="18">
        <v>4475</v>
      </c>
      <c r="DO301" s="21">
        <v>0</v>
      </c>
      <c r="DP301" s="21">
        <v>0</v>
      </c>
      <c r="DQ301" s="21" t="s">
        <v>2955</v>
      </c>
      <c r="DR301" s="21">
        <v>45433</v>
      </c>
      <c r="DS301" s="21">
        <v>45520</v>
      </c>
      <c r="DT301" s="21">
        <v>45520</v>
      </c>
      <c r="DU301" s="21">
        <v>45520</v>
      </c>
      <c r="DV301" s="21">
        <v>45520</v>
      </c>
      <c r="DW301" s="21">
        <v>45323</v>
      </c>
      <c r="DX301" s="21">
        <v>0</v>
      </c>
      <c r="DY301" s="21">
        <v>45323</v>
      </c>
      <c r="DZ301" s="21">
        <v>0</v>
      </c>
      <c r="EA301" s="8">
        <v>185</v>
      </c>
      <c r="EB301" s="8">
        <v>185</v>
      </c>
      <c r="EC301" s="8">
        <v>185</v>
      </c>
      <c r="ED301" s="8">
        <v>185</v>
      </c>
      <c r="EE301" s="8">
        <v>185</v>
      </c>
      <c r="EF301" s="8">
        <v>685</v>
      </c>
      <c r="EG301" s="8">
        <v>1000</v>
      </c>
      <c r="EH301" s="8">
        <v>685</v>
      </c>
      <c r="EI301" s="8">
        <v>685</v>
      </c>
      <c r="EJ301" s="8">
        <v>2</v>
      </c>
      <c r="EK301" s="8" t="s">
        <v>2624</v>
      </c>
      <c r="EL301" s="8">
        <v>146</v>
      </c>
      <c r="EM301" s="8">
        <v>584</v>
      </c>
      <c r="EN301" s="8">
        <v>-103</v>
      </c>
      <c r="EO301" s="8">
        <v>-103</v>
      </c>
      <c r="EP301" s="8">
        <v>-103</v>
      </c>
      <c r="EQ301" s="8">
        <v>-103</v>
      </c>
      <c r="ER301" s="8">
        <v>-103</v>
      </c>
      <c r="ES301" s="8">
        <v>397</v>
      </c>
      <c r="ET301" s="8">
        <v>712</v>
      </c>
      <c r="EU301" s="8">
        <v>397</v>
      </c>
      <c r="EV301" s="8">
        <v>397</v>
      </c>
    </row>
    <row r="302" spans="1:152" x14ac:dyDescent="0.15">
      <c r="A302" s="8">
        <f>ROW([2]!tbl_DPSAC[[#This Row],[Sl. No.]])-1</f>
        <v>301</v>
      </c>
      <c r="B302" s="9" t="s">
        <v>196</v>
      </c>
      <c r="C302" s="9" t="s">
        <v>1598</v>
      </c>
      <c r="D302" s="9" t="s">
        <v>169</v>
      </c>
      <c r="E302" s="9" t="s">
        <v>170</v>
      </c>
      <c r="F302" s="9" t="s">
        <v>161</v>
      </c>
      <c r="G302" s="10" t="s">
        <v>1320</v>
      </c>
      <c r="H302" s="10" t="e">
        <f>_xlfn.XLOOKUP(C302,'[1]E&amp;DPSAC'!$K:$K,'[1]E&amp;DPSAC'!$E:$E,,0)</f>
        <v>#N/A</v>
      </c>
      <c r="I302" s="10"/>
      <c r="J302" s="10"/>
      <c r="K302" s="10" t="str">
        <f>_xlfn.XLOOKUP(C302,'[1]E&amp;DPSAC'!$K:$K,'[1]E&amp;DPSAC'!$G:$G,"",0)</f>
        <v/>
      </c>
      <c r="L302" s="9" t="str">
        <f t="shared" ca="1" si="16"/>
        <v>Non - Warranty</v>
      </c>
      <c r="M302" s="11">
        <v>44593</v>
      </c>
      <c r="N302" s="12">
        <v>24</v>
      </c>
      <c r="O302" s="11">
        <f t="shared" si="20"/>
        <v>45322</v>
      </c>
      <c r="P302" s="8" t="s">
        <v>157</v>
      </c>
      <c r="Q302" s="16" t="s">
        <v>143</v>
      </c>
      <c r="R302" s="15" t="s">
        <v>143</v>
      </c>
      <c r="S302" s="14" t="s">
        <v>143</v>
      </c>
      <c r="T302" s="15" t="s">
        <v>143</v>
      </c>
      <c r="U302" s="14" t="s">
        <v>143</v>
      </c>
      <c r="V302" s="14">
        <v>250</v>
      </c>
      <c r="W302" s="17">
        <v>45016.6072569444</v>
      </c>
      <c r="X302" s="14" t="s">
        <v>143</v>
      </c>
      <c r="Y302" s="14">
        <v>0</v>
      </c>
      <c r="Z302" s="14" t="s">
        <v>2692</v>
      </c>
      <c r="AA302" s="18">
        <v>1520</v>
      </c>
      <c r="AB302" s="18" t="s">
        <v>2697</v>
      </c>
      <c r="AC302" s="8">
        <f>tbl_DPSAC[[#This Row],[Current Month Due Count]]</f>
        <v>0</v>
      </c>
      <c r="AD302" s="8">
        <f>tbl_DPSAC[[#This Row],[Next Month Due2]]</f>
        <v>0</v>
      </c>
      <c r="AE302" s="8"/>
      <c r="AF302" s="8">
        <v>0</v>
      </c>
      <c r="AG302" s="14">
        <f t="shared" ca="1" si="19"/>
        <v>250</v>
      </c>
      <c r="AH302" s="8">
        <v>0</v>
      </c>
      <c r="AI302" s="8">
        <v>0</v>
      </c>
      <c r="AJ302" s="8">
        <v>0</v>
      </c>
      <c r="AK302" s="8">
        <v>0</v>
      </c>
      <c r="AL302" s="8">
        <v>0</v>
      </c>
      <c r="AM302" s="8">
        <v>0</v>
      </c>
      <c r="AN302" s="8">
        <v>0</v>
      </c>
      <c r="AO302" s="8">
        <v>0</v>
      </c>
      <c r="AP302" s="8">
        <v>0</v>
      </c>
      <c r="AQ302" s="8">
        <v>0</v>
      </c>
      <c r="AR302" s="8">
        <v>0</v>
      </c>
      <c r="AS302" s="8">
        <v>0</v>
      </c>
      <c r="AT302" s="8">
        <v>0</v>
      </c>
      <c r="AU302" s="8">
        <v>0</v>
      </c>
      <c r="AV302" s="8">
        <v>0</v>
      </c>
      <c r="AW302" s="8">
        <v>0</v>
      </c>
      <c r="AX302" s="8" t="s">
        <v>2007</v>
      </c>
      <c r="AY302" s="14">
        <v>1</v>
      </c>
      <c r="AZ302" s="19">
        <v>44593</v>
      </c>
      <c r="BA302" s="14"/>
      <c r="BB302" s="14">
        <v>1</v>
      </c>
      <c r="BC302" s="19">
        <v>44593</v>
      </c>
      <c r="BD302" s="14"/>
      <c r="BE302" s="14">
        <v>1</v>
      </c>
      <c r="BF302" s="19">
        <v>44593</v>
      </c>
      <c r="BG302" s="14"/>
      <c r="BH302" s="14">
        <v>1</v>
      </c>
      <c r="BI302" s="19">
        <v>44593</v>
      </c>
      <c r="BJ302" s="14"/>
      <c r="BK302" s="14">
        <v>1</v>
      </c>
      <c r="BL302" s="19">
        <v>44593</v>
      </c>
      <c r="BM302" s="14"/>
      <c r="BN302" s="27">
        <v>44773</v>
      </c>
      <c r="BO302" s="27">
        <v>44773</v>
      </c>
      <c r="BP302" s="27">
        <v>44773</v>
      </c>
      <c r="BQ302" s="27">
        <v>44773</v>
      </c>
      <c r="BR302" s="27">
        <v>44958</v>
      </c>
      <c r="BS302" s="28">
        <v>501</v>
      </c>
      <c r="BT302" s="29">
        <v>1251</v>
      </c>
      <c r="BU302" s="29">
        <v>501</v>
      </c>
      <c r="BV302" s="29">
        <v>501</v>
      </c>
      <c r="BW302" s="29">
        <v>1251</v>
      </c>
      <c r="BX302" s="30" t="s">
        <v>467</v>
      </c>
      <c r="BY302" s="8">
        <v>5</v>
      </c>
      <c r="BZ302" s="8">
        <v>0</v>
      </c>
      <c r="CA302" s="8">
        <v>0</v>
      </c>
      <c r="CB302" s="21" t="s">
        <v>143</v>
      </c>
      <c r="CC302" s="21" t="s">
        <v>143</v>
      </c>
      <c r="CD302" s="21" t="s">
        <v>143</v>
      </c>
      <c r="CE302" s="21" t="s">
        <v>143</v>
      </c>
      <c r="CF302" s="21" t="s">
        <v>143</v>
      </c>
      <c r="CG302" s="21" t="s">
        <v>143</v>
      </c>
      <c r="CH302" s="21" t="s">
        <v>143</v>
      </c>
      <c r="CI302" s="21" t="s">
        <v>143</v>
      </c>
      <c r="CJ302" s="21" t="s">
        <v>143</v>
      </c>
      <c r="CK302" s="22" t="s">
        <v>143</v>
      </c>
      <c r="CL302" s="22" t="s">
        <v>143</v>
      </c>
      <c r="CM302" s="22" t="s">
        <v>143</v>
      </c>
      <c r="CN302" s="22" t="s">
        <v>143</v>
      </c>
      <c r="CO302" s="22" t="s">
        <v>143</v>
      </c>
      <c r="CP302" s="22" t="s">
        <v>143</v>
      </c>
      <c r="CQ302" s="22" t="s">
        <v>143</v>
      </c>
      <c r="CR302" s="22" t="s">
        <v>143</v>
      </c>
      <c r="CS302" s="22" t="s">
        <v>143</v>
      </c>
      <c r="CT302" s="22" t="s">
        <v>143</v>
      </c>
      <c r="CU302" s="21" t="s">
        <v>143</v>
      </c>
      <c r="CV302" s="21" t="s">
        <v>143</v>
      </c>
      <c r="CW302" s="21" t="s">
        <v>143</v>
      </c>
      <c r="CX302" s="21" t="s">
        <v>143</v>
      </c>
      <c r="CY302" s="21" t="s">
        <v>143</v>
      </c>
      <c r="CZ302" s="21" t="s">
        <v>143</v>
      </c>
      <c r="DA302" s="21" t="s">
        <v>143</v>
      </c>
      <c r="DB302" s="21" t="s">
        <v>143</v>
      </c>
      <c r="DC302" s="21" t="s">
        <v>143</v>
      </c>
      <c r="DD302" s="8" t="s">
        <v>143</v>
      </c>
      <c r="DE302" s="8" t="s">
        <v>143</v>
      </c>
      <c r="DF302" s="8" t="s">
        <v>143</v>
      </c>
      <c r="DG302" s="8">
        <v>0</v>
      </c>
      <c r="DH302" s="8">
        <v>0</v>
      </c>
      <c r="DI302" s="8">
        <v>0</v>
      </c>
      <c r="DJ302" s="8" t="s">
        <v>143</v>
      </c>
      <c r="DK302" s="21" t="s">
        <v>143</v>
      </c>
      <c r="DL302" s="21" t="s">
        <v>143</v>
      </c>
      <c r="DM302" s="21" t="s">
        <v>143</v>
      </c>
      <c r="DN302" s="18" t="s">
        <v>143</v>
      </c>
      <c r="DO302" s="21" t="s">
        <v>143</v>
      </c>
      <c r="DP302" s="21" t="s">
        <v>143</v>
      </c>
      <c r="DQ302" s="21" t="s">
        <v>143</v>
      </c>
      <c r="DR302" s="21" t="s">
        <v>143</v>
      </c>
      <c r="DS302" s="21" t="s">
        <v>143</v>
      </c>
      <c r="DT302" s="21" t="s">
        <v>143</v>
      </c>
      <c r="DU302" s="21" t="s">
        <v>143</v>
      </c>
      <c r="DV302" s="21" t="s">
        <v>143</v>
      </c>
      <c r="DW302" s="21" t="s">
        <v>143</v>
      </c>
      <c r="DX302" s="21" t="s">
        <v>143</v>
      </c>
      <c r="DY302" s="21" t="s">
        <v>143</v>
      </c>
      <c r="DZ302" s="21" t="s">
        <v>143</v>
      </c>
      <c r="EA302" s="8" t="s">
        <v>143</v>
      </c>
      <c r="EB302" s="8" t="s">
        <v>143</v>
      </c>
      <c r="EC302" s="8" t="s">
        <v>143</v>
      </c>
      <c r="ED302" s="8" t="s">
        <v>143</v>
      </c>
      <c r="EE302" s="8" t="s">
        <v>143</v>
      </c>
      <c r="EF302" s="8" t="s">
        <v>143</v>
      </c>
      <c r="EG302" s="8" t="s">
        <v>143</v>
      </c>
      <c r="EH302" s="8" t="s">
        <v>143</v>
      </c>
      <c r="EI302" s="8" t="s">
        <v>143</v>
      </c>
      <c r="EJ302" s="8" t="s">
        <v>143</v>
      </c>
      <c r="EK302" s="8" t="s">
        <v>157</v>
      </c>
      <c r="EL302" s="8">
        <v>1096</v>
      </c>
      <c r="EM302" s="8">
        <v>0</v>
      </c>
      <c r="EN302" s="8" t="s">
        <v>143</v>
      </c>
      <c r="EO302" s="8" t="s">
        <v>143</v>
      </c>
      <c r="EP302" s="8" t="s">
        <v>143</v>
      </c>
      <c r="EQ302" s="8" t="s">
        <v>143</v>
      </c>
      <c r="ER302" s="8" t="s">
        <v>143</v>
      </c>
      <c r="ES302" s="8" t="s">
        <v>143</v>
      </c>
      <c r="ET302" s="8" t="s">
        <v>143</v>
      </c>
      <c r="EU302" s="8" t="s">
        <v>143</v>
      </c>
      <c r="EV302" s="8" t="s">
        <v>143</v>
      </c>
    </row>
    <row r="303" spans="1:152" x14ac:dyDescent="0.15">
      <c r="A303" s="8">
        <f>ROW([2]!tbl_DPSAC[[#This Row],[Sl. No.]])-1</f>
        <v>302</v>
      </c>
      <c r="B303" s="9" t="s">
        <v>196</v>
      </c>
      <c r="C303" s="9" t="s">
        <v>1599</v>
      </c>
      <c r="D303" s="9" t="s">
        <v>460</v>
      </c>
      <c r="E303" s="9" t="s">
        <v>170</v>
      </c>
      <c r="F303" s="9" t="s">
        <v>161</v>
      </c>
      <c r="G303" s="10" t="s">
        <v>1518</v>
      </c>
      <c r="H303" s="10" t="str">
        <f>_xlfn.XLOOKUP(C303,'[1]E&amp;DPSAC'!$K:$K,'[1]E&amp;DPSAC'!$E:$E,,0)</f>
        <v>BIHAR</v>
      </c>
      <c r="I303" s="10"/>
      <c r="J303" s="10"/>
      <c r="K303" s="10">
        <f>_xlfn.XLOOKUP(C303,'[1]E&amp;DPSAC'!$K:$K,'[1]E&amp;DPSAC'!$G:$G,"",0)</f>
        <v>7368928746</v>
      </c>
      <c r="L303" s="9" t="str">
        <f t="shared" ca="1" si="16"/>
        <v>Non - Warranty</v>
      </c>
      <c r="M303" s="11">
        <v>44561</v>
      </c>
      <c r="N303" s="12">
        <v>24</v>
      </c>
      <c r="O303" s="11">
        <f t="shared" si="20"/>
        <v>45291</v>
      </c>
      <c r="P303" s="8" t="s">
        <v>157</v>
      </c>
      <c r="Q303" s="16" t="s">
        <v>1604</v>
      </c>
      <c r="R303" s="15">
        <v>45435.684027777781</v>
      </c>
      <c r="S303" s="14">
        <v>1778</v>
      </c>
      <c r="T303" s="15">
        <v>45339</v>
      </c>
      <c r="U303" s="14">
        <v>971</v>
      </c>
      <c r="V303" s="14">
        <v>1780</v>
      </c>
      <c r="W303" s="17">
        <v>45541.7679166667</v>
      </c>
      <c r="X303" s="14" t="s">
        <v>2819</v>
      </c>
      <c r="Y303" s="14">
        <v>748</v>
      </c>
      <c r="Z303" s="14" t="s">
        <v>2692</v>
      </c>
      <c r="AA303" s="18">
        <v>677.31597222221899</v>
      </c>
      <c r="AB303" s="18" t="s">
        <v>2697</v>
      </c>
      <c r="AC303" s="8">
        <f>tbl_DPSAC[[#This Row],[Current Month Due Count]]</f>
        <v>0</v>
      </c>
      <c r="AD303" s="8">
        <f>tbl_DPSAC[[#This Row],[Next Month Due2]]</f>
        <v>0</v>
      </c>
      <c r="AE303" s="8"/>
      <c r="AF303" s="8">
        <v>0</v>
      </c>
      <c r="AG303" s="14">
        <f t="shared" ca="1" si="19"/>
        <v>1780</v>
      </c>
      <c r="AH303" s="8" t="s">
        <v>1600</v>
      </c>
      <c r="AI303" s="8" t="s">
        <v>1601</v>
      </c>
      <c r="AJ303" s="8" t="s">
        <v>1602</v>
      </c>
      <c r="AK303" s="8" t="s">
        <v>1603</v>
      </c>
      <c r="AL303" s="8">
        <v>0</v>
      </c>
      <c r="AM303" s="8">
        <v>0</v>
      </c>
      <c r="AN303" s="8">
        <v>0</v>
      </c>
      <c r="AO303" s="8">
        <v>0</v>
      </c>
      <c r="AP303" s="8">
        <v>0</v>
      </c>
      <c r="AQ303" s="8">
        <v>0</v>
      </c>
      <c r="AR303" s="8">
        <v>0</v>
      </c>
      <c r="AS303" s="8">
        <v>0</v>
      </c>
      <c r="AT303" s="8">
        <v>0</v>
      </c>
      <c r="AU303" s="8">
        <v>0</v>
      </c>
      <c r="AV303" s="8">
        <v>0</v>
      </c>
      <c r="AW303" s="8">
        <v>0</v>
      </c>
      <c r="AX303" s="8" t="s">
        <v>2007</v>
      </c>
      <c r="AY303" s="14">
        <v>1778</v>
      </c>
      <c r="AZ303" s="19">
        <v>45435</v>
      </c>
      <c r="BA303" s="14" t="s">
        <v>1604</v>
      </c>
      <c r="BB303" s="14">
        <v>1778</v>
      </c>
      <c r="BC303" s="19">
        <v>45435</v>
      </c>
      <c r="BD303" s="14" t="s">
        <v>1604</v>
      </c>
      <c r="BE303" s="14">
        <v>1778</v>
      </c>
      <c r="BF303" s="19">
        <v>45435</v>
      </c>
      <c r="BG303" s="14" t="s">
        <v>1604</v>
      </c>
      <c r="BH303" s="14">
        <v>1778</v>
      </c>
      <c r="BI303" s="19">
        <v>45435</v>
      </c>
      <c r="BJ303" s="14" t="s">
        <v>1604</v>
      </c>
      <c r="BK303" s="14">
        <v>1778</v>
      </c>
      <c r="BL303" s="19">
        <v>45435</v>
      </c>
      <c r="BM303" s="14" t="s">
        <v>1604</v>
      </c>
      <c r="BN303" s="27">
        <v>45615</v>
      </c>
      <c r="BO303" s="27">
        <v>45615</v>
      </c>
      <c r="BP303" s="27">
        <v>45615</v>
      </c>
      <c r="BQ303" s="27">
        <v>45615</v>
      </c>
      <c r="BR303" s="27">
        <v>45800</v>
      </c>
      <c r="BS303" s="28">
        <v>748</v>
      </c>
      <c r="BT303" s="29">
        <v>1498</v>
      </c>
      <c r="BU303" s="29">
        <v>748</v>
      </c>
      <c r="BV303" s="29">
        <v>748</v>
      </c>
      <c r="BW303" s="29">
        <v>1498</v>
      </c>
      <c r="BX303" s="30" t="s">
        <v>1523</v>
      </c>
      <c r="BY303" s="8">
        <v>5</v>
      </c>
      <c r="BZ303" s="8">
        <v>0</v>
      </c>
      <c r="CA303" s="8">
        <v>0</v>
      </c>
      <c r="CB303" s="21" t="s">
        <v>143</v>
      </c>
      <c r="CC303" s="21" t="s">
        <v>143</v>
      </c>
      <c r="CD303" s="21" t="s">
        <v>143</v>
      </c>
      <c r="CE303" s="21" t="s">
        <v>143</v>
      </c>
      <c r="CF303" s="21" t="s">
        <v>143</v>
      </c>
      <c r="CG303" s="21" t="s">
        <v>143</v>
      </c>
      <c r="CH303" s="21" t="s">
        <v>143</v>
      </c>
      <c r="CI303" s="21" t="s">
        <v>143</v>
      </c>
      <c r="CJ303" s="21" t="s">
        <v>143</v>
      </c>
      <c r="CK303" s="22" t="s">
        <v>143</v>
      </c>
      <c r="CL303" s="22" t="s">
        <v>143</v>
      </c>
      <c r="CM303" s="22" t="s">
        <v>143</v>
      </c>
      <c r="CN303" s="22" t="s">
        <v>143</v>
      </c>
      <c r="CO303" s="22" t="s">
        <v>143</v>
      </c>
      <c r="CP303" s="22" t="s">
        <v>143</v>
      </c>
      <c r="CQ303" s="22" t="s">
        <v>143</v>
      </c>
      <c r="CR303" s="22" t="s">
        <v>143</v>
      </c>
      <c r="CS303" s="22" t="s">
        <v>143</v>
      </c>
      <c r="CT303" s="22" t="s">
        <v>143</v>
      </c>
      <c r="CU303" s="21" t="s">
        <v>143</v>
      </c>
      <c r="CV303" s="21" t="s">
        <v>143</v>
      </c>
      <c r="CW303" s="21" t="s">
        <v>143</v>
      </c>
      <c r="CX303" s="21" t="s">
        <v>143</v>
      </c>
      <c r="CY303" s="21" t="s">
        <v>143</v>
      </c>
      <c r="CZ303" s="21" t="s">
        <v>143</v>
      </c>
      <c r="DA303" s="21" t="s">
        <v>143</v>
      </c>
      <c r="DB303" s="21" t="s">
        <v>143</v>
      </c>
      <c r="DC303" s="21" t="s">
        <v>143</v>
      </c>
      <c r="DD303" s="8" t="s">
        <v>143</v>
      </c>
      <c r="DE303" s="8" t="s">
        <v>143</v>
      </c>
      <c r="DF303" s="8" t="s">
        <v>143</v>
      </c>
      <c r="DG303" s="8">
        <v>0</v>
      </c>
      <c r="DH303" s="8">
        <v>0</v>
      </c>
      <c r="DI303" s="8">
        <v>0</v>
      </c>
      <c r="DJ303" s="8" t="s">
        <v>143</v>
      </c>
      <c r="DK303" s="21" t="s">
        <v>143</v>
      </c>
      <c r="DL303" s="21" t="s">
        <v>143</v>
      </c>
      <c r="DM303" s="21" t="s">
        <v>143</v>
      </c>
      <c r="DN303" s="18" t="s">
        <v>143</v>
      </c>
      <c r="DO303" s="21" t="s">
        <v>143</v>
      </c>
      <c r="DP303" s="21" t="s">
        <v>143</v>
      </c>
      <c r="DQ303" s="21" t="s">
        <v>143</v>
      </c>
      <c r="DR303" s="21" t="s">
        <v>143</v>
      </c>
      <c r="DS303" s="21" t="s">
        <v>143</v>
      </c>
      <c r="DT303" s="21" t="s">
        <v>143</v>
      </c>
      <c r="DU303" s="21" t="s">
        <v>143</v>
      </c>
      <c r="DV303" s="21" t="s">
        <v>143</v>
      </c>
      <c r="DW303" s="21" t="s">
        <v>143</v>
      </c>
      <c r="DX303" s="21" t="s">
        <v>143</v>
      </c>
      <c r="DY303" s="21" t="s">
        <v>143</v>
      </c>
      <c r="DZ303" s="21" t="s">
        <v>143</v>
      </c>
      <c r="EA303" s="8" t="s">
        <v>143</v>
      </c>
      <c r="EB303" s="8" t="s">
        <v>143</v>
      </c>
      <c r="EC303" s="8" t="s">
        <v>143</v>
      </c>
      <c r="ED303" s="8" t="s">
        <v>143</v>
      </c>
      <c r="EE303" s="8" t="s">
        <v>143</v>
      </c>
      <c r="EF303" s="8" t="s">
        <v>143</v>
      </c>
      <c r="EG303" s="8" t="s">
        <v>143</v>
      </c>
      <c r="EH303" s="8" t="s">
        <v>143</v>
      </c>
      <c r="EI303" s="8" t="s">
        <v>143</v>
      </c>
      <c r="EJ303" s="8" t="s">
        <v>143</v>
      </c>
      <c r="EK303" s="8" t="s">
        <v>157</v>
      </c>
      <c r="EL303" s="8">
        <v>571</v>
      </c>
      <c r="EM303" s="8">
        <v>0</v>
      </c>
      <c r="EN303" s="8" t="s">
        <v>143</v>
      </c>
      <c r="EO303" s="8" t="s">
        <v>143</v>
      </c>
      <c r="EP303" s="8" t="s">
        <v>143</v>
      </c>
      <c r="EQ303" s="8" t="s">
        <v>143</v>
      </c>
      <c r="ER303" s="8" t="s">
        <v>143</v>
      </c>
      <c r="ES303" s="8" t="s">
        <v>143</v>
      </c>
      <c r="ET303" s="8" t="s">
        <v>143</v>
      </c>
      <c r="EU303" s="8" t="s">
        <v>143</v>
      </c>
      <c r="EV303" s="8" t="s">
        <v>143</v>
      </c>
    </row>
    <row r="304" spans="1:152" x14ac:dyDescent="0.15">
      <c r="A304" s="8">
        <f>ROW([2]!tbl_DPSAC[[#This Row],[Sl. No.]])-1</f>
        <v>303</v>
      </c>
      <c r="B304" s="9" t="s">
        <v>196</v>
      </c>
      <c r="C304" s="9" t="s">
        <v>1605</v>
      </c>
      <c r="D304" s="9" t="s">
        <v>1606</v>
      </c>
      <c r="E304" s="9" t="s">
        <v>170</v>
      </c>
      <c r="F304" s="9" t="s">
        <v>161</v>
      </c>
      <c r="G304" s="10" t="s">
        <v>1518</v>
      </c>
      <c r="H304" s="10" t="e">
        <f>_xlfn.XLOOKUP(C304,'[1]E&amp;DPSAC'!$K:$K,'[1]E&amp;DPSAC'!$E:$E,,0)</f>
        <v>#N/A</v>
      </c>
      <c r="I304" s="10"/>
      <c r="J304" s="10"/>
      <c r="K304" s="10" t="str">
        <f>_xlfn.XLOOKUP(C304,'[1]E&amp;DPSAC'!$K:$K,'[1]E&amp;DPSAC'!$G:$G,"",0)</f>
        <v/>
      </c>
      <c r="L304" s="9" t="str">
        <f t="shared" ca="1" si="16"/>
        <v>Non - Warranty</v>
      </c>
      <c r="M304" s="11">
        <v>44413</v>
      </c>
      <c r="N304" s="12">
        <v>24</v>
      </c>
      <c r="O304" s="11">
        <f t="shared" si="20"/>
        <v>45169</v>
      </c>
      <c r="P304" s="8" t="s">
        <v>157</v>
      </c>
      <c r="Q304" s="16" t="s">
        <v>1610</v>
      </c>
      <c r="R304" s="15">
        <v>45335.573287036997</v>
      </c>
      <c r="S304" s="14">
        <v>3543</v>
      </c>
      <c r="T304" s="15" t="s">
        <v>143</v>
      </c>
      <c r="U304" s="14" t="s">
        <v>143</v>
      </c>
      <c r="V304" s="14">
        <v>3740</v>
      </c>
      <c r="W304" s="17">
        <v>45476.657974537004</v>
      </c>
      <c r="X304" s="14" t="s">
        <v>2785</v>
      </c>
      <c r="Y304" s="14">
        <v>553</v>
      </c>
      <c r="Z304" s="14" t="s">
        <v>2692</v>
      </c>
      <c r="AA304" s="18">
        <v>777.4267129630025</v>
      </c>
      <c r="AB304" s="18" t="s">
        <v>2697</v>
      </c>
      <c r="AC304" s="8">
        <f>tbl_DPSAC[[#This Row],[Current Month Due Count]]</f>
        <v>0</v>
      </c>
      <c r="AD304" s="8">
        <f>tbl_DPSAC[[#This Row],[Next Month Due2]]</f>
        <v>0</v>
      </c>
      <c r="AE304" s="8"/>
      <c r="AF304" s="8">
        <v>0</v>
      </c>
      <c r="AG304" s="14">
        <f t="shared" ca="1" si="19"/>
        <v>3740</v>
      </c>
      <c r="AH304" s="8">
        <v>0</v>
      </c>
      <c r="AI304" s="8">
        <v>0</v>
      </c>
      <c r="AJ304" s="8">
        <v>0</v>
      </c>
      <c r="AK304" s="8">
        <v>0</v>
      </c>
      <c r="AL304" s="8" t="s">
        <v>1607</v>
      </c>
      <c r="AM304" s="8" t="s">
        <v>1608</v>
      </c>
      <c r="AN304" s="8" t="s">
        <v>1609</v>
      </c>
      <c r="AO304" s="8">
        <v>0</v>
      </c>
      <c r="AP304" s="8">
        <v>0</v>
      </c>
      <c r="AQ304" s="8">
        <v>0</v>
      </c>
      <c r="AR304" s="8">
        <v>0</v>
      </c>
      <c r="AS304" s="8">
        <v>0</v>
      </c>
      <c r="AT304" s="8">
        <v>0</v>
      </c>
      <c r="AU304" s="8">
        <v>0</v>
      </c>
      <c r="AV304" s="8">
        <v>0</v>
      </c>
      <c r="AW304" s="8">
        <v>0</v>
      </c>
      <c r="AX304" s="8" t="s">
        <v>3147</v>
      </c>
      <c r="AY304" s="14">
        <v>3543</v>
      </c>
      <c r="AZ304" s="19">
        <v>45335</v>
      </c>
      <c r="BA304" s="14" t="s">
        <v>1610</v>
      </c>
      <c r="BB304" s="14"/>
      <c r="BC304" s="19"/>
      <c r="BD304" s="14"/>
      <c r="BE304" s="14">
        <v>3543</v>
      </c>
      <c r="BF304" s="19">
        <v>45335</v>
      </c>
      <c r="BG304" s="14" t="s">
        <v>1610</v>
      </c>
      <c r="BH304" s="14">
        <v>2556</v>
      </c>
      <c r="BI304" s="19">
        <v>45210</v>
      </c>
      <c r="BJ304" s="14" t="s">
        <v>1611</v>
      </c>
      <c r="BK304" s="14"/>
      <c r="BL304" s="19"/>
      <c r="BM304" s="14"/>
      <c r="BN304" s="27">
        <v>45515</v>
      </c>
      <c r="BO304" s="27" t="s">
        <v>143</v>
      </c>
      <c r="BP304" s="27">
        <v>45515</v>
      </c>
      <c r="BQ304" s="27">
        <v>45390</v>
      </c>
      <c r="BR304" s="27" t="s">
        <v>143</v>
      </c>
      <c r="BS304" s="28">
        <v>553</v>
      </c>
      <c r="BT304" s="29" t="s">
        <v>143</v>
      </c>
      <c r="BU304" s="29">
        <v>553</v>
      </c>
      <c r="BV304" s="29">
        <v>-434</v>
      </c>
      <c r="BW304" s="29" t="s">
        <v>143</v>
      </c>
      <c r="BX304" s="30" t="s">
        <v>1523</v>
      </c>
      <c r="BY304" s="8">
        <v>3</v>
      </c>
      <c r="BZ304" s="8">
        <v>0</v>
      </c>
      <c r="CA304" s="8">
        <v>0</v>
      </c>
      <c r="CB304" s="21" t="s">
        <v>143</v>
      </c>
      <c r="CC304" s="21" t="s">
        <v>143</v>
      </c>
      <c r="CD304" s="21" t="s">
        <v>143</v>
      </c>
      <c r="CE304" s="21" t="s">
        <v>143</v>
      </c>
      <c r="CF304" s="21" t="s">
        <v>143</v>
      </c>
      <c r="CG304" s="21" t="s">
        <v>143</v>
      </c>
      <c r="CH304" s="21" t="s">
        <v>143</v>
      </c>
      <c r="CI304" s="21" t="s">
        <v>143</v>
      </c>
      <c r="CJ304" s="21" t="s">
        <v>143</v>
      </c>
      <c r="CK304" s="22" t="s">
        <v>143</v>
      </c>
      <c r="CL304" s="22" t="s">
        <v>143</v>
      </c>
      <c r="CM304" s="22" t="s">
        <v>143</v>
      </c>
      <c r="CN304" s="22" t="s">
        <v>143</v>
      </c>
      <c r="CO304" s="22" t="s">
        <v>143</v>
      </c>
      <c r="CP304" s="22" t="s">
        <v>143</v>
      </c>
      <c r="CQ304" s="22" t="s">
        <v>143</v>
      </c>
      <c r="CR304" s="22" t="s">
        <v>143</v>
      </c>
      <c r="CS304" s="22" t="s">
        <v>143</v>
      </c>
      <c r="CT304" s="22" t="s">
        <v>143</v>
      </c>
      <c r="CU304" s="21" t="s">
        <v>143</v>
      </c>
      <c r="CV304" s="21" t="s">
        <v>143</v>
      </c>
      <c r="CW304" s="21" t="s">
        <v>143</v>
      </c>
      <c r="CX304" s="21" t="s">
        <v>143</v>
      </c>
      <c r="CY304" s="21" t="s">
        <v>143</v>
      </c>
      <c r="CZ304" s="21" t="s">
        <v>143</v>
      </c>
      <c r="DA304" s="21" t="s">
        <v>143</v>
      </c>
      <c r="DB304" s="21" t="s">
        <v>143</v>
      </c>
      <c r="DC304" s="21" t="s">
        <v>143</v>
      </c>
      <c r="DD304" s="8" t="s">
        <v>143</v>
      </c>
      <c r="DE304" s="8" t="s">
        <v>143</v>
      </c>
      <c r="DF304" s="8" t="s">
        <v>143</v>
      </c>
      <c r="DG304" s="8">
        <v>0</v>
      </c>
      <c r="DH304" s="8">
        <v>0</v>
      </c>
      <c r="DI304" s="8">
        <v>0</v>
      </c>
      <c r="DJ304" s="8" t="s">
        <v>143</v>
      </c>
      <c r="DK304" s="21" t="s">
        <v>143</v>
      </c>
      <c r="DL304" s="21" t="s">
        <v>143</v>
      </c>
      <c r="DM304" s="21" t="s">
        <v>143</v>
      </c>
      <c r="DN304" s="18" t="s">
        <v>143</v>
      </c>
      <c r="DO304" s="21" t="s">
        <v>143</v>
      </c>
      <c r="DP304" s="21" t="s">
        <v>143</v>
      </c>
      <c r="DQ304" s="21" t="s">
        <v>143</v>
      </c>
      <c r="DR304" s="21" t="s">
        <v>143</v>
      </c>
      <c r="DS304" s="21" t="s">
        <v>143</v>
      </c>
      <c r="DT304" s="21" t="s">
        <v>143</v>
      </c>
      <c r="DU304" s="21" t="s">
        <v>143</v>
      </c>
      <c r="DV304" s="21" t="s">
        <v>143</v>
      </c>
      <c r="DW304" s="21" t="s">
        <v>143</v>
      </c>
      <c r="DX304" s="21" t="s">
        <v>143</v>
      </c>
      <c r="DY304" s="21" t="s">
        <v>143</v>
      </c>
      <c r="DZ304" s="21" t="s">
        <v>143</v>
      </c>
      <c r="EA304" s="8" t="s">
        <v>143</v>
      </c>
      <c r="EB304" s="8" t="s">
        <v>143</v>
      </c>
      <c r="EC304" s="8" t="s">
        <v>143</v>
      </c>
      <c r="ED304" s="8" t="s">
        <v>143</v>
      </c>
      <c r="EE304" s="8" t="s">
        <v>143</v>
      </c>
      <c r="EF304" s="8" t="s">
        <v>143</v>
      </c>
      <c r="EG304" s="8" t="s">
        <v>143</v>
      </c>
      <c r="EH304" s="8" t="s">
        <v>143</v>
      </c>
      <c r="EI304" s="8" t="s">
        <v>143</v>
      </c>
      <c r="EJ304" s="8" t="s">
        <v>143</v>
      </c>
      <c r="EK304" s="8" t="s">
        <v>157</v>
      </c>
      <c r="EL304" s="8">
        <v>636</v>
      </c>
      <c r="EM304" s="8">
        <v>0</v>
      </c>
      <c r="EN304" s="8" t="s">
        <v>143</v>
      </c>
      <c r="EO304" s="8" t="s">
        <v>143</v>
      </c>
      <c r="EP304" s="8" t="s">
        <v>143</v>
      </c>
      <c r="EQ304" s="8" t="s">
        <v>143</v>
      </c>
      <c r="ER304" s="8" t="s">
        <v>143</v>
      </c>
      <c r="ES304" s="8" t="s">
        <v>143</v>
      </c>
      <c r="ET304" s="8" t="s">
        <v>143</v>
      </c>
      <c r="EU304" s="8" t="s">
        <v>143</v>
      </c>
      <c r="EV304" s="8" t="s">
        <v>143</v>
      </c>
    </row>
    <row r="305" spans="1:152" x14ac:dyDescent="0.15">
      <c r="A305" s="8">
        <f>ROW([2]!tbl_DPSAC[[#This Row],[Sl. No.]])-1</f>
        <v>304</v>
      </c>
      <c r="B305" s="9" t="s">
        <v>136</v>
      </c>
      <c r="C305" s="9" t="s">
        <v>1612</v>
      </c>
      <c r="D305" s="9" t="s">
        <v>1491</v>
      </c>
      <c r="E305" s="9" t="s">
        <v>1492</v>
      </c>
      <c r="F305" s="9" t="s">
        <v>161</v>
      </c>
      <c r="G305" s="10" t="s">
        <v>184</v>
      </c>
      <c r="H305" s="10" t="str">
        <f>_xlfn.XLOOKUP(C305,'[1]E&amp;DPSAC'!$K:$K,'[1]E&amp;DPSAC'!$E:$E,,0)</f>
        <v>LODNA MORE</v>
      </c>
      <c r="I305" s="10"/>
      <c r="J305" s="10">
        <v>6200119580</v>
      </c>
      <c r="K305" s="10">
        <f>_xlfn.XLOOKUP(C305,'[1]E&amp;DPSAC'!$K:$K,'[1]E&amp;DPSAC'!$G:$G,"",0)</f>
        <v>9550053031</v>
      </c>
      <c r="L305" s="9" t="str">
        <f t="shared" ca="1" si="16"/>
        <v>Non - Warranty</v>
      </c>
      <c r="M305" s="11">
        <v>45005</v>
      </c>
      <c r="N305" s="12">
        <v>24</v>
      </c>
      <c r="O305" s="11">
        <f t="shared" si="20"/>
        <v>45747</v>
      </c>
      <c r="P305" s="8" t="s">
        <v>142</v>
      </c>
      <c r="Q305" s="16" t="s">
        <v>1616</v>
      </c>
      <c r="R305" s="15">
        <v>45954.53402777778</v>
      </c>
      <c r="S305" s="14">
        <v>3090</v>
      </c>
      <c r="T305" s="15">
        <v>45881</v>
      </c>
      <c r="U305" s="14">
        <v>0</v>
      </c>
      <c r="V305" s="14">
        <v>3135</v>
      </c>
      <c r="W305" s="17">
        <v>45966.586111111108</v>
      </c>
      <c r="X305" s="14" t="s">
        <v>2700</v>
      </c>
      <c r="Y305" s="14">
        <v>705</v>
      </c>
      <c r="Z305" s="14" t="s">
        <v>2692</v>
      </c>
      <c r="AA305" s="18">
        <v>158.46597222222044</v>
      </c>
      <c r="AB305" s="18" t="s">
        <v>2692</v>
      </c>
      <c r="AC305" s="8">
        <f>tbl_DPSAC[[#This Row],[Current Month Due Count]]</f>
        <v>4</v>
      </c>
      <c r="AD305" s="8">
        <f>tbl_DPSAC[[#This Row],[Next Month Due2]]</f>
        <v>0</v>
      </c>
      <c r="AE305" s="8"/>
      <c r="AF305" s="8">
        <v>4</v>
      </c>
      <c r="AG305" s="14">
        <f t="shared" ca="1" si="19"/>
        <v>3721</v>
      </c>
      <c r="AH305" s="8" t="s">
        <v>1613</v>
      </c>
      <c r="AI305" s="8" t="s">
        <v>1614</v>
      </c>
      <c r="AJ305" s="8" t="s">
        <v>1615</v>
      </c>
      <c r="AK305" s="8">
        <v>0</v>
      </c>
      <c r="AL305" s="8">
        <v>0</v>
      </c>
      <c r="AM305" s="8">
        <v>0</v>
      </c>
      <c r="AN305" s="8">
        <v>0</v>
      </c>
      <c r="AO305" s="8">
        <v>0</v>
      </c>
      <c r="AP305" s="8">
        <v>0</v>
      </c>
      <c r="AQ305" s="8">
        <v>0</v>
      </c>
      <c r="AR305" s="8">
        <v>0</v>
      </c>
      <c r="AS305" s="8">
        <v>0</v>
      </c>
      <c r="AT305" s="8">
        <v>0</v>
      </c>
      <c r="AU305" s="8">
        <v>0</v>
      </c>
      <c r="AV305" s="8">
        <v>0</v>
      </c>
      <c r="AW305" s="8">
        <v>0</v>
      </c>
      <c r="AX305" s="8" t="s">
        <v>2007</v>
      </c>
      <c r="AY305" s="14">
        <v>3090</v>
      </c>
      <c r="AZ305" s="19">
        <v>45954</v>
      </c>
      <c r="BA305" s="14" t="s">
        <v>1616</v>
      </c>
      <c r="BB305" s="14">
        <v>3090</v>
      </c>
      <c r="BC305" s="19">
        <v>45954</v>
      </c>
      <c r="BD305" s="14" t="s">
        <v>1616</v>
      </c>
      <c r="BE305" s="14">
        <v>3090</v>
      </c>
      <c r="BF305" s="19">
        <v>45954</v>
      </c>
      <c r="BG305" s="14" t="s">
        <v>1616</v>
      </c>
      <c r="BH305" s="14">
        <v>3090</v>
      </c>
      <c r="BI305" s="19">
        <v>45954</v>
      </c>
      <c r="BJ305" s="14" t="s">
        <v>1616</v>
      </c>
      <c r="BK305" s="14">
        <v>3090</v>
      </c>
      <c r="BL305" s="19">
        <v>45954</v>
      </c>
      <c r="BM305" s="14" t="s">
        <v>1616</v>
      </c>
      <c r="BN305" s="27">
        <v>46134</v>
      </c>
      <c r="BO305" s="27">
        <v>46134</v>
      </c>
      <c r="BP305" s="27">
        <v>46134</v>
      </c>
      <c r="BQ305" s="27">
        <v>46134</v>
      </c>
      <c r="BR305" s="27">
        <v>46319</v>
      </c>
      <c r="BS305" s="28">
        <v>119</v>
      </c>
      <c r="BT305" s="29">
        <v>869</v>
      </c>
      <c r="BU305" s="29">
        <v>119</v>
      </c>
      <c r="BV305" s="29">
        <v>119</v>
      </c>
      <c r="BW305" s="29">
        <v>869</v>
      </c>
      <c r="BX305" s="30"/>
      <c r="BY305" s="8">
        <v>0</v>
      </c>
      <c r="BZ305" s="8">
        <v>4</v>
      </c>
      <c r="CA305" s="8">
        <v>0</v>
      </c>
      <c r="CB305" s="21">
        <v>45953.770833333299</v>
      </c>
      <c r="CC305" s="21">
        <v>45953.770833333299</v>
      </c>
      <c r="CD305" s="21">
        <v>45953.770833333299</v>
      </c>
      <c r="CE305" s="21">
        <v>45953.770833333299</v>
      </c>
      <c r="CF305" s="21">
        <v>45953.770833333299</v>
      </c>
      <c r="CG305" s="21">
        <v>45953.770833333299</v>
      </c>
      <c r="CH305" s="21">
        <v>45953.770833333299</v>
      </c>
      <c r="CI305" s="21">
        <v>45953.770833333299</v>
      </c>
      <c r="CJ305" s="21">
        <v>45953.770833333299</v>
      </c>
      <c r="CK305" s="22" t="s">
        <v>3098</v>
      </c>
      <c r="CL305" s="22" t="s">
        <v>3099</v>
      </c>
      <c r="CM305" s="22" t="s">
        <v>3099</v>
      </c>
      <c r="CN305" s="22" t="s">
        <v>3099</v>
      </c>
      <c r="CO305" s="22" t="s">
        <v>3099</v>
      </c>
      <c r="CP305" s="22" t="s">
        <v>3098</v>
      </c>
      <c r="CQ305" s="22" t="s">
        <v>2953</v>
      </c>
      <c r="CR305" s="22" t="s">
        <v>3098</v>
      </c>
      <c r="CS305" s="22" t="s">
        <v>3098</v>
      </c>
      <c r="CT305" s="22">
        <v>4</v>
      </c>
      <c r="CU305" s="21">
        <v>46133</v>
      </c>
      <c r="CV305" s="21">
        <v>46133</v>
      </c>
      <c r="CW305" s="21">
        <v>46133</v>
      </c>
      <c r="CX305" s="21">
        <v>46133</v>
      </c>
      <c r="CY305" s="21">
        <v>46133</v>
      </c>
      <c r="CZ305" s="21">
        <v>46223</v>
      </c>
      <c r="DA305" s="21">
        <v>46216</v>
      </c>
      <c r="DB305" s="21">
        <v>46133</v>
      </c>
      <c r="DC305" s="21">
        <v>46318</v>
      </c>
      <c r="DD305" s="8">
        <v>0</v>
      </c>
      <c r="DE305" s="8">
        <v>0</v>
      </c>
      <c r="DF305" s="8">
        <v>0</v>
      </c>
      <c r="DG305" s="8">
        <v>0</v>
      </c>
      <c r="DH305" s="8">
        <v>6</v>
      </c>
      <c r="DI305" s="8">
        <v>0</v>
      </c>
      <c r="DJ305" s="8" t="s">
        <v>2954</v>
      </c>
      <c r="DK305" s="21">
        <v>45005</v>
      </c>
      <c r="DL305" s="21">
        <v>44966.229166666664</v>
      </c>
      <c r="DM305" s="21">
        <v>45966</v>
      </c>
      <c r="DN305" s="18">
        <v>3135</v>
      </c>
      <c r="DO305" s="21">
        <v>0</v>
      </c>
      <c r="DP305" s="21">
        <v>0</v>
      </c>
      <c r="DQ305" s="21" t="s">
        <v>2955</v>
      </c>
      <c r="DR305" s="21">
        <v>45954</v>
      </c>
      <c r="DS305" s="21">
        <v>45954</v>
      </c>
      <c r="DT305" s="21">
        <v>45954</v>
      </c>
      <c r="DU305" s="21">
        <v>45954</v>
      </c>
      <c r="DV305" s="21">
        <v>45954</v>
      </c>
      <c r="DW305" s="21">
        <v>45954</v>
      </c>
      <c r="DX305" s="21">
        <v>45954</v>
      </c>
      <c r="DY305" s="21">
        <v>45954</v>
      </c>
      <c r="DZ305" s="21">
        <v>45954</v>
      </c>
      <c r="EA305" s="8">
        <v>1455</v>
      </c>
      <c r="EB305" s="8">
        <v>705</v>
      </c>
      <c r="EC305" s="8">
        <v>705</v>
      </c>
      <c r="ED305" s="8">
        <v>705</v>
      </c>
      <c r="EE305" s="8">
        <v>705</v>
      </c>
      <c r="EF305" s="8">
        <v>1455</v>
      </c>
      <c r="EG305" s="8">
        <v>1000</v>
      </c>
      <c r="EH305" s="8">
        <v>1455</v>
      </c>
      <c r="EI305" s="8">
        <v>1455</v>
      </c>
      <c r="EJ305" s="8">
        <v>4</v>
      </c>
      <c r="EK305" s="8" t="s">
        <v>2624</v>
      </c>
      <c r="EL305" s="8">
        <v>146</v>
      </c>
      <c r="EM305" s="8">
        <v>584</v>
      </c>
      <c r="EN305" s="8">
        <v>1167</v>
      </c>
      <c r="EO305" s="8">
        <v>417</v>
      </c>
      <c r="EP305" s="8">
        <v>417</v>
      </c>
      <c r="EQ305" s="8">
        <v>417</v>
      </c>
      <c r="ER305" s="8">
        <v>417</v>
      </c>
      <c r="ES305" s="8">
        <v>1167</v>
      </c>
      <c r="ET305" s="8">
        <v>712</v>
      </c>
      <c r="EU305" s="8">
        <v>1167</v>
      </c>
      <c r="EV305" s="8">
        <v>1167</v>
      </c>
    </row>
    <row r="306" spans="1:152" x14ac:dyDescent="0.15">
      <c r="A306" s="8">
        <f>ROW([2]!tbl_DPSAC[[#This Row],[Sl. No.]])-1</f>
        <v>305</v>
      </c>
      <c r="B306" s="9" t="s">
        <v>136</v>
      </c>
      <c r="C306" s="9" t="s">
        <v>1617</v>
      </c>
      <c r="D306" s="9" t="s">
        <v>1491</v>
      </c>
      <c r="E306" s="9" t="s">
        <v>1492</v>
      </c>
      <c r="F306" s="9" t="s">
        <v>161</v>
      </c>
      <c r="G306" s="10" t="s">
        <v>184</v>
      </c>
      <c r="H306" s="10" t="str">
        <f>_xlfn.XLOOKUP(C306,'[1]E&amp;DPSAC'!$K:$K,'[1]E&amp;DPSAC'!$E:$E,,0)</f>
        <v>LODNA MORE</v>
      </c>
      <c r="I306" s="10"/>
      <c r="J306" s="10">
        <v>6200119580</v>
      </c>
      <c r="K306" s="10">
        <f>_xlfn.XLOOKUP(C306,'[1]E&amp;DPSAC'!$K:$K,'[1]E&amp;DPSAC'!$G:$G,"",0)</f>
        <v>8658834483</v>
      </c>
      <c r="L306" s="9" t="str">
        <f t="shared" ca="1" si="16"/>
        <v>Non - Warranty</v>
      </c>
      <c r="M306" s="11">
        <v>45005</v>
      </c>
      <c r="N306" s="12">
        <v>24</v>
      </c>
      <c r="O306" s="11">
        <f t="shared" si="20"/>
        <v>45747</v>
      </c>
      <c r="P306" s="8" t="s">
        <v>142</v>
      </c>
      <c r="Q306" s="16" t="s">
        <v>2656</v>
      </c>
      <c r="R306" s="15">
        <v>45954.535416666666</v>
      </c>
      <c r="S306" s="14">
        <v>4775</v>
      </c>
      <c r="T306" s="15">
        <v>46002</v>
      </c>
      <c r="U306" s="14">
        <v>5100</v>
      </c>
      <c r="V306" s="14">
        <v>4800</v>
      </c>
      <c r="W306" s="17">
        <v>45966.609722222223</v>
      </c>
      <c r="X306" s="14" t="s">
        <v>2700</v>
      </c>
      <c r="Y306" s="14">
        <v>725</v>
      </c>
      <c r="Z306" s="14" t="s">
        <v>2692</v>
      </c>
      <c r="AA306" s="18">
        <v>158.4645833333343</v>
      </c>
      <c r="AB306" s="18" t="s">
        <v>2692</v>
      </c>
      <c r="AC306" s="8">
        <f>tbl_DPSAC[[#This Row],[Current Month Due Count]]</f>
        <v>4</v>
      </c>
      <c r="AD306" s="8">
        <f>tbl_DPSAC[[#This Row],[Next Month Due2]]</f>
        <v>0</v>
      </c>
      <c r="AE306" s="8"/>
      <c r="AF306" s="8">
        <v>2</v>
      </c>
      <c r="AG306" s="14">
        <f t="shared" ca="1" si="19"/>
        <v>5093</v>
      </c>
      <c r="AH306" s="8" t="s">
        <v>1618</v>
      </c>
      <c r="AI306" s="8" t="s">
        <v>1619</v>
      </c>
      <c r="AJ306" s="8" t="s">
        <v>1620</v>
      </c>
      <c r="AK306" s="8" t="s">
        <v>1621</v>
      </c>
      <c r="AL306" s="8" t="s">
        <v>1622</v>
      </c>
      <c r="AM306" s="8">
        <v>0</v>
      </c>
      <c r="AN306" s="8">
        <v>0</v>
      </c>
      <c r="AO306" s="8">
        <v>0</v>
      </c>
      <c r="AP306" s="8">
        <v>0</v>
      </c>
      <c r="AQ306" s="8">
        <v>0</v>
      </c>
      <c r="AR306" s="8">
        <v>0</v>
      </c>
      <c r="AS306" s="8">
        <v>0</v>
      </c>
      <c r="AT306" s="8">
        <v>0</v>
      </c>
      <c r="AU306" s="8">
        <v>0</v>
      </c>
      <c r="AV306" s="8">
        <v>0</v>
      </c>
      <c r="AW306" s="8">
        <v>0</v>
      </c>
      <c r="AX306" s="8" t="s">
        <v>2007</v>
      </c>
      <c r="AY306" s="14">
        <v>4775</v>
      </c>
      <c r="AZ306" s="19">
        <v>45954</v>
      </c>
      <c r="BA306" s="14" t="s">
        <v>1616</v>
      </c>
      <c r="BB306" s="14">
        <v>4775</v>
      </c>
      <c r="BC306" s="19">
        <v>45954</v>
      </c>
      <c r="BD306" s="14" t="s">
        <v>1616</v>
      </c>
      <c r="BE306" s="14">
        <v>4775</v>
      </c>
      <c r="BF306" s="19">
        <v>45954</v>
      </c>
      <c r="BG306" s="14" t="s">
        <v>1616</v>
      </c>
      <c r="BH306" s="14">
        <v>4775</v>
      </c>
      <c r="BI306" s="19">
        <v>45954</v>
      </c>
      <c r="BJ306" s="14" t="s">
        <v>1616</v>
      </c>
      <c r="BK306" s="14">
        <v>4775</v>
      </c>
      <c r="BL306" s="19">
        <v>45954</v>
      </c>
      <c r="BM306" s="14" t="s">
        <v>1616</v>
      </c>
      <c r="BN306" s="27">
        <v>46134</v>
      </c>
      <c r="BO306" s="27">
        <v>46134</v>
      </c>
      <c r="BP306" s="27">
        <v>46134</v>
      </c>
      <c r="BQ306" s="27">
        <v>46134</v>
      </c>
      <c r="BR306" s="27">
        <v>46319</v>
      </c>
      <c r="BS306" s="28">
        <v>432</v>
      </c>
      <c r="BT306" s="29">
        <v>1182</v>
      </c>
      <c r="BU306" s="29">
        <v>432</v>
      </c>
      <c r="BV306" s="29">
        <v>432</v>
      </c>
      <c r="BW306" s="29">
        <v>1182</v>
      </c>
      <c r="BX306" s="30"/>
      <c r="BY306" s="8">
        <v>0</v>
      </c>
      <c r="BZ306" s="8">
        <v>4</v>
      </c>
      <c r="CA306" s="8">
        <v>0</v>
      </c>
      <c r="CB306" s="21">
        <v>45953.770833333299</v>
      </c>
      <c r="CC306" s="21">
        <v>45953.770833333299</v>
      </c>
      <c r="CD306" s="21">
        <v>45953.770833333299</v>
      </c>
      <c r="CE306" s="21">
        <v>45953.770833333299</v>
      </c>
      <c r="CF306" s="21">
        <v>45953.770833333299</v>
      </c>
      <c r="CG306" s="21">
        <v>45953.770833333299</v>
      </c>
      <c r="CH306" s="21">
        <v>45953.770833333299</v>
      </c>
      <c r="CI306" s="21">
        <v>45953.770833333299</v>
      </c>
      <c r="CJ306" s="21">
        <v>45953.770833333299</v>
      </c>
      <c r="CK306" s="22" t="s">
        <v>3002</v>
      </c>
      <c r="CL306" s="22" t="s">
        <v>3003</v>
      </c>
      <c r="CM306" s="22" t="s">
        <v>3003</v>
      </c>
      <c r="CN306" s="22" t="s">
        <v>3003</v>
      </c>
      <c r="CO306" s="22" t="s">
        <v>3003</v>
      </c>
      <c r="CP306" s="22" t="s">
        <v>3002</v>
      </c>
      <c r="CQ306" s="22" t="s">
        <v>2953</v>
      </c>
      <c r="CR306" s="22" t="s">
        <v>3002</v>
      </c>
      <c r="CS306" s="22" t="s">
        <v>3002</v>
      </c>
      <c r="CT306" s="22">
        <v>2</v>
      </c>
      <c r="CU306" s="21">
        <v>46133</v>
      </c>
      <c r="CV306" s="21">
        <v>46133</v>
      </c>
      <c r="CW306" s="21">
        <v>46133</v>
      </c>
      <c r="CX306" s="21">
        <v>46133</v>
      </c>
      <c r="CY306" s="21">
        <v>46133</v>
      </c>
      <c r="CZ306" s="21">
        <v>46223</v>
      </c>
      <c r="DA306" s="21">
        <v>46318</v>
      </c>
      <c r="DB306" s="21">
        <v>46133</v>
      </c>
      <c r="DC306" s="21">
        <v>46318</v>
      </c>
      <c r="DD306" s="8">
        <v>0</v>
      </c>
      <c r="DE306" s="8">
        <v>0</v>
      </c>
      <c r="DF306" s="8">
        <v>0</v>
      </c>
      <c r="DG306" s="8">
        <v>0</v>
      </c>
      <c r="DH306" s="8">
        <v>6</v>
      </c>
      <c r="DI306" s="8">
        <v>0</v>
      </c>
      <c r="DJ306" s="8" t="s">
        <v>2954</v>
      </c>
      <c r="DK306" s="21">
        <v>45005</v>
      </c>
      <c r="DL306" s="21">
        <v>44977.229166666664</v>
      </c>
      <c r="DM306" s="21">
        <v>45966</v>
      </c>
      <c r="DN306" s="18">
        <v>4800</v>
      </c>
      <c r="DO306" s="21">
        <v>0</v>
      </c>
      <c r="DP306" s="21">
        <v>0</v>
      </c>
      <c r="DQ306" s="21" t="s">
        <v>2955</v>
      </c>
      <c r="DR306" s="21">
        <v>45954</v>
      </c>
      <c r="DS306" s="21">
        <v>45954</v>
      </c>
      <c r="DT306" s="21">
        <v>45954</v>
      </c>
      <c r="DU306" s="21">
        <v>45954</v>
      </c>
      <c r="DV306" s="21">
        <v>45954</v>
      </c>
      <c r="DW306" s="21">
        <v>45954</v>
      </c>
      <c r="DX306" s="21">
        <v>45954</v>
      </c>
      <c r="DY306" s="21">
        <v>45954</v>
      </c>
      <c r="DZ306" s="21">
        <v>45954</v>
      </c>
      <c r="EA306" s="8">
        <v>1475</v>
      </c>
      <c r="EB306" s="8">
        <v>725</v>
      </c>
      <c r="EC306" s="8">
        <v>725</v>
      </c>
      <c r="ED306" s="8">
        <v>725</v>
      </c>
      <c r="EE306" s="8">
        <v>725</v>
      </c>
      <c r="EF306" s="8">
        <v>1475</v>
      </c>
      <c r="EG306" s="8">
        <v>1000</v>
      </c>
      <c r="EH306" s="8">
        <v>1475</v>
      </c>
      <c r="EI306" s="8">
        <v>1475</v>
      </c>
      <c r="EJ306" s="8">
        <v>2</v>
      </c>
      <c r="EK306" s="8" t="s">
        <v>2624</v>
      </c>
      <c r="EL306" s="8">
        <v>146</v>
      </c>
      <c r="EM306" s="8">
        <v>292</v>
      </c>
      <c r="EN306" s="8">
        <v>1187</v>
      </c>
      <c r="EO306" s="8">
        <v>437</v>
      </c>
      <c r="EP306" s="8">
        <v>437</v>
      </c>
      <c r="EQ306" s="8">
        <v>437</v>
      </c>
      <c r="ER306" s="8">
        <v>437</v>
      </c>
      <c r="ES306" s="8">
        <v>1187</v>
      </c>
      <c r="ET306" s="8">
        <v>712</v>
      </c>
      <c r="EU306" s="8">
        <v>1187</v>
      </c>
      <c r="EV306" s="8">
        <v>1187</v>
      </c>
    </row>
    <row r="307" spans="1:152" x14ac:dyDescent="0.15">
      <c r="A307" s="8">
        <f>ROW([2]!tbl_DPSAC[[#This Row],[Sl. No.]])-1</f>
        <v>306</v>
      </c>
      <c r="B307" s="9" t="s">
        <v>136</v>
      </c>
      <c r="C307" s="9" t="s">
        <v>1623</v>
      </c>
      <c r="D307" s="9" t="s">
        <v>1491</v>
      </c>
      <c r="E307" s="9" t="s">
        <v>1492</v>
      </c>
      <c r="F307" s="9" t="s">
        <v>161</v>
      </c>
      <c r="G307" s="10" t="s">
        <v>670</v>
      </c>
      <c r="H307" s="10" t="str">
        <f>_xlfn.XLOOKUP(C307,'[1]E&amp;DPSAC'!$K:$K,'[1]E&amp;DPSAC'!$E:$E,,0)</f>
        <v>PHUSHRO</v>
      </c>
      <c r="I307" s="10"/>
      <c r="J307" s="10">
        <v>7091340232</v>
      </c>
      <c r="K307" s="10">
        <f>_xlfn.XLOOKUP(C307,'[1]E&amp;DPSAC'!$K:$K,'[1]E&amp;DPSAC'!$G:$G,"",0)</f>
        <v>7979946647</v>
      </c>
      <c r="L307" s="9" t="str">
        <f t="shared" ca="1" si="16"/>
        <v>Non - Warranty</v>
      </c>
      <c r="M307" s="11">
        <v>45000</v>
      </c>
      <c r="N307" s="12">
        <v>24</v>
      </c>
      <c r="O307" s="11">
        <f t="shared" si="20"/>
        <v>45747</v>
      </c>
      <c r="P307" s="8" t="s">
        <v>142</v>
      </c>
      <c r="Q307" s="16" t="s">
        <v>1632</v>
      </c>
      <c r="R307" s="15">
        <v>45954.57916666667</v>
      </c>
      <c r="S307" s="14">
        <v>6800</v>
      </c>
      <c r="T307" s="15">
        <v>45769</v>
      </c>
      <c r="U307" s="14">
        <v>5724</v>
      </c>
      <c r="V307" s="14">
        <v>6845</v>
      </c>
      <c r="W307" s="17">
        <v>45966.613194444442</v>
      </c>
      <c r="X307" s="14" t="s">
        <v>2700</v>
      </c>
      <c r="Y307" s="14">
        <v>705</v>
      </c>
      <c r="Z307" s="14" t="s">
        <v>2692</v>
      </c>
      <c r="AA307" s="18">
        <v>158.42083333332994</v>
      </c>
      <c r="AB307" s="18" t="s">
        <v>2692</v>
      </c>
      <c r="AC307" s="8">
        <f>tbl_DPSAC[[#This Row],[Current Month Due Count]]</f>
        <v>4</v>
      </c>
      <c r="AD307" s="8">
        <f>tbl_DPSAC[[#This Row],[Next Month Due2]]</f>
        <v>0</v>
      </c>
      <c r="AE307" s="8"/>
      <c r="AF307" s="8">
        <v>4</v>
      </c>
      <c r="AG307" s="14">
        <f t="shared" ca="1" si="19"/>
        <v>7431</v>
      </c>
      <c r="AH307" s="8" t="s">
        <v>1624</v>
      </c>
      <c r="AI307" s="8" t="s">
        <v>1625</v>
      </c>
      <c r="AJ307" s="8" t="s">
        <v>1626</v>
      </c>
      <c r="AK307" s="8" t="s">
        <v>1627</v>
      </c>
      <c r="AL307" s="8" t="s">
        <v>1628</v>
      </c>
      <c r="AM307" s="8" t="s">
        <v>1629</v>
      </c>
      <c r="AN307" s="8" t="s">
        <v>1630</v>
      </c>
      <c r="AO307" s="8" t="s">
        <v>1631</v>
      </c>
      <c r="AP307" s="8">
        <v>0</v>
      </c>
      <c r="AQ307" s="8">
        <v>0</v>
      </c>
      <c r="AR307" s="8">
        <v>0</v>
      </c>
      <c r="AS307" s="8">
        <v>0</v>
      </c>
      <c r="AT307" s="8">
        <v>0</v>
      </c>
      <c r="AU307" s="8">
        <v>0</v>
      </c>
      <c r="AV307" s="8">
        <v>0</v>
      </c>
      <c r="AW307" s="8">
        <v>0</v>
      </c>
      <c r="AX307" s="8" t="s">
        <v>2007</v>
      </c>
      <c r="AY307" s="14">
        <v>6800</v>
      </c>
      <c r="AZ307" s="19">
        <v>45954</v>
      </c>
      <c r="BA307" s="14" t="s">
        <v>1632</v>
      </c>
      <c r="BB307" s="14">
        <v>6800</v>
      </c>
      <c r="BC307" s="19">
        <v>45954</v>
      </c>
      <c r="BD307" s="14" t="s">
        <v>1632</v>
      </c>
      <c r="BE307" s="14">
        <v>6800</v>
      </c>
      <c r="BF307" s="19">
        <v>45954</v>
      </c>
      <c r="BG307" s="14" t="s">
        <v>1632</v>
      </c>
      <c r="BH307" s="14">
        <v>6800</v>
      </c>
      <c r="BI307" s="19">
        <v>45954</v>
      </c>
      <c r="BJ307" s="14" t="s">
        <v>1632</v>
      </c>
      <c r="BK307" s="14">
        <v>6800</v>
      </c>
      <c r="BL307" s="19">
        <v>45954</v>
      </c>
      <c r="BM307" s="14" t="s">
        <v>1632</v>
      </c>
      <c r="BN307" s="27">
        <v>46134</v>
      </c>
      <c r="BO307" s="27">
        <v>46134</v>
      </c>
      <c r="BP307" s="27">
        <v>46134</v>
      </c>
      <c r="BQ307" s="27">
        <v>46134</v>
      </c>
      <c r="BR307" s="27">
        <v>46319</v>
      </c>
      <c r="BS307" s="28">
        <v>119</v>
      </c>
      <c r="BT307" s="29">
        <v>869</v>
      </c>
      <c r="BU307" s="29">
        <v>119</v>
      </c>
      <c r="BV307" s="29">
        <v>119</v>
      </c>
      <c r="BW307" s="29">
        <v>869</v>
      </c>
      <c r="BX307" s="30"/>
      <c r="BY307" s="8">
        <v>0</v>
      </c>
      <c r="BZ307" s="8">
        <v>4</v>
      </c>
      <c r="CA307" s="8">
        <v>0</v>
      </c>
      <c r="CB307" s="21">
        <v>45953.770833333299</v>
      </c>
      <c r="CC307" s="21">
        <v>45953.770833333299</v>
      </c>
      <c r="CD307" s="21">
        <v>45953.770833333299</v>
      </c>
      <c r="CE307" s="21">
        <v>45953.770833333299</v>
      </c>
      <c r="CF307" s="21">
        <v>45953.770833333299</v>
      </c>
      <c r="CG307" s="21">
        <v>45953.770833333299</v>
      </c>
      <c r="CH307" s="21">
        <v>45953.770833333299</v>
      </c>
      <c r="CI307" s="21">
        <v>45953.770833333299</v>
      </c>
      <c r="CJ307" s="21">
        <v>45953.770833333299</v>
      </c>
      <c r="CK307" s="22" t="s">
        <v>3002</v>
      </c>
      <c r="CL307" s="22" t="s">
        <v>3099</v>
      </c>
      <c r="CM307" s="22" t="s">
        <v>3099</v>
      </c>
      <c r="CN307" s="22" t="s">
        <v>3099</v>
      </c>
      <c r="CO307" s="22" t="s">
        <v>3099</v>
      </c>
      <c r="CP307" s="22" t="s">
        <v>3098</v>
      </c>
      <c r="CQ307" s="22" t="s">
        <v>2953</v>
      </c>
      <c r="CR307" s="22" t="s">
        <v>3098</v>
      </c>
      <c r="CS307" s="22" t="s">
        <v>3098</v>
      </c>
      <c r="CT307" s="22">
        <v>3</v>
      </c>
      <c r="CU307" s="21">
        <v>46133</v>
      </c>
      <c r="CV307" s="21">
        <v>46133</v>
      </c>
      <c r="CW307" s="21">
        <v>46133</v>
      </c>
      <c r="CX307" s="21">
        <v>46133</v>
      </c>
      <c r="CY307" s="21">
        <v>46133</v>
      </c>
      <c r="CZ307" s="21">
        <v>46223</v>
      </c>
      <c r="DA307" s="21">
        <v>46299</v>
      </c>
      <c r="DB307" s="21">
        <v>46133</v>
      </c>
      <c r="DC307" s="21">
        <v>46318</v>
      </c>
      <c r="DD307" s="8">
        <v>0</v>
      </c>
      <c r="DE307" s="8">
        <v>0</v>
      </c>
      <c r="DF307" s="8">
        <v>0</v>
      </c>
      <c r="DG307" s="8">
        <v>0</v>
      </c>
      <c r="DH307" s="8">
        <v>6</v>
      </c>
      <c r="DI307" s="8">
        <v>0</v>
      </c>
      <c r="DJ307" s="8" t="s">
        <v>2954</v>
      </c>
      <c r="DK307" s="21">
        <v>45000</v>
      </c>
      <c r="DL307" s="21">
        <v>44796.291666666664</v>
      </c>
      <c r="DM307" s="21">
        <v>45966</v>
      </c>
      <c r="DN307" s="18">
        <v>6845</v>
      </c>
      <c r="DO307" s="21">
        <v>0</v>
      </c>
      <c r="DP307" s="21">
        <v>0</v>
      </c>
      <c r="DQ307" s="21" t="s">
        <v>2955</v>
      </c>
      <c r="DR307" s="21">
        <v>45954</v>
      </c>
      <c r="DS307" s="21">
        <v>45954</v>
      </c>
      <c r="DT307" s="21">
        <v>45954</v>
      </c>
      <c r="DU307" s="21">
        <v>45954</v>
      </c>
      <c r="DV307" s="21">
        <v>45954</v>
      </c>
      <c r="DW307" s="21">
        <v>45954</v>
      </c>
      <c r="DX307" s="21">
        <v>45954</v>
      </c>
      <c r="DY307" s="21">
        <v>45954</v>
      </c>
      <c r="DZ307" s="21">
        <v>45954</v>
      </c>
      <c r="EA307" s="8">
        <v>1475</v>
      </c>
      <c r="EB307" s="8">
        <v>705</v>
      </c>
      <c r="EC307" s="8">
        <v>705</v>
      </c>
      <c r="ED307" s="8">
        <v>705</v>
      </c>
      <c r="EE307" s="8">
        <v>705</v>
      </c>
      <c r="EF307" s="8">
        <v>1455</v>
      </c>
      <c r="EG307" s="8">
        <v>1000</v>
      </c>
      <c r="EH307" s="8">
        <v>1455</v>
      </c>
      <c r="EI307" s="8">
        <v>1455</v>
      </c>
      <c r="EJ307" s="8">
        <v>3</v>
      </c>
      <c r="EK307" s="8" t="s">
        <v>2624</v>
      </c>
      <c r="EL307" s="8">
        <v>146</v>
      </c>
      <c r="EM307" s="8">
        <v>584</v>
      </c>
      <c r="EN307" s="8">
        <v>1187</v>
      </c>
      <c r="EO307" s="8">
        <v>417</v>
      </c>
      <c r="EP307" s="8">
        <v>417</v>
      </c>
      <c r="EQ307" s="8">
        <v>417</v>
      </c>
      <c r="ER307" s="8">
        <v>417</v>
      </c>
      <c r="ES307" s="8">
        <v>1167</v>
      </c>
      <c r="ET307" s="8">
        <v>712</v>
      </c>
      <c r="EU307" s="8">
        <v>1167</v>
      </c>
      <c r="EV307" s="8">
        <v>1167</v>
      </c>
    </row>
    <row r="308" spans="1:152" x14ac:dyDescent="0.15">
      <c r="A308" s="8">
        <f>ROW([2]!tbl_DPSAC[[#This Row],[Sl. No.]])-1</f>
        <v>307</v>
      </c>
      <c r="B308" s="9" t="s">
        <v>136</v>
      </c>
      <c r="C308" s="9" t="s">
        <v>1633</v>
      </c>
      <c r="D308" s="9" t="s">
        <v>532</v>
      </c>
      <c r="E308" s="9" t="s">
        <v>217</v>
      </c>
      <c r="F308" s="9" t="s">
        <v>161</v>
      </c>
      <c r="G308" s="10" t="s">
        <v>1634</v>
      </c>
      <c r="H308" s="10" t="str">
        <f>_xlfn.XLOOKUP(C308,'[1]E&amp;DPSAC'!$K:$K,'[1]E&amp;DPSAC'!$E:$E,,0)</f>
        <v>BOKARO</v>
      </c>
      <c r="I308" s="10"/>
      <c r="J308" s="10">
        <v>9608528525</v>
      </c>
      <c r="K308" s="10">
        <f>_xlfn.XLOOKUP(C308,'[1]E&amp;DPSAC'!$K:$K,'[1]E&amp;DPSAC'!$G:$G,"",0)</f>
        <v>8252943661</v>
      </c>
      <c r="L308" s="9" t="str">
        <f t="shared" ca="1" si="16"/>
        <v>Non - Warranty</v>
      </c>
      <c r="M308" s="11">
        <v>45042</v>
      </c>
      <c r="N308" s="12">
        <v>24</v>
      </c>
      <c r="O308" s="11">
        <f t="shared" si="20"/>
        <v>45777</v>
      </c>
      <c r="P308" s="8" t="s">
        <v>142</v>
      </c>
      <c r="Q308" s="16" t="s">
        <v>143</v>
      </c>
      <c r="R308" s="15" t="s">
        <v>143</v>
      </c>
      <c r="S308" s="14" t="s">
        <v>143</v>
      </c>
      <c r="T308" s="15">
        <v>45175</v>
      </c>
      <c r="U308" s="14">
        <v>94</v>
      </c>
      <c r="V308" s="14">
        <v>536</v>
      </c>
      <c r="W308" s="17">
        <v>45941.511111111111</v>
      </c>
      <c r="X308" s="14" t="s">
        <v>143</v>
      </c>
      <c r="Y308" s="14">
        <v>0</v>
      </c>
      <c r="Z308" s="14" t="s">
        <v>2692</v>
      </c>
      <c r="AA308" s="18">
        <v>1071</v>
      </c>
      <c r="AB308" s="18" t="s">
        <v>2697</v>
      </c>
      <c r="AC308" s="8">
        <f>tbl_DPSAC[[#This Row],[Current Month Due Count]]</f>
        <v>0</v>
      </c>
      <c r="AD308" s="8">
        <f>tbl_DPSAC[[#This Row],[Next Month Due2]]</f>
        <v>0</v>
      </c>
      <c r="AE308" s="8"/>
      <c r="AF308" s="8">
        <v>0</v>
      </c>
      <c r="AG308" s="14">
        <f t="shared" ca="1" si="19"/>
        <v>536</v>
      </c>
      <c r="AH308" s="8">
        <v>0</v>
      </c>
      <c r="AI308" s="8">
        <v>0</v>
      </c>
      <c r="AJ308" s="8">
        <v>0</v>
      </c>
      <c r="AK308" s="8">
        <v>0</v>
      </c>
      <c r="AL308" s="8">
        <v>0</v>
      </c>
      <c r="AM308" s="8">
        <v>0</v>
      </c>
      <c r="AN308" s="8">
        <v>0</v>
      </c>
      <c r="AO308" s="8">
        <v>0</v>
      </c>
      <c r="AP308" s="8">
        <v>0</v>
      </c>
      <c r="AQ308" s="8">
        <v>0</v>
      </c>
      <c r="AR308" s="8">
        <v>0</v>
      </c>
      <c r="AS308" s="8">
        <v>0</v>
      </c>
      <c r="AT308" s="8">
        <v>0</v>
      </c>
      <c r="AU308" s="8">
        <v>0</v>
      </c>
      <c r="AV308" s="8">
        <v>0</v>
      </c>
      <c r="AW308" s="8">
        <v>0</v>
      </c>
      <c r="AX308" s="8" t="s">
        <v>2007</v>
      </c>
      <c r="AY308" s="14">
        <v>1</v>
      </c>
      <c r="AZ308" s="19">
        <v>45042</v>
      </c>
      <c r="BA308" s="14" t="s">
        <v>1635</v>
      </c>
      <c r="BB308" s="14">
        <v>1</v>
      </c>
      <c r="BC308" s="19">
        <v>45042</v>
      </c>
      <c r="BD308" s="14" t="s">
        <v>1635</v>
      </c>
      <c r="BE308" s="14">
        <v>1</v>
      </c>
      <c r="BF308" s="19">
        <v>45042</v>
      </c>
      <c r="BG308" s="14" t="s">
        <v>1635</v>
      </c>
      <c r="BH308" s="14">
        <v>1</v>
      </c>
      <c r="BI308" s="19">
        <v>45042</v>
      </c>
      <c r="BJ308" s="14" t="s">
        <v>1635</v>
      </c>
      <c r="BK308" s="14">
        <v>1</v>
      </c>
      <c r="BL308" s="19">
        <v>45042</v>
      </c>
      <c r="BM308" s="14" t="s">
        <v>1635</v>
      </c>
      <c r="BN308" s="27">
        <v>45222</v>
      </c>
      <c r="BO308" s="27">
        <v>45222</v>
      </c>
      <c r="BP308" s="27">
        <v>45222</v>
      </c>
      <c r="BQ308" s="27">
        <v>45222</v>
      </c>
      <c r="BR308" s="27">
        <v>45407</v>
      </c>
      <c r="BS308" s="28">
        <v>215</v>
      </c>
      <c r="BT308" s="29">
        <v>965</v>
      </c>
      <c r="BU308" s="29">
        <v>215</v>
      </c>
      <c r="BV308" s="29">
        <v>215</v>
      </c>
      <c r="BW308" s="29">
        <v>965</v>
      </c>
      <c r="BX308" s="30"/>
      <c r="BY308" s="8">
        <v>5</v>
      </c>
      <c r="BZ308" s="8">
        <v>0</v>
      </c>
      <c r="CA308" s="8">
        <v>0</v>
      </c>
      <c r="CB308" s="21">
        <v>0</v>
      </c>
      <c r="CC308" s="21">
        <v>45041.770833333299</v>
      </c>
      <c r="CD308" s="21">
        <v>0</v>
      </c>
      <c r="CE308" s="21">
        <v>0</v>
      </c>
      <c r="CF308" s="21">
        <v>0</v>
      </c>
      <c r="CG308" s="21">
        <v>0</v>
      </c>
      <c r="CH308" s="21">
        <v>0</v>
      </c>
      <c r="CI308" s="21">
        <v>0</v>
      </c>
      <c r="CJ308" s="21">
        <v>0</v>
      </c>
      <c r="CK308" s="22" t="s">
        <v>3102</v>
      </c>
      <c r="CL308" s="22" t="s">
        <v>3102</v>
      </c>
      <c r="CM308" s="22" t="s">
        <v>3102</v>
      </c>
      <c r="CN308" s="22" t="s">
        <v>3102</v>
      </c>
      <c r="CO308" s="22" t="s">
        <v>3102</v>
      </c>
      <c r="CP308" s="22" t="s">
        <v>3038</v>
      </c>
      <c r="CQ308" s="22" t="s">
        <v>2953</v>
      </c>
      <c r="CR308" s="22" t="s">
        <v>3038</v>
      </c>
      <c r="CS308" s="22" t="s">
        <v>3038</v>
      </c>
      <c r="CT308" s="22">
        <v>0</v>
      </c>
      <c r="CU308" s="21">
        <v>0</v>
      </c>
      <c r="CV308" s="21">
        <v>0</v>
      </c>
      <c r="CW308" s="21">
        <v>0</v>
      </c>
      <c r="CX308" s="21">
        <v>0</v>
      </c>
      <c r="CY308" s="21">
        <v>0</v>
      </c>
      <c r="CZ308" s="21">
        <v>0</v>
      </c>
      <c r="DA308" s="21">
        <v>0</v>
      </c>
      <c r="DB308" s="21">
        <v>0</v>
      </c>
      <c r="DC308" s="21">
        <v>0</v>
      </c>
      <c r="DD308" s="8">
        <v>0</v>
      </c>
      <c r="DE308" s="8">
        <v>0</v>
      </c>
      <c r="DF308" s="8">
        <v>0</v>
      </c>
      <c r="DG308" s="8">
        <v>9</v>
      </c>
      <c r="DH308" s="8">
        <v>0</v>
      </c>
      <c r="DI308" s="8">
        <v>0</v>
      </c>
      <c r="DJ308" s="8" t="s">
        <v>2954</v>
      </c>
      <c r="DK308" s="21">
        <v>45042</v>
      </c>
      <c r="DL308" s="21">
        <v>44957.229166666664</v>
      </c>
      <c r="DM308" s="21">
        <v>45941</v>
      </c>
      <c r="DN308" s="18">
        <v>536</v>
      </c>
      <c r="DO308" s="21">
        <v>0</v>
      </c>
      <c r="DP308" s="21">
        <v>0</v>
      </c>
      <c r="DQ308" s="21" t="s">
        <v>2955</v>
      </c>
      <c r="DR308" s="21">
        <v>0</v>
      </c>
      <c r="DS308" s="21">
        <v>45042</v>
      </c>
      <c r="DT308" s="21">
        <v>0</v>
      </c>
      <c r="DU308" s="21">
        <v>0</v>
      </c>
      <c r="DV308" s="21">
        <v>0</v>
      </c>
      <c r="DW308" s="21">
        <v>0</v>
      </c>
      <c r="DX308" s="21">
        <v>0</v>
      </c>
      <c r="DY308" s="21">
        <v>0</v>
      </c>
      <c r="DZ308" s="21">
        <v>0</v>
      </c>
      <c r="EA308" s="8">
        <v>215</v>
      </c>
      <c r="EB308" s="8">
        <v>215</v>
      </c>
      <c r="EC308" s="8">
        <v>215</v>
      </c>
      <c r="ED308" s="8">
        <v>215</v>
      </c>
      <c r="EE308" s="8">
        <v>215</v>
      </c>
      <c r="EF308" s="8">
        <v>965</v>
      </c>
      <c r="EG308" s="8">
        <v>1000</v>
      </c>
      <c r="EH308" s="8">
        <v>965</v>
      </c>
      <c r="EI308" s="8">
        <v>965</v>
      </c>
      <c r="EJ308" s="8">
        <v>0</v>
      </c>
      <c r="EK308" s="8" t="s">
        <v>2624</v>
      </c>
      <c r="EL308" s="8">
        <v>171</v>
      </c>
      <c r="EM308" s="8">
        <v>0</v>
      </c>
      <c r="EN308" s="8">
        <v>-73</v>
      </c>
      <c r="EO308" s="8">
        <v>-73</v>
      </c>
      <c r="EP308" s="8">
        <v>-73</v>
      </c>
      <c r="EQ308" s="8">
        <v>-73</v>
      </c>
      <c r="ER308" s="8">
        <v>-73</v>
      </c>
      <c r="ES308" s="8">
        <v>677</v>
      </c>
      <c r="ET308" s="8">
        <v>712</v>
      </c>
      <c r="EU308" s="8">
        <v>677</v>
      </c>
      <c r="EV308" s="8">
        <v>677</v>
      </c>
    </row>
    <row r="309" spans="1:152" ht="31.5" x14ac:dyDescent="0.15">
      <c r="A309" s="8">
        <f>ROW([2]!tbl_DPSAC[[#This Row],[Sl. No.]])-1</f>
        <v>308</v>
      </c>
      <c r="B309" s="9" t="s">
        <v>136</v>
      </c>
      <c r="C309" s="9" t="s">
        <v>1636</v>
      </c>
      <c r="D309" s="9" t="s">
        <v>262</v>
      </c>
      <c r="E309" s="9" t="s">
        <v>176</v>
      </c>
      <c r="F309" s="9" t="s">
        <v>161</v>
      </c>
      <c r="G309" s="10" t="s">
        <v>1637</v>
      </c>
      <c r="H309" s="10" t="str">
        <f>_xlfn.XLOOKUP(C309,'[1]E&amp;DPSAC'!$K:$K,'[1]E&amp;DPSAC'!$E:$E,,0)</f>
        <v>KULI, RAMGRAH</v>
      </c>
      <c r="I309" s="10" t="s">
        <v>1638</v>
      </c>
      <c r="J309" s="10">
        <v>7675844644</v>
      </c>
      <c r="K309" s="10">
        <f>_xlfn.XLOOKUP(C309,'[1]E&amp;DPSAC'!$K:$K,'[1]E&amp;DPSAC'!$G:$G,"",0)</f>
        <v>7987318893</v>
      </c>
      <c r="L309" s="9" t="str">
        <f t="shared" ca="1" si="16"/>
        <v>Non - Warranty</v>
      </c>
      <c r="M309" s="11">
        <v>45059</v>
      </c>
      <c r="N309" s="12">
        <v>24</v>
      </c>
      <c r="O309" s="11">
        <f t="shared" si="20"/>
        <v>45808</v>
      </c>
      <c r="P309" s="8" t="s">
        <v>142</v>
      </c>
      <c r="Q309" s="16" t="s">
        <v>1643</v>
      </c>
      <c r="R309" s="15">
        <v>46072.562152777798</v>
      </c>
      <c r="S309" s="14">
        <v>5100</v>
      </c>
      <c r="T309" s="15">
        <v>46072</v>
      </c>
      <c r="U309" s="14">
        <v>5100</v>
      </c>
      <c r="V309" s="14">
        <v>5100</v>
      </c>
      <c r="W309" s="17">
        <v>46072.562152777798</v>
      </c>
      <c r="X309" s="14" t="s">
        <v>2796</v>
      </c>
      <c r="Y309" s="14">
        <v>750</v>
      </c>
      <c r="Z309" s="14" t="s">
        <v>2692</v>
      </c>
      <c r="AA309" s="18">
        <v>40.437847222201526</v>
      </c>
      <c r="AB309" s="18" t="s">
        <v>2692</v>
      </c>
      <c r="AC309" s="8">
        <f>tbl_DPSAC[[#This Row],[Current Month Due Count]]</f>
        <v>0</v>
      </c>
      <c r="AD309" s="8">
        <f>tbl_DPSAC[[#This Row],[Next Month Due2]]</f>
        <v>0</v>
      </c>
      <c r="AE309" s="8"/>
      <c r="AF309" s="8">
        <v>3</v>
      </c>
      <c r="AG309" s="14">
        <f t="shared" ca="1" si="19"/>
        <v>5221</v>
      </c>
      <c r="AH309" s="8" t="s">
        <v>1639</v>
      </c>
      <c r="AI309" s="8" t="s">
        <v>1640</v>
      </c>
      <c r="AJ309" s="8" t="s">
        <v>1641</v>
      </c>
      <c r="AK309" s="8"/>
      <c r="AL309" s="20" t="s">
        <v>1642</v>
      </c>
      <c r="AM309" s="8">
        <v>0</v>
      </c>
      <c r="AN309" s="8">
        <v>0</v>
      </c>
      <c r="AO309" s="8">
        <v>0</v>
      </c>
      <c r="AP309" s="8">
        <v>0</v>
      </c>
      <c r="AQ309" s="8">
        <v>0</v>
      </c>
      <c r="AR309" s="8">
        <v>0</v>
      </c>
      <c r="AS309" s="8">
        <v>0</v>
      </c>
      <c r="AT309" s="8">
        <v>0</v>
      </c>
      <c r="AU309" s="8">
        <v>0</v>
      </c>
      <c r="AV309" s="8">
        <v>0</v>
      </c>
      <c r="AW309" s="8">
        <v>0</v>
      </c>
      <c r="AX309" s="8" t="s">
        <v>2007</v>
      </c>
      <c r="AY309" s="14">
        <v>5100</v>
      </c>
      <c r="AZ309" s="19">
        <v>46072</v>
      </c>
      <c r="BA309" s="14" t="s">
        <v>1643</v>
      </c>
      <c r="BB309" s="14">
        <v>5100</v>
      </c>
      <c r="BC309" s="19">
        <v>46072</v>
      </c>
      <c r="BD309" s="14" t="s">
        <v>1643</v>
      </c>
      <c r="BE309" s="14">
        <v>5100</v>
      </c>
      <c r="BF309" s="19">
        <v>46072</v>
      </c>
      <c r="BG309" s="14" t="s">
        <v>1643</v>
      </c>
      <c r="BH309" s="14">
        <v>5100</v>
      </c>
      <c r="BI309" s="19">
        <v>46072</v>
      </c>
      <c r="BJ309" s="14" t="s">
        <v>1643</v>
      </c>
      <c r="BK309" s="14">
        <v>5100</v>
      </c>
      <c r="BL309" s="19">
        <v>46072</v>
      </c>
      <c r="BM309" s="14" t="s">
        <v>1643</v>
      </c>
      <c r="BN309" s="27">
        <v>46252</v>
      </c>
      <c r="BO309" s="27">
        <v>46252</v>
      </c>
      <c r="BP309" s="27">
        <v>46252</v>
      </c>
      <c r="BQ309" s="27">
        <v>46252</v>
      </c>
      <c r="BR309" s="27">
        <v>46437</v>
      </c>
      <c r="BS309" s="28">
        <v>629</v>
      </c>
      <c r="BT309" s="29">
        <v>1379</v>
      </c>
      <c r="BU309" s="29">
        <v>629</v>
      </c>
      <c r="BV309" s="29">
        <v>629</v>
      </c>
      <c r="BW309" s="29">
        <v>1379</v>
      </c>
      <c r="BX309" s="30"/>
      <c r="BY309" s="8">
        <v>0</v>
      </c>
      <c r="BZ309" s="8">
        <v>0</v>
      </c>
      <c r="CA309" s="8">
        <v>0</v>
      </c>
      <c r="CB309" s="21">
        <v>46071.770833333299</v>
      </c>
      <c r="CC309" s="21">
        <v>46071.770833333299</v>
      </c>
      <c r="CD309" s="21">
        <v>46071.770833333299</v>
      </c>
      <c r="CE309" s="21">
        <v>46071.770833333299</v>
      </c>
      <c r="CF309" s="21">
        <v>46071.770833333299</v>
      </c>
      <c r="CG309" s="21">
        <v>46071.770833333299</v>
      </c>
      <c r="CH309" s="21">
        <v>46071.770833333299</v>
      </c>
      <c r="CI309" s="21">
        <v>46071.770833333299</v>
      </c>
      <c r="CJ309" s="21">
        <v>46071.770833333299</v>
      </c>
      <c r="CK309" s="22" t="s">
        <v>2956</v>
      </c>
      <c r="CL309" s="22" t="s">
        <v>2957</v>
      </c>
      <c r="CM309" s="22" t="s">
        <v>2959</v>
      </c>
      <c r="CN309" s="22" t="s">
        <v>2957</v>
      </c>
      <c r="CO309" s="22" t="s">
        <v>2957</v>
      </c>
      <c r="CP309" s="22" t="s">
        <v>3011</v>
      </c>
      <c r="CQ309" s="22" t="s">
        <v>2953</v>
      </c>
      <c r="CR309" s="22" t="s">
        <v>2956</v>
      </c>
      <c r="CS309" s="22" t="s">
        <v>2960</v>
      </c>
      <c r="CT309" s="22">
        <v>7</v>
      </c>
      <c r="CU309" s="21">
        <v>46251</v>
      </c>
      <c r="CV309" s="21">
        <v>46179</v>
      </c>
      <c r="CW309" s="21">
        <v>46143</v>
      </c>
      <c r="CX309" s="21">
        <v>46179</v>
      </c>
      <c r="CY309" s="21">
        <v>46179</v>
      </c>
      <c r="CZ309" s="21">
        <v>46093</v>
      </c>
      <c r="DA309" s="21">
        <v>46214</v>
      </c>
      <c r="DB309" s="21">
        <v>46251</v>
      </c>
      <c r="DC309" s="21">
        <v>46436</v>
      </c>
      <c r="DD309" s="8">
        <v>0</v>
      </c>
      <c r="DE309" s="8">
        <v>0</v>
      </c>
      <c r="DF309" s="8">
        <v>1</v>
      </c>
      <c r="DG309" s="8">
        <v>1</v>
      </c>
      <c r="DH309" s="8">
        <v>0</v>
      </c>
      <c r="DI309" s="8">
        <v>1</v>
      </c>
      <c r="DJ309" s="8" t="s">
        <v>2954</v>
      </c>
      <c r="DK309" s="21">
        <v>45059</v>
      </c>
      <c r="DL309" s="21">
        <v>45045.229166666664</v>
      </c>
      <c r="DM309" s="21">
        <v>46072</v>
      </c>
      <c r="DN309" s="18">
        <v>5100</v>
      </c>
      <c r="DO309" s="21">
        <v>0</v>
      </c>
      <c r="DP309" s="21">
        <v>0</v>
      </c>
      <c r="DQ309" s="21" t="s">
        <v>2955</v>
      </c>
      <c r="DR309" s="21">
        <v>46072</v>
      </c>
      <c r="DS309" s="21">
        <v>46072</v>
      </c>
      <c r="DT309" s="21">
        <v>46072</v>
      </c>
      <c r="DU309" s="21">
        <v>46072</v>
      </c>
      <c r="DV309" s="21">
        <v>46072</v>
      </c>
      <c r="DW309" s="21">
        <v>46072</v>
      </c>
      <c r="DX309" s="21">
        <v>46072</v>
      </c>
      <c r="DY309" s="21">
        <v>46072</v>
      </c>
      <c r="DZ309" s="21">
        <v>46072</v>
      </c>
      <c r="EA309" s="8">
        <v>1500</v>
      </c>
      <c r="EB309" s="8">
        <v>750</v>
      </c>
      <c r="EC309" s="8">
        <v>500</v>
      </c>
      <c r="ED309" s="8">
        <v>750</v>
      </c>
      <c r="EE309" s="8">
        <v>750</v>
      </c>
      <c r="EF309" s="8">
        <v>150</v>
      </c>
      <c r="EG309" s="8">
        <v>1000</v>
      </c>
      <c r="EH309" s="8">
        <v>1500</v>
      </c>
      <c r="EI309" s="8">
        <v>3000</v>
      </c>
      <c r="EJ309" s="8">
        <v>7</v>
      </c>
      <c r="EK309" s="8" t="s">
        <v>2624</v>
      </c>
      <c r="EL309" s="8">
        <v>40</v>
      </c>
      <c r="EM309" s="8">
        <v>120</v>
      </c>
      <c r="EN309" s="8">
        <v>1212</v>
      </c>
      <c r="EO309" s="8">
        <v>462</v>
      </c>
      <c r="EP309" s="8">
        <v>212</v>
      </c>
      <c r="EQ309" s="8">
        <v>462</v>
      </c>
      <c r="ER309" s="8">
        <v>462</v>
      </c>
      <c r="ES309" s="8">
        <v>-138</v>
      </c>
      <c r="ET309" s="8">
        <v>712</v>
      </c>
      <c r="EU309" s="8">
        <v>1212</v>
      </c>
      <c r="EV309" s="8">
        <v>2712</v>
      </c>
    </row>
    <row r="310" spans="1:152" x14ac:dyDescent="0.15">
      <c r="A310" s="8">
        <f>ROW([2]!tbl_DPSAC[[#This Row],[Sl. No.]])-1</f>
        <v>309</v>
      </c>
      <c r="B310" s="9" t="s">
        <v>196</v>
      </c>
      <c r="C310" s="9" t="s">
        <v>1644</v>
      </c>
      <c r="D310" s="9" t="s">
        <v>175</v>
      </c>
      <c r="E310" s="9" t="s">
        <v>176</v>
      </c>
      <c r="F310" s="9" t="s">
        <v>161</v>
      </c>
      <c r="G310" s="10" t="s">
        <v>1645</v>
      </c>
      <c r="H310" s="10" t="str">
        <f>_xlfn.XLOOKUP(C310,'[1]E&amp;DPSAC'!$K:$K,'[1]E&amp;DPSAC'!$E:$E,,0)</f>
        <v>FATEPUR GAYA</v>
      </c>
      <c r="I310" s="10"/>
      <c r="J310" s="10">
        <v>8083671798</v>
      </c>
      <c r="K310" s="10">
        <f>_xlfn.XLOOKUP(C310,'[1]E&amp;DPSAC'!$K:$K,'[1]E&amp;DPSAC'!$G:$G,"",0)</f>
        <v>9631909713</v>
      </c>
      <c r="L310" s="9" t="str">
        <f t="shared" ca="1" si="16"/>
        <v>Non - Warranty</v>
      </c>
      <c r="M310" s="11">
        <v>45063</v>
      </c>
      <c r="N310" s="12">
        <v>24</v>
      </c>
      <c r="O310" s="11">
        <f t="shared" si="20"/>
        <v>45808</v>
      </c>
      <c r="P310" s="8" t="s">
        <v>142</v>
      </c>
      <c r="Q310" s="16" t="s">
        <v>1649</v>
      </c>
      <c r="R310" s="15">
        <v>45719.578425925902</v>
      </c>
      <c r="S310" s="14">
        <v>1782</v>
      </c>
      <c r="T310" s="15">
        <v>45720</v>
      </c>
      <c r="U310" s="14">
        <v>1785</v>
      </c>
      <c r="V310" s="14">
        <v>2275</v>
      </c>
      <c r="W310" s="17">
        <v>45966.631944444445</v>
      </c>
      <c r="X310" s="14" t="s">
        <v>2820</v>
      </c>
      <c r="Y310" s="14">
        <v>257</v>
      </c>
      <c r="Z310" s="14" t="s">
        <v>2692</v>
      </c>
      <c r="AA310" s="18">
        <v>393.42157407409832</v>
      </c>
      <c r="AB310" s="18" t="s">
        <v>2697</v>
      </c>
      <c r="AC310" s="8">
        <f>tbl_DPSAC[[#This Row],[Current Month Due Count]]</f>
        <v>0</v>
      </c>
      <c r="AD310" s="8">
        <f>tbl_DPSAC[[#This Row],[Next Month Due2]]</f>
        <v>0</v>
      </c>
      <c r="AE310" s="8"/>
      <c r="AF310" s="8">
        <v>2</v>
      </c>
      <c r="AG310" s="14">
        <f t="shared" ca="1" si="19"/>
        <v>2568</v>
      </c>
      <c r="AH310" s="8" t="s">
        <v>1646</v>
      </c>
      <c r="AI310" s="8" t="s">
        <v>1647</v>
      </c>
      <c r="AJ310" s="8" t="s">
        <v>1648</v>
      </c>
      <c r="AK310" s="8">
        <v>0</v>
      </c>
      <c r="AL310" s="8">
        <v>0</v>
      </c>
      <c r="AM310" s="8">
        <v>0</v>
      </c>
      <c r="AN310" s="8">
        <v>0</v>
      </c>
      <c r="AO310" s="8">
        <v>0</v>
      </c>
      <c r="AP310" s="8">
        <v>0</v>
      </c>
      <c r="AQ310" s="8">
        <v>0</v>
      </c>
      <c r="AR310" s="8">
        <v>0</v>
      </c>
      <c r="AS310" s="8">
        <v>0</v>
      </c>
      <c r="AT310" s="8">
        <v>0</v>
      </c>
      <c r="AU310" s="8">
        <v>0</v>
      </c>
      <c r="AV310" s="8">
        <v>0</v>
      </c>
      <c r="AW310" s="8">
        <v>0</v>
      </c>
      <c r="AX310" s="8" t="s">
        <v>2980</v>
      </c>
      <c r="AY310" s="14">
        <v>1785</v>
      </c>
      <c r="AZ310" s="19">
        <v>45719</v>
      </c>
      <c r="BA310" s="14" t="s">
        <v>1649</v>
      </c>
      <c r="BB310" s="14">
        <v>1500</v>
      </c>
      <c r="BC310" s="19">
        <v>45478</v>
      </c>
      <c r="BD310" s="14" t="s">
        <v>1650</v>
      </c>
      <c r="BE310" s="14">
        <v>1785</v>
      </c>
      <c r="BF310" s="19">
        <v>45719</v>
      </c>
      <c r="BG310" s="14" t="s">
        <v>1649</v>
      </c>
      <c r="BH310" s="14">
        <v>1785</v>
      </c>
      <c r="BI310" s="19">
        <v>45719</v>
      </c>
      <c r="BJ310" s="14" t="s">
        <v>1649</v>
      </c>
      <c r="BK310" s="14">
        <v>1500</v>
      </c>
      <c r="BL310" s="19">
        <v>45478</v>
      </c>
      <c r="BM310" s="14" t="s">
        <v>1650</v>
      </c>
      <c r="BN310" s="27">
        <v>45899</v>
      </c>
      <c r="BO310" s="27">
        <v>45658</v>
      </c>
      <c r="BP310" s="27">
        <v>45899</v>
      </c>
      <c r="BQ310" s="27">
        <v>45899</v>
      </c>
      <c r="BR310" s="27">
        <v>45843</v>
      </c>
      <c r="BS310" s="28">
        <v>-33</v>
      </c>
      <c r="BT310" s="29">
        <v>432</v>
      </c>
      <c r="BU310" s="29">
        <v>-33</v>
      </c>
      <c r="BV310" s="29">
        <v>-33</v>
      </c>
      <c r="BW310" s="29">
        <v>432</v>
      </c>
      <c r="BX310" s="30"/>
      <c r="BY310" s="8">
        <v>5</v>
      </c>
      <c r="BZ310" s="8">
        <v>0</v>
      </c>
      <c r="CA310" s="8">
        <v>0</v>
      </c>
      <c r="CB310" s="21">
        <v>45396.770833333299</v>
      </c>
      <c r="CC310" s="21">
        <v>45718.770833333299</v>
      </c>
      <c r="CD310" s="21">
        <v>45718.770833333299</v>
      </c>
      <c r="CE310" s="21">
        <v>45718.770833333299</v>
      </c>
      <c r="CF310" s="21">
        <v>45718.770833333299</v>
      </c>
      <c r="CG310" s="21">
        <v>45477.770833333299</v>
      </c>
      <c r="CH310" s="21">
        <v>45477.770833333299</v>
      </c>
      <c r="CI310" s="21">
        <v>45477.770833333299</v>
      </c>
      <c r="CJ310" s="21">
        <v>0</v>
      </c>
      <c r="CK310" s="22" t="s">
        <v>3148</v>
      </c>
      <c r="CL310" s="22" t="s">
        <v>3148</v>
      </c>
      <c r="CM310" s="22" t="s">
        <v>3148</v>
      </c>
      <c r="CN310" s="22" t="s">
        <v>3148</v>
      </c>
      <c r="CO310" s="22" t="s">
        <v>3148</v>
      </c>
      <c r="CP310" s="22" t="s">
        <v>2999</v>
      </c>
      <c r="CQ310" s="22" t="s">
        <v>2953</v>
      </c>
      <c r="CR310" s="22" t="s">
        <v>2999</v>
      </c>
      <c r="CS310" s="22" t="s">
        <v>2999</v>
      </c>
      <c r="CT310" s="22">
        <v>3</v>
      </c>
      <c r="CU310" s="21">
        <v>45576</v>
      </c>
      <c r="CV310" s="21">
        <v>45898</v>
      </c>
      <c r="CW310" s="21">
        <v>45898</v>
      </c>
      <c r="CX310" s="21">
        <v>45898</v>
      </c>
      <c r="CY310" s="21">
        <v>45898</v>
      </c>
      <c r="CZ310" s="21">
        <v>45747</v>
      </c>
      <c r="DA310" s="21">
        <v>45842</v>
      </c>
      <c r="DB310" s="21">
        <v>45657</v>
      </c>
      <c r="DC310" s="21">
        <v>46125</v>
      </c>
      <c r="DD310" s="8">
        <v>1</v>
      </c>
      <c r="DE310" s="8">
        <v>0</v>
      </c>
      <c r="DF310" s="8">
        <v>0</v>
      </c>
      <c r="DG310" s="8">
        <v>8</v>
      </c>
      <c r="DH310" s="8">
        <v>1</v>
      </c>
      <c r="DI310" s="8">
        <v>0</v>
      </c>
      <c r="DJ310" s="8" t="s">
        <v>2954</v>
      </c>
      <c r="DK310" s="21">
        <v>45063</v>
      </c>
      <c r="DL310" s="21">
        <v>45035.229166666664</v>
      </c>
      <c r="DM310" s="21">
        <v>45966</v>
      </c>
      <c r="DN310" s="18">
        <v>2275</v>
      </c>
      <c r="DO310" s="21">
        <v>0</v>
      </c>
      <c r="DP310" s="21">
        <v>0</v>
      </c>
      <c r="DQ310" s="21" t="s">
        <v>2955</v>
      </c>
      <c r="DR310" s="21">
        <v>45397</v>
      </c>
      <c r="DS310" s="21">
        <v>45719</v>
      </c>
      <c r="DT310" s="21">
        <v>45719</v>
      </c>
      <c r="DU310" s="21">
        <v>45719</v>
      </c>
      <c r="DV310" s="21">
        <v>45719</v>
      </c>
      <c r="DW310" s="21">
        <v>45478</v>
      </c>
      <c r="DX310" s="21">
        <v>45478</v>
      </c>
      <c r="DY310" s="21">
        <v>45478</v>
      </c>
      <c r="DZ310" s="21">
        <v>0</v>
      </c>
      <c r="EA310" s="8">
        <v>260</v>
      </c>
      <c r="EB310" s="8">
        <v>260</v>
      </c>
      <c r="EC310" s="8">
        <v>260</v>
      </c>
      <c r="ED310" s="8">
        <v>260</v>
      </c>
      <c r="EE310" s="8">
        <v>260</v>
      </c>
      <c r="EF310" s="8">
        <v>730</v>
      </c>
      <c r="EG310" s="8">
        <v>1000</v>
      </c>
      <c r="EH310" s="8">
        <v>730</v>
      </c>
      <c r="EI310" s="8">
        <v>730</v>
      </c>
      <c r="EJ310" s="8">
        <v>3</v>
      </c>
      <c r="EK310" s="8" t="s">
        <v>2624</v>
      </c>
      <c r="EL310" s="8">
        <v>146</v>
      </c>
      <c r="EM310" s="8">
        <v>292</v>
      </c>
      <c r="EN310" s="8">
        <v>-28</v>
      </c>
      <c r="EO310" s="8">
        <v>-28</v>
      </c>
      <c r="EP310" s="8">
        <v>-28</v>
      </c>
      <c r="EQ310" s="8">
        <v>-28</v>
      </c>
      <c r="ER310" s="8">
        <v>-28</v>
      </c>
      <c r="ES310" s="8">
        <v>442</v>
      </c>
      <c r="ET310" s="8">
        <v>712</v>
      </c>
      <c r="EU310" s="8">
        <v>442</v>
      </c>
      <c r="EV310" s="8">
        <v>442</v>
      </c>
    </row>
    <row r="311" spans="1:152" x14ac:dyDescent="0.15">
      <c r="A311" s="8">
        <f>ROW([2]!tbl_DPSAC[[#This Row],[Sl. No.]])-1</f>
        <v>310</v>
      </c>
      <c r="B311" s="9" t="s">
        <v>136</v>
      </c>
      <c r="C311" s="9" t="s">
        <v>1651</v>
      </c>
      <c r="D311" s="9" t="s">
        <v>1491</v>
      </c>
      <c r="E311" s="9" t="s">
        <v>1492</v>
      </c>
      <c r="F311" s="9" t="s">
        <v>161</v>
      </c>
      <c r="G311" s="10" t="s">
        <v>303</v>
      </c>
      <c r="H311" s="10" t="str">
        <f>_xlfn.XLOOKUP(C311,'[1]E&amp;DPSAC'!$K:$K,'[1]E&amp;DPSAC'!$E:$E,,0)</f>
        <v>LODNA</v>
      </c>
      <c r="I311" s="10"/>
      <c r="J311" s="10">
        <v>7644045555</v>
      </c>
      <c r="K311" s="10">
        <f>_xlfn.XLOOKUP(C311,'[1]E&amp;DPSAC'!$K:$K,'[1]E&amp;DPSAC'!$G:$G,"",0)</f>
        <v>7644045555</v>
      </c>
      <c r="L311" s="9" t="str">
        <f t="shared" ca="1" si="16"/>
        <v>Non - Warranty</v>
      </c>
      <c r="M311" s="11">
        <v>45062</v>
      </c>
      <c r="N311" s="12">
        <v>24</v>
      </c>
      <c r="O311" s="11">
        <f t="shared" si="20"/>
        <v>45808</v>
      </c>
      <c r="P311" s="8" t="s">
        <v>157</v>
      </c>
      <c r="Q311" s="16" t="s">
        <v>1657</v>
      </c>
      <c r="R311" s="15">
        <v>46069.690486111103</v>
      </c>
      <c r="S311" s="14">
        <v>6500</v>
      </c>
      <c r="T311" s="15">
        <v>45283</v>
      </c>
      <c r="U311" s="14">
        <v>2500</v>
      </c>
      <c r="V311" s="14">
        <v>6500</v>
      </c>
      <c r="W311" s="17">
        <v>46069.690486111103</v>
      </c>
      <c r="X311" s="14" t="s">
        <v>2784</v>
      </c>
      <c r="Y311" s="14">
        <v>750</v>
      </c>
      <c r="Z311" s="14" t="s">
        <v>2692</v>
      </c>
      <c r="AA311" s="18">
        <v>43.309513888896618</v>
      </c>
      <c r="AB311" s="18" t="s">
        <v>2692</v>
      </c>
      <c r="AC311" s="8">
        <f>tbl_DPSAC[[#This Row],[Current Month Due Count]]</f>
        <v>2</v>
      </c>
      <c r="AD311" s="8">
        <f>tbl_DPSAC[[#This Row],[Next Month Due2]]</f>
        <v>0</v>
      </c>
      <c r="AE311" s="8"/>
      <c r="AF311" s="8">
        <v>8</v>
      </c>
      <c r="AG311" s="14">
        <f t="shared" ca="1" si="19"/>
        <v>6846</v>
      </c>
      <c r="AH311" s="8" t="s">
        <v>1652</v>
      </c>
      <c r="AI311" s="8" t="s">
        <v>1653</v>
      </c>
      <c r="AJ311" s="8" t="s">
        <v>1654</v>
      </c>
      <c r="AK311" s="8" t="s">
        <v>1655</v>
      </c>
      <c r="AL311" s="8" t="s">
        <v>1656</v>
      </c>
      <c r="AM311" s="8">
        <v>0</v>
      </c>
      <c r="AN311" s="8">
        <v>0</v>
      </c>
      <c r="AO311" s="8">
        <v>0</v>
      </c>
      <c r="AP311" s="8">
        <v>0</v>
      </c>
      <c r="AQ311" s="8">
        <v>0</v>
      </c>
      <c r="AR311" s="8">
        <v>0</v>
      </c>
      <c r="AS311" s="8">
        <v>0</v>
      </c>
      <c r="AT311" s="8">
        <v>0</v>
      </c>
      <c r="AU311" s="8">
        <v>0</v>
      </c>
      <c r="AV311" s="8">
        <v>0</v>
      </c>
      <c r="AW311" s="8">
        <v>0</v>
      </c>
      <c r="AX311" s="8" t="s">
        <v>2007</v>
      </c>
      <c r="AY311" s="14">
        <v>6500</v>
      </c>
      <c r="AZ311" s="19">
        <v>46069</v>
      </c>
      <c r="BA311" s="14" t="s">
        <v>1657</v>
      </c>
      <c r="BB311" s="14">
        <v>6495</v>
      </c>
      <c r="BC311" s="19">
        <v>45947</v>
      </c>
      <c r="BD311" s="14" t="s">
        <v>1658</v>
      </c>
      <c r="BE311" s="14">
        <v>6500</v>
      </c>
      <c r="BF311" s="19">
        <v>46069</v>
      </c>
      <c r="BG311" s="14" t="s">
        <v>1657</v>
      </c>
      <c r="BH311" s="14">
        <v>6495</v>
      </c>
      <c r="BI311" s="19">
        <v>45947</v>
      </c>
      <c r="BJ311" s="14" t="s">
        <v>1658</v>
      </c>
      <c r="BK311" s="14">
        <v>6495</v>
      </c>
      <c r="BL311" s="19">
        <v>45947</v>
      </c>
      <c r="BM311" s="14" t="s">
        <v>1658</v>
      </c>
      <c r="BN311" s="27">
        <v>46249</v>
      </c>
      <c r="BO311" s="27">
        <v>46127</v>
      </c>
      <c r="BP311" s="27">
        <v>46249</v>
      </c>
      <c r="BQ311" s="27">
        <v>46127</v>
      </c>
      <c r="BR311" s="27">
        <v>46312</v>
      </c>
      <c r="BS311" s="28">
        <v>404</v>
      </c>
      <c r="BT311" s="29">
        <v>1149</v>
      </c>
      <c r="BU311" s="29">
        <v>404</v>
      </c>
      <c r="BV311" s="29">
        <v>399</v>
      </c>
      <c r="BW311" s="29">
        <v>1149</v>
      </c>
      <c r="BX311" s="30" t="s">
        <v>159</v>
      </c>
      <c r="BY311" s="8">
        <v>0</v>
      </c>
      <c r="BZ311" s="8">
        <v>2</v>
      </c>
      <c r="CA311" s="8">
        <v>0</v>
      </c>
      <c r="CB311" s="21">
        <v>46068.770833333299</v>
      </c>
      <c r="CC311" s="21">
        <v>46068.770833333299</v>
      </c>
      <c r="CD311" s="21">
        <v>46068.770833333299</v>
      </c>
      <c r="CE311" s="21">
        <v>46068.770833333299</v>
      </c>
      <c r="CF311" s="21">
        <v>45947.770833333299</v>
      </c>
      <c r="CG311" s="21">
        <v>45947.770833333299</v>
      </c>
      <c r="CH311" s="21">
        <v>45356.770833333299</v>
      </c>
      <c r="CI311" s="21">
        <v>45356.770833333299</v>
      </c>
      <c r="CJ311" s="21">
        <v>45947.770833333299</v>
      </c>
      <c r="CK311" s="22" t="s">
        <v>2959</v>
      </c>
      <c r="CL311" s="22" t="s">
        <v>2959</v>
      </c>
      <c r="CM311" s="22" t="s">
        <v>2959</v>
      </c>
      <c r="CN311" s="22" t="s">
        <v>2959</v>
      </c>
      <c r="CO311" s="22" t="s">
        <v>2959</v>
      </c>
      <c r="CP311" s="22" t="s">
        <v>2953</v>
      </c>
      <c r="CQ311" s="22" t="s">
        <v>2953</v>
      </c>
      <c r="CR311" s="22" t="s">
        <v>2953</v>
      </c>
      <c r="CS311" s="22" t="s">
        <v>3149</v>
      </c>
      <c r="CT311" s="22">
        <v>10</v>
      </c>
      <c r="CU311" s="21">
        <v>46120</v>
      </c>
      <c r="CV311" s="21">
        <v>46120</v>
      </c>
      <c r="CW311" s="21">
        <v>46120</v>
      </c>
      <c r="CX311" s="21">
        <v>46120</v>
      </c>
      <c r="CY311" s="21">
        <v>46120</v>
      </c>
      <c r="CZ311" s="21">
        <v>46170</v>
      </c>
      <c r="DA311" s="21">
        <v>45721</v>
      </c>
      <c r="DB311" s="21">
        <v>45536</v>
      </c>
      <c r="DC311" s="21">
        <v>46312</v>
      </c>
      <c r="DD311" s="8">
        <v>1</v>
      </c>
      <c r="DE311" s="8">
        <v>0</v>
      </c>
      <c r="DF311" s="8">
        <v>0</v>
      </c>
      <c r="DG311" s="8">
        <v>2</v>
      </c>
      <c r="DH311" s="8">
        <v>5</v>
      </c>
      <c r="DI311" s="8">
        <v>1</v>
      </c>
      <c r="DJ311" s="8" t="s">
        <v>2954</v>
      </c>
      <c r="DK311" s="21">
        <v>45062</v>
      </c>
      <c r="DL311" s="21">
        <v>45029.229166666664</v>
      </c>
      <c r="DM311" s="21">
        <v>46070</v>
      </c>
      <c r="DN311" s="18">
        <v>6500</v>
      </c>
      <c r="DO311" s="21">
        <v>0</v>
      </c>
      <c r="DP311" s="21">
        <v>0</v>
      </c>
      <c r="DQ311" s="21" t="s">
        <v>2955</v>
      </c>
      <c r="DR311" s="21">
        <v>46069</v>
      </c>
      <c r="DS311" s="21">
        <v>46069</v>
      </c>
      <c r="DT311" s="21">
        <v>46069</v>
      </c>
      <c r="DU311" s="21">
        <v>46069</v>
      </c>
      <c r="DV311" s="21">
        <v>45948</v>
      </c>
      <c r="DW311" s="21">
        <v>45948</v>
      </c>
      <c r="DX311" s="21">
        <v>45357</v>
      </c>
      <c r="DY311" s="21">
        <v>45357</v>
      </c>
      <c r="DZ311" s="21">
        <v>45948</v>
      </c>
      <c r="EA311" s="8">
        <v>500</v>
      </c>
      <c r="EB311" s="8">
        <v>500</v>
      </c>
      <c r="EC311" s="8">
        <v>500</v>
      </c>
      <c r="ED311" s="8">
        <v>500</v>
      </c>
      <c r="EE311" s="8">
        <v>500</v>
      </c>
      <c r="EF311" s="8">
        <v>1000</v>
      </c>
      <c r="EG311" s="8">
        <v>1000</v>
      </c>
      <c r="EH311" s="8">
        <v>1000</v>
      </c>
      <c r="EI311" s="8">
        <v>2500</v>
      </c>
      <c r="EJ311" s="8">
        <v>10</v>
      </c>
      <c r="EK311" s="8" t="s">
        <v>157</v>
      </c>
      <c r="EL311" s="8">
        <v>43</v>
      </c>
      <c r="EM311" s="8">
        <v>344</v>
      </c>
      <c r="EN311" s="8">
        <v>212</v>
      </c>
      <c r="EO311" s="8">
        <v>212</v>
      </c>
      <c r="EP311" s="8">
        <v>212</v>
      </c>
      <c r="EQ311" s="8">
        <v>212</v>
      </c>
      <c r="ER311" s="8">
        <v>212</v>
      </c>
      <c r="ES311" s="8">
        <v>712</v>
      </c>
      <c r="ET311" s="8">
        <v>712</v>
      </c>
      <c r="EU311" s="8">
        <v>712</v>
      </c>
      <c r="EV311" s="8">
        <v>2212</v>
      </c>
    </row>
    <row r="312" spans="1:152" x14ac:dyDescent="0.15">
      <c r="A312" s="8">
        <f>ROW([2]!tbl_DPSAC[[#This Row],[Sl. No.]])-1</f>
        <v>311</v>
      </c>
      <c r="B312" s="9" t="s">
        <v>136</v>
      </c>
      <c r="C312" s="9" t="s">
        <v>1659</v>
      </c>
      <c r="D312" s="9" t="s">
        <v>1491</v>
      </c>
      <c r="E312" s="9" t="s">
        <v>1492</v>
      </c>
      <c r="F312" s="9" t="s">
        <v>161</v>
      </c>
      <c r="G312" s="10" t="s">
        <v>1660</v>
      </c>
      <c r="H312" s="10" t="str">
        <f>_xlfn.XLOOKUP(C312,'[1]E&amp;DPSAC'!$K:$K,'[1]E&amp;DPSAC'!$E:$E,,0)</f>
        <v>BARWADA, DHANBAD</v>
      </c>
      <c r="I312" s="10"/>
      <c r="J312" s="10">
        <v>9006060470</v>
      </c>
      <c r="K312" s="10">
        <f>_xlfn.XLOOKUP(C312,'[1]E&amp;DPSAC'!$K:$K,'[1]E&amp;DPSAC'!$G:$G,"",0)</f>
        <v>8102127816</v>
      </c>
      <c r="L312" s="9" t="str">
        <f t="shared" ca="1" si="16"/>
        <v>Non - Warranty</v>
      </c>
      <c r="M312" s="11">
        <v>45043</v>
      </c>
      <c r="N312" s="12">
        <v>24</v>
      </c>
      <c r="O312" s="11">
        <f t="shared" si="20"/>
        <v>45777</v>
      </c>
      <c r="P312" s="8" t="s">
        <v>157</v>
      </c>
      <c r="Q312" s="16" t="s">
        <v>2657</v>
      </c>
      <c r="R312" s="15">
        <v>45111.492974537003</v>
      </c>
      <c r="S312" s="14">
        <v>505</v>
      </c>
      <c r="T312" s="15">
        <v>45478</v>
      </c>
      <c r="U312" s="14">
        <v>1692</v>
      </c>
      <c r="V312" s="14">
        <v>1833</v>
      </c>
      <c r="W312" s="17">
        <v>45633.471574074101</v>
      </c>
      <c r="X312" s="14" t="s">
        <v>2821</v>
      </c>
      <c r="Y312" s="14">
        <v>-578</v>
      </c>
      <c r="Z312" s="14" t="s">
        <v>2697</v>
      </c>
      <c r="AA312" s="18">
        <v>1001.5070254629973</v>
      </c>
      <c r="AB312" s="18" t="s">
        <v>2697</v>
      </c>
      <c r="AC312" s="8">
        <f>tbl_DPSAC[[#This Row],[Current Month Due Count]]</f>
        <v>0</v>
      </c>
      <c r="AD312" s="8">
        <f>tbl_DPSAC[[#This Row],[Next Month Due2]]</f>
        <v>0</v>
      </c>
      <c r="AE312" s="8"/>
      <c r="AF312" s="8">
        <v>5</v>
      </c>
      <c r="AG312" s="14">
        <f t="shared" ca="1" si="19"/>
        <v>4231</v>
      </c>
      <c r="AH312" s="8" t="s">
        <v>1661</v>
      </c>
      <c r="AI312" s="8" t="s">
        <v>1647</v>
      </c>
      <c r="AJ312" s="8">
        <v>0</v>
      </c>
      <c r="AK312" s="8">
        <v>0</v>
      </c>
      <c r="AL312" s="8">
        <v>0</v>
      </c>
      <c r="AM312" s="8">
        <v>0</v>
      </c>
      <c r="AN312" s="8">
        <v>0</v>
      </c>
      <c r="AO312" s="8">
        <v>0</v>
      </c>
      <c r="AP312" s="8">
        <v>0</v>
      </c>
      <c r="AQ312" s="8">
        <v>0</v>
      </c>
      <c r="AR312" s="8">
        <v>0</v>
      </c>
      <c r="AS312" s="8">
        <v>0</v>
      </c>
      <c r="AT312" s="8">
        <v>0</v>
      </c>
      <c r="AU312" s="8">
        <v>0</v>
      </c>
      <c r="AV312" s="8">
        <v>0</v>
      </c>
      <c r="AW312" s="8">
        <v>0</v>
      </c>
      <c r="AX312" s="8" t="s">
        <v>2961</v>
      </c>
      <c r="AY312" s="14">
        <v>948</v>
      </c>
      <c r="AZ312" s="19">
        <v>45176</v>
      </c>
      <c r="BA312" s="14" t="s">
        <v>1662</v>
      </c>
      <c r="BB312" s="14">
        <v>2</v>
      </c>
      <c r="BC312" s="19">
        <v>45043</v>
      </c>
      <c r="BD312" s="14" t="s">
        <v>1663</v>
      </c>
      <c r="BE312" s="14">
        <v>948</v>
      </c>
      <c r="BF312" s="19">
        <v>45176</v>
      </c>
      <c r="BG312" s="14" t="s">
        <v>1662</v>
      </c>
      <c r="BH312" s="14">
        <v>948</v>
      </c>
      <c r="BI312" s="19">
        <v>45176</v>
      </c>
      <c r="BJ312" s="14" t="s">
        <v>1662</v>
      </c>
      <c r="BK312" s="14">
        <v>2</v>
      </c>
      <c r="BL312" s="19">
        <v>45043</v>
      </c>
      <c r="BM312" s="14" t="s">
        <v>1663</v>
      </c>
      <c r="BN312" s="27">
        <v>45356</v>
      </c>
      <c r="BO312" s="27">
        <v>45223</v>
      </c>
      <c r="BP312" s="27">
        <v>45356</v>
      </c>
      <c r="BQ312" s="27">
        <v>45356</v>
      </c>
      <c r="BR312" s="27">
        <v>45408</v>
      </c>
      <c r="BS312" s="28">
        <v>-2533</v>
      </c>
      <c r="BT312" s="29">
        <v>-2729</v>
      </c>
      <c r="BU312" s="29">
        <v>-2533</v>
      </c>
      <c r="BV312" s="29">
        <v>-2533</v>
      </c>
      <c r="BW312" s="29">
        <v>-2729</v>
      </c>
      <c r="BX312" s="8" t="s">
        <v>1016</v>
      </c>
      <c r="BY312" s="8">
        <v>5</v>
      </c>
      <c r="BZ312" s="8">
        <v>0</v>
      </c>
      <c r="CA312" s="8">
        <v>0</v>
      </c>
      <c r="CB312" s="21">
        <v>45632.770833333299</v>
      </c>
      <c r="CC312" s="21">
        <v>45401.770833333299</v>
      </c>
      <c r="CD312" s="21">
        <v>45401.770833333299</v>
      </c>
      <c r="CE312" s="21">
        <v>45632.770833333299</v>
      </c>
      <c r="CF312" s="21">
        <v>0</v>
      </c>
      <c r="CG312" s="21">
        <v>45473.770833333299</v>
      </c>
      <c r="CH312" s="21">
        <v>0</v>
      </c>
      <c r="CI312" s="21">
        <v>45401.770833333299</v>
      </c>
      <c r="CJ312" s="21">
        <v>0</v>
      </c>
      <c r="CK312" s="22" t="s">
        <v>3128</v>
      </c>
      <c r="CL312" s="22" t="s">
        <v>3110</v>
      </c>
      <c r="CM312" s="22" t="s">
        <v>3110</v>
      </c>
      <c r="CN312" s="22" t="s">
        <v>3128</v>
      </c>
      <c r="CO312" s="22" t="s">
        <v>2959</v>
      </c>
      <c r="CP312" s="22" t="s">
        <v>3150</v>
      </c>
      <c r="CQ312" s="22" t="s">
        <v>2953</v>
      </c>
      <c r="CR312" s="22" t="s">
        <v>3150</v>
      </c>
      <c r="CS312" s="22" t="s">
        <v>3150</v>
      </c>
      <c r="CT312" s="22">
        <v>5</v>
      </c>
      <c r="CU312" s="21">
        <v>45773</v>
      </c>
      <c r="CV312" s="21">
        <v>45581</v>
      </c>
      <c r="CW312" s="21">
        <v>45581</v>
      </c>
      <c r="CX312" s="21">
        <v>45773</v>
      </c>
      <c r="CY312" s="21">
        <v>45733</v>
      </c>
      <c r="CZ312" s="21">
        <v>45743</v>
      </c>
      <c r="DA312" s="21">
        <v>45726</v>
      </c>
      <c r="DB312" s="21">
        <v>45581</v>
      </c>
      <c r="DC312" s="21">
        <v>45846</v>
      </c>
      <c r="DD312" s="8">
        <v>1</v>
      </c>
      <c r="DE312" s="8">
        <v>0</v>
      </c>
      <c r="DF312" s="8">
        <v>0</v>
      </c>
      <c r="DG312" s="8">
        <v>9</v>
      </c>
      <c r="DH312" s="8">
        <v>0</v>
      </c>
      <c r="DI312" s="8">
        <v>0</v>
      </c>
      <c r="DJ312" s="8" t="s">
        <v>2954</v>
      </c>
      <c r="DK312" s="21">
        <v>45043</v>
      </c>
      <c r="DL312" s="21">
        <v>44984.229166666664</v>
      </c>
      <c r="DM312" s="21">
        <v>45633</v>
      </c>
      <c r="DN312" s="18">
        <v>1833</v>
      </c>
      <c r="DO312" s="21">
        <v>0</v>
      </c>
      <c r="DP312" s="21">
        <v>0</v>
      </c>
      <c r="DQ312" s="21" t="s">
        <v>2955</v>
      </c>
      <c r="DR312" s="21">
        <v>45633</v>
      </c>
      <c r="DS312" s="21">
        <v>45402</v>
      </c>
      <c r="DT312" s="21">
        <v>45402</v>
      </c>
      <c r="DU312" s="21">
        <v>45633</v>
      </c>
      <c r="DV312" s="21">
        <v>0</v>
      </c>
      <c r="DW312" s="21">
        <v>45474</v>
      </c>
      <c r="DX312" s="21">
        <v>0</v>
      </c>
      <c r="DY312" s="21">
        <v>45402</v>
      </c>
      <c r="DZ312" s="21">
        <v>0</v>
      </c>
      <c r="EA312" s="8">
        <v>700</v>
      </c>
      <c r="EB312" s="8">
        <v>200</v>
      </c>
      <c r="EC312" s="8">
        <v>200</v>
      </c>
      <c r="ED312" s="8">
        <v>700</v>
      </c>
      <c r="EE312" s="8">
        <v>500</v>
      </c>
      <c r="EF312" s="8">
        <v>1327</v>
      </c>
      <c r="EG312" s="8">
        <v>1000</v>
      </c>
      <c r="EH312" s="8">
        <v>1327</v>
      </c>
      <c r="EI312" s="8">
        <v>1327</v>
      </c>
      <c r="EJ312" s="8">
        <v>5</v>
      </c>
      <c r="EK312" s="8" t="s">
        <v>157</v>
      </c>
      <c r="EL312" s="8">
        <v>480</v>
      </c>
      <c r="EM312" s="8">
        <v>2400</v>
      </c>
      <c r="EN312" s="8">
        <v>412</v>
      </c>
      <c r="EO312" s="8">
        <v>-88</v>
      </c>
      <c r="EP312" s="8">
        <v>-88</v>
      </c>
      <c r="EQ312" s="8">
        <v>412</v>
      </c>
      <c r="ER312" s="8">
        <v>212</v>
      </c>
      <c r="ES312" s="8">
        <v>1039</v>
      </c>
      <c r="ET312" s="8">
        <v>712</v>
      </c>
      <c r="EU312" s="8">
        <v>1039</v>
      </c>
      <c r="EV312" s="8">
        <v>1039</v>
      </c>
    </row>
    <row r="313" spans="1:152" x14ac:dyDescent="0.15">
      <c r="A313" s="8">
        <f>ROW([2]!tbl_DPSAC[[#This Row],[Sl. No.]])-1</f>
        <v>312</v>
      </c>
      <c r="B313" s="9" t="s">
        <v>136</v>
      </c>
      <c r="C313" s="9" t="s">
        <v>1664</v>
      </c>
      <c r="D313" s="9" t="s">
        <v>262</v>
      </c>
      <c r="E313" s="9" t="s">
        <v>176</v>
      </c>
      <c r="F313" s="9" t="s">
        <v>161</v>
      </c>
      <c r="G313" s="10" t="s">
        <v>1665</v>
      </c>
      <c r="H313" s="10" t="str">
        <f>_xlfn.XLOOKUP(C313,'[1]E&amp;DPSAC'!$K:$K,'[1]E&amp;DPSAC'!$E:$E,,0)</f>
        <v>BARHI</v>
      </c>
      <c r="I313" s="10"/>
      <c r="J313" s="10">
        <v>7903957272</v>
      </c>
      <c r="K313" s="10">
        <f>_xlfn.XLOOKUP(C313,'[1]E&amp;DPSAC'!$K:$K,'[1]E&amp;DPSAC'!$G:$G,"",0)</f>
        <v>7903957272</v>
      </c>
      <c r="L313" s="9" t="str">
        <f t="shared" ca="1" si="16"/>
        <v>Non - Warranty</v>
      </c>
      <c r="M313" s="11">
        <v>45078</v>
      </c>
      <c r="N313" s="12">
        <v>24</v>
      </c>
      <c r="O313" s="11">
        <f t="shared" si="20"/>
        <v>45808</v>
      </c>
      <c r="P313" s="8" t="s">
        <v>142</v>
      </c>
      <c r="Q313" s="16" t="s">
        <v>1668</v>
      </c>
      <c r="R313" s="15">
        <v>45173.530810185199</v>
      </c>
      <c r="S313" s="14">
        <v>681</v>
      </c>
      <c r="T313" s="15">
        <v>45380</v>
      </c>
      <c r="U313" s="14">
        <v>2102</v>
      </c>
      <c r="V313" s="14">
        <v>1880</v>
      </c>
      <c r="W313" s="17">
        <v>45966.634722222225</v>
      </c>
      <c r="X313" s="14" t="s">
        <v>2822</v>
      </c>
      <c r="Y313" s="14">
        <v>-449</v>
      </c>
      <c r="Z313" s="14" t="s">
        <v>2697</v>
      </c>
      <c r="AA313" s="18">
        <v>939.46918981480121</v>
      </c>
      <c r="AB313" s="18" t="s">
        <v>2697</v>
      </c>
      <c r="AC313" s="8">
        <f>tbl_DPSAC[[#This Row],[Current Month Due Count]]</f>
        <v>0</v>
      </c>
      <c r="AD313" s="8">
        <f>tbl_DPSAC[[#This Row],[Next Month Due2]]</f>
        <v>0</v>
      </c>
      <c r="AE313" s="8"/>
      <c r="AF313" s="8">
        <v>1</v>
      </c>
      <c r="AG313" s="14">
        <f t="shared" ca="1" si="19"/>
        <v>2026</v>
      </c>
      <c r="AH313" s="8" t="s">
        <v>1666</v>
      </c>
      <c r="AI313" s="8" t="s">
        <v>1667</v>
      </c>
      <c r="AJ313" s="8">
        <v>0</v>
      </c>
      <c r="AK313" s="8">
        <v>0</v>
      </c>
      <c r="AL313" s="8">
        <v>0</v>
      </c>
      <c r="AM313" s="8">
        <v>0</v>
      </c>
      <c r="AN313" s="8">
        <v>0</v>
      </c>
      <c r="AO313" s="8">
        <v>0</v>
      </c>
      <c r="AP313" s="8">
        <v>0</v>
      </c>
      <c r="AQ313" s="8">
        <v>0</v>
      </c>
      <c r="AR313" s="8">
        <v>0</v>
      </c>
      <c r="AS313" s="8">
        <v>0</v>
      </c>
      <c r="AT313" s="8">
        <v>0</v>
      </c>
      <c r="AU313" s="8">
        <v>0</v>
      </c>
      <c r="AV313" s="8">
        <v>0</v>
      </c>
      <c r="AW313" s="8">
        <v>0</v>
      </c>
      <c r="AX313" s="8" t="s">
        <v>2961</v>
      </c>
      <c r="AY313" s="14">
        <v>681</v>
      </c>
      <c r="AZ313" s="19">
        <v>45173</v>
      </c>
      <c r="BA313" s="14" t="s">
        <v>1668</v>
      </c>
      <c r="BB313" s="14">
        <v>1</v>
      </c>
      <c r="BC313" s="19">
        <v>45078</v>
      </c>
      <c r="BD313" s="14" t="s">
        <v>1669</v>
      </c>
      <c r="BE313" s="14">
        <v>681</v>
      </c>
      <c r="BF313" s="19">
        <v>45173</v>
      </c>
      <c r="BG313" s="14" t="s">
        <v>1668</v>
      </c>
      <c r="BH313" s="14">
        <v>681</v>
      </c>
      <c r="BI313" s="19">
        <v>45173</v>
      </c>
      <c r="BJ313" s="14" t="s">
        <v>1668</v>
      </c>
      <c r="BK313" s="14">
        <v>1</v>
      </c>
      <c r="BL313" s="19">
        <v>45078</v>
      </c>
      <c r="BM313" s="14" t="s">
        <v>1669</v>
      </c>
      <c r="BN313" s="27">
        <v>45353</v>
      </c>
      <c r="BO313" s="27">
        <v>45258</v>
      </c>
      <c r="BP313" s="27">
        <v>45353</v>
      </c>
      <c r="BQ313" s="27">
        <v>45353</v>
      </c>
      <c r="BR313" s="27">
        <v>45443</v>
      </c>
      <c r="BS313" s="28">
        <v>-595</v>
      </c>
      <c r="BT313" s="29">
        <v>-525</v>
      </c>
      <c r="BU313" s="29">
        <v>-595</v>
      </c>
      <c r="BV313" s="29">
        <v>-595</v>
      </c>
      <c r="BW313" s="29">
        <v>-525</v>
      </c>
      <c r="BX313" s="30"/>
      <c r="BY313" s="8">
        <v>5</v>
      </c>
      <c r="BZ313" s="8">
        <v>0</v>
      </c>
      <c r="CA313" s="8">
        <v>0</v>
      </c>
      <c r="CB313" s="21">
        <v>45172.770833333299</v>
      </c>
      <c r="CC313" s="21">
        <v>45172.770833333299</v>
      </c>
      <c r="CD313" s="21">
        <v>45172.770833333299</v>
      </c>
      <c r="CE313" s="21">
        <v>45172.770833333299</v>
      </c>
      <c r="CF313" s="21">
        <v>45172.770833333299</v>
      </c>
      <c r="CG313" s="21">
        <v>0</v>
      </c>
      <c r="CH313" s="21">
        <v>0</v>
      </c>
      <c r="CI313" s="21">
        <v>0</v>
      </c>
      <c r="CJ313" s="21">
        <v>0</v>
      </c>
      <c r="CK313" s="22" t="s">
        <v>3104</v>
      </c>
      <c r="CL313" s="22" t="s">
        <v>3104</v>
      </c>
      <c r="CM313" s="22" t="s">
        <v>3104</v>
      </c>
      <c r="CN313" s="22" t="s">
        <v>3104</v>
      </c>
      <c r="CO313" s="22" t="s">
        <v>3104</v>
      </c>
      <c r="CP313" s="22" t="s">
        <v>3065</v>
      </c>
      <c r="CQ313" s="22" t="s">
        <v>2953</v>
      </c>
      <c r="CR313" s="22" t="s">
        <v>3065</v>
      </c>
      <c r="CS313" s="22" t="s">
        <v>3065</v>
      </c>
      <c r="CT313" s="22">
        <v>1</v>
      </c>
      <c r="CU313" s="21">
        <v>45352</v>
      </c>
      <c r="CV313" s="21">
        <v>45352</v>
      </c>
      <c r="CW313" s="21">
        <v>45352</v>
      </c>
      <c r="CX313" s="21">
        <v>45352</v>
      </c>
      <c r="CY313" s="21">
        <v>45352</v>
      </c>
      <c r="CZ313" s="21">
        <v>46202</v>
      </c>
      <c r="DA313" s="21">
        <v>46059</v>
      </c>
      <c r="DB313" s="21">
        <v>46112</v>
      </c>
      <c r="DC313" s="21">
        <v>46161</v>
      </c>
      <c r="DD313" s="8">
        <v>1</v>
      </c>
      <c r="DE313" s="8">
        <v>1</v>
      </c>
      <c r="DF313" s="8">
        <v>1</v>
      </c>
      <c r="DG313" s="8">
        <v>7</v>
      </c>
      <c r="DH313" s="8">
        <v>0</v>
      </c>
      <c r="DI313" s="8">
        <v>1</v>
      </c>
      <c r="DJ313" s="8" t="s">
        <v>2954</v>
      </c>
      <c r="DK313" s="21">
        <v>45078</v>
      </c>
      <c r="DL313" s="21">
        <v>45064.229166666664</v>
      </c>
      <c r="DM313" s="21">
        <v>45966</v>
      </c>
      <c r="DN313" s="18">
        <v>1880</v>
      </c>
      <c r="DO313" s="21">
        <v>0</v>
      </c>
      <c r="DP313" s="21">
        <v>0</v>
      </c>
      <c r="DQ313" s="21" t="s">
        <v>2955</v>
      </c>
      <c r="DR313" s="21">
        <v>45173</v>
      </c>
      <c r="DS313" s="21">
        <v>45173</v>
      </c>
      <c r="DT313" s="21">
        <v>45173</v>
      </c>
      <c r="DU313" s="21">
        <v>45173</v>
      </c>
      <c r="DV313" s="21">
        <v>45173</v>
      </c>
      <c r="DW313" s="21">
        <v>0</v>
      </c>
      <c r="DX313" s="21">
        <v>0</v>
      </c>
      <c r="DY313" s="21">
        <v>0</v>
      </c>
      <c r="DZ313" s="21">
        <v>0</v>
      </c>
      <c r="EA313" s="8">
        <v>120</v>
      </c>
      <c r="EB313" s="8">
        <v>120</v>
      </c>
      <c r="EC313" s="8">
        <v>120</v>
      </c>
      <c r="ED313" s="8">
        <v>120</v>
      </c>
      <c r="EE313" s="8">
        <v>120</v>
      </c>
      <c r="EF313" s="8">
        <v>1120</v>
      </c>
      <c r="EG313" s="8">
        <v>1000</v>
      </c>
      <c r="EH313" s="8">
        <v>1120</v>
      </c>
      <c r="EI313" s="8">
        <v>1120</v>
      </c>
      <c r="EJ313" s="8">
        <v>1</v>
      </c>
      <c r="EK313" s="8" t="s">
        <v>2624</v>
      </c>
      <c r="EL313" s="8">
        <v>146</v>
      </c>
      <c r="EM313" s="8">
        <v>146</v>
      </c>
      <c r="EN313" s="8">
        <v>-168</v>
      </c>
      <c r="EO313" s="8">
        <v>-168</v>
      </c>
      <c r="EP313" s="8">
        <v>-168</v>
      </c>
      <c r="EQ313" s="8">
        <v>-168</v>
      </c>
      <c r="ER313" s="8">
        <v>-168</v>
      </c>
      <c r="ES313" s="8">
        <v>832</v>
      </c>
      <c r="ET313" s="8">
        <v>712</v>
      </c>
      <c r="EU313" s="8">
        <v>832</v>
      </c>
      <c r="EV313" s="8">
        <v>832</v>
      </c>
    </row>
    <row r="314" spans="1:152" x14ac:dyDescent="0.15">
      <c r="A314" s="8">
        <f>ROW([2]!tbl_DPSAC[[#This Row],[Sl. No.]])-1</f>
        <v>313</v>
      </c>
      <c r="B314" s="9" t="s">
        <v>136</v>
      </c>
      <c r="C314" s="9" t="s">
        <v>1670</v>
      </c>
      <c r="D314" s="9" t="s">
        <v>262</v>
      </c>
      <c r="E314" s="9" t="s">
        <v>176</v>
      </c>
      <c r="F314" s="9" t="s">
        <v>161</v>
      </c>
      <c r="G314" s="10" t="s">
        <v>1671</v>
      </c>
      <c r="H314" s="10" t="str">
        <f>_xlfn.XLOOKUP(C314,'[1]E&amp;DPSAC'!$K:$K,'[1]E&amp;DPSAC'!$E:$E,,0)</f>
        <v>BASIA, GUMLA</v>
      </c>
      <c r="I314" s="10"/>
      <c r="J314" s="10">
        <v>9905185143</v>
      </c>
      <c r="K314" s="10">
        <f>_xlfn.XLOOKUP(C314,'[1]E&amp;DPSAC'!$K:$K,'[1]E&amp;DPSAC'!$G:$G,"",0)</f>
        <v>8294138415</v>
      </c>
      <c r="L314" s="9" t="str">
        <f t="shared" ca="1" si="16"/>
        <v>Non - Warranty</v>
      </c>
      <c r="M314" s="11">
        <v>45084</v>
      </c>
      <c r="N314" s="12">
        <v>24</v>
      </c>
      <c r="O314" s="11">
        <f t="shared" si="20"/>
        <v>45838</v>
      </c>
      <c r="P314" s="8" t="s">
        <v>142</v>
      </c>
      <c r="Q314" s="16" t="s">
        <v>1674</v>
      </c>
      <c r="R314" s="15">
        <v>45380.507233796299</v>
      </c>
      <c r="S314" s="14">
        <v>590</v>
      </c>
      <c r="T314" s="15">
        <v>45395</v>
      </c>
      <c r="U314" s="14">
        <v>881</v>
      </c>
      <c r="V314" s="14">
        <v>1650</v>
      </c>
      <c r="W314" s="17">
        <v>45941.513888888891</v>
      </c>
      <c r="X314" s="14" t="s">
        <v>2823</v>
      </c>
      <c r="Y314" s="14">
        <v>-310</v>
      </c>
      <c r="Z314" s="14" t="s">
        <v>2697</v>
      </c>
      <c r="AA314" s="18">
        <v>732.49276620370074</v>
      </c>
      <c r="AB314" s="18" t="s">
        <v>2697</v>
      </c>
      <c r="AC314" s="8">
        <f>tbl_DPSAC[[#This Row],[Current Month Due Count]]</f>
        <v>0</v>
      </c>
      <c r="AD314" s="8">
        <f>tbl_DPSAC[[#This Row],[Next Month Due2]]</f>
        <v>0</v>
      </c>
      <c r="AE314" s="8"/>
      <c r="AF314" s="8">
        <v>0</v>
      </c>
      <c r="AG314" s="14">
        <f t="shared" ca="1" si="19"/>
        <v>1650</v>
      </c>
      <c r="AH314" s="8" t="s">
        <v>1672</v>
      </c>
      <c r="AI314" s="8" t="s">
        <v>1673</v>
      </c>
      <c r="AJ314" s="8">
        <v>0</v>
      </c>
      <c r="AK314" s="8">
        <v>0</v>
      </c>
      <c r="AL314" s="8">
        <v>0</v>
      </c>
      <c r="AM314" s="8">
        <v>0</v>
      </c>
      <c r="AN314" s="8">
        <v>0</v>
      </c>
      <c r="AO314" s="8">
        <v>0</v>
      </c>
      <c r="AP314" s="8">
        <v>0</v>
      </c>
      <c r="AQ314" s="8">
        <v>0</v>
      </c>
      <c r="AR314" s="8">
        <v>0</v>
      </c>
      <c r="AS314" s="8">
        <v>0</v>
      </c>
      <c r="AT314" s="8">
        <v>0</v>
      </c>
      <c r="AU314" s="8">
        <v>0</v>
      </c>
      <c r="AV314" s="8">
        <v>0</v>
      </c>
      <c r="AW314" s="8">
        <v>0</v>
      </c>
      <c r="AX314" s="8" t="s">
        <v>2961</v>
      </c>
      <c r="AY314" s="14">
        <v>590</v>
      </c>
      <c r="AZ314" s="19">
        <v>45380</v>
      </c>
      <c r="BA314" s="14" t="s">
        <v>1674</v>
      </c>
      <c r="BB314" s="14">
        <v>1</v>
      </c>
      <c r="BC314" s="19">
        <v>45084</v>
      </c>
      <c r="BD314" s="14" t="s">
        <v>1675</v>
      </c>
      <c r="BE314" s="14">
        <v>590</v>
      </c>
      <c r="BF314" s="19">
        <v>45380</v>
      </c>
      <c r="BG314" s="14" t="s">
        <v>1674</v>
      </c>
      <c r="BH314" s="14">
        <v>590</v>
      </c>
      <c r="BI314" s="19">
        <v>45380</v>
      </c>
      <c r="BJ314" s="14" t="s">
        <v>1674</v>
      </c>
      <c r="BK314" s="14">
        <v>1</v>
      </c>
      <c r="BL314" s="19">
        <v>45084</v>
      </c>
      <c r="BM314" s="14" t="s">
        <v>1675</v>
      </c>
      <c r="BN314" s="27">
        <v>45560</v>
      </c>
      <c r="BO314" s="27">
        <v>45264</v>
      </c>
      <c r="BP314" s="27">
        <v>45560</v>
      </c>
      <c r="BQ314" s="27">
        <v>45560</v>
      </c>
      <c r="BR314" s="27">
        <v>45449</v>
      </c>
      <c r="BS314" s="28">
        <v>-310</v>
      </c>
      <c r="BT314" s="29">
        <v>-149</v>
      </c>
      <c r="BU314" s="29">
        <v>-310</v>
      </c>
      <c r="BV314" s="29">
        <v>-310</v>
      </c>
      <c r="BW314" s="29">
        <v>-149</v>
      </c>
      <c r="BX314" s="30" t="s">
        <v>1676</v>
      </c>
      <c r="BY314" s="8">
        <v>5</v>
      </c>
      <c r="BZ314" s="8">
        <v>0</v>
      </c>
      <c r="CA314" s="8">
        <v>0</v>
      </c>
      <c r="CB314" s="21">
        <v>45379.770833333299</v>
      </c>
      <c r="CC314" s="21">
        <v>45379.770833333299</v>
      </c>
      <c r="CD314" s="21">
        <v>45379.770833333299</v>
      </c>
      <c r="CE314" s="21">
        <v>45379.770833333299</v>
      </c>
      <c r="CF314" s="21">
        <v>45379.770833333299</v>
      </c>
      <c r="CG314" s="21">
        <v>0</v>
      </c>
      <c r="CH314" s="21">
        <v>0</v>
      </c>
      <c r="CI314" s="21">
        <v>0</v>
      </c>
      <c r="CJ314" s="21">
        <v>0</v>
      </c>
      <c r="CK314" s="22" t="s">
        <v>3151</v>
      </c>
      <c r="CL314" s="22" t="s">
        <v>3151</v>
      </c>
      <c r="CM314" s="22" t="s">
        <v>3151</v>
      </c>
      <c r="CN314" s="22" t="s">
        <v>3151</v>
      </c>
      <c r="CO314" s="22" t="s">
        <v>3151</v>
      </c>
      <c r="CP314" s="22" t="s">
        <v>3011</v>
      </c>
      <c r="CQ314" s="22" t="s">
        <v>2953</v>
      </c>
      <c r="CR314" s="22" t="s">
        <v>3011</v>
      </c>
      <c r="CS314" s="22" t="s">
        <v>3011</v>
      </c>
      <c r="CT314" s="22">
        <v>0</v>
      </c>
      <c r="CU314" s="21">
        <v>0</v>
      </c>
      <c r="CV314" s="21">
        <v>0</v>
      </c>
      <c r="CW314" s="21">
        <v>0</v>
      </c>
      <c r="CX314" s="21">
        <v>0</v>
      </c>
      <c r="CY314" s="21">
        <v>0</v>
      </c>
      <c r="CZ314" s="21">
        <v>0</v>
      </c>
      <c r="DA314" s="21">
        <v>0</v>
      </c>
      <c r="DB314" s="21">
        <v>0</v>
      </c>
      <c r="DC314" s="21">
        <v>0</v>
      </c>
      <c r="DD314" s="8">
        <v>0</v>
      </c>
      <c r="DE314" s="8">
        <v>0</v>
      </c>
      <c r="DF314" s="8">
        <v>0</v>
      </c>
      <c r="DG314" s="8">
        <v>9</v>
      </c>
      <c r="DH314" s="8">
        <v>0</v>
      </c>
      <c r="DI314" s="8">
        <v>0</v>
      </c>
      <c r="DJ314" s="8" t="s">
        <v>2954</v>
      </c>
      <c r="DK314" s="21">
        <v>45084</v>
      </c>
      <c r="DL314" s="21">
        <v>44957.229166666664</v>
      </c>
      <c r="DM314" s="21">
        <v>45941</v>
      </c>
      <c r="DN314" s="18">
        <v>1650</v>
      </c>
      <c r="DO314" s="21">
        <v>0</v>
      </c>
      <c r="DP314" s="21">
        <v>0</v>
      </c>
      <c r="DQ314" s="21" t="s">
        <v>2955</v>
      </c>
      <c r="DR314" s="21">
        <v>45380</v>
      </c>
      <c r="DS314" s="21">
        <v>45380</v>
      </c>
      <c r="DT314" s="21">
        <v>45380</v>
      </c>
      <c r="DU314" s="21">
        <v>45380</v>
      </c>
      <c r="DV314" s="21">
        <v>45380</v>
      </c>
      <c r="DW314" s="21">
        <v>0</v>
      </c>
      <c r="DX314" s="21">
        <v>0</v>
      </c>
      <c r="DY314" s="21">
        <v>0</v>
      </c>
      <c r="DZ314" s="21">
        <v>0</v>
      </c>
      <c r="EA314" s="8">
        <v>310</v>
      </c>
      <c r="EB314" s="8">
        <v>310</v>
      </c>
      <c r="EC314" s="8">
        <v>310</v>
      </c>
      <c r="ED314" s="8">
        <v>310</v>
      </c>
      <c r="EE314" s="8">
        <v>310</v>
      </c>
      <c r="EF314" s="8">
        <v>150</v>
      </c>
      <c r="EG314" s="8">
        <v>1000</v>
      </c>
      <c r="EH314" s="8">
        <v>150</v>
      </c>
      <c r="EI314" s="8">
        <v>150</v>
      </c>
      <c r="EJ314" s="8">
        <v>0</v>
      </c>
      <c r="EK314" s="8" t="s">
        <v>2624</v>
      </c>
      <c r="EL314" s="8">
        <v>171</v>
      </c>
      <c r="EM314" s="8">
        <v>0</v>
      </c>
      <c r="EN314" s="8">
        <v>22</v>
      </c>
      <c r="EO314" s="8">
        <v>22</v>
      </c>
      <c r="EP314" s="8">
        <v>22</v>
      </c>
      <c r="EQ314" s="8">
        <v>22</v>
      </c>
      <c r="ER314" s="8">
        <v>22</v>
      </c>
      <c r="ES314" s="8">
        <v>-138</v>
      </c>
      <c r="ET314" s="8">
        <v>712</v>
      </c>
      <c r="EU314" s="8">
        <v>-138</v>
      </c>
      <c r="EV314" s="8">
        <v>-138</v>
      </c>
    </row>
    <row r="315" spans="1:152" x14ac:dyDescent="0.15">
      <c r="A315" s="8">
        <f>ROW([2]!tbl_DPSAC[[#This Row],[Sl. No.]])-1</f>
        <v>314</v>
      </c>
      <c r="B315" s="9" t="s">
        <v>136</v>
      </c>
      <c r="C315" s="9" t="s">
        <v>1677</v>
      </c>
      <c r="D315" s="9" t="s">
        <v>262</v>
      </c>
      <c r="E315" s="9" t="s">
        <v>176</v>
      </c>
      <c r="F315" s="9" t="s">
        <v>161</v>
      </c>
      <c r="G315" s="10" t="s">
        <v>1678</v>
      </c>
      <c r="H315" s="10" t="str">
        <f>_xlfn.XLOOKUP(C315,'[1]E&amp;DPSAC'!$K:$K,'[1]E&amp;DPSAC'!$E:$E,,0)</f>
        <v>PETARWAR</v>
      </c>
      <c r="I315" s="10"/>
      <c r="J315" s="10">
        <v>9828761045</v>
      </c>
      <c r="K315" s="10">
        <f>_xlfn.XLOOKUP(C315,'[1]E&amp;DPSAC'!$K:$K,'[1]E&amp;DPSAC'!$G:$G,"",0)</f>
        <v>6261095190</v>
      </c>
      <c r="L315" s="9" t="str">
        <f t="shared" ca="1" si="16"/>
        <v>Non - Warranty</v>
      </c>
      <c r="M315" s="11">
        <v>45087</v>
      </c>
      <c r="N315" s="12">
        <v>24</v>
      </c>
      <c r="O315" s="11">
        <f t="shared" si="20"/>
        <v>45838</v>
      </c>
      <c r="P315" s="8" t="s">
        <v>142</v>
      </c>
      <c r="Q315" s="16" t="s">
        <v>1680</v>
      </c>
      <c r="R315" s="15">
        <v>45380.367037037002</v>
      </c>
      <c r="S315" s="14">
        <v>1086</v>
      </c>
      <c r="T315" s="15">
        <v>45381</v>
      </c>
      <c r="U315" s="14">
        <v>1086</v>
      </c>
      <c r="V315" s="14">
        <v>1632</v>
      </c>
      <c r="W315" s="17">
        <v>45941.518750000003</v>
      </c>
      <c r="X315" s="14" t="s">
        <v>2722</v>
      </c>
      <c r="Y315" s="14">
        <v>204</v>
      </c>
      <c r="Z315" s="14" t="s">
        <v>2692</v>
      </c>
      <c r="AA315" s="18">
        <v>732.63296296299814</v>
      </c>
      <c r="AB315" s="18" t="s">
        <v>2697</v>
      </c>
      <c r="AC315" s="8">
        <f>tbl_DPSAC[[#This Row],[Current Month Due Count]]</f>
        <v>0</v>
      </c>
      <c r="AD315" s="8">
        <f>tbl_DPSAC[[#This Row],[Next Month Due2]]</f>
        <v>0</v>
      </c>
      <c r="AE315" s="8"/>
      <c r="AF315" s="8">
        <v>0</v>
      </c>
      <c r="AG315" s="14">
        <f t="shared" ca="1" si="19"/>
        <v>1632</v>
      </c>
      <c r="AH315" s="8">
        <v>0</v>
      </c>
      <c r="AI315" s="8">
        <v>0</v>
      </c>
      <c r="AJ315" s="8" t="s">
        <v>1679</v>
      </c>
      <c r="AK315" s="8">
        <v>0</v>
      </c>
      <c r="AL315" s="8">
        <v>0</v>
      </c>
      <c r="AM315" s="8">
        <v>0</v>
      </c>
      <c r="AN315" s="8">
        <v>0</v>
      </c>
      <c r="AO315" s="8">
        <v>0</v>
      </c>
      <c r="AP315" s="8">
        <v>0</v>
      </c>
      <c r="AQ315" s="8">
        <v>0</v>
      </c>
      <c r="AR315" s="8">
        <v>0</v>
      </c>
      <c r="AS315" s="8">
        <v>0</v>
      </c>
      <c r="AT315" s="8">
        <v>0</v>
      </c>
      <c r="AU315" s="8">
        <v>0</v>
      </c>
      <c r="AV315" s="8">
        <v>0</v>
      </c>
      <c r="AW315" s="8">
        <v>0</v>
      </c>
      <c r="AX315" s="8" t="s">
        <v>3033</v>
      </c>
      <c r="AY315" s="14">
        <v>1086</v>
      </c>
      <c r="AZ315" s="19">
        <v>45380</v>
      </c>
      <c r="BA315" s="14" t="s">
        <v>1680</v>
      </c>
      <c r="BB315" s="14">
        <v>1</v>
      </c>
      <c r="BC315" s="19">
        <v>45087</v>
      </c>
      <c r="BD315" s="14" t="s">
        <v>1681</v>
      </c>
      <c r="BE315" s="14">
        <v>1086</v>
      </c>
      <c r="BF315" s="19">
        <v>45380</v>
      </c>
      <c r="BG315" s="14" t="s">
        <v>1680</v>
      </c>
      <c r="BH315" s="14">
        <v>1086</v>
      </c>
      <c r="BI315" s="19">
        <v>45380</v>
      </c>
      <c r="BJ315" s="14" t="s">
        <v>1680</v>
      </c>
      <c r="BK315" s="14">
        <v>1</v>
      </c>
      <c r="BL315" s="19">
        <v>45087</v>
      </c>
      <c r="BM315" s="14" t="s">
        <v>1681</v>
      </c>
      <c r="BN315" s="27">
        <v>45560</v>
      </c>
      <c r="BO315" s="27">
        <v>45267</v>
      </c>
      <c r="BP315" s="27">
        <v>45560</v>
      </c>
      <c r="BQ315" s="27">
        <v>45560</v>
      </c>
      <c r="BR315" s="27">
        <v>45452</v>
      </c>
      <c r="BS315" s="28">
        <v>204</v>
      </c>
      <c r="BT315" s="29">
        <v>-131</v>
      </c>
      <c r="BU315" s="29">
        <v>204</v>
      </c>
      <c r="BV315" s="29">
        <v>204</v>
      </c>
      <c r="BW315" s="29">
        <v>-131</v>
      </c>
      <c r="BX315" s="30"/>
      <c r="BY315" s="8">
        <v>5</v>
      </c>
      <c r="BZ315" s="8">
        <v>0</v>
      </c>
      <c r="CA315" s="8">
        <v>0</v>
      </c>
      <c r="CB315" s="21">
        <v>45380.770833333299</v>
      </c>
      <c r="CC315" s="21">
        <v>45380.770833333299</v>
      </c>
      <c r="CD315" s="21">
        <v>45380.770833333299</v>
      </c>
      <c r="CE315" s="21">
        <v>45380.770833333299</v>
      </c>
      <c r="CF315" s="21">
        <v>45380.770833333299</v>
      </c>
      <c r="CG315" s="21">
        <v>45086.770833333299</v>
      </c>
      <c r="CH315" s="21">
        <v>45086.770833333299</v>
      </c>
      <c r="CI315" s="21">
        <v>45086.770833333299</v>
      </c>
      <c r="CJ315" s="21">
        <v>45086.770833333299</v>
      </c>
      <c r="CK315" s="22" t="s">
        <v>3152</v>
      </c>
      <c r="CL315" s="22" t="s">
        <v>3152</v>
      </c>
      <c r="CM315" s="22" t="s">
        <v>3152</v>
      </c>
      <c r="CN315" s="22" t="s">
        <v>3152</v>
      </c>
      <c r="CO315" s="22" t="s">
        <v>3152</v>
      </c>
      <c r="CP315" s="22" t="s">
        <v>3152</v>
      </c>
      <c r="CQ315" s="22" t="s">
        <v>2953</v>
      </c>
      <c r="CR315" s="22" t="s">
        <v>3152</v>
      </c>
      <c r="CS315" s="22" t="s">
        <v>3152</v>
      </c>
      <c r="CT315" s="22">
        <v>0</v>
      </c>
      <c r="CU315" s="21">
        <v>0</v>
      </c>
      <c r="CV315" s="21">
        <v>0</v>
      </c>
      <c r="CW315" s="21">
        <v>0</v>
      </c>
      <c r="CX315" s="21">
        <v>0</v>
      </c>
      <c r="CY315" s="21">
        <v>0</v>
      </c>
      <c r="CZ315" s="21">
        <v>0</v>
      </c>
      <c r="DA315" s="21">
        <v>0</v>
      </c>
      <c r="DB315" s="21">
        <v>0</v>
      </c>
      <c r="DC315" s="21">
        <v>0</v>
      </c>
      <c r="DD315" s="8">
        <v>0</v>
      </c>
      <c r="DE315" s="8">
        <v>0</v>
      </c>
      <c r="DF315" s="8">
        <v>0</v>
      </c>
      <c r="DG315" s="8">
        <v>9</v>
      </c>
      <c r="DH315" s="8">
        <v>0</v>
      </c>
      <c r="DI315" s="8">
        <v>0</v>
      </c>
      <c r="DJ315" s="8" t="s">
        <v>2954</v>
      </c>
      <c r="DK315" s="21">
        <v>45087</v>
      </c>
      <c r="DL315" s="21">
        <v>45078.229166666664</v>
      </c>
      <c r="DM315" s="21">
        <v>45941</v>
      </c>
      <c r="DN315" s="18">
        <v>1632</v>
      </c>
      <c r="DO315" s="21">
        <v>0</v>
      </c>
      <c r="DP315" s="21">
        <v>0</v>
      </c>
      <c r="DQ315" s="21" t="s">
        <v>2955</v>
      </c>
      <c r="DR315" s="21">
        <v>45381</v>
      </c>
      <c r="DS315" s="21">
        <v>45381</v>
      </c>
      <c r="DT315" s="21">
        <v>45381</v>
      </c>
      <c r="DU315" s="21">
        <v>45381</v>
      </c>
      <c r="DV315" s="21">
        <v>45381</v>
      </c>
      <c r="DW315" s="21">
        <v>45087</v>
      </c>
      <c r="DX315" s="21">
        <v>45087</v>
      </c>
      <c r="DY315" s="21">
        <v>45087</v>
      </c>
      <c r="DZ315" s="21">
        <v>45087</v>
      </c>
      <c r="EA315" s="8">
        <v>204</v>
      </c>
      <c r="EB315" s="8">
        <v>204</v>
      </c>
      <c r="EC315" s="8">
        <v>204</v>
      </c>
      <c r="ED315" s="8">
        <v>204</v>
      </c>
      <c r="EE315" s="8">
        <v>204</v>
      </c>
      <c r="EF315" s="8">
        <v>204</v>
      </c>
      <c r="EG315" s="8">
        <v>1000</v>
      </c>
      <c r="EH315" s="8">
        <v>204</v>
      </c>
      <c r="EI315" s="8">
        <v>204</v>
      </c>
      <c r="EJ315" s="8">
        <v>0</v>
      </c>
      <c r="EK315" s="8" t="s">
        <v>2624</v>
      </c>
      <c r="EL315" s="8">
        <v>171</v>
      </c>
      <c r="EM315" s="8">
        <v>0</v>
      </c>
      <c r="EN315" s="8">
        <v>-84</v>
      </c>
      <c r="EO315" s="8">
        <v>-84</v>
      </c>
      <c r="EP315" s="8">
        <v>-84</v>
      </c>
      <c r="EQ315" s="8">
        <v>-84</v>
      </c>
      <c r="ER315" s="8">
        <v>-84</v>
      </c>
      <c r="ES315" s="8">
        <v>-84</v>
      </c>
      <c r="ET315" s="8">
        <v>712</v>
      </c>
      <c r="EU315" s="8">
        <v>-84</v>
      </c>
      <c r="EV315" s="8">
        <v>-84</v>
      </c>
    </row>
    <row r="316" spans="1:152" x14ac:dyDescent="0.15">
      <c r="A316" s="8">
        <f>ROW([2]!tbl_DPSAC[[#This Row],[Sl. No.]])-1</f>
        <v>315</v>
      </c>
      <c r="B316" s="9" t="s">
        <v>136</v>
      </c>
      <c r="C316" s="9" t="s">
        <v>1682</v>
      </c>
      <c r="D316" s="9" t="s">
        <v>1491</v>
      </c>
      <c r="E316" s="9" t="s">
        <v>1492</v>
      </c>
      <c r="F316" s="9" t="s">
        <v>161</v>
      </c>
      <c r="G316" s="10" t="s">
        <v>1683</v>
      </c>
      <c r="H316" s="10" t="str">
        <f>_xlfn.XLOOKUP(C316,'[1]E&amp;DPSAC'!$K:$K,'[1]E&amp;DPSAC'!$E:$E,,0)</f>
        <v>KATRAS, DHANBAD</v>
      </c>
      <c r="I316" s="10"/>
      <c r="J316" s="10">
        <v>6204728418</v>
      </c>
      <c r="K316" s="10">
        <f>_xlfn.XLOOKUP(C316,'[1]E&amp;DPSAC'!$K:$K,'[1]E&amp;DPSAC'!$G:$G,"",0)</f>
        <v>9386596420</v>
      </c>
      <c r="L316" s="9" t="str">
        <f t="shared" ca="1" si="16"/>
        <v>Non - Warranty</v>
      </c>
      <c r="M316" s="11">
        <v>45091</v>
      </c>
      <c r="N316" s="12">
        <v>24</v>
      </c>
      <c r="O316" s="11">
        <f t="shared" si="20"/>
        <v>45838</v>
      </c>
      <c r="P316" s="8" t="s">
        <v>142</v>
      </c>
      <c r="Q316" s="16" t="s">
        <v>1688</v>
      </c>
      <c r="R316" s="15">
        <v>45946.708495370403</v>
      </c>
      <c r="S316" s="14">
        <v>4400</v>
      </c>
      <c r="T316" s="15">
        <v>45947</v>
      </c>
      <c r="U316" s="14">
        <v>4400</v>
      </c>
      <c r="V316" s="14">
        <v>4400</v>
      </c>
      <c r="W316" s="17">
        <v>45946.708333333336</v>
      </c>
      <c r="X316" s="14" t="s">
        <v>2824</v>
      </c>
      <c r="Y316" s="14">
        <v>750</v>
      </c>
      <c r="Z316" s="14" t="s">
        <v>2692</v>
      </c>
      <c r="AA316" s="18">
        <v>166.2915046295966</v>
      </c>
      <c r="AB316" s="18" t="s">
        <v>2692</v>
      </c>
      <c r="AC316" s="8">
        <f>tbl_DPSAC[[#This Row],[Current Month Due Count]]</f>
        <v>4</v>
      </c>
      <c r="AD316" s="8">
        <f>tbl_DPSAC[[#This Row],[Next Month Due2]]</f>
        <v>0</v>
      </c>
      <c r="AE316" s="8"/>
      <c r="AF316" s="8">
        <v>2</v>
      </c>
      <c r="AG316" s="14">
        <f t="shared" ca="1" si="19"/>
        <v>4733</v>
      </c>
      <c r="AH316" s="8" t="s">
        <v>1684</v>
      </c>
      <c r="AI316" s="8" t="s">
        <v>1685</v>
      </c>
      <c r="AJ316" s="8" t="s">
        <v>1686</v>
      </c>
      <c r="AK316" s="8" t="s">
        <v>1687</v>
      </c>
      <c r="AL316" s="8">
        <v>0</v>
      </c>
      <c r="AM316" s="8">
        <v>0</v>
      </c>
      <c r="AN316" s="8">
        <v>0</v>
      </c>
      <c r="AO316" s="8">
        <v>0</v>
      </c>
      <c r="AP316" s="8">
        <v>0</v>
      </c>
      <c r="AQ316" s="8">
        <v>0</v>
      </c>
      <c r="AR316" s="8">
        <v>0</v>
      </c>
      <c r="AS316" s="8">
        <v>0</v>
      </c>
      <c r="AT316" s="8">
        <v>0</v>
      </c>
      <c r="AU316" s="8">
        <v>0</v>
      </c>
      <c r="AV316" s="8">
        <v>0</v>
      </c>
      <c r="AW316" s="8">
        <v>0</v>
      </c>
      <c r="AX316" s="8" t="s">
        <v>2007</v>
      </c>
      <c r="AY316" s="14">
        <v>4400</v>
      </c>
      <c r="AZ316" s="19">
        <v>45946</v>
      </c>
      <c r="BA316" s="14" t="s">
        <v>1688</v>
      </c>
      <c r="BB316" s="14">
        <v>4400</v>
      </c>
      <c r="BC316" s="19">
        <v>45946</v>
      </c>
      <c r="BD316" s="14" t="s">
        <v>1688</v>
      </c>
      <c r="BE316" s="14">
        <v>4400</v>
      </c>
      <c r="BF316" s="19">
        <v>45946</v>
      </c>
      <c r="BG316" s="14" t="s">
        <v>1688</v>
      </c>
      <c r="BH316" s="14">
        <v>4400</v>
      </c>
      <c r="BI316" s="19">
        <v>45946</v>
      </c>
      <c r="BJ316" s="14" t="s">
        <v>1688</v>
      </c>
      <c r="BK316" s="14">
        <v>4400</v>
      </c>
      <c r="BL316" s="19">
        <v>45946</v>
      </c>
      <c r="BM316" s="14" t="s">
        <v>1688</v>
      </c>
      <c r="BN316" s="27">
        <v>46126</v>
      </c>
      <c r="BO316" s="27">
        <v>46126</v>
      </c>
      <c r="BP316" s="27">
        <v>46126</v>
      </c>
      <c r="BQ316" s="27">
        <v>46126</v>
      </c>
      <c r="BR316" s="27">
        <v>46311</v>
      </c>
      <c r="BS316" s="28">
        <v>417</v>
      </c>
      <c r="BT316" s="29">
        <v>1167</v>
      </c>
      <c r="BU316" s="29">
        <v>417</v>
      </c>
      <c r="BV316" s="29">
        <v>417</v>
      </c>
      <c r="BW316" s="29">
        <v>1167</v>
      </c>
      <c r="BX316" s="30"/>
      <c r="BY316" s="8">
        <v>0</v>
      </c>
      <c r="BZ316" s="8">
        <v>4</v>
      </c>
      <c r="CA316" s="8">
        <v>0</v>
      </c>
      <c r="CB316" s="21">
        <v>45946.770833333299</v>
      </c>
      <c r="CC316" s="21">
        <v>45946.770833333299</v>
      </c>
      <c r="CD316" s="21">
        <v>45946.770833333299</v>
      </c>
      <c r="CE316" s="21">
        <v>45946.770833333299</v>
      </c>
      <c r="CF316" s="21">
        <v>45846.770833333299</v>
      </c>
      <c r="CG316" s="21">
        <v>45946.770833333299</v>
      </c>
      <c r="CH316" s="21">
        <v>45090.770833333299</v>
      </c>
      <c r="CI316" s="21">
        <v>45946.770833333299</v>
      </c>
      <c r="CJ316" s="21">
        <v>45734.770833333299</v>
      </c>
      <c r="CK316" s="22" t="s">
        <v>2959</v>
      </c>
      <c r="CL316" s="22" t="s">
        <v>2959</v>
      </c>
      <c r="CM316" s="22" t="s">
        <v>2959</v>
      </c>
      <c r="CN316" s="22" t="s">
        <v>2959</v>
      </c>
      <c r="CO316" s="22" t="s">
        <v>2959</v>
      </c>
      <c r="CP316" s="22" t="s">
        <v>2956</v>
      </c>
      <c r="CQ316" s="22" t="s">
        <v>2953</v>
      </c>
      <c r="CR316" s="22" t="s">
        <v>2956</v>
      </c>
      <c r="CS316" s="22" t="s">
        <v>2956</v>
      </c>
      <c r="CT316" s="22">
        <v>8</v>
      </c>
      <c r="CU316" s="21">
        <v>46009</v>
      </c>
      <c r="CV316" s="21">
        <v>46009</v>
      </c>
      <c r="CW316" s="21">
        <v>46009</v>
      </c>
      <c r="CX316" s="21">
        <v>46009</v>
      </c>
      <c r="CY316" s="21">
        <v>46009</v>
      </c>
      <c r="CZ316" s="21">
        <v>46134</v>
      </c>
      <c r="DA316" s="21">
        <v>45455</v>
      </c>
      <c r="DB316" s="21">
        <v>46126</v>
      </c>
      <c r="DC316" s="21">
        <v>46099</v>
      </c>
      <c r="DD316" s="8">
        <v>1</v>
      </c>
      <c r="DE316" s="8">
        <v>0</v>
      </c>
      <c r="DF316" s="8">
        <v>1</v>
      </c>
      <c r="DG316" s="8">
        <v>7</v>
      </c>
      <c r="DH316" s="8">
        <v>2</v>
      </c>
      <c r="DI316" s="8">
        <v>0</v>
      </c>
      <c r="DJ316" s="8" t="s">
        <v>2954</v>
      </c>
      <c r="DK316" s="21">
        <v>45091</v>
      </c>
      <c r="DL316" s="21">
        <v>45041.229166666664</v>
      </c>
      <c r="DM316" s="21">
        <v>45947</v>
      </c>
      <c r="DN316" s="18">
        <v>4400</v>
      </c>
      <c r="DO316" s="21">
        <v>0</v>
      </c>
      <c r="DP316" s="21">
        <v>0</v>
      </c>
      <c r="DQ316" s="21" t="s">
        <v>2955</v>
      </c>
      <c r="DR316" s="21">
        <v>45947</v>
      </c>
      <c r="DS316" s="21">
        <v>45947</v>
      </c>
      <c r="DT316" s="21">
        <v>45947</v>
      </c>
      <c r="DU316" s="21">
        <v>45947</v>
      </c>
      <c r="DV316" s="21">
        <v>45847</v>
      </c>
      <c r="DW316" s="21">
        <v>45947</v>
      </c>
      <c r="DX316" s="21">
        <v>45091</v>
      </c>
      <c r="DY316" s="21">
        <v>45947</v>
      </c>
      <c r="DZ316" s="21">
        <v>45735</v>
      </c>
      <c r="EA316" s="8">
        <v>500</v>
      </c>
      <c r="EB316" s="8">
        <v>500</v>
      </c>
      <c r="EC316" s="8">
        <v>500</v>
      </c>
      <c r="ED316" s="8">
        <v>500</v>
      </c>
      <c r="EE316" s="8">
        <v>500</v>
      </c>
      <c r="EF316" s="8">
        <v>1500</v>
      </c>
      <c r="EG316" s="8">
        <v>1000</v>
      </c>
      <c r="EH316" s="8">
        <v>1500</v>
      </c>
      <c r="EI316" s="8">
        <v>1500</v>
      </c>
      <c r="EJ316" s="8">
        <v>8</v>
      </c>
      <c r="EK316" s="8" t="s">
        <v>2624</v>
      </c>
      <c r="EL316" s="8">
        <v>166</v>
      </c>
      <c r="EM316" s="8">
        <v>332</v>
      </c>
      <c r="EN316" s="8">
        <v>212</v>
      </c>
      <c r="EO316" s="8">
        <v>212</v>
      </c>
      <c r="EP316" s="8">
        <v>212</v>
      </c>
      <c r="EQ316" s="8">
        <v>212</v>
      </c>
      <c r="ER316" s="8">
        <v>212</v>
      </c>
      <c r="ES316" s="8">
        <v>1212</v>
      </c>
      <c r="ET316" s="8">
        <v>712</v>
      </c>
      <c r="EU316" s="8">
        <v>1212</v>
      </c>
      <c r="EV316" s="8">
        <v>1212</v>
      </c>
    </row>
    <row r="317" spans="1:152" x14ac:dyDescent="0.15">
      <c r="A317" s="8">
        <f>ROW([2]!tbl_DPSAC[[#This Row],[Sl. No.]])-1</f>
        <v>316</v>
      </c>
      <c r="B317" s="9" t="s">
        <v>136</v>
      </c>
      <c r="C317" s="9" t="s">
        <v>1689</v>
      </c>
      <c r="D317" s="9" t="s">
        <v>1491</v>
      </c>
      <c r="E317" s="9" t="s">
        <v>1492</v>
      </c>
      <c r="F317" s="9" t="s">
        <v>161</v>
      </c>
      <c r="G317" s="10" t="s">
        <v>1690</v>
      </c>
      <c r="H317" s="10" t="str">
        <f>_xlfn.XLOOKUP(C317,'[1]E&amp;DPSAC'!$K:$K,'[1]E&amp;DPSAC'!$E:$E,,0)</f>
        <v>GOPALI CHOWK, DHANBAD</v>
      </c>
      <c r="I317" s="10"/>
      <c r="J317" s="10">
        <v>7004686026</v>
      </c>
      <c r="K317" s="10">
        <f>_xlfn.XLOOKUP(C317,'[1]E&amp;DPSAC'!$K:$K,'[1]E&amp;DPSAC'!$G:$G,"",0)</f>
        <v>7004686026</v>
      </c>
      <c r="L317" s="9" t="str">
        <f t="shared" ca="1" si="16"/>
        <v>Non - Warranty</v>
      </c>
      <c r="M317" s="11">
        <v>45091</v>
      </c>
      <c r="N317" s="12">
        <v>24</v>
      </c>
      <c r="O317" s="11">
        <f t="shared" si="20"/>
        <v>45838</v>
      </c>
      <c r="P317" s="8" t="s">
        <v>142</v>
      </c>
      <c r="Q317" s="16" t="s">
        <v>2658</v>
      </c>
      <c r="R317" s="15">
        <v>45821.632696759298</v>
      </c>
      <c r="S317" s="14">
        <v>4700</v>
      </c>
      <c r="T317" s="15">
        <v>45965</v>
      </c>
      <c r="U317" s="14">
        <v>1013</v>
      </c>
      <c r="V317" s="14">
        <v>5100</v>
      </c>
      <c r="W317" s="17">
        <v>45941.525694444441</v>
      </c>
      <c r="X317" s="14" t="s">
        <v>2825</v>
      </c>
      <c r="Y317" s="14">
        <v>350</v>
      </c>
      <c r="Z317" s="14" t="s">
        <v>2692</v>
      </c>
      <c r="AA317" s="18">
        <v>291.36730324070231</v>
      </c>
      <c r="AB317" s="18" t="s">
        <v>2697</v>
      </c>
      <c r="AC317" s="8">
        <f>tbl_DPSAC[[#This Row],[Current Month Due Count]]</f>
        <v>0</v>
      </c>
      <c r="AD317" s="8">
        <f>tbl_DPSAC[[#This Row],[Next Month Due2]]</f>
        <v>0</v>
      </c>
      <c r="AE317" s="8"/>
      <c r="AF317" s="8">
        <v>3</v>
      </c>
      <c r="AG317" s="14">
        <f t="shared" ca="1" si="19"/>
        <v>5614</v>
      </c>
      <c r="AH317" s="8" t="s">
        <v>1691</v>
      </c>
      <c r="AI317" s="8" t="s">
        <v>1692</v>
      </c>
      <c r="AJ317" s="8" t="s">
        <v>1693</v>
      </c>
      <c r="AK317" s="8" t="s">
        <v>1694</v>
      </c>
      <c r="AL317" s="8" t="s">
        <v>1695</v>
      </c>
      <c r="AM317" s="8" t="s">
        <v>1696</v>
      </c>
      <c r="AN317" s="8">
        <v>0</v>
      </c>
      <c r="AO317" s="8">
        <v>0</v>
      </c>
      <c r="AP317" s="8">
        <v>0</v>
      </c>
      <c r="AQ317" s="8">
        <v>0</v>
      </c>
      <c r="AR317" s="8">
        <v>0</v>
      </c>
      <c r="AS317" s="8">
        <v>0</v>
      </c>
      <c r="AT317" s="8">
        <v>0</v>
      </c>
      <c r="AU317" s="8">
        <v>0</v>
      </c>
      <c r="AV317" s="8">
        <v>0</v>
      </c>
      <c r="AW317" s="8">
        <v>0</v>
      </c>
      <c r="AX317" s="8" t="s">
        <v>2961</v>
      </c>
      <c r="AY317" s="14">
        <v>4700</v>
      </c>
      <c r="AZ317" s="19">
        <v>45821</v>
      </c>
      <c r="BA317" s="14" t="s">
        <v>1697</v>
      </c>
      <c r="BB317" s="14">
        <v>3000</v>
      </c>
      <c r="BC317" s="19">
        <v>45533</v>
      </c>
      <c r="BD317" s="14" t="s">
        <v>1698</v>
      </c>
      <c r="BE317" s="14">
        <v>4700</v>
      </c>
      <c r="BF317" s="19">
        <v>45821</v>
      </c>
      <c r="BG317" s="14" t="s">
        <v>1697</v>
      </c>
      <c r="BH317" s="14">
        <v>4700</v>
      </c>
      <c r="BI317" s="19">
        <v>45821</v>
      </c>
      <c r="BJ317" s="14" t="s">
        <v>1697</v>
      </c>
      <c r="BK317" s="14">
        <v>3000</v>
      </c>
      <c r="BL317" s="19">
        <v>45533</v>
      </c>
      <c r="BM317" s="14" t="s">
        <v>1698</v>
      </c>
      <c r="BN317" s="27">
        <v>46001</v>
      </c>
      <c r="BO317" s="27">
        <v>45713</v>
      </c>
      <c r="BP317" s="27">
        <v>46001</v>
      </c>
      <c r="BQ317" s="27">
        <v>46001</v>
      </c>
      <c r="BR317" s="27">
        <v>45898</v>
      </c>
      <c r="BS317" s="28">
        <v>-164</v>
      </c>
      <c r="BT317" s="29">
        <v>-1114</v>
      </c>
      <c r="BU317" s="29">
        <v>-164</v>
      </c>
      <c r="BV317" s="29">
        <v>-164</v>
      </c>
      <c r="BW317" s="29">
        <v>-1114</v>
      </c>
      <c r="BX317" s="30"/>
      <c r="BY317" s="8">
        <v>5</v>
      </c>
      <c r="BZ317" s="8">
        <v>0</v>
      </c>
      <c r="CA317" s="8">
        <v>0</v>
      </c>
      <c r="CB317" s="21">
        <v>45431.770833333299</v>
      </c>
      <c r="CC317" s="21">
        <v>45820.770833333299</v>
      </c>
      <c r="CD317" s="21">
        <v>45820.770833333299</v>
      </c>
      <c r="CE317" s="21">
        <v>45820.770833333299</v>
      </c>
      <c r="CF317" s="21">
        <v>45820.770833333299</v>
      </c>
      <c r="CG317" s="21">
        <v>45532.770833333299</v>
      </c>
      <c r="CH317" s="21">
        <v>45532.770833333299</v>
      </c>
      <c r="CI317" s="21">
        <v>45532.770833333299</v>
      </c>
      <c r="CJ317" s="21">
        <v>45532.770833333299</v>
      </c>
      <c r="CK317" s="22" t="s">
        <v>2978</v>
      </c>
      <c r="CL317" s="22" t="s">
        <v>2978</v>
      </c>
      <c r="CM317" s="22" t="s">
        <v>2978</v>
      </c>
      <c r="CN317" s="22" t="s">
        <v>2978</v>
      </c>
      <c r="CO317" s="22" t="s">
        <v>2978</v>
      </c>
      <c r="CP317" s="22" t="s">
        <v>2978</v>
      </c>
      <c r="CQ317" s="22" t="s">
        <v>2953</v>
      </c>
      <c r="CR317" s="22" t="s">
        <v>2978</v>
      </c>
      <c r="CS317" s="22" t="s">
        <v>2978</v>
      </c>
      <c r="CT317" s="22">
        <v>3</v>
      </c>
      <c r="CU317" s="21">
        <v>45611</v>
      </c>
      <c r="CV317" s="21">
        <v>46000</v>
      </c>
      <c r="CW317" s="21">
        <v>46000</v>
      </c>
      <c r="CX317" s="21">
        <v>46000</v>
      </c>
      <c r="CY317" s="21">
        <v>46000</v>
      </c>
      <c r="CZ317" s="21">
        <v>45802</v>
      </c>
      <c r="DA317" s="21">
        <v>45897</v>
      </c>
      <c r="DB317" s="21">
        <v>45712</v>
      </c>
      <c r="DC317" s="21">
        <v>45897</v>
      </c>
      <c r="DD317" s="8">
        <v>1</v>
      </c>
      <c r="DE317" s="8">
        <v>0</v>
      </c>
      <c r="DF317" s="8">
        <v>0</v>
      </c>
      <c r="DG317" s="8">
        <v>9</v>
      </c>
      <c r="DH317" s="8">
        <v>0</v>
      </c>
      <c r="DI317" s="8">
        <v>0</v>
      </c>
      <c r="DJ317" s="8" t="s">
        <v>2954</v>
      </c>
      <c r="DK317" s="21">
        <v>45091</v>
      </c>
      <c r="DL317" s="21">
        <v>44999.229166666664</v>
      </c>
      <c r="DM317" s="21">
        <v>45941</v>
      </c>
      <c r="DN317" s="18">
        <v>5100</v>
      </c>
      <c r="DO317" s="21">
        <v>0</v>
      </c>
      <c r="DP317" s="21">
        <v>0</v>
      </c>
      <c r="DQ317" s="21" t="s">
        <v>2955</v>
      </c>
      <c r="DR317" s="21">
        <v>45432</v>
      </c>
      <c r="DS317" s="21">
        <v>45821</v>
      </c>
      <c r="DT317" s="21">
        <v>45821</v>
      </c>
      <c r="DU317" s="21">
        <v>45821</v>
      </c>
      <c r="DV317" s="21">
        <v>45821</v>
      </c>
      <c r="DW317" s="21">
        <v>45533</v>
      </c>
      <c r="DX317" s="21">
        <v>45533</v>
      </c>
      <c r="DY317" s="21">
        <v>45533</v>
      </c>
      <c r="DZ317" s="21">
        <v>45533</v>
      </c>
      <c r="EA317" s="8">
        <v>350</v>
      </c>
      <c r="EB317" s="8">
        <v>350</v>
      </c>
      <c r="EC317" s="8">
        <v>350</v>
      </c>
      <c r="ED317" s="8">
        <v>350</v>
      </c>
      <c r="EE317" s="8">
        <v>350</v>
      </c>
      <c r="EF317" s="8">
        <v>350</v>
      </c>
      <c r="EG317" s="8">
        <v>1000</v>
      </c>
      <c r="EH317" s="8">
        <v>350</v>
      </c>
      <c r="EI317" s="8">
        <v>350</v>
      </c>
      <c r="EJ317" s="8">
        <v>3</v>
      </c>
      <c r="EK317" s="8" t="s">
        <v>2624</v>
      </c>
      <c r="EL317" s="8">
        <v>171</v>
      </c>
      <c r="EM317" s="8">
        <v>513</v>
      </c>
      <c r="EN317" s="8">
        <v>62</v>
      </c>
      <c r="EO317" s="8">
        <v>62</v>
      </c>
      <c r="EP317" s="8">
        <v>62</v>
      </c>
      <c r="EQ317" s="8">
        <v>62</v>
      </c>
      <c r="ER317" s="8">
        <v>62</v>
      </c>
      <c r="ES317" s="8">
        <v>62</v>
      </c>
      <c r="ET317" s="8">
        <v>712</v>
      </c>
      <c r="EU317" s="8">
        <v>62</v>
      </c>
      <c r="EV317" s="8">
        <v>62</v>
      </c>
    </row>
    <row r="318" spans="1:152" x14ac:dyDescent="0.15">
      <c r="A318" s="8">
        <f>ROW([2]!tbl_DPSAC[[#This Row],[Sl. No.]])-1</f>
        <v>317</v>
      </c>
      <c r="B318" s="9" t="s">
        <v>196</v>
      </c>
      <c r="C318" s="9" t="s">
        <v>1699</v>
      </c>
      <c r="D318" s="9" t="s">
        <v>1700</v>
      </c>
      <c r="E318" s="9" t="s">
        <v>1701</v>
      </c>
      <c r="F318" s="9" t="s">
        <v>161</v>
      </c>
      <c r="G318" s="10" t="s">
        <v>1702</v>
      </c>
      <c r="H318" s="10" t="str">
        <f>_xlfn.XLOOKUP(C318,'[1]E&amp;DPSAC'!$K:$K,'[1]E&amp;DPSAC'!$E:$E,,0)</f>
        <v>NEPAL</v>
      </c>
      <c r="I318" s="10"/>
      <c r="J318" s="10">
        <v>9135343878</v>
      </c>
      <c r="K318" s="10">
        <f>_xlfn.XLOOKUP(C318,'[1]E&amp;DPSAC'!$K:$K,'[1]E&amp;DPSAC'!$G:$G,"",0)</f>
        <v>9135343878</v>
      </c>
      <c r="L318" s="9" t="str">
        <f t="shared" ca="1" si="16"/>
        <v>Non - Warranty</v>
      </c>
      <c r="M318" s="11">
        <v>45066</v>
      </c>
      <c r="N318" s="12">
        <v>24</v>
      </c>
      <c r="O318" s="11">
        <f t="shared" si="20"/>
        <v>45808</v>
      </c>
      <c r="P318" s="8" t="s">
        <v>157</v>
      </c>
      <c r="Q318" s="16" t="s">
        <v>1704</v>
      </c>
      <c r="R318" s="15">
        <v>45229.436840277798</v>
      </c>
      <c r="S318" s="14">
        <v>1717</v>
      </c>
      <c r="T318" s="15">
        <v>45229</v>
      </c>
      <c r="U318" s="14">
        <v>1717</v>
      </c>
      <c r="V318" s="14">
        <v>2744</v>
      </c>
      <c r="W318" s="17">
        <v>45359.456701388903</v>
      </c>
      <c r="X318" s="14" t="s">
        <v>2826</v>
      </c>
      <c r="Y318" s="14">
        <v>-277</v>
      </c>
      <c r="Z318" s="14" t="s">
        <v>2697</v>
      </c>
      <c r="AA318" s="18">
        <v>883.56315972220182</v>
      </c>
      <c r="AB318" s="18" t="s">
        <v>2697</v>
      </c>
      <c r="AC318" s="8">
        <f>tbl_DPSAC[[#This Row],[Current Month Due Count]]</f>
        <v>0</v>
      </c>
      <c r="AD318" s="8">
        <f>tbl_DPSAC[[#This Row],[Next Month Due2]]</f>
        <v>0</v>
      </c>
      <c r="AE318" s="8"/>
      <c r="AF318" s="8">
        <v>8</v>
      </c>
      <c r="AG318" s="14">
        <f t="shared" ca="1" si="19"/>
        <v>8772</v>
      </c>
      <c r="AH318" s="8">
        <v>0</v>
      </c>
      <c r="AI318" s="8">
        <v>0</v>
      </c>
      <c r="AJ318" s="8">
        <v>0</v>
      </c>
      <c r="AK318" s="8" t="s">
        <v>1703</v>
      </c>
      <c r="AL318" s="8">
        <v>0</v>
      </c>
      <c r="AM318" s="8">
        <v>0</v>
      </c>
      <c r="AN318" s="8">
        <v>0</v>
      </c>
      <c r="AO318" s="8">
        <v>0</v>
      </c>
      <c r="AP318" s="8">
        <v>0</v>
      </c>
      <c r="AQ318" s="8">
        <v>0</v>
      </c>
      <c r="AR318" s="8">
        <v>0</v>
      </c>
      <c r="AS318" s="8">
        <v>0</v>
      </c>
      <c r="AT318" s="8">
        <v>0</v>
      </c>
      <c r="AU318" s="8">
        <v>0</v>
      </c>
      <c r="AV318" s="8">
        <v>0</v>
      </c>
      <c r="AW318" s="8">
        <v>0</v>
      </c>
      <c r="AX318" s="8" t="s">
        <v>2961</v>
      </c>
      <c r="AY318" s="14">
        <v>1717</v>
      </c>
      <c r="AZ318" s="19">
        <v>45229</v>
      </c>
      <c r="BA318" s="14" t="s">
        <v>1704</v>
      </c>
      <c r="BB318" s="14">
        <v>1529</v>
      </c>
      <c r="BC318" s="19">
        <v>45061</v>
      </c>
      <c r="BD318" s="14" t="s">
        <v>1705</v>
      </c>
      <c r="BE318" s="14">
        <v>1717</v>
      </c>
      <c r="BF318" s="19">
        <v>45229</v>
      </c>
      <c r="BG318" s="14" t="s">
        <v>1704</v>
      </c>
      <c r="BH318" s="14">
        <v>1717</v>
      </c>
      <c r="BI318" s="19">
        <v>45229</v>
      </c>
      <c r="BJ318" s="14" t="s">
        <v>1704</v>
      </c>
      <c r="BK318" s="14">
        <v>1529</v>
      </c>
      <c r="BL318" s="19">
        <v>45061</v>
      </c>
      <c r="BM318" s="14" t="s">
        <v>1705</v>
      </c>
      <c r="BN318" s="27">
        <v>45409</v>
      </c>
      <c r="BO318" s="27">
        <v>45241</v>
      </c>
      <c r="BP318" s="27">
        <v>45409</v>
      </c>
      <c r="BQ318" s="27">
        <v>45409</v>
      </c>
      <c r="BR318" s="27">
        <v>45426</v>
      </c>
      <c r="BS318" s="28">
        <v>-6305</v>
      </c>
      <c r="BT318" s="29">
        <v>-5743</v>
      </c>
      <c r="BU318" s="29">
        <v>-6305</v>
      </c>
      <c r="BV318" s="29">
        <v>-6305</v>
      </c>
      <c r="BW318" s="29">
        <v>-5743</v>
      </c>
      <c r="BX318" s="8" t="s">
        <v>1016</v>
      </c>
      <c r="BY318" s="8">
        <v>5</v>
      </c>
      <c r="BZ318" s="8">
        <v>0</v>
      </c>
      <c r="CA318" s="8">
        <v>0</v>
      </c>
      <c r="CB318" s="21">
        <v>45228.770833333299</v>
      </c>
      <c r="CC318" s="21">
        <v>45228.770833333299</v>
      </c>
      <c r="CD318" s="21">
        <v>45228.770833333299</v>
      </c>
      <c r="CE318" s="21">
        <v>45228.770833333299</v>
      </c>
      <c r="CF318" s="21">
        <v>45228.770833333299</v>
      </c>
      <c r="CG318" s="21">
        <v>45039.770833333299</v>
      </c>
      <c r="CH318" s="21">
        <v>0</v>
      </c>
      <c r="CI318" s="21">
        <v>45039.770833333299</v>
      </c>
      <c r="CJ318" s="21">
        <v>0</v>
      </c>
      <c r="CK318" s="22" t="s">
        <v>3008</v>
      </c>
      <c r="CL318" s="22" t="s">
        <v>3008</v>
      </c>
      <c r="CM318" s="22" t="s">
        <v>3008</v>
      </c>
      <c r="CN318" s="22" t="s">
        <v>3008</v>
      </c>
      <c r="CO318" s="22" t="s">
        <v>3008</v>
      </c>
      <c r="CP318" s="22" t="s">
        <v>3008</v>
      </c>
      <c r="CQ318" s="22" t="s">
        <v>3008</v>
      </c>
      <c r="CR318" s="22" t="s">
        <v>3008</v>
      </c>
      <c r="CS318" s="22" t="s">
        <v>3008</v>
      </c>
      <c r="CT318" s="22">
        <v>4</v>
      </c>
      <c r="CU318" s="21">
        <v>45408</v>
      </c>
      <c r="CV318" s="21">
        <v>45408</v>
      </c>
      <c r="CW318" s="21">
        <v>45408</v>
      </c>
      <c r="CX318" s="21">
        <v>45408</v>
      </c>
      <c r="CY318" s="21">
        <v>45408</v>
      </c>
      <c r="CZ318" s="21">
        <v>45309</v>
      </c>
      <c r="DA318" s="21">
        <v>45387</v>
      </c>
      <c r="DB318" s="21">
        <v>45219</v>
      </c>
      <c r="DC318" s="21">
        <v>45430</v>
      </c>
      <c r="DD318" s="8">
        <v>1</v>
      </c>
      <c r="DE318" s="8">
        <v>0</v>
      </c>
      <c r="DF318" s="8">
        <v>0</v>
      </c>
      <c r="DG318" s="8">
        <v>9</v>
      </c>
      <c r="DH318" s="8">
        <v>0</v>
      </c>
      <c r="DI318" s="8">
        <v>0</v>
      </c>
      <c r="DJ318" s="8" t="s">
        <v>2976</v>
      </c>
      <c r="DK318" s="21">
        <v>45066</v>
      </c>
      <c r="DL318" s="21">
        <v>44133.333333333336</v>
      </c>
      <c r="DM318" s="21">
        <v>45359</v>
      </c>
      <c r="DN318" s="18">
        <v>2744</v>
      </c>
      <c r="DO318" s="21">
        <v>0</v>
      </c>
      <c r="DP318" s="21">
        <v>0</v>
      </c>
      <c r="DQ318" s="21" t="s">
        <v>2955</v>
      </c>
      <c r="DR318" s="21">
        <v>45229</v>
      </c>
      <c r="DS318" s="21">
        <v>45229</v>
      </c>
      <c r="DT318" s="21">
        <v>45229</v>
      </c>
      <c r="DU318" s="21">
        <v>45229</v>
      </c>
      <c r="DV318" s="21">
        <v>45229</v>
      </c>
      <c r="DW318" s="21">
        <v>45040</v>
      </c>
      <c r="DX318" s="21">
        <v>0</v>
      </c>
      <c r="DY318" s="21">
        <v>45040</v>
      </c>
      <c r="DZ318" s="21">
        <v>0</v>
      </c>
      <c r="EA318" s="8">
        <v>285</v>
      </c>
      <c r="EB318" s="8">
        <v>285</v>
      </c>
      <c r="EC318" s="8">
        <v>285</v>
      </c>
      <c r="ED318" s="8">
        <v>285</v>
      </c>
      <c r="EE318" s="8">
        <v>285</v>
      </c>
      <c r="EF318" s="8">
        <v>285</v>
      </c>
      <c r="EG318" s="8">
        <v>285</v>
      </c>
      <c r="EH318" s="8">
        <v>285</v>
      </c>
      <c r="EI318" s="8">
        <v>285</v>
      </c>
      <c r="EJ318" s="8">
        <v>4</v>
      </c>
      <c r="EK318" s="8" t="s">
        <v>157</v>
      </c>
      <c r="EL318" s="8">
        <v>754</v>
      </c>
      <c r="EM318" s="8">
        <v>6032</v>
      </c>
      <c r="EN318" s="8">
        <v>-3</v>
      </c>
      <c r="EO318" s="8">
        <v>-3</v>
      </c>
      <c r="EP318" s="8">
        <v>-3</v>
      </c>
      <c r="EQ318" s="8">
        <v>-3</v>
      </c>
      <c r="ER318" s="8">
        <v>-3</v>
      </c>
      <c r="ES318" s="8">
        <v>-3</v>
      </c>
      <c r="ET318" s="8">
        <v>-3</v>
      </c>
      <c r="EU318" s="8">
        <v>-3</v>
      </c>
      <c r="EV318" s="8">
        <v>-3</v>
      </c>
    </row>
    <row r="319" spans="1:152" x14ac:dyDescent="0.15">
      <c r="A319" s="8">
        <f>ROW([2]!tbl_DPSAC[[#This Row],[Sl. No.]])-1</f>
        <v>318</v>
      </c>
      <c r="B319" s="9" t="s">
        <v>196</v>
      </c>
      <c r="C319" s="9" t="s">
        <v>1706</v>
      </c>
      <c r="D319" s="9" t="s">
        <v>1312</v>
      </c>
      <c r="E319" s="9" t="s">
        <v>1707</v>
      </c>
      <c r="F319" s="9" t="s">
        <v>161</v>
      </c>
      <c r="G319" s="10" t="s">
        <v>1702</v>
      </c>
      <c r="H319" s="10" t="str">
        <f>_xlfn.XLOOKUP(C319,'[1]E&amp;DPSAC'!$K:$K,'[1]E&amp;DPSAC'!$E:$E,,0)</f>
        <v>NEPAL</v>
      </c>
      <c r="I319" s="10"/>
      <c r="J319" s="10">
        <v>9135343878</v>
      </c>
      <c r="K319" s="10">
        <f>_xlfn.XLOOKUP(C319,'[1]E&amp;DPSAC'!$K:$K,'[1]E&amp;DPSAC'!$G:$G,"",0)</f>
        <v>9135343878</v>
      </c>
      <c r="L319" s="9" t="str">
        <f t="shared" ca="1" si="16"/>
        <v>Non - Warranty</v>
      </c>
      <c r="M319" s="11">
        <v>45066</v>
      </c>
      <c r="N319" s="12">
        <v>24</v>
      </c>
      <c r="O319" s="11">
        <f t="shared" si="20"/>
        <v>45808</v>
      </c>
      <c r="P319" s="8" t="s">
        <v>157</v>
      </c>
      <c r="Q319" s="16" t="s">
        <v>1709</v>
      </c>
      <c r="R319" s="15">
        <v>45229.618703703702</v>
      </c>
      <c r="S319" s="14">
        <v>1821</v>
      </c>
      <c r="T319" s="15">
        <v>45229</v>
      </c>
      <c r="U319" s="14">
        <v>1821</v>
      </c>
      <c r="V319" s="14">
        <v>2844</v>
      </c>
      <c r="W319" s="17">
        <v>45359.459282407399</v>
      </c>
      <c r="X319" s="14" t="s">
        <v>2827</v>
      </c>
      <c r="Y319" s="14">
        <v>-273</v>
      </c>
      <c r="Z319" s="14" t="s">
        <v>2697</v>
      </c>
      <c r="AA319" s="18">
        <v>883.38129629629839</v>
      </c>
      <c r="AB319" s="18" t="s">
        <v>2697</v>
      </c>
      <c r="AC319" s="8">
        <f>tbl_DPSAC[[#This Row],[Current Month Due Count]]</f>
        <v>0</v>
      </c>
      <c r="AD319" s="8">
        <f>tbl_DPSAC[[#This Row],[Next Month Due2]]</f>
        <v>0</v>
      </c>
      <c r="AE319" s="8"/>
      <c r="AF319" s="8">
        <v>8</v>
      </c>
      <c r="AG319" s="14">
        <f t="shared" ca="1" si="19"/>
        <v>8872</v>
      </c>
      <c r="AH319" s="8">
        <v>0</v>
      </c>
      <c r="AI319" s="8">
        <v>0</v>
      </c>
      <c r="AJ319" s="8">
        <v>0</v>
      </c>
      <c r="AK319" s="8" t="s">
        <v>1708</v>
      </c>
      <c r="AL319" s="8">
        <v>0</v>
      </c>
      <c r="AM319" s="8">
        <v>0</v>
      </c>
      <c r="AN319" s="8">
        <v>0</v>
      </c>
      <c r="AO319" s="8">
        <v>0</v>
      </c>
      <c r="AP319" s="8">
        <v>0</v>
      </c>
      <c r="AQ319" s="8">
        <v>0</v>
      </c>
      <c r="AR319" s="8">
        <v>0</v>
      </c>
      <c r="AS319" s="8">
        <v>0</v>
      </c>
      <c r="AT319" s="8">
        <v>0</v>
      </c>
      <c r="AU319" s="8">
        <v>0</v>
      </c>
      <c r="AV319" s="8">
        <v>0</v>
      </c>
      <c r="AW319" s="8">
        <v>0</v>
      </c>
      <c r="AX319" s="8" t="s">
        <v>2961</v>
      </c>
      <c r="AY319" s="14">
        <v>1821</v>
      </c>
      <c r="AZ319" s="19">
        <v>45229</v>
      </c>
      <c r="BA319" s="14" t="s">
        <v>1709</v>
      </c>
      <c r="BB319" s="14">
        <v>1587</v>
      </c>
      <c r="BC319" s="19">
        <v>45061</v>
      </c>
      <c r="BD319" s="14" t="s">
        <v>1710</v>
      </c>
      <c r="BE319" s="14">
        <v>1821</v>
      </c>
      <c r="BF319" s="19">
        <v>45229</v>
      </c>
      <c r="BG319" s="14" t="s">
        <v>1709</v>
      </c>
      <c r="BH319" s="14">
        <v>1821</v>
      </c>
      <c r="BI319" s="19">
        <v>45229</v>
      </c>
      <c r="BJ319" s="14" t="s">
        <v>1709</v>
      </c>
      <c r="BK319" s="14">
        <v>1587</v>
      </c>
      <c r="BL319" s="19">
        <v>45061</v>
      </c>
      <c r="BM319" s="14" t="s">
        <v>1710</v>
      </c>
      <c r="BN319" s="27">
        <v>45409</v>
      </c>
      <c r="BO319" s="27">
        <v>45241</v>
      </c>
      <c r="BP319" s="27">
        <v>45409</v>
      </c>
      <c r="BQ319" s="27">
        <v>45409</v>
      </c>
      <c r="BR319" s="27">
        <v>45426</v>
      </c>
      <c r="BS319" s="28">
        <v>-6301</v>
      </c>
      <c r="BT319" s="29">
        <v>-5785</v>
      </c>
      <c r="BU319" s="29">
        <v>-6301</v>
      </c>
      <c r="BV319" s="29">
        <v>-6301</v>
      </c>
      <c r="BW319" s="29">
        <v>-5785</v>
      </c>
      <c r="BX319" s="8" t="s">
        <v>1016</v>
      </c>
      <c r="BY319" s="8">
        <v>5</v>
      </c>
      <c r="BZ319" s="8">
        <v>0</v>
      </c>
      <c r="CA319" s="8">
        <v>0</v>
      </c>
      <c r="CB319" s="21">
        <v>45228.770833333299</v>
      </c>
      <c r="CC319" s="21">
        <v>45228.770833333299</v>
      </c>
      <c r="CD319" s="21">
        <v>45228.770833333299</v>
      </c>
      <c r="CE319" s="21">
        <v>45228.770833333299</v>
      </c>
      <c r="CF319" s="21">
        <v>45228.770833333299</v>
      </c>
      <c r="CG319" s="21">
        <v>45037.770833333299</v>
      </c>
      <c r="CH319" s="21">
        <v>0</v>
      </c>
      <c r="CI319" s="21">
        <v>45037.770833333299</v>
      </c>
      <c r="CJ319" s="21">
        <v>45037.770833333299</v>
      </c>
      <c r="CK319" s="22" t="s">
        <v>3153</v>
      </c>
      <c r="CL319" s="22" t="s">
        <v>3153</v>
      </c>
      <c r="CM319" s="22" t="s">
        <v>3153</v>
      </c>
      <c r="CN319" s="22" t="s">
        <v>3153</v>
      </c>
      <c r="CO319" s="22" t="s">
        <v>3153</v>
      </c>
      <c r="CP319" s="22" t="s">
        <v>3153</v>
      </c>
      <c r="CQ319" s="22" t="s">
        <v>3153</v>
      </c>
      <c r="CR319" s="22" t="s">
        <v>3153</v>
      </c>
      <c r="CS319" s="22" t="s">
        <v>3153</v>
      </c>
      <c r="CT319" s="22">
        <v>4</v>
      </c>
      <c r="CU319" s="21">
        <v>45408</v>
      </c>
      <c r="CV319" s="21">
        <v>45408</v>
      </c>
      <c r="CW319" s="21">
        <v>45408</v>
      </c>
      <c r="CX319" s="21">
        <v>45408</v>
      </c>
      <c r="CY319" s="21">
        <v>45408</v>
      </c>
      <c r="CZ319" s="21">
        <v>45307</v>
      </c>
      <c r="DA319" s="21">
        <v>45383</v>
      </c>
      <c r="DB319" s="21">
        <v>45217</v>
      </c>
      <c r="DC319" s="21">
        <v>45402</v>
      </c>
      <c r="DD319" s="8">
        <v>1</v>
      </c>
      <c r="DE319" s="8">
        <v>0</v>
      </c>
      <c r="DF319" s="8">
        <v>0</v>
      </c>
      <c r="DG319" s="8">
        <v>9</v>
      </c>
      <c r="DH319" s="8">
        <v>0</v>
      </c>
      <c r="DI319" s="8">
        <v>0</v>
      </c>
      <c r="DJ319" s="8" t="s">
        <v>2976</v>
      </c>
      <c r="DK319" s="21">
        <v>45066</v>
      </c>
      <c r="DL319" s="21">
        <v>45042.229166666664</v>
      </c>
      <c r="DM319" s="21">
        <v>45359</v>
      </c>
      <c r="DN319" s="18">
        <v>2844</v>
      </c>
      <c r="DO319" s="21">
        <v>0</v>
      </c>
      <c r="DP319" s="21">
        <v>0</v>
      </c>
      <c r="DQ319" s="21" t="s">
        <v>2955</v>
      </c>
      <c r="DR319" s="21">
        <v>45229</v>
      </c>
      <c r="DS319" s="21">
        <v>45229</v>
      </c>
      <c r="DT319" s="21">
        <v>45229</v>
      </c>
      <c r="DU319" s="21">
        <v>45229</v>
      </c>
      <c r="DV319" s="21">
        <v>45229</v>
      </c>
      <c r="DW319" s="21">
        <v>45038</v>
      </c>
      <c r="DX319" s="21">
        <v>0</v>
      </c>
      <c r="DY319" s="21">
        <v>45038</v>
      </c>
      <c r="DZ319" s="21">
        <v>45038</v>
      </c>
      <c r="EA319" s="8">
        <v>245</v>
      </c>
      <c r="EB319" s="8">
        <v>245</v>
      </c>
      <c r="EC319" s="8">
        <v>245</v>
      </c>
      <c r="ED319" s="8">
        <v>245</v>
      </c>
      <c r="EE319" s="8">
        <v>245</v>
      </c>
      <c r="EF319" s="8">
        <v>245</v>
      </c>
      <c r="EG319" s="8">
        <v>245</v>
      </c>
      <c r="EH319" s="8">
        <v>245</v>
      </c>
      <c r="EI319" s="8">
        <v>245</v>
      </c>
      <c r="EJ319" s="8">
        <v>4</v>
      </c>
      <c r="EK319" s="8" t="s">
        <v>157</v>
      </c>
      <c r="EL319" s="8">
        <v>754</v>
      </c>
      <c r="EM319" s="8">
        <v>6032</v>
      </c>
      <c r="EN319" s="8">
        <v>-43</v>
      </c>
      <c r="EO319" s="8">
        <v>-43</v>
      </c>
      <c r="EP319" s="8">
        <v>-43</v>
      </c>
      <c r="EQ319" s="8">
        <v>-43</v>
      </c>
      <c r="ER319" s="8">
        <v>-43</v>
      </c>
      <c r="ES319" s="8">
        <v>-43</v>
      </c>
      <c r="ET319" s="8">
        <v>-43</v>
      </c>
      <c r="EU319" s="8">
        <v>-43</v>
      </c>
      <c r="EV319" s="8">
        <v>-43</v>
      </c>
    </row>
    <row r="320" spans="1:152" x14ac:dyDescent="0.15">
      <c r="A320" s="8">
        <f>ROW([2]!tbl_DPSAC[[#This Row],[Sl. No.]])-1</f>
        <v>319</v>
      </c>
      <c r="B320" s="9" t="s">
        <v>136</v>
      </c>
      <c r="C320" s="9" t="s">
        <v>1711</v>
      </c>
      <c r="D320" s="9" t="s">
        <v>638</v>
      </c>
      <c r="E320" s="8" t="s">
        <v>639</v>
      </c>
      <c r="F320" s="9" t="s">
        <v>161</v>
      </c>
      <c r="G320" s="10" t="s">
        <v>1712</v>
      </c>
      <c r="H320" s="10" t="str">
        <f>_xlfn.XLOOKUP(C320,'[1]E&amp;DPSAC'!$K:$K,'[1]E&amp;DPSAC'!$E:$E,,0)</f>
        <v>C/O PRAKASH RAM, PHUSHRO</v>
      </c>
      <c r="I320" s="10"/>
      <c r="J320" s="10">
        <v>8789232926</v>
      </c>
      <c r="K320" s="10">
        <f>_xlfn.XLOOKUP(C320,'[1]E&amp;DPSAC'!$K:$K,'[1]E&amp;DPSAC'!$G:$G,"",0)</f>
        <v>8789232926</v>
      </c>
      <c r="L320" s="9" t="str">
        <f t="shared" ca="1" si="16"/>
        <v>Non - Warranty</v>
      </c>
      <c r="M320" s="11">
        <v>45107</v>
      </c>
      <c r="N320" s="12">
        <v>24</v>
      </c>
      <c r="O320" s="11">
        <f t="shared" si="20"/>
        <v>45838</v>
      </c>
      <c r="P320" s="8" t="s">
        <v>142</v>
      </c>
      <c r="Q320" s="16" t="s">
        <v>1716</v>
      </c>
      <c r="R320" s="15">
        <v>46009.492812500001</v>
      </c>
      <c r="S320" s="14">
        <v>4135</v>
      </c>
      <c r="T320" s="15">
        <v>46009</v>
      </c>
      <c r="U320" s="14">
        <v>4135</v>
      </c>
      <c r="V320" s="14">
        <v>4135</v>
      </c>
      <c r="W320" s="17">
        <v>46009.492812500001</v>
      </c>
      <c r="X320" s="14" t="s">
        <v>2828</v>
      </c>
      <c r="Y320" s="14">
        <v>750</v>
      </c>
      <c r="Z320" s="14" t="s">
        <v>2692</v>
      </c>
      <c r="AA320" s="18">
        <v>103.50718749999942</v>
      </c>
      <c r="AB320" s="18" t="s">
        <v>2692</v>
      </c>
      <c r="AC320" s="8">
        <f>tbl_DPSAC[[#This Row],[Current Month Due Count]]</f>
        <v>0</v>
      </c>
      <c r="AD320" s="8">
        <f>tbl_DPSAC[[#This Row],[Next Month Due2]]</f>
        <v>0</v>
      </c>
      <c r="AE320" s="8"/>
      <c r="AF320" s="8">
        <v>2</v>
      </c>
      <c r="AG320" s="14">
        <f t="shared" ca="1" si="19"/>
        <v>4342</v>
      </c>
      <c r="AH320" s="8" t="s">
        <v>1713</v>
      </c>
      <c r="AI320" s="8" t="s">
        <v>1714</v>
      </c>
      <c r="AJ320" s="8" t="s">
        <v>1715</v>
      </c>
      <c r="AK320" s="8">
        <v>0</v>
      </c>
      <c r="AL320" s="8">
        <v>0</v>
      </c>
      <c r="AM320" s="8">
        <v>0</v>
      </c>
      <c r="AN320" s="8">
        <v>0</v>
      </c>
      <c r="AO320" s="8">
        <v>0</v>
      </c>
      <c r="AP320" s="8">
        <v>0</v>
      </c>
      <c r="AQ320" s="8">
        <v>0</v>
      </c>
      <c r="AR320" s="8">
        <v>0</v>
      </c>
      <c r="AS320" s="8">
        <v>0</v>
      </c>
      <c r="AT320" s="8">
        <v>0</v>
      </c>
      <c r="AU320" s="8">
        <v>0</v>
      </c>
      <c r="AV320" s="8">
        <v>0</v>
      </c>
      <c r="AW320" s="8">
        <v>0</v>
      </c>
      <c r="AX320" s="8" t="s">
        <v>2007</v>
      </c>
      <c r="AY320" s="14">
        <v>4135</v>
      </c>
      <c r="AZ320" s="19">
        <v>46009</v>
      </c>
      <c r="BA320" s="14" t="s">
        <v>1716</v>
      </c>
      <c r="BB320" s="14">
        <v>4135</v>
      </c>
      <c r="BC320" s="19">
        <v>46009</v>
      </c>
      <c r="BD320" s="14" t="s">
        <v>1716</v>
      </c>
      <c r="BE320" s="14">
        <v>4135</v>
      </c>
      <c r="BF320" s="19">
        <v>46009</v>
      </c>
      <c r="BG320" s="14" t="s">
        <v>1716</v>
      </c>
      <c r="BH320" s="14">
        <v>4135</v>
      </c>
      <c r="BI320" s="19">
        <v>46009</v>
      </c>
      <c r="BJ320" s="14" t="s">
        <v>1716</v>
      </c>
      <c r="BK320" s="14">
        <v>4135</v>
      </c>
      <c r="BL320" s="19">
        <v>46009</v>
      </c>
      <c r="BM320" s="14" t="s">
        <v>1716</v>
      </c>
      <c r="BN320" s="27">
        <v>46189</v>
      </c>
      <c r="BO320" s="27">
        <v>46189</v>
      </c>
      <c r="BP320" s="27">
        <v>46189</v>
      </c>
      <c r="BQ320" s="27">
        <v>46189</v>
      </c>
      <c r="BR320" s="27">
        <v>46374</v>
      </c>
      <c r="BS320" s="28">
        <v>543</v>
      </c>
      <c r="BT320" s="29">
        <v>1293</v>
      </c>
      <c r="BU320" s="29">
        <v>543</v>
      </c>
      <c r="BV320" s="29">
        <v>543</v>
      </c>
      <c r="BW320" s="29">
        <v>1293</v>
      </c>
      <c r="BX320" s="30"/>
      <c r="BY320" s="8">
        <v>0</v>
      </c>
      <c r="BZ320" s="8">
        <v>0</v>
      </c>
      <c r="CA320" s="8">
        <v>0</v>
      </c>
      <c r="CB320" s="21">
        <v>46008.770833333299</v>
      </c>
      <c r="CC320" s="21">
        <v>46008.770833333299</v>
      </c>
      <c r="CD320" s="21">
        <v>46008.770833333299</v>
      </c>
      <c r="CE320" s="21">
        <v>46008.770833333299</v>
      </c>
      <c r="CF320" s="21">
        <v>46008.770833333299</v>
      </c>
      <c r="CG320" s="21">
        <v>46008.770833333299</v>
      </c>
      <c r="CH320" s="21">
        <v>46008.770833333299</v>
      </c>
      <c r="CI320" s="21">
        <v>46008.770833333299</v>
      </c>
      <c r="CJ320" s="21">
        <v>46008.770833333299</v>
      </c>
      <c r="CK320" s="22" t="s">
        <v>2956</v>
      </c>
      <c r="CL320" s="22" t="s">
        <v>2957</v>
      </c>
      <c r="CM320" s="22" t="s">
        <v>2957</v>
      </c>
      <c r="CN320" s="22" t="s">
        <v>2957</v>
      </c>
      <c r="CO320" s="22" t="s">
        <v>2957</v>
      </c>
      <c r="CP320" s="22" t="s">
        <v>2956</v>
      </c>
      <c r="CQ320" s="22" t="s">
        <v>2953</v>
      </c>
      <c r="CR320" s="22" t="s">
        <v>2956</v>
      </c>
      <c r="CS320" s="22" t="s">
        <v>2956</v>
      </c>
      <c r="CT320" s="22">
        <v>2</v>
      </c>
      <c r="CU320" s="21">
        <v>46188</v>
      </c>
      <c r="CV320" s="21">
        <v>46188</v>
      </c>
      <c r="CW320" s="21">
        <v>46188</v>
      </c>
      <c r="CX320" s="21">
        <v>46188</v>
      </c>
      <c r="CY320" s="21">
        <v>46188</v>
      </c>
      <c r="CZ320" s="21">
        <v>46278</v>
      </c>
      <c r="DA320" s="21">
        <v>46373</v>
      </c>
      <c r="DB320" s="21">
        <v>46188</v>
      </c>
      <c r="DC320" s="21">
        <v>46373</v>
      </c>
      <c r="DD320" s="8">
        <v>0</v>
      </c>
      <c r="DE320" s="8">
        <v>0</v>
      </c>
      <c r="DF320" s="8">
        <v>0</v>
      </c>
      <c r="DG320" s="8">
        <v>0</v>
      </c>
      <c r="DH320" s="8">
        <v>0</v>
      </c>
      <c r="DI320" s="8">
        <v>0</v>
      </c>
      <c r="DJ320" s="8" t="s">
        <v>2954</v>
      </c>
      <c r="DK320" s="21">
        <v>45107</v>
      </c>
      <c r="DL320" s="21">
        <v>45076.229166666664</v>
      </c>
      <c r="DM320" s="21">
        <v>46009</v>
      </c>
      <c r="DN320" s="18">
        <v>4135</v>
      </c>
      <c r="DO320" s="21">
        <v>0</v>
      </c>
      <c r="DP320" s="21">
        <v>0</v>
      </c>
      <c r="DQ320" s="21" t="s">
        <v>2955</v>
      </c>
      <c r="DR320" s="21">
        <v>46009</v>
      </c>
      <c r="DS320" s="21">
        <v>46009</v>
      </c>
      <c r="DT320" s="21">
        <v>46009</v>
      </c>
      <c r="DU320" s="21">
        <v>46009</v>
      </c>
      <c r="DV320" s="21">
        <v>46009</v>
      </c>
      <c r="DW320" s="21">
        <v>46009</v>
      </c>
      <c r="DX320" s="21">
        <v>46009</v>
      </c>
      <c r="DY320" s="21">
        <v>46009</v>
      </c>
      <c r="DZ320" s="21">
        <v>46009</v>
      </c>
      <c r="EA320" s="8">
        <v>1500</v>
      </c>
      <c r="EB320" s="8">
        <v>750</v>
      </c>
      <c r="EC320" s="8">
        <v>750</v>
      </c>
      <c r="ED320" s="8">
        <v>750</v>
      </c>
      <c r="EE320" s="8">
        <v>750</v>
      </c>
      <c r="EF320" s="8">
        <v>1500</v>
      </c>
      <c r="EG320" s="8">
        <v>1000</v>
      </c>
      <c r="EH320" s="8">
        <v>1500</v>
      </c>
      <c r="EI320" s="8">
        <v>1500</v>
      </c>
      <c r="EJ320" s="8">
        <v>2</v>
      </c>
      <c r="EK320" s="8" t="s">
        <v>2624</v>
      </c>
      <c r="EL320" s="8">
        <v>104</v>
      </c>
      <c r="EM320" s="8">
        <v>208</v>
      </c>
      <c r="EN320" s="8">
        <v>1212</v>
      </c>
      <c r="EO320" s="8">
        <v>462</v>
      </c>
      <c r="EP320" s="8">
        <v>462</v>
      </c>
      <c r="EQ320" s="8">
        <v>462</v>
      </c>
      <c r="ER320" s="8">
        <v>462</v>
      </c>
      <c r="ES320" s="8">
        <v>1212</v>
      </c>
      <c r="ET320" s="8">
        <v>712</v>
      </c>
      <c r="EU320" s="8">
        <v>1212</v>
      </c>
      <c r="EV320" s="8">
        <v>1212</v>
      </c>
    </row>
    <row r="321" spans="1:152" x14ac:dyDescent="0.15">
      <c r="A321" s="8">
        <f>ROW([2]!tbl_DPSAC[[#This Row],[Sl. No.]])-1</f>
        <v>320</v>
      </c>
      <c r="B321" s="9" t="s">
        <v>196</v>
      </c>
      <c r="C321" s="9" t="s">
        <v>1717</v>
      </c>
      <c r="D321" s="9" t="s">
        <v>198</v>
      </c>
      <c r="E321" s="9" t="s">
        <v>199</v>
      </c>
      <c r="F321" s="9" t="s">
        <v>161</v>
      </c>
      <c r="G321" s="10" t="s">
        <v>1718</v>
      </c>
      <c r="H321" s="10" t="str">
        <f>_xlfn.XLOOKUP(C321,'[1]E&amp;DPSAC'!$K:$K,'[1]E&amp;DPSAC'!$E:$E,,0)</f>
        <v>BEGUSARAI</v>
      </c>
      <c r="I321" s="10"/>
      <c r="J321" s="10">
        <v>9608007411</v>
      </c>
      <c r="K321" s="10">
        <f>_xlfn.XLOOKUP(C321,'[1]E&amp;DPSAC'!$K:$K,'[1]E&amp;DPSAC'!$G:$G,"",0)</f>
        <v>9608007411</v>
      </c>
      <c r="L321" s="9" t="str">
        <f t="shared" ca="1" si="16"/>
        <v>Non - Warranty</v>
      </c>
      <c r="M321" s="11">
        <v>43207</v>
      </c>
      <c r="N321" s="12">
        <v>24</v>
      </c>
      <c r="O321" s="11">
        <f t="shared" si="20"/>
        <v>43951</v>
      </c>
      <c r="P321" s="8" t="s">
        <v>715</v>
      </c>
      <c r="Q321" s="16" t="s">
        <v>1719</v>
      </c>
      <c r="R321" s="15">
        <v>45000.619849536997</v>
      </c>
      <c r="S321" s="14">
        <v>295</v>
      </c>
      <c r="T321" s="15">
        <v>45000</v>
      </c>
      <c r="U321" s="14">
        <v>295</v>
      </c>
      <c r="V321" s="14">
        <v>345</v>
      </c>
      <c r="W321" s="17">
        <v>45134.6785648148</v>
      </c>
      <c r="X321" s="14" t="s">
        <v>2829</v>
      </c>
      <c r="Y321" s="14">
        <v>700</v>
      </c>
      <c r="Z321" s="14" t="s">
        <v>2692</v>
      </c>
      <c r="AA321" s="18">
        <v>1112.3801504630028</v>
      </c>
      <c r="AB321" s="18" t="s">
        <v>2697</v>
      </c>
      <c r="AC321" s="8">
        <f>tbl_DPSAC[[#This Row],[Current Month Due Count]]</f>
        <v>0</v>
      </c>
      <c r="AD321" s="8">
        <f>tbl_DPSAC[[#This Row],[Next Month Due2]]</f>
        <v>0</v>
      </c>
      <c r="AE321" s="8"/>
      <c r="AF321" s="8">
        <v>4</v>
      </c>
      <c r="AG321" s="14">
        <f t="shared" ca="1" si="19"/>
        <v>4258</v>
      </c>
      <c r="AH321" s="8">
        <v>0</v>
      </c>
      <c r="AI321" s="8">
        <v>0</v>
      </c>
      <c r="AJ321" s="8">
        <v>0</v>
      </c>
      <c r="AK321" s="8">
        <v>0</v>
      </c>
      <c r="AL321" s="8">
        <v>0</v>
      </c>
      <c r="AM321" s="8">
        <v>0</v>
      </c>
      <c r="AN321" s="8">
        <v>0</v>
      </c>
      <c r="AO321" s="8">
        <v>0</v>
      </c>
      <c r="AP321" s="8">
        <v>0</v>
      </c>
      <c r="AQ321" s="8">
        <v>0</v>
      </c>
      <c r="AR321" s="8">
        <v>0</v>
      </c>
      <c r="AS321" s="8">
        <v>0</v>
      </c>
      <c r="AT321" s="8">
        <v>0</v>
      </c>
      <c r="AU321" s="8">
        <v>0</v>
      </c>
      <c r="AV321" s="8">
        <v>0</v>
      </c>
      <c r="AW321" s="8">
        <v>0</v>
      </c>
      <c r="AX321" s="8" t="s">
        <v>2980</v>
      </c>
      <c r="AY321" s="14">
        <v>295</v>
      </c>
      <c r="AZ321" s="19">
        <v>45000</v>
      </c>
      <c r="BA321" s="14" t="s">
        <v>1719</v>
      </c>
      <c r="BB321" s="14">
        <v>1</v>
      </c>
      <c r="BC321" s="19">
        <v>45107</v>
      </c>
      <c r="BD321" s="14" t="s">
        <v>1720</v>
      </c>
      <c r="BE321" s="14"/>
      <c r="BF321" s="19"/>
      <c r="BG321" s="14"/>
      <c r="BH321" s="14">
        <v>295</v>
      </c>
      <c r="BI321" s="19">
        <v>45000</v>
      </c>
      <c r="BJ321" s="14" t="s">
        <v>1719</v>
      </c>
      <c r="BK321" s="14"/>
      <c r="BL321" s="19"/>
      <c r="BM321" s="14"/>
      <c r="BN321" s="27">
        <v>45180</v>
      </c>
      <c r="BO321" s="27">
        <v>45287</v>
      </c>
      <c r="BP321" s="27"/>
      <c r="BQ321" s="27">
        <v>45180</v>
      </c>
      <c r="BR321" s="27" t="s">
        <v>143</v>
      </c>
      <c r="BS321" s="28">
        <v>-3213</v>
      </c>
      <c r="BT321" s="29">
        <v>-2757</v>
      </c>
      <c r="BU321" s="29" t="s">
        <v>143</v>
      </c>
      <c r="BV321" s="29">
        <v>-3213</v>
      </c>
      <c r="BW321" s="29" t="s">
        <v>143</v>
      </c>
      <c r="BX321" s="8" t="s">
        <v>1016</v>
      </c>
      <c r="BY321" s="8">
        <v>3</v>
      </c>
      <c r="BZ321" s="8">
        <v>0</v>
      </c>
      <c r="CA321" s="8">
        <v>0</v>
      </c>
      <c r="CB321" s="21" t="s">
        <v>143</v>
      </c>
      <c r="CC321" s="21" t="s">
        <v>143</v>
      </c>
      <c r="CD321" s="21" t="s">
        <v>143</v>
      </c>
      <c r="CE321" s="21" t="s">
        <v>143</v>
      </c>
      <c r="CF321" s="21" t="s">
        <v>143</v>
      </c>
      <c r="CG321" s="21" t="s">
        <v>143</v>
      </c>
      <c r="CH321" s="21" t="s">
        <v>143</v>
      </c>
      <c r="CI321" s="21" t="s">
        <v>143</v>
      </c>
      <c r="CJ321" s="21" t="s">
        <v>143</v>
      </c>
      <c r="CK321" s="22" t="s">
        <v>143</v>
      </c>
      <c r="CL321" s="22" t="s">
        <v>143</v>
      </c>
      <c r="CM321" s="22" t="s">
        <v>143</v>
      </c>
      <c r="CN321" s="22" t="s">
        <v>143</v>
      </c>
      <c r="CO321" s="22" t="s">
        <v>143</v>
      </c>
      <c r="CP321" s="22" t="s">
        <v>143</v>
      </c>
      <c r="CQ321" s="22" t="s">
        <v>143</v>
      </c>
      <c r="CR321" s="22" t="s">
        <v>143</v>
      </c>
      <c r="CS321" s="22" t="s">
        <v>143</v>
      </c>
      <c r="CT321" s="22" t="s">
        <v>143</v>
      </c>
      <c r="CU321" s="21" t="s">
        <v>143</v>
      </c>
      <c r="CV321" s="21" t="s">
        <v>143</v>
      </c>
      <c r="CW321" s="21" t="s">
        <v>143</v>
      </c>
      <c r="CX321" s="21" t="s">
        <v>143</v>
      </c>
      <c r="CY321" s="21" t="s">
        <v>143</v>
      </c>
      <c r="CZ321" s="21" t="s">
        <v>143</v>
      </c>
      <c r="DA321" s="21" t="s">
        <v>143</v>
      </c>
      <c r="DB321" s="21" t="s">
        <v>143</v>
      </c>
      <c r="DC321" s="21" t="s">
        <v>143</v>
      </c>
      <c r="DD321" s="8" t="s">
        <v>143</v>
      </c>
      <c r="DE321" s="8" t="s">
        <v>143</v>
      </c>
      <c r="DF321" s="8" t="s">
        <v>143</v>
      </c>
      <c r="DG321" s="8">
        <v>0</v>
      </c>
      <c r="DH321" s="8">
        <v>0</v>
      </c>
      <c r="DI321" s="8">
        <v>0</v>
      </c>
      <c r="DJ321" s="8" t="s">
        <v>3032</v>
      </c>
      <c r="DK321" s="21">
        <v>43207</v>
      </c>
      <c r="DL321" s="21">
        <v>43182</v>
      </c>
      <c r="DM321" s="21">
        <v>45134</v>
      </c>
      <c r="DN321" s="18">
        <v>345</v>
      </c>
      <c r="DO321" s="21">
        <v>0</v>
      </c>
      <c r="DP321" s="21">
        <v>0</v>
      </c>
      <c r="DQ321" s="21" t="s">
        <v>2955</v>
      </c>
      <c r="DR321" s="21">
        <v>45000</v>
      </c>
      <c r="DS321" s="21">
        <v>45000</v>
      </c>
      <c r="DT321" s="21">
        <v>45000</v>
      </c>
      <c r="DU321" s="21">
        <v>45000</v>
      </c>
      <c r="DV321" s="21">
        <v>45000</v>
      </c>
      <c r="DW321" s="21">
        <v>0</v>
      </c>
      <c r="DX321" s="21">
        <v>0</v>
      </c>
      <c r="DY321" s="21">
        <v>0</v>
      </c>
      <c r="DZ321" s="21">
        <v>0</v>
      </c>
      <c r="EA321" s="8">
        <v>465</v>
      </c>
      <c r="EB321" s="8">
        <v>465</v>
      </c>
      <c r="EC321" s="8">
        <v>465</v>
      </c>
      <c r="ED321" s="8">
        <v>465</v>
      </c>
      <c r="EE321" s="8">
        <v>465</v>
      </c>
      <c r="EF321" s="8">
        <v>1465</v>
      </c>
      <c r="EG321" s="8">
        <v>465</v>
      </c>
      <c r="EH321" s="8">
        <v>1465</v>
      </c>
      <c r="EI321" s="8">
        <v>1465</v>
      </c>
      <c r="EJ321" s="8">
        <v>4</v>
      </c>
      <c r="EK321" s="8" t="s">
        <v>715</v>
      </c>
      <c r="EL321" s="8">
        <v>978</v>
      </c>
      <c r="EM321" s="8">
        <v>3912</v>
      </c>
      <c r="EN321" s="8">
        <v>177</v>
      </c>
      <c r="EO321" s="8">
        <v>177</v>
      </c>
      <c r="EP321" s="8">
        <v>177</v>
      </c>
      <c r="EQ321" s="8">
        <v>177</v>
      </c>
      <c r="ER321" s="8">
        <v>177</v>
      </c>
      <c r="ES321" s="8">
        <v>1177</v>
      </c>
      <c r="ET321" s="8">
        <v>177</v>
      </c>
      <c r="EU321" s="8">
        <v>1177</v>
      </c>
      <c r="EV321" s="8">
        <v>1177</v>
      </c>
    </row>
    <row r="322" spans="1:152" x14ac:dyDescent="0.15">
      <c r="A322" s="8">
        <f>ROW([2]!tbl_DPSAC[[#This Row],[Sl. No.]])-1</f>
        <v>321</v>
      </c>
      <c r="B322" s="9" t="s">
        <v>136</v>
      </c>
      <c r="C322" s="9" t="s">
        <v>1721</v>
      </c>
      <c r="D322" s="9" t="s">
        <v>138</v>
      </c>
      <c r="E322" s="9" t="s">
        <v>139</v>
      </c>
      <c r="F322" s="9" t="s">
        <v>161</v>
      </c>
      <c r="G322" s="10" t="s">
        <v>1722</v>
      </c>
      <c r="H322" s="10" t="str">
        <f>_xlfn.XLOOKUP(C322,'[1]E&amp;DPSAC'!$K:$K,'[1]E&amp;DPSAC'!$E:$E,,0)</f>
        <v>CHANDMARI, JORAPHATAK,, DHANBAD</v>
      </c>
      <c r="I322" s="10"/>
      <c r="J322" s="10">
        <v>9047558968</v>
      </c>
      <c r="K322" s="10">
        <f>_xlfn.XLOOKUP(C322,'[1]E&amp;DPSAC'!$K:$K,'[1]E&amp;DPSAC'!$G:$G,"",0)</f>
        <v>8668122316</v>
      </c>
      <c r="L322" s="9" t="str">
        <f t="shared" ref="L322:L385" ca="1" si="21">IF(O322&gt;=TODAY(),"Warranty","Non - Warranty")</f>
        <v>Non - Warranty</v>
      </c>
      <c r="M322" s="11">
        <v>43488</v>
      </c>
      <c r="N322" s="12">
        <v>24</v>
      </c>
      <c r="O322" s="11">
        <f t="shared" si="20"/>
        <v>44227</v>
      </c>
      <c r="P322" s="8" t="s">
        <v>715</v>
      </c>
      <c r="Q322" s="16" t="s">
        <v>1723</v>
      </c>
      <c r="R322" s="15">
        <v>45266.487557870401</v>
      </c>
      <c r="S322" s="14">
        <v>5100</v>
      </c>
      <c r="T322" s="15">
        <v>45266</v>
      </c>
      <c r="U322" s="14">
        <v>5100</v>
      </c>
      <c r="V322" s="14">
        <v>7170</v>
      </c>
      <c r="W322" s="17">
        <v>45966.637499999997</v>
      </c>
      <c r="X322" s="14" t="s">
        <v>2726</v>
      </c>
      <c r="Y322" s="14">
        <v>-1320</v>
      </c>
      <c r="Z322" s="14" t="s">
        <v>2697</v>
      </c>
      <c r="AA322" s="18">
        <v>846.51244212959864</v>
      </c>
      <c r="AB322" s="18" t="s">
        <v>2697</v>
      </c>
      <c r="AC322" s="8">
        <f>tbl_DPSAC[[#This Row],[Current Month Due Count]]</f>
        <v>0</v>
      </c>
      <c r="AD322" s="8">
        <f>tbl_DPSAC[[#This Row],[Next Month Due2]]</f>
        <v>0</v>
      </c>
      <c r="AE322" s="8"/>
      <c r="AF322" s="8">
        <v>3</v>
      </c>
      <c r="AG322" s="14">
        <f t="shared" ref="AG322:AG385" ca="1" si="22">IFERROR(IF(V322&gt;=1,ROUND(SUM(SUM(TODAY()-W322)*AF322)+V322,0),""),"")</f>
        <v>7609</v>
      </c>
      <c r="AH322" s="8">
        <v>0</v>
      </c>
      <c r="AI322" s="8">
        <v>0</v>
      </c>
      <c r="AJ322" s="8">
        <v>0</v>
      </c>
      <c r="AK322" s="8">
        <v>0</v>
      </c>
      <c r="AL322" s="8">
        <v>0</v>
      </c>
      <c r="AM322" s="8">
        <v>0</v>
      </c>
      <c r="AN322" s="8">
        <v>0</v>
      </c>
      <c r="AO322" s="8">
        <v>0</v>
      </c>
      <c r="AP322" s="8">
        <v>0</v>
      </c>
      <c r="AQ322" s="8">
        <v>0</v>
      </c>
      <c r="AR322" s="8">
        <v>0</v>
      </c>
      <c r="AS322" s="8">
        <v>0</v>
      </c>
      <c r="AT322" s="8">
        <v>0</v>
      </c>
      <c r="AU322" s="8">
        <v>0</v>
      </c>
      <c r="AV322" s="8">
        <v>0</v>
      </c>
      <c r="AW322" s="8">
        <v>0</v>
      </c>
      <c r="AX322" s="8" t="s">
        <v>2961</v>
      </c>
      <c r="AY322" s="14">
        <v>5100</v>
      </c>
      <c r="AZ322" s="19">
        <v>45266</v>
      </c>
      <c r="BA322" s="14" t="s">
        <v>1723</v>
      </c>
      <c r="BB322" s="14">
        <v>4500</v>
      </c>
      <c r="BC322" s="19">
        <v>45090</v>
      </c>
      <c r="BD322" s="14" t="s">
        <v>1724</v>
      </c>
      <c r="BE322" s="14">
        <v>5100</v>
      </c>
      <c r="BF322" s="19">
        <v>45266</v>
      </c>
      <c r="BG322" s="14" t="s">
        <v>1723</v>
      </c>
      <c r="BH322" s="14">
        <v>5100</v>
      </c>
      <c r="BI322" s="19">
        <v>45266</v>
      </c>
      <c r="BJ322" s="14" t="s">
        <v>1723</v>
      </c>
      <c r="BK322" s="14">
        <v>4500</v>
      </c>
      <c r="BL322" s="19">
        <v>45090</v>
      </c>
      <c r="BM322" s="14" t="s">
        <v>1724</v>
      </c>
      <c r="BN322" s="27">
        <v>45446</v>
      </c>
      <c r="BO322" s="27">
        <v>45270</v>
      </c>
      <c r="BP322" s="27">
        <v>45446</v>
      </c>
      <c r="BQ322" s="27">
        <v>45446</v>
      </c>
      <c r="BR322" s="27">
        <v>45455</v>
      </c>
      <c r="BS322" s="28">
        <v>-1759</v>
      </c>
      <c r="BT322" s="29">
        <v>-1609</v>
      </c>
      <c r="BU322" s="29">
        <v>-1759</v>
      </c>
      <c r="BV322" s="29">
        <v>-1759</v>
      </c>
      <c r="BW322" s="29">
        <v>-1609</v>
      </c>
      <c r="BX322" s="30"/>
      <c r="BY322" s="8">
        <v>5</v>
      </c>
      <c r="BZ322" s="8">
        <v>0</v>
      </c>
      <c r="CA322" s="8">
        <v>0</v>
      </c>
      <c r="CB322" s="21" t="s">
        <v>143</v>
      </c>
      <c r="CC322" s="21" t="s">
        <v>143</v>
      </c>
      <c r="CD322" s="21" t="s">
        <v>143</v>
      </c>
      <c r="CE322" s="21" t="s">
        <v>143</v>
      </c>
      <c r="CF322" s="21" t="s">
        <v>143</v>
      </c>
      <c r="CG322" s="21" t="s">
        <v>143</v>
      </c>
      <c r="CH322" s="21" t="s">
        <v>143</v>
      </c>
      <c r="CI322" s="21" t="s">
        <v>143</v>
      </c>
      <c r="CJ322" s="21" t="s">
        <v>143</v>
      </c>
      <c r="CK322" s="22" t="s">
        <v>143</v>
      </c>
      <c r="CL322" s="22" t="s">
        <v>143</v>
      </c>
      <c r="CM322" s="22" t="s">
        <v>143</v>
      </c>
      <c r="CN322" s="22" t="s">
        <v>143</v>
      </c>
      <c r="CO322" s="22" t="s">
        <v>143</v>
      </c>
      <c r="CP322" s="22" t="s">
        <v>143</v>
      </c>
      <c r="CQ322" s="22" t="s">
        <v>143</v>
      </c>
      <c r="CR322" s="22" t="s">
        <v>143</v>
      </c>
      <c r="CS322" s="22" t="s">
        <v>143</v>
      </c>
      <c r="CT322" s="22" t="s">
        <v>143</v>
      </c>
      <c r="CU322" s="21" t="s">
        <v>143</v>
      </c>
      <c r="CV322" s="21" t="s">
        <v>143</v>
      </c>
      <c r="CW322" s="21" t="s">
        <v>143</v>
      </c>
      <c r="CX322" s="21" t="s">
        <v>143</v>
      </c>
      <c r="CY322" s="21" t="s">
        <v>143</v>
      </c>
      <c r="CZ322" s="21" t="s">
        <v>143</v>
      </c>
      <c r="DA322" s="21" t="s">
        <v>143</v>
      </c>
      <c r="DB322" s="21" t="s">
        <v>143</v>
      </c>
      <c r="DC322" s="21" t="s">
        <v>143</v>
      </c>
      <c r="DD322" s="8" t="s">
        <v>143</v>
      </c>
      <c r="DE322" s="8" t="s">
        <v>143</v>
      </c>
      <c r="DF322" s="8" t="s">
        <v>143</v>
      </c>
      <c r="DG322" s="8">
        <v>0</v>
      </c>
      <c r="DH322" s="8">
        <v>0</v>
      </c>
      <c r="DI322" s="8">
        <v>0</v>
      </c>
      <c r="DJ322" s="8" t="s">
        <v>3032</v>
      </c>
      <c r="DK322" s="21">
        <v>43488</v>
      </c>
      <c r="DL322" s="21">
        <v>43399</v>
      </c>
      <c r="DM322" s="21">
        <v>45966</v>
      </c>
      <c r="DN322" s="18">
        <v>7170</v>
      </c>
      <c r="DO322" s="21">
        <v>0</v>
      </c>
      <c r="DP322" s="21">
        <v>0</v>
      </c>
      <c r="DQ322" s="21" t="s">
        <v>2955</v>
      </c>
      <c r="DR322" s="21">
        <v>45266</v>
      </c>
      <c r="DS322" s="21">
        <v>45266</v>
      </c>
      <c r="DT322" s="21">
        <v>45266</v>
      </c>
      <c r="DU322" s="21">
        <v>45266</v>
      </c>
      <c r="DV322" s="21">
        <v>45266</v>
      </c>
      <c r="DW322" s="21">
        <v>45090</v>
      </c>
      <c r="DX322" s="21">
        <v>0</v>
      </c>
      <c r="DY322" s="21">
        <v>45090</v>
      </c>
      <c r="DZ322" s="21">
        <v>0</v>
      </c>
      <c r="EA322" s="8">
        <v>320</v>
      </c>
      <c r="EB322" s="8">
        <v>320</v>
      </c>
      <c r="EC322" s="8">
        <v>320</v>
      </c>
      <c r="ED322" s="8">
        <v>320</v>
      </c>
      <c r="EE322" s="8">
        <v>320</v>
      </c>
      <c r="EF322" s="8">
        <v>320</v>
      </c>
      <c r="EG322" s="8">
        <v>100</v>
      </c>
      <c r="EH322" s="8">
        <v>320</v>
      </c>
      <c r="EI322" s="8">
        <v>320</v>
      </c>
      <c r="EJ322" s="8">
        <v>3</v>
      </c>
      <c r="EK322" s="8" t="s">
        <v>715</v>
      </c>
      <c r="EL322" s="8">
        <v>146</v>
      </c>
      <c r="EM322" s="8">
        <v>438</v>
      </c>
      <c r="EN322" s="8">
        <v>32</v>
      </c>
      <c r="EO322" s="8">
        <v>32</v>
      </c>
      <c r="EP322" s="8">
        <v>32</v>
      </c>
      <c r="EQ322" s="8">
        <v>32</v>
      </c>
      <c r="ER322" s="8">
        <v>32</v>
      </c>
      <c r="ES322" s="8">
        <v>32</v>
      </c>
      <c r="ET322" s="8">
        <v>-188</v>
      </c>
      <c r="EU322" s="8">
        <v>32</v>
      </c>
      <c r="EV322" s="8">
        <v>32</v>
      </c>
    </row>
    <row r="323" spans="1:152" x14ac:dyDescent="0.15">
      <c r="A323" s="8">
        <f>ROW([2]!tbl_DPSAC[[#This Row],[Sl. No.]])-1</f>
        <v>322</v>
      </c>
      <c r="B323" s="9" t="s">
        <v>136</v>
      </c>
      <c r="C323" s="9" t="s">
        <v>1725</v>
      </c>
      <c r="D323" s="9" t="s">
        <v>138</v>
      </c>
      <c r="E323" s="9" t="s">
        <v>139</v>
      </c>
      <c r="F323" s="9" t="s">
        <v>161</v>
      </c>
      <c r="G323" s="10" t="s">
        <v>1063</v>
      </c>
      <c r="H323" s="10" t="str">
        <f>_xlfn.XLOOKUP(C323,'[1]E&amp;DPSAC'!$K:$K,'[1]E&amp;DPSAC'!$E:$E,,0)</f>
        <v>SHYAMDIH, KATRAS</v>
      </c>
      <c r="I323" s="10"/>
      <c r="J323" s="10">
        <v>9835988493</v>
      </c>
      <c r="K323" s="10">
        <f>_xlfn.XLOOKUP(C323,'[1]E&amp;DPSAC'!$K:$K,'[1]E&amp;DPSAC'!$G:$G,"",0)</f>
        <v>9835988493</v>
      </c>
      <c r="L323" s="9" t="str">
        <f t="shared" ca="1" si="21"/>
        <v>Non - Warranty</v>
      </c>
      <c r="M323" s="11">
        <v>42920</v>
      </c>
      <c r="N323" s="12">
        <v>24</v>
      </c>
      <c r="O323" s="11">
        <f t="shared" si="20"/>
        <v>43677</v>
      </c>
      <c r="P323" s="8" t="s">
        <v>142</v>
      </c>
      <c r="Q323" s="16" t="s">
        <v>1726</v>
      </c>
      <c r="R323" s="15">
        <v>45954.728472222225</v>
      </c>
      <c r="S323" s="14">
        <v>5900</v>
      </c>
      <c r="T323" s="15">
        <v>45355</v>
      </c>
      <c r="U323" s="14">
        <v>4250</v>
      </c>
      <c r="V323" s="14">
        <v>5935</v>
      </c>
      <c r="W323" s="17">
        <v>45966.63958333333</v>
      </c>
      <c r="X323" s="14" t="s">
        <v>2699</v>
      </c>
      <c r="Y323" s="14">
        <v>715</v>
      </c>
      <c r="Z323" s="14" t="s">
        <v>2692</v>
      </c>
      <c r="AA323" s="18">
        <v>158.27152777777519</v>
      </c>
      <c r="AB323" s="18" t="s">
        <v>2692</v>
      </c>
      <c r="AC323" s="8">
        <f>tbl_DPSAC[[#This Row],[Current Month Due Count]]</f>
        <v>4</v>
      </c>
      <c r="AD323" s="8">
        <f>tbl_DPSAC[[#This Row],[Next Month Due2]]</f>
        <v>0</v>
      </c>
      <c r="AE323" s="8"/>
      <c r="AF323" s="8">
        <v>3</v>
      </c>
      <c r="AG323" s="14">
        <f t="shared" ca="1" si="22"/>
        <v>6374</v>
      </c>
      <c r="AH323" s="8">
        <v>0</v>
      </c>
      <c r="AI323" s="8">
        <v>0</v>
      </c>
      <c r="AJ323" s="8">
        <v>0</v>
      </c>
      <c r="AK323" s="8">
        <v>0</v>
      </c>
      <c r="AL323" s="8">
        <v>0</v>
      </c>
      <c r="AM323" s="8">
        <v>0</v>
      </c>
      <c r="AN323" s="8">
        <v>0</v>
      </c>
      <c r="AO323" s="8">
        <v>0</v>
      </c>
      <c r="AP323" s="8">
        <v>0</v>
      </c>
      <c r="AQ323" s="8">
        <v>0</v>
      </c>
      <c r="AR323" s="8">
        <v>0</v>
      </c>
      <c r="AS323" s="8">
        <v>0</v>
      </c>
      <c r="AT323" s="8">
        <v>0</v>
      </c>
      <c r="AU323" s="8">
        <v>0</v>
      </c>
      <c r="AV323" s="8">
        <v>0</v>
      </c>
      <c r="AW323" s="8">
        <v>0</v>
      </c>
      <c r="AX323" s="8" t="s">
        <v>2007</v>
      </c>
      <c r="AY323" s="14">
        <v>5900</v>
      </c>
      <c r="AZ323" s="19">
        <v>45954</v>
      </c>
      <c r="BA323" s="14" t="s">
        <v>1726</v>
      </c>
      <c r="BB323" s="14">
        <v>5900</v>
      </c>
      <c r="BC323" s="19">
        <v>45954</v>
      </c>
      <c r="BD323" s="14" t="s">
        <v>1726</v>
      </c>
      <c r="BE323" s="14">
        <v>5900</v>
      </c>
      <c r="BF323" s="19">
        <v>45954</v>
      </c>
      <c r="BG323" s="14" t="s">
        <v>1726</v>
      </c>
      <c r="BH323" s="14">
        <v>5900</v>
      </c>
      <c r="BI323" s="19">
        <v>45954</v>
      </c>
      <c r="BJ323" s="14" t="s">
        <v>1726</v>
      </c>
      <c r="BK323" s="14">
        <v>5900</v>
      </c>
      <c r="BL323" s="19">
        <v>45954</v>
      </c>
      <c r="BM323" s="14" t="s">
        <v>1726</v>
      </c>
      <c r="BN323" s="27">
        <v>46134</v>
      </c>
      <c r="BO323" s="27">
        <v>46134</v>
      </c>
      <c r="BP323" s="27">
        <v>46134</v>
      </c>
      <c r="BQ323" s="27">
        <v>46134</v>
      </c>
      <c r="BR323" s="27">
        <v>46319</v>
      </c>
      <c r="BS323" s="28">
        <v>276</v>
      </c>
      <c r="BT323" s="29">
        <v>1026</v>
      </c>
      <c r="BU323" s="29">
        <v>276</v>
      </c>
      <c r="BV323" s="29">
        <v>276</v>
      </c>
      <c r="BW323" s="29">
        <v>1026</v>
      </c>
      <c r="BX323" s="30"/>
      <c r="BY323" s="8">
        <v>0</v>
      </c>
      <c r="BZ323" s="8">
        <v>4</v>
      </c>
      <c r="CA323" s="8">
        <v>0</v>
      </c>
      <c r="CB323" s="21">
        <v>45954.770833333299</v>
      </c>
      <c r="CC323" s="21">
        <v>45954.770833333299</v>
      </c>
      <c r="CD323" s="21">
        <v>45954.770833333299</v>
      </c>
      <c r="CE323" s="21">
        <v>45954.770833333299</v>
      </c>
      <c r="CF323" s="21">
        <v>45954.770833333299</v>
      </c>
      <c r="CG323" s="21">
        <v>45954.770833333299</v>
      </c>
      <c r="CH323" s="21">
        <v>45954.770833333299</v>
      </c>
      <c r="CI323" s="21">
        <v>45954.770833333299</v>
      </c>
      <c r="CJ323" s="21">
        <v>45954.770833333299</v>
      </c>
      <c r="CK323" s="22" t="s">
        <v>3103</v>
      </c>
      <c r="CL323" s="22" t="s">
        <v>3103</v>
      </c>
      <c r="CM323" s="22" t="s">
        <v>3103</v>
      </c>
      <c r="CN323" s="22" t="s">
        <v>3103</v>
      </c>
      <c r="CO323" s="22" t="s">
        <v>3103</v>
      </c>
      <c r="CP323" s="22" t="s">
        <v>3119</v>
      </c>
      <c r="CQ323" s="22" t="s">
        <v>2953</v>
      </c>
      <c r="CR323" s="22" t="s">
        <v>3119</v>
      </c>
      <c r="CS323" s="22" t="s">
        <v>3119</v>
      </c>
      <c r="CT323" s="22">
        <v>3</v>
      </c>
      <c r="CU323" s="21">
        <v>46134</v>
      </c>
      <c r="CV323" s="21">
        <v>46134</v>
      </c>
      <c r="CW323" s="21">
        <v>46134</v>
      </c>
      <c r="CX323" s="21">
        <v>46134</v>
      </c>
      <c r="CY323" s="21">
        <v>46134</v>
      </c>
      <c r="CZ323" s="21">
        <v>46224</v>
      </c>
      <c r="DA323" s="21">
        <v>46299</v>
      </c>
      <c r="DB323" s="21">
        <v>46134</v>
      </c>
      <c r="DC323" s="21">
        <v>46319</v>
      </c>
      <c r="DD323" s="8">
        <v>0</v>
      </c>
      <c r="DE323" s="8">
        <v>0</v>
      </c>
      <c r="DF323" s="8">
        <v>0</v>
      </c>
      <c r="DG323" s="8">
        <v>0</v>
      </c>
      <c r="DH323" s="8">
        <v>6</v>
      </c>
      <c r="DI323" s="8">
        <v>0</v>
      </c>
      <c r="DJ323" s="8" t="s">
        <v>2954</v>
      </c>
      <c r="DK323" s="21">
        <v>42920</v>
      </c>
      <c r="DL323" s="21">
        <v>42900</v>
      </c>
      <c r="DM323" s="21">
        <v>45966</v>
      </c>
      <c r="DN323" s="18">
        <v>5935</v>
      </c>
      <c r="DO323" s="21">
        <v>0</v>
      </c>
      <c r="DP323" s="21">
        <v>0</v>
      </c>
      <c r="DQ323" s="21" t="s">
        <v>2955</v>
      </c>
      <c r="DR323" s="21">
        <v>45955</v>
      </c>
      <c r="DS323" s="21">
        <v>45955</v>
      </c>
      <c r="DT323" s="21">
        <v>45955</v>
      </c>
      <c r="DU323" s="21">
        <v>45955</v>
      </c>
      <c r="DV323" s="21">
        <v>45955</v>
      </c>
      <c r="DW323" s="21">
        <v>45955</v>
      </c>
      <c r="DX323" s="21">
        <v>45955</v>
      </c>
      <c r="DY323" s="21">
        <v>45955</v>
      </c>
      <c r="DZ323" s="21">
        <v>45955</v>
      </c>
      <c r="EA323" s="8">
        <v>715</v>
      </c>
      <c r="EB323" s="8">
        <v>715</v>
      </c>
      <c r="EC323" s="8">
        <v>715</v>
      </c>
      <c r="ED323" s="8">
        <v>715</v>
      </c>
      <c r="EE323" s="8">
        <v>715</v>
      </c>
      <c r="EF323" s="8">
        <v>1465</v>
      </c>
      <c r="EG323" s="8">
        <v>1000</v>
      </c>
      <c r="EH323" s="8">
        <v>1465</v>
      </c>
      <c r="EI323" s="8">
        <v>1465</v>
      </c>
      <c r="EJ323" s="8">
        <v>3</v>
      </c>
      <c r="EK323" s="8" t="s">
        <v>2624</v>
      </c>
      <c r="EL323" s="8">
        <v>146</v>
      </c>
      <c r="EM323" s="8">
        <v>438</v>
      </c>
      <c r="EN323" s="8">
        <v>427</v>
      </c>
      <c r="EO323" s="8">
        <v>427</v>
      </c>
      <c r="EP323" s="8">
        <v>427</v>
      </c>
      <c r="EQ323" s="8">
        <v>427</v>
      </c>
      <c r="ER323" s="8">
        <v>427</v>
      </c>
      <c r="ES323" s="8">
        <v>1177</v>
      </c>
      <c r="ET323" s="8">
        <v>712</v>
      </c>
      <c r="EU323" s="8">
        <v>1177</v>
      </c>
      <c r="EV323" s="8">
        <v>1177</v>
      </c>
    </row>
    <row r="324" spans="1:152" x14ac:dyDescent="0.15">
      <c r="A324" s="8">
        <f>ROW([2]!tbl_DPSAC[[#This Row],[Sl. No.]])-1</f>
        <v>323</v>
      </c>
      <c r="B324" s="9" t="s">
        <v>136</v>
      </c>
      <c r="C324" s="9" t="s">
        <v>1727</v>
      </c>
      <c r="D324" s="9" t="s">
        <v>138</v>
      </c>
      <c r="E324" s="9" t="s">
        <v>139</v>
      </c>
      <c r="F324" s="9" t="s">
        <v>161</v>
      </c>
      <c r="G324" s="10" t="s">
        <v>1728</v>
      </c>
      <c r="H324" s="10" t="str">
        <f>_xlfn.XLOOKUP(C324,'[1]E&amp;DPSAC'!$K:$K,'[1]E&amp;DPSAC'!$E:$E,,0)</f>
        <v>KUSUNDA DHABAD</v>
      </c>
      <c r="I324" s="10"/>
      <c r="J324" s="10">
        <v>8210106692</v>
      </c>
      <c r="K324" s="10">
        <f>_xlfn.XLOOKUP(C324,'[1]E&amp;DPSAC'!$K:$K,'[1]E&amp;DPSAC'!$G:$G,"",0)</f>
        <v>8210106692</v>
      </c>
      <c r="L324" s="9" t="str">
        <f t="shared" ca="1" si="21"/>
        <v>Non - Warranty</v>
      </c>
      <c r="M324" s="11">
        <v>43272</v>
      </c>
      <c r="N324" s="12">
        <v>24</v>
      </c>
      <c r="O324" s="11">
        <f t="shared" si="20"/>
        <v>44012</v>
      </c>
      <c r="P324" s="8" t="s">
        <v>715</v>
      </c>
      <c r="Q324" s="16" t="s">
        <v>1729</v>
      </c>
      <c r="R324" s="15">
        <v>45167.529293981497</v>
      </c>
      <c r="S324" s="14">
        <v>5050</v>
      </c>
      <c r="T324" s="15">
        <v>45167</v>
      </c>
      <c r="U324" s="14">
        <v>5050</v>
      </c>
      <c r="V324" s="14">
        <v>5660</v>
      </c>
      <c r="W324" s="17">
        <v>45476.6668055556</v>
      </c>
      <c r="X324" s="14" t="s">
        <v>2786</v>
      </c>
      <c r="Y324" s="14">
        <v>140</v>
      </c>
      <c r="Z324" s="14" t="s">
        <v>2692</v>
      </c>
      <c r="AA324" s="18">
        <v>945.47070601850282</v>
      </c>
      <c r="AB324" s="18" t="s">
        <v>2697</v>
      </c>
      <c r="AC324" s="8">
        <f>tbl_DPSAC[[#This Row],[Current Month Due Count]]</f>
        <v>0</v>
      </c>
      <c r="AD324" s="8">
        <f>tbl_DPSAC[[#This Row],[Next Month Due2]]</f>
        <v>0</v>
      </c>
      <c r="AE324" s="8"/>
      <c r="AF324" s="8">
        <v>2</v>
      </c>
      <c r="AG324" s="14">
        <f t="shared" ca="1" si="22"/>
        <v>6933</v>
      </c>
      <c r="AH324" s="8">
        <v>0</v>
      </c>
      <c r="AI324" s="8">
        <v>0</v>
      </c>
      <c r="AJ324" s="8">
        <v>0</v>
      </c>
      <c r="AK324" s="8">
        <v>0</v>
      </c>
      <c r="AL324" s="8">
        <v>0</v>
      </c>
      <c r="AM324" s="8">
        <v>0</v>
      </c>
      <c r="AN324" s="8">
        <v>0</v>
      </c>
      <c r="AO324" s="8">
        <v>0</v>
      </c>
      <c r="AP324" s="8">
        <v>0</v>
      </c>
      <c r="AQ324" s="8">
        <v>0</v>
      </c>
      <c r="AR324" s="8">
        <v>0</v>
      </c>
      <c r="AS324" s="8">
        <v>0</v>
      </c>
      <c r="AT324" s="8">
        <v>0</v>
      </c>
      <c r="AU324" s="8">
        <v>0</v>
      </c>
      <c r="AV324" s="8">
        <v>0</v>
      </c>
      <c r="AW324" s="8">
        <v>0</v>
      </c>
      <c r="AX324" s="8" t="s">
        <v>2980</v>
      </c>
      <c r="AY324" s="14">
        <v>5050</v>
      </c>
      <c r="AZ324" s="19">
        <v>45167</v>
      </c>
      <c r="BA324" s="14" t="s">
        <v>1729</v>
      </c>
      <c r="BB324" s="14"/>
      <c r="BC324" s="19"/>
      <c r="BD324" s="14"/>
      <c r="BE324" s="14">
        <v>5050</v>
      </c>
      <c r="BF324" s="19">
        <v>45167</v>
      </c>
      <c r="BG324" s="14" t="s">
        <v>1729</v>
      </c>
      <c r="BH324" s="14">
        <v>5050</v>
      </c>
      <c r="BI324" s="19">
        <v>45167</v>
      </c>
      <c r="BJ324" s="14" t="s">
        <v>1729</v>
      </c>
      <c r="BK324" s="14"/>
      <c r="BL324" s="19"/>
      <c r="BM324" s="14"/>
      <c r="BN324" s="27">
        <v>45347</v>
      </c>
      <c r="BO324" s="27" t="s">
        <v>143</v>
      </c>
      <c r="BP324" s="27">
        <v>45347</v>
      </c>
      <c r="BQ324" s="27">
        <v>45347</v>
      </c>
      <c r="BR324" s="27" t="s">
        <v>143</v>
      </c>
      <c r="BS324" s="28">
        <v>-1133</v>
      </c>
      <c r="BT324" s="29" t="s">
        <v>143</v>
      </c>
      <c r="BU324" s="29">
        <v>-1133</v>
      </c>
      <c r="BV324" s="29">
        <v>-1133</v>
      </c>
      <c r="BW324" s="29" t="s">
        <v>143</v>
      </c>
      <c r="BX324" s="8" t="s">
        <v>1016</v>
      </c>
      <c r="BY324" s="8">
        <v>3</v>
      </c>
      <c r="BZ324" s="8">
        <v>0</v>
      </c>
      <c r="CA324" s="8">
        <v>0</v>
      </c>
      <c r="CB324" s="21" t="s">
        <v>143</v>
      </c>
      <c r="CC324" s="21" t="s">
        <v>143</v>
      </c>
      <c r="CD324" s="21" t="s">
        <v>143</v>
      </c>
      <c r="CE324" s="21" t="s">
        <v>143</v>
      </c>
      <c r="CF324" s="21" t="s">
        <v>143</v>
      </c>
      <c r="CG324" s="21" t="s">
        <v>143</v>
      </c>
      <c r="CH324" s="21" t="s">
        <v>143</v>
      </c>
      <c r="CI324" s="21" t="s">
        <v>143</v>
      </c>
      <c r="CJ324" s="21" t="s">
        <v>143</v>
      </c>
      <c r="CK324" s="22" t="s">
        <v>143</v>
      </c>
      <c r="CL324" s="22" t="s">
        <v>143</v>
      </c>
      <c r="CM324" s="22" t="s">
        <v>143</v>
      </c>
      <c r="CN324" s="22" t="s">
        <v>143</v>
      </c>
      <c r="CO324" s="22" t="s">
        <v>143</v>
      </c>
      <c r="CP324" s="22" t="s">
        <v>143</v>
      </c>
      <c r="CQ324" s="22" t="s">
        <v>143</v>
      </c>
      <c r="CR324" s="22" t="s">
        <v>143</v>
      </c>
      <c r="CS324" s="22" t="s">
        <v>143</v>
      </c>
      <c r="CT324" s="22" t="s">
        <v>143</v>
      </c>
      <c r="CU324" s="21" t="s">
        <v>143</v>
      </c>
      <c r="CV324" s="21" t="s">
        <v>143</v>
      </c>
      <c r="CW324" s="21" t="s">
        <v>143</v>
      </c>
      <c r="CX324" s="21" t="s">
        <v>143</v>
      </c>
      <c r="CY324" s="21" t="s">
        <v>143</v>
      </c>
      <c r="CZ324" s="21" t="s">
        <v>143</v>
      </c>
      <c r="DA324" s="21" t="s">
        <v>143</v>
      </c>
      <c r="DB324" s="21" t="s">
        <v>143</v>
      </c>
      <c r="DC324" s="21" t="s">
        <v>143</v>
      </c>
      <c r="DD324" s="8" t="s">
        <v>143</v>
      </c>
      <c r="DE324" s="8" t="s">
        <v>143</v>
      </c>
      <c r="DF324" s="8" t="s">
        <v>143</v>
      </c>
      <c r="DG324" s="8">
        <v>0</v>
      </c>
      <c r="DH324" s="8">
        <v>0</v>
      </c>
      <c r="DI324" s="8">
        <v>0</v>
      </c>
      <c r="DJ324" s="8" t="s">
        <v>3032</v>
      </c>
      <c r="DK324" s="21">
        <v>43272</v>
      </c>
      <c r="DL324" s="21">
        <v>43262</v>
      </c>
      <c r="DM324" s="21">
        <v>45476</v>
      </c>
      <c r="DN324" s="18">
        <v>5660</v>
      </c>
      <c r="DO324" s="21">
        <v>0</v>
      </c>
      <c r="DP324" s="21">
        <v>0</v>
      </c>
      <c r="DQ324" s="21" t="s">
        <v>2955</v>
      </c>
      <c r="DR324" s="21">
        <v>45167</v>
      </c>
      <c r="DS324" s="21">
        <v>45167</v>
      </c>
      <c r="DT324" s="21">
        <v>45167</v>
      </c>
      <c r="DU324" s="21">
        <v>45167</v>
      </c>
      <c r="DV324" s="21">
        <v>45167</v>
      </c>
      <c r="DW324" s="21">
        <v>44966</v>
      </c>
      <c r="DX324" s="21">
        <v>0</v>
      </c>
      <c r="DY324" s="21">
        <v>44966</v>
      </c>
      <c r="DZ324" s="21">
        <v>0</v>
      </c>
      <c r="EA324" s="8">
        <v>140</v>
      </c>
      <c r="EB324" s="8">
        <v>140</v>
      </c>
      <c r="EC324" s="8">
        <v>140</v>
      </c>
      <c r="ED324" s="8">
        <v>140</v>
      </c>
      <c r="EE324" s="8">
        <v>140</v>
      </c>
      <c r="EF324" s="8">
        <v>140</v>
      </c>
      <c r="EG324" s="8">
        <v>140</v>
      </c>
      <c r="EH324" s="8">
        <v>140</v>
      </c>
      <c r="EI324" s="8">
        <v>140</v>
      </c>
      <c r="EJ324" s="8">
        <v>2</v>
      </c>
      <c r="EK324" s="8" t="s">
        <v>715</v>
      </c>
      <c r="EL324" s="8">
        <v>636</v>
      </c>
      <c r="EM324" s="8">
        <v>1272</v>
      </c>
      <c r="EN324" s="8">
        <v>-148</v>
      </c>
      <c r="EO324" s="8">
        <v>-148</v>
      </c>
      <c r="EP324" s="8">
        <v>-148</v>
      </c>
      <c r="EQ324" s="8">
        <v>-148</v>
      </c>
      <c r="ER324" s="8">
        <v>-148</v>
      </c>
      <c r="ES324" s="8">
        <v>-148</v>
      </c>
      <c r="ET324" s="8">
        <v>-148</v>
      </c>
      <c r="EU324" s="8">
        <v>-148</v>
      </c>
      <c r="EV324" s="8">
        <v>-148</v>
      </c>
    </row>
    <row r="325" spans="1:152" x14ac:dyDescent="0.15">
      <c r="A325" s="8">
        <f>ROW([2]!tbl_DPSAC[[#This Row],[Sl. No.]])-1</f>
        <v>324</v>
      </c>
      <c r="B325" s="9" t="s">
        <v>136</v>
      </c>
      <c r="C325" s="9" t="s">
        <v>1730</v>
      </c>
      <c r="D325" s="9" t="s">
        <v>138</v>
      </c>
      <c r="E325" s="9" t="s">
        <v>139</v>
      </c>
      <c r="F325" s="9" t="s">
        <v>161</v>
      </c>
      <c r="G325" s="10" t="s">
        <v>1731</v>
      </c>
      <c r="H325" s="10" t="str">
        <f>_xlfn.XLOOKUP(C325,'[1]E&amp;DPSAC'!$K:$K,'[1]E&amp;DPSAC'!$E:$E,,0)</f>
        <v>DHANBAD</v>
      </c>
      <c r="I325" s="10"/>
      <c r="J325" s="10">
        <v>9344284002</v>
      </c>
      <c r="K325" s="10">
        <f>_xlfn.XLOOKUP(C325,'[1]E&amp;DPSAC'!$K:$K,'[1]E&amp;DPSAC'!$G:$G,"",0)</f>
        <v>9344284002</v>
      </c>
      <c r="L325" s="9" t="str">
        <f t="shared" ca="1" si="21"/>
        <v>Non - Warranty</v>
      </c>
      <c r="M325" s="11">
        <v>43148</v>
      </c>
      <c r="N325" s="12">
        <v>24</v>
      </c>
      <c r="O325" s="11">
        <f t="shared" si="20"/>
        <v>43890</v>
      </c>
      <c r="P325" s="8" t="s">
        <v>715</v>
      </c>
      <c r="Q325" s="16" t="s">
        <v>1732</v>
      </c>
      <c r="R325" s="15">
        <v>45265.569155092599</v>
      </c>
      <c r="S325" s="14">
        <v>5500</v>
      </c>
      <c r="T325" s="15">
        <v>45265</v>
      </c>
      <c r="U325" s="14">
        <v>5500</v>
      </c>
      <c r="V325" s="14">
        <v>7170</v>
      </c>
      <c r="W325" s="17">
        <v>45966.642361111109</v>
      </c>
      <c r="X325" s="14" t="s">
        <v>2708</v>
      </c>
      <c r="Y325" s="14">
        <v>-920</v>
      </c>
      <c r="Z325" s="14" t="s">
        <v>2697</v>
      </c>
      <c r="AA325" s="18">
        <v>847.43084490740148</v>
      </c>
      <c r="AB325" s="18" t="s">
        <v>2697</v>
      </c>
      <c r="AC325" s="8">
        <f>tbl_DPSAC[[#This Row],[Current Month Due Count]]</f>
        <v>0</v>
      </c>
      <c r="AD325" s="8">
        <f>tbl_DPSAC[[#This Row],[Next Month Due2]]</f>
        <v>0</v>
      </c>
      <c r="AE325" s="8"/>
      <c r="AF325" s="8">
        <v>2</v>
      </c>
      <c r="AG325" s="14">
        <f t="shared" ca="1" si="22"/>
        <v>7463</v>
      </c>
      <c r="AH325" s="8">
        <v>0</v>
      </c>
      <c r="AI325" s="8">
        <v>0</v>
      </c>
      <c r="AJ325" s="8">
        <v>0</v>
      </c>
      <c r="AK325" s="8">
        <v>0</v>
      </c>
      <c r="AL325" s="8">
        <v>0</v>
      </c>
      <c r="AM325" s="8">
        <v>0</v>
      </c>
      <c r="AN325" s="8">
        <v>0</v>
      </c>
      <c r="AO325" s="8">
        <v>0</v>
      </c>
      <c r="AP325" s="8">
        <v>0</v>
      </c>
      <c r="AQ325" s="8">
        <v>0</v>
      </c>
      <c r="AR325" s="8">
        <v>0</v>
      </c>
      <c r="AS325" s="8">
        <v>0</v>
      </c>
      <c r="AT325" s="8">
        <v>0</v>
      </c>
      <c r="AU325" s="8">
        <v>0</v>
      </c>
      <c r="AV325" s="8">
        <v>0</v>
      </c>
      <c r="AW325" s="8">
        <v>0</v>
      </c>
      <c r="AX325" s="8" t="s">
        <v>2980</v>
      </c>
      <c r="AY325" s="14">
        <v>5500</v>
      </c>
      <c r="AZ325" s="19">
        <v>45265</v>
      </c>
      <c r="BA325" s="14" t="s">
        <v>1732</v>
      </c>
      <c r="BB325" s="14"/>
      <c r="BC325" s="19"/>
      <c r="BD325" s="14"/>
      <c r="BE325" s="14">
        <v>5500</v>
      </c>
      <c r="BF325" s="19">
        <v>45265</v>
      </c>
      <c r="BG325" s="14" t="s">
        <v>1732</v>
      </c>
      <c r="BH325" s="14">
        <v>5500</v>
      </c>
      <c r="BI325" s="19">
        <v>45265</v>
      </c>
      <c r="BJ325" s="14" t="s">
        <v>1732</v>
      </c>
      <c r="BK325" s="14"/>
      <c r="BL325" s="19"/>
      <c r="BM325" s="14" t="s">
        <v>1724</v>
      </c>
      <c r="BN325" s="27">
        <v>45445</v>
      </c>
      <c r="BO325" s="27" t="s">
        <v>143</v>
      </c>
      <c r="BP325" s="27">
        <v>45445</v>
      </c>
      <c r="BQ325" s="27">
        <v>45445</v>
      </c>
      <c r="BR325" s="27" t="s">
        <v>143</v>
      </c>
      <c r="BS325" s="28">
        <v>-1213</v>
      </c>
      <c r="BT325" s="29" t="s">
        <v>143</v>
      </c>
      <c r="BU325" s="29">
        <v>-1213</v>
      </c>
      <c r="BV325" s="29">
        <v>-1213</v>
      </c>
      <c r="BW325" s="29" t="s">
        <v>143</v>
      </c>
      <c r="BX325" s="30"/>
      <c r="BY325" s="8">
        <v>3</v>
      </c>
      <c r="BZ325" s="8">
        <v>0</v>
      </c>
      <c r="CA325" s="8">
        <v>0</v>
      </c>
      <c r="CB325" s="21" t="s">
        <v>143</v>
      </c>
      <c r="CC325" s="21" t="s">
        <v>143</v>
      </c>
      <c r="CD325" s="21" t="s">
        <v>143</v>
      </c>
      <c r="CE325" s="21" t="s">
        <v>143</v>
      </c>
      <c r="CF325" s="21" t="s">
        <v>143</v>
      </c>
      <c r="CG325" s="21" t="s">
        <v>143</v>
      </c>
      <c r="CH325" s="21" t="s">
        <v>143</v>
      </c>
      <c r="CI325" s="21" t="s">
        <v>143</v>
      </c>
      <c r="CJ325" s="21" t="s">
        <v>143</v>
      </c>
      <c r="CK325" s="22" t="s">
        <v>143</v>
      </c>
      <c r="CL325" s="22" t="s">
        <v>143</v>
      </c>
      <c r="CM325" s="22" t="s">
        <v>143</v>
      </c>
      <c r="CN325" s="22" t="s">
        <v>143</v>
      </c>
      <c r="CO325" s="22" t="s">
        <v>143</v>
      </c>
      <c r="CP325" s="22" t="s">
        <v>143</v>
      </c>
      <c r="CQ325" s="22" t="s">
        <v>143</v>
      </c>
      <c r="CR325" s="22" t="s">
        <v>143</v>
      </c>
      <c r="CS325" s="22" t="s">
        <v>143</v>
      </c>
      <c r="CT325" s="22" t="s">
        <v>143</v>
      </c>
      <c r="CU325" s="21" t="s">
        <v>143</v>
      </c>
      <c r="CV325" s="21" t="s">
        <v>143</v>
      </c>
      <c r="CW325" s="21" t="s">
        <v>143</v>
      </c>
      <c r="CX325" s="21" t="s">
        <v>143</v>
      </c>
      <c r="CY325" s="21" t="s">
        <v>143</v>
      </c>
      <c r="CZ325" s="21" t="s">
        <v>143</v>
      </c>
      <c r="DA325" s="21" t="s">
        <v>143</v>
      </c>
      <c r="DB325" s="21" t="s">
        <v>143</v>
      </c>
      <c r="DC325" s="21" t="s">
        <v>143</v>
      </c>
      <c r="DD325" s="8" t="s">
        <v>143</v>
      </c>
      <c r="DE325" s="8" t="s">
        <v>143</v>
      </c>
      <c r="DF325" s="8" t="s">
        <v>143</v>
      </c>
      <c r="DG325" s="8">
        <v>0</v>
      </c>
      <c r="DH325" s="8">
        <v>0</v>
      </c>
      <c r="DI325" s="8">
        <v>0</v>
      </c>
      <c r="DJ325" s="8" t="s">
        <v>3032</v>
      </c>
      <c r="DK325" s="21">
        <v>43148</v>
      </c>
      <c r="DL325" s="21">
        <v>43131</v>
      </c>
      <c r="DM325" s="21">
        <v>45966</v>
      </c>
      <c r="DN325" s="18">
        <v>7170</v>
      </c>
      <c r="DO325" s="21">
        <v>0</v>
      </c>
      <c r="DP325" s="21">
        <v>0</v>
      </c>
      <c r="DQ325" s="21" t="s">
        <v>2955</v>
      </c>
      <c r="DR325" s="21">
        <v>45265</v>
      </c>
      <c r="DS325" s="21">
        <v>45265</v>
      </c>
      <c r="DT325" s="21">
        <v>45265</v>
      </c>
      <c r="DU325" s="21">
        <v>45265</v>
      </c>
      <c r="DV325" s="21">
        <v>45265</v>
      </c>
      <c r="DW325" s="21">
        <v>44966</v>
      </c>
      <c r="DX325" s="21">
        <v>0</v>
      </c>
      <c r="DY325" s="21">
        <v>44966</v>
      </c>
      <c r="DZ325" s="21">
        <v>0</v>
      </c>
      <c r="EA325" s="8">
        <v>240</v>
      </c>
      <c r="EB325" s="8">
        <v>240</v>
      </c>
      <c r="EC325" s="8">
        <v>240</v>
      </c>
      <c r="ED325" s="8">
        <v>240</v>
      </c>
      <c r="EE325" s="8">
        <v>240</v>
      </c>
      <c r="EF325" s="8">
        <v>240</v>
      </c>
      <c r="EG325" s="8">
        <v>1000</v>
      </c>
      <c r="EH325" s="8">
        <v>240</v>
      </c>
      <c r="EI325" s="8">
        <v>240</v>
      </c>
      <c r="EJ325" s="8">
        <v>2</v>
      </c>
      <c r="EK325" s="8" t="s">
        <v>715</v>
      </c>
      <c r="EL325" s="8">
        <v>146</v>
      </c>
      <c r="EM325" s="8">
        <v>292</v>
      </c>
      <c r="EN325" s="8">
        <v>-48</v>
      </c>
      <c r="EO325" s="8">
        <v>-48</v>
      </c>
      <c r="EP325" s="8">
        <v>-48</v>
      </c>
      <c r="EQ325" s="8">
        <v>-48</v>
      </c>
      <c r="ER325" s="8">
        <v>-48</v>
      </c>
      <c r="ES325" s="8">
        <v>-48</v>
      </c>
      <c r="ET325" s="8">
        <v>712</v>
      </c>
      <c r="EU325" s="8">
        <v>-48</v>
      </c>
      <c r="EV325" s="8">
        <v>-48</v>
      </c>
    </row>
    <row r="326" spans="1:152" ht="31.5" x14ac:dyDescent="0.15">
      <c r="A326" s="8">
        <f>ROW([2]!tbl_DPSAC[[#This Row],[Sl. No.]])-1</f>
        <v>325</v>
      </c>
      <c r="B326" s="9" t="s">
        <v>136</v>
      </c>
      <c r="C326" s="9" t="s">
        <v>1733</v>
      </c>
      <c r="D326" s="9" t="s">
        <v>1426</v>
      </c>
      <c r="E326" s="9" t="s">
        <v>1707</v>
      </c>
      <c r="F326" s="9" t="s">
        <v>161</v>
      </c>
      <c r="G326" s="10" t="s">
        <v>1734</v>
      </c>
      <c r="H326" s="10" t="str">
        <f>_xlfn.XLOOKUP(C326,'[1]E&amp;DPSAC'!$K:$K,'[1]E&amp;DPSAC'!$E:$E,,0)</f>
        <v>MOHAGAMA</v>
      </c>
      <c r="I326" s="10"/>
      <c r="J326" s="10">
        <v>9989394461</v>
      </c>
      <c r="K326" s="10">
        <f>_xlfn.XLOOKUP(C326,'[1]E&amp;DPSAC'!$K:$K,'[1]E&amp;DPSAC'!$G:$G,"",0)</f>
        <v>8074094680</v>
      </c>
      <c r="L326" s="9" t="str">
        <f t="shared" ca="1" si="21"/>
        <v>Non - Warranty</v>
      </c>
      <c r="M326" s="11">
        <v>45115</v>
      </c>
      <c r="N326" s="12">
        <v>24</v>
      </c>
      <c r="O326" s="11">
        <f t="shared" si="20"/>
        <v>45869</v>
      </c>
      <c r="P326" s="8" t="s">
        <v>142</v>
      </c>
      <c r="Q326" s="16" t="s">
        <v>1738</v>
      </c>
      <c r="R326" s="15">
        <v>45765.477662037003</v>
      </c>
      <c r="S326" s="14">
        <v>1450</v>
      </c>
      <c r="T326" s="15">
        <v>45765</v>
      </c>
      <c r="U326" s="14">
        <v>593</v>
      </c>
      <c r="V326" s="14">
        <v>2240</v>
      </c>
      <c r="W326" s="17">
        <v>45966.644444444442</v>
      </c>
      <c r="X326" s="14" t="s">
        <v>2830</v>
      </c>
      <c r="Y326" s="14">
        <v>-40</v>
      </c>
      <c r="Z326" s="14" t="s">
        <v>2697</v>
      </c>
      <c r="AA326" s="18">
        <v>347.52233796299697</v>
      </c>
      <c r="AB326" s="18" t="s">
        <v>2697</v>
      </c>
      <c r="AC326" s="8">
        <f>tbl_DPSAC[[#This Row],[Current Month Due Count]]</f>
        <v>0</v>
      </c>
      <c r="AD326" s="8">
        <f>tbl_DPSAC[[#This Row],[Next Month Due2]]</f>
        <v>0</v>
      </c>
      <c r="AE326" s="8"/>
      <c r="AF326" s="8">
        <v>1</v>
      </c>
      <c r="AG326" s="14">
        <f t="shared" ca="1" si="22"/>
        <v>2386</v>
      </c>
      <c r="AH326" s="8" t="s">
        <v>1735</v>
      </c>
      <c r="AI326" s="8" t="s">
        <v>1736</v>
      </c>
      <c r="AJ326" s="8">
        <v>0</v>
      </c>
      <c r="AK326" s="20" t="s">
        <v>1737</v>
      </c>
      <c r="AL326" s="8">
        <v>0</v>
      </c>
      <c r="AM326" s="8">
        <v>0</v>
      </c>
      <c r="AN326" s="8">
        <v>0</v>
      </c>
      <c r="AO326" s="8">
        <v>0</v>
      </c>
      <c r="AP326" s="8">
        <v>0</v>
      </c>
      <c r="AQ326" s="8">
        <v>0</v>
      </c>
      <c r="AR326" s="8">
        <v>0</v>
      </c>
      <c r="AS326" s="8">
        <v>0</v>
      </c>
      <c r="AT326" s="8">
        <v>0</v>
      </c>
      <c r="AU326" s="8">
        <v>0</v>
      </c>
      <c r="AV326" s="8">
        <v>0</v>
      </c>
      <c r="AW326" s="8">
        <v>0</v>
      </c>
      <c r="AX326" s="8" t="s">
        <v>2977</v>
      </c>
      <c r="AY326" s="14">
        <v>1450</v>
      </c>
      <c r="AZ326" s="19">
        <v>45765</v>
      </c>
      <c r="BA326" s="14" t="s">
        <v>1738</v>
      </c>
      <c r="BB326" s="14">
        <v>1450</v>
      </c>
      <c r="BC326" s="19">
        <v>45765</v>
      </c>
      <c r="BD326" s="14" t="s">
        <v>1738</v>
      </c>
      <c r="BE326" s="14">
        <v>1450</v>
      </c>
      <c r="BF326" s="19">
        <v>45765</v>
      </c>
      <c r="BG326" s="14" t="s">
        <v>1738</v>
      </c>
      <c r="BH326" s="14">
        <v>1450</v>
      </c>
      <c r="BI326" s="19">
        <v>45765</v>
      </c>
      <c r="BJ326" s="14" t="s">
        <v>1738</v>
      </c>
      <c r="BK326" s="14">
        <v>1</v>
      </c>
      <c r="BL326" s="19">
        <v>45139</v>
      </c>
      <c r="BM326" s="14" t="s">
        <v>1739</v>
      </c>
      <c r="BN326" s="27">
        <v>45945</v>
      </c>
      <c r="BO326" s="27">
        <v>45945</v>
      </c>
      <c r="BP326" s="27">
        <v>45945</v>
      </c>
      <c r="BQ326" s="27">
        <v>45945</v>
      </c>
      <c r="BR326" s="27">
        <v>45504</v>
      </c>
      <c r="BS326" s="28">
        <v>-186</v>
      </c>
      <c r="BT326" s="29">
        <v>564</v>
      </c>
      <c r="BU326" s="29">
        <v>-186</v>
      </c>
      <c r="BV326" s="29">
        <v>-186</v>
      </c>
      <c r="BW326" s="29">
        <v>-885</v>
      </c>
      <c r="BX326" s="30"/>
      <c r="BY326" s="8">
        <v>5</v>
      </c>
      <c r="BZ326" s="8">
        <v>0</v>
      </c>
      <c r="CA326" s="8">
        <v>0</v>
      </c>
      <c r="CB326" s="21">
        <v>45383.770833333299</v>
      </c>
      <c r="CC326" s="21">
        <v>45764.770833333299</v>
      </c>
      <c r="CD326" s="21">
        <v>45764.770833333299</v>
      </c>
      <c r="CE326" s="21">
        <v>45764.770833333299</v>
      </c>
      <c r="CF326" s="21">
        <v>45764.770833333299</v>
      </c>
      <c r="CG326" s="21">
        <v>45764.770833333299</v>
      </c>
      <c r="CH326" s="21">
        <v>45114.770833333299</v>
      </c>
      <c r="CI326" s="21">
        <v>45114.770833333299</v>
      </c>
      <c r="CJ326" s="21">
        <v>45114.770833333299</v>
      </c>
      <c r="CK326" s="22" t="s">
        <v>3118</v>
      </c>
      <c r="CL326" s="22" t="s">
        <v>3118</v>
      </c>
      <c r="CM326" s="22" t="s">
        <v>3118</v>
      </c>
      <c r="CN326" s="22" t="s">
        <v>3118</v>
      </c>
      <c r="CO326" s="22" t="s">
        <v>3118</v>
      </c>
      <c r="CP326" s="22" t="s">
        <v>3096</v>
      </c>
      <c r="CQ326" s="22" t="s">
        <v>2953</v>
      </c>
      <c r="CR326" s="22" t="s">
        <v>3096</v>
      </c>
      <c r="CS326" s="22" t="s">
        <v>3096</v>
      </c>
      <c r="CT326" s="22">
        <v>4</v>
      </c>
      <c r="CU326" s="21">
        <v>45563</v>
      </c>
      <c r="CV326" s="21">
        <v>45944</v>
      </c>
      <c r="CW326" s="21">
        <v>45944</v>
      </c>
      <c r="CX326" s="21">
        <v>45944</v>
      </c>
      <c r="CY326" s="21">
        <v>45944</v>
      </c>
      <c r="CZ326" s="21">
        <v>46034</v>
      </c>
      <c r="DA326" s="21">
        <v>45479</v>
      </c>
      <c r="DB326" s="21">
        <v>45294</v>
      </c>
      <c r="DC326" s="21">
        <v>45479</v>
      </c>
      <c r="DD326" s="8">
        <v>1</v>
      </c>
      <c r="DE326" s="8">
        <v>0</v>
      </c>
      <c r="DF326" s="8">
        <v>0</v>
      </c>
      <c r="DG326" s="8">
        <v>9</v>
      </c>
      <c r="DH326" s="8">
        <v>0</v>
      </c>
      <c r="DI326" s="8">
        <v>0</v>
      </c>
      <c r="DJ326" s="8" t="s">
        <v>2954</v>
      </c>
      <c r="DK326" s="21">
        <v>45115</v>
      </c>
      <c r="DL326" s="21">
        <v>45098.229166666664</v>
      </c>
      <c r="DM326" s="21">
        <v>45966</v>
      </c>
      <c r="DN326" s="18">
        <v>2240</v>
      </c>
      <c r="DO326" s="21">
        <v>0</v>
      </c>
      <c r="DP326" s="21">
        <v>0</v>
      </c>
      <c r="DQ326" s="21" t="s">
        <v>2955</v>
      </c>
      <c r="DR326" s="21">
        <v>45384</v>
      </c>
      <c r="DS326" s="21">
        <v>45765</v>
      </c>
      <c r="DT326" s="21">
        <v>45765</v>
      </c>
      <c r="DU326" s="21">
        <v>45765</v>
      </c>
      <c r="DV326" s="21">
        <v>45765</v>
      </c>
      <c r="DW326" s="21">
        <v>45765</v>
      </c>
      <c r="DX326" s="21">
        <v>45115</v>
      </c>
      <c r="DY326" s="21">
        <v>45115</v>
      </c>
      <c r="DZ326" s="21">
        <v>45115</v>
      </c>
      <c r="EA326" s="8">
        <v>110</v>
      </c>
      <c r="EB326" s="8">
        <v>110</v>
      </c>
      <c r="EC326" s="8">
        <v>110</v>
      </c>
      <c r="ED326" s="8">
        <v>110</v>
      </c>
      <c r="EE326" s="8">
        <v>110</v>
      </c>
      <c r="EF326" s="8">
        <v>710</v>
      </c>
      <c r="EG326" s="8">
        <v>1000</v>
      </c>
      <c r="EH326" s="8">
        <v>710</v>
      </c>
      <c r="EI326" s="8">
        <v>710</v>
      </c>
      <c r="EJ326" s="8">
        <v>4</v>
      </c>
      <c r="EK326" s="8" t="s">
        <v>2624</v>
      </c>
      <c r="EL326" s="8">
        <v>146</v>
      </c>
      <c r="EM326" s="8">
        <v>146</v>
      </c>
      <c r="EN326" s="8">
        <v>-178</v>
      </c>
      <c r="EO326" s="8">
        <v>-178</v>
      </c>
      <c r="EP326" s="8">
        <v>-178</v>
      </c>
      <c r="EQ326" s="8">
        <v>-178</v>
      </c>
      <c r="ER326" s="8">
        <v>-178</v>
      </c>
      <c r="ES326" s="8">
        <v>422</v>
      </c>
      <c r="ET326" s="8">
        <v>712</v>
      </c>
      <c r="EU326" s="8">
        <v>422</v>
      </c>
      <c r="EV326" s="8">
        <v>422</v>
      </c>
    </row>
    <row r="327" spans="1:152" ht="31.5" x14ac:dyDescent="0.15">
      <c r="A327" s="8">
        <f>ROW([2]!tbl_DPSAC[[#This Row],[Sl. No.]])-1</f>
        <v>326</v>
      </c>
      <c r="B327" s="9" t="s">
        <v>136</v>
      </c>
      <c r="C327" s="9" t="s">
        <v>1740</v>
      </c>
      <c r="D327" s="9" t="s">
        <v>333</v>
      </c>
      <c r="E327" s="9" t="s">
        <v>333</v>
      </c>
      <c r="F327" s="9" t="s">
        <v>161</v>
      </c>
      <c r="G327" s="10" t="s">
        <v>162</v>
      </c>
      <c r="H327" s="10" t="str">
        <f>_xlfn.XLOOKUP(C327,'[1]E&amp;DPSAC'!$K:$K,'[1]E&amp;DPSAC'!$E:$E,,0)</f>
        <v>BARKAGAON, HAZARIBAGH</v>
      </c>
      <c r="I327" s="10"/>
      <c r="J327" s="10">
        <v>7070010949</v>
      </c>
      <c r="K327" s="10">
        <f>_xlfn.XLOOKUP(C327,'[1]E&amp;DPSAC'!$K:$K,'[1]E&amp;DPSAC'!$G:$G,"",0)</f>
        <v>7070010949</v>
      </c>
      <c r="L327" s="9" t="str">
        <f t="shared" ca="1" si="21"/>
        <v>Non - Warranty</v>
      </c>
      <c r="M327" s="11">
        <v>45139</v>
      </c>
      <c r="N327" s="12">
        <v>24</v>
      </c>
      <c r="O327" s="11">
        <f t="shared" si="20"/>
        <v>45869</v>
      </c>
      <c r="P327" s="8" t="s">
        <v>142</v>
      </c>
      <c r="Q327" s="16" t="s">
        <v>2659</v>
      </c>
      <c r="R327" s="15">
        <v>45770.425648148099</v>
      </c>
      <c r="S327" s="14">
        <v>4176</v>
      </c>
      <c r="T327" s="15">
        <v>45825</v>
      </c>
      <c r="U327" s="14">
        <v>4270</v>
      </c>
      <c r="V327" s="14">
        <v>4545</v>
      </c>
      <c r="W327" s="17">
        <v>46049.499837962998</v>
      </c>
      <c r="X327" s="14" t="s">
        <v>2831</v>
      </c>
      <c r="Y327" s="14">
        <v>381</v>
      </c>
      <c r="Z327" s="14" t="s">
        <v>2692</v>
      </c>
      <c r="AA327" s="18">
        <v>342.57435185190116</v>
      </c>
      <c r="AB327" s="18" t="s">
        <v>2697</v>
      </c>
      <c r="AC327" s="8">
        <f>tbl_DPSAC[[#This Row],[Current Month Due Count]]</f>
        <v>0</v>
      </c>
      <c r="AD327" s="8">
        <f>tbl_DPSAC[[#This Row],[Next Month Due2]]</f>
        <v>0</v>
      </c>
      <c r="AE327" s="8"/>
      <c r="AF327" s="8">
        <v>4</v>
      </c>
      <c r="AG327" s="14">
        <f t="shared" ca="1" si="22"/>
        <v>4799</v>
      </c>
      <c r="AH327" s="8" t="s">
        <v>1741</v>
      </c>
      <c r="AI327" s="8" t="s">
        <v>1742</v>
      </c>
      <c r="AJ327" s="8" t="s">
        <v>1743</v>
      </c>
      <c r="AK327" s="8">
        <v>0</v>
      </c>
      <c r="AL327" s="8">
        <v>0</v>
      </c>
      <c r="AM327" s="20" t="s">
        <v>1744</v>
      </c>
      <c r="AN327" s="20" t="s">
        <v>1745</v>
      </c>
      <c r="AO327" s="8">
        <v>0</v>
      </c>
      <c r="AP327" s="20" t="s">
        <v>1746</v>
      </c>
      <c r="AQ327" s="8">
        <v>0</v>
      </c>
      <c r="AR327" s="8">
        <v>0</v>
      </c>
      <c r="AS327" s="8">
        <v>0</v>
      </c>
      <c r="AT327" s="8">
        <v>0</v>
      </c>
      <c r="AU327" s="8">
        <v>0</v>
      </c>
      <c r="AV327" s="8">
        <v>0</v>
      </c>
      <c r="AW327" s="8">
        <v>0</v>
      </c>
      <c r="AX327" s="8" t="s">
        <v>2007</v>
      </c>
      <c r="AY327" s="14">
        <v>4176</v>
      </c>
      <c r="AZ327" s="19">
        <v>45770</v>
      </c>
      <c r="BA327" s="14" t="s">
        <v>1747</v>
      </c>
      <c r="BB327" s="14">
        <v>3510</v>
      </c>
      <c r="BC327" s="19">
        <v>45686</v>
      </c>
      <c r="BD327" s="14" t="s">
        <v>1748</v>
      </c>
      <c r="BE327" s="14">
        <v>4176</v>
      </c>
      <c r="BF327" s="19">
        <v>45770</v>
      </c>
      <c r="BG327" s="14" t="s">
        <v>1747</v>
      </c>
      <c r="BH327" s="14">
        <v>4176</v>
      </c>
      <c r="BI327" s="19">
        <v>45770</v>
      </c>
      <c r="BJ327" s="14" t="s">
        <v>1747</v>
      </c>
      <c r="BK327" s="14">
        <v>3510</v>
      </c>
      <c r="BL327" s="19">
        <v>45686</v>
      </c>
      <c r="BM327" s="14" t="s">
        <v>1748</v>
      </c>
      <c r="BN327" s="27">
        <v>45950</v>
      </c>
      <c r="BO327" s="27">
        <v>45866</v>
      </c>
      <c r="BP327" s="27">
        <v>45950</v>
      </c>
      <c r="BQ327" s="27">
        <v>45950</v>
      </c>
      <c r="BR327" s="27">
        <v>46051</v>
      </c>
      <c r="BS327" s="28">
        <v>127</v>
      </c>
      <c r="BT327" s="29">
        <v>211</v>
      </c>
      <c r="BU327" s="29">
        <v>127</v>
      </c>
      <c r="BV327" s="29">
        <v>127</v>
      </c>
      <c r="BW327" s="29">
        <v>211</v>
      </c>
      <c r="BX327" s="30"/>
      <c r="BY327" s="8">
        <v>5</v>
      </c>
      <c r="BZ327" s="8">
        <v>0</v>
      </c>
      <c r="CA327" s="8">
        <v>0</v>
      </c>
      <c r="CB327" s="21">
        <v>45536.770833333299</v>
      </c>
      <c r="CC327" s="21">
        <v>45768.770833333299</v>
      </c>
      <c r="CD327" s="21">
        <v>45329.770833333299</v>
      </c>
      <c r="CE327" s="21">
        <v>45768.770833333299</v>
      </c>
      <c r="CF327" s="21">
        <v>45768.770833333299</v>
      </c>
      <c r="CG327" s="21">
        <v>45678.770833333299</v>
      </c>
      <c r="CH327" s="21">
        <v>45460.770833333299</v>
      </c>
      <c r="CI327" s="21">
        <v>45460.770833333299</v>
      </c>
      <c r="CJ327" s="21">
        <v>45678.770833333299</v>
      </c>
      <c r="CK327" s="22" t="s">
        <v>2959</v>
      </c>
      <c r="CL327" s="22" t="s">
        <v>2959</v>
      </c>
      <c r="CM327" s="22" t="s">
        <v>2959</v>
      </c>
      <c r="CN327" s="22" t="s">
        <v>2959</v>
      </c>
      <c r="CO327" s="22" t="s">
        <v>2959</v>
      </c>
      <c r="CP327" s="22" t="s">
        <v>2956</v>
      </c>
      <c r="CQ327" s="22" t="s">
        <v>2953</v>
      </c>
      <c r="CR327" s="22" t="s">
        <v>2956</v>
      </c>
      <c r="CS327" s="22" t="s">
        <v>2960</v>
      </c>
      <c r="CT327" s="22">
        <v>8</v>
      </c>
      <c r="CU327" s="21">
        <v>45716</v>
      </c>
      <c r="CV327" s="21">
        <v>45948</v>
      </c>
      <c r="CW327" s="21">
        <v>45509</v>
      </c>
      <c r="CX327" s="21">
        <v>45948</v>
      </c>
      <c r="CY327" s="21">
        <v>45948</v>
      </c>
      <c r="CZ327" s="21">
        <v>45948</v>
      </c>
      <c r="DA327" s="21">
        <v>45825</v>
      </c>
      <c r="DB327" s="21">
        <v>45640</v>
      </c>
      <c r="DC327" s="21">
        <v>46043</v>
      </c>
      <c r="DD327" s="8">
        <v>1</v>
      </c>
      <c r="DE327" s="8">
        <v>0</v>
      </c>
      <c r="DF327" s="8">
        <v>0</v>
      </c>
      <c r="DG327" s="8">
        <v>9</v>
      </c>
      <c r="DH327" s="8">
        <v>0</v>
      </c>
      <c r="DI327" s="8">
        <v>0</v>
      </c>
      <c r="DJ327" s="8" t="s">
        <v>2954</v>
      </c>
      <c r="DK327" s="21">
        <v>45139</v>
      </c>
      <c r="DL327" s="21">
        <v>45015.229166666664</v>
      </c>
      <c r="DM327" s="21">
        <v>46049</v>
      </c>
      <c r="DN327" s="18">
        <v>4545</v>
      </c>
      <c r="DO327" s="21">
        <v>0</v>
      </c>
      <c r="DP327" s="21">
        <v>0</v>
      </c>
      <c r="DQ327" s="21" t="s">
        <v>2955</v>
      </c>
      <c r="DR327" s="21">
        <v>45537</v>
      </c>
      <c r="DS327" s="21">
        <v>45769</v>
      </c>
      <c r="DT327" s="21">
        <v>45330</v>
      </c>
      <c r="DU327" s="21">
        <v>45769</v>
      </c>
      <c r="DV327" s="21">
        <v>45769</v>
      </c>
      <c r="DW327" s="21">
        <v>45679</v>
      </c>
      <c r="DX327" s="21">
        <v>45461</v>
      </c>
      <c r="DY327" s="21">
        <v>45461</v>
      </c>
      <c r="DZ327" s="21">
        <v>45679</v>
      </c>
      <c r="EA327" s="8">
        <v>500</v>
      </c>
      <c r="EB327" s="8">
        <v>500</v>
      </c>
      <c r="EC327" s="8">
        <v>500</v>
      </c>
      <c r="ED327" s="8">
        <v>500</v>
      </c>
      <c r="EE327" s="8">
        <v>500</v>
      </c>
      <c r="EF327" s="8">
        <v>1500</v>
      </c>
      <c r="EG327" s="8">
        <v>1000</v>
      </c>
      <c r="EH327" s="8">
        <v>1500</v>
      </c>
      <c r="EI327" s="8">
        <v>3000</v>
      </c>
      <c r="EJ327" s="8">
        <v>8</v>
      </c>
      <c r="EK327" s="8" t="s">
        <v>2624</v>
      </c>
      <c r="EL327" s="8">
        <v>64</v>
      </c>
      <c r="EM327" s="8">
        <v>256</v>
      </c>
      <c r="EN327" s="8">
        <v>212</v>
      </c>
      <c r="EO327" s="8">
        <v>212</v>
      </c>
      <c r="EP327" s="8">
        <v>212</v>
      </c>
      <c r="EQ327" s="8">
        <v>212</v>
      </c>
      <c r="ER327" s="8">
        <v>212</v>
      </c>
      <c r="ES327" s="8">
        <v>1212</v>
      </c>
      <c r="ET327" s="8">
        <v>712</v>
      </c>
      <c r="EU327" s="8">
        <v>1212</v>
      </c>
      <c r="EV327" s="8">
        <v>2712</v>
      </c>
    </row>
    <row r="328" spans="1:152" ht="31.5" x14ac:dyDescent="0.15">
      <c r="A328" s="8">
        <f>ROW([2]!tbl_DPSAC[[#This Row],[Sl. No.]])-1</f>
        <v>327</v>
      </c>
      <c r="B328" s="9" t="s">
        <v>136</v>
      </c>
      <c r="C328" s="9" t="s">
        <v>1749</v>
      </c>
      <c r="D328" s="9" t="s">
        <v>333</v>
      </c>
      <c r="E328" s="9" t="s">
        <v>333</v>
      </c>
      <c r="F328" s="9" t="s">
        <v>161</v>
      </c>
      <c r="G328" s="10" t="s">
        <v>162</v>
      </c>
      <c r="H328" s="10" t="str">
        <f>_xlfn.XLOOKUP(C328,'[1]E&amp;DPSAC'!$K:$K,'[1]E&amp;DPSAC'!$E:$E,,0)</f>
        <v>BARKAGAON, HAZARIBAGH</v>
      </c>
      <c r="I328" s="10"/>
      <c r="J328" s="10">
        <v>7070010949</v>
      </c>
      <c r="K328" s="10">
        <f>_xlfn.XLOOKUP(C328,'[1]E&amp;DPSAC'!$K:$K,'[1]E&amp;DPSAC'!$G:$G,"",0)</f>
        <v>7070010949</v>
      </c>
      <c r="L328" s="9" t="str">
        <f t="shared" ca="1" si="21"/>
        <v>Non - Warranty</v>
      </c>
      <c r="M328" s="11">
        <v>45145</v>
      </c>
      <c r="N328" s="12">
        <v>24</v>
      </c>
      <c r="O328" s="11">
        <f t="shared" si="20"/>
        <v>45900</v>
      </c>
      <c r="P328" s="8" t="s">
        <v>142</v>
      </c>
      <c r="Q328" s="16" t="s">
        <v>1756</v>
      </c>
      <c r="R328" s="15">
        <v>46078.550381944398</v>
      </c>
      <c r="S328" s="14">
        <v>5050</v>
      </c>
      <c r="T328" s="15">
        <v>46054</v>
      </c>
      <c r="U328" s="14">
        <v>4950</v>
      </c>
      <c r="V328" s="14">
        <v>5050</v>
      </c>
      <c r="W328" s="17">
        <v>46078.550381944398</v>
      </c>
      <c r="X328" s="14" t="s">
        <v>2762</v>
      </c>
      <c r="Y328" s="14">
        <v>750</v>
      </c>
      <c r="Z328" s="14" t="s">
        <v>2692</v>
      </c>
      <c r="AA328" s="18">
        <v>34.449618055601604</v>
      </c>
      <c r="AB328" s="18" t="s">
        <v>2692</v>
      </c>
      <c r="AC328" s="8">
        <f>tbl_DPSAC[[#This Row],[Current Month Due Count]]</f>
        <v>0</v>
      </c>
      <c r="AD328" s="8">
        <f>tbl_DPSAC[[#This Row],[Next Month Due2]]</f>
        <v>0</v>
      </c>
      <c r="AE328" s="8"/>
      <c r="AF328" s="8">
        <v>4</v>
      </c>
      <c r="AG328" s="14">
        <f t="shared" ca="1" si="22"/>
        <v>5188</v>
      </c>
      <c r="AH328" s="8" t="s">
        <v>1750</v>
      </c>
      <c r="AI328" s="8" t="s">
        <v>1751</v>
      </c>
      <c r="AJ328" s="8" t="s">
        <v>1752</v>
      </c>
      <c r="AK328" s="8">
        <v>0</v>
      </c>
      <c r="AL328" s="8">
        <v>0</v>
      </c>
      <c r="AM328" s="20" t="s">
        <v>1753</v>
      </c>
      <c r="AN328" s="20" t="s">
        <v>1754</v>
      </c>
      <c r="AO328" s="20" t="s">
        <v>1755</v>
      </c>
      <c r="AP328" s="8">
        <v>0</v>
      </c>
      <c r="AQ328" s="8">
        <v>0</v>
      </c>
      <c r="AR328" s="8">
        <v>0</v>
      </c>
      <c r="AS328" s="8">
        <v>0</v>
      </c>
      <c r="AT328" s="8">
        <v>0</v>
      </c>
      <c r="AU328" s="8">
        <v>0</v>
      </c>
      <c r="AV328" s="8">
        <v>0</v>
      </c>
      <c r="AW328" s="8">
        <v>0</v>
      </c>
      <c r="AX328" s="8" t="s">
        <v>2007</v>
      </c>
      <c r="AY328" s="14">
        <v>5050</v>
      </c>
      <c r="AZ328" s="19">
        <v>46078</v>
      </c>
      <c r="BA328" s="14" t="s">
        <v>1756</v>
      </c>
      <c r="BB328" s="14">
        <v>5050</v>
      </c>
      <c r="BC328" s="19">
        <v>46078</v>
      </c>
      <c r="BD328" s="14" t="s">
        <v>1756</v>
      </c>
      <c r="BE328" s="14">
        <v>5050</v>
      </c>
      <c r="BF328" s="19">
        <v>46078</v>
      </c>
      <c r="BG328" s="14" t="s">
        <v>1756</v>
      </c>
      <c r="BH328" s="14">
        <v>5050</v>
      </c>
      <c r="BI328" s="19">
        <v>46078</v>
      </c>
      <c r="BJ328" s="14" t="s">
        <v>1756</v>
      </c>
      <c r="BK328" s="14">
        <v>5050</v>
      </c>
      <c r="BL328" s="19">
        <v>46078</v>
      </c>
      <c r="BM328" s="14" t="s">
        <v>1756</v>
      </c>
      <c r="BN328" s="27">
        <v>46258</v>
      </c>
      <c r="BO328" s="27">
        <v>46258</v>
      </c>
      <c r="BP328" s="27">
        <v>46258</v>
      </c>
      <c r="BQ328" s="27">
        <v>46258</v>
      </c>
      <c r="BR328" s="27">
        <v>46443</v>
      </c>
      <c r="BS328" s="28">
        <v>612</v>
      </c>
      <c r="BT328" s="29">
        <v>1362</v>
      </c>
      <c r="BU328" s="29">
        <v>612</v>
      </c>
      <c r="BV328" s="29">
        <v>612</v>
      </c>
      <c r="BW328" s="29">
        <v>1362</v>
      </c>
      <c r="BX328" s="30"/>
      <c r="BY328" s="8">
        <v>0</v>
      </c>
      <c r="BZ328" s="8">
        <v>0</v>
      </c>
      <c r="CA328" s="8">
        <v>0</v>
      </c>
      <c r="CB328" s="21">
        <v>46077.770833333299</v>
      </c>
      <c r="CC328" s="21">
        <v>46077.770833333299</v>
      </c>
      <c r="CD328" s="21">
        <v>46077.770833333299</v>
      </c>
      <c r="CE328" s="21">
        <v>46077.770833333299</v>
      </c>
      <c r="CF328" s="21">
        <v>46077.770833333299</v>
      </c>
      <c r="CG328" s="21">
        <v>46077.770833333299</v>
      </c>
      <c r="CH328" s="21">
        <v>46077.770833333299</v>
      </c>
      <c r="CI328" s="21">
        <v>46077.770833333299</v>
      </c>
      <c r="CJ328" s="21">
        <v>46077.770833333299</v>
      </c>
      <c r="CK328" s="22" t="s">
        <v>2956</v>
      </c>
      <c r="CL328" s="22" t="s">
        <v>2957</v>
      </c>
      <c r="CM328" s="22" t="s">
        <v>2959</v>
      </c>
      <c r="CN328" s="22" t="s">
        <v>2957</v>
      </c>
      <c r="CO328" s="22" t="s">
        <v>2957</v>
      </c>
      <c r="CP328" s="22" t="s">
        <v>2956</v>
      </c>
      <c r="CQ328" s="22" t="s">
        <v>2953</v>
      </c>
      <c r="CR328" s="22" t="s">
        <v>2956</v>
      </c>
      <c r="CS328" s="22" t="s">
        <v>2960</v>
      </c>
      <c r="CT328" s="22">
        <v>8</v>
      </c>
      <c r="CU328" s="21">
        <v>46257</v>
      </c>
      <c r="CV328" s="21">
        <v>46171</v>
      </c>
      <c r="CW328" s="21">
        <v>46140</v>
      </c>
      <c r="CX328" s="21">
        <v>46171</v>
      </c>
      <c r="CY328" s="21">
        <v>46171</v>
      </c>
      <c r="CZ328" s="21">
        <v>46265</v>
      </c>
      <c r="DA328" s="21">
        <v>46203</v>
      </c>
      <c r="DB328" s="21">
        <v>46257</v>
      </c>
      <c r="DC328" s="21">
        <v>46442</v>
      </c>
      <c r="DD328" s="8">
        <v>0</v>
      </c>
      <c r="DE328" s="8">
        <v>0</v>
      </c>
      <c r="DF328" s="8">
        <v>0</v>
      </c>
      <c r="DG328" s="8">
        <v>0</v>
      </c>
      <c r="DH328" s="8">
        <v>1</v>
      </c>
      <c r="DI328" s="8">
        <v>3</v>
      </c>
      <c r="DJ328" s="8" t="s">
        <v>2954</v>
      </c>
      <c r="DK328" s="21">
        <v>45145</v>
      </c>
      <c r="DL328" s="21">
        <v>45015.229166666664</v>
      </c>
      <c r="DM328" s="21">
        <v>46078</v>
      </c>
      <c r="DN328" s="18">
        <v>5050</v>
      </c>
      <c r="DO328" s="21">
        <v>0</v>
      </c>
      <c r="DP328" s="21">
        <v>0</v>
      </c>
      <c r="DQ328" s="21" t="s">
        <v>2955</v>
      </c>
      <c r="DR328" s="21">
        <v>46078</v>
      </c>
      <c r="DS328" s="21">
        <v>46078</v>
      </c>
      <c r="DT328" s="21">
        <v>46078</v>
      </c>
      <c r="DU328" s="21">
        <v>46078</v>
      </c>
      <c r="DV328" s="21">
        <v>46078</v>
      </c>
      <c r="DW328" s="21">
        <v>46078</v>
      </c>
      <c r="DX328" s="21">
        <v>46078</v>
      </c>
      <c r="DY328" s="21">
        <v>46078</v>
      </c>
      <c r="DZ328" s="21">
        <v>46078</v>
      </c>
      <c r="EA328" s="8">
        <v>1500</v>
      </c>
      <c r="EB328" s="8">
        <v>750</v>
      </c>
      <c r="EC328" s="8">
        <v>500</v>
      </c>
      <c r="ED328" s="8">
        <v>750</v>
      </c>
      <c r="EE328" s="8">
        <v>750</v>
      </c>
      <c r="EF328" s="8">
        <v>1500</v>
      </c>
      <c r="EG328" s="8">
        <v>1000</v>
      </c>
      <c r="EH328" s="8">
        <v>1500</v>
      </c>
      <c r="EI328" s="8">
        <v>3000</v>
      </c>
      <c r="EJ328" s="8">
        <v>8</v>
      </c>
      <c r="EK328" s="8" t="s">
        <v>2624</v>
      </c>
      <c r="EL328" s="8">
        <v>34</v>
      </c>
      <c r="EM328" s="8">
        <v>136</v>
      </c>
      <c r="EN328" s="8">
        <v>1212</v>
      </c>
      <c r="EO328" s="8">
        <v>462</v>
      </c>
      <c r="EP328" s="8">
        <v>212</v>
      </c>
      <c r="EQ328" s="8">
        <v>462</v>
      </c>
      <c r="ER328" s="8">
        <v>462</v>
      </c>
      <c r="ES328" s="8">
        <v>1212</v>
      </c>
      <c r="ET328" s="8">
        <v>712</v>
      </c>
      <c r="EU328" s="8">
        <v>1212</v>
      </c>
      <c r="EV328" s="8">
        <v>2712</v>
      </c>
    </row>
    <row r="329" spans="1:152" x14ac:dyDescent="0.15">
      <c r="A329" s="8">
        <f>ROW([2]!tbl_DPSAC[[#This Row],[Sl. No.]])-1</f>
        <v>328</v>
      </c>
      <c r="B329" s="9" t="s">
        <v>136</v>
      </c>
      <c r="C329" s="9" t="s">
        <v>1757</v>
      </c>
      <c r="D329" s="9" t="s">
        <v>175</v>
      </c>
      <c r="E329" s="9" t="s">
        <v>176</v>
      </c>
      <c r="F329" s="9" t="s">
        <v>161</v>
      </c>
      <c r="G329" s="10" t="s">
        <v>1758</v>
      </c>
      <c r="H329" s="10" t="str">
        <f>_xlfn.XLOOKUP(C329,'[1]E&amp;DPSAC'!$K:$K,'[1]E&amp;DPSAC'!$E:$E,,0)</f>
        <v>DHARGRAM, PURULIA</v>
      </c>
      <c r="I329" s="10"/>
      <c r="J329" s="10">
        <v>9564188501</v>
      </c>
      <c r="K329" s="10">
        <f>_xlfn.XLOOKUP(C329,'[1]E&amp;DPSAC'!$K:$K,'[1]E&amp;DPSAC'!$G:$G,"",0)</f>
        <v>9564188501</v>
      </c>
      <c r="L329" s="9" t="str">
        <f t="shared" ca="1" si="21"/>
        <v>Non - Warranty</v>
      </c>
      <c r="M329" s="11">
        <v>44977</v>
      </c>
      <c r="N329" s="12">
        <v>24</v>
      </c>
      <c r="O329" s="11">
        <f t="shared" si="20"/>
        <v>45716</v>
      </c>
      <c r="P329" s="8" t="s">
        <v>157</v>
      </c>
      <c r="Q329" s="16" t="s">
        <v>1761</v>
      </c>
      <c r="R329" s="15">
        <v>45092.437465277799</v>
      </c>
      <c r="S329" s="14">
        <v>640</v>
      </c>
      <c r="T329" s="15">
        <v>45085</v>
      </c>
      <c r="U329" s="14">
        <v>640</v>
      </c>
      <c r="V329" s="14">
        <v>1440</v>
      </c>
      <c r="W329" s="17">
        <v>45175.738796296297</v>
      </c>
      <c r="X329" s="14" t="s">
        <v>2832</v>
      </c>
      <c r="Y329" s="14">
        <v>-50</v>
      </c>
      <c r="Z329" s="14" t="s">
        <v>2697</v>
      </c>
      <c r="AA329" s="18">
        <v>1020.5625347222012</v>
      </c>
      <c r="AB329" s="18" t="s">
        <v>2697</v>
      </c>
      <c r="AC329" s="8">
        <f>tbl_DPSAC[[#This Row],[Current Month Due Count]]</f>
        <v>0</v>
      </c>
      <c r="AD329" s="8">
        <f>tbl_DPSAC[[#This Row],[Next Month Due2]]</f>
        <v>0</v>
      </c>
      <c r="AE329" s="8"/>
      <c r="AF329" s="8">
        <v>8</v>
      </c>
      <c r="AG329" s="14">
        <f t="shared" ca="1" si="22"/>
        <v>8938</v>
      </c>
      <c r="AH329" s="8" t="s">
        <v>1759</v>
      </c>
      <c r="AI329" s="8" t="s">
        <v>1760</v>
      </c>
      <c r="AJ329" s="8">
        <v>0</v>
      </c>
      <c r="AK329" s="8">
        <v>0</v>
      </c>
      <c r="AL329" s="8">
        <v>0</v>
      </c>
      <c r="AM329" s="8">
        <v>0</v>
      </c>
      <c r="AN329" s="8">
        <v>0</v>
      </c>
      <c r="AO329" s="8">
        <v>0</v>
      </c>
      <c r="AP329" s="8">
        <v>0</v>
      </c>
      <c r="AQ329" s="8">
        <v>0</v>
      </c>
      <c r="AR329" s="8">
        <v>0</v>
      </c>
      <c r="AS329" s="8">
        <v>0</v>
      </c>
      <c r="AT329" s="8">
        <v>0</v>
      </c>
      <c r="AU329" s="8">
        <v>0</v>
      </c>
      <c r="AV329" s="8">
        <v>0</v>
      </c>
      <c r="AW329" s="8">
        <v>0</v>
      </c>
      <c r="AX329" s="8" t="s">
        <v>2961</v>
      </c>
      <c r="AY329" s="14">
        <v>640</v>
      </c>
      <c r="AZ329" s="19">
        <v>45093</v>
      </c>
      <c r="BA329" s="14" t="s">
        <v>1761</v>
      </c>
      <c r="BB329" s="14">
        <v>1</v>
      </c>
      <c r="BC329" s="19">
        <v>44977</v>
      </c>
      <c r="BD329" s="14" t="s">
        <v>1762</v>
      </c>
      <c r="BE329" s="14">
        <v>640</v>
      </c>
      <c r="BF329" s="19">
        <v>45093</v>
      </c>
      <c r="BG329" s="14" t="s">
        <v>1761</v>
      </c>
      <c r="BH329" s="14">
        <v>640</v>
      </c>
      <c r="BI329" s="19">
        <v>45093</v>
      </c>
      <c r="BJ329" s="14" t="s">
        <v>1761</v>
      </c>
      <c r="BK329" s="14">
        <v>1</v>
      </c>
      <c r="BL329" s="19">
        <v>44977</v>
      </c>
      <c r="BM329" s="14" t="s">
        <v>1762</v>
      </c>
      <c r="BN329" s="27">
        <v>45273</v>
      </c>
      <c r="BO329" s="27">
        <v>45157</v>
      </c>
      <c r="BP329" s="27">
        <v>45273</v>
      </c>
      <c r="BQ329" s="27">
        <v>45273</v>
      </c>
      <c r="BR329" s="27">
        <v>45342</v>
      </c>
      <c r="BS329" s="28">
        <v>-7548</v>
      </c>
      <c r="BT329" s="29">
        <v>-7437</v>
      </c>
      <c r="BU329" s="29">
        <v>-7548</v>
      </c>
      <c r="BV329" s="29">
        <v>-7548</v>
      </c>
      <c r="BW329" s="29">
        <v>-7437</v>
      </c>
      <c r="BX329" s="30" t="s">
        <v>255</v>
      </c>
      <c r="BY329" s="8">
        <v>5</v>
      </c>
      <c r="BZ329" s="8">
        <v>0</v>
      </c>
      <c r="CA329" s="8">
        <v>0</v>
      </c>
      <c r="CB329" s="21" t="s">
        <v>143</v>
      </c>
      <c r="CC329" s="21" t="s">
        <v>143</v>
      </c>
      <c r="CD329" s="21" t="s">
        <v>143</v>
      </c>
      <c r="CE329" s="21" t="s">
        <v>143</v>
      </c>
      <c r="CF329" s="21" t="s">
        <v>143</v>
      </c>
      <c r="CG329" s="21" t="s">
        <v>143</v>
      </c>
      <c r="CH329" s="21" t="s">
        <v>143</v>
      </c>
      <c r="CI329" s="21" t="s">
        <v>143</v>
      </c>
      <c r="CJ329" s="21" t="s">
        <v>143</v>
      </c>
      <c r="CK329" s="22" t="s">
        <v>143</v>
      </c>
      <c r="CL329" s="22" t="s">
        <v>143</v>
      </c>
      <c r="CM329" s="22" t="s">
        <v>143</v>
      </c>
      <c r="CN329" s="22" t="s">
        <v>143</v>
      </c>
      <c r="CO329" s="22" t="s">
        <v>143</v>
      </c>
      <c r="CP329" s="22" t="s">
        <v>143</v>
      </c>
      <c r="CQ329" s="22" t="s">
        <v>143</v>
      </c>
      <c r="CR329" s="22" t="s">
        <v>143</v>
      </c>
      <c r="CS329" s="22" t="s">
        <v>143</v>
      </c>
      <c r="CT329" s="22" t="s">
        <v>143</v>
      </c>
      <c r="CU329" s="21" t="s">
        <v>143</v>
      </c>
      <c r="CV329" s="21" t="s">
        <v>143</v>
      </c>
      <c r="CW329" s="21" t="s">
        <v>143</v>
      </c>
      <c r="CX329" s="21" t="s">
        <v>143</v>
      </c>
      <c r="CY329" s="21" t="s">
        <v>143</v>
      </c>
      <c r="CZ329" s="21" t="s">
        <v>143</v>
      </c>
      <c r="DA329" s="21" t="s">
        <v>143</v>
      </c>
      <c r="DB329" s="21" t="s">
        <v>143</v>
      </c>
      <c r="DC329" s="21" t="s">
        <v>143</v>
      </c>
      <c r="DD329" s="8" t="s">
        <v>143</v>
      </c>
      <c r="DE329" s="8" t="s">
        <v>143</v>
      </c>
      <c r="DF329" s="8" t="s">
        <v>143</v>
      </c>
      <c r="DG329" s="8">
        <v>0</v>
      </c>
      <c r="DH329" s="8">
        <v>0</v>
      </c>
      <c r="DI329" s="8">
        <v>0</v>
      </c>
      <c r="DJ329" s="8" t="s">
        <v>143</v>
      </c>
      <c r="DK329" s="21" t="s">
        <v>143</v>
      </c>
      <c r="DL329" s="21" t="s">
        <v>143</v>
      </c>
      <c r="DM329" s="21" t="s">
        <v>143</v>
      </c>
      <c r="DN329" s="18" t="s">
        <v>143</v>
      </c>
      <c r="DO329" s="21" t="s">
        <v>143</v>
      </c>
      <c r="DP329" s="21" t="s">
        <v>143</v>
      </c>
      <c r="DQ329" s="21" t="s">
        <v>143</v>
      </c>
      <c r="DR329" s="21" t="s">
        <v>143</v>
      </c>
      <c r="DS329" s="21" t="s">
        <v>143</v>
      </c>
      <c r="DT329" s="21" t="s">
        <v>143</v>
      </c>
      <c r="DU329" s="21" t="s">
        <v>143</v>
      </c>
      <c r="DV329" s="21" t="s">
        <v>143</v>
      </c>
      <c r="DW329" s="21" t="s">
        <v>143</v>
      </c>
      <c r="DX329" s="21" t="s">
        <v>143</v>
      </c>
      <c r="DY329" s="21" t="s">
        <v>143</v>
      </c>
      <c r="DZ329" s="21" t="s">
        <v>143</v>
      </c>
      <c r="EA329" s="8" t="s">
        <v>143</v>
      </c>
      <c r="EB329" s="8" t="s">
        <v>143</v>
      </c>
      <c r="EC329" s="8" t="s">
        <v>143</v>
      </c>
      <c r="ED329" s="8" t="s">
        <v>143</v>
      </c>
      <c r="EE329" s="8" t="s">
        <v>143</v>
      </c>
      <c r="EF329" s="8" t="s">
        <v>143</v>
      </c>
      <c r="EG329" s="8" t="s">
        <v>143</v>
      </c>
      <c r="EH329" s="8" t="s">
        <v>143</v>
      </c>
      <c r="EI329" s="8" t="s">
        <v>143</v>
      </c>
      <c r="EJ329" s="8" t="s">
        <v>143</v>
      </c>
      <c r="EK329" s="8" t="s">
        <v>157</v>
      </c>
      <c r="EL329" s="8">
        <v>937</v>
      </c>
      <c r="EM329" s="8">
        <v>7496</v>
      </c>
      <c r="EN329" s="8" t="s">
        <v>143</v>
      </c>
      <c r="EO329" s="8" t="s">
        <v>143</v>
      </c>
      <c r="EP329" s="8" t="s">
        <v>143</v>
      </c>
      <c r="EQ329" s="8" t="s">
        <v>143</v>
      </c>
      <c r="ER329" s="8" t="s">
        <v>143</v>
      </c>
      <c r="ES329" s="8" t="s">
        <v>143</v>
      </c>
      <c r="ET329" s="8" t="s">
        <v>143</v>
      </c>
      <c r="EU329" s="8" t="s">
        <v>143</v>
      </c>
      <c r="EV329" s="8" t="s">
        <v>143</v>
      </c>
    </row>
    <row r="330" spans="1:152" ht="31.5" x14ac:dyDescent="0.15">
      <c r="A330" s="8">
        <f>ROW([2]!tbl_DPSAC[[#This Row],[Sl. No.]])-1</f>
        <v>329</v>
      </c>
      <c r="B330" s="9" t="s">
        <v>136</v>
      </c>
      <c r="C330" s="9" t="s">
        <v>1763</v>
      </c>
      <c r="D330" s="9" t="s">
        <v>1491</v>
      </c>
      <c r="E330" s="9" t="s">
        <v>1492</v>
      </c>
      <c r="F330" s="9" t="s">
        <v>161</v>
      </c>
      <c r="G330" s="10" t="s">
        <v>670</v>
      </c>
      <c r="H330" s="10" t="str">
        <f>_xlfn.XLOOKUP(C330,'[1]E&amp;DPSAC'!$K:$K,'[1]E&amp;DPSAC'!$E:$E,,0)</f>
        <v>PHUSHRO</v>
      </c>
      <c r="I330" s="10"/>
      <c r="J330" s="10">
        <v>7091340232</v>
      </c>
      <c r="K330" s="10">
        <f>_xlfn.XLOOKUP(C330,'[1]E&amp;DPSAC'!$K:$K,'[1]E&amp;DPSAC'!$G:$G,"",0)</f>
        <v>7979946647</v>
      </c>
      <c r="L330" s="9" t="str">
        <f t="shared" ca="1" si="21"/>
        <v>Non - Warranty</v>
      </c>
      <c r="M330" s="11">
        <v>45082</v>
      </c>
      <c r="N330" s="12">
        <v>24</v>
      </c>
      <c r="O330" s="11">
        <f t="shared" si="20"/>
        <v>45838</v>
      </c>
      <c r="P330" s="8" t="s">
        <v>142</v>
      </c>
      <c r="Q330" s="16" t="s">
        <v>1774</v>
      </c>
      <c r="R330" s="15">
        <v>46074.493136574099</v>
      </c>
      <c r="S330" s="14">
        <v>7945</v>
      </c>
      <c r="T330" s="15">
        <v>45856</v>
      </c>
      <c r="U330" s="14">
        <v>7700</v>
      </c>
      <c r="V330" s="14">
        <v>7945</v>
      </c>
      <c r="W330" s="17">
        <v>46074.493136574099</v>
      </c>
      <c r="X330" s="14" t="s">
        <v>2763</v>
      </c>
      <c r="Y330" s="14">
        <v>750</v>
      </c>
      <c r="Z330" s="14" t="s">
        <v>2692</v>
      </c>
      <c r="AA330" s="18">
        <v>38.506863425900519</v>
      </c>
      <c r="AB330" s="18" t="s">
        <v>2692</v>
      </c>
      <c r="AC330" s="8">
        <f>tbl_DPSAC[[#This Row],[Current Month Due Count]]</f>
        <v>0</v>
      </c>
      <c r="AD330" s="8">
        <f>tbl_DPSAC[[#This Row],[Next Month Due2]]</f>
        <v>0</v>
      </c>
      <c r="AE330" s="8"/>
      <c r="AF330" s="8">
        <v>4</v>
      </c>
      <c r="AG330" s="14">
        <f t="shared" ca="1" si="22"/>
        <v>8099</v>
      </c>
      <c r="AH330" s="8" t="s">
        <v>1764</v>
      </c>
      <c r="AI330" s="8" t="s">
        <v>1765</v>
      </c>
      <c r="AJ330" s="8" t="s">
        <v>1766</v>
      </c>
      <c r="AK330" s="8" t="s">
        <v>1767</v>
      </c>
      <c r="AL330" s="8" t="s">
        <v>1768</v>
      </c>
      <c r="AM330" s="8">
        <v>0</v>
      </c>
      <c r="AN330" s="8" t="s">
        <v>1769</v>
      </c>
      <c r="AO330" s="8">
        <v>0</v>
      </c>
      <c r="AP330" s="20" t="s">
        <v>1770</v>
      </c>
      <c r="AQ330" s="20" t="s">
        <v>1771</v>
      </c>
      <c r="AR330" s="20" t="s">
        <v>1772</v>
      </c>
      <c r="AS330" s="20" t="s">
        <v>1773</v>
      </c>
      <c r="AT330" s="8">
        <v>0</v>
      </c>
      <c r="AU330" s="8">
        <v>0</v>
      </c>
      <c r="AV330" s="8">
        <v>0</v>
      </c>
      <c r="AW330" s="8">
        <v>0</v>
      </c>
      <c r="AX330" s="8" t="s">
        <v>2007</v>
      </c>
      <c r="AY330" s="14">
        <v>7945</v>
      </c>
      <c r="AZ330" s="19">
        <v>46074</v>
      </c>
      <c r="BA330" s="14" t="s">
        <v>1774</v>
      </c>
      <c r="BB330" s="14">
        <v>7945</v>
      </c>
      <c r="BC330" s="19">
        <v>46074</v>
      </c>
      <c r="BD330" s="14" t="s">
        <v>1774</v>
      </c>
      <c r="BE330" s="14">
        <v>7945</v>
      </c>
      <c r="BF330" s="19">
        <v>46074</v>
      </c>
      <c r="BG330" s="14" t="s">
        <v>1774</v>
      </c>
      <c r="BH330" s="14">
        <v>7945</v>
      </c>
      <c r="BI330" s="19">
        <v>46074</v>
      </c>
      <c r="BJ330" s="14" t="s">
        <v>1774</v>
      </c>
      <c r="BK330" s="14">
        <v>7945</v>
      </c>
      <c r="BL330" s="19">
        <v>46074</v>
      </c>
      <c r="BM330" s="14" t="s">
        <v>1774</v>
      </c>
      <c r="BN330" s="27">
        <v>46254</v>
      </c>
      <c r="BO330" s="27">
        <v>46254</v>
      </c>
      <c r="BP330" s="27">
        <v>46254</v>
      </c>
      <c r="BQ330" s="27">
        <v>46254</v>
      </c>
      <c r="BR330" s="27">
        <v>46439</v>
      </c>
      <c r="BS330" s="28">
        <v>596</v>
      </c>
      <c r="BT330" s="29">
        <v>1346</v>
      </c>
      <c r="BU330" s="29">
        <v>596</v>
      </c>
      <c r="BV330" s="29">
        <v>596</v>
      </c>
      <c r="BW330" s="29">
        <v>1346</v>
      </c>
      <c r="BX330" s="30"/>
      <c r="BY330" s="8">
        <v>0</v>
      </c>
      <c r="BZ330" s="8">
        <v>0</v>
      </c>
      <c r="CA330" s="8">
        <v>0</v>
      </c>
      <c r="CB330" s="21">
        <v>46073.770833333299</v>
      </c>
      <c r="CC330" s="21">
        <v>46073.770833333299</v>
      </c>
      <c r="CD330" s="21">
        <v>46073.770833333299</v>
      </c>
      <c r="CE330" s="21">
        <v>46073.770833333299</v>
      </c>
      <c r="CF330" s="21">
        <v>46073.770833333299</v>
      </c>
      <c r="CG330" s="21">
        <v>46073.770833333299</v>
      </c>
      <c r="CH330" s="21">
        <v>46073.770833333299</v>
      </c>
      <c r="CI330" s="21">
        <v>46073.770833333299</v>
      </c>
      <c r="CJ330" s="21">
        <v>46073.770833333299</v>
      </c>
      <c r="CK330" s="22" t="s">
        <v>2956</v>
      </c>
      <c r="CL330" s="22" t="s">
        <v>2957</v>
      </c>
      <c r="CM330" s="22" t="s">
        <v>2959</v>
      </c>
      <c r="CN330" s="22" t="s">
        <v>2957</v>
      </c>
      <c r="CO330" s="22" t="s">
        <v>2957</v>
      </c>
      <c r="CP330" s="22" t="s">
        <v>2956</v>
      </c>
      <c r="CQ330" s="22" t="s">
        <v>2953</v>
      </c>
      <c r="CR330" s="22" t="s">
        <v>2956</v>
      </c>
      <c r="CS330" s="22" t="s">
        <v>2956</v>
      </c>
      <c r="CT330" s="22">
        <v>4</v>
      </c>
      <c r="CU330" s="21">
        <v>46253</v>
      </c>
      <c r="CV330" s="21">
        <v>46253</v>
      </c>
      <c r="CW330" s="21">
        <v>46199</v>
      </c>
      <c r="CX330" s="21">
        <v>46253</v>
      </c>
      <c r="CY330" s="21">
        <v>46253</v>
      </c>
      <c r="CZ330" s="21">
        <v>46343</v>
      </c>
      <c r="DA330" s="21">
        <v>46324</v>
      </c>
      <c r="DB330" s="21">
        <v>46253</v>
      </c>
      <c r="DC330" s="21">
        <v>46438</v>
      </c>
      <c r="DD330" s="8">
        <v>0</v>
      </c>
      <c r="DE330" s="8">
        <v>0</v>
      </c>
      <c r="DF330" s="8">
        <v>0</v>
      </c>
      <c r="DG330" s="8">
        <v>0</v>
      </c>
      <c r="DH330" s="8">
        <v>0</v>
      </c>
      <c r="DI330" s="8">
        <v>0</v>
      </c>
      <c r="DJ330" s="8" t="s">
        <v>2954</v>
      </c>
      <c r="DK330" s="21">
        <v>45082</v>
      </c>
      <c r="DL330" s="21">
        <v>45045.229166666664</v>
      </c>
      <c r="DM330" s="21">
        <v>46074</v>
      </c>
      <c r="DN330" s="18">
        <v>7945</v>
      </c>
      <c r="DO330" s="21">
        <v>0</v>
      </c>
      <c r="DP330" s="21">
        <v>0</v>
      </c>
      <c r="DQ330" s="21" t="s">
        <v>2955</v>
      </c>
      <c r="DR330" s="21">
        <v>46074</v>
      </c>
      <c r="DS330" s="21">
        <v>46074</v>
      </c>
      <c r="DT330" s="21">
        <v>46074</v>
      </c>
      <c r="DU330" s="21">
        <v>46074</v>
      </c>
      <c r="DV330" s="21">
        <v>46074</v>
      </c>
      <c r="DW330" s="21">
        <v>46074</v>
      </c>
      <c r="DX330" s="21">
        <v>46074</v>
      </c>
      <c r="DY330" s="21">
        <v>46074</v>
      </c>
      <c r="DZ330" s="21">
        <v>46074</v>
      </c>
      <c r="EA330" s="8">
        <v>1500</v>
      </c>
      <c r="EB330" s="8">
        <v>750</v>
      </c>
      <c r="EC330" s="8">
        <v>500</v>
      </c>
      <c r="ED330" s="8">
        <v>750</v>
      </c>
      <c r="EE330" s="8">
        <v>750</v>
      </c>
      <c r="EF330" s="8">
        <v>1500</v>
      </c>
      <c r="EG330" s="8">
        <v>1000</v>
      </c>
      <c r="EH330" s="8">
        <v>1500</v>
      </c>
      <c r="EI330" s="8">
        <v>1500</v>
      </c>
      <c r="EJ330" s="8">
        <v>4</v>
      </c>
      <c r="EK330" s="8" t="s">
        <v>2624</v>
      </c>
      <c r="EL330" s="8">
        <v>39</v>
      </c>
      <c r="EM330" s="8">
        <v>156</v>
      </c>
      <c r="EN330" s="8">
        <v>1212</v>
      </c>
      <c r="EO330" s="8">
        <v>462</v>
      </c>
      <c r="EP330" s="8">
        <v>212</v>
      </c>
      <c r="EQ330" s="8">
        <v>462</v>
      </c>
      <c r="ER330" s="8">
        <v>462</v>
      </c>
      <c r="ES330" s="8">
        <v>1212</v>
      </c>
      <c r="ET330" s="8">
        <v>712</v>
      </c>
      <c r="EU330" s="8">
        <v>1212</v>
      </c>
      <c r="EV330" s="8">
        <v>1212</v>
      </c>
    </row>
    <row r="331" spans="1:152" x14ac:dyDescent="0.15">
      <c r="A331" s="8">
        <f>ROW([2]!tbl_DPSAC[[#This Row],[Sl. No.]])-1</f>
        <v>330</v>
      </c>
      <c r="B331" s="9" t="s">
        <v>136</v>
      </c>
      <c r="C331" s="9" t="s">
        <v>1775</v>
      </c>
      <c r="D331" s="9" t="s">
        <v>262</v>
      </c>
      <c r="E331" s="9" t="s">
        <v>176</v>
      </c>
      <c r="F331" s="9" t="s">
        <v>161</v>
      </c>
      <c r="G331" s="10" t="s">
        <v>1671</v>
      </c>
      <c r="H331" s="10" t="str">
        <f>_xlfn.XLOOKUP(C331,'[1]E&amp;DPSAC'!$K:$K,'[1]E&amp;DPSAC'!$E:$E,,0)</f>
        <v>HARDAG</v>
      </c>
      <c r="I331" s="10"/>
      <c r="J331" s="10">
        <v>9304045291</v>
      </c>
      <c r="K331" s="10">
        <f>_xlfn.XLOOKUP(C331,'[1]E&amp;DPSAC'!$K:$K,'[1]E&amp;DPSAC'!$G:$G,"",0)</f>
        <v>9905185143</v>
      </c>
      <c r="L331" s="9" t="str">
        <f t="shared" ca="1" si="21"/>
        <v>Non - Warranty</v>
      </c>
      <c r="M331" s="11">
        <v>44470</v>
      </c>
      <c r="N331" s="12">
        <v>24</v>
      </c>
      <c r="O331" s="11">
        <f t="shared" si="20"/>
        <v>45199</v>
      </c>
      <c r="P331" s="8" t="s">
        <v>157</v>
      </c>
      <c r="Q331" s="16" t="s">
        <v>1781</v>
      </c>
      <c r="R331" s="15">
        <v>45161.670069444401</v>
      </c>
      <c r="S331" s="14">
        <v>3608</v>
      </c>
      <c r="T331" s="15">
        <v>45247</v>
      </c>
      <c r="U331" s="14">
        <v>3645</v>
      </c>
      <c r="V331" s="14">
        <v>3740</v>
      </c>
      <c r="W331" s="17">
        <v>45175.745057870401</v>
      </c>
      <c r="X331" s="14" t="s">
        <v>2833</v>
      </c>
      <c r="Y331" s="14">
        <v>618</v>
      </c>
      <c r="Z331" s="14" t="s">
        <v>2692</v>
      </c>
      <c r="AA331" s="18">
        <v>951.32993055559928</v>
      </c>
      <c r="AB331" s="18" t="s">
        <v>2697</v>
      </c>
      <c r="AC331" s="8">
        <f>tbl_DPSAC[[#This Row],[Current Month Due Count]]</f>
        <v>0</v>
      </c>
      <c r="AD331" s="8">
        <f>tbl_DPSAC[[#This Row],[Next Month Due2]]</f>
        <v>0</v>
      </c>
      <c r="AE331" s="8"/>
      <c r="AF331" s="8">
        <v>10</v>
      </c>
      <c r="AG331" s="14">
        <f t="shared" ca="1" si="22"/>
        <v>13113</v>
      </c>
      <c r="AH331" s="8" t="s">
        <v>1776</v>
      </c>
      <c r="AI331" s="8" t="s">
        <v>1625</v>
      </c>
      <c r="AJ331" s="8" t="s">
        <v>1777</v>
      </c>
      <c r="AK331" s="8" t="s">
        <v>1778</v>
      </c>
      <c r="AL331" s="8" t="s">
        <v>404</v>
      </c>
      <c r="AM331" s="8" t="s">
        <v>1779</v>
      </c>
      <c r="AN331" s="8" t="s">
        <v>1780</v>
      </c>
      <c r="AO331" s="8">
        <v>0</v>
      </c>
      <c r="AP331" s="8">
        <v>0</v>
      </c>
      <c r="AQ331" s="8">
        <v>0</v>
      </c>
      <c r="AR331" s="8">
        <v>0</v>
      </c>
      <c r="AS331" s="8">
        <v>0</v>
      </c>
      <c r="AT331" s="8">
        <v>0</v>
      </c>
      <c r="AU331" s="8">
        <v>0</v>
      </c>
      <c r="AV331" s="8">
        <v>0</v>
      </c>
      <c r="AW331" s="8">
        <v>0</v>
      </c>
      <c r="AX331" s="8" t="s">
        <v>2961</v>
      </c>
      <c r="AY331" s="14">
        <v>3608</v>
      </c>
      <c r="AZ331" s="19">
        <v>45160</v>
      </c>
      <c r="BA331" s="14" t="s">
        <v>1781</v>
      </c>
      <c r="BB331" s="14">
        <v>1700</v>
      </c>
      <c r="BC331" s="19">
        <v>44779</v>
      </c>
      <c r="BD331" s="14" t="s">
        <v>1782</v>
      </c>
      <c r="BE331" s="14">
        <v>3608</v>
      </c>
      <c r="BF331" s="19">
        <v>45160</v>
      </c>
      <c r="BG331" s="14" t="s">
        <v>1781</v>
      </c>
      <c r="BH331" s="14">
        <v>3608</v>
      </c>
      <c r="BI331" s="19">
        <v>45160</v>
      </c>
      <c r="BJ331" s="14" t="s">
        <v>1781</v>
      </c>
      <c r="BK331" s="14">
        <v>1700</v>
      </c>
      <c r="BL331" s="19">
        <v>44779</v>
      </c>
      <c r="BM331" s="14" t="s">
        <v>1782</v>
      </c>
      <c r="BN331" s="27">
        <v>45340</v>
      </c>
      <c r="BO331" s="27">
        <v>44959</v>
      </c>
      <c r="BP331" s="27">
        <v>45340</v>
      </c>
      <c r="BQ331" s="27">
        <v>45340</v>
      </c>
      <c r="BR331" s="27">
        <v>45144</v>
      </c>
      <c r="BS331" s="28">
        <v>-8755</v>
      </c>
      <c r="BT331" s="29">
        <v>-9913</v>
      </c>
      <c r="BU331" s="29">
        <v>-8755</v>
      </c>
      <c r="BV331" s="29">
        <v>-8755</v>
      </c>
      <c r="BW331" s="29">
        <v>-9913</v>
      </c>
      <c r="BX331" s="8" t="s">
        <v>1016</v>
      </c>
      <c r="BY331" s="8">
        <v>5</v>
      </c>
      <c r="BZ331" s="8">
        <v>0</v>
      </c>
      <c r="CA331" s="8">
        <v>0</v>
      </c>
      <c r="CB331" s="21" t="s">
        <v>143</v>
      </c>
      <c r="CC331" s="21" t="s">
        <v>143</v>
      </c>
      <c r="CD331" s="21" t="s">
        <v>143</v>
      </c>
      <c r="CE331" s="21" t="s">
        <v>143</v>
      </c>
      <c r="CF331" s="21" t="s">
        <v>143</v>
      </c>
      <c r="CG331" s="21" t="s">
        <v>143</v>
      </c>
      <c r="CH331" s="21" t="s">
        <v>143</v>
      </c>
      <c r="CI331" s="21" t="s">
        <v>143</v>
      </c>
      <c r="CJ331" s="21" t="s">
        <v>143</v>
      </c>
      <c r="CK331" s="22" t="s">
        <v>143</v>
      </c>
      <c r="CL331" s="22" t="s">
        <v>143</v>
      </c>
      <c r="CM331" s="22" t="s">
        <v>143</v>
      </c>
      <c r="CN331" s="22" t="s">
        <v>143</v>
      </c>
      <c r="CO331" s="22" t="s">
        <v>143</v>
      </c>
      <c r="CP331" s="22" t="s">
        <v>143</v>
      </c>
      <c r="CQ331" s="22" t="s">
        <v>143</v>
      </c>
      <c r="CR331" s="22" t="s">
        <v>143</v>
      </c>
      <c r="CS331" s="22" t="s">
        <v>143</v>
      </c>
      <c r="CT331" s="22" t="s">
        <v>143</v>
      </c>
      <c r="CU331" s="21" t="s">
        <v>143</v>
      </c>
      <c r="CV331" s="21" t="s">
        <v>143</v>
      </c>
      <c r="CW331" s="21" t="s">
        <v>143</v>
      </c>
      <c r="CX331" s="21" t="s">
        <v>143</v>
      </c>
      <c r="CY331" s="21" t="s">
        <v>143</v>
      </c>
      <c r="CZ331" s="21" t="s">
        <v>143</v>
      </c>
      <c r="DA331" s="21" t="s">
        <v>143</v>
      </c>
      <c r="DB331" s="21" t="s">
        <v>143</v>
      </c>
      <c r="DC331" s="21" t="s">
        <v>143</v>
      </c>
      <c r="DD331" s="8" t="s">
        <v>143</v>
      </c>
      <c r="DE331" s="8" t="s">
        <v>143</v>
      </c>
      <c r="DF331" s="8" t="s">
        <v>143</v>
      </c>
      <c r="DG331" s="8">
        <v>0</v>
      </c>
      <c r="DH331" s="8">
        <v>0</v>
      </c>
      <c r="DI331" s="8">
        <v>0</v>
      </c>
      <c r="DJ331" s="8" t="s">
        <v>143</v>
      </c>
      <c r="DK331" s="21" t="s">
        <v>143</v>
      </c>
      <c r="DL331" s="21" t="s">
        <v>143</v>
      </c>
      <c r="DM331" s="21" t="s">
        <v>143</v>
      </c>
      <c r="DN331" s="18" t="s">
        <v>143</v>
      </c>
      <c r="DO331" s="21" t="s">
        <v>143</v>
      </c>
      <c r="DP331" s="21" t="s">
        <v>143</v>
      </c>
      <c r="DQ331" s="21" t="s">
        <v>143</v>
      </c>
      <c r="DR331" s="21" t="s">
        <v>143</v>
      </c>
      <c r="DS331" s="21" t="s">
        <v>143</v>
      </c>
      <c r="DT331" s="21" t="s">
        <v>143</v>
      </c>
      <c r="DU331" s="21" t="s">
        <v>143</v>
      </c>
      <c r="DV331" s="21" t="s">
        <v>143</v>
      </c>
      <c r="DW331" s="21" t="s">
        <v>143</v>
      </c>
      <c r="DX331" s="21" t="s">
        <v>143</v>
      </c>
      <c r="DY331" s="21" t="s">
        <v>143</v>
      </c>
      <c r="DZ331" s="21" t="s">
        <v>143</v>
      </c>
      <c r="EA331" s="8" t="s">
        <v>143</v>
      </c>
      <c r="EB331" s="8" t="s">
        <v>143</v>
      </c>
      <c r="EC331" s="8" t="s">
        <v>143</v>
      </c>
      <c r="ED331" s="8" t="s">
        <v>143</v>
      </c>
      <c r="EE331" s="8" t="s">
        <v>143</v>
      </c>
      <c r="EF331" s="8" t="s">
        <v>143</v>
      </c>
      <c r="EG331" s="8" t="s">
        <v>143</v>
      </c>
      <c r="EH331" s="8" t="s">
        <v>143</v>
      </c>
      <c r="EI331" s="8" t="s">
        <v>143</v>
      </c>
      <c r="EJ331" s="8" t="s">
        <v>143</v>
      </c>
      <c r="EK331" s="8" t="s">
        <v>157</v>
      </c>
      <c r="EL331" s="8">
        <v>937</v>
      </c>
      <c r="EM331" s="8">
        <v>9370</v>
      </c>
      <c r="EN331" s="8" t="s">
        <v>143</v>
      </c>
      <c r="EO331" s="8" t="s">
        <v>143</v>
      </c>
      <c r="EP331" s="8" t="s">
        <v>143</v>
      </c>
      <c r="EQ331" s="8" t="s">
        <v>143</v>
      </c>
      <c r="ER331" s="8" t="s">
        <v>143</v>
      </c>
      <c r="ES331" s="8" t="s">
        <v>143</v>
      </c>
      <c r="ET331" s="8" t="s">
        <v>143</v>
      </c>
      <c r="EU331" s="8" t="s">
        <v>143</v>
      </c>
      <c r="EV331" s="8" t="s">
        <v>143</v>
      </c>
    </row>
    <row r="332" spans="1:152" x14ac:dyDescent="0.15">
      <c r="A332" s="8">
        <f>ROW([2]!tbl_DPSAC[[#This Row],[Sl. No.]])-1</f>
        <v>331</v>
      </c>
      <c r="B332" s="9" t="s">
        <v>136</v>
      </c>
      <c r="C332" s="9" t="s">
        <v>1783</v>
      </c>
      <c r="D332" s="9" t="s">
        <v>1491</v>
      </c>
      <c r="E332" s="9" t="s">
        <v>1492</v>
      </c>
      <c r="F332" s="9" t="s">
        <v>161</v>
      </c>
      <c r="G332" s="10" t="s">
        <v>1784</v>
      </c>
      <c r="H332" s="10" t="str">
        <f>_xlfn.XLOOKUP(C332,'[1]E&amp;DPSAC'!$K:$K,'[1]E&amp;DPSAC'!$E:$E,,0)</f>
        <v>KEREDARI</v>
      </c>
      <c r="I332" s="10"/>
      <c r="J332" s="10">
        <v>8885552542</v>
      </c>
      <c r="K332" s="10">
        <f>_xlfn.XLOOKUP(C332,'[1]E&amp;DPSAC'!$K:$K,'[1]E&amp;DPSAC'!$G:$G,"",0)</f>
        <v>6202856098</v>
      </c>
      <c r="L332" s="9" t="str">
        <f t="shared" ca="1" si="21"/>
        <v>Non - Warranty</v>
      </c>
      <c r="M332" s="11">
        <v>44940</v>
      </c>
      <c r="N332" s="12">
        <v>24</v>
      </c>
      <c r="O332" s="11">
        <f t="shared" si="20"/>
        <v>45688</v>
      </c>
      <c r="P332" s="8" t="s">
        <v>142</v>
      </c>
      <c r="Q332" s="16" t="s">
        <v>1789</v>
      </c>
      <c r="R332" s="15">
        <v>45656.730798611097</v>
      </c>
      <c r="S332" s="14">
        <v>3780</v>
      </c>
      <c r="T332" s="15">
        <v>45656</v>
      </c>
      <c r="U332" s="14">
        <v>3780</v>
      </c>
      <c r="V332" s="14">
        <v>5910</v>
      </c>
      <c r="W332" s="17">
        <v>45966.65347222222</v>
      </c>
      <c r="X332" s="14" t="s">
        <v>2834</v>
      </c>
      <c r="Y332" s="14">
        <v>-1380</v>
      </c>
      <c r="Z332" s="14" t="s">
        <v>2697</v>
      </c>
      <c r="AA332" s="18">
        <v>456.26920138890273</v>
      </c>
      <c r="AB332" s="18" t="s">
        <v>2697</v>
      </c>
      <c r="AC332" s="8">
        <f>tbl_DPSAC[[#This Row],[Current Month Due Count]]</f>
        <v>0</v>
      </c>
      <c r="AD332" s="8">
        <f>tbl_DPSAC[[#This Row],[Next Month Due2]]</f>
        <v>0</v>
      </c>
      <c r="AE332" s="8"/>
      <c r="AF332" s="8">
        <v>7</v>
      </c>
      <c r="AG332" s="14">
        <f t="shared" ca="1" si="22"/>
        <v>6934</v>
      </c>
      <c r="AH332" s="8" t="s">
        <v>1785</v>
      </c>
      <c r="AI332" s="8" t="s">
        <v>1786</v>
      </c>
      <c r="AJ332" s="8" t="s">
        <v>1787</v>
      </c>
      <c r="AK332" s="8" t="s">
        <v>1788</v>
      </c>
      <c r="AL332" s="8">
        <v>0</v>
      </c>
      <c r="AM332" s="8">
        <v>0</v>
      </c>
      <c r="AN332" s="8">
        <v>0</v>
      </c>
      <c r="AO332" s="8">
        <v>0</v>
      </c>
      <c r="AP332" s="8">
        <v>0</v>
      </c>
      <c r="AQ332" s="8">
        <v>0</v>
      </c>
      <c r="AR332" s="8">
        <v>0</v>
      </c>
      <c r="AS332" s="8">
        <v>0</v>
      </c>
      <c r="AT332" s="8">
        <v>0</v>
      </c>
      <c r="AU332" s="8">
        <v>0</v>
      </c>
      <c r="AV332" s="8">
        <v>0</v>
      </c>
      <c r="AW332" s="8">
        <v>0</v>
      </c>
      <c r="AX332" s="8" t="s">
        <v>2961</v>
      </c>
      <c r="AY332" s="14">
        <v>3780</v>
      </c>
      <c r="AZ332" s="19">
        <v>45656</v>
      </c>
      <c r="BA332" s="14" t="s">
        <v>1789</v>
      </c>
      <c r="BB332" s="14">
        <v>3102</v>
      </c>
      <c r="BC332" s="19">
        <v>45568</v>
      </c>
      <c r="BD332" s="14" t="s">
        <v>1790</v>
      </c>
      <c r="BE332" s="14">
        <v>3780</v>
      </c>
      <c r="BF332" s="19">
        <v>45656</v>
      </c>
      <c r="BG332" s="14" t="s">
        <v>1789</v>
      </c>
      <c r="BH332" s="14">
        <v>3780</v>
      </c>
      <c r="BI332" s="19">
        <v>45656</v>
      </c>
      <c r="BJ332" s="14" t="s">
        <v>1789</v>
      </c>
      <c r="BK332" s="14">
        <v>3102</v>
      </c>
      <c r="BL332" s="19">
        <v>45568</v>
      </c>
      <c r="BM332" s="14" t="s">
        <v>1790</v>
      </c>
      <c r="BN332" s="27">
        <v>45836</v>
      </c>
      <c r="BO332" s="27">
        <v>45748</v>
      </c>
      <c r="BP332" s="27">
        <v>45836</v>
      </c>
      <c r="BQ332" s="27">
        <v>45836</v>
      </c>
      <c r="BR332" s="27">
        <v>45933</v>
      </c>
      <c r="BS332" s="28">
        <v>-2404</v>
      </c>
      <c r="BT332" s="29">
        <v>-2332</v>
      </c>
      <c r="BU332" s="29">
        <v>-2404</v>
      </c>
      <c r="BV332" s="29">
        <v>-2404</v>
      </c>
      <c r="BW332" s="29">
        <v>-2332</v>
      </c>
      <c r="BX332" s="30"/>
      <c r="BY332" s="8">
        <v>5</v>
      </c>
      <c r="BZ332" s="8">
        <v>0</v>
      </c>
      <c r="CA332" s="8">
        <v>0</v>
      </c>
      <c r="CB332" s="21">
        <v>45567.770833333299</v>
      </c>
      <c r="CC332" s="21">
        <v>45655.770833333299</v>
      </c>
      <c r="CD332" s="21">
        <v>45655.770833333299</v>
      </c>
      <c r="CE332" s="21">
        <v>45655.770833333299</v>
      </c>
      <c r="CF332" s="21">
        <v>45655.770833333299</v>
      </c>
      <c r="CG332" s="21">
        <v>45567.770833333299</v>
      </c>
      <c r="CH332" s="21">
        <v>45365.770833333299</v>
      </c>
      <c r="CI332" s="21">
        <v>45363.770833333299</v>
      </c>
      <c r="CJ332" s="21">
        <v>45567.770833333299</v>
      </c>
      <c r="CK332" s="22" t="s">
        <v>2972</v>
      </c>
      <c r="CL332" s="22" t="s">
        <v>2972</v>
      </c>
      <c r="CM332" s="22" t="s">
        <v>2972</v>
      </c>
      <c r="CN332" s="22" t="s">
        <v>2972</v>
      </c>
      <c r="CO332" s="22" t="s">
        <v>2972</v>
      </c>
      <c r="CP332" s="22" t="s">
        <v>2972</v>
      </c>
      <c r="CQ332" s="22" t="s">
        <v>2953</v>
      </c>
      <c r="CR332" s="22" t="s">
        <v>2972</v>
      </c>
      <c r="CS332" s="22" t="s">
        <v>2972</v>
      </c>
      <c r="CT332" s="22">
        <v>2</v>
      </c>
      <c r="CU332" s="21">
        <v>45747</v>
      </c>
      <c r="CV332" s="21">
        <v>45835</v>
      </c>
      <c r="CW332" s="21">
        <v>45835</v>
      </c>
      <c r="CX332" s="21">
        <v>45835</v>
      </c>
      <c r="CY332" s="21">
        <v>45835</v>
      </c>
      <c r="CZ332" s="21">
        <v>45837</v>
      </c>
      <c r="DA332" s="21">
        <v>45730</v>
      </c>
      <c r="DB332" s="21">
        <v>45543</v>
      </c>
      <c r="DC332" s="21">
        <v>45932</v>
      </c>
      <c r="DD332" s="8">
        <v>1</v>
      </c>
      <c r="DE332" s="8">
        <v>0</v>
      </c>
      <c r="DF332" s="8">
        <v>0</v>
      </c>
      <c r="DG332" s="8">
        <v>9</v>
      </c>
      <c r="DH332" s="8">
        <v>0</v>
      </c>
      <c r="DI332" s="8">
        <v>0</v>
      </c>
      <c r="DJ332" s="8" t="s">
        <v>2954</v>
      </c>
      <c r="DK332" s="21">
        <v>44940</v>
      </c>
      <c r="DL332" s="21">
        <v>44895.229166666664</v>
      </c>
      <c r="DM332" s="21">
        <v>45966</v>
      </c>
      <c r="DN332" s="18">
        <v>5910</v>
      </c>
      <c r="DO332" s="21">
        <v>0</v>
      </c>
      <c r="DP332" s="21">
        <v>0</v>
      </c>
      <c r="DQ332" s="21" t="s">
        <v>2955</v>
      </c>
      <c r="DR332" s="21">
        <v>45568</v>
      </c>
      <c r="DS332" s="21">
        <v>45656</v>
      </c>
      <c r="DT332" s="21">
        <v>45656</v>
      </c>
      <c r="DU332" s="21">
        <v>45656</v>
      </c>
      <c r="DV332" s="21">
        <v>45656</v>
      </c>
      <c r="DW332" s="21">
        <v>45568</v>
      </c>
      <c r="DX332" s="21">
        <v>45366</v>
      </c>
      <c r="DY332" s="21">
        <v>45364</v>
      </c>
      <c r="DZ332" s="21">
        <v>45568</v>
      </c>
      <c r="EA332" s="8">
        <v>380</v>
      </c>
      <c r="EB332" s="8">
        <v>380</v>
      </c>
      <c r="EC332" s="8">
        <v>380</v>
      </c>
      <c r="ED332" s="8">
        <v>380</v>
      </c>
      <c r="EE332" s="8">
        <v>380</v>
      </c>
      <c r="EF332" s="8">
        <v>380</v>
      </c>
      <c r="EG332" s="8">
        <v>1000</v>
      </c>
      <c r="EH332" s="8">
        <v>380</v>
      </c>
      <c r="EI332" s="8">
        <v>380</v>
      </c>
      <c r="EJ332" s="8">
        <v>2</v>
      </c>
      <c r="EK332" s="8" t="s">
        <v>2624</v>
      </c>
      <c r="EL332" s="8">
        <v>146</v>
      </c>
      <c r="EM332" s="8">
        <v>1022</v>
      </c>
      <c r="EN332" s="8">
        <v>92</v>
      </c>
      <c r="EO332" s="8">
        <v>92</v>
      </c>
      <c r="EP332" s="8">
        <v>92</v>
      </c>
      <c r="EQ332" s="8">
        <v>92</v>
      </c>
      <c r="ER332" s="8">
        <v>92</v>
      </c>
      <c r="ES332" s="8">
        <v>92</v>
      </c>
      <c r="ET332" s="8">
        <v>712</v>
      </c>
      <c r="EU332" s="8">
        <v>92</v>
      </c>
      <c r="EV332" s="8">
        <v>92</v>
      </c>
    </row>
    <row r="333" spans="1:152" x14ac:dyDescent="0.15">
      <c r="A333" s="8">
        <f>ROW([2]!tbl_DPSAC[[#This Row],[Sl. No.]])-1</f>
        <v>332</v>
      </c>
      <c r="B333" s="9" t="s">
        <v>196</v>
      </c>
      <c r="C333" s="9" t="s">
        <v>1791</v>
      </c>
      <c r="D333" s="9" t="s">
        <v>1792</v>
      </c>
      <c r="E333" s="9" t="s">
        <v>1793</v>
      </c>
      <c r="F333" s="9" t="s">
        <v>161</v>
      </c>
      <c r="G333" s="10" t="s">
        <v>1794</v>
      </c>
      <c r="H333" s="10" t="e">
        <f>_xlfn.XLOOKUP(C333,'[1]E&amp;DPSAC'!$K:$K,'[1]E&amp;DPSAC'!$E:$E,,0)</f>
        <v>#N/A</v>
      </c>
      <c r="I333" s="10"/>
      <c r="J333" s="10">
        <v>9176635411</v>
      </c>
      <c r="K333" s="10" t="str">
        <f>IF(_xlfn.XLOOKUP(C333,'[1]E&amp;DPSAC'!$K:$K,'[1]E&amp;DPSAC'!$G:$G,"",0)=J333,"",_xlfn.XLOOKUP(C333,'[1]E&amp;DPSAC'!$K:$K,'[1]E&amp;DPSAC'!$G:$G,"",0))</f>
        <v/>
      </c>
      <c r="L333" s="9" t="str">
        <f t="shared" ca="1" si="21"/>
        <v>Non - Warranty</v>
      </c>
      <c r="M333" s="11">
        <v>45204</v>
      </c>
      <c r="N333" s="12">
        <v>24</v>
      </c>
      <c r="O333" s="11">
        <f t="shared" si="20"/>
        <v>45961</v>
      </c>
      <c r="P333" s="8" t="s">
        <v>213</v>
      </c>
      <c r="Q333" s="16" t="s">
        <v>143</v>
      </c>
      <c r="R333" s="15" t="s">
        <v>143</v>
      </c>
      <c r="S333" s="14" t="s">
        <v>143</v>
      </c>
      <c r="T333" s="15" t="s">
        <v>143</v>
      </c>
      <c r="U333" s="14" t="s">
        <v>143</v>
      </c>
      <c r="V333" s="14">
        <v>1920</v>
      </c>
      <c r="W333" s="17">
        <v>45933.559027777781</v>
      </c>
      <c r="X333" s="14" t="s">
        <v>143</v>
      </c>
      <c r="Y333" s="14">
        <v>0</v>
      </c>
      <c r="Z333" s="14" t="s">
        <v>2692</v>
      </c>
      <c r="AA333" s="18">
        <v>909</v>
      </c>
      <c r="AB333" s="18" t="s">
        <v>2697</v>
      </c>
      <c r="AC333" s="8">
        <f>tbl_DPSAC[[#This Row],[Current Month Due Count]]</f>
        <v>0</v>
      </c>
      <c r="AD333" s="8">
        <f>tbl_DPSAC[[#This Row],[Next Month Due2]]</f>
        <v>0</v>
      </c>
      <c r="AE333" s="8"/>
      <c r="AF333" s="8">
        <v>0</v>
      </c>
      <c r="AG333" s="14">
        <f t="shared" ca="1" si="22"/>
        <v>1920</v>
      </c>
      <c r="AH333" s="8">
        <v>0</v>
      </c>
      <c r="AI333" s="8">
        <v>0</v>
      </c>
      <c r="AJ333" s="8">
        <v>0</v>
      </c>
      <c r="AK333" s="8">
        <v>0</v>
      </c>
      <c r="AL333" s="8">
        <v>0</v>
      </c>
      <c r="AM333" s="8">
        <v>0</v>
      </c>
      <c r="AN333" s="8">
        <v>0</v>
      </c>
      <c r="AO333" s="8">
        <v>0</v>
      </c>
      <c r="AP333" s="8">
        <v>0</v>
      </c>
      <c r="AQ333" s="8">
        <v>0</v>
      </c>
      <c r="AR333" s="8">
        <v>0</v>
      </c>
      <c r="AS333" s="8">
        <v>0</v>
      </c>
      <c r="AT333" s="8">
        <v>0</v>
      </c>
      <c r="AU333" s="8">
        <v>0</v>
      </c>
      <c r="AV333" s="8">
        <v>0</v>
      </c>
      <c r="AW333" s="8">
        <v>0</v>
      </c>
      <c r="AX333" s="8" t="s">
        <v>2961</v>
      </c>
      <c r="AY333" s="14">
        <v>1</v>
      </c>
      <c r="AZ333" s="19">
        <v>45204</v>
      </c>
      <c r="BA333" s="14" t="s">
        <v>1795</v>
      </c>
      <c r="BB333" s="14">
        <v>1</v>
      </c>
      <c r="BC333" s="19">
        <v>45204</v>
      </c>
      <c r="BD333" s="14" t="s">
        <v>1795</v>
      </c>
      <c r="BE333" s="14">
        <v>1</v>
      </c>
      <c r="BF333" s="19">
        <v>45204</v>
      </c>
      <c r="BG333" s="14" t="s">
        <v>1795</v>
      </c>
      <c r="BH333" s="14">
        <v>1</v>
      </c>
      <c r="BI333" s="19">
        <v>45204</v>
      </c>
      <c r="BJ333" s="14" t="s">
        <v>1795</v>
      </c>
      <c r="BK333" s="14">
        <v>1</v>
      </c>
      <c r="BL333" s="19">
        <v>45204</v>
      </c>
      <c r="BM333" s="14" t="s">
        <v>1795</v>
      </c>
      <c r="BN333" s="27">
        <v>45384</v>
      </c>
      <c r="BO333" s="27">
        <v>45384</v>
      </c>
      <c r="BP333" s="27">
        <v>45384</v>
      </c>
      <c r="BQ333" s="27">
        <v>45384</v>
      </c>
      <c r="BR333" s="27">
        <v>45569</v>
      </c>
      <c r="BS333" s="28">
        <v>-1169</v>
      </c>
      <c r="BT333" s="29">
        <v>-419</v>
      </c>
      <c r="BU333" s="29">
        <v>-1169</v>
      </c>
      <c r="BV333" s="29">
        <v>-1169</v>
      </c>
      <c r="BW333" s="29">
        <v>-419</v>
      </c>
      <c r="BX333" s="30"/>
      <c r="BY333" s="8">
        <v>5</v>
      </c>
      <c r="BZ333" s="8">
        <v>0</v>
      </c>
      <c r="CA333" s="8">
        <v>0</v>
      </c>
      <c r="CB333" s="21">
        <v>45569.770833333299</v>
      </c>
      <c r="CC333" s="21">
        <v>45569.770833333299</v>
      </c>
      <c r="CD333" s="21">
        <v>45569.770833333299</v>
      </c>
      <c r="CE333" s="21">
        <v>45569.770833333299</v>
      </c>
      <c r="CF333" s="21">
        <v>45569.770833333299</v>
      </c>
      <c r="CG333" s="21">
        <v>45569.770833333299</v>
      </c>
      <c r="CH333" s="21">
        <v>45569.770833333299</v>
      </c>
      <c r="CI333" s="21">
        <v>45569.770833333299</v>
      </c>
      <c r="CJ333" s="21">
        <v>45569.770833333299</v>
      </c>
      <c r="CK333" s="22" t="s">
        <v>3087</v>
      </c>
      <c r="CL333" s="22" t="s">
        <v>3087</v>
      </c>
      <c r="CM333" s="22" t="s">
        <v>3087</v>
      </c>
      <c r="CN333" s="22" t="s">
        <v>3087</v>
      </c>
      <c r="CO333" s="22" t="s">
        <v>3087</v>
      </c>
      <c r="CP333" s="22" t="s">
        <v>3154</v>
      </c>
      <c r="CQ333" s="22" t="s">
        <v>2953</v>
      </c>
      <c r="CR333" s="22" t="s">
        <v>3154</v>
      </c>
      <c r="CS333" s="22" t="s">
        <v>3155</v>
      </c>
      <c r="CT333" s="22">
        <v>0</v>
      </c>
      <c r="CU333" s="21">
        <v>0</v>
      </c>
      <c r="CV333" s="21">
        <v>0</v>
      </c>
      <c r="CW333" s="21">
        <v>0</v>
      </c>
      <c r="CX333" s="21">
        <v>0</v>
      </c>
      <c r="CY333" s="21">
        <v>0</v>
      </c>
      <c r="CZ333" s="21">
        <v>0</v>
      </c>
      <c r="DA333" s="21">
        <v>0</v>
      </c>
      <c r="DB333" s="21">
        <v>0</v>
      </c>
      <c r="DC333" s="21">
        <v>0</v>
      </c>
      <c r="DD333" s="8">
        <v>0</v>
      </c>
      <c r="DE333" s="8">
        <v>0</v>
      </c>
      <c r="DF333" s="8">
        <v>0</v>
      </c>
      <c r="DG333" s="8">
        <v>9</v>
      </c>
      <c r="DH333" s="8">
        <v>0</v>
      </c>
      <c r="DI333" s="8">
        <v>0</v>
      </c>
      <c r="DJ333" s="8" t="s">
        <v>2976</v>
      </c>
      <c r="DK333" s="21">
        <v>45204</v>
      </c>
      <c r="DL333" s="21">
        <v>45133.229166666664</v>
      </c>
      <c r="DM333" s="21">
        <v>45933</v>
      </c>
      <c r="DN333" s="18">
        <v>1920</v>
      </c>
      <c r="DO333" s="21">
        <v>0</v>
      </c>
      <c r="DP333" s="21">
        <v>0</v>
      </c>
      <c r="DQ333" s="21" t="s">
        <v>3049</v>
      </c>
      <c r="DR333" s="21">
        <v>45570</v>
      </c>
      <c r="DS333" s="21">
        <v>45570</v>
      </c>
      <c r="DT333" s="21">
        <v>45570</v>
      </c>
      <c r="DU333" s="21">
        <v>45570</v>
      </c>
      <c r="DV333" s="21">
        <v>45570</v>
      </c>
      <c r="DW333" s="21">
        <v>45570</v>
      </c>
      <c r="DX333" s="21">
        <v>45570</v>
      </c>
      <c r="DY333" s="21">
        <v>45570</v>
      </c>
      <c r="DZ333" s="21">
        <v>45570</v>
      </c>
      <c r="EA333" s="8">
        <v>80</v>
      </c>
      <c r="EB333" s="8">
        <v>80</v>
      </c>
      <c r="EC333" s="8">
        <v>80</v>
      </c>
      <c r="ED333" s="8">
        <v>80</v>
      </c>
      <c r="EE333" s="8">
        <v>80</v>
      </c>
      <c r="EF333" s="8">
        <v>1080</v>
      </c>
      <c r="EG333" s="8">
        <v>1000</v>
      </c>
      <c r="EH333" s="8">
        <v>1080</v>
      </c>
      <c r="EI333" s="8">
        <v>1580</v>
      </c>
      <c r="EJ333" s="8">
        <v>0</v>
      </c>
      <c r="EK333" s="8" t="s">
        <v>2624</v>
      </c>
      <c r="EL333" s="8">
        <v>179</v>
      </c>
      <c r="EM333" s="8">
        <v>0</v>
      </c>
      <c r="EN333" s="8">
        <v>-208</v>
      </c>
      <c r="EO333" s="8">
        <v>-208</v>
      </c>
      <c r="EP333" s="8">
        <v>-208</v>
      </c>
      <c r="EQ333" s="8">
        <v>-208</v>
      </c>
      <c r="ER333" s="8">
        <v>-208</v>
      </c>
      <c r="ES333" s="8">
        <v>792</v>
      </c>
      <c r="ET333" s="8">
        <v>712</v>
      </c>
      <c r="EU333" s="8">
        <v>792</v>
      </c>
      <c r="EV333" s="8">
        <v>1292</v>
      </c>
    </row>
    <row r="334" spans="1:152" x14ac:dyDescent="0.15">
      <c r="A334" s="8">
        <f>ROW([2]!tbl_DPSAC[[#This Row],[Sl. No.]])-1</f>
        <v>333</v>
      </c>
      <c r="B334" s="9" t="s">
        <v>196</v>
      </c>
      <c r="C334" s="9" t="s">
        <v>1796</v>
      </c>
      <c r="D334" s="9" t="s">
        <v>1312</v>
      </c>
      <c r="E334" s="9" t="s">
        <v>1707</v>
      </c>
      <c r="F334" s="9" t="s">
        <v>161</v>
      </c>
      <c r="G334" s="10" t="s">
        <v>1797</v>
      </c>
      <c r="H334" s="10" t="str">
        <f>_xlfn.XLOOKUP(C334,'[1]E&amp;DPSAC'!$K:$K,'[1]E&amp;DPSAC'!$E:$E,,0)</f>
        <v>INDIA - NEPAL - BHUTAN BORDER</v>
      </c>
      <c r="I334" s="10"/>
      <c r="J334" s="10">
        <v>7033484612</v>
      </c>
      <c r="K334" s="10" t="str">
        <f>IF(_xlfn.XLOOKUP(C334,'[1]E&amp;DPSAC'!$K:$K,'[1]E&amp;DPSAC'!$G:$G,"",0)=J334,"",_xlfn.XLOOKUP(C334,'[1]E&amp;DPSAC'!$K:$K,'[1]E&amp;DPSAC'!$G:$G,"",0))</f>
        <v/>
      </c>
      <c r="L334" s="9" t="str">
        <f t="shared" ca="1" si="21"/>
        <v>Non - Warranty</v>
      </c>
      <c r="M334" s="11">
        <v>45213</v>
      </c>
      <c r="N334" s="12">
        <v>24</v>
      </c>
      <c r="O334" s="11">
        <f t="shared" si="20"/>
        <v>45961</v>
      </c>
      <c r="P334" s="8" t="s">
        <v>213</v>
      </c>
      <c r="Q334" s="16" t="s">
        <v>1800</v>
      </c>
      <c r="R334" s="15">
        <v>46009.493750000001</v>
      </c>
      <c r="S334" s="14">
        <v>1450</v>
      </c>
      <c r="T334" s="15">
        <v>46009</v>
      </c>
      <c r="U334" s="14">
        <v>1450</v>
      </c>
      <c r="V334" s="14">
        <v>1450</v>
      </c>
      <c r="W334" s="17">
        <v>46009.493750000001</v>
      </c>
      <c r="X334" s="14" t="s">
        <v>2828</v>
      </c>
      <c r="Y334" s="14">
        <v>750</v>
      </c>
      <c r="Z334" s="14" t="s">
        <v>2692</v>
      </c>
      <c r="AA334" s="18">
        <v>103.50624999999854</v>
      </c>
      <c r="AB334" s="18" t="s">
        <v>2692</v>
      </c>
      <c r="AC334" s="8">
        <f>tbl_DPSAC[[#This Row],[Current Month Due Count]]</f>
        <v>0</v>
      </c>
      <c r="AD334" s="8">
        <f>tbl_DPSAC[[#This Row],[Next Month Due2]]</f>
        <v>0</v>
      </c>
      <c r="AE334" s="8"/>
      <c r="AF334" s="8">
        <v>1</v>
      </c>
      <c r="AG334" s="14">
        <f t="shared" ca="1" si="22"/>
        <v>1554</v>
      </c>
      <c r="AH334" s="8" t="s">
        <v>1798</v>
      </c>
      <c r="AI334" s="8" t="s">
        <v>1799</v>
      </c>
      <c r="AJ334" s="8">
        <v>0</v>
      </c>
      <c r="AK334" s="8">
        <v>0</v>
      </c>
      <c r="AL334" s="8">
        <v>0</v>
      </c>
      <c r="AM334" s="8">
        <v>0</v>
      </c>
      <c r="AN334" s="8">
        <v>0</v>
      </c>
      <c r="AO334" s="8">
        <v>0</v>
      </c>
      <c r="AP334" s="8">
        <v>0</v>
      </c>
      <c r="AQ334" s="8">
        <v>0</v>
      </c>
      <c r="AR334" s="8">
        <v>0</v>
      </c>
      <c r="AS334" s="8">
        <v>0</v>
      </c>
      <c r="AT334" s="8">
        <v>0</v>
      </c>
      <c r="AU334" s="8">
        <v>0</v>
      </c>
      <c r="AV334" s="8">
        <v>0</v>
      </c>
      <c r="AW334" s="8">
        <v>0</v>
      </c>
      <c r="AX334" s="8" t="s">
        <v>2007</v>
      </c>
      <c r="AY334" s="14">
        <v>1450</v>
      </c>
      <c r="AZ334" s="19">
        <v>46009</v>
      </c>
      <c r="BA334" s="14" t="s">
        <v>1800</v>
      </c>
      <c r="BB334" s="14">
        <v>1450</v>
      </c>
      <c r="BC334" s="19">
        <v>46009</v>
      </c>
      <c r="BD334" s="14" t="s">
        <v>1800</v>
      </c>
      <c r="BE334" s="14">
        <v>1450</v>
      </c>
      <c r="BF334" s="19">
        <v>46009</v>
      </c>
      <c r="BG334" s="14" t="s">
        <v>1800</v>
      </c>
      <c r="BH334" s="14">
        <v>1450</v>
      </c>
      <c r="BI334" s="19">
        <v>46009</v>
      </c>
      <c r="BJ334" s="14" t="s">
        <v>1800</v>
      </c>
      <c r="BK334" s="14">
        <v>1450</v>
      </c>
      <c r="BL334" s="19">
        <v>46009</v>
      </c>
      <c r="BM334" s="14" t="s">
        <v>1800</v>
      </c>
      <c r="BN334" s="27">
        <v>46189</v>
      </c>
      <c r="BO334" s="27">
        <v>46189</v>
      </c>
      <c r="BP334" s="27">
        <v>46189</v>
      </c>
      <c r="BQ334" s="27">
        <v>46189</v>
      </c>
      <c r="BR334" s="27">
        <v>46374</v>
      </c>
      <c r="BS334" s="28">
        <v>646</v>
      </c>
      <c r="BT334" s="29">
        <v>1396</v>
      </c>
      <c r="BU334" s="29">
        <v>646</v>
      </c>
      <c r="BV334" s="29">
        <v>646</v>
      </c>
      <c r="BW334" s="29">
        <v>1396</v>
      </c>
      <c r="BX334" s="30"/>
      <c r="BY334" s="8">
        <v>0</v>
      </c>
      <c r="BZ334" s="8">
        <v>0</v>
      </c>
      <c r="CA334" s="8">
        <v>0</v>
      </c>
      <c r="CB334" s="21">
        <v>46008.770833333299</v>
      </c>
      <c r="CC334" s="21">
        <v>46008.770833333299</v>
      </c>
      <c r="CD334" s="21">
        <v>46008.770833333299</v>
      </c>
      <c r="CE334" s="21">
        <v>46008.770833333299</v>
      </c>
      <c r="CF334" s="21">
        <v>46008.770833333299</v>
      </c>
      <c r="CG334" s="21">
        <v>46008.770833333299</v>
      </c>
      <c r="CH334" s="21">
        <v>46008.770833333299</v>
      </c>
      <c r="CI334" s="21">
        <v>46008.770833333299</v>
      </c>
      <c r="CJ334" s="21">
        <v>45365.770833333299</v>
      </c>
      <c r="CK334" s="22" t="s">
        <v>2956</v>
      </c>
      <c r="CL334" s="22" t="s">
        <v>2957</v>
      </c>
      <c r="CM334" s="22" t="s">
        <v>2957</v>
      </c>
      <c r="CN334" s="22" t="s">
        <v>2957</v>
      </c>
      <c r="CO334" s="22" t="s">
        <v>2957</v>
      </c>
      <c r="CP334" s="22" t="s">
        <v>2953</v>
      </c>
      <c r="CQ334" s="22" t="s">
        <v>2953</v>
      </c>
      <c r="CR334" s="22" t="s">
        <v>2956</v>
      </c>
      <c r="CS334" s="22" t="s">
        <v>2956</v>
      </c>
      <c r="CT334" s="22">
        <v>3</v>
      </c>
      <c r="CU334" s="21">
        <v>46188</v>
      </c>
      <c r="CV334" s="21">
        <v>46188</v>
      </c>
      <c r="CW334" s="21">
        <v>46188</v>
      </c>
      <c r="CX334" s="21">
        <v>46188</v>
      </c>
      <c r="CY334" s="21">
        <v>46188</v>
      </c>
      <c r="CZ334" s="21">
        <v>46278</v>
      </c>
      <c r="DA334" s="21">
        <v>46342</v>
      </c>
      <c r="DB334" s="21">
        <v>46188</v>
      </c>
      <c r="DC334" s="21">
        <v>45730</v>
      </c>
      <c r="DD334" s="8">
        <v>1</v>
      </c>
      <c r="DE334" s="8">
        <v>0</v>
      </c>
      <c r="DF334" s="8">
        <v>0</v>
      </c>
      <c r="DG334" s="8">
        <v>1</v>
      </c>
      <c r="DH334" s="8">
        <v>0</v>
      </c>
      <c r="DI334" s="8">
        <v>0</v>
      </c>
      <c r="DJ334" s="8" t="s">
        <v>2976</v>
      </c>
      <c r="DK334" s="21">
        <v>45213</v>
      </c>
      <c r="DL334" s="21">
        <v>45195.229166666664</v>
      </c>
      <c r="DM334" s="21">
        <v>46009</v>
      </c>
      <c r="DN334" s="18">
        <v>1450</v>
      </c>
      <c r="DO334" s="21">
        <v>0</v>
      </c>
      <c r="DP334" s="21">
        <v>0</v>
      </c>
      <c r="DQ334" s="21" t="s">
        <v>2955</v>
      </c>
      <c r="DR334" s="21">
        <v>46009</v>
      </c>
      <c r="DS334" s="21">
        <v>46009</v>
      </c>
      <c r="DT334" s="21">
        <v>46009</v>
      </c>
      <c r="DU334" s="21">
        <v>46009</v>
      </c>
      <c r="DV334" s="21">
        <v>46009</v>
      </c>
      <c r="DW334" s="21">
        <v>46009</v>
      </c>
      <c r="DX334" s="21">
        <v>46009</v>
      </c>
      <c r="DY334" s="21">
        <v>46009</v>
      </c>
      <c r="DZ334" s="21">
        <v>45366</v>
      </c>
      <c r="EA334" s="8">
        <v>1500</v>
      </c>
      <c r="EB334" s="8">
        <v>750</v>
      </c>
      <c r="EC334" s="8">
        <v>750</v>
      </c>
      <c r="ED334" s="8">
        <v>750</v>
      </c>
      <c r="EE334" s="8">
        <v>750</v>
      </c>
      <c r="EF334" s="8">
        <v>1000</v>
      </c>
      <c r="EG334" s="8">
        <v>1000</v>
      </c>
      <c r="EH334" s="8">
        <v>1500</v>
      </c>
      <c r="EI334" s="8">
        <v>1500</v>
      </c>
      <c r="EJ334" s="8">
        <v>3</v>
      </c>
      <c r="EK334" s="8" t="s">
        <v>2624</v>
      </c>
      <c r="EL334" s="8">
        <v>104</v>
      </c>
      <c r="EM334" s="8">
        <v>104</v>
      </c>
      <c r="EN334" s="8">
        <v>1212</v>
      </c>
      <c r="EO334" s="8">
        <v>462</v>
      </c>
      <c r="EP334" s="8">
        <v>462</v>
      </c>
      <c r="EQ334" s="8">
        <v>462</v>
      </c>
      <c r="ER334" s="8">
        <v>462</v>
      </c>
      <c r="ES334" s="8">
        <v>712</v>
      </c>
      <c r="ET334" s="8">
        <v>712</v>
      </c>
      <c r="EU334" s="8">
        <v>1212</v>
      </c>
      <c r="EV334" s="8">
        <v>1212</v>
      </c>
    </row>
    <row r="335" spans="1:152" x14ac:dyDescent="0.15">
      <c r="A335" s="8">
        <f>ROW([2]!tbl_DPSAC[[#This Row],[Sl. No.]])-1</f>
        <v>334</v>
      </c>
      <c r="B335" s="9" t="s">
        <v>136</v>
      </c>
      <c r="C335" s="9" t="s">
        <v>1801</v>
      </c>
      <c r="D335" s="9" t="s">
        <v>1491</v>
      </c>
      <c r="E335" s="9" t="s">
        <v>1492</v>
      </c>
      <c r="F335" s="9" t="s">
        <v>161</v>
      </c>
      <c r="G335" s="10" t="s">
        <v>1802</v>
      </c>
      <c r="H335" s="10" t="str">
        <f>_xlfn.XLOOKUP(C335,'[1]E&amp;DPSAC'!$K:$K,'[1]E&amp;DPSAC'!$E:$E,,0)</f>
        <v>CHATRA</v>
      </c>
      <c r="I335" s="10"/>
      <c r="J335" s="10">
        <v>7004915623</v>
      </c>
      <c r="K335" s="10">
        <f>IF(_xlfn.XLOOKUP(C335,'[1]E&amp;DPSAC'!$K:$K,'[1]E&amp;DPSAC'!$G:$G,"",0)=J335,"",_xlfn.XLOOKUP(C335,'[1]E&amp;DPSAC'!$K:$K,'[1]E&amp;DPSAC'!$G:$G,"",0))</f>
        <v>8102075973</v>
      </c>
      <c r="L335" s="9" t="str">
        <f t="shared" ca="1" si="21"/>
        <v>Non - Warranty</v>
      </c>
      <c r="M335" s="11">
        <v>45254</v>
      </c>
      <c r="N335" s="12">
        <v>24</v>
      </c>
      <c r="O335" s="11">
        <f t="shared" si="20"/>
        <v>45991</v>
      </c>
      <c r="P335" s="8" t="s">
        <v>213</v>
      </c>
      <c r="Q335" s="16" t="s">
        <v>1806</v>
      </c>
      <c r="R335" s="15">
        <v>46008.573865740698</v>
      </c>
      <c r="S335" s="14">
        <v>2960</v>
      </c>
      <c r="T335" s="15">
        <v>46009</v>
      </c>
      <c r="U335" s="14">
        <v>2960</v>
      </c>
      <c r="V335" s="14">
        <v>2960</v>
      </c>
      <c r="W335" s="17">
        <v>46008.573865740698</v>
      </c>
      <c r="X335" s="14" t="s">
        <v>2691</v>
      </c>
      <c r="Y335" s="14">
        <v>750</v>
      </c>
      <c r="Z335" s="14" t="s">
        <v>2692</v>
      </c>
      <c r="AA335" s="18">
        <v>104.42613425930176</v>
      </c>
      <c r="AB335" s="18" t="s">
        <v>2692</v>
      </c>
      <c r="AC335" s="8">
        <f>tbl_DPSAC[[#This Row],[Current Month Due Count]]</f>
        <v>0</v>
      </c>
      <c r="AD335" s="8">
        <f>tbl_DPSAC[[#This Row],[Next Month Due2]]</f>
        <v>0</v>
      </c>
      <c r="AE335" s="8"/>
      <c r="AF335" s="8">
        <v>0</v>
      </c>
      <c r="AG335" s="14">
        <f t="shared" ca="1" si="22"/>
        <v>2960</v>
      </c>
      <c r="AH335" s="8" t="s">
        <v>1803</v>
      </c>
      <c r="AI335" s="8" t="s">
        <v>1804</v>
      </c>
      <c r="AJ335" s="8" t="s">
        <v>1805</v>
      </c>
      <c r="AK335" s="8">
        <v>0</v>
      </c>
      <c r="AL335" s="8">
        <v>0</v>
      </c>
      <c r="AM335" s="8">
        <v>0</v>
      </c>
      <c r="AN335" s="8">
        <v>0</v>
      </c>
      <c r="AO335" s="8">
        <v>0</v>
      </c>
      <c r="AP335" s="8">
        <v>0</v>
      </c>
      <c r="AQ335" s="8">
        <v>0</v>
      </c>
      <c r="AR335" s="8">
        <v>0</v>
      </c>
      <c r="AS335" s="8">
        <v>0</v>
      </c>
      <c r="AT335" s="8">
        <v>0</v>
      </c>
      <c r="AU335" s="8">
        <v>0</v>
      </c>
      <c r="AV335" s="8">
        <v>0</v>
      </c>
      <c r="AW335" s="8">
        <v>0</v>
      </c>
      <c r="AX335" s="8" t="s">
        <v>2007</v>
      </c>
      <c r="AY335" s="14">
        <v>2960</v>
      </c>
      <c r="AZ335" s="19">
        <v>46008</v>
      </c>
      <c r="BA335" s="14" t="s">
        <v>1806</v>
      </c>
      <c r="BB335" s="14">
        <v>2960</v>
      </c>
      <c r="BC335" s="19">
        <v>46008</v>
      </c>
      <c r="BD335" s="14" t="s">
        <v>1806</v>
      </c>
      <c r="BE335" s="14">
        <v>2960</v>
      </c>
      <c r="BF335" s="19">
        <v>46008</v>
      </c>
      <c r="BG335" s="14" t="s">
        <v>1806</v>
      </c>
      <c r="BH335" s="14">
        <v>2960</v>
      </c>
      <c r="BI335" s="19">
        <v>46008</v>
      </c>
      <c r="BJ335" s="14" t="s">
        <v>1806</v>
      </c>
      <c r="BK335" s="14">
        <v>2960</v>
      </c>
      <c r="BL335" s="19">
        <v>46008</v>
      </c>
      <c r="BM335" s="14" t="s">
        <v>1806</v>
      </c>
      <c r="BN335" s="27">
        <v>46188</v>
      </c>
      <c r="BO335" s="27">
        <v>46188</v>
      </c>
      <c r="BP335" s="27">
        <v>46188</v>
      </c>
      <c r="BQ335" s="27">
        <v>46188</v>
      </c>
      <c r="BR335" s="27">
        <v>46373</v>
      </c>
      <c r="BS335" s="28">
        <v>750</v>
      </c>
      <c r="BT335" s="29">
        <v>1500</v>
      </c>
      <c r="BU335" s="29">
        <v>750</v>
      </c>
      <c r="BV335" s="29">
        <v>750</v>
      </c>
      <c r="BW335" s="29">
        <v>1500</v>
      </c>
      <c r="BX335" s="30"/>
      <c r="BY335" s="8">
        <v>0</v>
      </c>
      <c r="BZ335" s="8">
        <v>0</v>
      </c>
      <c r="CA335" s="8">
        <v>0</v>
      </c>
      <c r="CB335" s="21">
        <v>46007.770833333299</v>
      </c>
      <c r="CC335" s="21">
        <v>46007.770833333299</v>
      </c>
      <c r="CD335" s="21">
        <v>46007.770833333299</v>
      </c>
      <c r="CE335" s="21">
        <v>46007.770833333299</v>
      </c>
      <c r="CF335" s="21">
        <v>46007.770833333299</v>
      </c>
      <c r="CG335" s="21">
        <v>46007.770833333299</v>
      </c>
      <c r="CH335" s="21">
        <v>46007.770833333299</v>
      </c>
      <c r="CI335" s="21">
        <v>46007.770833333299</v>
      </c>
      <c r="CJ335" s="21">
        <v>46007.770833333299</v>
      </c>
      <c r="CK335" s="22" t="s">
        <v>2956</v>
      </c>
      <c r="CL335" s="22" t="s">
        <v>2957</v>
      </c>
      <c r="CM335" s="22" t="s">
        <v>2957</v>
      </c>
      <c r="CN335" s="22" t="s">
        <v>2957</v>
      </c>
      <c r="CO335" s="22" t="s">
        <v>2957</v>
      </c>
      <c r="CP335" s="22" t="s">
        <v>2956</v>
      </c>
      <c r="CQ335" s="22" t="s">
        <v>2953</v>
      </c>
      <c r="CR335" s="22" t="s">
        <v>2956</v>
      </c>
      <c r="CS335" s="22" t="s">
        <v>2960</v>
      </c>
      <c r="CT335" s="22">
        <v>3</v>
      </c>
      <c r="CU335" s="21">
        <v>46187</v>
      </c>
      <c r="CV335" s="21">
        <v>46187</v>
      </c>
      <c r="CW335" s="21">
        <v>46187</v>
      </c>
      <c r="CX335" s="21">
        <v>46187</v>
      </c>
      <c r="CY335" s="21">
        <v>46187</v>
      </c>
      <c r="CZ335" s="21">
        <v>46277</v>
      </c>
      <c r="DA335" s="21">
        <v>46341</v>
      </c>
      <c r="DB335" s="21">
        <v>46187</v>
      </c>
      <c r="DC335" s="21">
        <v>46372</v>
      </c>
      <c r="DD335" s="8">
        <v>0</v>
      </c>
      <c r="DE335" s="8">
        <v>0</v>
      </c>
      <c r="DF335" s="8">
        <v>0</v>
      </c>
      <c r="DG335" s="8">
        <v>0</v>
      </c>
      <c r="DH335" s="8">
        <v>0</v>
      </c>
      <c r="DI335" s="8">
        <v>0</v>
      </c>
      <c r="DJ335" s="8" t="s">
        <v>2976</v>
      </c>
      <c r="DK335" s="21">
        <v>45254</v>
      </c>
      <c r="DL335" s="21">
        <v>45233.229166666664</v>
      </c>
      <c r="DM335" s="21">
        <v>46008</v>
      </c>
      <c r="DN335" s="18">
        <v>2960</v>
      </c>
      <c r="DO335" s="21">
        <v>0</v>
      </c>
      <c r="DP335" s="21">
        <v>0</v>
      </c>
      <c r="DQ335" s="21" t="s">
        <v>2955</v>
      </c>
      <c r="DR335" s="21">
        <v>46008</v>
      </c>
      <c r="DS335" s="21">
        <v>46008</v>
      </c>
      <c r="DT335" s="21">
        <v>46008</v>
      </c>
      <c r="DU335" s="21">
        <v>46008</v>
      </c>
      <c r="DV335" s="21">
        <v>46008</v>
      </c>
      <c r="DW335" s="21">
        <v>46008</v>
      </c>
      <c r="DX335" s="21">
        <v>46008</v>
      </c>
      <c r="DY335" s="21">
        <v>46008</v>
      </c>
      <c r="DZ335" s="21">
        <v>46008</v>
      </c>
      <c r="EA335" s="8">
        <v>1500</v>
      </c>
      <c r="EB335" s="8">
        <v>750</v>
      </c>
      <c r="EC335" s="8">
        <v>750</v>
      </c>
      <c r="ED335" s="8">
        <v>750</v>
      </c>
      <c r="EE335" s="8">
        <v>750</v>
      </c>
      <c r="EF335" s="8">
        <v>1500</v>
      </c>
      <c r="EG335" s="8">
        <v>1000</v>
      </c>
      <c r="EH335" s="8">
        <v>1500</v>
      </c>
      <c r="EI335" s="8">
        <v>3000</v>
      </c>
      <c r="EJ335" s="8">
        <v>3</v>
      </c>
      <c r="EK335" s="8" t="s">
        <v>2624</v>
      </c>
      <c r="EL335" s="8">
        <v>104</v>
      </c>
      <c r="EM335" s="8">
        <v>0</v>
      </c>
      <c r="EN335" s="8">
        <v>1212</v>
      </c>
      <c r="EO335" s="8">
        <v>462</v>
      </c>
      <c r="EP335" s="8">
        <v>462</v>
      </c>
      <c r="EQ335" s="8">
        <v>462</v>
      </c>
      <c r="ER335" s="8">
        <v>462</v>
      </c>
      <c r="ES335" s="8">
        <v>1212</v>
      </c>
      <c r="ET335" s="8">
        <v>712</v>
      </c>
      <c r="EU335" s="8">
        <v>1212</v>
      </c>
      <c r="EV335" s="8">
        <v>2712</v>
      </c>
    </row>
    <row r="336" spans="1:152" x14ac:dyDescent="0.15">
      <c r="A336" s="8">
        <f>ROW([2]!tbl_DPSAC[[#This Row],[Sl. No.]])-1</f>
        <v>335</v>
      </c>
      <c r="B336" s="9" t="s">
        <v>136</v>
      </c>
      <c r="C336" s="9" t="s">
        <v>1807</v>
      </c>
      <c r="D336" s="9" t="s">
        <v>638</v>
      </c>
      <c r="E336" s="8" t="s">
        <v>639</v>
      </c>
      <c r="F336" s="9" t="s">
        <v>140</v>
      </c>
      <c r="G336" s="10" t="s">
        <v>480</v>
      </c>
      <c r="H336" s="10" t="str">
        <f>_xlfn.XLOOKUP(C336,'[1]E&amp;DPSAC'!$K:$K,'[1]E&amp;DPSAC'!$E:$E,,0)</f>
        <v>PITHORIA</v>
      </c>
      <c r="I336" s="10"/>
      <c r="J336" s="10">
        <v>7050471419</v>
      </c>
      <c r="K336" s="10" t="str">
        <f>IF(_xlfn.XLOOKUP(C336,'[1]E&amp;DPSAC'!$K:$K,'[1]E&amp;DPSAC'!$G:$G,"",0)=J336,"",_xlfn.XLOOKUP(C336,'[1]E&amp;DPSAC'!$K:$K,'[1]E&amp;DPSAC'!$G:$G,"",0))</f>
        <v/>
      </c>
      <c r="L336" s="9" t="str">
        <f t="shared" ca="1" si="21"/>
        <v>Warranty</v>
      </c>
      <c r="M336" s="11">
        <v>45254</v>
      </c>
      <c r="N336" s="12">
        <v>36</v>
      </c>
      <c r="O336" s="11">
        <f t="shared" si="20"/>
        <v>46356</v>
      </c>
      <c r="P336" s="8" t="s">
        <v>213</v>
      </c>
      <c r="Q336" s="16" t="s">
        <v>1811</v>
      </c>
      <c r="R336" s="15">
        <v>46062.614293981504</v>
      </c>
      <c r="S336" s="14">
        <v>4726</v>
      </c>
      <c r="T336" s="15">
        <v>46020</v>
      </c>
      <c r="U336" s="14">
        <v>4440</v>
      </c>
      <c r="V336" s="14">
        <v>5000</v>
      </c>
      <c r="W336" s="17">
        <v>46098.5004976852</v>
      </c>
      <c r="X336" s="14" t="s">
        <v>2835</v>
      </c>
      <c r="Y336" s="14">
        <v>476</v>
      </c>
      <c r="Z336" s="14" t="s">
        <v>2692</v>
      </c>
      <c r="AA336" s="18">
        <v>50.385706018496421</v>
      </c>
      <c r="AB336" s="18" t="s">
        <v>2692</v>
      </c>
      <c r="AC336" s="8">
        <f>tbl_DPSAC[[#This Row],[Current Month Due Count]]</f>
        <v>0</v>
      </c>
      <c r="AD336" s="8">
        <f>tbl_DPSAC[[#This Row],[Next Month Due2]]</f>
        <v>0</v>
      </c>
      <c r="AE336" s="8"/>
      <c r="AF336" s="8">
        <v>8</v>
      </c>
      <c r="AG336" s="14">
        <f t="shared" ca="1" si="22"/>
        <v>5116</v>
      </c>
      <c r="AH336" s="8" t="s">
        <v>1808</v>
      </c>
      <c r="AI336" s="8" t="s">
        <v>1809</v>
      </c>
      <c r="AJ336" s="8" t="s">
        <v>1810</v>
      </c>
      <c r="AK336" s="8">
        <v>0</v>
      </c>
      <c r="AL336" s="8">
        <v>0</v>
      </c>
      <c r="AM336" s="8">
        <v>0</v>
      </c>
      <c r="AN336" s="8">
        <v>0</v>
      </c>
      <c r="AO336" s="8">
        <v>0</v>
      </c>
      <c r="AP336" s="8">
        <v>0</v>
      </c>
      <c r="AQ336" s="8">
        <v>0</v>
      </c>
      <c r="AR336" s="8">
        <v>0</v>
      </c>
      <c r="AS336" s="8">
        <v>0</v>
      </c>
      <c r="AT336" s="8">
        <v>0</v>
      </c>
      <c r="AU336" s="8">
        <v>0</v>
      </c>
      <c r="AV336" s="8">
        <v>0</v>
      </c>
      <c r="AW336" s="8">
        <v>0</v>
      </c>
      <c r="AX336" s="8" t="s">
        <v>2007</v>
      </c>
      <c r="AY336" s="14">
        <v>4726</v>
      </c>
      <c r="AZ336" s="19">
        <v>46062</v>
      </c>
      <c r="BA336" s="14" t="s">
        <v>1811</v>
      </c>
      <c r="BB336" s="14">
        <v>4726</v>
      </c>
      <c r="BC336" s="19">
        <v>46062</v>
      </c>
      <c r="BD336" s="14" t="s">
        <v>1811</v>
      </c>
      <c r="BE336" s="14">
        <v>4726</v>
      </c>
      <c r="BF336" s="19">
        <v>46062</v>
      </c>
      <c r="BG336" s="14" t="s">
        <v>1811</v>
      </c>
      <c r="BH336" s="14">
        <v>4726</v>
      </c>
      <c r="BI336" s="19">
        <v>46062</v>
      </c>
      <c r="BJ336" s="14" t="s">
        <v>1811</v>
      </c>
      <c r="BK336" s="14">
        <v>4726</v>
      </c>
      <c r="BL336" s="19">
        <v>46062</v>
      </c>
      <c r="BM336" s="14" t="s">
        <v>1811</v>
      </c>
      <c r="BN336" s="27">
        <v>46242</v>
      </c>
      <c r="BO336" s="27">
        <v>46242</v>
      </c>
      <c r="BP336" s="27">
        <v>46242</v>
      </c>
      <c r="BQ336" s="27">
        <v>46242</v>
      </c>
      <c r="BR336" s="27">
        <v>46427</v>
      </c>
      <c r="BS336" s="28">
        <v>360</v>
      </c>
      <c r="BT336" s="29">
        <v>1110</v>
      </c>
      <c r="BU336" s="29">
        <v>360</v>
      </c>
      <c r="BV336" s="29">
        <v>360</v>
      </c>
      <c r="BW336" s="29">
        <v>1110</v>
      </c>
      <c r="BX336" s="30"/>
      <c r="BY336" s="8">
        <v>0</v>
      </c>
      <c r="BZ336" s="8">
        <v>0</v>
      </c>
      <c r="CA336" s="8">
        <v>0</v>
      </c>
      <c r="CB336" s="21">
        <v>46019.770833333299</v>
      </c>
      <c r="CC336" s="21">
        <v>46009.770833333299</v>
      </c>
      <c r="CD336" s="21">
        <v>46019.770833333299</v>
      </c>
      <c r="CE336" s="21">
        <v>46009.770833333299</v>
      </c>
      <c r="CF336" s="21">
        <v>46019.770833333299</v>
      </c>
      <c r="CG336" s="21">
        <v>46019.770833333299</v>
      </c>
      <c r="CH336" s="21">
        <v>46019.770833333299</v>
      </c>
      <c r="CI336" s="21">
        <v>46009.770833333299</v>
      </c>
      <c r="CJ336" s="21">
        <v>46009.770833333299</v>
      </c>
      <c r="CK336" s="22" t="s">
        <v>3156</v>
      </c>
      <c r="CL336" s="22" t="s">
        <v>3157</v>
      </c>
      <c r="CM336" s="22" t="s">
        <v>3157</v>
      </c>
      <c r="CN336" s="22" t="s">
        <v>3157</v>
      </c>
      <c r="CO336" s="22" t="s">
        <v>3157</v>
      </c>
      <c r="CP336" s="22" t="s">
        <v>3156</v>
      </c>
      <c r="CQ336" s="22" t="s">
        <v>2953</v>
      </c>
      <c r="CR336" s="22" t="s">
        <v>3156</v>
      </c>
      <c r="CS336" s="22" t="s">
        <v>3156</v>
      </c>
      <c r="CT336" s="22">
        <v>4</v>
      </c>
      <c r="CU336" s="21">
        <v>46199</v>
      </c>
      <c r="CV336" s="21">
        <v>46168</v>
      </c>
      <c r="CW336" s="21">
        <v>46168</v>
      </c>
      <c r="CX336" s="21">
        <v>46168</v>
      </c>
      <c r="CY336" s="21">
        <v>46168</v>
      </c>
      <c r="CZ336" s="21">
        <v>46289</v>
      </c>
      <c r="DA336" s="21">
        <v>46312</v>
      </c>
      <c r="DB336" s="21">
        <v>46189</v>
      </c>
      <c r="DC336" s="21">
        <v>46355</v>
      </c>
      <c r="DD336" s="8">
        <v>0</v>
      </c>
      <c r="DE336" s="8">
        <v>0</v>
      </c>
      <c r="DF336" s="8">
        <v>0</v>
      </c>
      <c r="DG336" s="8">
        <v>0</v>
      </c>
      <c r="DH336" s="8">
        <v>0</v>
      </c>
      <c r="DI336" s="8">
        <v>4</v>
      </c>
      <c r="DJ336" s="8" t="s">
        <v>2976</v>
      </c>
      <c r="DK336" s="21">
        <v>45254</v>
      </c>
      <c r="DL336" s="21">
        <v>45182.229166666664</v>
      </c>
      <c r="DM336" s="21">
        <v>46098</v>
      </c>
      <c r="DN336" s="18">
        <v>5000</v>
      </c>
      <c r="DO336" s="21">
        <v>0</v>
      </c>
      <c r="DP336" s="21">
        <v>0</v>
      </c>
      <c r="DQ336" s="21" t="s">
        <v>2955</v>
      </c>
      <c r="DR336" s="21">
        <v>46062</v>
      </c>
      <c r="DS336" s="21">
        <v>46062</v>
      </c>
      <c r="DT336" s="21">
        <v>46062</v>
      </c>
      <c r="DU336" s="21">
        <v>46062</v>
      </c>
      <c r="DV336" s="21">
        <v>46062</v>
      </c>
      <c r="DW336" s="21">
        <v>46062</v>
      </c>
      <c r="DX336" s="21">
        <v>46062</v>
      </c>
      <c r="DY336" s="21">
        <v>46062</v>
      </c>
      <c r="DZ336" s="21">
        <v>46062</v>
      </c>
      <c r="EA336" s="8">
        <v>1217</v>
      </c>
      <c r="EB336" s="8">
        <v>417</v>
      </c>
      <c r="EC336" s="8">
        <v>417</v>
      </c>
      <c r="ED336" s="8">
        <v>417</v>
      </c>
      <c r="EE336" s="8">
        <v>417</v>
      </c>
      <c r="EF336" s="8">
        <v>1217</v>
      </c>
      <c r="EG336" s="8">
        <v>1000</v>
      </c>
      <c r="EH336" s="8">
        <v>1217</v>
      </c>
      <c r="EI336" s="8">
        <v>1217</v>
      </c>
      <c r="EJ336" s="8">
        <v>4</v>
      </c>
      <c r="EK336" s="8" t="s">
        <v>2624</v>
      </c>
      <c r="EL336" s="8">
        <v>14</v>
      </c>
      <c r="EM336" s="8">
        <v>112</v>
      </c>
      <c r="EN336" s="8">
        <v>929</v>
      </c>
      <c r="EO336" s="8">
        <v>129</v>
      </c>
      <c r="EP336" s="8">
        <v>129</v>
      </c>
      <c r="EQ336" s="8">
        <v>129</v>
      </c>
      <c r="ER336" s="8">
        <v>129</v>
      </c>
      <c r="ES336" s="8">
        <v>929</v>
      </c>
      <c r="ET336" s="8">
        <v>712</v>
      </c>
      <c r="EU336" s="8">
        <v>929</v>
      </c>
      <c r="EV336" s="8">
        <v>929</v>
      </c>
    </row>
    <row r="337" spans="1:152" x14ac:dyDescent="0.15">
      <c r="A337" s="8">
        <f>ROW([2]!tbl_DPSAC[[#This Row],[Sl. No.]])-1</f>
        <v>336</v>
      </c>
      <c r="B337" s="9" t="s">
        <v>136</v>
      </c>
      <c r="C337" s="9" t="s">
        <v>1812</v>
      </c>
      <c r="D337" s="9" t="s">
        <v>1491</v>
      </c>
      <c r="E337" s="9" t="s">
        <v>1492</v>
      </c>
      <c r="F337" s="9" t="s">
        <v>161</v>
      </c>
      <c r="G337" s="10" t="s">
        <v>1813</v>
      </c>
      <c r="H337" s="10" t="str">
        <f>_xlfn.XLOOKUP(C337,'[1]E&amp;DPSAC'!$K:$K,'[1]E&amp;DPSAC'!$E:$E,,0)</f>
        <v>GONDUDIH, DHANBAD</v>
      </c>
      <c r="I337" s="10"/>
      <c r="J337" s="10">
        <v>8789524169</v>
      </c>
      <c r="K337" s="10">
        <f>_xlfn.XLOOKUP(C337,'[1]E&amp;DPSAC'!$K:$K,'[1]E&amp;DPSAC'!$G:$G,"",0)</f>
        <v>9304207050</v>
      </c>
      <c r="L337" s="9" t="str">
        <f t="shared" ca="1" si="21"/>
        <v>Non - Warranty</v>
      </c>
      <c r="M337" s="11">
        <v>44972</v>
      </c>
      <c r="N337" s="12">
        <v>24</v>
      </c>
      <c r="O337" s="11">
        <f t="shared" si="20"/>
        <v>45716</v>
      </c>
      <c r="P337" s="8" t="s">
        <v>157</v>
      </c>
      <c r="Q337" s="16" t="s">
        <v>1817</v>
      </c>
      <c r="R337" s="15">
        <v>45365.601099537002</v>
      </c>
      <c r="S337" s="14">
        <v>1630</v>
      </c>
      <c r="T337" s="15">
        <v>45478</v>
      </c>
      <c r="U337" s="14">
        <v>2355</v>
      </c>
      <c r="V337" s="14">
        <v>2420</v>
      </c>
      <c r="W337" s="17">
        <v>45544.668414351901</v>
      </c>
      <c r="X337" s="14" t="s">
        <v>2836</v>
      </c>
      <c r="Y337" s="14">
        <v>-40</v>
      </c>
      <c r="Z337" s="14" t="s">
        <v>2697</v>
      </c>
      <c r="AA337" s="18">
        <v>747.39890046299843</v>
      </c>
      <c r="AB337" s="18" t="s">
        <v>2697</v>
      </c>
      <c r="AC337" s="8">
        <f>tbl_DPSAC[[#This Row],[Current Month Due Count]]</f>
        <v>0</v>
      </c>
      <c r="AD337" s="8">
        <f>tbl_DPSAC[[#This Row],[Next Month Due2]]</f>
        <v>0</v>
      </c>
      <c r="AE337" s="8"/>
      <c r="AF337" s="8">
        <v>1</v>
      </c>
      <c r="AG337" s="14">
        <f t="shared" ca="1" si="22"/>
        <v>2988</v>
      </c>
      <c r="AH337" s="8" t="s">
        <v>1814</v>
      </c>
      <c r="AI337" s="8" t="s">
        <v>1640</v>
      </c>
      <c r="AJ337" s="8" t="s">
        <v>1815</v>
      </c>
      <c r="AK337" s="8" t="s">
        <v>1816</v>
      </c>
      <c r="AL337" s="8">
        <v>0</v>
      </c>
      <c r="AM337" s="8">
        <v>0</v>
      </c>
      <c r="AN337" s="8">
        <v>0</v>
      </c>
      <c r="AO337" s="8">
        <v>0</v>
      </c>
      <c r="AP337" s="8">
        <v>0</v>
      </c>
      <c r="AQ337" s="8">
        <v>0</v>
      </c>
      <c r="AR337" s="8">
        <v>0</v>
      </c>
      <c r="AS337" s="8">
        <v>0</v>
      </c>
      <c r="AT337" s="8">
        <v>0</v>
      </c>
      <c r="AU337" s="8">
        <v>0</v>
      </c>
      <c r="AV337" s="8">
        <v>0</v>
      </c>
      <c r="AW337" s="8">
        <v>0</v>
      </c>
      <c r="AX337" s="8" t="s">
        <v>2977</v>
      </c>
      <c r="AY337" s="14">
        <v>1630</v>
      </c>
      <c r="AZ337" s="19">
        <v>45365</v>
      </c>
      <c r="BA337" s="14" t="s">
        <v>1817</v>
      </c>
      <c r="BB337" s="14">
        <v>1630</v>
      </c>
      <c r="BC337" s="19">
        <v>45365</v>
      </c>
      <c r="BD337" s="14" t="s">
        <v>1817</v>
      </c>
      <c r="BE337" s="14">
        <v>1630</v>
      </c>
      <c r="BF337" s="19">
        <v>45365</v>
      </c>
      <c r="BG337" s="14" t="s">
        <v>1817</v>
      </c>
      <c r="BH337" s="14">
        <v>1630</v>
      </c>
      <c r="BI337" s="19">
        <v>45365</v>
      </c>
      <c r="BJ337" s="14" t="s">
        <v>1817</v>
      </c>
      <c r="BK337" s="14">
        <v>1</v>
      </c>
      <c r="BL337" s="19">
        <v>44972</v>
      </c>
      <c r="BM337" s="14" t="s">
        <v>1818</v>
      </c>
      <c r="BN337" s="27">
        <v>45545</v>
      </c>
      <c r="BO337" s="27">
        <v>45545</v>
      </c>
      <c r="BP337" s="27">
        <v>45545</v>
      </c>
      <c r="BQ337" s="27">
        <v>45545</v>
      </c>
      <c r="BR337" s="27">
        <v>45337</v>
      </c>
      <c r="BS337" s="28">
        <v>-608</v>
      </c>
      <c r="BT337" s="29">
        <v>142</v>
      </c>
      <c r="BU337" s="29">
        <v>-608</v>
      </c>
      <c r="BV337" s="29">
        <v>-608</v>
      </c>
      <c r="BW337" s="29">
        <v>-1487</v>
      </c>
      <c r="BX337" s="30" t="s">
        <v>1819</v>
      </c>
      <c r="BY337" s="8">
        <v>5</v>
      </c>
      <c r="BZ337" s="8">
        <v>0</v>
      </c>
      <c r="CA337" s="8">
        <v>0</v>
      </c>
      <c r="CB337" s="21" t="s">
        <v>143</v>
      </c>
      <c r="CC337" s="21" t="s">
        <v>143</v>
      </c>
      <c r="CD337" s="21" t="s">
        <v>143</v>
      </c>
      <c r="CE337" s="21" t="s">
        <v>143</v>
      </c>
      <c r="CF337" s="21" t="s">
        <v>143</v>
      </c>
      <c r="CG337" s="21" t="s">
        <v>143</v>
      </c>
      <c r="CH337" s="21" t="s">
        <v>143</v>
      </c>
      <c r="CI337" s="21" t="s">
        <v>143</v>
      </c>
      <c r="CJ337" s="21" t="s">
        <v>143</v>
      </c>
      <c r="CK337" s="22" t="s">
        <v>143</v>
      </c>
      <c r="CL337" s="22" t="s">
        <v>143</v>
      </c>
      <c r="CM337" s="22" t="s">
        <v>143</v>
      </c>
      <c r="CN337" s="22" t="s">
        <v>143</v>
      </c>
      <c r="CO337" s="22" t="s">
        <v>143</v>
      </c>
      <c r="CP337" s="22" t="s">
        <v>143</v>
      </c>
      <c r="CQ337" s="22" t="s">
        <v>143</v>
      </c>
      <c r="CR337" s="22" t="s">
        <v>143</v>
      </c>
      <c r="CS337" s="22" t="s">
        <v>143</v>
      </c>
      <c r="CT337" s="22" t="s">
        <v>143</v>
      </c>
      <c r="CU337" s="21" t="s">
        <v>143</v>
      </c>
      <c r="CV337" s="21" t="s">
        <v>143</v>
      </c>
      <c r="CW337" s="21" t="s">
        <v>143</v>
      </c>
      <c r="CX337" s="21" t="s">
        <v>143</v>
      </c>
      <c r="CY337" s="21" t="s">
        <v>143</v>
      </c>
      <c r="CZ337" s="21" t="s">
        <v>143</v>
      </c>
      <c r="DA337" s="21" t="s">
        <v>143</v>
      </c>
      <c r="DB337" s="21" t="s">
        <v>143</v>
      </c>
      <c r="DC337" s="21" t="s">
        <v>143</v>
      </c>
      <c r="DD337" s="8" t="s">
        <v>143</v>
      </c>
      <c r="DE337" s="8" t="s">
        <v>143</v>
      </c>
      <c r="DF337" s="8" t="s">
        <v>143</v>
      </c>
      <c r="DG337" s="8">
        <v>0</v>
      </c>
      <c r="DH337" s="8">
        <v>0</v>
      </c>
      <c r="DI337" s="8">
        <v>0</v>
      </c>
      <c r="DJ337" s="8" t="s">
        <v>143</v>
      </c>
      <c r="DK337" s="21" t="s">
        <v>143</v>
      </c>
      <c r="DL337" s="21" t="s">
        <v>143</v>
      </c>
      <c r="DM337" s="21" t="s">
        <v>143</v>
      </c>
      <c r="DN337" s="18" t="s">
        <v>143</v>
      </c>
      <c r="DO337" s="21" t="s">
        <v>143</v>
      </c>
      <c r="DP337" s="21" t="s">
        <v>143</v>
      </c>
      <c r="DQ337" s="21" t="s">
        <v>143</v>
      </c>
      <c r="DR337" s="21" t="s">
        <v>143</v>
      </c>
      <c r="DS337" s="21" t="s">
        <v>143</v>
      </c>
      <c r="DT337" s="21" t="s">
        <v>143</v>
      </c>
      <c r="DU337" s="21" t="s">
        <v>143</v>
      </c>
      <c r="DV337" s="21" t="s">
        <v>143</v>
      </c>
      <c r="DW337" s="21" t="s">
        <v>143</v>
      </c>
      <c r="DX337" s="21" t="s">
        <v>143</v>
      </c>
      <c r="DY337" s="21" t="s">
        <v>143</v>
      </c>
      <c r="DZ337" s="21" t="s">
        <v>143</v>
      </c>
      <c r="EA337" s="8" t="s">
        <v>143</v>
      </c>
      <c r="EB337" s="8" t="s">
        <v>143</v>
      </c>
      <c r="EC337" s="8" t="s">
        <v>143</v>
      </c>
      <c r="ED337" s="8" t="s">
        <v>143</v>
      </c>
      <c r="EE337" s="8" t="s">
        <v>143</v>
      </c>
      <c r="EF337" s="8" t="s">
        <v>143</v>
      </c>
      <c r="EG337" s="8" t="s">
        <v>143</v>
      </c>
      <c r="EH337" s="8" t="s">
        <v>143</v>
      </c>
      <c r="EI337" s="8" t="s">
        <v>143</v>
      </c>
      <c r="EJ337" s="8" t="s">
        <v>143</v>
      </c>
      <c r="EK337" s="8" t="s">
        <v>157</v>
      </c>
      <c r="EL337" s="8">
        <v>568</v>
      </c>
      <c r="EM337" s="8">
        <v>568</v>
      </c>
      <c r="EN337" s="8" t="s">
        <v>143</v>
      </c>
      <c r="EO337" s="8" t="s">
        <v>143</v>
      </c>
      <c r="EP337" s="8" t="s">
        <v>143</v>
      </c>
      <c r="EQ337" s="8" t="s">
        <v>143</v>
      </c>
      <c r="ER337" s="8" t="s">
        <v>143</v>
      </c>
      <c r="ES337" s="8" t="s">
        <v>143</v>
      </c>
      <c r="ET337" s="8" t="s">
        <v>143</v>
      </c>
      <c r="EU337" s="8" t="s">
        <v>143</v>
      </c>
      <c r="EV337" s="8" t="s">
        <v>143</v>
      </c>
    </row>
    <row r="338" spans="1:152" x14ac:dyDescent="0.15">
      <c r="A338" s="8">
        <f>ROW([2]!tbl_DPSAC[[#This Row],[Sl. No.]])-1</f>
        <v>337</v>
      </c>
      <c r="B338" s="9" t="s">
        <v>136</v>
      </c>
      <c r="C338" s="9" t="s">
        <v>1820</v>
      </c>
      <c r="D338" s="9" t="s">
        <v>1491</v>
      </c>
      <c r="E338" s="9" t="s">
        <v>1492</v>
      </c>
      <c r="F338" s="9" t="s">
        <v>161</v>
      </c>
      <c r="G338" s="10" t="s">
        <v>1821</v>
      </c>
      <c r="H338" s="10" t="str">
        <f>_xlfn.XLOOKUP(C338,'[1]E&amp;DPSAC'!$K:$K,'[1]E&amp;DPSAC'!$E:$E,,0)</f>
        <v>DALADALI, RANCHI</v>
      </c>
      <c r="I338" s="10"/>
      <c r="J338" s="10">
        <v>9835538524</v>
      </c>
      <c r="K338" s="10" t="str">
        <f>IF(_xlfn.XLOOKUP(C338,'[1]E&amp;DPSAC'!$K:$K,'[1]E&amp;DPSAC'!$G:$G,"",0)=J338,"",_xlfn.XLOOKUP(C338,'[1]E&amp;DPSAC'!$K:$K,'[1]E&amp;DPSAC'!$G:$G,"",0))</f>
        <v/>
      </c>
      <c r="L338" s="9" t="str">
        <f t="shared" ca="1" si="21"/>
        <v>Non - Warranty</v>
      </c>
      <c r="M338" s="11">
        <v>45257</v>
      </c>
      <c r="N338" s="12">
        <v>24</v>
      </c>
      <c r="O338" s="11">
        <f t="shared" si="20"/>
        <v>45991</v>
      </c>
      <c r="P338" s="8" t="s">
        <v>213</v>
      </c>
      <c r="Q338" s="16" t="s">
        <v>1828</v>
      </c>
      <c r="R338" s="15">
        <v>46067.473900463003</v>
      </c>
      <c r="S338" s="14">
        <v>4182</v>
      </c>
      <c r="T338" s="15">
        <v>46066</v>
      </c>
      <c r="U338" s="14">
        <v>4182</v>
      </c>
      <c r="V338" s="14">
        <v>4182</v>
      </c>
      <c r="W338" s="17">
        <v>46067.473900463003</v>
      </c>
      <c r="X338" s="14" t="s">
        <v>2837</v>
      </c>
      <c r="Y338" s="14">
        <v>750</v>
      </c>
      <c r="Z338" s="14" t="s">
        <v>2692</v>
      </c>
      <c r="AA338" s="18">
        <v>45.526099536997208</v>
      </c>
      <c r="AB338" s="18" t="s">
        <v>2692</v>
      </c>
      <c r="AC338" s="8">
        <f>tbl_DPSAC[[#This Row],[Current Month Due Count]]</f>
        <v>1</v>
      </c>
      <c r="AD338" s="8">
        <f>tbl_DPSAC[[#This Row],[Next Month Due2]]</f>
        <v>0</v>
      </c>
      <c r="AE338" s="8"/>
      <c r="AF338" s="8">
        <v>0</v>
      </c>
      <c r="AG338" s="14">
        <f t="shared" ca="1" si="22"/>
        <v>4182</v>
      </c>
      <c r="AH338" s="8" t="s">
        <v>1822</v>
      </c>
      <c r="AI338" s="8" t="s">
        <v>1823</v>
      </c>
      <c r="AJ338" s="8" t="s">
        <v>1824</v>
      </c>
      <c r="AK338" s="8" t="s">
        <v>1825</v>
      </c>
      <c r="AL338" s="8">
        <v>0</v>
      </c>
      <c r="AM338" s="8">
        <v>0</v>
      </c>
      <c r="AN338" s="8" t="s">
        <v>1826</v>
      </c>
      <c r="AO338" s="8" t="s">
        <v>1827</v>
      </c>
      <c r="AP338" s="8">
        <v>0</v>
      </c>
      <c r="AQ338" s="8">
        <v>0</v>
      </c>
      <c r="AR338" s="8">
        <v>0</v>
      </c>
      <c r="AS338" s="8">
        <v>0</v>
      </c>
      <c r="AT338" s="8">
        <v>0</v>
      </c>
      <c r="AU338" s="8">
        <v>0</v>
      </c>
      <c r="AV338" s="8">
        <v>0</v>
      </c>
      <c r="AW338" s="8">
        <v>0</v>
      </c>
      <c r="AX338" s="8" t="s">
        <v>2007</v>
      </c>
      <c r="AY338" s="14">
        <v>4182</v>
      </c>
      <c r="AZ338" s="19">
        <v>46067</v>
      </c>
      <c r="BA338" s="14" t="s">
        <v>1828</v>
      </c>
      <c r="BB338" s="14">
        <v>2913</v>
      </c>
      <c r="BC338" s="19">
        <v>45744</v>
      </c>
      <c r="BD338" s="14" t="s">
        <v>1829</v>
      </c>
      <c r="BE338" s="14">
        <v>4182</v>
      </c>
      <c r="BF338" s="19">
        <v>46067</v>
      </c>
      <c r="BG338" s="14" t="s">
        <v>1828</v>
      </c>
      <c r="BH338" s="14">
        <v>3790</v>
      </c>
      <c r="BI338" s="19">
        <v>45958</v>
      </c>
      <c r="BJ338" s="14" t="s">
        <v>1830</v>
      </c>
      <c r="BK338" s="14">
        <v>2913</v>
      </c>
      <c r="BL338" s="19">
        <v>45744</v>
      </c>
      <c r="BM338" s="14" t="s">
        <v>1829</v>
      </c>
      <c r="BN338" s="27">
        <v>46247</v>
      </c>
      <c r="BO338" s="27">
        <v>45924</v>
      </c>
      <c r="BP338" s="27">
        <v>46247</v>
      </c>
      <c r="BQ338" s="27">
        <v>46138</v>
      </c>
      <c r="BR338" s="27">
        <v>46109</v>
      </c>
      <c r="BS338" s="28">
        <v>750</v>
      </c>
      <c r="BT338" s="29">
        <v>231</v>
      </c>
      <c r="BU338" s="29">
        <v>750</v>
      </c>
      <c r="BV338" s="29">
        <v>358</v>
      </c>
      <c r="BW338" s="29">
        <v>231</v>
      </c>
      <c r="BX338" s="30"/>
      <c r="BY338" s="8">
        <v>2</v>
      </c>
      <c r="BZ338" s="8">
        <v>1</v>
      </c>
      <c r="CA338" s="8">
        <v>0</v>
      </c>
      <c r="CB338" s="21">
        <v>46066.770833333299</v>
      </c>
      <c r="CC338" s="21">
        <v>46066.770833333299</v>
      </c>
      <c r="CD338" s="21">
        <v>46066.770833333299</v>
      </c>
      <c r="CE338" s="21">
        <v>46066.770833333299</v>
      </c>
      <c r="CF338" s="21">
        <v>46066.770833333299</v>
      </c>
      <c r="CG338" s="21">
        <v>45743.770833333299</v>
      </c>
      <c r="CH338" s="21">
        <v>46066.770833333299</v>
      </c>
      <c r="CI338" s="21">
        <v>45743.770833333299</v>
      </c>
      <c r="CJ338" s="21">
        <v>45743.770833333299</v>
      </c>
      <c r="CK338" s="22" t="s">
        <v>2957</v>
      </c>
      <c r="CL338" s="22" t="s">
        <v>2957</v>
      </c>
      <c r="CM338" s="22" t="s">
        <v>2957</v>
      </c>
      <c r="CN338" s="22" t="s">
        <v>2957</v>
      </c>
      <c r="CO338" s="22" t="s">
        <v>2957</v>
      </c>
      <c r="CP338" s="22" t="s">
        <v>2959</v>
      </c>
      <c r="CQ338" s="22" t="s">
        <v>2953</v>
      </c>
      <c r="CR338" s="22" t="s">
        <v>2959</v>
      </c>
      <c r="CS338" s="22" t="s">
        <v>2959</v>
      </c>
      <c r="CT338" s="22">
        <v>4</v>
      </c>
      <c r="CU338" s="21">
        <v>46246</v>
      </c>
      <c r="CV338" s="21">
        <v>46246</v>
      </c>
      <c r="CW338" s="21">
        <v>46246</v>
      </c>
      <c r="CX338" s="21">
        <v>46246</v>
      </c>
      <c r="CY338" s="21">
        <v>46246</v>
      </c>
      <c r="CZ338" s="21">
        <v>46013</v>
      </c>
      <c r="DA338" s="21">
        <v>46317</v>
      </c>
      <c r="DB338" s="21">
        <v>45923</v>
      </c>
      <c r="DC338" s="21">
        <v>46108</v>
      </c>
      <c r="DD338" s="8">
        <v>1</v>
      </c>
      <c r="DE338" s="8">
        <v>0</v>
      </c>
      <c r="DF338" s="8">
        <v>1</v>
      </c>
      <c r="DG338" s="8">
        <v>3</v>
      </c>
      <c r="DH338" s="8">
        <v>0</v>
      </c>
      <c r="DI338" s="8">
        <v>0</v>
      </c>
      <c r="DJ338" s="8" t="s">
        <v>2976</v>
      </c>
      <c r="DK338" s="21">
        <v>45257</v>
      </c>
      <c r="DL338" s="21">
        <v>45199.229166666664</v>
      </c>
      <c r="DM338" s="21">
        <v>46067</v>
      </c>
      <c r="DN338" s="18">
        <v>4182</v>
      </c>
      <c r="DO338" s="21">
        <v>0</v>
      </c>
      <c r="DP338" s="21">
        <v>0</v>
      </c>
      <c r="DQ338" s="21" t="s">
        <v>2955</v>
      </c>
      <c r="DR338" s="21">
        <v>46067</v>
      </c>
      <c r="DS338" s="21">
        <v>46067</v>
      </c>
      <c r="DT338" s="21">
        <v>46067</v>
      </c>
      <c r="DU338" s="21">
        <v>46067</v>
      </c>
      <c r="DV338" s="21">
        <v>46067</v>
      </c>
      <c r="DW338" s="21">
        <v>45744</v>
      </c>
      <c r="DX338" s="21">
        <v>46067</v>
      </c>
      <c r="DY338" s="21">
        <v>45744</v>
      </c>
      <c r="DZ338" s="21">
        <v>45744</v>
      </c>
      <c r="EA338" s="8">
        <v>750</v>
      </c>
      <c r="EB338" s="8">
        <v>750</v>
      </c>
      <c r="EC338" s="8">
        <v>750</v>
      </c>
      <c r="ED338" s="8">
        <v>750</v>
      </c>
      <c r="EE338" s="8">
        <v>750</v>
      </c>
      <c r="EF338" s="8">
        <v>500</v>
      </c>
      <c r="EG338" s="8">
        <v>1000</v>
      </c>
      <c r="EH338" s="8">
        <v>500</v>
      </c>
      <c r="EI338" s="8">
        <v>500</v>
      </c>
      <c r="EJ338" s="8">
        <v>4</v>
      </c>
      <c r="EK338" s="8" t="s">
        <v>2624</v>
      </c>
      <c r="EL338" s="8">
        <v>46</v>
      </c>
      <c r="EM338" s="8">
        <v>0</v>
      </c>
      <c r="EN338" s="8">
        <v>462</v>
      </c>
      <c r="EO338" s="8">
        <v>462</v>
      </c>
      <c r="EP338" s="8">
        <v>462</v>
      </c>
      <c r="EQ338" s="8">
        <v>462</v>
      </c>
      <c r="ER338" s="8">
        <v>462</v>
      </c>
      <c r="ES338" s="8">
        <v>212</v>
      </c>
      <c r="ET338" s="8">
        <v>712</v>
      </c>
      <c r="EU338" s="8">
        <v>212</v>
      </c>
      <c r="EV338" s="8">
        <v>212</v>
      </c>
    </row>
    <row r="339" spans="1:152" x14ac:dyDescent="0.15">
      <c r="A339" s="8">
        <f>ROW([2]!tbl_DPSAC[[#This Row],[Sl. No.]])-1</f>
        <v>338</v>
      </c>
      <c r="B339" s="9" t="s">
        <v>136</v>
      </c>
      <c r="C339" s="9" t="s">
        <v>1831</v>
      </c>
      <c r="D339" s="9" t="s">
        <v>1491</v>
      </c>
      <c r="E339" s="9" t="s">
        <v>1492</v>
      </c>
      <c r="F339" s="9" t="s">
        <v>161</v>
      </c>
      <c r="G339" s="10" t="s">
        <v>1832</v>
      </c>
      <c r="H339" s="10" t="str">
        <f>_xlfn.XLOOKUP(C339,'[1]E&amp;DPSAC'!$K:$K,'[1]E&amp;DPSAC'!$E:$E,,0)</f>
        <v>DEOGRAH</v>
      </c>
      <c r="I339" s="10"/>
      <c r="J339" s="10">
        <v>6299737730</v>
      </c>
      <c r="K339" s="10" t="str">
        <f>IF(_xlfn.XLOOKUP(C339,'[1]E&amp;DPSAC'!$K:$K,'[1]E&amp;DPSAC'!$G:$G,"",0)=J339,"",_xlfn.XLOOKUP(C339,'[1]E&amp;DPSAC'!$K:$K,'[1]E&amp;DPSAC'!$G:$G,"",0))</f>
        <v/>
      </c>
      <c r="L339" s="9" t="str">
        <f t="shared" ca="1" si="21"/>
        <v>Non - Warranty</v>
      </c>
      <c r="M339" s="11">
        <v>45257</v>
      </c>
      <c r="N339" s="12">
        <v>24</v>
      </c>
      <c r="O339" s="11">
        <f t="shared" si="20"/>
        <v>45991</v>
      </c>
      <c r="P339" s="8" t="s">
        <v>213</v>
      </c>
      <c r="Q339" s="16" t="s">
        <v>2660</v>
      </c>
      <c r="R339" s="15">
        <v>46111.619097222203</v>
      </c>
      <c r="S339" s="14">
        <v>2087</v>
      </c>
      <c r="T339" s="15">
        <v>46004</v>
      </c>
      <c r="U339" s="14">
        <v>1469</v>
      </c>
      <c r="V339" s="14">
        <v>2087</v>
      </c>
      <c r="W339" s="17">
        <v>46111.619097222203</v>
      </c>
      <c r="X339" s="14" t="s">
        <v>2838</v>
      </c>
      <c r="Y339" s="14">
        <v>750</v>
      </c>
      <c r="Z339" s="14" t="s">
        <v>2692</v>
      </c>
      <c r="AA339" s="18">
        <v>1.3809027777970186</v>
      </c>
      <c r="AB339" s="18" t="s">
        <v>2692</v>
      </c>
      <c r="AC339" s="8">
        <f>tbl_DPSAC[[#This Row],[Current Month Due Count]]</f>
        <v>0</v>
      </c>
      <c r="AD339" s="8">
        <f>tbl_DPSAC[[#This Row],[Next Month Due2]]</f>
        <v>0</v>
      </c>
      <c r="AE339" s="8"/>
      <c r="AF339" s="8">
        <v>0</v>
      </c>
      <c r="AG339" s="14">
        <f t="shared" ca="1" si="22"/>
        <v>2087</v>
      </c>
      <c r="AH339" s="8" t="s">
        <v>1833</v>
      </c>
      <c r="AI339" s="8" t="s">
        <v>1834</v>
      </c>
      <c r="AJ339" s="8" t="s">
        <v>1835</v>
      </c>
      <c r="AK339" s="8">
        <v>0</v>
      </c>
      <c r="AL339" s="8">
        <v>0</v>
      </c>
      <c r="AM339" s="8">
        <v>0</v>
      </c>
      <c r="AN339" s="8">
        <v>0</v>
      </c>
      <c r="AO339" s="8">
        <v>0</v>
      </c>
      <c r="AP339" s="8">
        <v>0</v>
      </c>
      <c r="AQ339" s="8">
        <v>0</v>
      </c>
      <c r="AR339" s="8">
        <v>0</v>
      </c>
      <c r="AS339" s="8">
        <v>0</v>
      </c>
      <c r="AT339" s="8">
        <v>0</v>
      </c>
      <c r="AU339" s="8">
        <v>0</v>
      </c>
      <c r="AV339" s="8">
        <v>0</v>
      </c>
      <c r="AW339" s="8">
        <v>0</v>
      </c>
      <c r="AX339" s="8" t="s">
        <v>2007</v>
      </c>
      <c r="AY339" s="14">
        <v>1469</v>
      </c>
      <c r="AZ339" s="19">
        <v>46004</v>
      </c>
      <c r="BA339" s="14" t="s">
        <v>1836</v>
      </c>
      <c r="BB339" s="14">
        <v>1469</v>
      </c>
      <c r="BC339" s="19">
        <v>46004</v>
      </c>
      <c r="BD339" s="14" t="s">
        <v>1836</v>
      </c>
      <c r="BE339" s="14">
        <v>1469</v>
      </c>
      <c r="BF339" s="19">
        <v>46004</v>
      </c>
      <c r="BG339" s="14" t="s">
        <v>1836</v>
      </c>
      <c r="BH339" s="14">
        <v>1469</v>
      </c>
      <c r="BI339" s="19">
        <v>46004</v>
      </c>
      <c r="BJ339" s="14" t="s">
        <v>1836</v>
      </c>
      <c r="BK339" s="14">
        <v>1469</v>
      </c>
      <c r="BL339" s="19">
        <v>46004</v>
      </c>
      <c r="BM339" s="14" t="s">
        <v>1836</v>
      </c>
      <c r="BN339" s="27">
        <v>46184</v>
      </c>
      <c r="BO339" s="27">
        <v>46184</v>
      </c>
      <c r="BP339" s="27">
        <v>46184</v>
      </c>
      <c r="BQ339" s="27">
        <v>46184</v>
      </c>
      <c r="BR339" s="27">
        <v>46369</v>
      </c>
      <c r="BS339" s="28">
        <v>132</v>
      </c>
      <c r="BT339" s="29">
        <v>882</v>
      </c>
      <c r="BU339" s="29">
        <v>132</v>
      </c>
      <c r="BV339" s="29">
        <v>132</v>
      </c>
      <c r="BW339" s="29">
        <v>882</v>
      </c>
      <c r="BX339" s="30"/>
      <c r="BY339" s="8">
        <v>0</v>
      </c>
      <c r="BZ339" s="8">
        <v>0</v>
      </c>
      <c r="CA339" s="8">
        <v>0</v>
      </c>
      <c r="CB339" s="21">
        <v>46005.770833333299</v>
      </c>
      <c r="CC339" s="21">
        <v>46003.770833333299</v>
      </c>
      <c r="CD339" s="21">
        <v>46003.770833333299</v>
      </c>
      <c r="CE339" s="21">
        <v>46003.770833333299</v>
      </c>
      <c r="CF339" s="21">
        <v>46003.770833333299</v>
      </c>
      <c r="CG339" s="21">
        <v>46003.770833333299</v>
      </c>
      <c r="CH339" s="21">
        <v>46003.770833333299</v>
      </c>
      <c r="CI339" s="21">
        <v>46003.770833333299</v>
      </c>
      <c r="CJ339" s="21">
        <v>45208.770833333299</v>
      </c>
      <c r="CK339" s="22" t="s">
        <v>2956</v>
      </c>
      <c r="CL339" s="22" t="s">
        <v>2957</v>
      </c>
      <c r="CM339" s="22" t="s">
        <v>2959</v>
      </c>
      <c r="CN339" s="22" t="s">
        <v>2957</v>
      </c>
      <c r="CO339" s="22" t="s">
        <v>2957</v>
      </c>
      <c r="CP339" s="22" t="s">
        <v>2956</v>
      </c>
      <c r="CQ339" s="22" t="s">
        <v>2953</v>
      </c>
      <c r="CR339" s="22" t="s">
        <v>2956</v>
      </c>
      <c r="CS339" s="22" t="s">
        <v>2956</v>
      </c>
      <c r="CT339" s="22">
        <v>10</v>
      </c>
      <c r="CU339" s="21">
        <v>46156</v>
      </c>
      <c r="CV339" s="21">
        <v>46081</v>
      </c>
      <c r="CW339" s="21">
        <v>46056</v>
      </c>
      <c r="CX339" s="21">
        <v>46081</v>
      </c>
      <c r="CY339" s="21">
        <v>46081</v>
      </c>
      <c r="CZ339" s="21">
        <v>46156</v>
      </c>
      <c r="DA339" s="21">
        <v>46106</v>
      </c>
      <c r="DB339" s="21">
        <v>46156</v>
      </c>
      <c r="DC339" s="21">
        <v>45573</v>
      </c>
      <c r="DD339" s="8">
        <v>1</v>
      </c>
      <c r="DE339" s="8">
        <v>1</v>
      </c>
      <c r="DF339" s="8">
        <v>1</v>
      </c>
      <c r="DG339" s="8">
        <v>6</v>
      </c>
      <c r="DH339" s="8">
        <v>0</v>
      </c>
      <c r="DI339" s="8">
        <v>3</v>
      </c>
      <c r="DJ339" s="8" t="s">
        <v>2976</v>
      </c>
      <c r="DK339" s="21">
        <v>45209</v>
      </c>
      <c r="DL339" s="21">
        <v>45197.229166666664</v>
      </c>
      <c r="DM339" s="21">
        <v>46111</v>
      </c>
      <c r="DN339" s="18">
        <v>2087</v>
      </c>
      <c r="DO339" s="21">
        <v>0</v>
      </c>
      <c r="DP339" s="21">
        <v>0</v>
      </c>
      <c r="DQ339" s="21" t="s">
        <v>2955</v>
      </c>
      <c r="DR339" s="21">
        <v>46111</v>
      </c>
      <c r="DS339" s="21">
        <v>46111</v>
      </c>
      <c r="DT339" s="21">
        <v>46111</v>
      </c>
      <c r="DU339" s="21">
        <v>46111</v>
      </c>
      <c r="DV339" s="21">
        <v>46111</v>
      </c>
      <c r="DW339" s="21">
        <v>46004</v>
      </c>
      <c r="DX339" s="21">
        <v>46004</v>
      </c>
      <c r="DY339" s="21">
        <v>46004</v>
      </c>
      <c r="DZ339" s="21">
        <v>45209</v>
      </c>
      <c r="EA339" s="8">
        <v>500</v>
      </c>
      <c r="EB339" s="8">
        <v>500</v>
      </c>
      <c r="EC339" s="8">
        <v>500</v>
      </c>
      <c r="ED339" s="8">
        <v>500</v>
      </c>
      <c r="EE339" s="8">
        <v>500</v>
      </c>
      <c r="EF339" s="8">
        <v>1500</v>
      </c>
      <c r="EG339" s="8">
        <v>1000</v>
      </c>
      <c r="EH339" s="8">
        <v>1500</v>
      </c>
      <c r="EI339" s="8">
        <v>3000</v>
      </c>
      <c r="EJ339" s="8">
        <v>8</v>
      </c>
      <c r="EK339" s="8" t="s">
        <v>2624</v>
      </c>
      <c r="EL339" s="8">
        <v>1</v>
      </c>
      <c r="EM339" s="8">
        <v>0</v>
      </c>
      <c r="EN339" s="8">
        <v>212</v>
      </c>
      <c r="EO339" s="8">
        <v>212</v>
      </c>
      <c r="EP339" s="8">
        <v>212</v>
      </c>
      <c r="EQ339" s="8">
        <v>212</v>
      </c>
      <c r="ER339" s="8">
        <v>212</v>
      </c>
      <c r="ES339" s="8">
        <v>1212</v>
      </c>
      <c r="ET339" s="8">
        <v>712</v>
      </c>
      <c r="EU339" s="8">
        <v>1212</v>
      </c>
      <c r="EV339" s="8">
        <v>2712</v>
      </c>
    </row>
    <row r="340" spans="1:152" x14ac:dyDescent="0.15">
      <c r="A340" s="8">
        <f>ROW([2]!tbl_DPSAC[[#This Row],[Sl. No.]])-1</f>
        <v>339</v>
      </c>
      <c r="B340" s="9" t="s">
        <v>136</v>
      </c>
      <c r="C340" s="9" t="s">
        <v>1837</v>
      </c>
      <c r="D340" s="9" t="s">
        <v>1491</v>
      </c>
      <c r="E340" s="9" t="s">
        <v>1492</v>
      </c>
      <c r="F340" s="9" t="s">
        <v>161</v>
      </c>
      <c r="G340" s="10" t="s">
        <v>1838</v>
      </c>
      <c r="H340" s="10" t="str">
        <f>_xlfn.XLOOKUP(C340,'[1]E&amp;DPSAC'!$K:$K,'[1]E&amp;DPSAC'!$E:$E,,0)</f>
        <v>AKASHKANARI</v>
      </c>
      <c r="I340" s="10" t="s">
        <v>1839</v>
      </c>
      <c r="J340" s="10">
        <v>9031032277</v>
      </c>
      <c r="K340" s="10" t="str">
        <f>IF(_xlfn.XLOOKUP(C340,'[1]E&amp;DPSAC'!$K:$K,'[1]E&amp;DPSAC'!$G:$G,"",0)=J340,"",_xlfn.XLOOKUP(C340,'[1]E&amp;DPSAC'!$K:$K,'[1]E&amp;DPSAC'!$G:$G,"",0))</f>
        <v/>
      </c>
      <c r="L340" s="9" t="str">
        <f t="shared" ca="1" si="21"/>
        <v>Non - Warranty</v>
      </c>
      <c r="M340" s="11">
        <v>45233</v>
      </c>
      <c r="N340" s="12">
        <v>24</v>
      </c>
      <c r="O340" s="11">
        <f t="shared" si="20"/>
        <v>45991</v>
      </c>
      <c r="P340" s="8" t="s">
        <v>213</v>
      </c>
      <c r="Q340" s="16" t="s">
        <v>2661</v>
      </c>
      <c r="R340" s="15">
        <v>46008.565659722197</v>
      </c>
      <c r="S340" s="14">
        <v>2350</v>
      </c>
      <c r="T340" s="15">
        <v>46008</v>
      </c>
      <c r="U340" s="14">
        <v>2350</v>
      </c>
      <c r="V340" s="14">
        <v>2350</v>
      </c>
      <c r="W340" s="17">
        <v>46008.565659722197</v>
      </c>
      <c r="X340" s="14" t="s">
        <v>2839</v>
      </c>
      <c r="Y340" s="14">
        <v>750</v>
      </c>
      <c r="Z340" s="14" t="s">
        <v>2692</v>
      </c>
      <c r="AA340" s="18">
        <v>104.43434027780313</v>
      </c>
      <c r="AB340" s="18" t="s">
        <v>2692</v>
      </c>
      <c r="AC340" s="8">
        <f>tbl_DPSAC[[#This Row],[Current Month Due Count]]</f>
        <v>0</v>
      </c>
      <c r="AD340" s="8">
        <f>tbl_DPSAC[[#This Row],[Next Month Due2]]</f>
        <v>0</v>
      </c>
      <c r="AE340" s="8"/>
      <c r="AF340" s="8">
        <v>0</v>
      </c>
      <c r="AG340" s="14">
        <f t="shared" ca="1" si="22"/>
        <v>2350</v>
      </c>
      <c r="AH340" s="8" t="s">
        <v>1840</v>
      </c>
      <c r="AI340" s="8" t="s">
        <v>1841</v>
      </c>
      <c r="AJ340" s="8" t="s">
        <v>1842</v>
      </c>
      <c r="AK340" s="8">
        <v>0</v>
      </c>
      <c r="AL340" s="8">
        <v>0</v>
      </c>
      <c r="AM340" s="8">
        <v>0</v>
      </c>
      <c r="AN340" s="8">
        <v>0</v>
      </c>
      <c r="AO340" s="8">
        <v>0</v>
      </c>
      <c r="AP340" s="8">
        <v>0</v>
      </c>
      <c r="AQ340" s="8">
        <v>0</v>
      </c>
      <c r="AR340" s="8">
        <v>0</v>
      </c>
      <c r="AS340" s="8">
        <v>0</v>
      </c>
      <c r="AT340" s="8">
        <v>0</v>
      </c>
      <c r="AU340" s="8">
        <v>0</v>
      </c>
      <c r="AV340" s="8">
        <v>0</v>
      </c>
      <c r="AW340" s="8">
        <v>0</v>
      </c>
      <c r="AX340" s="8" t="s">
        <v>2007</v>
      </c>
      <c r="AY340" s="14">
        <v>2350</v>
      </c>
      <c r="AZ340" s="19">
        <v>46008</v>
      </c>
      <c r="BA340" s="14" t="s">
        <v>1843</v>
      </c>
      <c r="BB340" s="14">
        <v>2350</v>
      </c>
      <c r="BC340" s="19">
        <v>46008</v>
      </c>
      <c r="BD340" s="14" t="s">
        <v>1843</v>
      </c>
      <c r="BE340" s="14">
        <v>2350</v>
      </c>
      <c r="BF340" s="19">
        <v>46008</v>
      </c>
      <c r="BG340" s="14" t="s">
        <v>1843</v>
      </c>
      <c r="BH340" s="14">
        <v>2350</v>
      </c>
      <c r="BI340" s="19">
        <v>46008</v>
      </c>
      <c r="BJ340" s="14" t="s">
        <v>1843</v>
      </c>
      <c r="BK340" s="14">
        <v>2350</v>
      </c>
      <c r="BL340" s="19">
        <v>46008</v>
      </c>
      <c r="BM340" s="14" t="s">
        <v>1843</v>
      </c>
      <c r="BN340" s="27">
        <v>46188</v>
      </c>
      <c r="BO340" s="27">
        <v>46188</v>
      </c>
      <c r="BP340" s="27">
        <v>46188</v>
      </c>
      <c r="BQ340" s="27">
        <v>46188</v>
      </c>
      <c r="BR340" s="27">
        <v>46373</v>
      </c>
      <c r="BS340" s="28">
        <v>750</v>
      </c>
      <c r="BT340" s="29">
        <v>1500</v>
      </c>
      <c r="BU340" s="29">
        <v>750</v>
      </c>
      <c r="BV340" s="29">
        <v>750</v>
      </c>
      <c r="BW340" s="29">
        <v>1500</v>
      </c>
      <c r="BX340" s="30"/>
      <c r="BY340" s="8">
        <v>0</v>
      </c>
      <c r="BZ340" s="8">
        <v>0</v>
      </c>
      <c r="CA340" s="8">
        <v>0</v>
      </c>
      <c r="CB340" s="21">
        <v>46007.770833333299</v>
      </c>
      <c r="CC340" s="21">
        <v>46007.770833333299</v>
      </c>
      <c r="CD340" s="21">
        <v>46007.770833333299</v>
      </c>
      <c r="CE340" s="21">
        <v>46007.770833333299</v>
      </c>
      <c r="CF340" s="21">
        <v>46007.770833333299</v>
      </c>
      <c r="CG340" s="21">
        <v>45497.770833333299</v>
      </c>
      <c r="CH340" s="21">
        <v>46007.770833333299</v>
      </c>
      <c r="CI340" s="21">
        <v>45497.770833333299</v>
      </c>
      <c r="CJ340" s="21">
        <v>45497.770833333299</v>
      </c>
      <c r="CK340" s="22" t="s">
        <v>2956</v>
      </c>
      <c r="CL340" s="22" t="s">
        <v>2957</v>
      </c>
      <c r="CM340" s="22" t="s">
        <v>2957</v>
      </c>
      <c r="CN340" s="22" t="s">
        <v>2957</v>
      </c>
      <c r="CO340" s="22" t="s">
        <v>2957</v>
      </c>
      <c r="CP340" s="22" t="s">
        <v>2979</v>
      </c>
      <c r="CQ340" s="22" t="s">
        <v>2953</v>
      </c>
      <c r="CR340" s="22" t="s">
        <v>2979</v>
      </c>
      <c r="CS340" s="22" t="s">
        <v>2979</v>
      </c>
      <c r="CT340" s="22">
        <v>4</v>
      </c>
      <c r="CU340" s="21">
        <v>46187</v>
      </c>
      <c r="CV340" s="21">
        <v>46187</v>
      </c>
      <c r="CW340" s="21">
        <v>46187</v>
      </c>
      <c r="CX340" s="21">
        <v>46187</v>
      </c>
      <c r="CY340" s="21">
        <v>46187</v>
      </c>
      <c r="CZ340" s="21">
        <v>45767</v>
      </c>
      <c r="DA340" s="21">
        <v>46258</v>
      </c>
      <c r="DB340" s="21">
        <v>45677</v>
      </c>
      <c r="DC340" s="21">
        <v>45862</v>
      </c>
      <c r="DD340" s="8">
        <v>1</v>
      </c>
      <c r="DE340" s="8">
        <v>0</v>
      </c>
      <c r="DF340" s="8">
        <v>0</v>
      </c>
      <c r="DG340" s="8">
        <v>3</v>
      </c>
      <c r="DH340" s="8">
        <v>0</v>
      </c>
      <c r="DI340" s="8">
        <v>0</v>
      </c>
      <c r="DJ340" s="8" t="s">
        <v>2976</v>
      </c>
      <c r="DK340" s="21">
        <v>45233</v>
      </c>
      <c r="DL340" s="21">
        <v>45203.229166666664</v>
      </c>
      <c r="DM340" s="21">
        <v>46008</v>
      </c>
      <c r="DN340" s="18">
        <v>2350</v>
      </c>
      <c r="DO340" s="21">
        <v>0</v>
      </c>
      <c r="DP340" s="21">
        <v>0</v>
      </c>
      <c r="DQ340" s="21" t="s">
        <v>2955</v>
      </c>
      <c r="DR340" s="21">
        <v>46008</v>
      </c>
      <c r="DS340" s="21">
        <v>46008</v>
      </c>
      <c r="DT340" s="21">
        <v>46008</v>
      </c>
      <c r="DU340" s="21">
        <v>46008</v>
      </c>
      <c r="DV340" s="21">
        <v>46008</v>
      </c>
      <c r="DW340" s="21">
        <v>45498</v>
      </c>
      <c r="DX340" s="21">
        <v>46008</v>
      </c>
      <c r="DY340" s="21">
        <v>45498</v>
      </c>
      <c r="DZ340" s="21">
        <v>45498</v>
      </c>
      <c r="EA340" s="8">
        <v>1500</v>
      </c>
      <c r="EB340" s="8">
        <v>750</v>
      </c>
      <c r="EC340" s="8">
        <v>750</v>
      </c>
      <c r="ED340" s="8">
        <v>750</v>
      </c>
      <c r="EE340" s="8">
        <v>750</v>
      </c>
      <c r="EF340" s="8">
        <v>850</v>
      </c>
      <c r="EG340" s="8">
        <v>1000</v>
      </c>
      <c r="EH340" s="8">
        <v>850</v>
      </c>
      <c r="EI340" s="8">
        <v>850</v>
      </c>
      <c r="EJ340" s="8">
        <v>4</v>
      </c>
      <c r="EK340" s="8" t="s">
        <v>2624</v>
      </c>
      <c r="EL340" s="8">
        <v>104</v>
      </c>
      <c r="EM340" s="8">
        <v>0</v>
      </c>
      <c r="EN340" s="8">
        <v>1212</v>
      </c>
      <c r="EO340" s="8">
        <v>462</v>
      </c>
      <c r="EP340" s="8">
        <v>462</v>
      </c>
      <c r="EQ340" s="8">
        <v>462</v>
      </c>
      <c r="ER340" s="8">
        <v>462</v>
      </c>
      <c r="ES340" s="8">
        <v>562</v>
      </c>
      <c r="ET340" s="8">
        <v>712</v>
      </c>
      <c r="EU340" s="8">
        <v>562</v>
      </c>
      <c r="EV340" s="8">
        <v>562</v>
      </c>
    </row>
    <row r="341" spans="1:152" ht="31.5" x14ac:dyDescent="0.15">
      <c r="A341" s="8">
        <f>ROW([2]!tbl_DPSAC[[#This Row],[Sl. No.]])-1</f>
        <v>340</v>
      </c>
      <c r="B341" s="9" t="s">
        <v>136</v>
      </c>
      <c r="C341" s="9" t="s">
        <v>1844</v>
      </c>
      <c r="D341" s="9" t="s">
        <v>1491</v>
      </c>
      <c r="E341" s="9" t="s">
        <v>1492</v>
      </c>
      <c r="F341" s="9" t="s">
        <v>161</v>
      </c>
      <c r="G341" s="10" t="s">
        <v>1063</v>
      </c>
      <c r="H341" s="10" t="str">
        <f>_xlfn.XLOOKUP(C341,'[1]E&amp;DPSAC'!$K:$K,'[1]E&amp;DPSAC'!$E:$E,,0)</f>
        <v>BHURKUNDA</v>
      </c>
      <c r="I341" s="10"/>
      <c r="J341" s="10">
        <v>7672025601</v>
      </c>
      <c r="K341" s="10">
        <f>IF(_xlfn.XLOOKUP(C341,'[1]E&amp;DPSAC'!$K:$K,'[1]E&amp;DPSAC'!$G:$G,"",0)=J341,"",_xlfn.XLOOKUP(C341,'[1]E&amp;DPSAC'!$K:$K,'[1]E&amp;DPSAC'!$G:$G,"",0))</f>
        <v>6200279030</v>
      </c>
      <c r="L341" s="9" t="str">
        <f t="shared" ca="1" si="21"/>
        <v>Non - Warranty</v>
      </c>
      <c r="M341" s="11">
        <v>45268</v>
      </c>
      <c r="N341" s="12">
        <v>24</v>
      </c>
      <c r="O341" s="11">
        <f t="shared" si="20"/>
        <v>46022</v>
      </c>
      <c r="P341" s="8" t="s">
        <v>213</v>
      </c>
      <c r="Q341" s="16" t="s">
        <v>1852</v>
      </c>
      <c r="R341" s="15">
        <v>46010.685995370397</v>
      </c>
      <c r="S341" s="14">
        <v>4325</v>
      </c>
      <c r="T341" s="15">
        <v>46011</v>
      </c>
      <c r="U341" s="14">
        <v>4325</v>
      </c>
      <c r="V341" s="14">
        <v>4325</v>
      </c>
      <c r="W341" s="17">
        <v>46010.685995370397</v>
      </c>
      <c r="X341" s="14" t="s">
        <v>2840</v>
      </c>
      <c r="Y341" s="14">
        <v>750</v>
      </c>
      <c r="Z341" s="14" t="s">
        <v>2692</v>
      </c>
      <c r="AA341" s="18">
        <v>102.31400462960301</v>
      </c>
      <c r="AB341" s="18" t="s">
        <v>2692</v>
      </c>
      <c r="AC341" s="8">
        <f>tbl_DPSAC[[#This Row],[Current Month Due Count]]</f>
        <v>1</v>
      </c>
      <c r="AD341" s="8">
        <f>tbl_DPSAC[[#This Row],[Next Month Due2]]</f>
        <v>1</v>
      </c>
      <c r="AE341" s="8"/>
      <c r="AF341" s="8">
        <v>4</v>
      </c>
      <c r="AG341" s="14">
        <f t="shared" ca="1" si="22"/>
        <v>4734</v>
      </c>
      <c r="AH341" s="8" t="s">
        <v>1845</v>
      </c>
      <c r="AI341" s="8" t="s">
        <v>1846</v>
      </c>
      <c r="AJ341" s="8" t="s">
        <v>1847</v>
      </c>
      <c r="AK341" s="8" t="s">
        <v>1848</v>
      </c>
      <c r="AL341" s="8">
        <v>0</v>
      </c>
      <c r="AM341" s="8">
        <v>0</v>
      </c>
      <c r="AN341" s="20" t="s">
        <v>1849</v>
      </c>
      <c r="AO341" s="20" t="s">
        <v>1850</v>
      </c>
      <c r="AP341" s="8" t="s">
        <v>1851</v>
      </c>
      <c r="AQ341" s="8">
        <v>0</v>
      </c>
      <c r="AR341" s="8">
        <v>0</v>
      </c>
      <c r="AS341" s="8">
        <v>0</v>
      </c>
      <c r="AT341" s="8">
        <v>0</v>
      </c>
      <c r="AU341" s="8">
        <v>0</v>
      </c>
      <c r="AV341" s="8">
        <v>0</v>
      </c>
      <c r="AW341" s="8">
        <v>0</v>
      </c>
      <c r="AX341" s="8" t="s">
        <v>3147</v>
      </c>
      <c r="AY341" s="14">
        <v>4325</v>
      </c>
      <c r="AZ341" s="19">
        <v>46010</v>
      </c>
      <c r="BA341" s="14" t="s">
        <v>1852</v>
      </c>
      <c r="BB341" s="14">
        <v>4250</v>
      </c>
      <c r="BC341" s="19">
        <v>45976</v>
      </c>
      <c r="BD341" s="14" t="s">
        <v>1853</v>
      </c>
      <c r="BE341" s="14">
        <v>4325</v>
      </c>
      <c r="BF341" s="19">
        <v>46010</v>
      </c>
      <c r="BG341" s="14" t="s">
        <v>1852</v>
      </c>
      <c r="BH341" s="14">
        <v>4325</v>
      </c>
      <c r="BI341" s="19">
        <v>46010</v>
      </c>
      <c r="BJ341" s="14" t="s">
        <v>1852</v>
      </c>
      <c r="BK341" s="14">
        <v>3100</v>
      </c>
      <c r="BL341" s="19">
        <v>45756</v>
      </c>
      <c r="BM341" s="14" t="s">
        <v>1854</v>
      </c>
      <c r="BN341" s="27">
        <v>46190</v>
      </c>
      <c r="BO341" s="27">
        <v>46156</v>
      </c>
      <c r="BP341" s="27">
        <v>46190</v>
      </c>
      <c r="BQ341" s="27">
        <v>46190</v>
      </c>
      <c r="BR341" s="27">
        <v>46121</v>
      </c>
      <c r="BS341" s="28">
        <v>341</v>
      </c>
      <c r="BT341" s="29">
        <v>1016</v>
      </c>
      <c r="BU341" s="29">
        <v>341</v>
      </c>
      <c r="BV341" s="29">
        <v>341</v>
      </c>
      <c r="BW341" s="29">
        <v>-134</v>
      </c>
      <c r="BX341" s="30"/>
      <c r="BY341" s="8">
        <v>0</v>
      </c>
      <c r="BZ341" s="8">
        <v>1</v>
      </c>
      <c r="CA341" s="8">
        <v>1</v>
      </c>
      <c r="CB341" s="21">
        <v>46009.770833333299</v>
      </c>
      <c r="CC341" s="21">
        <v>45975.770833333299</v>
      </c>
      <c r="CD341" s="21">
        <v>45975.770833333299</v>
      </c>
      <c r="CE341" s="21">
        <v>46009.770833333299</v>
      </c>
      <c r="CF341" s="21">
        <v>46009.770833333299</v>
      </c>
      <c r="CG341" s="21">
        <v>45975.770833333299</v>
      </c>
      <c r="CH341" s="21">
        <v>45975.770833333299</v>
      </c>
      <c r="CI341" s="21">
        <v>45755.770833333299</v>
      </c>
      <c r="CJ341" s="21">
        <v>45755.770833333299</v>
      </c>
      <c r="CK341" s="22" t="s">
        <v>2959</v>
      </c>
      <c r="CL341" s="22" t="s">
        <v>2959</v>
      </c>
      <c r="CM341" s="22" t="s">
        <v>2959</v>
      </c>
      <c r="CN341" s="22" t="s">
        <v>2959</v>
      </c>
      <c r="CO341" s="22" t="s">
        <v>2959</v>
      </c>
      <c r="CP341" s="22" t="s">
        <v>2956</v>
      </c>
      <c r="CQ341" s="22" t="s">
        <v>2953</v>
      </c>
      <c r="CR341" s="22" t="s">
        <v>2956</v>
      </c>
      <c r="CS341" s="22" t="s">
        <v>2960</v>
      </c>
      <c r="CT341" s="22">
        <v>10</v>
      </c>
      <c r="CU341" s="21">
        <v>46061</v>
      </c>
      <c r="CV341" s="21">
        <v>46061</v>
      </c>
      <c r="CW341" s="21">
        <v>46061</v>
      </c>
      <c r="CX341" s="21">
        <v>46061</v>
      </c>
      <c r="CY341" s="21">
        <v>46061</v>
      </c>
      <c r="CZ341" s="21">
        <v>46161</v>
      </c>
      <c r="DA341" s="21">
        <v>46111</v>
      </c>
      <c r="DB341" s="21">
        <v>45935</v>
      </c>
      <c r="DC341" s="21">
        <v>46120</v>
      </c>
      <c r="DD341" s="8">
        <v>1</v>
      </c>
      <c r="DE341" s="8">
        <v>1</v>
      </c>
      <c r="DF341" s="8">
        <v>1</v>
      </c>
      <c r="DG341" s="8">
        <v>7</v>
      </c>
      <c r="DH341" s="8">
        <v>1</v>
      </c>
      <c r="DI341" s="8">
        <v>1</v>
      </c>
      <c r="DJ341" s="8" t="s">
        <v>2976</v>
      </c>
      <c r="DK341" s="21">
        <v>45268</v>
      </c>
      <c r="DL341" s="21">
        <v>45252.229166666664</v>
      </c>
      <c r="DM341" s="21">
        <v>46011</v>
      </c>
      <c r="DN341" s="18">
        <v>4325</v>
      </c>
      <c r="DO341" s="21">
        <v>0</v>
      </c>
      <c r="DP341" s="21">
        <v>0</v>
      </c>
      <c r="DQ341" s="21" t="s">
        <v>2955</v>
      </c>
      <c r="DR341" s="21">
        <v>46010</v>
      </c>
      <c r="DS341" s="21">
        <v>45976</v>
      </c>
      <c r="DT341" s="21">
        <v>45976</v>
      </c>
      <c r="DU341" s="21">
        <v>46010</v>
      </c>
      <c r="DV341" s="21">
        <v>46010</v>
      </c>
      <c r="DW341" s="21">
        <v>45976</v>
      </c>
      <c r="DX341" s="21">
        <v>45976</v>
      </c>
      <c r="DY341" s="21">
        <v>45756</v>
      </c>
      <c r="DZ341" s="21">
        <v>45756</v>
      </c>
      <c r="EA341" s="8">
        <v>500</v>
      </c>
      <c r="EB341" s="8">
        <v>500</v>
      </c>
      <c r="EC341" s="8">
        <v>500</v>
      </c>
      <c r="ED341" s="8">
        <v>500</v>
      </c>
      <c r="EE341" s="8">
        <v>500</v>
      </c>
      <c r="EF341" s="8">
        <v>1500</v>
      </c>
      <c r="EG341" s="8">
        <v>1000</v>
      </c>
      <c r="EH341" s="8">
        <v>1500</v>
      </c>
      <c r="EI341" s="8">
        <v>3000</v>
      </c>
      <c r="EJ341" s="8">
        <v>10</v>
      </c>
      <c r="EK341" s="8" t="s">
        <v>2624</v>
      </c>
      <c r="EL341" s="8">
        <v>102</v>
      </c>
      <c r="EM341" s="8">
        <v>408</v>
      </c>
      <c r="EN341" s="8">
        <v>212</v>
      </c>
      <c r="EO341" s="8">
        <v>212</v>
      </c>
      <c r="EP341" s="8">
        <v>212</v>
      </c>
      <c r="EQ341" s="8">
        <v>212</v>
      </c>
      <c r="ER341" s="8">
        <v>212</v>
      </c>
      <c r="ES341" s="8">
        <v>1212</v>
      </c>
      <c r="ET341" s="8">
        <v>712</v>
      </c>
      <c r="EU341" s="8">
        <v>1212</v>
      </c>
      <c r="EV341" s="8">
        <v>2712</v>
      </c>
    </row>
    <row r="342" spans="1:152" x14ac:dyDescent="0.15">
      <c r="A342" s="8">
        <f>ROW([2]!tbl_DPSAC[[#This Row],[Sl. No.]])-1</f>
        <v>341</v>
      </c>
      <c r="B342" s="9" t="s">
        <v>136</v>
      </c>
      <c r="C342" s="9" t="s">
        <v>1855</v>
      </c>
      <c r="D342" s="9" t="s">
        <v>1491</v>
      </c>
      <c r="E342" s="9" t="s">
        <v>1492</v>
      </c>
      <c r="F342" s="9" t="s">
        <v>161</v>
      </c>
      <c r="G342" s="10" t="s">
        <v>1856</v>
      </c>
      <c r="H342" s="10" t="str">
        <f>_xlfn.XLOOKUP(C342,'[1]E&amp;DPSAC'!$K:$K,'[1]E&amp;DPSAC'!$E:$E,,0)</f>
        <v>BAGODAR</v>
      </c>
      <c r="I342" s="10" t="s">
        <v>1857</v>
      </c>
      <c r="J342" s="10">
        <v>9934111977</v>
      </c>
      <c r="K342" s="10" t="str">
        <f>IF(_xlfn.XLOOKUP(C342,'[1]E&amp;DPSAC'!$K:$K,'[1]E&amp;DPSAC'!$G:$G,"",0)=J342,"",_xlfn.XLOOKUP(C342,'[1]E&amp;DPSAC'!$K:$K,'[1]E&amp;DPSAC'!$G:$G,"",0))</f>
        <v/>
      </c>
      <c r="L342" s="9" t="str">
        <f t="shared" ca="1" si="21"/>
        <v>Non - Warranty</v>
      </c>
      <c r="M342" s="11">
        <v>45280</v>
      </c>
      <c r="N342" s="12">
        <v>24</v>
      </c>
      <c r="O342" s="11">
        <f t="shared" si="20"/>
        <v>46022</v>
      </c>
      <c r="P342" s="8" t="s">
        <v>213</v>
      </c>
      <c r="Q342" s="16" t="s">
        <v>1860</v>
      </c>
      <c r="R342" s="15">
        <v>45622.6266203704</v>
      </c>
      <c r="S342" s="14">
        <v>1370</v>
      </c>
      <c r="T342" s="15">
        <v>45622</v>
      </c>
      <c r="U342" s="14">
        <v>1072</v>
      </c>
      <c r="V342" s="14">
        <v>1695</v>
      </c>
      <c r="W342" s="17">
        <v>45993.499930555598</v>
      </c>
      <c r="X342" s="14" t="s">
        <v>2841</v>
      </c>
      <c r="Y342" s="14">
        <v>425</v>
      </c>
      <c r="Z342" s="14" t="s">
        <v>2692</v>
      </c>
      <c r="AA342" s="18">
        <v>490.37337962960009</v>
      </c>
      <c r="AB342" s="18" t="s">
        <v>2697</v>
      </c>
      <c r="AC342" s="8">
        <f>tbl_DPSAC[[#This Row],[Current Month Due Count]]</f>
        <v>0</v>
      </c>
      <c r="AD342" s="8">
        <f>tbl_DPSAC[[#This Row],[Next Month Due2]]</f>
        <v>0</v>
      </c>
      <c r="AE342" s="8"/>
      <c r="AF342" s="8">
        <v>1</v>
      </c>
      <c r="AG342" s="14">
        <f t="shared" ca="1" si="22"/>
        <v>1815</v>
      </c>
      <c r="AH342" s="8" t="s">
        <v>1858</v>
      </c>
      <c r="AI342" s="8" t="s">
        <v>1859</v>
      </c>
      <c r="AJ342" s="8">
        <v>0</v>
      </c>
      <c r="AK342" s="8">
        <v>0</v>
      </c>
      <c r="AL342" s="8">
        <v>0</v>
      </c>
      <c r="AM342" s="8">
        <v>0</v>
      </c>
      <c r="AN342" s="8">
        <v>0</v>
      </c>
      <c r="AO342" s="8">
        <v>0</v>
      </c>
      <c r="AP342" s="8">
        <v>0</v>
      </c>
      <c r="AQ342" s="8">
        <v>0</v>
      </c>
      <c r="AR342" s="8">
        <v>0</v>
      </c>
      <c r="AS342" s="8">
        <v>0</v>
      </c>
      <c r="AT342" s="8">
        <v>0</v>
      </c>
      <c r="AU342" s="8">
        <v>0</v>
      </c>
      <c r="AV342" s="8">
        <v>0</v>
      </c>
      <c r="AW342" s="8">
        <v>0</v>
      </c>
      <c r="AX342" s="8" t="s">
        <v>3033</v>
      </c>
      <c r="AY342" s="14">
        <v>1370</v>
      </c>
      <c r="AZ342" s="19">
        <v>45622</v>
      </c>
      <c r="BA342" s="14" t="s">
        <v>1860</v>
      </c>
      <c r="BB342" s="14">
        <v>1</v>
      </c>
      <c r="BC342" s="19">
        <v>45280</v>
      </c>
      <c r="BD342" s="14" t="s">
        <v>1861</v>
      </c>
      <c r="BE342" s="14">
        <v>1370</v>
      </c>
      <c r="BF342" s="19">
        <v>45622</v>
      </c>
      <c r="BG342" s="14" t="s">
        <v>1860</v>
      </c>
      <c r="BH342" s="14">
        <v>1370</v>
      </c>
      <c r="BI342" s="19">
        <v>45622</v>
      </c>
      <c r="BJ342" s="14" t="s">
        <v>1860</v>
      </c>
      <c r="BK342" s="14">
        <v>1</v>
      </c>
      <c r="BL342" s="19">
        <v>45280</v>
      </c>
      <c r="BM342" s="14" t="s">
        <v>1861</v>
      </c>
      <c r="BN342" s="27">
        <v>45802</v>
      </c>
      <c r="BO342" s="27">
        <v>45460</v>
      </c>
      <c r="BP342" s="27">
        <v>45802</v>
      </c>
      <c r="BQ342" s="27">
        <v>45802</v>
      </c>
      <c r="BR342" s="27">
        <v>45645</v>
      </c>
      <c r="BS342" s="28">
        <v>305</v>
      </c>
      <c r="BT342" s="29">
        <v>-314</v>
      </c>
      <c r="BU342" s="29">
        <v>305</v>
      </c>
      <c r="BV342" s="29">
        <v>305</v>
      </c>
      <c r="BW342" s="29">
        <v>-314</v>
      </c>
      <c r="BX342" s="30"/>
      <c r="BY342" s="8">
        <v>5</v>
      </c>
      <c r="BZ342" s="8">
        <v>0</v>
      </c>
      <c r="CA342" s="8">
        <v>0</v>
      </c>
      <c r="CB342" s="21">
        <v>45621.770833333299</v>
      </c>
      <c r="CC342" s="21">
        <v>45621.770833333299</v>
      </c>
      <c r="CD342" s="21">
        <v>45621.770833333299</v>
      </c>
      <c r="CE342" s="21">
        <v>45621.770833333299</v>
      </c>
      <c r="CF342" s="21">
        <v>45621.770833333299</v>
      </c>
      <c r="CG342" s="21">
        <v>45279.770833333299</v>
      </c>
      <c r="CH342" s="21">
        <v>45279.770833333299</v>
      </c>
      <c r="CI342" s="21">
        <v>45279.770833333299</v>
      </c>
      <c r="CJ342" s="21">
        <v>45279.770833333299</v>
      </c>
      <c r="CK342" s="22" t="s">
        <v>3113</v>
      </c>
      <c r="CL342" s="22" t="s">
        <v>3113</v>
      </c>
      <c r="CM342" s="22" t="s">
        <v>3113</v>
      </c>
      <c r="CN342" s="22" t="s">
        <v>3113</v>
      </c>
      <c r="CO342" s="22" t="s">
        <v>3113</v>
      </c>
      <c r="CP342" s="22" t="s">
        <v>3113</v>
      </c>
      <c r="CQ342" s="22" t="s">
        <v>2953</v>
      </c>
      <c r="CR342" s="22" t="s">
        <v>3113</v>
      </c>
      <c r="CS342" s="22" t="s">
        <v>3113</v>
      </c>
      <c r="CT342" s="22">
        <v>0</v>
      </c>
      <c r="CU342" s="21">
        <v>0</v>
      </c>
      <c r="CV342" s="21">
        <v>0</v>
      </c>
      <c r="CW342" s="21">
        <v>0</v>
      </c>
      <c r="CX342" s="21">
        <v>0</v>
      </c>
      <c r="CY342" s="21">
        <v>0</v>
      </c>
      <c r="CZ342" s="21">
        <v>0</v>
      </c>
      <c r="DA342" s="21">
        <v>0</v>
      </c>
      <c r="DB342" s="21">
        <v>0</v>
      </c>
      <c r="DC342" s="21">
        <v>0</v>
      </c>
      <c r="DD342" s="8">
        <v>0</v>
      </c>
      <c r="DE342" s="8">
        <v>0</v>
      </c>
      <c r="DF342" s="8">
        <v>0</v>
      </c>
      <c r="DG342" s="8">
        <v>9</v>
      </c>
      <c r="DH342" s="8">
        <v>0</v>
      </c>
      <c r="DI342" s="8">
        <v>0</v>
      </c>
      <c r="DJ342" s="8" t="s">
        <v>2976</v>
      </c>
      <c r="DK342" s="21">
        <v>45280</v>
      </c>
      <c r="DL342" s="21">
        <v>45195.229166666664</v>
      </c>
      <c r="DM342" s="21">
        <v>45993</v>
      </c>
      <c r="DN342" s="18">
        <v>1695</v>
      </c>
      <c r="DO342" s="21">
        <v>0</v>
      </c>
      <c r="DP342" s="21">
        <v>0</v>
      </c>
      <c r="DQ342" s="21" t="s">
        <v>2955</v>
      </c>
      <c r="DR342" s="21">
        <v>45622</v>
      </c>
      <c r="DS342" s="21">
        <v>45622</v>
      </c>
      <c r="DT342" s="21">
        <v>45622</v>
      </c>
      <c r="DU342" s="21">
        <v>45622</v>
      </c>
      <c r="DV342" s="21">
        <v>45622</v>
      </c>
      <c r="DW342" s="21">
        <v>45280</v>
      </c>
      <c r="DX342" s="21">
        <v>45280</v>
      </c>
      <c r="DY342" s="21">
        <v>45280</v>
      </c>
      <c r="DZ342" s="21">
        <v>45280</v>
      </c>
      <c r="EA342" s="8">
        <v>400</v>
      </c>
      <c r="EB342" s="8">
        <v>400</v>
      </c>
      <c r="EC342" s="8">
        <v>400</v>
      </c>
      <c r="ED342" s="8">
        <v>400</v>
      </c>
      <c r="EE342" s="8">
        <v>400</v>
      </c>
      <c r="EF342" s="8">
        <v>400</v>
      </c>
      <c r="EG342" s="8">
        <v>1000</v>
      </c>
      <c r="EH342" s="8">
        <v>400</v>
      </c>
      <c r="EI342" s="8">
        <v>400</v>
      </c>
      <c r="EJ342" s="8">
        <v>0</v>
      </c>
      <c r="EK342" s="8" t="s">
        <v>2624</v>
      </c>
      <c r="EL342" s="8">
        <v>120</v>
      </c>
      <c r="EM342" s="8">
        <v>120</v>
      </c>
      <c r="EN342" s="8">
        <v>112</v>
      </c>
      <c r="EO342" s="8">
        <v>112</v>
      </c>
      <c r="EP342" s="8">
        <v>112</v>
      </c>
      <c r="EQ342" s="8">
        <v>112</v>
      </c>
      <c r="ER342" s="8">
        <v>112</v>
      </c>
      <c r="ES342" s="8">
        <v>112</v>
      </c>
      <c r="ET342" s="8">
        <v>712</v>
      </c>
      <c r="EU342" s="8">
        <v>112</v>
      </c>
      <c r="EV342" s="8">
        <v>112</v>
      </c>
    </row>
    <row r="343" spans="1:152" x14ac:dyDescent="0.15">
      <c r="A343" s="8">
        <f>ROW([2]!tbl_DPSAC[[#This Row],[Sl. No.]])-1</f>
        <v>342</v>
      </c>
      <c r="B343" s="9" t="s">
        <v>196</v>
      </c>
      <c r="C343" s="9" t="s">
        <v>1862</v>
      </c>
      <c r="D343" s="9" t="s">
        <v>1312</v>
      </c>
      <c r="E343" s="9" t="s">
        <v>199</v>
      </c>
      <c r="F343" s="9" t="s">
        <v>161</v>
      </c>
      <c r="G343" s="10" t="s">
        <v>1427</v>
      </c>
      <c r="H343" s="10" t="str">
        <f>_xlfn.XLOOKUP(C343,'[1]E&amp;DPSAC'!$K:$K,'[1]E&amp;DPSAC'!$E:$E,,0)</f>
        <v>BARAUNI</v>
      </c>
      <c r="I343" s="10" t="s">
        <v>1863</v>
      </c>
      <c r="J343" s="10">
        <v>9386279110</v>
      </c>
      <c r="K343" s="10">
        <f>IF(_xlfn.XLOOKUP(C343,'[1]E&amp;DPSAC'!$K:$K,'[1]E&amp;DPSAC'!$G:$G,"",0)=J343,"",_xlfn.XLOOKUP(C343,'[1]E&amp;DPSAC'!$K:$K,'[1]E&amp;DPSAC'!$G:$G,"",0))</f>
        <v>8228896589</v>
      </c>
      <c r="L343" s="9" t="str">
        <f t="shared" ca="1" si="21"/>
        <v>Non - Warranty</v>
      </c>
      <c r="M343" s="11">
        <v>45267</v>
      </c>
      <c r="N343" s="12">
        <v>24</v>
      </c>
      <c r="O343" s="11">
        <f t="shared" si="20"/>
        <v>46022</v>
      </c>
      <c r="P343" s="8" t="s">
        <v>213</v>
      </c>
      <c r="Q343" s="16" t="s">
        <v>1869</v>
      </c>
      <c r="R343" s="15">
        <v>45876.477083333331</v>
      </c>
      <c r="S343" s="14">
        <v>2348</v>
      </c>
      <c r="T343" s="15">
        <v>45876</v>
      </c>
      <c r="U343" s="14">
        <v>2348</v>
      </c>
      <c r="V343" s="14">
        <v>2530</v>
      </c>
      <c r="W343" s="17">
        <v>45968.614814814799</v>
      </c>
      <c r="X343" s="14" t="s">
        <v>2842</v>
      </c>
      <c r="Y343" s="14">
        <v>568</v>
      </c>
      <c r="Z343" s="14" t="s">
        <v>2692</v>
      </c>
      <c r="AA343" s="18">
        <v>236.52291666666861</v>
      </c>
      <c r="AB343" s="18" t="s">
        <v>2697</v>
      </c>
      <c r="AC343" s="8">
        <f>tbl_DPSAC[[#This Row],[Current Month Due Count]]</f>
        <v>0</v>
      </c>
      <c r="AD343" s="8">
        <f>tbl_DPSAC[[#This Row],[Next Month Due2]]</f>
        <v>0</v>
      </c>
      <c r="AE343" s="8"/>
      <c r="AF343" s="8">
        <v>2</v>
      </c>
      <c r="AG343" s="14">
        <f t="shared" ca="1" si="22"/>
        <v>2819</v>
      </c>
      <c r="AH343" s="8" t="s">
        <v>1864</v>
      </c>
      <c r="AI343" s="8" t="s">
        <v>1865</v>
      </c>
      <c r="AJ343" s="8" t="s">
        <v>1866</v>
      </c>
      <c r="AK343" s="8" t="s">
        <v>1867</v>
      </c>
      <c r="AL343" s="8" t="s">
        <v>1868</v>
      </c>
      <c r="AM343" s="8">
        <v>0</v>
      </c>
      <c r="AN343" s="8">
        <v>0</v>
      </c>
      <c r="AO343" s="8">
        <v>0</v>
      </c>
      <c r="AP343" s="8">
        <v>0</v>
      </c>
      <c r="AQ343" s="8">
        <v>0</v>
      </c>
      <c r="AR343" s="8">
        <v>0</v>
      </c>
      <c r="AS343" s="8">
        <v>0</v>
      </c>
      <c r="AT343" s="8">
        <v>0</v>
      </c>
      <c r="AU343" s="8">
        <v>0</v>
      </c>
      <c r="AV343" s="8">
        <v>0</v>
      </c>
      <c r="AW343" s="8">
        <v>0</v>
      </c>
      <c r="AX343" s="8" t="s">
        <v>2007</v>
      </c>
      <c r="AY343" s="14">
        <v>2348</v>
      </c>
      <c r="AZ343" s="19">
        <v>45876</v>
      </c>
      <c r="BA343" s="14" t="s">
        <v>1869</v>
      </c>
      <c r="BB343" s="14">
        <v>1556</v>
      </c>
      <c r="BC343" s="19">
        <v>45633</v>
      </c>
      <c r="BD343" s="14" t="s">
        <v>1870</v>
      </c>
      <c r="BE343" s="14">
        <v>2348</v>
      </c>
      <c r="BF343" s="19">
        <v>45876</v>
      </c>
      <c r="BG343" s="14" t="s">
        <v>1869</v>
      </c>
      <c r="BH343" s="14">
        <v>2348</v>
      </c>
      <c r="BI343" s="19">
        <v>45876</v>
      </c>
      <c r="BJ343" s="14" t="s">
        <v>1869</v>
      </c>
      <c r="BK343" s="14">
        <v>1556</v>
      </c>
      <c r="BL343" s="19">
        <v>45633</v>
      </c>
      <c r="BM343" s="14" t="s">
        <v>1870</v>
      </c>
      <c r="BN343" s="27">
        <v>46056</v>
      </c>
      <c r="BO343" s="27">
        <v>45813</v>
      </c>
      <c r="BP343" s="27">
        <v>46056</v>
      </c>
      <c r="BQ343" s="27">
        <v>46056</v>
      </c>
      <c r="BR343" s="27">
        <v>45998</v>
      </c>
      <c r="BS343" s="28">
        <v>279</v>
      </c>
      <c r="BT343" s="29">
        <v>237</v>
      </c>
      <c r="BU343" s="29">
        <v>279</v>
      </c>
      <c r="BV343" s="29">
        <v>279</v>
      </c>
      <c r="BW343" s="29">
        <v>237</v>
      </c>
      <c r="BX343" s="30"/>
      <c r="BY343" s="8">
        <v>5</v>
      </c>
      <c r="BZ343" s="8">
        <v>0</v>
      </c>
      <c r="CA343" s="8">
        <v>0</v>
      </c>
      <c r="CB343" s="21">
        <v>45875.770833333299</v>
      </c>
      <c r="CC343" s="21">
        <v>45875.770833333299</v>
      </c>
      <c r="CD343" s="21">
        <v>45875.770833333299</v>
      </c>
      <c r="CE343" s="21">
        <v>45875.770833333299</v>
      </c>
      <c r="CF343" s="21">
        <v>45875.770833333299</v>
      </c>
      <c r="CG343" s="21">
        <v>45632.770833333299</v>
      </c>
      <c r="CH343" s="21">
        <v>45632.770833333299</v>
      </c>
      <c r="CI343" s="21">
        <v>45632.770833333299</v>
      </c>
      <c r="CJ343" s="21">
        <v>45632.770833333299</v>
      </c>
      <c r="CK343" s="22" t="s">
        <v>3066</v>
      </c>
      <c r="CL343" s="22" t="s">
        <v>3066</v>
      </c>
      <c r="CM343" s="22" t="s">
        <v>3066</v>
      </c>
      <c r="CN343" s="22" t="s">
        <v>3066</v>
      </c>
      <c r="CO343" s="22" t="s">
        <v>3066</v>
      </c>
      <c r="CP343" s="22" t="s">
        <v>3037</v>
      </c>
      <c r="CQ343" s="22" t="s">
        <v>2953</v>
      </c>
      <c r="CR343" s="22" t="s">
        <v>3037</v>
      </c>
      <c r="CS343" s="22" t="s">
        <v>3037</v>
      </c>
      <c r="CT343" s="22">
        <v>4</v>
      </c>
      <c r="CU343" s="21">
        <v>46055</v>
      </c>
      <c r="CV343" s="21">
        <v>46055</v>
      </c>
      <c r="CW343" s="21">
        <v>46055</v>
      </c>
      <c r="CX343" s="21">
        <v>46055</v>
      </c>
      <c r="CY343" s="21">
        <v>46055</v>
      </c>
      <c r="CZ343" s="21">
        <v>45902</v>
      </c>
      <c r="DA343" s="21">
        <v>45997</v>
      </c>
      <c r="DB343" s="21">
        <v>45812</v>
      </c>
      <c r="DC343" s="21">
        <v>45997</v>
      </c>
      <c r="DD343" s="8">
        <v>1</v>
      </c>
      <c r="DE343" s="8">
        <v>1</v>
      </c>
      <c r="DF343" s="8">
        <v>0</v>
      </c>
      <c r="DG343" s="8">
        <v>9</v>
      </c>
      <c r="DH343" s="8">
        <v>0</v>
      </c>
      <c r="DI343" s="8">
        <v>0</v>
      </c>
      <c r="DJ343" s="8" t="s">
        <v>2976</v>
      </c>
      <c r="DK343" s="21">
        <v>45267</v>
      </c>
      <c r="DL343" s="21">
        <v>45252.229166666664</v>
      </c>
      <c r="DM343" s="21">
        <v>45968</v>
      </c>
      <c r="DN343" s="18">
        <v>2530</v>
      </c>
      <c r="DO343" s="21">
        <v>0</v>
      </c>
      <c r="DP343" s="21">
        <v>0</v>
      </c>
      <c r="DQ343" s="21" t="s">
        <v>2955</v>
      </c>
      <c r="DR343" s="21">
        <v>45876</v>
      </c>
      <c r="DS343" s="21">
        <v>45876</v>
      </c>
      <c r="DT343" s="21">
        <v>45876</v>
      </c>
      <c r="DU343" s="21">
        <v>45876</v>
      </c>
      <c r="DV343" s="21">
        <v>45876</v>
      </c>
      <c r="DW343" s="21">
        <v>45633</v>
      </c>
      <c r="DX343" s="21">
        <v>45633</v>
      </c>
      <c r="DY343" s="21">
        <v>45633</v>
      </c>
      <c r="DZ343" s="21">
        <v>45633</v>
      </c>
      <c r="EA343" s="8">
        <v>570</v>
      </c>
      <c r="EB343" s="8">
        <v>570</v>
      </c>
      <c r="EC343" s="8">
        <v>570</v>
      </c>
      <c r="ED343" s="8">
        <v>570</v>
      </c>
      <c r="EE343" s="8">
        <v>570</v>
      </c>
      <c r="EF343" s="8">
        <v>530</v>
      </c>
      <c r="EG343" s="8">
        <v>1000</v>
      </c>
      <c r="EH343" s="8">
        <v>530</v>
      </c>
      <c r="EI343" s="8">
        <v>530</v>
      </c>
      <c r="EJ343" s="8">
        <v>4</v>
      </c>
      <c r="EK343" s="8" t="s">
        <v>2624</v>
      </c>
      <c r="EL343" s="8">
        <v>144</v>
      </c>
      <c r="EM343" s="8">
        <v>288</v>
      </c>
      <c r="EN343" s="8">
        <v>282</v>
      </c>
      <c r="EO343" s="8">
        <v>282</v>
      </c>
      <c r="EP343" s="8">
        <v>282</v>
      </c>
      <c r="EQ343" s="8">
        <v>282</v>
      </c>
      <c r="ER343" s="8">
        <v>282</v>
      </c>
      <c r="ES343" s="8">
        <v>242</v>
      </c>
      <c r="ET343" s="8">
        <v>712</v>
      </c>
      <c r="EU343" s="8">
        <v>242</v>
      </c>
      <c r="EV343" s="8">
        <v>242</v>
      </c>
    </row>
    <row r="344" spans="1:152" x14ac:dyDescent="0.15">
      <c r="A344" s="8">
        <f>ROW([2]!tbl_DPSAC[[#This Row],[Sl. No.]])-1</f>
        <v>343</v>
      </c>
      <c r="B344" s="9" t="s">
        <v>136</v>
      </c>
      <c r="C344" s="9" t="s">
        <v>1871</v>
      </c>
      <c r="D344" s="9" t="s">
        <v>1491</v>
      </c>
      <c r="E344" s="9" t="s">
        <v>1492</v>
      </c>
      <c r="F344" s="9" t="s">
        <v>161</v>
      </c>
      <c r="G344" s="10" t="s">
        <v>1206</v>
      </c>
      <c r="H344" s="10" t="str">
        <f>_xlfn.XLOOKUP(C344,'[1]E&amp;DPSAC'!$K:$K,'[1]E&amp;DPSAC'!$E:$E,,0)</f>
        <v>GODDA</v>
      </c>
      <c r="I344" s="10"/>
      <c r="J344" s="10">
        <v>7259210950</v>
      </c>
      <c r="K344" s="10">
        <f>_xlfn.XLOOKUP(C344,'[1]E&amp;DPSAC'!$K:$K,'[1]E&amp;DPSAC'!$G:$G,"",0)</f>
        <v>7259210950</v>
      </c>
      <c r="L344" s="9" t="str">
        <f t="shared" ca="1" si="21"/>
        <v>Non - Warranty</v>
      </c>
      <c r="M344" s="11">
        <v>44988</v>
      </c>
      <c r="N344" s="12">
        <v>24</v>
      </c>
      <c r="O344" s="11">
        <f t="shared" si="20"/>
        <v>45747</v>
      </c>
      <c r="P344" s="8" t="s">
        <v>142</v>
      </c>
      <c r="Q344" s="16" t="s">
        <v>1874</v>
      </c>
      <c r="R344" s="15">
        <v>46052.509513888901</v>
      </c>
      <c r="S344" s="14">
        <v>1655</v>
      </c>
      <c r="T344" s="15">
        <v>46053</v>
      </c>
      <c r="U344" s="14">
        <v>1655</v>
      </c>
      <c r="V344" s="14">
        <v>1655</v>
      </c>
      <c r="W344" s="17">
        <v>46052.509513888901</v>
      </c>
      <c r="X344" s="14" t="s">
        <v>2705</v>
      </c>
      <c r="Y344" s="14">
        <v>750</v>
      </c>
      <c r="Z344" s="14" t="s">
        <v>2692</v>
      </c>
      <c r="AA344" s="18">
        <v>60.490486111099017</v>
      </c>
      <c r="AB344" s="18" t="s">
        <v>2692</v>
      </c>
      <c r="AC344" s="8">
        <f>tbl_DPSAC[[#This Row],[Current Month Due Count]]</f>
        <v>0</v>
      </c>
      <c r="AD344" s="8">
        <f>tbl_DPSAC[[#This Row],[Next Month Due2]]</f>
        <v>0</v>
      </c>
      <c r="AE344" s="8"/>
      <c r="AF344" s="8">
        <v>0</v>
      </c>
      <c r="AG344" s="14">
        <f t="shared" ca="1" si="22"/>
        <v>1655</v>
      </c>
      <c r="AH344" s="8" t="s">
        <v>1872</v>
      </c>
      <c r="AI344" s="8" t="s">
        <v>1873</v>
      </c>
      <c r="AJ344" s="8">
        <v>0</v>
      </c>
      <c r="AK344" s="8">
        <v>0</v>
      </c>
      <c r="AL344" s="8">
        <v>0</v>
      </c>
      <c r="AM344" s="8">
        <v>0</v>
      </c>
      <c r="AN344" s="8">
        <v>0</v>
      </c>
      <c r="AO344" s="8">
        <v>0</v>
      </c>
      <c r="AP344" s="8">
        <v>0</v>
      </c>
      <c r="AQ344" s="8">
        <v>0</v>
      </c>
      <c r="AR344" s="8">
        <v>0</v>
      </c>
      <c r="AS344" s="8">
        <v>0</v>
      </c>
      <c r="AT344" s="8">
        <v>0</v>
      </c>
      <c r="AU344" s="8">
        <v>0</v>
      </c>
      <c r="AV344" s="8">
        <v>0</v>
      </c>
      <c r="AW344" s="8">
        <v>0</v>
      </c>
      <c r="AX344" s="8" t="s">
        <v>2007</v>
      </c>
      <c r="AY344" s="14">
        <v>1655</v>
      </c>
      <c r="AZ344" s="19">
        <v>46052</v>
      </c>
      <c r="BA344" s="14" t="s">
        <v>1874</v>
      </c>
      <c r="BB344" s="14">
        <v>1655</v>
      </c>
      <c r="BC344" s="19">
        <v>46052</v>
      </c>
      <c r="BD344" s="14" t="s">
        <v>1874</v>
      </c>
      <c r="BE344" s="14">
        <v>1655</v>
      </c>
      <c r="BF344" s="19">
        <v>46052</v>
      </c>
      <c r="BG344" s="14" t="s">
        <v>1874</v>
      </c>
      <c r="BH344" s="14">
        <v>1655</v>
      </c>
      <c r="BI344" s="19">
        <v>46052</v>
      </c>
      <c r="BJ344" s="14" t="s">
        <v>1874</v>
      </c>
      <c r="BK344" s="14">
        <v>1655</v>
      </c>
      <c r="BL344" s="19">
        <v>46052</v>
      </c>
      <c r="BM344" s="14" t="s">
        <v>1874</v>
      </c>
      <c r="BN344" s="27">
        <v>46232</v>
      </c>
      <c r="BO344" s="27">
        <v>46232</v>
      </c>
      <c r="BP344" s="27">
        <v>46232</v>
      </c>
      <c r="BQ344" s="27">
        <v>46232</v>
      </c>
      <c r="BR344" s="27">
        <v>46417</v>
      </c>
      <c r="BS344" s="28">
        <v>750</v>
      </c>
      <c r="BT344" s="29">
        <v>1500</v>
      </c>
      <c r="BU344" s="29">
        <v>750</v>
      </c>
      <c r="BV344" s="29">
        <v>750</v>
      </c>
      <c r="BW344" s="29">
        <v>1500</v>
      </c>
      <c r="BX344" s="30"/>
      <c r="BY344" s="8">
        <v>0</v>
      </c>
      <c r="BZ344" s="8">
        <v>0</v>
      </c>
      <c r="CA344" s="8">
        <v>0</v>
      </c>
      <c r="CB344" s="21">
        <v>46051.770833333299</v>
      </c>
      <c r="CC344" s="21">
        <v>46051.770833333299</v>
      </c>
      <c r="CD344" s="21">
        <v>46051.770833333299</v>
      </c>
      <c r="CE344" s="21">
        <v>46051.770833333299</v>
      </c>
      <c r="CF344" s="21">
        <v>46051.770833333299</v>
      </c>
      <c r="CG344" s="21">
        <v>46051.770833333299</v>
      </c>
      <c r="CH344" s="21">
        <v>46051.770833333299</v>
      </c>
      <c r="CI344" s="21">
        <v>46051.770833333299</v>
      </c>
      <c r="CJ344" s="21">
        <v>46051.770833333299</v>
      </c>
      <c r="CK344" s="22" t="s">
        <v>2956</v>
      </c>
      <c r="CL344" s="22" t="s">
        <v>2957</v>
      </c>
      <c r="CM344" s="22" t="s">
        <v>2959</v>
      </c>
      <c r="CN344" s="22" t="s">
        <v>2957</v>
      </c>
      <c r="CO344" s="22" t="s">
        <v>2957</v>
      </c>
      <c r="CP344" s="22" t="s">
        <v>2956</v>
      </c>
      <c r="CQ344" s="22" t="s">
        <v>2953</v>
      </c>
      <c r="CR344" s="22" t="s">
        <v>2956</v>
      </c>
      <c r="CS344" s="22" t="s">
        <v>2960</v>
      </c>
      <c r="CT344" s="22">
        <v>4</v>
      </c>
      <c r="CU344" s="21">
        <v>46231</v>
      </c>
      <c r="CV344" s="21">
        <v>46231</v>
      </c>
      <c r="CW344" s="21">
        <v>46178</v>
      </c>
      <c r="CX344" s="21">
        <v>46231</v>
      </c>
      <c r="CY344" s="21">
        <v>46231</v>
      </c>
      <c r="CZ344" s="21">
        <v>46321</v>
      </c>
      <c r="DA344" s="21">
        <v>46303</v>
      </c>
      <c r="DB344" s="21">
        <v>46231</v>
      </c>
      <c r="DC344" s="21">
        <v>46416</v>
      </c>
      <c r="DD344" s="8">
        <v>0</v>
      </c>
      <c r="DE344" s="8">
        <v>0</v>
      </c>
      <c r="DF344" s="8">
        <v>0</v>
      </c>
      <c r="DG344" s="8">
        <v>0</v>
      </c>
      <c r="DH344" s="8">
        <v>0</v>
      </c>
      <c r="DI344" s="8">
        <v>0</v>
      </c>
      <c r="DJ344" s="8" t="s">
        <v>2954</v>
      </c>
      <c r="DK344" s="21">
        <v>44988</v>
      </c>
      <c r="DL344" s="21">
        <v>44966.229166666664</v>
      </c>
      <c r="DM344" s="21">
        <v>46053</v>
      </c>
      <c r="DN344" s="18">
        <v>1655</v>
      </c>
      <c r="DO344" s="21">
        <v>0</v>
      </c>
      <c r="DP344" s="21">
        <v>0</v>
      </c>
      <c r="DQ344" s="21" t="s">
        <v>2955</v>
      </c>
      <c r="DR344" s="21">
        <v>46052</v>
      </c>
      <c r="DS344" s="21">
        <v>46052</v>
      </c>
      <c r="DT344" s="21">
        <v>46052</v>
      </c>
      <c r="DU344" s="21">
        <v>46052</v>
      </c>
      <c r="DV344" s="21">
        <v>46052</v>
      </c>
      <c r="DW344" s="21">
        <v>46052</v>
      </c>
      <c r="DX344" s="21">
        <v>46052</v>
      </c>
      <c r="DY344" s="21">
        <v>46052</v>
      </c>
      <c r="DZ344" s="21">
        <v>46052</v>
      </c>
      <c r="EA344" s="8">
        <v>1500</v>
      </c>
      <c r="EB344" s="8">
        <v>750</v>
      </c>
      <c r="EC344" s="8">
        <v>500</v>
      </c>
      <c r="ED344" s="8">
        <v>750</v>
      </c>
      <c r="EE344" s="8">
        <v>750</v>
      </c>
      <c r="EF344" s="8">
        <v>1500</v>
      </c>
      <c r="EG344" s="8">
        <v>1000</v>
      </c>
      <c r="EH344" s="8">
        <v>1500</v>
      </c>
      <c r="EI344" s="8">
        <v>3000</v>
      </c>
      <c r="EJ344" s="8">
        <v>4</v>
      </c>
      <c r="EK344" s="8" t="s">
        <v>2624</v>
      </c>
      <c r="EL344" s="8">
        <v>60</v>
      </c>
      <c r="EM344" s="8">
        <v>0</v>
      </c>
      <c r="EN344" s="8">
        <v>1212</v>
      </c>
      <c r="EO344" s="8">
        <v>462</v>
      </c>
      <c r="EP344" s="8">
        <v>212</v>
      </c>
      <c r="EQ344" s="8">
        <v>462</v>
      </c>
      <c r="ER344" s="8">
        <v>462</v>
      </c>
      <c r="ES344" s="8">
        <v>1212</v>
      </c>
      <c r="ET344" s="8">
        <v>712</v>
      </c>
      <c r="EU344" s="8">
        <v>1212</v>
      </c>
      <c r="EV344" s="8">
        <v>2712</v>
      </c>
    </row>
    <row r="345" spans="1:152" x14ac:dyDescent="0.15">
      <c r="A345" s="8">
        <f>ROW([2]!tbl_DPSAC[[#This Row],[Sl. No.]])-1</f>
        <v>344</v>
      </c>
      <c r="B345" s="9" t="s">
        <v>136</v>
      </c>
      <c r="C345" s="9" t="s">
        <v>1875</v>
      </c>
      <c r="D345" s="9" t="s">
        <v>1491</v>
      </c>
      <c r="E345" s="9" t="s">
        <v>1492</v>
      </c>
      <c r="F345" s="9" t="s">
        <v>161</v>
      </c>
      <c r="G345" s="10" t="s">
        <v>1876</v>
      </c>
      <c r="H345" s="10" t="str">
        <f>_xlfn.XLOOKUP(C345,'[1]E&amp;DPSAC'!$K:$K,'[1]E&amp;DPSAC'!$E:$E,,0)</f>
        <v>MAHUDA MORE, DHANBAD</v>
      </c>
      <c r="I345" s="10"/>
      <c r="J345" s="10">
        <v>6204702963</v>
      </c>
      <c r="K345" s="10" t="str">
        <f>IF(_xlfn.XLOOKUP(C345,'[1]E&amp;DPSAC'!$K:$K,'[1]E&amp;DPSAC'!$G:$G,"",0)=J345,"",_xlfn.XLOOKUP(C345,'[1]E&amp;DPSAC'!$K:$K,'[1]E&amp;DPSAC'!$G:$G,"",0))</f>
        <v/>
      </c>
      <c r="L345" s="9" t="str">
        <f t="shared" ca="1" si="21"/>
        <v>Non - Warranty</v>
      </c>
      <c r="M345" s="11">
        <v>45276</v>
      </c>
      <c r="N345" s="12">
        <v>24</v>
      </c>
      <c r="O345" s="11">
        <f t="shared" si="20"/>
        <v>46022</v>
      </c>
      <c r="P345" s="8" t="s">
        <v>213</v>
      </c>
      <c r="Q345" s="16" t="s">
        <v>1885</v>
      </c>
      <c r="R345" s="15">
        <v>45904.363518518498</v>
      </c>
      <c r="S345" s="14">
        <v>3750</v>
      </c>
      <c r="T345" s="15">
        <v>45809</v>
      </c>
      <c r="U345" s="14">
        <v>3651</v>
      </c>
      <c r="V345" s="14">
        <v>4050</v>
      </c>
      <c r="W345" s="17">
        <v>45993.502488425896</v>
      </c>
      <c r="X345" s="14" t="s">
        <v>2843</v>
      </c>
      <c r="Y345" s="14">
        <v>450</v>
      </c>
      <c r="Z345" s="14" t="s">
        <v>2692</v>
      </c>
      <c r="AA345" s="18">
        <v>208.63648148150241</v>
      </c>
      <c r="AB345" s="18" t="s">
        <v>2697</v>
      </c>
      <c r="AC345" s="8">
        <f>tbl_DPSAC[[#This Row],[Current Month Due Count]]</f>
        <v>1</v>
      </c>
      <c r="AD345" s="8">
        <f>tbl_DPSAC[[#This Row],[Next Month Due2]]</f>
        <v>0</v>
      </c>
      <c r="AE345" s="8"/>
      <c r="AF345" s="8">
        <v>4</v>
      </c>
      <c r="AG345" s="14">
        <f t="shared" ca="1" si="22"/>
        <v>4528</v>
      </c>
      <c r="AH345" s="8" t="s">
        <v>1877</v>
      </c>
      <c r="AI345" s="8" t="s">
        <v>1878</v>
      </c>
      <c r="AJ345" s="8" t="s">
        <v>1879</v>
      </c>
      <c r="AK345" s="8" t="s">
        <v>1880</v>
      </c>
      <c r="AL345" s="8" t="s">
        <v>1881</v>
      </c>
      <c r="AM345" s="8" t="s">
        <v>1882</v>
      </c>
      <c r="AN345" s="8" t="s">
        <v>1883</v>
      </c>
      <c r="AO345" s="8" t="s">
        <v>1884</v>
      </c>
      <c r="AP345" s="8">
        <v>0</v>
      </c>
      <c r="AQ345" s="8">
        <v>0</v>
      </c>
      <c r="AR345" s="8">
        <v>0</v>
      </c>
      <c r="AS345" s="8">
        <v>0</v>
      </c>
      <c r="AT345" s="8">
        <v>0</v>
      </c>
      <c r="AU345" s="8">
        <v>0</v>
      </c>
      <c r="AV345" s="8">
        <v>0</v>
      </c>
      <c r="AW345" s="8">
        <v>0</v>
      </c>
      <c r="AX345" s="8" t="s">
        <v>2961</v>
      </c>
      <c r="AY345" s="14">
        <v>3750</v>
      </c>
      <c r="AZ345" s="19">
        <v>45904</v>
      </c>
      <c r="BA345" s="14" t="s">
        <v>1885</v>
      </c>
      <c r="BB345" s="14">
        <v>3005</v>
      </c>
      <c r="BC345" s="19">
        <v>45749</v>
      </c>
      <c r="BD345" s="14" t="s">
        <v>1886</v>
      </c>
      <c r="BE345" s="14">
        <v>3750</v>
      </c>
      <c r="BF345" s="19">
        <v>45904</v>
      </c>
      <c r="BG345" s="14" t="s">
        <v>1885</v>
      </c>
      <c r="BH345" s="14">
        <v>3750</v>
      </c>
      <c r="BI345" s="19">
        <v>45904</v>
      </c>
      <c r="BJ345" s="14" t="s">
        <v>1885</v>
      </c>
      <c r="BK345" s="14">
        <v>3005</v>
      </c>
      <c r="BL345" s="19">
        <v>45749</v>
      </c>
      <c r="BM345" s="14" t="s">
        <v>1886</v>
      </c>
      <c r="BN345" s="27">
        <v>46084</v>
      </c>
      <c r="BO345" s="27">
        <v>45929</v>
      </c>
      <c r="BP345" s="27">
        <v>46084</v>
      </c>
      <c r="BQ345" s="27">
        <v>46084</v>
      </c>
      <c r="BR345" s="27">
        <v>46114</v>
      </c>
      <c r="BS345" s="28">
        <v>-28</v>
      </c>
      <c r="BT345" s="29">
        <v>-23</v>
      </c>
      <c r="BU345" s="29">
        <v>-28</v>
      </c>
      <c r="BV345" s="29">
        <v>-28</v>
      </c>
      <c r="BW345" s="29">
        <v>-23</v>
      </c>
      <c r="BX345" s="30"/>
      <c r="BY345" s="8">
        <v>4</v>
      </c>
      <c r="BZ345" s="8">
        <v>1</v>
      </c>
      <c r="CA345" s="8">
        <v>0</v>
      </c>
      <c r="CB345" s="21">
        <v>45903.770833333299</v>
      </c>
      <c r="CC345" s="21">
        <v>45901.770833333299</v>
      </c>
      <c r="CD345" s="21">
        <v>45901.770833333299</v>
      </c>
      <c r="CE345" s="21">
        <v>45901.770833333299</v>
      </c>
      <c r="CF345" s="21">
        <v>45901.770833333299</v>
      </c>
      <c r="CG345" s="21">
        <v>45748.770833333299</v>
      </c>
      <c r="CH345" s="21">
        <v>45748.770833333299</v>
      </c>
      <c r="CI345" s="21">
        <v>45748.770833333299</v>
      </c>
      <c r="CJ345" s="21">
        <v>45748.770833333299</v>
      </c>
      <c r="CK345" s="22" t="s">
        <v>3158</v>
      </c>
      <c r="CL345" s="22" t="s">
        <v>3158</v>
      </c>
      <c r="CM345" s="22" t="s">
        <v>3158</v>
      </c>
      <c r="CN345" s="22" t="s">
        <v>3158</v>
      </c>
      <c r="CO345" s="22" t="s">
        <v>3158</v>
      </c>
      <c r="CP345" s="22" t="s">
        <v>2989</v>
      </c>
      <c r="CQ345" s="22" t="s">
        <v>2953</v>
      </c>
      <c r="CR345" s="22" t="s">
        <v>2989</v>
      </c>
      <c r="CS345" s="22" t="s">
        <v>2989</v>
      </c>
      <c r="CT345" s="22">
        <v>4</v>
      </c>
      <c r="CU345" s="21">
        <v>46083</v>
      </c>
      <c r="CV345" s="21">
        <v>46081</v>
      </c>
      <c r="CW345" s="21">
        <v>46081</v>
      </c>
      <c r="CX345" s="21">
        <v>46081</v>
      </c>
      <c r="CY345" s="21">
        <v>46081</v>
      </c>
      <c r="CZ345" s="21">
        <v>46018</v>
      </c>
      <c r="DA345" s="21">
        <v>46113</v>
      </c>
      <c r="DB345" s="21">
        <v>45928</v>
      </c>
      <c r="DC345" s="21">
        <v>46105</v>
      </c>
      <c r="DD345" s="8">
        <v>1</v>
      </c>
      <c r="DE345" s="8">
        <v>1</v>
      </c>
      <c r="DF345" s="8">
        <v>1</v>
      </c>
      <c r="DG345" s="8">
        <v>8</v>
      </c>
      <c r="DH345" s="8">
        <v>1</v>
      </c>
      <c r="DI345" s="8">
        <v>0</v>
      </c>
      <c r="DJ345" s="8" t="s">
        <v>2976</v>
      </c>
      <c r="DK345" s="21">
        <v>45276</v>
      </c>
      <c r="DL345" s="21">
        <v>45239.677083333336</v>
      </c>
      <c r="DM345" s="21">
        <v>45993</v>
      </c>
      <c r="DN345" s="18">
        <v>4050</v>
      </c>
      <c r="DO345" s="21">
        <v>0</v>
      </c>
      <c r="DP345" s="21">
        <v>0</v>
      </c>
      <c r="DQ345" s="21" t="s">
        <v>2955</v>
      </c>
      <c r="DR345" s="21">
        <v>45904</v>
      </c>
      <c r="DS345" s="21">
        <v>45902</v>
      </c>
      <c r="DT345" s="21">
        <v>45902</v>
      </c>
      <c r="DU345" s="21">
        <v>45902</v>
      </c>
      <c r="DV345" s="21">
        <v>45902</v>
      </c>
      <c r="DW345" s="21">
        <v>45749</v>
      </c>
      <c r="DX345" s="21">
        <v>45749</v>
      </c>
      <c r="DY345" s="21">
        <v>45749</v>
      </c>
      <c r="DZ345" s="21">
        <v>45749</v>
      </c>
      <c r="EA345" s="8">
        <v>440</v>
      </c>
      <c r="EB345" s="8">
        <v>440</v>
      </c>
      <c r="EC345" s="8">
        <v>440</v>
      </c>
      <c r="ED345" s="8">
        <v>440</v>
      </c>
      <c r="EE345" s="8">
        <v>440</v>
      </c>
      <c r="EF345" s="8">
        <v>450</v>
      </c>
      <c r="EG345" s="8">
        <v>1000</v>
      </c>
      <c r="EH345" s="8">
        <v>450</v>
      </c>
      <c r="EI345" s="8">
        <v>450</v>
      </c>
      <c r="EJ345" s="8">
        <v>4</v>
      </c>
      <c r="EK345" s="8" t="s">
        <v>2624</v>
      </c>
      <c r="EL345" s="8">
        <v>119</v>
      </c>
      <c r="EM345" s="8">
        <v>476</v>
      </c>
      <c r="EN345" s="8">
        <v>152</v>
      </c>
      <c r="EO345" s="8">
        <v>152</v>
      </c>
      <c r="EP345" s="8">
        <v>152</v>
      </c>
      <c r="EQ345" s="8">
        <v>152</v>
      </c>
      <c r="ER345" s="8">
        <v>152</v>
      </c>
      <c r="ES345" s="8">
        <v>162</v>
      </c>
      <c r="ET345" s="8">
        <v>712</v>
      </c>
      <c r="EU345" s="8">
        <v>162</v>
      </c>
      <c r="EV345" s="8">
        <v>162</v>
      </c>
    </row>
    <row r="346" spans="1:152" ht="31.5" x14ac:dyDescent="0.15">
      <c r="A346" s="8">
        <f>ROW([2]!tbl_DPSAC[[#This Row],[Sl. No.]])-1</f>
        <v>345</v>
      </c>
      <c r="B346" s="9" t="s">
        <v>136</v>
      </c>
      <c r="C346" s="9" t="s">
        <v>1887</v>
      </c>
      <c r="D346" s="9" t="s">
        <v>1491</v>
      </c>
      <c r="E346" s="9" t="s">
        <v>1492</v>
      </c>
      <c r="F346" s="9" t="s">
        <v>161</v>
      </c>
      <c r="G346" s="10" t="s">
        <v>816</v>
      </c>
      <c r="H346" s="10" t="str">
        <f>_xlfn.XLOOKUP(C346,'[1]E&amp;DPSAC'!$K:$K,'[1]E&amp;DPSAC'!$E:$E,,0)</f>
        <v>TATISILWAI, RANCHI</v>
      </c>
      <c r="I346" s="10"/>
      <c r="J346" s="10">
        <v>6201580224</v>
      </c>
      <c r="K346" s="10" t="str">
        <f>IF(_xlfn.XLOOKUP(C346,'[1]E&amp;DPSAC'!$K:$K,'[1]E&amp;DPSAC'!$G:$G,"",0)=J346,"",_xlfn.XLOOKUP(C346,'[1]E&amp;DPSAC'!$K:$K,'[1]E&amp;DPSAC'!$G:$G,"",0))</f>
        <v/>
      </c>
      <c r="L346" s="9" t="str">
        <f t="shared" ca="1" si="21"/>
        <v>Non - Warranty</v>
      </c>
      <c r="M346" s="11">
        <v>45285</v>
      </c>
      <c r="N346" s="12">
        <v>24</v>
      </c>
      <c r="O346" s="11">
        <f t="shared" si="20"/>
        <v>46022</v>
      </c>
      <c r="P346" s="8" t="s">
        <v>213</v>
      </c>
      <c r="Q346" s="16" t="s">
        <v>1894</v>
      </c>
      <c r="R346" s="15">
        <v>46064.471516203703</v>
      </c>
      <c r="S346" s="14">
        <v>4565</v>
      </c>
      <c r="T346" s="15">
        <v>46053</v>
      </c>
      <c r="U346" s="14">
        <v>4565</v>
      </c>
      <c r="V346" s="14">
        <v>4565</v>
      </c>
      <c r="W346" s="17">
        <v>46064.471516203703</v>
      </c>
      <c r="X346" s="14" t="s">
        <v>2844</v>
      </c>
      <c r="Y346" s="14">
        <v>750</v>
      </c>
      <c r="Z346" s="14" t="s">
        <v>2692</v>
      </c>
      <c r="AA346" s="18">
        <v>48.528483796297223</v>
      </c>
      <c r="AB346" s="18" t="s">
        <v>2692</v>
      </c>
      <c r="AC346" s="8">
        <f>tbl_DPSAC[[#This Row],[Current Month Due Count]]</f>
        <v>0</v>
      </c>
      <c r="AD346" s="8">
        <f>tbl_DPSAC[[#This Row],[Next Month Due2]]</f>
        <v>0</v>
      </c>
      <c r="AE346" s="8"/>
      <c r="AF346" s="8">
        <v>0</v>
      </c>
      <c r="AG346" s="14">
        <f t="shared" ca="1" si="22"/>
        <v>4565</v>
      </c>
      <c r="AH346" s="8" t="s">
        <v>1888</v>
      </c>
      <c r="AI346" s="8" t="s">
        <v>1889</v>
      </c>
      <c r="AJ346" s="8" t="s">
        <v>1890</v>
      </c>
      <c r="AK346" s="20" t="s">
        <v>1891</v>
      </c>
      <c r="AL346" s="20" t="s">
        <v>1892</v>
      </c>
      <c r="AM346" s="8">
        <v>0</v>
      </c>
      <c r="AN346" s="20" t="s">
        <v>1893</v>
      </c>
      <c r="AO346" s="8">
        <v>0</v>
      </c>
      <c r="AP346" s="8">
        <v>0</v>
      </c>
      <c r="AQ346" s="8">
        <v>0</v>
      </c>
      <c r="AR346" s="8">
        <v>0</v>
      </c>
      <c r="AS346" s="8">
        <v>0</v>
      </c>
      <c r="AT346" s="8">
        <v>0</v>
      </c>
      <c r="AU346" s="8">
        <v>0</v>
      </c>
      <c r="AV346" s="8">
        <v>0</v>
      </c>
      <c r="AW346" s="8">
        <v>0</v>
      </c>
      <c r="AX346" s="8" t="s">
        <v>2007</v>
      </c>
      <c r="AY346" s="14">
        <v>4565</v>
      </c>
      <c r="AZ346" s="19">
        <v>46064</v>
      </c>
      <c r="BA346" s="14" t="s">
        <v>1894</v>
      </c>
      <c r="BB346" s="14">
        <v>4565</v>
      </c>
      <c r="BC346" s="19">
        <v>46064</v>
      </c>
      <c r="BD346" s="14" t="s">
        <v>1894</v>
      </c>
      <c r="BE346" s="14">
        <v>4565</v>
      </c>
      <c r="BF346" s="19">
        <v>46064</v>
      </c>
      <c r="BG346" s="14" t="s">
        <v>1894</v>
      </c>
      <c r="BH346" s="14">
        <v>4565</v>
      </c>
      <c r="BI346" s="19">
        <v>46064</v>
      </c>
      <c r="BJ346" s="14" t="s">
        <v>1894</v>
      </c>
      <c r="BK346" s="14">
        <v>4565</v>
      </c>
      <c r="BL346" s="19">
        <v>46064</v>
      </c>
      <c r="BM346" s="14" t="s">
        <v>1894</v>
      </c>
      <c r="BN346" s="27">
        <v>46244</v>
      </c>
      <c r="BO346" s="27">
        <v>46244</v>
      </c>
      <c r="BP346" s="27">
        <v>46244</v>
      </c>
      <c r="BQ346" s="27">
        <v>46244</v>
      </c>
      <c r="BR346" s="27">
        <v>46429</v>
      </c>
      <c r="BS346" s="28">
        <v>750</v>
      </c>
      <c r="BT346" s="29">
        <v>1500</v>
      </c>
      <c r="BU346" s="29">
        <v>750</v>
      </c>
      <c r="BV346" s="29">
        <v>750</v>
      </c>
      <c r="BW346" s="29">
        <v>1500</v>
      </c>
      <c r="BX346" s="30"/>
      <c r="BY346" s="8">
        <v>0</v>
      </c>
      <c r="BZ346" s="8">
        <v>0</v>
      </c>
      <c r="CA346" s="8">
        <v>0</v>
      </c>
      <c r="CB346" s="21">
        <v>46063.770833333299</v>
      </c>
      <c r="CC346" s="21">
        <v>46063.770833333299</v>
      </c>
      <c r="CD346" s="21">
        <v>46063.770833333299</v>
      </c>
      <c r="CE346" s="21">
        <v>46063.770833333299</v>
      </c>
      <c r="CF346" s="21">
        <v>46063.770833333299</v>
      </c>
      <c r="CG346" s="21">
        <v>46063.770833333299</v>
      </c>
      <c r="CH346" s="21">
        <v>46063.770833333299</v>
      </c>
      <c r="CI346" s="21">
        <v>46063.770833333299</v>
      </c>
      <c r="CJ346" s="21">
        <v>46063.770833333299</v>
      </c>
      <c r="CK346" s="22" t="s">
        <v>2956</v>
      </c>
      <c r="CL346" s="22" t="s">
        <v>3023</v>
      </c>
      <c r="CM346" s="22" t="s">
        <v>2959</v>
      </c>
      <c r="CN346" s="22" t="s">
        <v>2957</v>
      </c>
      <c r="CO346" s="22" t="s">
        <v>2957</v>
      </c>
      <c r="CP346" s="22" t="s">
        <v>2956</v>
      </c>
      <c r="CQ346" s="22" t="s">
        <v>2953</v>
      </c>
      <c r="CR346" s="22" t="s">
        <v>2956</v>
      </c>
      <c r="CS346" s="22" t="s">
        <v>2956</v>
      </c>
      <c r="CT346" s="22">
        <v>6</v>
      </c>
      <c r="CU346" s="21">
        <v>46243</v>
      </c>
      <c r="CV346" s="21">
        <v>46190</v>
      </c>
      <c r="CW346" s="21">
        <v>46147</v>
      </c>
      <c r="CX346" s="21">
        <v>46189</v>
      </c>
      <c r="CY346" s="21">
        <v>46189</v>
      </c>
      <c r="CZ346" s="21">
        <v>46314</v>
      </c>
      <c r="DA346" s="21">
        <v>46230</v>
      </c>
      <c r="DB346" s="21">
        <v>46243</v>
      </c>
      <c r="DC346" s="21">
        <v>46314</v>
      </c>
      <c r="DD346" s="8">
        <v>0</v>
      </c>
      <c r="DE346" s="8">
        <v>0</v>
      </c>
      <c r="DF346" s="8">
        <v>0</v>
      </c>
      <c r="DG346" s="8">
        <v>0</v>
      </c>
      <c r="DH346" s="8">
        <v>0</v>
      </c>
      <c r="DI346" s="8">
        <v>1</v>
      </c>
      <c r="DJ346" s="8" t="s">
        <v>2976</v>
      </c>
      <c r="DK346" s="21">
        <v>45286</v>
      </c>
      <c r="DL346" s="21">
        <v>45237.229166666664</v>
      </c>
      <c r="DM346" s="21">
        <v>46064</v>
      </c>
      <c r="DN346" s="18">
        <v>4565</v>
      </c>
      <c r="DO346" s="21">
        <v>0</v>
      </c>
      <c r="DP346" s="21">
        <v>0</v>
      </c>
      <c r="DQ346" s="21" t="s">
        <v>2955</v>
      </c>
      <c r="DR346" s="21">
        <v>46064</v>
      </c>
      <c r="DS346" s="21">
        <v>46064</v>
      </c>
      <c r="DT346" s="21">
        <v>46064</v>
      </c>
      <c r="DU346" s="21">
        <v>46064</v>
      </c>
      <c r="DV346" s="21">
        <v>46064</v>
      </c>
      <c r="DW346" s="21">
        <v>46064</v>
      </c>
      <c r="DX346" s="21">
        <v>46064</v>
      </c>
      <c r="DY346" s="21">
        <v>46064</v>
      </c>
      <c r="DZ346" s="21">
        <v>46064</v>
      </c>
      <c r="EA346" s="8">
        <v>1500</v>
      </c>
      <c r="EB346" s="8">
        <v>760</v>
      </c>
      <c r="EC346" s="8">
        <v>500</v>
      </c>
      <c r="ED346" s="8">
        <v>750</v>
      </c>
      <c r="EE346" s="8">
        <v>750</v>
      </c>
      <c r="EF346" s="8">
        <v>1500</v>
      </c>
      <c r="EG346" s="8">
        <v>1000</v>
      </c>
      <c r="EH346" s="8">
        <v>1500</v>
      </c>
      <c r="EI346" s="8">
        <v>1500</v>
      </c>
      <c r="EJ346" s="8">
        <v>6</v>
      </c>
      <c r="EK346" s="8" t="s">
        <v>2624</v>
      </c>
      <c r="EL346" s="8">
        <v>49</v>
      </c>
      <c r="EM346" s="8">
        <v>0</v>
      </c>
      <c r="EN346" s="8">
        <v>1212</v>
      </c>
      <c r="EO346" s="8">
        <v>472</v>
      </c>
      <c r="EP346" s="8">
        <v>212</v>
      </c>
      <c r="EQ346" s="8">
        <v>462</v>
      </c>
      <c r="ER346" s="8">
        <v>462</v>
      </c>
      <c r="ES346" s="8">
        <v>1212</v>
      </c>
      <c r="ET346" s="8">
        <v>712</v>
      </c>
      <c r="EU346" s="8">
        <v>1212</v>
      </c>
      <c r="EV346" s="8">
        <v>1212</v>
      </c>
    </row>
    <row r="347" spans="1:152" x14ac:dyDescent="0.15">
      <c r="A347" s="8">
        <f>ROW([2]!tbl_DPSAC[[#This Row],[Sl. No.]])-1</f>
        <v>346</v>
      </c>
      <c r="B347" s="9" t="s">
        <v>136</v>
      </c>
      <c r="C347" s="9" t="s">
        <v>1895</v>
      </c>
      <c r="D347" s="9" t="s">
        <v>333</v>
      </c>
      <c r="E347" s="9" t="s">
        <v>333</v>
      </c>
      <c r="F347" s="9" t="s">
        <v>140</v>
      </c>
      <c r="G347" s="10" t="s">
        <v>670</v>
      </c>
      <c r="H347" s="10" t="str">
        <f>_xlfn.XLOOKUP(C347,'[1]E&amp;DPSAC'!$K:$K,'[1]E&amp;DPSAC'!$E:$E,,0)</f>
        <v>PHUSHRO</v>
      </c>
      <c r="I347" s="10"/>
      <c r="J347" s="10">
        <v>7091340232</v>
      </c>
      <c r="K347" s="10">
        <f>IF(_xlfn.XLOOKUP(C347,'[1]E&amp;DPSAC'!$K:$K,'[1]E&amp;DPSAC'!$G:$G,"",0)=J347,"",_xlfn.XLOOKUP(C347,'[1]E&amp;DPSAC'!$K:$K,'[1]E&amp;DPSAC'!$G:$G,"",0))</f>
        <v>7979947746</v>
      </c>
      <c r="L347" s="9" t="str">
        <f t="shared" ca="1" si="21"/>
        <v>Warranty</v>
      </c>
      <c r="M347" s="11">
        <v>45288</v>
      </c>
      <c r="N347" s="12">
        <v>36</v>
      </c>
      <c r="O347" s="11">
        <f t="shared" si="20"/>
        <v>46387</v>
      </c>
      <c r="P347" s="8" t="s">
        <v>213</v>
      </c>
      <c r="Q347" s="16" t="s">
        <v>1903</v>
      </c>
      <c r="R347" s="15">
        <v>45824.457071759301</v>
      </c>
      <c r="S347" s="14">
        <v>4933</v>
      </c>
      <c r="T347" s="15">
        <v>45825</v>
      </c>
      <c r="U347" s="14">
        <v>4933</v>
      </c>
      <c r="V347" s="14">
        <v>5640</v>
      </c>
      <c r="W347" s="17">
        <v>46098.506759259297</v>
      </c>
      <c r="X347" s="14" t="s">
        <v>2845</v>
      </c>
      <c r="Y347" s="14">
        <v>43</v>
      </c>
      <c r="Z347" s="14" t="s">
        <v>2692</v>
      </c>
      <c r="AA347" s="18">
        <v>288.54292824069853</v>
      </c>
      <c r="AB347" s="18" t="s">
        <v>2697</v>
      </c>
      <c r="AC347" s="8">
        <f>tbl_DPSAC[[#This Row],[Current Month Due Count]]</f>
        <v>0</v>
      </c>
      <c r="AD347" s="8">
        <f>tbl_DPSAC[[#This Row],[Next Month Due2]]</f>
        <v>0</v>
      </c>
      <c r="AE347" s="8"/>
      <c r="AF347" s="8">
        <v>1</v>
      </c>
      <c r="AG347" s="14">
        <f t="shared" ca="1" si="22"/>
        <v>5654</v>
      </c>
      <c r="AH347" s="8" t="s">
        <v>1896</v>
      </c>
      <c r="AI347" s="8" t="s">
        <v>1507</v>
      </c>
      <c r="AJ347" s="8" t="s">
        <v>1897</v>
      </c>
      <c r="AK347" s="8" t="s">
        <v>1898</v>
      </c>
      <c r="AL347" s="8" t="s">
        <v>1899</v>
      </c>
      <c r="AM347" s="8">
        <v>0</v>
      </c>
      <c r="AN347" s="8" t="s">
        <v>1900</v>
      </c>
      <c r="AO347" s="8">
        <v>0</v>
      </c>
      <c r="AP347" s="8" t="s">
        <v>1901</v>
      </c>
      <c r="AQ347" s="8" t="s">
        <v>1902</v>
      </c>
      <c r="AR347" s="8">
        <v>0</v>
      </c>
      <c r="AS347" s="8">
        <v>0</v>
      </c>
      <c r="AT347" s="8">
        <v>0</v>
      </c>
      <c r="AU347" s="8">
        <v>0</v>
      </c>
      <c r="AV347" s="8">
        <v>0</v>
      </c>
      <c r="AW347" s="8">
        <v>0</v>
      </c>
      <c r="AX347" s="8" t="s">
        <v>2007</v>
      </c>
      <c r="AY347" s="14">
        <v>4933</v>
      </c>
      <c r="AZ347" s="19">
        <v>45824</v>
      </c>
      <c r="BA347" s="14" t="s">
        <v>1903</v>
      </c>
      <c r="BB347" s="14">
        <v>4933</v>
      </c>
      <c r="BC347" s="19">
        <v>45824</v>
      </c>
      <c r="BD347" s="14" t="s">
        <v>1903</v>
      </c>
      <c r="BE347" s="14">
        <v>4933</v>
      </c>
      <c r="BF347" s="19">
        <v>45824</v>
      </c>
      <c r="BG347" s="14" t="s">
        <v>1903</v>
      </c>
      <c r="BH347" s="14">
        <v>4933</v>
      </c>
      <c r="BI347" s="19">
        <v>45824</v>
      </c>
      <c r="BJ347" s="14" t="s">
        <v>1903</v>
      </c>
      <c r="BK347" s="14">
        <v>4933</v>
      </c>
      <c r="BL347" s="19">
        <v>45824</v>
      </c>
      <c r="BM347" s="14" t="s">
        <v>1903</v>
      </c>
      <c r="BN347" s="27">
        <v>46004</v>
      </c>
      <c r="BO347" s="27">
        <v>46004</v>
      </c>
      <c r="BP347" s="27">
        <v>46004</v>
      </c>
      <c r="BQ347" s="27">
        <v>46004</v>
      </c>
      <c r="BR347" s="27">
        <v>46189</v>
      </c>
      <c r="BS347" s="28">
        <v>29</v>
      </c>
      <c r="BT347" s="29">
        <v>779</v>
      </c>
      <c r="BU347" s="29">
        <v>29</v>
      </c>
      <c r="BV347" s="29">
        <v>29</v>
      </c>
      <c r="BW347" s="29">
        <v>779</v>
      </c>
      <c r="BX347" s="30"/>
      <c r="BY347" s="8">
        <v>4</v>
      </c>
      <c r="BZ347" s="8">
        <v>0</v>
      </c>
      <c r="CA347" s="8">
        <v>0</v>
      </c>
      <c r="CB347" s="21">
        <v>45823.770833333299</v>
      </c>
      <c r="CC347" s="21">
        <v>45823.770833333299</v>
      </c>
      <c r="CD347" s="21">
        <v>45823.770833333299</v>
      </c>
      <c r="CE347" s="21">
        <v>45823.770833333299</v>
      </c>
      <c r="CF347" s="21">
        <v>45823.770833333299</v>
      </c>
      <c r="CG347" s="21">
        <v>45823.770833333299</v>
      </c>
      <c r="CH347" s="21">
        <v>45823.770833333299</v>
      </c>
      <c r="CI347" s="21">
        <v>45823.770833333299</v>
      </c>
      <c r="CJ347" s="21">
        <v>45823.770833333299</v>
      </c>
      <c r="CK347" s="22" t="s">
        <v>3156</v>
      </c>
      <c r="CL347" s="22" t="s">
        <v>3087</v>
      </c>
      <c r="CM347" s="22" t="s">
        <v>3087</v>
      </c>
      <c r="CN347" s="22" t="s">
        <v>3087</v>
      </c>
      <c r="CO347" s="22" t="s">
        <v>3087</v>
      </c>
      <c r="CP347" s="22" t="s">
        <v>3159</v>
      </c>
      <c r="CQ347" s="22" t="s">
        <v>2953</v>
      </c>
      <c r="CR347" s="22" t="s">
        <v>3159</v>
      </c>
      <c r="CS347" s="22" t="s">
        <v>2987</v>
      </c>
      <c r="CT347" s="22">
        <v>1</v>
      </c>
      <c r="CU347" s="21">
        <v>46003</v>
      </c>
      <c r="CV347" s="21">
        <v>46003</v>
      </c>
      <c r="CW347" s="21">
        <v>46003</v>
      </c>
      <c r="CX347" s="21">
        <v>46003</v>
      </c>
      <c r="CY347" s="21">
        <v>46003</v>
      </c>
      <c r="CZ347" s="21">
        <v>46093</v>
      </c>
      <c r="DA347" s="21">
        <v>46188</v>
      </c>
      <c r="DB347" s="21">
        <v>46003</v>
      </c>
      <c r="DC347" s="21">
        <v>46188</v>
      </c>
      <c r="DD347" s="8">
        <v>1</v>
      </c>
      <c r="DE347" s="8">
        <v>0</v>
      </c>
      <c r="DF347" s="8">
        <v>1</v>
      </c>
      <c r="DG347" s="8">
        <v>7</v>
      </c>
      <c r="DH347" s="8">
        <v>0</v>
      </c>
      <c r="DI347" s="8">
        <v>0</v>
      </c>
      <c r="DJ347" s="8" t="s">
        <v>2976</v>
      </c>
      <c r="DK347" s="21">
        <v>45288</v>
      </c>
      <c r="DL347" s="21">
        <v>45260.229166666664</v>
      </c>
      <c r="DM347" s="21">
        <v>46098</v>
      </c>
      <c r="DN347" s="18">
        <v>5640</v>
      </c>
      <c r="DO347" s="21">
        <v>0</v>
      </c>
      <c r="DP347" s="21">
        <v>0</v>
      </c>
      <c r="DQ347" s="21" t="s">
        <v>2955</v>
      </c>
      <c r="DR347" s="21">
        <v>45824</v>
      </c>
      <c r="DS347" s="21">
        <v>45824</v>
      </c>
      <c r="DT347" s="21">
        <v>45824</v>
      </c>
      <c r="DU347" s="21">
        <v>45824</v>
      </c>
      <c r="DV347" s="21">
        <v>45824</v>
      </c>
      <c r="DW347" s="21">
        <v>45824</v>
      </c>
      <c r="DX347" s="21">
        <v>45824</v>
      </c>
      <c r="DY347" s="21">
        <v>45824</v>
      </c>
      <c r="DZ347" s="21">
        <v>45814</v>
      </c>
      <c r="EA347" s="8">
        <v>800</v>
      </c>
      <c r="EB347" s="8">
        <v>50</v>
      </c>
      <c r="EC347" s="8">
        <v>50</v>
      </c>
      <c r="ED347" s="8">
        <v>50</v>
      </c>
      <c r="EE347" s="8">
        <v>50</v>
      </c>
      <c r="EF347" s="8">
        <v>800</v>
      </c>
      <c r="EG347" s="8">
        <v>1000</v>
      </c>
      <c r="EH347" s="8">
        <v>800</v>
      </c>
      <c r="EI347" s="8">
        <v>800</v>
      </c>
      <c r="EJ347" s="8">
        <v>4</v>
      </c>
      <c r="EK347" s="8" t="s">
        <v>2624</v>
      </c>
      <c r="EL347" s="8">
        <v>14</v>
      </c>
      <c r="EM347" s="8">
        <v>14</v>
      </c>
      <c r="EN347" s="8">
        <v>512</v>
      </c>
      <c r="EO347" s="8">
        <v>-238</v>
      </c>
      <c r="EP347" s="8">
        <v>-238</v>
      </c>
      <c r="EQ347" s="8">
        <v>-238</v>
      </c>
      <c r="ER347" s="8">
        <v>-238</v>
      </c>
      <c r="ES347" s="8">
        <v>512</v>
      </c>
      <c r="ET347" s="8">
        <v>712</v>
      </c>
      <c r="EU347" s="8">
        <v>512</v>
      </c>
      <c r="EV347" s="8">
        <v>512</v>
      </c>
    </row>
    <row r="348" spans="1:152" x14ac:dyDescent="0.15">
      <c r="A348" s="8">
        <f>ROW([2]!tbl_DPSAC[[#This Row],[Sl. No.]])-1</f>
        <v>347</v>
      </c>
      <c r="B348" s="9" t="s">
        <v>136</v>
      </c>
      <c r="C348" s="9" t="s">
        <v>1904</v>
      </c>
      <c r="D348" s="9" t="s">
        <v>175</v>
      </c>
      <c r="E348" s="9" t="s">
        <v>176</v>
      </c>
      <c r="F348" s="9" t="s">
        <v>161</v>
      </c>
      <c r="G348" s="10" t="s">
        <v>1905</v>
      </c>
      <c r="H348" s="10" t="str">
        <f>_xlfn.XLOOKUP(C348,'[1]E&amp;DPSAC'!$K:$K,'[1]E&amp;DPSAC'!$E:$E,,0)</f>
        <v>CHHATRAPUR, PALAMU</v>
      </c>
      <c r="I348" s="10"/>
      <c r="J348" s="10">
        <v>8619279101</v>
      </c>
      <c r="K348" s="10">
        <f>_xlfn.XLOOKUP(C348,'[1]E&amp;DPSAC'!$K:$K,'[1]E&amp;DPSAC'!$G:$G,"",0)</f>
        <v>8619279101</v>
      </c>
      <c r="L348" s="9" t="str">
        <f t="shared" ca="1" si="21"/>
        <v>Non - Warranty</v>
      </c>
      <c r="M348" s="11">
        <v>43533</v>
      </c>
      <c r="N348" s="12">
        <v>24</v>
      </c>
      <c r="O348" s="11">
        <f t="shared" si="20"/>
        <v>44286</v>
      </c>
      <c r="P348" s="8" t="s">
        <v>213</v>
      </c>
      <c r="Q348" s="16" t="s">
        <v>1906</v>
      </c>
      <c r="R348" s="15">
        <v>45290.440983796303</v>
      </c>
      <c r="S348" s="14">
        <v>6999</v>
      </c>
      <c r="T348" s="15">
        <v>45289</v>
      </c>
      <c r="U348" s="14">
        <v>6999</v>
      </c>
      <c r="V348" s="14">
        <v>10900</v>
      </c>
      <c r="W348" s="17">
        <v>45941.533333333333</v>
      </c>
      <c r="X348" s="14" t="s">
        <v>2846</v>
      </c>
      <c r="Y348" s="14">
        <v>-3151</v>
      </c>
      <c r="Z348" s="14" t="s">
        <v>2697</v>
      </c>
      <c r="AA348" s="18">
        <v>822.55901620369696</v>
      </c>
      <c r="AB348" s="18" t="s">
        <v>2697</v>
      </c>
      <c r="AC348" s="8">
        <f>tbl_DPSAC[[#This Row],[Current Month Due Count]]</f>
        <v>0</v>
      </c>
      <c r="AD348" s="8">
        <f>tbl_DPSAC[[#This Row],[Next Month Due2]]</f>
        <v>0</v>
      </c>
      <c r="AE348" s="8"/>
      <c r="AF348" s="8">
        <v>8</v>
      </c>
      <c r="AG348" s="14">
        <f t="shared" ca="1" si="22"/>
        <v>12272</v>
      </c>
      <c r="AH348" s="8">
        <v>0</v>
      </c>
      <c r="AI348" s="8">
        <v>0</v>
      </c>
      <c r="AJ348" s="8">
        <v>0</v>
      </c>
      <c r="AK348" s="8">
        <v>0</v>
      </c>
      <c r="AL348" s="8">
        <v>0</v>
      </c>
      <c r="AM348" s="8">
        <v>0</v>
      </c>
      <c r="AN348" s="8">
        <v>0</v>
      </c>
      <c r="AO348" s="8">
        <v>0</v>
      </c>
      <c r="AP348" s="8">
        <v>0</v>
      </c>
      <c r="AQ348" s="8">
        <v>0</v>
      </c>
      <c r="AR348" s="8">
        <v>0</v>
      </c>
      <c r="AS348" s="8">
        <v>0</v>
      </c>
      <c r="AT348" s="8">
        <v>0</v>
      </c>
      <c r="AU348" s="8">
        <v>0</v>
      </c>
      <c r="AV348" s="8">
        <v>0</v>
      </c>
      <c r="AW348" s="8">
        <v>0</v>
      </c>
      <c r="AX348" s="8" t="s">
        <v>2961</v>
      </c>
      <c r="AY348" s="14">
        <v>6999</v>
      </c>
      <c r="AZ348" s="19">
        <v>45290</v>
      </c>
      <c r="BA348" s="14" t="s">
        <v>1906</v>
      </c>
      <c r="BB348" s="14">
        <v>6999</v>
      </c>
      <c r="BC348" s="19">
        <v>45290</v>
      </c>
      <c r="BD348" s="14" t="s">
        <v>1906</v>
      </c>
      <c r="BE348" s="14">
        <v>6999</v>
      </c>
      <c r="BF348" s="19">
        <v>45290</v>
      </c>
      <c r="BG348" s="14" t="s">
        <v>1906</v>
      </c>
      <c r="BH348" s="14">
        <v>6999</v>
      </c>
      <c r="BI348" s="19">
        <v>45290</v>
      </c>
      <c r="BJ348" s="14" t="s">
        <v>1906</v>
      </c>
      <c r="BK348" s="14">
        <v>6999</v>
      </c>
      <c r="BL348" s="19">
        <v>45290</v>
      </c>
      <c r="BM348" s="14" t="s">
        <v>1906</v>
      </c>
      <c r="BN348" s="27">
        <v>45470</v>
      </c>
      <c r="BO348" s="27">
        <v>45470</v>
      </c>
      <c r="BP348" s="27">
        <v>45470</v>
      </c>
      <c r="BQ348" s="27">
        <v>45470</v>
      </c>
      <c r="BR348" s="27">
        <v>45655</v>
      </c>
      <c r="BS348" s="28">
        <v>-4523</v>
      </c>
      <c r="BT348" s="29">
        <v>-3773</v>
      </c>
      <c r="BU348" s="29">
        <v>-4523</v>
      </c>
      <c r="BV348" s="29">
        <v>-4523</v>
      </c>
      <c r="BW348" s="29">
        <v>-3773</v>
      </c>
      <c r="BX348" s="30"/>
      <c r="BY348" s="8">
        <v>5</v>
      </c>
      <c r="BZ348" s="8">
        <v>0</v>
      </c>
      <c r="CA348" s="8">
        <v>0</v>
      </c>
      <c r="CB348" s="21">
        <v>45289.770833333299</v>
      </c>
      <c r="CC348" s="21">
        <v>45289.770833333299</v>
      </c>
      <c r="CD348" s="21">
        <v>45289.770833333299</v>
      </c>
      <c r="CE348" s="21">
        <v>45289.770833333299</v>
      </c>
      <c r="CF348" s="21">
        <v>45289.770833333299</v>
      </c>
      <c r="CG348" s="21">
        <v>45289.770833333299</v>
      </c>
      <c r="CH348" s="21">
        <v>45289.770833333299</v>
      </c>
      <c r="CI348" s="21">
        <v>45289.770833333299</v>
      </c>
      <c r="CJ348" s="21">
        <v>45289.770833333299</v>
      </c>
      <c r="CK348" s="22" t="s">
        <v>2989</v>
      </c>
      <c r="CL348" s="22" t="s">
        <v>2989</v>
      </c>
      <c r="CM348" s="22" t="s">
        <v>2989</v>
      </c>
      <c r="CN348" s="22" t="s">
        <v>2989</v>
      </c>
      <c r="CO348" s="22" t="s">
        <v>2989</v>
      </c>
      <c r="CP348" s="22" t="s">
        <v>3160</v>
      </c>
      <c r="CQ348" s="22" t="s">
        <v>2953</v>
      </c>
      <c r="CR348" s="22" t="s">
        <v>3160</v>
      </c>
      <c r="CS348" s="22" t="s">
        <v>3160</v>
      </c>
      <c r="CT348" s="22">
        <v>4</v>
      </c>
      <c r="CU348" s="21">
        <v>45469</v>
      </c>
      <c r="CV348" s="21">
        <v>45469</v>
      </c>
      <c r="CW348" s="21">
        <v>45469</v>
      </c>
      <c r="CX348" s="21">
        <v>45469</v>
      </c>
      <c r="CY348" s="21">
        <v>45469</v>
      </c>
      <c r="CZ348" s="21">
        <v>45559</v>
      </c>
      <c r="DA348" s="21">
        <v>45654</v>
      </c>
      <c r="DB348" s="21">
        <v>45469</v>
      </c>
      <c r="DC348" s="21">
        <v>45654</v>
      </c>
      <c r="DD348" s="8">
        <v>1</v>
      </c>
      <c r="DE348" s="8">
        <v>0</v>
      </c>
      <c r="DF348" s="8">
        <v>0</v>
      </c>
      <c r="DG348" s="8">
        <v>9</v>
      </c>
      <c r="DH348" s="8">
        <v>0</v>
      </c>
      <c r="DI348" s="8">
        <v>0</v>
      </c>
      <c r="DJ348" s="8" t="s">
        <v>2976</v>
      </c>
      <c r="DK348" s="21">
        <v>43533</v>
      </c>
      <c r="DL348" s="21">
        <v>43524.229166666664</v>
      </c>
      <c r="DM348" s="21">
        <v>45941</v>
      </c>
      <c r="DN348" s="18">
        <v>10900</v>
      </c>
      <c r="DO348" s="21">
        <v>0</v>
      </c>
      <c r="DP348" s="21">
        <v>0</v>
      </c>
      <c r="DQ348" s="21" t="s">
        <v>2955</v>
      </c>
      <c r="DR348" s="21">
        <v>45290</v>
      </c>
      <c r="DS348" s="21">
        <v>45290</v>
      </c>
      <c r="DT348" s="21">
        <v>45290</v>
      </c>
      <c r="DU348" s="21">
        <v>45290</v>
      </c>
      <c r="DV348" s="21">
        <v>45290</v>
      </c>
      <c r="DW348" s="21">
        <v>45290</v>
      </c>
      <c r="DX348" s="21">
        <v>45290</v>
      </c>
      <c r="DY348" s="21">
        <v>45290</v>
      </c>
      <c r="DZ348" s="21">
        <v>45290</v>
      </c>
      <c r="EA348" s="8">
        <v>450</v>
      </c>
      <c r="EB348" s="8">
        <v>450</v>
      </c>
      <c r="EC348" s="8">
        <v>450</v>
      </c>
      <c r="ED348" s="8">
        <v>450</v>
      </c>
      <c r="EE348" s="8">
        <v>450</v>
      </c>
      <c r="EF348" s="8">
        <v>950</v>
      </c>
      <c r="EG348" s="8">
        <v>1000</v>
      </c>
      <c r="EH348" s="8">
        <v>950</v>
      </c>
      <c r="EI348" s="8">
        <v>950</v>
      </c>
      <c r="EJ348" s="8">
        <v>4</v>
      </c>
      <c r="EK348" s="8" t="s">
        <v>2624</v>
      </c>
      <c r="EL348" s="8">
        <v>171</v>
      </c>
      <c r="EM348" s="8">
        <v>1368</v>
      </c>
      <c r="EN348" s="8">
        <v>162</v>
      </c>
      <c r="EO348" s="8">
        <v>162</v>
      </c>
      <c r="EP348" s="8">
        <v>162</v>
      </c>
      <c r="EQ348" s="8">
        <v>162</v>
      </c>
      <c r="ER348" s="8">
        <v>162</v>
      </c>
      <c r="ES348" s="8">
        <v>662</v>
      </c>
      <c r="ET348" s="8">
        <v>712</v>
      </c>
      <c r="EU348" s="8">
        <v>662</v>
      </c>
      <c r="EV348" s="8">
        <v>662</v>
      </c>
    </row>
    <row r="349" spans="1:152" x14ac:dyDescent="0.15">
      <c r="A349" s="8">
        <f>ROW([2]!tbl_DPSAC[[#This Row],[Sl. No.]])-1</f>
        <v>348</v>
      </c>
      <c r="B349" s="9" t="s">
        <v>136</v>
      </c>
      <c r="C349" s="9" t="s">
        <v>1907</v>
      </c>
      <c r="D349" s="9" t="s">
        <v>1908</v>
      </c>
      <c r="E349" s="9" t="s">
        <v>199</v>
      </c>
      <c r="F349" s="9" t="s">
        <v>161</v>
      </c>
      <c r="G349" s="10" t="s">
        <v>1909</v>
      </c>
      <c r="H349" s="10" t="str">
        <f>_xlfn.XLOOKUP(C349,'[1]E&amp;DPSAC'!$K:$K,'[1]E&amp;DPSAC'!$E:$E,,0)</f>
        <v>PAKURIA</v>
      </c>
      <c r="I349" s="10"/>
      <c r="J349" s="10">
        <v>7004717041</v>
      </c>
      <c r="K349" s="10">
        <f>_xlfn.XLOOKUP(C349,'[1]E&amp;DPSAC'!$K:$K,'[1]E&amp;DPSAC'!$G:$G,"",0)</f>
        <v>7004717041</v>
      </c>
      <c r="L349" s="9" t="str">
        <f t="shared" ca="1" si="21"/>
        <v>Non - Warranty</v>
      </c>
      <c r="M349" s="11">
        <v>44736</v>
      </c>
      <c r="N349" s="12">
        <v>24</v>
      </c>
      <c r="O349" s="11">
        <f t="shared" si="20"/>
        <v>45473</v>
      </c>
      <c r="P349" s="8" t="s">
        <v>157</v>
      </c>
      <c r="Q349" s="16" t="s">
        <v>1912</v>
      </c>
      <c r="R349" s="15">
        <v>45276.640277777777</v>
      </c>
      <c r="S349" s="14">
        <v>1139</v>
      </c>
      <c r="T349" s="15">
        <v>45289</v>
      </c>
      <c r="U349" s="14">
        <v>1139</v>
      </c>
      <c r="V349" s="14">
        <v>2030</v>
      </c>
      <c r="W349" s="17">
        <v>45644.447118055599</v>
      </c>
      <c r="X349" s="14" t="s">
        <v>2847</v>
      </c>
      <c r="Y349" s="14">
        <v>-141</v>
      </c>
      <c r="Z349" s="14" t="s">
        <v>2697</v>
      </c>
      <c r="AA349" s="18">
        <v>836.35972222222335</v>
      </c>
      <c r="AB349" s="18" t="s">
        <v>2697</v>
      </c>
      <c r="AC349" s="8">
        <f>tbl_DPSAC[[#This Row],[Current Month Due Count]]</f>
        <v>0</v>
      </c>
      <c r="AD349" s="8">
        <f>tbl_DPSAC[[#This Row],[Next Month Due2]]</f>
        <v>0</v>
      </c>
      <c r="AE349" s="8"/>
      <c r="AF349" s="8">
        <v>2</v>
      </c>
      <c r="AG349" s="14">
        <f t="shared" ca="1" si="22"/>
        <v>2967</v>
      </c>
      <c r="AH349" s="8" t="s">
        <v>1910</v>
      </c>
      <c r="AI349" s="8" t="s">
        <v>1910</v>
      </c>
      <c r="AJ349" s="8" t="s">
        <v>1911</v>
      </c>
      <c r="AK349" s="8">
        <v>0</v>
      </c>
      <c r="AL349" s="8">
        <v>0</v>
      </c>
      <c r="AM349" s="8">
        <v>0</v>
      </c>
      <c r="AN349" s="8">
        <v>0</v>
      </c>
      <c r="AO349" s="8">
        <v>0</v>
      </c>
      <c r="AP349" s="8">
        <v>0</v>
      </c>
      <c r="AQ349" s="8">
        <v>0</v>
      </c>
      <c r="AR349" s="8">
        <v>0</v>
      </c>
      <c r="AS349" s="8">
        <v>0</v>
      </c>
      <c r="AT349" s="8">
        <v>0</v>
      </c>
      <c r="AU349" s="8">
        <v>0</v>
      </c>
      <c r="AV349" s="8">
        <v>0</v>
      </c>
      <c r="AW349" s="8">
        <v>0</v>
      </c>
      <c r="AX349" s="8" t="s">
        <v>2961</v>
      </c>
      <c r="AY349" s="14">
        <v>1139</v>
      </c>
      <c r="AZ349" s="19">
        <v>45289</v>
      </c>
      <c r="BA349" s="14" t="s">
        <v>1912</v>
      </c>
      <c r="BB349" s="14">
        <v>1139</v>
      </c>
      <c r="BC349" s="19">
        <v>45289</v>
      </c>
      <c r="BD349" s="14" t="s">
        <v>1912</v>
      </c>
      <c r="BE349" s="14">
        <v>1139</v>
      </c>
      <c r="BF349" s="19">
        <v>45289</v>
      </c>
      <c r="BG349" s="14" t="s">
        <v>1912</v>
      </c>
      <c r="BH349" s="14">
        <v>1139</v>
      </c>
      <c r="BI349" s="19">
        <v>45289</v>
      </c>
      <c r="BJ349" s="14" t="s">
        <v>1912</v>
      </c>
      <c r="BK349" s="14">
        <v>1139</v>
      </c>
      <c r="BL349" s="19">
        <v>45289</v>
      </c>
      <c r="BM349" s="14" t="s">
        <v>1912</v>
      </c>
      <c r="BN349" s="27">
        <v>45469</v>
      </c>
      <c r="BO349" s="27">
        <v>45469</v>
      </c>
      <c r="BP349" s="27">
        <v>45469</v>
      </c>
      <c r="BQ349" s="27">
        <v>45469</v>
      </c>
      <c r="BR349" s="27">
        <v>45654</v>
      </c>
      <c r="BS349" s="28">
        <v>-1078</v>
      </c>
      <c r="BT349" s="29">
        <v>-328</v>
      </c>
      <c r="BU349" s="29">
        <v>-1078</v>
      </c>
      <c r="BV349" s="29">
        <v>-1078</v>
      </c>
      <c r="BW349" s="29">
        <v>-328</v>
      </c>
      <c r="BX349" s="30" t="s">
        <v>1913</v>
      </c>
      <c r="BY349" s="8">
        <v>5</v>
      </c>
      <c r="BZ349" s="8">
        <v>0</v>
      </c>
      <c r="CA349" s="8">
        <v>0</v>
      </c>
      <c r="CB349" s="21">
        <v>45288.770833333299</v>
      </c>
      <c r="CC349" s="21">
        <v>45288.770833333299</v>
      </c>
      <c r="CD349" s="21">
        <v>45288.770833333299</v>
      </c>
      <c r="CE349" s="21">
        <v>45288.770833333299</v>
      </c>
      <c r="CF349" s="21">
        <v>45288.770833333299</v>
      </c>
      <c r="CG349" s="21">
        <v>45288.770833333299</v>
      </c>
      <c r="CH349" s="21">
        <v>45288.770833333299</v>
      </c>
      <c r="CI349" s="21">
        <v>45288.770833333299</v>
      </c>
      <c r="CJ349" s="21">
        <v>0</v>
      </c>
      <c r="CK349" s="22" t="s">
        <v>3076</v>
      </c>
      <c r="CL349" s="22" t="s">
        <v>3029</v>
      </c>
      <c r="CM349" s="22" t="s">
        <v>3029</v>
      </c>
      <c r="CN349" s="22" t="s">
        <v>3029</v>
      </c>
      <c r="CO349" s="22" t="s">
        <v>3029</v>
      </c>
      <c r="CP349" s="22" t="s">
        <v>3161</v>
      </c>
      <c r="CQ349" s="22" t="s">
        <v>3161</v>
      </c>
      <c r="CR349" s="22" t="s">
        <v>3161</v>
      </c>
      <c r="CS349" s="22" t="s">
        <v>3161</v>
      </c>
      <c r="CT349" s="22">
        <v>2</v>
      </c>
      <c r="CU349" s="21">
        <v>45468</v>
      </c>
      <c r="CV349" s="21">
        <v>45468</v>
      </c>
      <c r="CW349" s="21">
        <v>45468</v>
      </c>
      <c r="CX349" s="21">
        <v>45468</v>
      </c>
      <c r="CY349" s="21">
        <v>45468</v>
      </c>
      <c r="CZ349" s="21">
        <v>45558</v>
      </c>
      <c r="DA349" s="21">
        <v>45653</v>
      </c>
      <c r="DB349" s="21">
        <v>45468</v>
      </c>
      <c r="DC349" s="21">
        <v>45802</v>
      </c>
      <c r="DD349" s="8">
        <v>1</v>
      </c>
      <c r="DE349" s="8">
        <v>0</v>
      </c>
      <c r="DF349" s="8">
        <v>0</v>
      </c>
      <c r="DG349" s="8">
        <v>9</v>
      </c>
      <c r="DH349" s="8">
        <v>0</v>
      </c>
      <c r="DI349" s="8">
        <v>0</v>
      </c>
      <c r="DJ349" s="8" t="s">
        <v>2954</v>
      </c>
      <c r="DK349" s="21">
        <v>44736</v>
      </c>
      <c r="DL349" s="21">
        <v>44722.229166666664</v>
      </c>
      <c r="DM349" s="21">
        <v>45644</v>
      </c>
      <c r="DN349" s="18">
        <v>2030</v>
      </c>
      <c r="DO349" s="21">
        <v>0</v>
      </c>
      <c r="DP349" s="21">
        <v>0</v>
      </c>
      <c r="DQ349" s="21" t="s">
        <v>2955</v>
      </c>
      <c r="DR349" s="21">
        <v>45289</v>
      </c>
      <c r="DS349" s="21">
        <v>45289</v>
      </c>
      <c r="DT349" s="21">
        <v>45289</v>
      </c>
      <c r="DU349" s="21">
        <v>45289</v>
      </c>
      <c r="DV349" s="21">
        <v>45289</v>
      </c>
      <c r="DW349" s="21">
        <v>45289</v>
      </c>
      <c r="DX349" s="21">
        <v>45289</v>
      </c>
      <c r="DY349" s="21">
        <v>45289</v>
      </c>
      <c r="DZ349" s="21">
        <v>0</v>
      </c>
      <c r="EA349" s="8">
        <v>610</v>
      </c>
      <c r="EB349" s="8">
        <v>25</v>
      </c>
      <c r="EC349" s="8">
        <v>25</v>
      </c>
      <c r="ED349" s="8">
        <v>25</v>
      </c>
      <c r="EE349" s="8">
        <v>25</v>
      </c>
      <c r="EF349" s="8">
        <v>714</v>
      </c>
      <c r="EG349" s="8">
        <v>714</v>
      </c>
      <c r="EH349" s="8">
        <v>714</v>
      </c>
      <c r="EI349" s="8">
        <v>714</v>
      </c>
      <c r="EJ349" s="8">
        <v>2</v>
      </c>
      <c r="EK349" s="8" t="s">
        <v>157</v>
      </c>
      <c r="EL349" s="8">
        <v>469</v>
      </c>
      <c r="EM349" s="8">
        <v>938</v>
      </c>
      <c r="EN349" s="8">
        <v>322</v>
      </c>
      <c r="EO349" s="8">
        <v>-263</v>
      </c>
      <c r="EP349" s="8">
        <v>-263</v>
      </c>
      <c r="EQ349" s="8">
        <v>-263</v>
      </c>
      <c r="ER349" s="8">
        <v>-263</v>
      </c>
      <c r="ES349" s="8">
        <v>426</v>
      </c>
      <c r="ET349" s="8">
        <v>426</v>
      </c>
      <c r="EU349" s="8">
        <v>426</v>
      </c>
      <c r="EV349" s="8">
        <v>426</v>
      </c>
    </row>
    <row r="350" spans="1:152" x14ac:dyDescent="0.15">
      <c r="A350" s="8">
        <f>ROW([2]!tbl_DPSAC[[#This Row],[Sl. No.]])-1</f>
        <v>349</v>
      </c>
      <c r="B350" s="9" t="s">
        <v>136</v>
      </c>
      <c r="C350" s="9" t="s">
        <v>1914</v>
      </c>
      <c r="D350" s="9" t="s">
        <v>1491</v>
      </c>
      <c r="E350" s="9" t="s">
        <v>1492</v>
      </c>
      <c r="F350" s="9" t="s">
        <v>161</v>
      </c>
      <c r="G350" s="10" t="s">
        <v>1915</v>
      </c>
      <c r="H350" s="10" t="str">
        <f>_xlfn.XLOOKUP(C350,'[1]E&amp;DPSAC'!$K:$K,'[1]E&amp;DPSAC'!$E:$E,,0)</f>
        <v>NICHITPUR</v>
      </c>
      <c r="I350" s="10"/>
      <c r="J350" s="10">
        <v>9608346542</v>
      </c>
      <c r="K350" s="10">
        <f>_xlfn.XLOOKUP(C350,'[1]E&amp;DPSAC'!$K:$K,'[1]E&amp;DPSAC'!$G:$G,"",0)</f>
        <v>7903412157</v>
      </c>
      <c r="L350" s="9" t="str">
        <f t="shared" ca="1" si="21"/>
        <v>Non - Warranty</v>
      </c>
      <c r="M350" s="11">
        <v>44874</v>
      </c>
      <c r="N350" s="12">
        <v>24</v>
      </c>
      <c r="O350" s="11">
        <f t="shared" si="20"/>
        <v>45626</v>
      </c>
      <c r="P350" s="8" t="s">
        <v>142</v>
      </c>
      <c r="Q350" s="16" t="s">
        <v>1918</v>
      </c>
      <c r="R350" s="15">
        <v>45503.474189814799</v>
      </c>
      <c r="S350" s="14">
        <v>2087</v>
      </c>
      <c r="T350" s="15">
        <v>45590</v>
      </c>
      <c r="U350" s="14">
        <v>2141</v>
      </c>
      <c r="V350" s="14">
        <v>4315</v>
      </c>
      <c r="W350" s="17">
        <v>45966.658333333333</v>
      </c>
      <c r="X350" s="14" t="s">
        <v>2848</v>
      </c>
      <c r="Y350" s="14">
        <v>-1478</v>
      </c>
      <c r="Z350" s="14" t="s">
        <v>2697</v>
      </c>
      <c r="AA350" s="18">
        <v>609.52581018520141</v>
      </c>
      <c r="AB350" s="18" t="s">
        <v>2697</v>
      </c>
      <c r="AC350" s="8">
        <f>tbl_DPSAC[[#This Row],[Current Month Due Count]]</f>
        <v>0</v>
      </c>
      <c r="AD350" s="8">
        <f>tbl_DPSAC[[#This Row],[Next Month Due2]]</f>
        <v>0</v>
      </c>
      <c r="AE350" s="8"/>
      <c r="AF350" s="8">
        <v>4</v>
      </c>
      <c r="AG350" s="14">
        <f t="shared" ca="1" si="22"/>
        <v>4900</v>
      </c>
      <c r="AH350" s="8" t="s">
        <v>1916</v>
      </c>
      <c r="AI350" s="8" t="s">
        <v>1486</v>
      </c>
      <c r="AJ350" s="8" t="s">
        <v>1917</v>
      </c>
      <c r="AK350" s="8">
        <v>0</v>
      </c>
      <c r="AL350" s="8">
        <v>0</v>
      </c>
      <c r="AM350" s="8">
        <v>0</v>
      </c>
      <c r="AN350" s="8">
        <v>0</v>
      </c>
      <c r="AO350" s="8">
        <v>0</v>
      </c>
      <c r="AP350" s="8">
        <v>0</v>
      </c>
      <c r="AQ350" s="8">
        <v>0</v>
      </c>
      <c r="AR350" s="8">
        <v>0</v>
      </c>
      <c r="AS350" s="8">
        <v>0</v>
      </c>
      <c r="AT350" s="8">
        <v>0</v>
      </c>
      <c r="AU350" s="8">
        <v>0</v>
      </c>
      <c r="AV350" s="8">
        <v>0</v>
      </c>
      <c r="AW350" s="8">
        <v>0</v>
      </c>
      <c r="AX350" s="8" t="s">
        <v>2961</v>
      </c>
      <c r="AY350" s="14">
        <v>2087</v>
      </c>
      <c r="AZ350" s="19">
        <v>45503</v>
      </c>
      <c r="BA350" s="14" t="s">
        <v>1918</v>
      </c>
      <c r="BB350" s="14">
        <v>2087</v>
      </c>
      <c r="BC350" s="19">
        <v>45503</v>
      </c>
      <c r="BD350" s="14" t="s">
        <v>1918</v>
      </c>
      <c r="BE350" s="14">
        <v>2087</v>
      </c>
      <c r="BF350" s="19">
        <v>45503</v>
      </c>
      <c r="BG350" s="14" t="s">
        <v>1918</v>
      </c>
      <c r="BH350" s="14">
        <v>2087</v>
      </c>
      <c r="BI350" s="19">
        <v>45503</v>
      </c>
      <c r="BJ350" s="14" t="s">
        <v>1918</v>
      </c>
      <c r="BK350" s="14">
        <v>2087</v>
      </c>
      <c r="BL350" s="19">
        <v>45503</v>
      </c>
      <c r="BM350" s="14" t="s">
        <v>1918</v>
      </c>
      <c r="BN350" s="27">
        <v>45683</v>
      </c>
      <c r="BO350" s="27">
        <v>45683</v>
      </c>
      <c r="BP350" s="27">
        <v>45683</v>
      </c>
      <c r="BQ350" s="27">
        <v>45683</v>
      </c>
      <c r="BR350" s="27">
        <v>45868</v>
      </c>
      <c r="BS350" s="28">
        <v>-2063</v>
      </c>
      <c r="BT350" s="29">
        <v>-1313</v>
      </c>
      <c r="BU350" s="29">
        <v>-2063</v>
      </c>
      <c r="BV350" s="29">
        <v>-2063</v>
      </c>
      <c r="BW350" s="29">
        <v>-1313</v>
      </c>
      <c r="BX350" s="30"/>
      <c r="BY350" s="8">
        <v>5</v>
      </c>
      <c r="BZ350" s="8">
        <v>0</v>
      </c>
      <c r="CA350" s="8">
        <v>0</v>
      </c>
      <c r="CB350" s="21">
        <v>45025.770833333299</v>
      </c>
      <c r="CC350" s="21">
        <v>45502.770833333299</v>
      </c>
      <c r="CD350" s="21">
        <v>45502.770833333299</v>
      </c>
      <c r="CE350" s="21">
        <v>45573.770833333299</v>
      </c>
      <c r="CF350" s="21">
        <v>45573.770833333299</v>
      </c>
      <c r="CG350" s="21">
        <v>45502.770833333299</v>
      </c>
      <c r="CH350" s="21">
        <v>45502.770833333299</v>
      </c>
      <c r="CI350" s="21">
        <v>45502.770833333299</v>
      </c>
      <c r="CJ350" s="21">
        <v>0</v>
      </c>
      <c r="CK350" s="22" t="s">
        <v>3146</v>
      </c>
      <c r="CL350" s="22" t="s">
        <v>3146</v>
      </c>
      <c r="CM350" s="22" t="s">
        <v>3146</v>
      </c>
      <c r="CN350" s="22" t="s">
        <v>3146</v>
      </c>
      <c r="CO350" s="22" t="s">
        <v>3146</v>
      </c>
      <c r="CP350" s="22" t="s">
        <v>3146</v>
      </c>
      <c r="CQ350" s="22" t="s">
        <v>2953</v>
      </c>
      <c r="CR350" s="22" t="s">
        <v>3146</v>
      </c>
      <c r="CS350" s="22" t="s">
        <v>3146</v>
      </c>
      <c r="CT350" s="22">
        <v>2</v>
      </c>
      <c r="CU350" s="21">
        <v>45205</v>
      </c>
      <c r="CV350" s="21">
        <v>45682</v>
      </c>
      <c r="CW350" s="21">
        <v>45682</v>
      </c>
      <c r="CX350" s="21">
        <v>45753</v>
      </c>
      <c r="CY350" s="21">
        <v>45753</v>
      </c>
      <c r="CZ350" s="21">
        <v>45772</v>
      </c>
      <c r="DA350" s="21">
        <v>45867</v>
      </c>
      <c r="DB350" s="21">
        <v>45682</v>
      </c>
      <c r="DC350" s="21">
        <v>46058</v>
      </c>
      <c r="DD350" s="8">
        <v>1</v>
      </c>
      <c r="DE350" s="8">
        <v>1</v>
      </c>
      <c r="DF350" s="8">
        <v>0</v>
      </c>
      <c r="DG350" s="8">
        <v>9</v>
      </c>
      <c r="DH350" s="8">
        <v>0</v>
      </c>
      <c r="DI350" s="8">
        <v>0</v>
      </c>
      <c r="DJ350" s="8" t="s">
        <v>2954</v>
      </c>
      <c r="DK350" s="21">
        <v>44880</v>
      </c>
      <c r="DL350" s="21">
        <v>44848.229166666664</v>
      </c>
      <c r="DM350" s="21">
        <v>45966</v>
      </c>
      <c r="DN350" s="18">
        <v>4315</v>
      </c>
      <c r="DO350" s="21">
        <v>0</v>
      </c>
      <c r="DP350" s="21">
        <v>0</v>
      </c>
      <c r="DQ350" s="21" t="s">
        <v>2955</v>
      </c>
      <c r="DR350" s="21">
        <v>45026</v>
      </c>
      <c r="DS350" s="21">
        <v>45503</v>
      </c>
      <c r="DT350" s="21">
        <v>45503</v>
      </c>
      <c r="DU350" s="21">
        <v>45574</v>
      </c>
      <c r="DV350" s="21">
        <v>45574</v>
      </c>
      <c r="DW350" s="21">
        <v>45503</v>
      </c>
      <c r="DX350" s="21">
        <v>45503</v>
      </c>
      <c r="DY350" s="21">
        <v>45503</v>
      </c>
      <c r="DZ350" s="21">
        <v>0</v>
      </c>
      <c r="EA350" s="8">
        <v>185</v>
      </c>
      <c r="EB350" s="8">
        <v>185</v>
      </c>
      <c r="EC350" s="8">
        <v>185</v>
      </c>
      <c r="ED350" s="8">
        <v>185</v>
      </c>
      <c r="EE350" s="8">
        <v>185</v>
      </c>
      <c r="EF350" s="8">
        <v>185</v>
      </c>
      <c r="EG350" s="8">
        <v>1000</v>
      </c>
      <c r="EH350" s="8">
        <v>185</v>
      </c>
      <c r="EI350" s="8">
        <v>185</v>
      </c>
      <c r="EJ350" s="8">
        <v>2</v>
      </c>
      <c r="EK350" s="8" t="s">
        <v>2624</v>
      </c>
      <c r="EL350" s="8">
        <v>146</v>
      </c>
      <c r="EM350" s="8">
        <v>584</v>
      </c>
      <c r="EN350" s="8">
        <v>-103</v>
      </c>
      <c r="EO350" s="8">
        <v>-103</v>
      </c>
      <c r="EP350" s="8">
        <v>-103</v>
      </c>
      <c r="EQ350" s="8">
        <v>-103</v>
      </c>
      <c r="ER350" s="8">
        <v>-103</v>
      </c>
      <c r="ES350" s="8">
        <v>-103</v>
      </c>
      <c r="ET350" s="8">
        <v>712</v>
      </c>
      <c r="EU350" s="8">
        <v>-103</v>
      </c>
      <c r="EV350" s="8">
        <v>-103</v>
      </c>
    </row>
    <row r="351" spans="1:152" x14ac:dyDescent="0.15">
      <c r="A351" s="8">
        <f>ROW([2]!tbl_DPSAC[[#This Row],[Sl. No.]])-1</f>
        <v>350</v>
      </c>
      <c r="B351" s="9" t="s">
        <v>136</v>
      </c>
      <c r="C351" s="9" t="s">
        <v>1919</v>
      </c>
      <c r="D351" s="9" t="s">
        <v>460</v>
      </c>
      <c r="E351" s="9" t="s">
        <v>170</v>
      </c>
      <c r="F351" s="9" t="s">
        <v>161</v>
      </c>
      <c r="G351" s="10" t="s">
        <v>1920</v>
      </c>
      <c r="H351" s="10" t="str">
        <f>_xlfn.XLOOKUP(C351,'[1]E&amp;DPSAC'!$K:$K,'[1]E&amp;DPSAC'!$E:$E,,0)</f>
        <v>KODERMA</v>
      </c>
      <c r="I351" s="10"/>
      <c r="J351" s="10">
        <v>6299040018</v>
      </c>
      <c r="K351" s="10">
        <f>IF(_xlfn.XLOOKUP(C351,'[1]E&amp;DPSAC'!$K:$K,'[1]E&amp;DPSAC'!$G:$G,"",0)=J351,"",_xlfn.XLOOKUP(C351,'[1]E&amp;DPSAC'!$K:$K,'[1]E&amp;DPSAC'!$G:$G,"",0))</f>
        <v>8340549018</v>
      </c>
      <c r="L351" s="9" t="str">
        <f t="shared" ca="1" si="21"/>
        <v>Non - Warranty</v>
      </c>
      <c r="M351" s="11">
        <v>45299</v>
      </c>
      <c r="N351" s="12">
        <v>24</v>
      </c>
      <c r="O351" s="11">
        <f t="shared" si="20"/>
        <v>46053</v>
      </c>
      <c r="P351" s="8" t="s">
        <v>213</v>
      </c>
      <c r="Q351" s="16" t="s">
        <v>1923</v>
      </c>
      <c r="R351" s="15">
        <v>45366.708414351902</v>
      </c>
      <c r="S351" s="14">
        <v>908</v>
      </c>
      <c r="T351" s="15">
        <v>45367</v>
      </c>
      <c r="U351" s="14">
        <v>908</v>
      </c>
      <c r="V351" s="14">
        <v>2035</v>
      </c>
      <c r="W351" s="17">
        <v>46027.5621875</v>
      </c>
      <c r="X351" s="14" t="s">
        <v>2849</v>
      </c>
      <c r="Y351" s="14">
        <v>-377</v>
      </c>
      <c r="Z351" s="14" t="s">
        <v>2697</v>
      </c>
      <c r="AA351" s="18">
        <v>746.29158564809768</v>
      </c>
      <c r="AB351" s="18" t="s">
        <v>2697</v>
      </c>
      <c r="AC351" s="8">
        <f>tbl_DPSAC[[#This Row],[Current Month Due Count]]</f>
        <v>0</v>
      </c>
      <c r="AD351" s="8">
        <f>tbl_DPSAC[[#This Row],[Next Month Due2]]</f>
        <v>0</v>
      </c>
      <c r="AE351" s="8"/>
      <c r="AF351" s="8">
        <v>0</v>
      </c>
      <c r="AG351" s="14">
        <f t="shared" ca="1" si="22"/>
        <v>2035</v>
      </c>
      <c r="AH351" s="8" t="s">
        <v>1921</v>
      </c>
      <c r="AI351" s="8" t="s">
        <v>1922</v>
      </c>
      <c r="AJ351" s="8">
        <v>0</v>
      </c>
      <c r="AK351" s="8">
        <v>0</v>
      </c>
      <c r="AL351" s="8">
        <v>0</v>
      </c>
      <c r="AM351" s="8">
        <v>0</v>
      </c>
      <c r="AN351" s="8">
        <v>0</v>
      </c>
      <c r="AO351" s="8">
        <v>0</v>
      </c>
      <c r="AP351" s="8">
        <v>0</v>
      </c>
      <c r="AQ351" s="8">
        <v>0</v>
      </c>
      <c r="AR351" s="8">
        <v>0</v>
      </c>
      <c r="AS351" s="8">
        <v>0</v>
      </c>
      <c r="AT351" s="8">
        <v>0</v>
      </c>
      <c r="AU351" s="8">
        <v>0</v>
      </c>
      <c r="AV351" s="8">
        <v>0</v>
      </c>
      <c r="AW351" s="8">
        <v>0</v>
      </c>
      <c r="AX351" s="8" t="s">
        <v>2961</v>
      </c>
      <c r="AY351" s="14">
        <v>908</v>
      </c>
      <c r="AZ351" s="19">
        <v>45366</v>
      </c>
      <c r="BA351" s="14" t="s">
        <v>1923</v>
      </c>
      <c r="BB351" s="14">
        <v>1</v>
      </c>
      <c r="BC351" s="19">
        <v>45299</v>
      </c>
      <c r="BD351" s="14" t="s">
        <v>1924</v>
      </c>
      <c r="BE351" s="14">
        <v>908</v>
      </c>
      <c r="BF351" s="19">
        <v>45366</v>
      </c>
      <c r="BG351" s="14" t="s">
        <v>1923</v>
      </c>
      <c r="BH351" s="14">
        <v>908</v>
      </c>
      <c r="BI351" s="19">
        <v>45366</v>
      </c>
      <c r="BJ351" s="14" t="s">
        <v>1923</v>
      </c>
      <c r="BK351" s="14">
        <v>1</v>
      </c>
      <c r="BL351" s="19">
        <v>45299</v>
      </c>
      <c r="BM351" s="14" t="s">
        <v>1924</v>
      </c>
      <c r="BN351" s="27">
        <v>45546</v>
      </c>
      <c r="BO351" s="27">
        <v>45479</v>
      </c>
      <c r="BP351" s="27">
        <v>45546</v>
      </c>
      <c r="BQ351" s="27">
        <v>45546</v>
      </c>
      <c r="BR351" s="27">
        <v>45664</v>
      </c>
      <c r="BS351" s="28">
        <v>-377</v>
      </c>
      <c r="BT351" s="29">
        <v>-534</v>
      </c>
      <c r="BU351" s="29">
        <v>-377</v>
      </c>
      <c r="BV351" s="29">
        <v>-377</v>
      </c>
      <c r="BW351" s="29">
        <v>-534</v>
      </c>
      <c r="BX351" s="30"/>
      <c r="BY351" s="8">
        <v>5</v>
      </c>
      <c r="BZ351" s="8">
        <v>0</v>
      </c>
      <c r="CA351" s="8">
        <v>0</v>
      </c>
      <c r="CB351" s="21">
        <v>45366.770833333299</v>
      </c>
      <c r="CC351" s="21">
        <v>45366.770833333299</v>
      </c>
      <c r="CD351" s="21">
        <v>45366.770833333299</v>
      </c>
      <c r="CE351" s="21">
        <v>45366.770833333299</v>
      </c>
      <c r="CF351" s="21">
        <v>41713.770833333299</v>
      </c>
      <c r="CG351" s="21">
        <v>45366.770833333299</v>
      </c>
      <c r="CH351" s="21">
        <v>41713.770833333299</v>
      </c>
      <c r="CI351" s="21">
        <v>45366.770833333299</v>
      </c>
      <c r="CJ351" s="21">
        <v>45366.770833333299</v>
      </c>
      <c r="CK351" s="22" t="s">
        <v>3162</v>
      </c>
      <c r="CL351" s="22" t="s">
        <v>3163</v>
      </c>
      <c r="CM351" s="22" t="s">
        <v>3163</v>
      </c>
      <c r="CN351" s="22" t="s">
        <v>3163</v>
      </c>
      <c r="CO351" s="22" t="s">
        <v>3163</v>
      </c>
      <c r="CP351" s="22" t="s">
        <v>3162</v>
      </c>
      <c r="CQ351" s="22" t="s">
        <v>2953</v>
      </c>
      <c r="CR351" s="22" t="s">
        <v>3162</v>
      </c>
      <c r="CS351" s="22" t="s">
        <v>3162</v>
      </c>
      <c r="CT351" s="22">
        <v>0</v>
      </c>
      <c r="CU351" s="21">
        <v>0</v>
      </c>
      <c r="CV351" s="21">
        <v>0</v>
      </c>
      <c r="CW351" s="21">
        <v>0</v>
      </c>
      <c r="CX351" s="21">
        <v>0</v>
      </c>
      <c r="CY351" s="21">
        <v>0</v>
      </c>
      <c r="CZ351" s="21">
        <v>0</v>
      </c>
      <c r="DA351" s="21">
        <v>0</v>
      </c>
      <c r="DB351" s="21">
        <v>0</v>
      </c>
      <c r="DC351" s="21">
        <v>0</v>
      </c>
      <c r="DD351" s="8">
        <v>0</v>
      </c>
      <c r="DE351" s="8">
        <v>0</v>
      </c>
      <c r="DF351" s="8">
        <v>0</v>
      </c>
      <c r="DG351" s="8">
        <v>9</v>
      </c>
      <c r="DH351" s="8">
        <v>0</v>
      </c>
      <c r="DI351" s="8">
        <v>0</v>
      </c>
      <c r="DJ351" s="8" t="s">
        <v>2976</v>
      </c>
      <c r="DK351" s="21">
        <v>45299</v>
      </c>
      <c r="DL351" s="21">
        <v>45287.229166666664</v>
      </c>
      <c r="DM351" s="21">
        <v>46027</v>
      </c>
      <c r="DN351" s="18">
        <v>2035</v>
      </c>
      <c r="DO351" s="21">
        <v>0</v>
      </c>
      <c r="DP351" s="21">
        <v>0</v>
      </c>
      <c r="DQ351" s="21" t="s">
        <v>2955</v>
      </c>
      <c r="DR351" s="21">
        <v>45367</v>
      </c>
      <c r="DS351" s="21">
        <v>45367</v>
      </c>
      <c r="DT351" s="21">
        <v>45367</v>
      </c>
      <c r="DU351" s="21">
        <v>45367</v>
      </c>
      <c r="DV351" s="21">
        <v>41714</v>
      </c>
      <c r="DW351" s="21">
        <v>45367</v>
      </c>
      <c r="DX351" s="21">
        <v>41714</v>
      </c>
      <c r="DY351" s="21">
        <v>45367</v>
      </c>
      <c r="DZ351" s="21">
        <v>45367</v>
      </c>
      <c r="EA351" s="8">
        <v>615</v>
      </c>
      <c r="EB351" s="8">
        <v>115</v>
      </c>
      <c r="EC351" s="8">
        <v>115</v>
      </c>
      <c r="ED351" s="8">
        <v>115</v>
      </c>
      <c r="EE351" s="8">
        <v>115</v>
      </c>
      <c r="EF351" s="8">
        <v>615</v>
      </c>
      <c r="EG351" s="8">
        <v>1000</v>
      </c>
      <c r="EH351" s="8">
        <v>615</v>
      </c>
      <c r="EI351" s="8">
        <v>615</v>
      </c>
      <c r="EJ351" s="8">
        <v>0</v>
      </c>
      <c r="EK351" s="8" t="s">
        <v>2624</v>
      </c>
      <c r="EL351" s="8">
        <v>85</v>
      </c>
      <c r="EM351" s="8">
        <v>0</v>
      </c>
      <c r="EN351" s="8">
        <v>327</v>
      </c>
      <c r="EO351" s="8">
        <v>-173</v>
      </c>
      <c r="EP351" s="8">
        <v>-173</v>
      </c>
      <c r="EQ351" s="8">
        <v>-173</v>
      </c>
      <c r="ER351" s="8">
        <v>-173</v>
      </c>
      <c r="ES351" s="8">
        <v>327</v>
      </c>
      <c r="ET351" s="8">
        <v>712</v>
      </c>
      <c r="EU351" s="8">
        <v>327</v>
      </c>
      <c r="EV351" s="8">
        <v>327</v>
      </c>
    </row>
    <row r="352" spans="1:152" x14ac:dyDescent="0.15">
      <c r="A352" s="8">
        <f>ROW([2]!tbl_DPSAC[[#This Row],[Sl. No.]])-1</f>
        <v>351</v>
      </c>
      <c r="B352" s="9" t="s">
        <v>196</v>
      </c>
      <c r="C352" s="9" t="s">
        <v>1925</v>
      </c>
      <c r="D352" s="9" t="s">
        <v>175</v>
      </c>
      <c r="E352" s="9" t="s">
        <v>176</v>
      </c>
      <c r="F352" s="9" t="s">
        <v>161</v>
      </c>
      <c r="G352" s="10" t="s">
        <v>1926</v>
      </c>
      <c r="H352" s="10" t="str">
        <f>_xlfn.XLOOKUP(C352,'[1]E&amp;DPSAC'!$K:$K,'[1]E&amp;DPSAC'!$E:$E,,0)</f>
        <v>MUNGER, BIHAR</v>
      </c>
      <c r="I352" s="10"/>
      <c r="J352" s="10">
        <v>9103242028</v>
      </c>
      <c r="K352" s="10">
        <f>_xlfn.XLOOKUP(C352,'[1]E&amp;DPSAC'!$K:$K,'[1]E&amp;DPSAC'!$G:$G,"",0)</f>
        <v>9103242028</v>
      </c>
      <c r="L352" s="9" t="str">
        <f t="shared" ca="1" si="21"/>
        <v>Non - Warranty</v>
      </c>
      <c r="M352" s="11">
        <v>45013</v>
      </c>
      <c r="N352" s="12">
        <v>24</v>
      </c>
      <c r="O352" s="11">
        <f t="shared" si="20"/>
        <v>45747</v>
      </c>
      <c r="P352" s="8" t="s">
        <v>142</v>
      </c>
      <c r="Q352" s="16" t="s">
        <v>1929</v>
      </c>
      <c r="R352" s="15">
        <v>45520.519444444442</v>
      </c>
      <c r="S352" s="14">
        <v>342</v>
      </c>
      <c r="T352" s="15">
        <v>45308</v>
      </c>
      <c r="U352" s="14">
        <v>106</v>
      </c>
      <c r="V352" s="14">
        <v>1210</v>
      </c>
      <c r="W352" s="17">
        <v>45966.660416666666</v>
      </c>
      <c r="X352" s="14">
        <v>0</v>
      </c>
      <c r="Y352" s="14">
        <v>-118</v>
      </c>
      <c r="Z352" s="14" t="s">
        <v>2697</v>
      </c>
      <c r="AA352" s="18">
        <v>592.48055555555766</v>
      </c>
      <c r="AB352" s="18" t="s">
        <v>2697</v>
      </c>
      <c r="AC352" s="8">
        <f>tbl_DPSAC[[#This Row],[Current Month Due Count]]</f>
        <v>0</v>
      </c>
      <c r="AD352" s="8">
        <f>tbl_DPSAC[[#This Row],[Next Month Due2]]</f>
        <v>0</v>
      </c>
      <c r="AE352" s="8"/>
      <c r="AF352" s="8">
        <v>2</v>
      </c>
      <c r="AG352" s="14">
        <f t="shared" ca="1" si="22"/>
        <v>1503</v>
      </c>
      <c r="AH352" s="8" t="s">
        <v>1927</v>
      </c>
      <c r="AI352" s="8" t="s">
        <v>1928</v>
      </c>
      <c r="AJ352" s="8">
        <v>0</v>
      </c>
      <c r="AK352" s="8">
        <v>0</v>
      </c>
      <c r="AL352" s="8">
        <v>0</v>
      </c>
      <c r="AM352" s="8">
        <v>0</v>
      </c>
      <c r="AN352" s="8">
        <v>0</v>
      </c>
      <c r="AO352" s="8">
        <v>0</v>
      </c>
      <c r="AP352" s="8">
        <v>0</v>
      </c>
      <c r="AQ352" s="8">
        <v>0</v>
      </c>
      <c r="AR352" s="8">
        <v>0</v>
      </c>
      <c r="AS352" s="8">
        <v>0</v>
      </c>
      <c r="AT352" s="8">
        <v>0</v>
      </c>
      <c r="AU352" s="8">
        <v>0</v>
      </c>
      <c r="AV352" s="8">
        <v>0</v>
      </c>
      <c r="AW352" s="8">
        <v>0</v>
      </c>
      <c r="AX352" s="8" t="s">
        <v>2961</v>
      </c>
      <c r="AY352" s="14">
        <v>342</v>
      </c>
      <c r="AZ352" s="19">
        <v>45520</v>
      </c>
      <c r="BA352" s="14" t="s">
        <v>1929</v>
      </c>
      <c r="BB352" s="14">
        <v>1</v>
      </c>
      <c r="BC352" s="19">
        <v>45012</v>
      </c>
      <c r="BD352" s="14" t="s">
        <v>1930</v>
      </c>
      <c r="BE352" s="14">
        <v>106</v>
      </c>
      <c r="BF352" s="19">
        <v>45307</v>
      </c>
      <c r="BG352" s="14" t="s">
        <v>1931</v>
      </c>
      <c r="BH352" s="14">
        <v>106</v>
      </c>
      <c r="BI352" s="19">
        <v>45307</v>
      </c>
      <c r="BJ352" s="14" t="s">
        <v>1931</v>
      </c>
      <c r="BK352" s="14">
        <v>1</v>
      </c>
      <c r="BL352" s="19">
        <v>45012</v>
      </c>
      <c r="BM352" s="14" t="s">
        <v>1930</v>
      </c>
      <c r="BN352" s="27">
        <v>45700</v>
      </c>
      <c r="BO352" s="27">
        <v>45192</v>
      </c>
      <c r="BP352" s="27">
        <v>45487</v>
      </c>
      <c r="BQ352" s="27">
        <v>45487</v>
      </c>
      <c r="BR352" s="27">
        <v>45377</v>
      </c>
      <c r="BS352" s="28">
        <v>-411</v>
      </c>
      <c r="BT352" s="29">
        <v>-2</v>
      </c>
      <c r="BU352" s="29">
        <v>-647</v>
      </c>
      <c r="BV352" s="29">
        <v>-647</v>
      </c>
      <c r="BW352" s="29">
        <v>-2</v>
      </c>
      <c r="BX352" s="30"/>
      <c r="BY352" s="8">
        <v>5</v>
      </c>
      <c r="BZ352" s="8">
        <v>0</v>
      </c>
      <c r="CA352" s="8">
        <v>0</v>
      </c>
      <c r="CB352" s="21">
        <v>45307.770833333299</v>
      </c>
      <c r="CC352" s="21">
        <v>0</v>
      </c>
      <c r="CD352" s="21">
        <v>0</v>
      </c>
      <c r="CE352" s="21">
        <v>45519.770833333299</v>
      </c>
      <c r="CF352" s="21">
        <v>45519.770833333299</v>
      </c>
      <c r="CG352" s="21">
        <v>0</v>
      </c>
      <c r="CH352" s="21">
        <v>0</v>
      </c>
      <c r="CI352" s="21">
        <v>0</v>
      </c>
      <c r="CJ352" s="21">
        <v>0</v>
      </c>
      <c r="CK352" s="22" t="s">
        <v>3040</v>
      </c>
      <c r="CL352" s="22" t="s">
        <v>3040</v>
      </c>
      <c r="CM352" s="22" t="s">
        <v>3040</v>
      </c>
      <c r="CN352" s="22" t="s">
        <v>3040</v>
      </c>
      <c r="CO352" s="22" t="s">
        <v>3040</v>
      </c>
      <c r="CP352" s="22" t="s">
        <v>3040</v>
      </c>
      <c r="CQ352" s="22" t="s">
        <v>2953</v>
      </c>
      <c r="CR352" s="22" t="s">
        <v>3040</v>
      </c>
      <c r="CS352" s="22" t="s">
        <v>3040</v>
      </c>
      <c r="CT352" s="22">
        <v>2</v>
      </c>
      <c r="CU352" s="21">
        <v>45487</v>
      </c>
      <c r="CV352" s="21">
        <v>46082</v>
      </c>
      <c r="CW352" s="21">
        <v>46082</v>
      </c>
      <c r="CX352" s="21">
        <v>45699</v>
      </c>
      <c r="CY352" s="21">
        <v>45699</v>
      </c>
      <c r="CZ352" s="21">
        <v>46111</v>
      </c>
      <c r="DA352" s="21">
        <v>46059</v>
      </c>
      <c r="DB352" s="21">
        <v>46036</v>
      </c>
      <c r="DC352" s="21">
        <v>46085</v>
      </c>
      <c r="DD352" s="8">
        <v>1</v>
      </c>
      <c r="DE352" s="8">
        <v>1</v>
      </c>
      <c r="DF352" s="8">
        <v>1</v>
      </c>
      <c r="DG352" s="8">
        <v>9</v>
      </c>
      <c r="DH352" s="8">
        <v>0</v>
      </c>
      <c r="DI352" s="8">
        <v>0</v>
      </c>
      <c r="DJ352" s="8" t="s">
        <v>2954</v>
      </c>
      <c r="DK352" s="21">
        <v>45013</v>
      </c>
      <c r="DL352" s="21">
        <v>45009.229166666664</v>
      </c>
      <c r="DM352" s="21">
        <v>45966</v>
      </c>
      <c r="DN352" s="18">
        <v>1210</v>
      </c>
      <c r="DO352" s="21">
        <v>0</v>
      </c>
      <c r="DP352" s="21">
        <v>0</v>
      </c>
      <c r="DQ352" s="21" t="s">
        <v>2955</v>
      </c>
      <c r="DR352" s="21">
        <v>45308</v>
      </c>
      <c r="DS352" s="21">
        <v>0</v>
      </c>
      <c r="DT352" s="21">
        <v>0</v>
      </c>
      <c r="DU352" s="21">
        <v>45520</v>
      </c>
      <c r="DV352" s="21">
        <v>45520</v>
      </c>
      <c r="DW352" s="21">
        <v>0</v>
      </c>
      <c r="DX352" s="21">
        <v>0</v>
      </c>
      <c r="DY352" s="21">
        <v>0</v>
      </c>
      <c r="DZ352" s="21">
        <v>0</v>
      </c>
      <c r="EA352" s="8">
        <v>290</v>
      </c>
      <c r="EB352" s="8">
        <v>290</v>
      </c>
      <c r="EC352" s="8">
        <v>290</v>
      </c>
      <c r="ED352" s="8">
        <v>290</v>
      </c>
      <c r="EE352" s="8">
        <v>290</v>
      </c>
      <c r="EF352" s="8">
        <v>290</v>
      </c>
      <c r="EG352" s="8">
        <v>1000</v>
      </c>
      <c r="EH352" s="8">
        <v>290</v>
      </c>
      <c r="EI352" s="8">
        <v>290</v>
      </c>
      <c r="EJ352" s="8">
        <v>2</v>
      </c>
      <c r="EK352" s="8" t="s">
        <v>2624</v>
      </c>
      <c r="EL352" s="8">
        <v>146</v>
      </c>
      <c r="EM352" s="8">
        <v>292</v>
      </c>
      <c r="EN352" s="8">
        <v>2</v>
      </c>
      <c r="EO352" s="8">
        <v>2</v>
      </c>
      <c r="EP352" s="8">
        <v>2</v>
      </c>
      <c r="EQ352" s="8">
        <v>2</v>
      </c>
      <c r="ER352" s="8">
        <v>2</v>
      </c>
      <c r="ES352" s="8">
        <v>2</v>
      </c>
      <c r="ET352" s="8">
        <v>712</v>
      </c>
      <c r="EU352" s="8">
        <v>2</v>
      </c>
      <c r="EV352" s="8">
        <v>2</v>
      </c>
    </row>
    <row r="353" spans="1:152" ht="31.5" x14ac:dyDescent="0.15">
      <c r="A353" s="8">
        <f>ROW([2]!tbl_DPSAC[[#This Row],[Sl. No.]])-1</f>
        <v>352</v>
      </c>
      <c r="B353" s="9" t="s">
        <v>136</v>
      </c>
      <c r="C353" s="9" t="s">
        <v>1932</v>
      </c>
      <c r="D353" s="9" t="s">
        <v>1491</v>
      </c>
      <c r="E353" s="9" t="s">
        <v>1492</v>
      </c>
      <c r="F353" s="9" t="s">
        <v>161</v>
      </c>
      <c r="G353" s="10" t="s">
        <v>659</v>
      </c>
      <c r="H353" s="10" t="str">
        <f>_xlfn.XLOOKUP(C353,'[1]E&amp;DPSAC'!$K:$K,'[1]E&amp;DPSAC'!$E:$E,,0)</f>
        <v>TETULMARI, DHANBAD</v>
      </c>
      <c r="I353" s="10"/>
      <c r="J353" s="10">
        <v>9934169104</v>
      </c>
      <c r="K353" s="10">
        <f>IF(_xlfn.XLOOKUP(C353,'[1]E&amp;DPSAC'!$K:$K,'[1]E&amp;DPSAC'!$G:$G,"",0)=J353,"",_xlfn.XLOOKUP(C353,'[1]E&amp;DPSAC'!$K:$K,'[1]E&amp;DPSAC'!$G:$G,"",0))</f>
        <v>7488698499</v>
      </c>
      <c r="L353" s="9" t="str">
        <f t="shared" ca="1" si="21"/>
        <v>Non - Warranty</v>
      </c>
      <c r="M353" s="11">
        <v>45307</v>
      </c>
      <c r="N353" s="12">
        <v>24</v>
      </c>
      <c r="O353" s="11">
        <f t="shared" si="20"/>
        <v>46053</v>
      </c>
      <c r="P353" s="8" t="s">
        <v>213</v>
      </c>
      <c r="Q353" s="16" t="s">
        <v>1935</v>
      </c>
      <c r="R353" s="15">
        <v>46034.526226851798</v>
      </c>
      <c r="S353" s="14">
        <v>1500</v>
      </c>
      <c r="T353" s="15">
        <v>46032</v>
      </c>
      <c r="U353" s="14">
        <v>869</v>
      </c>
      <c r="V353" s="14">
        <v>1500</v>
      </c>
      <c r="W353" s="17">
        <v>46034.526226851798</v>
      </c>
      <c r="X353" s="14" t="s">
        <v>2850</v>
      </c>
      <c r="Y353" s="14">
        <v>750</v>
      </c>
      <c r="Z353" s="14" t="s">
        <v>2692</v>
      </c>
      <c r="AA353" s="18">
        <v>78.473773148201872</v>
      </c>
      <c r="AB353" s="18" t="s">
        <v>2692</v>
      </c>
      <c r="AC353" s="8">
        <f>tbl_DPSAC[[#This Row],[Current Month Due Count]]</f>
        <v>0</v>
      </c>
      <c r="AD353" s="8">
        <f>tbl_DPSAC[[#This Row],[Next Month Due2]]</f>
        <v>0</v>
      </c>
      <c r="AE353" s="8"/>
      <c r="AF353" s="8">
        <v>2</v>
      </c>
      <c r="AG353" s="14">
        <f t="shared" ca="1" si="22"/>
        <v>1657</v>
      </c>
      <c r="AH353" s="20" t="s">
        <v>1933</v>
      </c>
      <c r="AI353" s="8" t="s">
        <v>1934</v>
      </c>
      <c r="AJ353" s="8">
        <v>0</v>
      </c>
      <c r="AK353" s="8">
        <v>0</v>
      </c>
      <c r="AL353" s="8">
        <v>0</v>
      </c>
      <c r="AM353" s="8">
        <v>0</v>
      </c>
      <c r="AN353" s="8">
        <v>0</v>
      </c>
      <c r="AO353" s="8">
        <v>0</v>
      </c>
      <c r="AP353" s="8">
        <v>0</v>
      </c>
      <c r="AQ353" s="8">
        <v>0</v>
      </c>
      <c r="AR353" s="8">
        <v>0</v>
      </c>
      <c r="AS353" s="8">
        <v>0</v>
      </c>
      <c r="AT353" s="8">
        <v>0</v>
      </c>
      <c r="AU353" s="8">
        <v>0</v>
      </c>
      <c r="AV353" s="8">
        <v>0</v>
      </c>
      <c r="AW353" s="8">
        <v>0</v>
      </c>
      <c r="AX353" s="8" t="s">
        <v>2007</v>
      </c>
      <c r="AY353" s="14">
        <v>1500</v>
      </c>
      <c r="AZ353" s="19">
        <v>46034</v>
      </c>
      <c r="BA353" s="14" t="s">
        <v>1935</v>
      </c>
      <c r="BB353" s="14">
        <v>1500</v>
      </c>
      <c r="BC353" s="19">
        <v>46034</v>
      </c>
      <c r="BD353" s="14" t="s">
        <v>1935</v>
      </c>
      <c r="BE353" s="14">
        <v>1500</v>
      </c>
      <c r="BF353" s="19">
        <v>46034</v>
      </c>
      <c r="BG353" s="14" t="s">
        <v>1935</v>
      </c>
      <c r="BH353" s="14">
        <v>1500</v>
      </c>
      <c r="BI353" s="19">
        <v>46034</v>
      </c>
      <c r="BJ353" s="14" t="s">
        <v>1935</v>
      </c>
      <c r="BK353" s="14">
        <v>1500</v>
      </c>
      <c r="BL353" s="19">
        <v>46034</v>
      </c>
      <c r="BM353" s="14" t="s">
        <v>1935</v>
      </c>
      <c r="BN353" s="27">
        <v>46214</v>
      </c>
      <c r="BO353" s="27">
        <v>46214</v>
      </c>
      <c r="BP353" s="27">
        <v>46214</v>
      </c>
      <c r="BQ353" s="27">
        <v>46214</v>
      </c>
      <c r="BR353" s="27">
        <v>46399</v>
      </c>
      <c r="BS353" s="28">
        <v>593</v>
      </c>
      <c r="BT353" s="29">
        <v>1343</v>
      </c>
      <c r="BU353" s="29">
        <v>593</v>
      </c>
      <c r="BV353" s="29">
        <v>593</v>
      </c>
      <c r="BW353" s="29">
        <v>1343</v>
      </c>
      <c r="BX353" s="30"/>
      <c r="BY353" s="8">
        <v>0</v>
      </c>
      <c r="BZ353" s="8">
        <v>0</v>
      </c>
      <c r="CA353" s="8">
        <v>0</v>
      </c>
      <c r="CB353" s="21">
        <v>46033.770833333299</v>
      </c>
      <c r="CC353" s="21">
        <v>46033.770833333299</v>
      </c>
      <c r="CD353" s="21">
        <v>46033.770833333299</v>
      </c>
      <c r="CE353" s="21">
        <v>46033.770833333299</v>
      </c>
      <c r="CF353" s="21">
        <v>46033.770833333299</v>
      </c>
      <c r="CG353" s="21">
        <v>46033.770833333299</v>
      </c>
      <c r="CH353" s="21">
        <v>46034.770833333299</v>
      </c>
      <c r="CI353" s="21">
        <v>46033.770833333299</v>
      </c>
      <c r="CJ353" s="21">
        <v>45672.770833333299</v>
      </c>
      <c r="CK353" s="22" t="s">
        <v>2956</v>
      </c>
      <c r="CL353" s="22" t="s">
        <v>2957</v>
      </c>
      <c r="CM353" s="22" t="s">
        <v>2959</v>
      </c>
      <c r="CN353" s="22" t="s">
        <v>2957</v>
      </c>
      <c r="CO353" s="22" t="s">
        <v>2957</v>
      </c>
      <c r="CP353" s="22" t="s">
        <v>2956</v>
      </c>
      <c r="CQ353" s="22" t="s">
        <v>2953</v>
      </c>
      <c r="CR353" s="22" t="s">
        <v>2956</v>
      </c>
      <c r="CS353" s="22" t="s">
        <v>2956</v>
      </c>
      <c r="CT353" s="22">
        <v>7</v>
      </c>
      <c r="CU353" s="21">
        <v>46213</v>
      </c>
      <c r="CV353" s="21">
        <v>46142</v>
      </c>
      <c r="CW353" s="21">
        <v>46106</v>
      </c>
      <c r="CX353" s="21">
        <v>46142</v>
      </c>
      <c r="CY353" s="21">
        <v>46142</v>
      </c>
      <c r="CZ353" s="21">
        <v>46249</v>
      </c>
      <c r="DA353" s="21">
        <v>46177</v>
      </c>
      <c r="DB353" s="21">
        <v>46213</v>
      </c>
      <c r="DC353" s="21">
        <v>46037</v>
      </c>
      <c r="DD353" s="8">
        <v>1</v>
      </c>
      <c r="DE353" s="8">
        <v>0</v>
      </c>
      <c r="DF353" s="8">
        <v>1</v>
      </c>
      <c r="DG353" s="8">
        <v>2</v>
      </c>
      <c r="DH353" s="8">
        <v>3</v>
      </c>
      <c r="DI353" s="8">
        <v>0</v>
      </c>
      <c r="DJ353" s="8" t="s">
        <v>2976</v>
      </c>
      <c r="DK353" s="21">
        <v>45307</v>
      </c>
      <c r="DL353" s="21">
        <v>45288.229166666664</v>
      </c>
      <c r="DM353" s="21">
        <v>46035</v>
      </c>
      <c r="DN353" s="18">
        <v>1500</v>
      </c>
      <c r="DO353" s="21">
        <v>0</v>
      </c>
      <c r="DP353" s="21">
        <v>0</v>
      </c>
      <c r="DQ353" s="21" t="s">
        <v>2955</v>
      </c>
      <c r="DR353" s="21">
        <v>46034</v>
      </c>
      <c r="DS353" s="21">
        <v>46034</v>
      </c>
      <c r="DT353" s="21">
        <v>46034</v>
      </c>
      <c r="DU353" s="21">
        <v>46034</v>
      </c>
      <c r="DV353" s="21">
        <v>46034</v>
      </c>
      <c r="DW353" s="21">
        <v>46034</v>
      </c>
      <c r="DX353" s="21">
        <v>46035</v>
      </c>
      <c r="DY353" s="21">
        <v>46034</v>
      </c>
      <c r="DZ353" s="21">
        <v>45673</v>
      </c>
      <c r="EA353" s="8">
        <v>1500</v>
      </c>
      <c r="EB353" s="8">
        <v>750</v>
      </c>
      <c r="EC353" s="8">
        <v>500</v>
      </c>
      <c r="ED353" s="8">
        <v>750</v>
      </c>
      <c r="EE353" s="8">
        <v>750</v>
      </c>
      <c r="EF353" s="8">
        <v>1500</v>
      </c>
      <c r="EG353" s="8">
        <v>1000</v>
      </c>
      <c r="EH353" s="8">
        <v>1500</v>
      </c>
      <c r="EI353" s="8">
        <v>1500</v>
      </c>
      <c r="EJ353" s="8">
        <v>7</v>
      </c>
      <c r="EK353" s="8" t="s">
        <v>2624</v>
      </c>
      <c r="EL353" s="8">
        <v>78</v>
      </c>
      <c r="EM353" s="8">
        <v>156</v>
      </c>
      <c r="EN353" s="8">
        <v>1212</v>
      </c>
      <c r="EO353" s="8">
        <v>462</v>
      </c>
      <c r="EP353" s="8">
        <v>212</v>
      </c>
      <c r="EQ353" s="8">
        <v>462</v>
      </c>
      <c r="ER353" s="8">
        <v>462</v>
      </c>
      <c r="ES353" s="8">
        <v>1212</v>
      </c>
      <c r="ET353" s="8">
        <v>712</v>
      </c>
      <c r="EU353" s="8">
        <v>1212</v>
      </c>
      <c r="EV353" s="8">
        <v>1212</v>
      </c>
    </row>
    <row r="354" spans="1:152" x14ac:dyDescent="0.15">
      <c r="A354" s="8">
        <f>ROW([2]!tbl_DPSAC[[#This Row],[Sl. No.]])-1</f>
        <v>353</v>
      </c>
      <c r="B354" s="9" t="s">
        <v>136</v>
      </c>
      <c r="C354" s="9" t="s">
        <v>1936</v>
      </c>
      <c r="D354" s="9" t="s">
        <v>638</v>
      </c>
      <c r="E354" s="8" t="s">
        <v>639</v>
      </c>
      <c r="F354" s="9" t="s">
        <v>140</v>
      </c>
      <c r="G354" s="10" t="s">
        <v>480</v>
      </c>
      <c r="H354" s="10" t="str">
        <f>_xlfn.XLOOKUP(C354,'[1]E&amp;DPSAC'!$K:$K,'[1]E&amp;DPSAC'!$E:$E,,0)</f>
        <v>PISKA MORE, RANCHI</v>
      </c>
      <c r="I354" s="10"/>
      <c r="J354" s="10">
        <v>9199364073</v>
      </c>
      <c r="K354" s="10">
        <f>IF(_xlfn.XLOOKUP(C354,'[1]E&amp;DPSAC'!$K:$K,'[1]E&amp;DPSAC'!$G:$G,"",0)=J354,"",_xlfn.XLOOKUP(C354,'[1]E&amp;DPSAC'!$K:$K,'[1]E&amp;DPSAC'!$G:$G,"",0))</f>
        <v>8051191796</v>
      </c>
      <c r="L354" s="9" t="str">
        <f t="shared" ca="1" si="21"/>
        <v>Warranty</v>
      </c>
      <c r="M354" s="11">
        <v>45309</v>
      </c>
      <c r="N354" s="12">
        <v>36</v>
      </c>
      <c r="O354" s="11">
        <f t="shared" si="20"/>
        <v>46418</v>
      </c>
      <c r="P354" s="8" t="s">
        <v>213</v>
      </c>
      <c r="Q354" s="16" t="s">
        <v>1947</v>
      </c>
      <c r="R354" s="15">
        <v>46043.464456018497</v>
      </c>
      <c r="S354" s="14">
        <v>5395</v>
      </c>
      <c r="T354" s="15">
        <v>46042</v>
      </c>
      <c r="U354" s="14">
        <v>5395</v>
      </c>
      <c r="V354" s="14">
        <v>5610</v>
      </c>
      <c r="W354" s="17">
        <v>46098.511041666701</v>
      </c>
      <c r="X354" s="14" t="s">
        <v>2851</v>
      </c>
      <c r="Y354" s="14">
        <v>535</v>
      </c>
      <c r="Z354" s="14" t="s">
        <v>2692</v>
      </c>
      <c r="AA354" s="18">
        <v>69.535543981502997</v>
      </c>
      <c r="AB354" s="18" t="s">
        <v>2692</v>
      </c>
      <c r="AC354" s="8">
        <f>tbl_DPSAC[[#This Row],[Current Month Due Count]]</f>
        <v>0</v>
      </c>
      <c r="AD354" s="8">
        <f>tbl_DPSAC[[#This Row],[Next Month Due2]]</f>
        <v>0</v>
      </c>
      <c r="AE354" s="8"/>
      <c r="AF354" s="8">
        <v>4</v>
      </c>
      <c r="AG354" s="14">
        <f t="shared" ca="1" si="22"/>
        <v>5668</v>
      </c>
      <c r="AH354" s="8" t="s">
        <v>1937</v>
      </c>
      <c r="AI354" s="8" t="s">
        <v>1938</v>
      </c>
      <c r="AJ354" s="8" t="s">
        <v>1939</v>
      </c>
      <c r="AK354" s="8" t="s">
        <v>1940</v>
      </c>
      <c r="AL354" s="8" t="s">
        <v>1941</v>
      </c>
      <c r="AM354" s="8" t="s">
        <v>1942</v>
      </c>
      <c r="AN354" s="8" t="s">
        <v>1943</v>
      </c>
      <c r="AO354" s="8" t="s">
        <v>1944</v>
      </c>
      <c r="AP354" s="8" t="s">
        <v>1945</v>
      </c>
      <c r="AQ354" s="8" t="s">
        <v>1946</v>
      </c>
      <c r="AR354" s="8">
        <v>0</v>
      </c>
      <c r="AS354" s="8">
        <v>0</v>
      </c>
      <c r="AT354" s="8">
        <v>0</v>
      </c>
      <c r="AU354" s="8">
        <v>0</v>
      </c>
      <c r="AV354" s="8">
        <v>0</v>
      </c>
      <c r="AW354" s="8">
        <v>0</v>
      </c>
      <c r="AX354" s="8" t="s">
        <v>2007</v>
      </c>
      <c r="AY354" s="14">
        <v>5395</v>
      </c>
      <c r="AZ354" s="19">
        <v>46043</v>
      </c>
      <c r="BA354" s="14" t="s">
        <v>1947</v>
      </c>
      <c r="BB354" s="14">
        <v>5395</v>
      </c>
      <c r="BC354" s="19">
        <v>46043</v>
      </c>
      <c r="BD354" s="14" t="s">
        <v>1947</v>
      </c>
      <c r="BE354" s="14">
        <v>5395</v>
      </c>
      <c r="BF354" s="19">
        <v>46043</v>
      </c>
      <c r="BG354" s="14" t="s">
        <v>1947</v>
      </c>
      <c r="BH354" s="14">
        <v>5395</v>
      </c>
      <c r="BI354" s="19">
        <v>46043</v>
      </c>
      <c r="BJ354" s="14" t="s">
        <v>1947</v>
      </c>
      <c r="BK354" s="14">
        <v>5395</v>
      </c>
      <c r="BL354" s="19">
        <v>46043</v>
      </c>
      <c r="BM354" s="14" t="s">
        <v>1947</v>
      </c>
      <c r="BN354" s="27">
        <v>46223</v>
      </c>
      <c r="BO354" s="27">
        <v>46223</v>
      </c>
      <c r="BP354" s="27">
        <v>46223</v>
      </c>
      <c r="BQ354" s="27">
        <v>46223</v>
      </c>
      <c r="BR354" s="27">
        <v>46408</v>
      </c>
      <c r="BS354" s="28">
        <v>477</v>
      </c>
      <c r="BT354" s="29">
        <v>1227</v>
      </c>
      <c r="BU354" s="29">
        <v>477</v>
      </c>
      <c r="BV354" s="29">
        <v>477</v>
      </c>
      <c r="BW354" s="29">
        <v>1227</v>
      </c>
      <c r="BX354" s="30"/>
      <c r="BY354" s="8">
        <v>0</v>
      </c>
      <c r="BZ354" s="8">
        <v>0</v>
      </c>
      <c r="CA354" s="8">
        <v>0</v>
      </c>
      <c r="CB354" s="21">
        <v>46042.770833333299</v>
      </c>
      <c r="CC354" s="21">
        <v>46042.770833333299</v>
      </c>
      <c r="CD354" s="21">
        <v>46042.770833333299</v>
      </c>
      <c r="CE354" s="21">
        <v>46042.770833333299</v>
      </c>
      <c r="CF354" s="21">
        <v>46042.770833333299</v>
      </c>
      <c r="CG354" s="21">
        <v>46042.770833333299</v>
      </c>
      <c r="CH354" s="21">
        <v>46042.770833333299</v>
      </c>
      <c r="CI354" s="21">
        <v>46042.770833333299</v>
      </c>
      <c r="CJ354" s="21">
        <v>46042.770833333299</v>
      </c>
      <c r="CK354" s="22" t="s">
        <v>3164</v>
      </c>
      <c r="CL354" s="22" t="s">
        <v>3165</v>
      </c>
      <c r="CM354" s="22" t="s">
        <v>3165</v>
      </c>
      <c r="CN354" s="22" t="s">
        <v>3165</v>
      </c>
      <c r="CO354" s="22" t="s">
        <v>3165</v>
      </c>
      <c r="CP354" s="22" t="s">
        <v>3164</v>
      </c>
      <c r="CQ354" s="22" t="s">
        <v>2953</v>
      </c>
      <c r="CR354" s="22" t="s">
        <v>3164</v>
      </c>
      <c r="CS354" s="22" t="s">
        <v>3164</v>
      </c>
      <c r="CT354" s="22">
        <v>4</v>
      </c>
      <c r="CU354" s="21">
        <v>46222</v>
      </c>
      <c r="CV354" s="21">
        <v>46222</v>
      </c>
      <c r="CW354" s="21">
        <v>46222</v>
      </c>
      <c r="CX354" s="21">
        <v>46222</v>
      </c>
      <c r="CY354" s="21">
        <v>46222</v>
      </c>
      <c r="CZ354" s="21">
        <v>46312</v>
      </c>
      <c r="DA354" s="21">
        <v>46312</v>
      </c>
      <c r="DB354" s="21">
        <v>46222</v>
      </c>
      <c r="DC354" s="21">
        <v>46407</v>
      </c>
      <c r="DD354" s="8">
        <v>0</v>
      </c>
      <c r="DE354" s="8">
        <v>0</v>
      </c>
      <c r="DF354" s="8">
        <v>0</v>
      </c>
      <c r="DG354" s="8">
        <v>0</v>
      </c>
      <c r="DH354" s="8">
        <v>0</v>
      </c>
      <c r="DI354" s="8">
        <v>0</v>
      </c>
      <c r="DJ354" s="8" t="s">
        <v>2976</v>
      </c>
      <c r="DK354" s="21">
        <v>45309</v>
      </c>
      <c r="DL354" s="21">
        <v>45182.229166666664</v>
      </c>
      <c r="DM354" s="21">
        <v>46098</v>
      </c>
      <c r="DN354" s="18">
        <v>5610</v>
      </c>
      <c r="DO354" s="21">
        <v>0</v>
      </c>
      <c r="DP354" s="21">
        <v>0</v>
      </c>
      <c r="DQ354" s="21" t="s">
        <v>2955</v>
      </c>
      <c r="DR354" s="21">
        <v>46043</v>
      </c>
      <c r="DS354" s="21">
        <v>46043</v>
      </c>
      <c r="DT354" s="21">
        <v>46043</v>
      </c>
      <c r="DU354" s="21">
        <v>46043</v>
      </c>
      <c r="DV354" s="21">
        <v>46043</v>
      </c>
      <c r="DW354" s="21">
        <v>46043</v>
      </c>
      <c r="DX354" s="21">
        <v>46043</v>
      </c>
      <c r="DY354" s="21">
        <v>46043</v>
      </c>
      <c r="DZ354" s="21">
        <v>46043</v>
      </c>
      <c r="EA354" s="8">
        <v>1285</v>
      </c>
      <c r="EB354" s="8">
        <v>535</v>
      </c>
      <c r="EC354" s="8">
        <v>535</v>
      </c>
      <c r="ED354" s="8">
        <v>535</v>
      </c>
      <c r="EE354" s="8">
        <v>535</v>
      </c>
      <c r="EF354" s="8">
        <v>1285</v>
      </c>
      <c r="EG354" s="8">
        <v>1000</v>
      </c>
      <c r="EH354" s="8">
        <v>1285</v>
      </c>
      <c r="EI354" s="8">
        <v>1285</v>
      </c>
      <c r="EJ354" s="8">
        <v>4</v>
      </c>
      <c r="EK354" s="8" t="s">
        <v>2624</v>
      </c>
      <c r="EL354" s="8">
        <v>14</v>
      </c>
      <c r="EM354" s="8">
        <v>56</v>
      </c>
      <c r="EN354" s="8">
        <v>997</v>
      </c>
      <c r="EO354" s="8">
        <v>247</v>
      </c>
      <c r="EP354" s="8">
        <v>247</v>
      </c>
      <c r="EQ354" s="8">
        <v>247</v>
      </c>
      <c r="ER354" s="8">
        <v>247</v>
      </c>
      <c r="ES354" s="8">
        <v>997</v>
      </c>
      <c r="ET354" s="8">
        <v>712</v>
      </c>
      <c r="EU354" s="8">
        <v>997</v>
      </c>
      <c r="EV354" s="8">
        <v>997</v>
      </c>
    </row>
    <row r="355" spans="1:152" x14ac:dyDescent="0.15">
      <c r="A355" s="8">
        <f>ROW([2]!tbl_DPSAC[[#This Row],[Sl. No.]])-1</f>
        <v>354</v>
      </c>
      <c r="B355" s="9" t="s">
        <v>136</v>
      </c>
      <c r="C355" s="9" t="s">
        <v>1948</v>
      </c>
      <c r="D355" s="9" t="s">
        <v>1491</v>
      </c>
      <c r="E355" s="9" t="s">
        <v>1492</v>
      </c>
      <c r="F355" s="9" t="s">
        <v>140</v>
      </c>
      <c r="G355" s="10" t="s">
        <v>1949</v>
      </c>
      <c r="H355" s="10" t="str">
        <f>_xlfn.XLOOKUP(C355,'[1]E&amp;DPSAC'!$K:$K,'[1]E&amp;DPSAC'!$E:$E,,0)</f>
        <v>DALADALI, RANCHI</v>
      </c>
      <c r="I355" s="10"/>
      <c r="J355" s="10">
        <v>9431139783</v>
      </c>
      <c r="K355" s="10" t="str">
        <f>IF(_xlfn.XLOOKUP(C355,'[1]E&amp;DPSAC'!$K:$K,'[1]E&amp;DPSAC'!$G:$G,"",0)=J355,"",_xlfn.XLOOKUP(C355,'[1]E&amp;DPSAC'!$K:$K,'[1]E&amp;DPSAC'!$G:$G,"",0))</f>
        <v/>
      </c>
      <c r="L355" s="9" t="str">
        <f t="shared" ca="1" si="21"/>
        <v>Non - Warranty</v>
      </c>
      <c r="M355" s="11">
        <v>45318</v>
      </c>
      <c r="N355" s="12">
        <v>24</v>
      </c>
      <c r="O355" s="11">
        <f t="shared" si="20"/>
        <v>46053</v>
      </c>
      <c r="P355" s="8" t="s">
        <v>213</v>
      </c>
      <c r="Q355" s="16" t="s">
        <v>1954</v>
      </c>
      <c r="R355" s="15">
        <v>45786.432395833297</v>
      </c>
      <c r="S355" s="14">
        <v>2958</v>
      </c>
      <c r="T355" s="15">
        <v>45783</v>
      </c>
      <c r="U355" s="14">
        <v>2965</v>
      </c>
      <c r="V355" s="14">
        <v>3964</v>
      </c>
      <c r="W355" s="17">
        <v>46079.663877314801</v>
      </c>
      <c r="X355" s="14" t="s">
        <v>2852</v>
      </c>
      <c r="Y355" s="14">
        <v>-256</v>
      </c>
      <c r="Z355" s="14" t="s">
        <v>2697</v>
      </c>
      <c r="AA355" s="18">
        <v>326.56760416670295</v>
      </c>
      <c r="AB355" s="18" t="s">
        <v>2697</v>
      </c>
      <c r="AC355" s="8">
        <f>tbl_DPSAC[[#This Row],[Current Month Due Count]]</f>
        <v>0</v>
      </c>
      <c r="AD355" s="8">
        <f>tbl_DPSAC[[#This Row],[Next Month Due2]]</f>
        <v>1</v>
      </c>
      <c r="AE355" s="8"/>
      <c r="AF355" s="8">
        <v>5</v>
      </c>
      <c r="AG355" s="14">
        <f t="shared" ca="1" si="22"/>
        <v>4131</v>
      </c>
      <c r="AH355" s="8" t="s">
        <v>1950</v>
      </c>
      <c r="AI355" s="8" t="s">
        <v>1951</v>
      </c>
      <c r="AJ355" s="8" t="s">
        <v>1952</v>
      </c>
      <c r="AK355" s="8" t="s">
        <v>1953</v>
      </c>
      <c r="AL355" s="8">
        <v>0</v>
      </c>
      <c r="AM355" s="8">
        <v>0</v>
      </c>
      <c r="AN355" s="8">
        <v>0</v>
      </c>
      <c r="AO355" s="8">
        <v>0</v>
      </c>
      <c r="AP355" s="8">
        <v>0</v>
      </c>
      <c r="AQ355" s="8">
        <v>0</v>
      </c>
      <c r="AR355" s="8">
        <v>0</v>
      </c>
      <c r="AS355" s="8">
        <v>0</v>
      </c>
      <c r="AT355" s="8">
        <v>0</v>
      </c>
      <c r="AU355" s="8">
        <v>0</v>
      </c>
      <c r="AV355" s="8">
        <v>0</v>
      </c>
      <c r="AW355" s="8">
        <v>0</v>
      </c>
      <c r="AX355" s="8" t="s">
        <v>2980</v>
      </c>
      <c r="AY355" s="14">
        <v>2958</v>
      </c>
      <c r="AZ355" s="19">
        <v>45786</v>
      </c>
      <c r="BA355" s="14" t="s">
        <v>1954</v>
      </c>
      <c r="BB355" s="14">
        <v>2958</v>
      </c>
      <c r="BC355" s="19">
        <v>45786</v>
      </c>
      <c r="BD355" s="14" t="s">
        <v>1954</v>
      </c>
      <c r="BE355" s="14">
        <v>2958</v>
      </c>
      <c r="BF355" s="19">
        <v>45786</v>
      </c>
      <c r="BG355" s="14" t="s">
        <v>1954</v>
      </c>
      <c r="BH355" s="14">
        <v>2958</v>
      </c>
      <c r="BI355" s="19">
        <v>45786</v>
      </c>
      <c r="BJ355" s="14" t="s">
        <v>1954</v>
      </c>
      <c r="BK355" s="14">
        <v>2958</v>
      </c>
      <c r="BL355" s="19">
        <v>45786</v>
      </c>
      <c r="BM355" s="14" t="s">
        <v>1954</v>
      </c>
      <c r="BN355" s="27">
        <v>45966</v>
      </c>
      <c r="BO355" s="27">
        <v>45966</v>
      </c>
      <c r="BP355" s="27">
        <v>45966</v>
      </c>
      <c r="BQ355" s="27">
        <v>45966</v>
      </c>
      <c r="BR355" s="27">
        <v>46151</v>
      </c>
      <c r="BS355" s="28">
        <v>-423</v>
      </c>
      <c r="BT355" s="29">
        <v>327</v>
      </c>
      <c r="BU355" s="29">
        <v>-423</v>
      </c>
      <c r="BV355" s="29">
        <v>-423</v>
      </c>
      <c r="BW355" s="29">
        <v>327</v>
      </c>
      <c r="BX355" s="30"/>
      <c r="BY355" s="8">
        <v>4</v>
      </c>
      <c r="BZ355" s="8">
        <v>0</v>
      </c>
      <c r="CA355" s="8">
        <v>1</v>
      </c>
      <c r="CB355" s="21">
        <v>45785.770833333299</v>
      </c>
      <c r="CC355" s="21">
        <v>45785.770833333299</v>
      </c>
      <c r="CD355" s="21">
        <v>45785.770833333299</v>
      </c>
      <c r="CE355" s="21">
        <v>45785.770833333299</v>
      </c>
      <c r="CF355" s="21">
        <v>45785.770833333299</v>
      </c>
      <c r="CG355" s="21">
        <v>45785.770833333299</v>
      </c>
      <c r="CH355" s="21">
        <v>45785.770833333299</v>
      </c>
      <c r="CI355" s="21">
        <v>45785.770833333299</v>
      </c>
      <c r="CJ355" s="21">
        <v>45785.770833333299</v>
      </c>
      <c r="CK355" s="22" t="s">
        <v>3070</v>
      </c>
      <c r="CL355" s="22" t="s">
        <v>3070</v>
      </c>
      <c r="CM355" s="22" t="s">
        <v>3070</v>
      </c>
      <c r="CN355" s="22" t="s">
        <v>3070</v>
      </c>
      <c r="CO355" s="22" t="s">
        <v>3070</v>
      </c>
      <c r="CP355" s="22" t="s">
        <v>3070</v>
      </c>
      <c r="CQ355" s="22" t="s">
        <v>2953</v>
      </c>
      <c r="CR355" s="22" t="s">
        <v>3070</v>
      </c>
      <c r="CS355" s="22" t="s">
        <v>3070</v>
      </c>
      <c r="CT355" s="22">
        <v>3</v>
      </c>
      <c r="CU355" s="21">
        <v>45965</v>
      </c>
      <c r="CV355" s="21">
        <v>45965</v>
      </c>
      <c r="CW355" s="21">
        <v>45965</v>
      </c>
      <c r="CX355" s="21">
        <v>45965</v>
      </c>
      <c r="CY355" s="21">
        <v>45965</v>
      </c>
      <c r="CZ355" s="21">
        <v>46055</v>
      </c>
      <c r="DA355" s="21">
        <v>46150</v>
      </c>
      <c r="DB355" s="21">
        <v>45965</v>
      </c>
      <c r="DC355" s="21">
        <v>46150</v>
      </c>
      <c r="DD355" s="8">
        <v>1</v>
      </c>
      <c r="DE355" s="8">
        <v>1</v>
      </c>
      <c r="DF355" s="8">
        <v>0</v>
      </c>
      <c r="DG355" s="8">
        <v>7</v>
      </c>
      <c r="DH355" s="8">
        <v>0</v>
      </c>
      <c r="DI355" s="8">
        <v>2</v>
      </c>
      <c r="DJ355" s="8" t="s">
        <v>2976</v>
      </c>
      <c r="DK355" s="21">
        <v>45318</v>
      </c>
      <c r="DL355" s="21">
        <v>45272.229166666664</v>
      </c>
      <c r="DM355" s="21">
        <v>46079</v>
      </c>
      <c r="DN355" s="18">
        <v>3964</v>
      </c>
      <c r="DO355" s="21">
        <v>0</v>
      </c>
      <c r="DP355" s="21">
        <v>0</v>
      </c>
      <c r="DQ355" s="21" t="s">
        <v>2955</v>
      </c>
      <c r="DR355" s="21">
        <v>45786</v>
      </c>
      <c r="DS355" s="21">
        <v>45786</v>
      </c>
      <c r="DT355" s="21">
        <v>45786</v>
      </c>
      <c r="DU355" s="21">
        <v>45786</v>
      </c>
      <c r="DV355" s="21">
        <v>45786</v>
      </c>
      <c r="DW355" s="21">
        <v>45786</v>
      </c>
      <c r="DX355" s="21">
        <v>45786</v>
      </c>
      <c r="DY355" s="21">
        <v>45786</v>
      </c>
      <c r="DZ355" s="21">
        <v>45786</v>
      </c>
      <c r="EA355" s="8">
        <v>500</v>
      </c>
      <c r="EB355" s="8">
        <v>50</v>
      </c>
      <c r="EC355" s="8">
        <v>50</v>
      </c>
      <c r="ED355" s="8">
        <v>50</v>
      </c>
      <c r="EE355" s="8">
        <v>50</v>
      </c>
      <c r="EF355" s="8">
        <v>500</v>
      </c>
      <c r="EG355" s="8">
        <v>1000</v>
      </c>
      <c r="EH355" s="8">
        <v>500</v>
      </c>
      <c r="EI355" s="8">
        <v>500</v>
      </c>
      <c r="EJ355" s="8">
        <v>4</v>
      </c>
      <c r="EK355" s="8" t="s">
        <v>2624</v>
      </c>
      <c r="EL355" s="8">
        <v>33</v>
      </c>
      <c r="EM355" s="8">
        <v>165</v>
      </c>
      <c r="EN355" s="8">
        <v>212</v>
      </c>
      <c r="EO355" s="8">
        <v>-238</v>
      </c>
      <c r="EP355" s="8">
        <v>-238</v>
      </c>
      <c r="EQ355" s="8">
        <v>-238</v>
      </c>
      <c r="ER355" s="8">
        <v>-238</v>
      </c>
      <c r="ES355" s="8">
        <v>212</v>
      </c>
      <c r="ET355" s="8">
        <v>712</v>
      </c>
      <c r="EU355" s="8">
        <v>212</v>
      </c>
      <c r="EV355" s="8">
        <v>212</v>
      </c>
    </row>
    <row r="356" spans="1:152" x14ac:dyDescent="0.15">
      <c r="A356" s="8">
        <f>ROW([2]!tbl_DPSAC[[#This Row],[Sl. No.]])-1</f>
        <v>355</v>
      </c>
      <c r="B356" s="9" t="s">
        <v>196</v>
      </c>
      <c r="C356" s="9" t="s">
        <v>1955</v>
      </c>
      <c r="D356" s="9" t="s">
        <v>1491</v>
      </c>
      <c r="E356" s="9" t="s">
        <v>1492</v>
      </c>
      <c r="F356" s="9" t="s">
        <v>140</v>
      </c>
      <c r="G356" s="10" t="s">
        <v>1956</v>
      </c>
      <c r="H356" s="10" t="str">
        <f>_xlfn.XLOOKUP(C356,'[1]E&amp;DPSAC'!$K:$K,'[1]E&amp;DPSAC'!$E:$E,,0)</f>
        <v>GAYA, BIHAR</v>
      </c>
      <c r="I356" s="10"/>
      <c r="J356" s="10">
        <v>8521057779</v>
      </c>
      <c r="K356" s="10">
        <f>IF(_xlfn.XLOOKUP(C356,'[1]E&amp;DPSAC'!$K:$K,'[1]E&amp;DPSAC'!$G:$G,"",0)=J356,"",_xlfn.XLOOKUP(C356,'[1]E&amp;DPSAC'!$K:$K,'[1]E&amp;DPSAC'!$G:$G,"",0))</f>
        <v>8521057778</v>
      </c>
      <c r="L356" s="9" t="str">
        <f t="shared" ca="1" si="21"/>
        <v>Non - Warranty</v>
      </c>
      <c r="M356" s="11">
        <v>45314</v>
      </c>
      <c r="N356" s="12">
        <v>24</v>
      </c>
      <c r="O356" s="11">
        <f t="shared" si="20"/>
        <v>46053</v>
      </c>
      <c r="P356" s="8" t="s">
        <v>213</v>
      </c>
      <c r="Q356" s="16" t="s">
        <v>1957</v>
      </c>
      <c r="R356" s="15">
        <v>46009.494768518503</v>
      </c>
      <c r="S356" s="14">
        <v>1520</v>
      </c>
      <c r="T356" s="15">
        <v>46009</v>
      </c>
      <c r="U356" s="14">
        <v>1520</v>
      </c>
      <c r="V356" s="14">
        <v>1625</v>
      </c>
      <c r="W356" s="17">
        <v>46027.573402777802</v>
      </c>
      <c r="X356" s="14" t="s">
        <v>2828</v>
      </c>
      <c r="Y356" s="14">
        <v>645</v>
      </c>
      <c r="Z356" s="14" t="s">
        <v>2692</v>
      </c>
      <c r="AA356" s="18">
        <v>103.50523148149659</v>
      </c>
      <c r="AB356" s="18" t="s">
        <v>2692</v>
      </c>
      <c r="AC356" s="8">
        <f>tbl_DPSAC[[#This Row],[Current Month Due Count]]</f>
        <v>0</v>
      </c>
      <c r="AD356" s="8">
        <f>tbl_DPSAC[[#This Row],[Next Month Due2]]</f>
        <v>0</v>
      </c>
      <c r="AE356" s="8"/>
      <c r="AF356" s="8">
        <v>6</v>
      </c>
      <c r="AG356" s="14">
        <f t="shared" ca="1" si="22"/>
        <v>2138</v>
      </c>
      <c r="AH356" s="8">
        <v>0</v>
      </c>
      <c r="AI356" s="8">
        <v>0</v>
      </c>
      <c r="AJ356" s="8">
        <v>0</v>
      </c>
      <c r="AK356" s="8">
        <v>0</v>
      </c>
      <c r="AL356" s="8">
        <v>0</v>
      </c>
      <c r="AM356" s="8">
        <v>0</v>
      </c>
      <c r="AN356" s="8">
        <v>0</v>
      </c>
      <c r="AO356" s="8">
        <v>0</v>
      </c>
      <c r="AP356" s="8">
        <v>0</v>
      </c>
      <c r="AQ356" s="8">
        <v>0</v>
      </c>
      <c r="AR356" s="8">
        <v>0</v>
      </c>
      <c r="AS356" s="8">
        <v>0</v>
      </c>
      <c r="AT356" s="8">
        <v>0</v>
      </c>
      <c r="AU356" s="8">
        <v>0</v>
      </c>
      <c r="AV356" s="8">
        <v>0</v>
      </c>
      <c r="AW356" s="8">
        <v>0</v>
      </c>
      <c r="AX356" s="8" t="s">
        <v>2007</v>
      </c>
      <c r="AY356" s="14">
        <v>1520</v>
      </c>
      <c r="AZ356" s="19">
        <v>46009</v>
      </c>
      <c r="BA356" s="14" t="s">
        <v>1957</v>
      </c>
      <c r="BB356" s="14">
        <v>1520</v>
      </c>
      <c r="BC356" s="19">
        <v>46009</v>
      </c>
      <c r="BD356" s="14" t="s">
        <v>1957</v>
      </c>
      <c r="BE356" s="14">
        <v>1520</v>
      </c>
      <c r="BF356" s="19">
        <v>46009</v>
      </c>
      <c r="BG356" s="14" t="s">
        <v>1957</v>
      </c>
      <c r="BH356" s="14">
        <v>1520</v>
      </c>
      <c r="BI356" s="19">
        <v>46009</v>
      </c>
      <c r="BJ356" s="14" t="s">
        <v>1957</v>
      </c>
      <c r="BK356" s="14">
        <v>1520</v>
      </c>
      <c r="BL356" s="19">
        <v>46009</v>
      </c>
      <c r="BM356" s="14" t="s">
        <v>1957</v>
      </c>
      <c r="BN356" s="27">
        <v>46189</v>
      </c>
      <c r="BO356" s="27">
        <v>46189</v>
      </c>
      <c r="BP356" s="27">
        <v>46189</v>
      </c>
      <c r="BQ356" s="27">
        <v>46189</v>
      </c>
      <c r="BR356" s="27">
        <v>46374</v>
      </c>
      <c r="BS356" s="28">
        <v>132</v>
      </c>
      <c r="BT356" s="29">
        <v>882</v>
      </c>
      <c r="BU356" s="29">
        <v>132</v>
      </c>
      <c r="BV356" s="29">
        <v>132</v>
      </c>
      <c r="BW356" s="29">
        <v>882</v>
      </c>
      <c r="BX356" s="30"/>
      <c r="BY356" s="8">
        <v>0</v>
      </c>
      <c r="BZ356" s="8">
        <v>0</v>
      </c>
      <c r="CA356" s="8">
        <v>0</v>
      </c>
      <c r="CB356" s="21">
        <v>46008.770833333299</v>
      </c>
      <c r="CC356" s="21">
        <v>46008.770833333299</v>
      </c>
      <c r="CD356" s="21">
        <v>46008.770833333299</v>
      </c>
      <c r="CE356" s="21">
        <v>46008.770833333299</v>
      </c>
      <c r="CF356" s="21">
        <v>46008.770833333299</v>
      </c>
      <c r="CG356" s="21">
        <v>46008.770833333299</v>
      </c>
      <c r="CH356" s="21">
        <v>46008.770833333299</v>
      </c>
      <c r="CI356" s="21">
        <v>46008.770833333299</v>
      </c>
      <c r="CJ356" s="21">
        <v>45313.770833333299</v>
      </c>
      <c r="CK356" s="22" t="s">
        <v>3047</v>
      </c>
      <c r="CL356" s="22" t="s">
        <v>3047</v>
      </c>
      <c r="CM356" s="22" t="s">
        <v>3047</v>
      </c>
      <c r="CN356" s="22" t="s">
        <v>3047</v>
      </c>
      <c r="CO356" s="22" t="s">
        <v>3047</v>
      </c>
      <c r="CP356" s="22" t="s">
        <v>3046</v>
      </c>
      <c r="CQ356" s="22" t="s">
        <v>2953</v>
      </c>
      <c r="CR356" s="22" t="s">
        <v>3046</v>
      </c>
      <c r="CS356" s="22" t="s">
        <v>3046</v>
      </c>
      <c r="CT356" s="22">
        <v>4</v>
      </c>
      <c r="CU356" s="21">
        <v>46188</v>
      </c>
      <c r="CV356" s="21">
        <v>46188</v>
      </c>
      <c r="CW356" s="21">
        <v>46188</v>
      </c>
      <c r="CX356" s="21">
        <v>46188</v>
      </c>
      <c r="CY356" s="21">
        <v>46188</v>
      </c>
      <c r="CZ356" s="21">
        <v>46278</v>
      </c>
      <c r="DA356" s="21">
        <v>46277</v>
      </c>
      <c r="DB356" s="21">
        <v>46188</v>
      </c>
      <c r="DC356" s="21">
        <v>45678</v>
      </c>
      <c r="DD356" s="8">
        <v>1</v>
      </c>
      <c r="DE356" s="8">
        <v>0</v>
      </c>
      <c r="DF356" s="8">
        <v>0</v>
      </c>
      <c r="DG356" s="8">
        <v>1</v>
      </c>
      <c r="DH356" s="8">
        <v>0</v>
      </c>
      <c r="DI356" s="8">
        <v>0</v>
      </c>
      <c r="DJ356" s="8" t="s">
        <v>2976</v>
      </c>
      <c r="DK356" s="21">
        <v>45314</v>
      </c>
      <c r="DL356" s="21">
        <v>45290.229166666664</v>
      </c>
      <c r="DM356" s="21">
        <v>46027</v>
      </c>
      <c r="DN356" s="18">
        <v>1625</v>
      </c>
      <c r="DO356" s="21">
        <v>0</v>
      </c>
      <c r="DP356" s="21">
        <v>0</v>
      </c>
      <c r="DQ356" s="21" t="s">
        <v>2955</v>
      </c>
      <c r="DR356" s="21">
        <v>46009</v>
      </c>
      <c r="DS356" s="21">
        <v>46009</v>
      </c>
      <c r="DT356" s="21">
        <v>46009</v>
      </c>
      <c r="DU356" s="21">
        <v>46009</v>
      </c>
      <c r="DV356" s="21">
        <v>46009</v>
      </c>
      <c r="DW356" s="21">
        <v>46009</v>
      </c>
      <c r="DX356" s="21">
        <v>46009</v>
      </c>
      <c r="DY356" s="21">
        <v>46009</v>
      </c>
      <c r="DZ356" s="21">
        <v>45314</v>
      </c>
      <c r="EA356" s="8">
        <v>645</v>
      </c>
      <c r="EB356" s="8">
        <v>645</v>
      </c>
      <c r="EC356" s="8">
        <v>645</v>
      </c>
      <c r="ED356" s="8">
        <v>645</v>
      </c>
      <c r="EE356" s="8">
        <v>645</v>
      </c>
      <c r="EF356" s="8">
        <v>1395</v>
      </c>
      <c r="EG356" s="8">
        <v>1000</v>
      </c>
      <c r="EH356" s="8">
        <v>1395</v>
      </c>
      <c r="EI356" s="8">
        <v>1395</v>
      </c>
      <c r="EJ356" s="8">
        <v>4</v>
      </c>
      <c r="EK356" s="8" t="s">
        <v>2624</v>
      </c>
      <c r="EL356" s="8">
        <v>85</v>
      </c>
      <c r="EM356" s="8">
        <v>510</v>
      </c>
      <c r="EN356" s="8">
        <v>357</v>
      </c>
      <c r="EO356" s="8">
        <v>357</v>
      </c>
      <c r="EP356" s="8">
        <v>357</v>
      </c>
      <c r="EQ356" s="8">
        <v>357</v>
      </c>
      <c r="ER356" s="8">
        <v>357</v>
      </c>
      <c r="ES356" s="8">
        <v>1107</v>
      </c>
      <c r="ET356" s="8">
        <v>712</v>
      </c>
      <c r="EU356" s="8">
        <v>1107</v>
      </c>
      <c r="EV356" s="8">
        <v>1107</v>
      </c>
    </row>
    <row r="357" spans="1:152" x14ac:dyDescent="0.15">
      <c r="A357" s="8">
        <f>ROW([2]!tbl_DPSAC[[#This Row],[Sl. No.]])-1</f>
        <v>356</v>
      </c>
      <c r="B357" s="9" t="s">
        <v>136</v>
      </c>
      <c r="C357" s="9" t="s">
        <v>1958</v>
      </c>
      <c r="D357" s="9" t="s">
        <v>333</v>
      </c>
      <c r="E357" s="9" t="s">
        <v>333</v>
      </c>
      <c r="F357" s="9" t="s">
        <v>140</v>
      </c>
      <c r="G357" s="10" t="s">
        <v>162</v>
      </c>
      <c r="H357" s="10" t="str">
        <f>_xlfn.XLOOKUP(C357,'[1]E&amp;DPSAC'!$K:$K,'[1]E&amp;DPSAC'!$E:$E,,0)</f>
        <v>PIPARWAR</v>
      </c>
      <c r="I357" s="10"/>
      <c r="J357" s="10">
        <v>9234615011</v>
      </c>
      <c r="K357" s="10" t="str">
        <f>IF(_xlfn.XLOOKUP(C357,'[1]E&amp;DPSAC'!$K:$K,'[1]E&amp;DPSAC'!$G:$G,"",0)=J357,"",_xlfn.XLOOKUP(C357,'[1]E&amp;DPSAC'!$K:$K,'[1]E&amp;DPSAC'!$G:$G,"",0))</f>
        <v/>
      </c>
      <c r="L357" s="9" t="str">
        <f t="shared" ca="1" si="21"/>
        <v>Warranty</v>
      </c>
      <c r="M357" s="11">
        <v>45319</v>
      </c>
      <c r="N357" s="12">
        <v>36</v>
      </c>
      <c r="O357" s="11">
        <f t="shared" si="20"/>
        <v>46418</v>
      </c>
      <c r="P357" s="8" t="s">
        <v>157</v>
      </c>
      <c r="Q357" s="16" t="s">
        <v>143</v>
      </c>
      <c r="R357" s="15" t="s">
        <v>143</v>
      </c>
      <c r="S357" s="14" t="s">
        <v>143</v>
      </c>
      <c r="T357" s="15">
        <v>45330</v>
      </c>
      <c r="U357" s="14">
        <v>1</v>
      </c>
      <c r="V357" s="14" t="s">
        <v>143</v>
      </c>
      <c r="W357" s="17" t="s">
        <v>143</v>
      </c>
      <c r="X357" s="14" t="s">
        <v>143</v>
      </c>
      <c r="Y357" s="14">
        <v>0</v>
      </c>
      <c r="Z357" s="14" t="s">
        <v>2692</v>
      </c>
      <c r="AA357" s="18">
        <v>794</v>
      </c>
      <c r="AB357" s="18" t="s">
        <v>2697</v>
      </c>
      <c r="AC357" s="8">
        <f>tbl_DPSAC[[#This Row],[Current Month Due Count]]</f>
        <v>0</v>
      </c>
      <c r="AD357" s="8">
        <f>tbl_DPSAC[[#This Row],[Next Month Due2]]</f>
        <v>0</v>
      </c>
      <c r="AE357" s="8"/>
      <c r="AF357" s="8">
        <v>8</v>
      </c>
      <c r="AG357" s="14" t="str">
        <f t="shared" ca="1" si="22"/>
        <v/>
      </c>
      <c r="AH357" s="8">
        <v>0</v>
      </c>
      <c r="AI357" s="8">
        <v>0</v>
      </c>
      <c r="AJ357" s="8">
        <v>0</v>
      </c>
      <c r="AK357" s="8">
        <v>0</v>
      </c>
      <c r="AL357" s="8">
        <v>0</v>
      </c>
      <c r="AM357" s="8">
        <v>0</v>
      </c>
      <c r="AN357" s="8">
        <v>0</v>
      </c>
      <c r="AO357" s="8">
        <v>0</v>
      </c>
      <c r="AP357" s="8">
        <v>0</v>
      </c>
      <c r="AQ357" s="8">
        <v>0</v>
      </c>
      <c r="AR357" s="8">
        <v>0</v>
      </c>
      <c r="AS357" s="8">
        <v>0</v>
      </c>
      <c r="AT357" s="8">
        <v>0</v>
      </c>
      <c r="AU357" s="8">
        <v>0</v>
      </c>
      <c r="AV357" s="8">
        <v>0</v>
      </c>
      <c r="AW357" s="8">
        <v>0</v>
      </c>
      <c r="AX357" s="8" t="s">
        <v>2007</v>
      </c>
      <c r="AY357" s="14">
        <v>1</v>
      </c>
      <c r="AZ357" s="19">
        <v>45341</v>
      </c>
      <c r="BA357" s="14" t="s">
        <v>1959</v>
      </c>
      <c r="BB357" s="14">
        <v>1</v>
      </c>
      <c r="BC357" s="19">
        <v>45341</v>
      </c>
      <c r="BD357" s="14" t="s">
        <v>1959</v>
      </c>
      <c r="BE357" s="14">
        <v>1</v>
      </c>
      <c r="BF357" s="19">
        <v>45341</v>
      </c>
      <c r="BG357" s="14" t="s">
        <v>1959</v>
      </c>
      <c r="BH357" s="14">
        <v>1</v>
      </c>
      <c r="BI357" s="19">
        <v>45341</v>
      </c>
      <c r="BJ357" s="14" t="s">
        <v>1959</v>
      </c>
      <c r="BK357" s="14">
        <v>1</v>
      </c>
      <c r="BL357" s="19">
        <v>45341</v>
      </c>
      <c r="BM357" s="14" t="s">
        <v>1959</v>
      </c>
      <c r="BN357" s="27">
        <v>45521</v>
      </c>
      <c r="BO357" s="27">
        <v>45521</v>
      </c>
      <c r="BP357" s="27">
        <v>45521</v>
      </c>
      <c r="BQ357" s="27">
        <v>45521</v>
      </c>
      <c r="BR357" s="27">
        <v>45706</v>
      </c>
      <c r="BS357" s="28" t="s">
        <v>143</v>
      </c>
      <c r="BT357" s="29" t="s">
        <v>143</v>
      </c>
      <c r="BU357" s="29" t="s">
        <v>143</v>
      </c>
      <c r="BV357" s="29" t="s">
        <v>143</v>
      </c>
      <c r="BW357" s="29" t="s">
        <v>143</v>
      </c>
      <c r="BX357" s="30" t="s">
        <v>1350</v>
      </c>
      <c r="BY357" s="8">
        <v>5</v>
      </c>
      <c r="BZ357" s="8">
        <v>0</v>
      </c>
      <c r="CA357" s="8">
        <v>0</v>
      </c>
      <c r="CB357" s="21" t="s">
        <v>143</v>
      </c>
      <c r="CC357" s="21" t="s">
        <v>143</v>
      </c>
      <c r="CD357" s="21" t="s">
        <v>143</v>
      </c>
      <c r="CE357" s="21" t="s">
        <v>143</v>
      </c>
      <c r="CF357" s="21" t="s">
        <v>143</v>
      </c>
      <c r="CG357" s="21" t="s">
        <v>143</v>
      </c>
      <c r="CH357" s="21" t="s">
        <v>143</v>
      </c>
      <c r="CI357" s="21" t="s">
        <v>143</v>
      </c>
      <c r="CJ357" s="21" t="s">
        <v>143</v>
      </c>
      <c r="CK357" s="22" t="s">
        <v>143</v>
      </c>
      <c r="CL357" s="22" t="s">
        <v>143</v>
      </c>
      <c r="CM357" s="22" t="s">
        <v>143</v>
      </c>
      <c r="CN357" s="22" t="s">
        <v>143</v>
      </c>
      <c r="CO357" s="22" t="s">
        <v>143</v>
      </c>
      <c r="CP357" s="22" t="s">
        <v>143</v>
      </c>
      <c r="CQ357" s="22" t="s">
        <v>143</v>
      </c>
      <c r="CR357" s="22" t="s">
        <v>143</v>
      </c>
      <c r="CS357" s="22" t="s">
        <v>143</v>
      </c>
      <c r="CT357" s="22" t="s">
        <v>143</v>
      </c>
      <c r="CU357" s="21" t="s">
        <v>143</v>
      </c>
      <c r="CV357" s="21" t="s">
        <v>143</v>
      </c>
      <c r="CW357" s="21" t="s">
        <v>143</v>
      </c>
      <c r="CX357" s="21" t="s">
        <v>143</v>
      </c>
      <c r="CY357" s="21" t="s">
        <v>143</v>
      </c>
      <c r="CZ357" s="21" t="s">
        <v>143</v>
      </c>
      <c r="DA357" s="21" t="s">
        <v>143</v>
      </c>
      <c r="DB357" s="21" t="s">
        <v>143</v>
      </c>
      <c r="DC357" s="21" t="s">
        <v>143</v>
      </c>
      <c r="DD357" s="8" t="s">
        <v>143</v>
      </c>
      <c r="DE357" s="8" t="s">
        <v>143</v>
      </c>
      <c r="DF357" s="8" t="s">
        <v>143</v>
      </c>
      <c r="DG357" s="8">
        <v>0</v>
      </c>
      <c r="DH357" s="8">
        <v>0</v>
      </c>
      <c r="DI357" s="8">
        <v>0</v>
      </c>
      <c r="DJ357" s="8" t="s">
        <v>143</v>
      </c>
      <c r="DK357" s="21" t="s">
        <v>143</v>
      </c>
      <c r="DL357" s="21" t="s">
        <v>143</v>
      </c>
      <c r="DM357" s="21" t="s">
        <v>143</v>
      </c>
      <c r="DN357" s="18" t="s">
        <v>143</v>
      </c>
      <c r="DO357" s="21" t="s">
        <v>143</v>
      </c>
      <c r="DP357" s="21" t="s">
        <v>143</v>
      </c>
      <c r="DQ357" s="21" t="s">
        <v>143</v>
      </c>
      <c r="DR357" s="21" t="s">
        <v>143</v>
      </c>
      <c r="DS357" s="21" t="s">
        <v>143</v>
      </c>
      <c r="DT357" s="21" t="s">
        <v>143</v>
      </c>
      <c r="DU357" s="21" t="s">
        <v>143</v>
      </c>
      <c r="DV357" s="21" t="s">
        <v>143</v>
      </c>
      <c r="DW357" s="21" t="s">
        <v>143</v>
      </c>
      <c r="DX357" s="21" t="s">
        <v>143</v>
      </c>
      <c r="DY357" s="21" t="s">
        <v>143</v>
      </c>
      <c r="DZ357" s="21" t="s">
        <v>143</v>
      </c>
      <c r="EA357" s="8" t="s">
        <v>143</v>
      </c>
      <c r="EB357" s="8" t="s">
        <v>143</v>
      </c>
      <c r="EC357" s="8" t="s">
        <v>143</v>
      </c>
      <c r="ED357" s="8" t="s">
        <v>143</v>
      </c>
      <c r="EE357" s="8" t="s">
        <v>143</v>
      </c>
      <c r="EF357" s="8" t="s">
        <v>143</v>
      </c>
      <c r="EG357" s="8" t="s">
        <v>143</v>
      </c>
      <c r="EH357" s="8" t="s">
        <v>143</v>
      </c>
      <c r="EI357" s="8" t="s">
        <v>143</v>
      </c>
      <c r="EJ357" s="8" t="s">
        <v>143</v>
      </c>
      <c r="EK357" s="8" t="s">
        <v>157</v>
      </c>
      <c r="EL357" s="8" t="e">
        <v>#VALUE!</v>
      </c>
      <c r="EM357" s="8" t="e">
        <v>#VALUE!</v>
      </c>
      <c r="EN357" s="8" t="s">
        <v>143</v>
      </c>
      <c r="EO357" s="8" t="s">
        <v>143</v>
      </c>
      <c r="EP357" s="8" t="s">
        <v>143</v>
      </c>
      <c r="EQ357" s="8" t="s">
        <v>143</v>
      </c>
      <c r="ER357" s="8" t="s">
        <v>143</v>
      </c>
      <c r="ES357" s="8" t="s">
        <v>143</v>
      </c>
      <c r="ET357" s="8" t="s">
        <v>143</v>
      </c>
      <c r="EU357" s="8" t="s">
        <v>143</v>
      </c>
      <c r="EV357" s="8" t="s">
        <v>143</v>
      </c>
    </row>
    <row r="358" spans="1:152" x14ac:dyDescent="0.15">
      <c r="A358" s="8">
        <f>ROW([2]!tbl_DPSAC[[#This Row],[Sl. No.]])-1</f>
        <v>357</v>
      </c>
      <c r="B358" s="9" t="s">
        <v>136</v>
      </c>
      <c r="C358" s="9" t="s">
        <v>1960</v>
      </c>
      <c r="D358" s="9" t="s">
        <v>1491</v>
      </c>
      <c r="E358" s="9" t="s">
        <v>1492</v>
      </c>
      <c r="F358" s="9" t="s">
        <v>161</v>
      </c>
      <c r="G358" s="10" t="s">
        <v>1961</v>
      </c>
      <c r="H358" s="10" t="str">
        <f>_xlfn.XLOOKUP(C358,'[1]E&amp;DPSAC'!$K:$K,'[1]E&amp;DPSAC'!$E:$E,,0)</f>
        <v>PHUSHRO, BOKARO</v>
      </c>
      <c r="I358" s="10"/>
      <c r="J358" s="10">
        <v>9341698390</v>
      </c>
      <c r="K358" s="10">
        <f>IF(_xlfn.XLOOKUP(C358,'[1]E&amp;DPSAC'!$K:$K,'[1]E&amp;DPSAC'!$G:$G,"",0)=J358,"",_xlfn.XLOOKUP(C358,'[1]E&amp;DPSAC'!$K:$K,'[1]E&amp;DPSAC'!$G:$G,"",0))</f>
        <v>9430702649</v>
      </c>
      <c r="L358" s="9" t="str">
        <f t="shared" ca="1" si="21"/>
        <v>Non - Warranty</v>
      </c>
      <c r="M358" s="11">
        <v>45303</v>
      </c>
      <c r="N358" s="12">
        <v>24</v>
      </c>
      <c r="O358" s="11">
        <f t="shared" si="20"/>
        <v>46053</v>
      </c>
      <c r="P358" s="8" t="s">
        <v>213</v>
      </c>
      <c r="Q358" s="16" t="s">
        <v>1963</v>
      </c>
      <c r="R358" s="15">
        <v>45824.587685185201</v>
      </c>
      <c r="S358" s="14">
        <v>582</v>
      </c>
      <c r="T358" s="15">
        <v>45825</v>
      </c>
      <c r="U358" s="14">
        <v>528</v>
      </c>
      <c r="V358" s="14">
        <v>1410</v>
      </c>
      <c r="W358" s="17">
        <v>46027.5840046296</v>
      </c>
      <c r="X358" s="14" t="s">
        <v>2853</v>
      </c>
      <c r="Y358" s="14">
        <v>-78</v>
      </c>
      <c r="Z358" s="14" t="s">
        <v>2697</v>
      </c>
      <c r="AA358" s="18">
        <v>288.41231481479917</v>
      </c>
      <c r="AB358" s="18" t="s">
        <v>2697</v>
      </c>
      <c r="AC358" s="8">
        <f>tbl_DPSAC[[#This Row],[Current Month Due Count]]</f>
        <v>0</v>
      </c>
      <c r="AD358" s="8">
        <f>tbl_DPSAC[[#This Row],[Next Month Due2]]</f>
        <v>0</v>
      </c>
      <c r="AE358" s="8"/>
      <c r="AF358" s="8">
        <v>0</v>
      </c>
      <c r="AG358" s="14">
        <f t="shared" ca="1" si="22"/>
        <v>1410</v>
      </c>
      <c r="AH358" s="8" t="s">
        <v>1962</v>
      </c>
      <c r="AI358" s="8" t="s">
        <v>1520</v>
      </c>
      <c r="AJ358" s="8">
        <v>0</v>
      </c>
      <c r="AK358" s="8">
        <v>0</v>
      </c>
      <c r="AL358" s="8">
        <v>0</v>
      </c>
      <c r="AM358" s="8">
        <v>0</v>
      </c>
      <c r="AN358" s="8">
        <v>0</v>
      </c>
      <c r="AO358" s="8">
        <v>0</v>
      </c>
      <c r="AP358" s="8">
        <v>0</v>
      </c>
      <c r="AQ358" s="8">
        <v>0</v>
      </c>
      <c r="AR358" s="8">
        <v>0</v>
      </c>
      <c r="AS358" s="8">
        <v>0</v>
      </c>
      <c r="AT358" s="8">
        <v>0</v>
      </c>
      <c r="AU358" s="8">
        <v>0</v>
      </c>
      <c r="AV358" s="8">
        <v>0</v>
      </c>
      <c r="AW358" s="8">
        <v>0</v>
      </c>
      <c r="AX358" s="8" t="s">
        <v>2980</v>
      </c>
      <c r="AY358" s="14">
        <v>582</v>
      </c>
      <c r="AZ358" s="19">
        <v>45824</v>
      </c>
      <c r="BA358" s="14" t="s">
        <v>1963</v>
      </c>
      <c r="BB358" s="14">
        <v>582</v>
      </c>
      <c r="BC358" s="19">
        <v>45824</v>
      </c>
      <c r="BD358" s="14" t="s">
        <v>1963</v>
      </c>
      <c r="BE358" s="14">
        <v>582</v>
      </c>
      <c r="BF358" s="19">
        <v>45824</v>
      </c>
      <c r="BG358" s="14" t="s">
        <v>1963</v>
      </c>
      <c r="BH358" s="14">
        <v>582</v>
      </c>
      <c r="BI358" s="19">
        <v>45824</v>
      </c>
      <c r="BJ358" s="14" t="s">
        <v>1963</v>
      </c>
      <c r="BK358" s="14">
        <v>1</v>
      </c>
      <c r="BL358" s="19">
        <v>45334</v>
      </c>
      <c r="BM358" s="14" t="s">
        <v>1964</v>
      </c>
      <c r="BN358" s="27">
        <v>46004</v>
      </c>
      <c r="BO358" s="27">
        <v>46004</v>
      </c>
      <c r="BP358" s="27">
        <v>46004</v>
      </c>
      <c r="BQ358" s="27">
        <v>46004</v>
      </c>
      <c r="BR358" s="27">
        <v>45699</v>
      </c>
      <c r="BS358" s="28">
        <v>-78</v>
      </c>
      <c r="BT358" s="29">
        <v>672</v>
      </c>
      <c r="BU358" s="29">
        <v>-78</v>
      </c>
      <c r="BV358" s="29">
        <v>-78</v>
      </c>
      <c r="BW358" s="29">
        <v>91</v>
      </c>
      <c r="BX358" s="30"/>
      <c r="BY358" s="8">
        <v>5</v>
      </c>
      <c r="BZ358" s="8">
        <v>0</v>
      </c>
      <c r="CA358" s="8">
        <v>0</v>
      </c>
      <c r="CB358" s="21">
        <v>45823.770833333299</v>
      </c>
      <c r="CC358" s="21">
        <v>45823.770833333299</v>
      </c>
      <c r="CD358" s="21">
        <v>45823.770833333299</v>
      </c>
      <c r="CE358" s="21">
        <v>45823.770833333299</v>
      </c>
      <c r="CF358" s="21">
        <v>45823.770833333299</v>
      </c>
      <c r="CG358" s="21">
        <v>45823.770833333299</v>
      </c>
      <c r="CH358" s="21">
        <v>45823.770833333299</v>
      </c>
      <c r="CI358" s="21">
        <v>45823.770833333299</v>
      </c>
      <c r="CJ358" s="21">
        <v>45823.770833333299</v>
      </c>
      <c r="CK358" s="22" t="s">
        <v>3010</v>
      </c>
      <c r="CL358" s="22" t="s">
        <v>3010</v>
      </c>
      <c r="CM358" s="22" t="s">
        <v>3010</v>
      </c>
      <c r="CN358" s="22" t="s">
        <v>3010</v>
      </c>
      <c r="CO358" s="22" t="s">
        <v>3010</v>
      </c>
      <c r="CP358" s="22" t="s">
        <v>3010</v>
      </c>
      <c r="CQ358" s="22" t="s">
        <v>2953</v>
      </c>
      <c r="CR358" s="22" t="s">
        <v>3010</v>
      </c>
      <c r="CS358" s="22" t="s">
        <v>3010</v>
      </c>
      <c r="CT358" s="22">
        <v>3</v>
      </c>
      <c r="CU358" s="21">
        <v>46003</v>
      </c>
      <c r="CV358" s="21">
        <v>46003</v>
      </c>
      <c r="CW358" s="21">
        <v>46003</v>
      </c>
      <c r="CX358" s="21">
        <v>46003</v>
      </c>
      <c r="CY358" s="21">
        <v>46003</v>
      </c>
      <c r="CZ358" s="21">
        <v>46057</v>
      </c>
      <c r="DA358" s="21">
        <v>46188</v>
      </c>
      <c r="DB358" s="21">
        <v>46003</v>
      </c>
      <c r="DC358" s="21">
        <v>46057</v>
      </c>
      <c r="DD358" s="8">
        <v>1</v>
      </c>
      <c r="DE358" s="8">
        <v>1</v>
      </c>
      <c r="DF358" s="8">
        <v>0</v>
      </c>
      <c r="DG358" s="8">
        <v>8</v>
      </c>
      <c r="DH358" s="8">
        <v>0</v>
      </c>
      <c r="DI358" s="8">
        <v>0</v>
      </c>
      <c r="DJ358" s="8" t="s">
        <v>2976</v>
      </c>
      <c r="DK358" s="21">
        <v>45334</v>
      </c>
      <c r="DL358" s="21">
        <v>45286.229166666664</v>
      </c>
      <c r="DM358" s="21">
        <v>46027</v>
      </c>
      <c r="DN358" s="18">
        <v>1410</v>
      </c>
      <c r="DO358" s="21">
        <v>0</v>
      </c>
      <c r="DP358" s="21">
        <v>0</v>
      </c>
      <c r="DQ358" s="21" t="s">
        <v>2955</v>
      </c>
      <c r="DR358" s="21">
        <v>45824</v>
      </c>
      <c r="DS358" s="21">
        <v>45824</v>
      </c>
      <c r="DT358" s="21">
        <v>45824</v>
      </c>
      <c r="DU358" s="21">
        <v>45824</v>
      </c>
      <c r="DV358" s="21">
        <v>45824</v>
      </c>
      <c r="DW358" s="21">
        <v>45824</v>
      </c>
      <c r="DX358" s="21">
        <v>45824</v>
      </c>
      <c r="DY358" s="21">
        <v>45824</v>
      </c>
      <c r="DZ358" s="21">
        <v>45824</v>
      </c>
      <c r="EA358" s="8">
        <v>90</v>
      </c>
      <c r="EB358" s="8">
        <v>90</v>
      </c>
      <c r="EC358" s="8">
        <v>90</v>
      </c>
      <c r="ED358" s="8">
        <v>90</v>
      </c>
      <c r="EE358" s="8">
        <v>90</v>
      </c>
      <c r="EF358" s="8">
        <v>90</v>
      </c>
      <c r="EG358" s="8">
        <v>1000</v>
      </c>
      <c r="EH358" s="8">
        <v>90</v>
      </c>
      <c r="EI358" s="8">
        <v>90</v>
      </c>
      <c r="EJ358" s="8">
        <v>3</v>
      </c>
      <c r="EK358" s="8" t="s">
        <v>2624</v>
      </c>
      <c r="EL358" s="8">
        <v>85</v>
      </c>
      <c r="EM358" s="8">
        <v>0</v>
      </c>
      <c r="EN358" s="8">
        <v>-198</v>
      </c>
      <c r="EO358" s="8">
        <v>-198</v>
      </c>
      <c r="EP358" s="8">
        <v>-198</v>
      </c>
      <c r="EQ358" s="8">
        <v>-198</v>
      </c>
      <c r="ER358" s="8">
        <v>-198</v>
      </c>
      <c r="ES358" s="8">
        <v>-198</v>
      </c>
      <c r="ET358" s="8">
        <v>712</v>
      </c>
      <c r="EU358" s="8">
        <v>-198</v>
      </c>
      <c r="EV358" s="8">
        <v>-198</v>
      </c>
    </row>
    <row r="359" spans="1:152" x14ac:dyDescent="0.15">
      <c r="A359" s="8">
        <f>ROW([2]!tbl_DPSAC[[#This Row],[Sl. No.]])-1</f>
        <v>358</v>
      </c>
      <c r="B359" s="9" t="s">
        <v>196</v>
      </c>
      <c r="C359" s="9" t="s">
        <v>1965</v>
      </c>
      <c r="D359" s="9" t="s">
        <v>1700</v>
      </c>
      <c r="E359" s="9" t="s">
        <v>1701</v>
      </c>
      <c r="F359" s="9" t="s">
        <v>161</v>
      </c>
      <c r="G359" s="10" t="s">
        <v>1966</v>
      </c>
      <c r="H359" s="10" t="str">
        <f>_xlfn.XLOOKUP(C359,'[1]E&amp;DPSAC'!$K:$K,'[1]E&amp;DPSAC'!$E:$E,,0)</f>
        <v>BHAGALPUR</v>
      </c>
      <c r="I359" s="10"/>
      <c r="J359" s="10">
        <v>9939351785</v>
      </c>
      <c r="K359" s="10">
        <f>IF(_xlfn.XLOOKUP(C359,'[1]E&amp;DPSAC'!$K:$K,'[1]E&amp;DPSAC'!$G:$G,"",0)=J359,"",_xlfn.XLOOKUP(C359,'[1]E&amp;DPSAC'!$K:$K,'[1]E&amp;DPSAC'!$G:$G,"",0))</f>
        <v>9939352785</v>
      </c>
      <c r="L359" s="9" t="str">
        <f t="shared" ca="1" si="21"/>
        <v>Non - Warranty</v>
      </c>
      <c r="M359" s="11">
        <v>45337</v>
      </c>
      <c r="N359" s="12">
        <v>24</v>
      </c>
      <c r="O359" s="11">
        <f t="shared" si="20"/>
        <v>46081</v>
      </c>
      <c r="P359" s="8" t="s">
        <v>213</v>
      </c>
      <c r="Q359" s="16" t="s">
        <v>1967</v>
      </c>
      <c r="R359" s="15">
        <v>46009.496504629598</v>
      </c>
      <c r="S359" s="14">
        <v>1490</v>
      </c>
      <c r="T359" s="15">
        <v>46009</v>
      </c>
      <c r="U359" s="14">
        <v>1490</v>
      </c>
      <c r="V359" s="14">
        <v>1800</v>
      </c>
      <c r="W359" s="17">
        <v>46062.670196759304</v>
      </c>
      <c r="X359" s="14" t="s">
        <v>2828</v>
      </c>
      <c r="Y359" s="14">
        <v>440</v>
      </c>
      <c r="Z359" s="14" t="s">
        <v>2692</v>
      </c>
      <c r="AA359" s="18">
        <v>103.50349537040165</v>
      </c>
      <c r="AB359" s="18" t="s">
        <v>2692</v>
      </c>
      <c r="AC359" s="8">
        <f>tbl_DPSAC[[#This Row],[Current Month Due Count]]</f>
        <v>0</v>
      </c>
      <c r="AD359" s="8">
        <f>tbl_DPSAC[[#This Row],[Next Month Due2]]</f>
        <v>0</v>
      </c>
      <c r="AE359" s="8"/>
      <c r="AF359" s="8">
        <v>6</v>
      </c>
      <c r="AG359" s="14">
        <f t="shared" ca="1" si="22"/>
        <v>2102</v>
      </c>
      <c r="AH359" s="8">
        <v>0</v>
      </c>
      <c r="AI359" s="8">
        <v>0</v>
      </c>
      <c r="AJ359" s="8">
        <v>0</v>
      </c>
      <c r="AK359" s="8">
        <v>0</v>
      </c>
      <c r="AL359" s="8">
        <v>0</v>
      </c>
      <c r="AM359" s="8">
        <v>0</v>
      </c>
      <c r="AN359" s="8">
        <v>0</v>
      </c>
      <c r="AO359" s="8">
        <v>0</v>
      </c>
      <c r="AP359" s="8">
        <v>0</v>
      </c>
      <c r="AQ359" s="8">
        <v>0</v>
      </c>
      <c r="AR359" s="8">
        <v>0</v>
      </c>
      <c r="AS359" s="8">
        <v>0</v>
      </c>
      <c r="AT359" s="8">
        <v>0</v>
      </c>
      <c r="AU359" s="8">
        <v>0</v>
      </c>
      <c r="AV359" s="8">
        <v>0</v>
      </c>
      <c r="AW359" s="8">
        <v>0</v>
      </c>
      <c r="AX359" s="8" t="s">
        <v>2007</v>
      </c>
      <c r="AY359" s="14">
        <v>1490</v>
      </c>
      <c r="AZ359" s="19">
        <v>46009</v>
      </c>
      <c r="BA359" s="14" t="s">
        <v>1967</v>
      </c>
      <c r="BB359" s="14">
        <v>1490</v>
      </c>
      <c r="BC359" s="19">
        <v>46009</v>
      </c>
      <c r="BD359" s="14" t="s">
        <v>1967</v>
      </c>
      <c r="BE359" s="14">
        <v>1490</v>
      </c>
      <c r="BF359" s="19">
        <v>46009</v>
      </c>
      <c r="BG359" s="14" t="s">
        <v>1967</v>
      </c>
      <c r="BH359" s="14">
        <v>1490</v>
      </c>
      <c r="BI359" s="19">
        <v>46009</v>
      </c>
      <c r="BJ359" s="14" t="s">
        <v>1967</v>
      </c>
      <c r="BK359" s="14">
        <v>1490</v>
      </c>
      <c r="BL359" s="19">
        <v>46009</v>
      </c>
      <c r="BM359" s="14" t="s">
        <v>1967</v>
      </c>
      <c r="BN359" s="27">
        <v>46189</v>
      </c>
      <c r="BO359" s="27">
        <v>46189</v>
      </c>
      <c r="BP359" s="27">
        <v>46189</v>
      </c>
      <c r="BQ359" s="27">
        <v>46189</v>
      </c>
      <c r="BR359" s="27">
        <v>46374</v>
      </c>
      <c r="BS359" s="28">
        <v>138</v>
      </c>
      <c r="BT359" s="29">
        <v>888</v>
      </c>
      <c r="BU359" s="29">
        <v>138</v>
      </c>
      <c r="BV359" s="29">
        <v>138</v>
      </c>
      <c r="BW359" s="29">
        <v>888</v>
      </c>
      <c r="BX359" s="30"/>
      <c r="BY359" s="8">
        <v>0</v>
      </c>
      <c r="BZ359" s="8">
        <v>0</v>
      </c>
      <c r="CA359" s="8">
        <v>0</v>
      </c>
      <c r="CB359" s="21">
        <v>46008.770833333299</v>
      </c>
      <c r="CC359" s="21">
        <v>46008.770833333299</v>
      </c>
      <c r="CD359" s="21">
        <v>46008.770833333299</v>
      </c>
      <c r="CE359" s="21">
        <v>46008.770833333299</v>
      </c>
      <c r="CF359" s="21">
        <v>46008.770833333299</v>
      </c>
      <c r="CG359" s="21">
        <v>46008.770833333299</v>
      </c>
      <c r="CH359" s="21">
        <v>46008.770833333299</v>
      </c>
      <c r="CI359" s="21">
        <v>46008.770833333299</v>
      </c>
      <c r="CJ359" s="21">
        <v>46008.770833333299</v>
      </c>
      <c r="CK359" s="22" t="s">
        <v>3166</v>
      </c>
      <c r="CL359" s="22" t="s">
        <v>3158</v>
      </c>
      <c r="CM359" s="22" t="s">
        <v>3158</v>
      </c>
      <c r="CN359" s="22" t="s">
        <v>3158</v>
      </c>
      <c r="CO359" s="22" t="s">
        <v>3158</v>
      </c>
      <c r="CP359" s="22" t="s">
        <v>3166</v>
      </c>
      <c r="CQ359" s="22" t="s">
        <v>2953</v>
      </c>
      <c r="CR359" s="22" t="s">
        <v>3166</v>
      </c>
      <c r="CS359" s="22" t="s">
        <v>3167</v>
      </c>
      <c r="CT359" s="22">
        <v>4</v>
      </c>
      <c r="CU359" s="21">
        <v>46188</v>
      </c>
      <c r="CV359" s="21">
        <v>46172</v>
      </c>
      <c r="CW359" s="21">
        <v>46172</v>
      </c>
      <c r="CX359" s="21">
        <v>46172</v>
      </c>
      <c r="CY359" s="21">
        <v>46172</v>
      </c>
      <c r="CZ359" s="21">
        <v>46278</v>
      </c>
      <c r="DA359" s="21">
        <v>46312</v>
      </c>
      <c r="DB359" s="21">
        <v>46188</v>
      </c>
      <c r="DC359" s="21">
        <v>46359</v>
      </c>
      <c r="DD359" s="8">
        <v>0</v>
      </c>
      <c r="DE359" s="8">
        <v>0</v>
      </c>
      <c r="DF359" s="8">
        <v>0</v>
      </c>
      <c r="DG359" s="8">
        <v>0</v>
      </c>
      <c r="DH359" s="8">
        <v>0</v>
      </c>
      <c r="DI359" s="8">
        <v>4</v>
      </c>
      <c r="DJ359" s="8" t="s">
        <v>2976</v>
      </c>
      <c r="DK359" s="21">
        <v>45337</v>
      </c>
      <c r="DL359" s="21">
        <v>45322.229166666664</v>
      </c>
      <c r="DM359" s="21">
        <v>46062</v>
      </c>
      <c r="DN359" s="18">
        <v>1800</v>
      </c>
      <c r="DO359" s="21">
        <v>0</v>
      </c>
      <c r="DP359" s="21">
        <v>0</v>
      </c>
      <c r="DQ359" s="21" t="s">
        <v>2955</v>
      </c>
      <c r="DR359" s="21">
        <v>46009</v>
      </c>
      <c r="DS359" s="21">
        <v>46009</v>
      </c>
      <c r="DT359" s="21">
        <v>46009</v>
      </c>
      <c r="DU359" s="21">
        <v>46009</v>
      </c>
      <c r="DV359" s="21">
        <v>46009</v>
      </c>
      <c r="DW359" s="21">
        <v>46009</v>
      </c>
      <c r="DX359" s="21">
        <v>46009</v>
      </c>
      <c r="DY359" s="21">
        <v>46009</v>
      </c>
      <c r="DZ359" s="21">
        <v>46009</v>
      </c>
      <c r="EA359" s="8">
        <v>1190</v>
      </c>
      <c r="EB359" s="8">
        <v>440</v>
      </c>
      <c r="EC359" s="8">
        <v>440</v>
      </c>
      <c r="ED359" s="8">
        <v>440</v>
      </c>
      <c r="EE359" s="8">
        <v>440</v>
      </c>
      <c r="EF359" s="8">
        <v>1190</v>
      </c>
      <c r="EG359" s="8">
        <v>1000</v>
      </c>
      <c r="EH359" s="8">
        <v>1190</v>
      </c>
      <c r="EI359" s="8">
        <v>1189</v>
      </c>
      <c r="EJ359" s="8">
        <v>4</v>
      </c>
      <c r="EK359" s="8" t="s">
        <v>2624</v>
      </c>
      <c r="EL359" s="8">
        <v>50</v>
      </c>
      <c r="EM359" s="8">
        <v>300</v>
      </c>
      <c r="EN359" s="8">
        <v>902</v>
      </c>
      <c r="EO359" s="8">
        <v>152</v>
      </c>
      <c r="EP359" s="8">
        <v>152</v>
      </c>
      <c r="EQ359" s="8">
        <v>152</v>
      </c>
      <c r="ER359" s="8">
        <v>152</v>
      </c>
      <c r="ES359" s="8">
        <v>902</v>
      </c>
      <c r="ET359" s="8">
        <v>712</v>
      </c>
      <c r="EU359" s="8">
        <v>902</v>
      </c>
      <c r="EV359" s="8">
        <v>901</v>
      </c>
    </row>
    <row r="360" spans="1:152" x14ac:dyDescent="0.15">
      <c r="A360" s="8">
        <f>ROW([2]!tbl_DPSAC[[#This Row],[Sl. No.]])-1</f>
        <v>359</v>
      </c>
      <c r="B360" s="9" t="s">
        <v>136</v>
      </c>
      <c r="C360" s="9" t="s">
        <v>1968</v>
      </c>
      <c r="D360" s="9" t="s">
        <v>1491</v>
      </c>
      <c r="E360" s="9" t="s">
        <v>1492</v>
      </c>
      <c r="F360" s="9" t="s">
        <v>161</v>
      </c>
      <c r="G360" s="10" t="s">
        <v>1969</v>
      </c>
      <c r="H360" s="10" t="str">
        <f>_xlfn.XLOOKUP(C360,'[1]E&amp;DPSAC'!$K:$K,'[1]E&amp;DPSAC'!$E:$E,,0)</f>
        <v>TANDWA, CHATRA</v>
      </c>
      <c r="I360" s="10"/>
      <c r="J360" s="10">
        <v>7032052579</v>
      </c>
      <c r="K360" s="10" t="str">
        <f>IF(_xlfn.XLOOKUP(C360,'[1]E&amp;DPSAC'!$K:$K,'[1]E&amp;DPSAC'!$G:$G,"",0)=J360,"",_xlfn.XLOOKUP(C360,'[1]E&amp;DPSAC'!$K:$K,'[1]E&amp;DPSAC'!$G:$G,"",0))</f>
        <v/>
      </c>
      <c r="L360" s="9" t="str">
        <f t="shared" ca="1" si="21"/>
        <v>Non - Warranty</v>
      </c>
      <c r="M360" s="11">
        <v>45344</v>
      </c>
      <c r="N360" s="12">
        <v>24</v>
      </c>
      <c r="O360" s="11">
        <f t="shared" si="20"/>
        <v>46081</v>
      </c>
      <c r="P360" s="8" t="s">
        <v>213</v>
      </c>
      <c r="Q360" s="16" t="s">
        <v>1972</v>
      </c>
      <c r="R360" s="15">
        <v>45705.461863425902</v>
      </c>
      <c r="S360" s="14">
        <v>2535</v>
      </c>
      <c r="T360" s="15">
        <v>45796</v>
      </c>
      <c r="U360" s="14">
        <v>2700</v>
      </c>
      <c r="V360" s="14">
        <v>3420</v>
      </c>
      <c r="W360" s="17">
        <v>46062.674340277801</v>
      </c>
      <c r="X360" s="14" t="s">
        <v>2854</v>
      </c>
      <c r="Y360" s="14">
        <v>-135</v>
      </c>
      <c r="Z360" s="14" t="s">
        <v>2697</v>
      </c>
      <c r="AA360" s="18">
        <v>407.53813657409773</v>
      </c>
      <c r="AB360" s="18" t="s">
        <v>2697</v>
      </c>
      <c r="AC360" s="8">
        <f>tbl_DPSAC[[#This Row],[Current Month Due Count]]</f>
        <v>0</v>
      </c>
      <c r="AD360" s="8">
        <f>tbl_DPSAC[[#This Row],[Next Month Due2]]</f>
        <v>0</v>
      </c>
      <c r="AE360" s="8"/>
      <c r="AF360" s="8">
        <v>1</v>
      </c>
      <c r="AG360" s="14">
        <f t="shared" ca="1" si="22"/>
        <v>3470</v>
      </c>
      <c r="AH360" s="8" t="s">
        <v>1970</v>
      </c>
      <c r="AI360" s="8" t="s">
        <v>1971</v>
      </c>
      <c r="AJ360" s="8">
        <v>0</v>
      </c>
      <c r="AK360" s="8">
        <v>0</v>
      </c>
      <c r="AL360" s="8">
        <v>0</v>
      </c>
      <c r="AM360" s="8">
        <v>0</v>
      </c>
      <c r="AN360" s="8">
        <v>0</v>
      </c>
      <c r="AO360" s="8">
        <v>0</v>
      </c>
      <c r="AP360" s="8">
        <v>0</v>
      </c>
      <c r="AQ360" s="8">
        <v>0</v>
      </c>
      <c r="AR360" s="8">
        <v>0</v>
      </c>
      <c r="AS360" s="8">
        <v>0</v>
      </c>
      <c r="AT360" s="8">
        <v>0</v>
      </c>
      <c r="AU360" s="8">
        <v>0</v>
      </c>
      <c r="AV360" s="8">
        <v>0</v>
      </c>
      <c r="AW360" s="8">
        <v>0</v>
      </c>
      <c r="AX360" s="8" t="s">
        <v>2961</v>
      </c>
      <c r="AY360" s="14">
        <v>2535</v>
      </c>
      <c r="AZ360" s="19">
        <v>45705</v>
      </c>
      <c r="BA360" s="14" t="s">
        <v>1972</v>
      </c>
      <c r="BB360" s="14">
        <v>1813</v>
      </c>
      <c r="BC360" s="19">
        <v>45589</v>
      </c>
      <c r="BD360" s="14" t="s">
        <v>1973</v>
      </c>
      <c r="BE360" s="14">
        <v>2535</v>
      </c>
      <c r="BF360" s="19">
        <v>45705</v>
      </c>
      <c r="BG360" s="14" t="s">
        <v>1972</v>
      </c>
      <c r="BH360" s="14">
        <v>2535</v>
      </c>
      <c r="BI360" s="19">
        <v>45705</v>
      </c>
      <c r="BJ360" s="14" t="s">
        <v>1972</v>
      </c>
      <c r="BK360" s="14">
        <v>1</v>
      </c>
      <c r="BL360" s="19">
        <v>45344</v>
      </c>
      <c r="BM360" s="14" t="s">
        <v>1974</v>
      </c>
      <c r="BN360" s="27">
        <v>45885</v>
      </c>
      <c r="BO360" s="27">
        <v>45769</v>
      </c>
      <c r="BP360" s="27">
        <v>45885</v>
      </c>
      <c r="BQ360" s="27">
        <v>45885</v>
      </c>
      <c r="BR360" s="27">
        <v>45709</v>
      </c>
      <c r="BS360" s="28">
        <v>-185</v>
      </c>
      <c r="BT360" s="29">
        <v>-157</v>
      </c>
      <c r="BU360" s="29">
        <v>-185</v>
      </c>
      <c r="BV360" s="29">
        <v>-185</v>
      </c>
      <c r="BW360" s="29">
        <v>-1969</v>
      </c>
      <c r="BX360" s="30"/>
      <c r="BY360" s="8">
        <v>5</v>
      </c>
      <c r="BZ360" s="8">
        <v>0</v>
      </c>
      <c r="CA360" s="8">
        <v>0</v>
      </c>
      <c r="CB360" s="21">
        <v>45704.770833333299</v>
      </c>
      <c r="CC360" s="21">
        <v>45704.770833333299</v>
      </c>
      <c r="CD360" s="21">
        <v>45704.770833333299</v>
      </c>
      <c r="CE360" s="21">
        <v>45704.770833333299</v>
      </c>
      <c r="CF360" s="21">
        <v>45704.770833333299</v>
      </c>
      <c r="CG360" s="21">
        <v>45704.770833333299</v>
      </c>
      <c r="CH360" s="21">
        <v>45704.770833333299</v>
      </c>
      <c r="CI360" s="21">
        <v>45704.770833333299</v>
      </c>
      <c r="CJ360" s="21">
        <v>45704.770833333299</v>
      </c>
      <c r="CK360" s="22" t="s">
        <v>3083</v>
      </c>
      <c r="CL360" s="22" t="s">
        <v>3083</v>
      </c>
      <c r="CM360" s="22" t="s">
        <v>3083</v>
      </c>
      <c r="CN360" s="22" t="s">
        <v>3083</v>
      </c>
      <c r="CO360" s="22" t="s">
        <v>3083</v>
      </c>
      <c r="CP360" s="22" t="s">
        <v>3020</v>
      </c>
      <c r="CQ360" s="22" t="s">
        <v>2953</v>
      </c>
      <c r="CR360" s="22" t="s">
        <v>3020</v>
      </c>
      <c r="CS360" s="22" t="s">
        <v>3020</v>
      </c>
      <c r="CT360" s="22">
        <v>1</v>
      </c>
      <c r="CU360" s="21">
        <v>45884</v>
      </c>
      <c r="CV360" s="21">
        <v>45884</v>
      </c>
      <c r="CW360" s="21">
        <v>45884</v>
      </c>
      <c r="CX360" s="21">
        <v>45884</v>
      </c>
      <c r="CY360" s="21">
        <v>45884</v>
      </c>
      <c r="CZ360" s="21">
        <v>45974</v>
      </c>
      <c r="DA360" s="21">
        <v>46069</v>
      </c>
      <c r="DB360" s="21">
        <v>45884</v>
      </c>
      <c r="DC360" s="21">
        <v>46069</v>
      </c>
      <c r="DD360" s="8">
        <v>1</v>
      </c>
      <c r="DE360" s="8">
        <v>1</v>
      </c>
      <c r="DF360" s="8">
        <v>0</v>
      </c>
      <c r="DG360" s="8">
        <v>9</v>
      </c>
      <c r="DH360" s="8">
        <v>0</v>
      </c>
      <c r="DI360" s="8">
        <v>0</v>
      </c>
      <c r="DJ360" s="8" t="s">
        <v>2976</v>
      </c>
      <c r="DK360" s="21">
        <v>45344</v>
      </c>
      <c r="DL360" s="21">
        <v>45315.229166666664</v>
      </c>
      <c r="DM360" s="21">
        <v>46062</v>
      </c>
      <c r="DN360" s="18">
        <v>3420</v>
      </c>
      <c r="DO360" s="21">
        <v>0</v>
      </c>
      <c r="DP360" s="21">
        <v>0</v>
      </c>
      <c r="DQ360" s="21" t="s">
        <v>2955</v>
      </c>
      <c r="DR360" s="21">
        <v>45705</v>
      </c>
      <c r="DS360" s="21">
        <v>45705</v>
      </c>
      <c r="DT360" s="21">
        <v>45705</v>
      </c>
      <c r="DU360" s="21">
        <v>45705</v>
      </c>
      <c r="DV360" s="21">
        <v>45705</v>
      </c>
      <c r="DW360" s="21">
        <v>45705</v>
      </c>
      <c r="DX360" s="21">
        <v>45705</v>
      </c>
      <c r="DY360" s="21">
        <v>45705</v>
      </c>
      <c r="DZ360" s="21">
        <v>45705</v>
      </c>
      <c r="EA360" s="8">
        <v>100</v>
      </c>
      <c r="EB360" s="8">
        <v>100</v>
      </c>
      <c r="EC360" s="8">
        <v>100</v>
      </c>
      <c r="ED360" s="8">
        <v>100</v>
      </c>
      <c r="EE360" s="8">
        <v>100</v>
      </c>
      <c r="EF360" s="8">
        <v>600</v>
      </c>
      <c r="EG360" s="8">
        <v>1000</v>
      </c>
      <c r="EH360" s="8">
        <v>600</v>
      </c>
      <c r="EI360" s="8">
        <v>600</v>
      </c>
      <c r="EJ360" s="8">
        <v>1</v>
      </c>
      <c r="EK360" s="8" t="s">
        <v>2624</v>
      </c>
      <c r="EL360" s="8">
        <v>50</v>
      </c>
      <c r="EM360" s="8">
        <v>50</v>
      </c>
      <c r="EN360" s="8">
        <v>-188</v>
      </c>
      <c r="EO360" s="8">
        <v>-188</v>
      </c>
      <c r="EP360" s="8">
        <v>-188</v>
      </c>
      <c r="EQ360" s="8">
        <v>-188</v>
      </c>
      <c r="ER360" s="8">
        <v>-188</v>
      </c>
      <c r="ES360" s="8">
        <v>312</v>
      </c>
      <c r="ET360" s="8">
        <v>712</v>
      </c>
      <c r="EU360" s="8">
        <v>312</v>
      </c>
      <c r="EV360" s="8">
        <v>312</v>
      </c>
    </row>
    <row r="361" spans="1:152" x14ac:dyDescent="0.15">
      <c r="A361" s="8">
        <f>ROW([2]!tbl_DPSAC[[#This Row],[Sl. No.]])-1</f>
        <v>360</v>
      </c>
      <c r="B361" s="9" t="s">
        <v>196</v>
      </c>
      <c r="C361" s="9" t="s">
        <v>1975</v>
      </c>
      <c r="D361" s="9" t="s">
        <v>1312</v>
      </c>
      <c r="E361" s="9" t="s">
        <v>1707</v>
      </c>
      <c r="F361" s="9" t="s">
        <v>161</v>
      </c>
      <c r="G361" s="10" t="s">
        <v>1976</v>
      </c>
      <c r="H361" s="10" t="str">
        <f>_xlfn.XLOOKUP(C361,'[1]E&amp;DPSAC'!$K:$K,'[1]E&amp;DPSAC'!$E:$E,,0)</f>
        <v>RAGHOPUR, PATNA</v>
      </c>
      <c r="I361" s="10"/>
      <c r="J361" s="10">
        <v>9311322151</v>
      </c>
      <c r="K361" s="10" t="str">
        <f>IF(_xlfn.XLOOKUP(C361,'[1]E&amp;DPSAC'!$K:$K,'[1]E&amp;DPSAC'!$G:$G,"",0)=J361,"",_xlfn.XLOOKUP(C361,'[1]E&amp;DPSAC'!$K:$K,'[1]E&amp;DPSAC'!$G:$G,"",0))</f>
        <v/>
      </c>
      <c r="L361" s="9" t="str">
        <f t="shared" ca="1" si="21"/>
        <v>Non - Warranty</v>
      </c>
      <c r="M361" s="11">
        <v>45342</v>
      </c>
      <c r="N361" s="12">
        <v>24</v>
      </c>
      <c r="O361" s="11">
        <f t="shared" si="20"/>
        <v>46081</v>
      </c>
      <c r="P361" s="8" t="s">
        <v>213</v>
      </c>
      <c r="Q361" s="16" t="s">
        <v>143</v>
      </c>
      <c r="R361" s="15" t="s">
        <v>143</v>
      </c>
      <c r="S361" s="14" t="s">
        <v>143</v>
      </c>
      <c r="T361" s="15">
        <v>45342</v>
      </c>
      <c r="U361" s="14">
        <v>1</v>
      </c>
      <c r="V361" s="14">
        <v>330</v>
      </c>
      <c r="W361" s="17">
        <v>46062.682141203702</v>
      </c>
      <c r="X361" s="14" t="s">
        <v>143</v>
      </c>
      <c r="Y361" s="14">
        <v>0</v>
      </c>
      <c r="Z361" s="14" t="s">
        <v>2692</v>
      </c>
      <c r="AA361" s="18">
        <v>771</v>
      </c>
      <c r="AB361" s="18" t="s">
        <v>2697</v>
      </c>
      <c r="AC361" s="8">
        <f>tbl_DPSAC[[#This Row],[Current Month Due Count]]</f>
        <v>0</v>
      </c>
      <c r="AD361" s="8">
        <f>tbl_DPSAC[[#This Row],[Next Month Due2]]</f>
        <v>0</v>
      </c>
      <c r="AE361" s="8"/>
      <c r="AF361" s="8">
        <v>0</v>
      </c>
      <c r="AG361" s="14">
        <f t="shared" ca="1" si="22"/>
        <v>330</v>
      </c>
      <c r="AH361" s="8">
        <v>0</v>
      </c>
      <c r="AI361" s="8">
        <v>0</v>
      </c>
      <c r="AJ361" s="8">
        <v>0</v>
      </c>
      <c r="AK361" s="8">
        <v>0</v>
      </c>
      <c r="AL361" s="8">
        <v>0</v>
      </c>
      <c r="AM361" s="8">
        <v>0</v>
      </c>
      <c r="AN361" s="8">
        <v>0</v>
      </c>
      <c r="AO361" s="8">
        <v>0</v>
      </c>
      <c r="AP361" s="8">
        <v>0</v>
      </c>
      <c r="AQ361" s="8">
        <v>0</v>
      </c>
      <c r="AR361" s="8">
        <v>0</v>
      </c>
      <c r="AS361" s="8">
        <v>0</v>
      </c>
      <c r="AT361" s="8">
        <v>0</v>
      </c>
      <c r="AU361" s="8">
        <v>0</v>
      </c>
      <c r="AV361" s="8">
        <v>0</v>
      </c>
      <c r="AW361" s="8">
        <v>0</v>
      </c>
      <c r="AX361" s="8" t="s">
        <v>2007</v>
      </c>
      <c r="AY361" s="14">
        <v>1</v>
      </c>
      <c r="AZ361" s="19">
        <v>45342</v>
      </c>
      <c r="BA361" s="14" t="s">
        <v>1977</v>
      </c>
      <c r="BB361" s="14">
        <v>1</v>
      </c>
      <c r="BC361" s="19">
        <v>45342</v>
      </c>
      <c r="BD361" s="14" t="s">
        <v>1977</v>
      </c>
      <c r="BE361" s="14">
        <v>1</v>
      </c>
      <c r="BF361" s="19">
        <v>45342</v>
      </c>
      <c r="BG361" s="14" t="s">
        <v>1977</v>
      </c>
      <c r="BH361" s="14">
        <v>1</v>
      </c>
      <c r="BI361" s="19">
        <v>45342</v>
      </c>
      <c r="BJ361" s="14" t="s">
        <v>1977</v>
      </c>
      <c r="BK361" s="14">
        <v>1</v>
      </c>
      <c r="BL361" s="19">
        <v>45342</v>
      </c>
      <c r="BM361" s="14" t="s">
        <v>1977</v>
      </c>
      <c r="BN361" s="27">
        <v>45522</v>
      </c>
      <c r="BO361" s="27">
        <v>45522</v>
      </c>
      <c r="BP361" s="27">
        <v>45522</v>
      </c>
      <c r="BQ361" s="27">
        <v>45522</v>
      </c>
      <c r="BR361" s="27">
        <v>45707</v>
      </c>
      <c r="BS361" s="28">
        <v>421</v>
      </c>
      <c r="BT361" s="29">
        <v>1171</v>
      </c>
      <c r="BU361" s="29">
        <v>421</v>
      </c>
      <c r="BV361" s="29">
        <v>421</v>
      </c>
      <c r="BW361" s="29">
        <v>1171</v>
      </c>
      <c r="BX361" s="30"/>
      <c r="BY361" s="8">
        <v>5</v>
      </c>
      <c r="BZ361" s="8">
        <v>0</v>
      </c>
      <c r="CA361" s="8">
        <v>0</v>
      </c>
      <c r="CB361" s="21">
        <v>45341.770833333299</v>
      </c>
      <c r="CC361" s="21">
        <v>45341.770833333299</v>
      </c>
      <c r="CD361" s="21">
        <v>45341.770833333299</v>
      </c>
      <c r="CE361" s="21">
        <v>45341.770833333299</v>
      </c>
      <c r="CF361" s="21">
        <v>45341.770833333299</v>
      </c>
      <c r="CG361" s="21">
        <v>45341.770833333299</v>
      </c>
      <c r="CH361" s="21">
        <v>45341.770833333299</v>
      </c>
      <c r="CI361" s="21">
        <v>45341.770833333299</v>
      </c>
      <c r="CJ361" s="21">
        <v>45341.770833333299</v>
      </c>
      <c r="CK361" s="22" t="s">
        <v>2996</v>
      </c>
      <c r="CL361" s="22" t="s">
        <v>3050</v>
      </c>
      <c r="CM361" s="22" t="s">
        <v>3050</v>
      </c>
      <c r="CN361" s="22" t="s">
        <v>3050</v>
      </c>
      <c r="CO361" s="22" t="s">
        <v>3050</v>
      </c>
      <c r="CP361" s="22" t="s">
        <v>3168</v>
      </c>
      <c r="CQ361" s="22" t="s">
        <v>2953</v>
      </c>
      <c r="CR361" s="22" t="s">
        <v>3168</v>
      </c>
      <c r="CS361" s="22" t="s">
        <v>3051</v>
      </c>
      <c r="CT361" s="22">
        <v>0</v>
      </c>
      <c r="CU361" s="21">
        <v>0</v>
      </c>
      <c r="CV361" s="21">
        <v>0</v>
      </c>
      <c r="CW361" s="21">
        <v>0</v>
      </c>
      <c r="CX361" s="21">
        <v>0</v>
      </c>
      <c r="CY361" s="21">
        <v>0</v>
      </c>
      <c r="CZ361" s="21">
        <v>0</v>
      </c>
      <c r="DA361" s="21">
        <v>0</v>
      </c>
      <c r="DB361" s="21">
        <v>0</v>
      </c>
      <c r="DC361" s="21">
        <v>0</v>
      </c>
      <c r="DD361" s="8">
        <v>0</v>
      </c>
      <c r="DE361" s="8">
        <v>0</v>
      </c>
      <c r="DF361" s="8">
        <v>0</v>
      </c>
      <c r="DG361" s="8">
        <v>9</v>
      </c>
      <c r="DH361" s="8">
        <v>0</v>
      </c>
      <c r="DI361" s="8">
        <v>0</v>
      </c>
      <c r="DJ361" s="8" t="s">
        <v>2976</v>
      </c>
      <c r="DK361" s="21">
        <v>45342</v>
      </c>
      <c r="DL361" s="21">
        <v>45335.229166666664</v>
      </c>
      <c r="DM361" s="21">
        <v>46062</v>
      </c>
      <c r="DN361" s="18">
        <v>330</v>
      </c>
      <c r="DO361" s="21">
        <v>0</v>
      </c>
      <c r="DP361" s="21">
        <v>0</v>
      </c>
      <c r="DQ361" s="21" t="s">
        <v>3049</v>
      </c>
      <c r="DR361" s="21">
        <v>45342</v>
      </c>
      <c r="DS361" s="21">
        <v>45342</v>
      </c>
      <c r="DT361" s="21">
        <v>45342</v>
      </c>
      <c r="DU361" s="21">
        <v>45342</v>
      </c>
      <c r="DV361" s="21">
        <v>45342</v>
      </c>
      <c r="DW361" s="21">
        <v>45342</v>
      </c>
      <c r="DX361" s="21">
        <v>45342</v>
      </c>
      <c r="DY361" s="21">
        <v>45342</v>
      </c>
      <c r="DZ361" s="21">
        <v>45342</v>
      </c>
      <c r="EA361" s="8">
        <v>330</v>
      </c>
      <c r="EB361" s="8">
        <v>420</v>
      </c>
      <c r="EC361" s="8">
        <v>420</v>
      </c>
      <c r="ED361" s="8">
        <v>420</v>
      </c>
      <c r="EE361" s="8">
        <v>420</v>
      </c>
      <c r="EF361" s="8">
        <v>1171</v>
      </c>
      <c r="EG361" s="8">
        <v>1000</v>
      </c>
      <c r="EH361" s="8">
        <v>1171</v>
      </c>
      <c r="EI361" s="8">
        <v>1170</v>
      </c>
      <c r="EJ361" s="8">
        <v>0</v>
      </c>
      <c r="EK361" s="8" t="s">
        <v>2624</v>
      </c>
      <c r="EL361" s="8">
        <v>50</v>
      </c>
      <c r="EM361" s="8">
        <v>0</v>
      </c>
      <c r="EN361" s="8">
        <v>42</v>
      </c>
      <c r="EO361" s="8">
        <v>132</v>
      </c>
      <c r="EP361" s="8">
        <v>132</v>
      </c>
      <c r="EQ361" s="8">
        <v>132</v>
      </c>
      <c r="ER361" s="8">
        <v>132</v>
      </c>
      <c r="ES361" s="8">
        <v>883</v>
      </c>
      <c r="ET361" s="8">
        <v>712</v>
      </c>
      <c r="EU361" s="8">
        <v>883</v>
      </c>
      <c r="EV361" s="8">
        <v>882</v>
      </c>
    </row>
    <row r="362" spans="1:152" x14ac:dyDescent="0.15">
      <c r="A362" s="8">
        <f>ROW([2]!tbl_DPSAC[[#This Row],[Sl. No.]])-1</f>
        <v>361</v>
      </c>
      <c r="B362" s="9" t="s">
        <v>196</v>
      </c>
      <c r="C362" s="9" t="s">
        <v>1978</v>
      </c>
      <c r="D362" s="9" t="s">
        <v>273</v>
      </c>
      <c r="E362" s="9" t="s">
        <v>274</v>
      </c>
      <c r="F362" s="9" t="s">
        <v>161</v>
      </c>
      <c r="G362" s="10" t="s">
        <v>1976</v>
      </c>
      <c r="H362" s="10" t="str">
        <f>_xlfn.XLOOKUP(C362,'[1]E&amp;DPSAC'!$K:$K,'[1]E&amp;DPSAC'!$E:$E,,0)</f>
        <v>RAGHOPUR, PATNA</v>
      </c>
      <c r="I362" s="10"/>
      <c r="J362" s="10">
        <v>9311322151</v>
      </c>
      <c r="K362" s="10" t="str">
        <f>IF(_xlfn.XLOOKUP(C362,'[1]E&amp;DPSAC'!$K:$K,'[1]E&amp;DPSAC'!$G:$G,"",0)=J362,"",_xlfn.XLOOKUP(C362,'[1]E&amp;DPSAC'!$K:$K,'[1]E&amp;DPSAC'!$G:$G,"",0))</f>
        <v/>
      </c>
      <c r="L362" s="9" t="str">
        <f t="shared" ca="1" si="21"/>
        <v>Non - Warranty</v>
      </c>
      <c r="M362" s="11">
        <v>45346</v>
      </c>
      <c r="N362" s="12">
        <v>24</v>
      </c>
      <c r="O362" s="11">
        <f t="shared" ref="O362:O425" si="23">EOMONTH(DATE(YEAR(M362)+SUM(N362/12),MONTH(M362),DAY(M362))-1,0)</f>
        <v>46081</v>
      </c>
      <c r="P362" s="8" t="s">
        <v>213</v>
      </c>
      <c r="Q362" s="16" t="s">
        <v>143</v>
      </c>
      <c r="R362" s="15" t="s">
        <v>143</v>
      </c>
      <c r="S362" s="14" t="s">
        <v>143</v>
      </c>
      <c r="T362" s="15">
        <v>45346</v>
      </c>
      <c r="U362" s="14">
        <v>1</v>
      </c>
      <c r="V362" s="14">
        <v>310</v>
      </c>
      <c r="W362" s="17">
        <v>46062.686215277798</v>
      </c>
      <c r="X362" s="14" t="s">
        <v>143</v>
      </c>
      <c r="Y362" s="14">
        <v>0</v>
      </c>
      <c r="Z362" s="14" t="s">
        <v>2692</v>
      </c>
      <c r="AA362" s="18">
        <v>767</v>
      </c>
      <c r="AB362" s="18" t="s">
        <v>2697</v>
      </c>
      <c r="AC362" s="8">
        <f>tbl_DPSAC[[#This Row],[Current Month Due Count]]</f>
        <v>0</v>
      </c>
      <c r="AD362" s="8">
        <f>tbl_DPSAC[[#This Row],[Next Month Due2]]</f>
        <v>0</v>
      </c>
      <c r="AE362" s="8"/>
      <c r="AF362" s="8">
        <v>0</v>
      </c>
      <c r="AG362" s="14">
        <f t="shared" ca="1" si="22"/>
        <v>310</v>
      </c>
      <c r="AH362" s="8">
        <v>0</v>
      </c>
      <c r="AI362" s="8">
        <v>0</v>
      </c>
      <c r="AJ362" s="8">
        <v>0</v>
      </c>
      <c r="AK362" s="8">
        <v>0</v>
      </c>
      <c r="AL362" s="8">
        <v>0</v>
      </c>
      <c r="AM362" s="8">
        <v>0</v>
      </c>
      <c r="AN362" s="8">
        <v>0</v>
      </c>
      <c r="AO362" s="8">
        <v>0</v>
      </c>
      <c r="AP362" s="8">
        <v>0</v>
      </c>
      <c r="AQ362" s="8">
        <v>0</v>
      </c>
      <c r="AR362" s="8">
        <v>0</v>
      </c>
      <c r="AS362" s="8">
        <v>0</v>
      </c>
      <c r="AT362" s="8">
        <v>0</v>
      </c>
      <c r="AU362" s="8">
        <v>0</v>
      </c>
      <c r="AV362" s="8">
        <v>0</v>
      </c>
      <c r="AW362" s="8">
        <v>0</v>
      </c>
      <c r="AX362" s="8" t="s">
        <v>2007</v>
      </c>
      <c r="AY362" s="14">
        <v>1</v>
      </c>
      <c r="AZ362" s="19">
        <v>45346</v>
      </c>
      <c r="BA362" s="14" t="s">
        <v>1979</v>
      </c>
      <c r="BB362" s="14">
        <v>1</v>
      </c>
      <c r="BC362" s="19">
        <v>45346</v>
      </c>
      <c r="BD362" s="14" t="s">
        <v>1979</v>
      </c>
      <c r="BE362" s="14">
        <v>1</v>
      </c>
      <c r="BF362" s="19">
        <v>45346</v>
      </c>
      <c r="BG362" s="14" t="s">
        <v>1979</v>
      </c>
      <c r="BH362" s="14">
        <v>1</v>
      </c>
      <c r="BI362" s="19">
        <v>45346</v>
      </c>
      <c r="BJ362" s="14" t="s">
        <v>1979</v>
      </c>
      <c r="BK362" s="14">
        <v>1</v>
      </c>
      <c r="BL362" s="19">
        <v>45346</v>
      </c>
      <c r="BM362" s="14" t="s">
        <v>1979</v>
      </c>
      <c r="BN362" s="27">
        <v>45526</v>
      </c>
      <c r="BO362" s="27">
        <v>45526</v>
      </c>
      <c r="BP362" s="27">
        <v>45526</v>
      </c>
      <c r="BQ362" s="27">
        <v>45526</v>
      </c>
      <c r="BR362" s="27">
        <v>45711</v>
      </c>
      <c r="BS362" s="28">
        <v>441</v>
      </c>
      <c r="BT362" s="29">
        <v>1191</v>
      </c>
      <c r="BU362" s="29">
        <v>441</v>
      </c>
      <c r="BV362" s="29">
        <v>441</v>
      </c>
      <c r="BW362" s="29">
        <v>1191</v>
      </c>
      <c r="BX362" s="30"/>
      <c r="BY362" s="8">
        <v>5</v>
      </c>
      <c r="BZ362" s="8">
        <v>0</v>
      </c>
      <c r="CA362" s="8">
        <v>0</v>
      </c>
      <c r="CB362" s="21">
        <v>45345.770833333299</v>
      </c>
      <c r="CC362" s="21">
        <v>45345.770833333299</v>
      </c>
      <c r="CD362" s="21">
        <v>45345.770833333299</v>
      </c>
      <c r="CE362" s="21">
        <v>45345.770833333299</v>
      </c>
      <c r="CF362" s="21">
        <v>45345.770833333299</v>
      </c>
      <c r="CG362" s="21">
        <v>45345.770833333299</v>
      </c>
      <c r="CH362" s="21">
        <v>45345.770833333299</v>
      </c>
      <c r="CI362" s="21">
        <v>45345.770833333299</v>
      </c>
      <c r="CJ362" s="21">
        <v>45345.770833333299</v>
      </c>
      <c r="CK362" s="22" t="s">
        <v>3158</v>
      </c>
      <c r="CL362" s="22" t="s">
        <v>3158</v>
      </c>
      <c r="CM362" s="22" t="s">
        <v>3158</v>
      </c>
      <c r="CN362" s="22" t="s">
        <v>3158</v>
      </c>
      <c r="CO362" s="22" t="s">
        <v>3158</v>
      </c>
      <c r="CP362" s="22" t="s">
        <v>3166</v>
      </c>
      <c r="CQ362" s="22" t="s">
        <v>2953</v>
      </c>
      <c r="CR362" s="22" t="s">
        <v>3166</v>
      </c>
      <c r="CS362" s="22" t="s">
        <v>3166</v>
      </c>
      <c r="CT362" s="22">
        <v>0</v>
      </c>
      <c r="CU362" s="21">
        <v>0</v>
      </c>
      <c r="CV362" s="21">
        <v>0</v>
      </c>
      <c r="CW362" s="21">
        <v>0</v>
      </c>
      <c r="CX362" s="21">
        <v>0</v>
      </c>
      <c r="CY362" s="21">
        <v>0</v>
      </c>
      <c r="CZ362" s="21">
        <v>0</v>
      </c>
      <c r="DA362" s="21">
        <v>0</v>
      </c>
      <c r="DB362" s="21">
        <v>0</v>
      </c>
      <c r="DC362" s="21">
        <v>0</v>
      </c>
      <c r="DD362" s="8">
        <v>0</v>
      </c>
      <c r="DE362" s="8">
        <v>0</v>
      </c>
      <c r="DF362" s="8">
        <v>0</v>
      </c>
      <c r="DG362" s="8">
        <v>9</v>
      </c>
      <c r="DH362" s="8">
        <v>0</v>
      </c>
      <c r="DI362" s="8">
        <v>0</v>
      </c>
      <c r="DJ362" s="8" t="s">
        <v>2976</v>
      </c>
      <c r="DK362" s="21">
        <v>45346</v>
      </c>
      <c r="DL362" s="21">
        <v>45337.229166666664</v>
      </c>
      <c r="DM362" s="21">
        <v>46062</v>
      </c>
      <c r="DN362" s="18">
        <v>310</v>
      </c>
      <c r="DO362" s="21">
        <v>0</v>
      </c>
      <c r="DP362" s="21">
        <v>0</v>
      </c>
      <c r="DQ362" s="21" t="s">
        <v>3049</v>
      </c>
      <c r="DR362" s="21">
        <v>45346</v>
      </c>
      <c r="DS362" s="21">
        <v>45346</v>
      </c>
      <c r="DT362" s="21">
        <v>45346</v>
      </c>
      <c r="DU362" s="21">
        <v>45346</v>
      </c>
      <c r="DV362" s="21">
        <v>45346</v>
      </c>
      <c r="DW362" s="21">
        <v>45346</v>
      </c>
      <c r="DX362" s="21">
        <v>45346</v>
      </c>
      <c r="DY362" s="21">
        <v>45346</v>
      </c>
      <c r="DZ362" s="21">
        <v>45346</v>
      </c>
      <c r="EA362" s="8">
        <v>440</v>
      </c>
      <c r="EB362" s="8">
        <v>440</v>
      </c>
      <c r="EC362" s="8">
        <v>440</v>
      </c>
      <c r="ED362" s="8">
        <v>440</v>
      </c>
      <c r="EE362" s="8">
        <v>440</v>
      </c>
      <c r="EF362" s="8">
        <v>1190</v>
      </c>
      <c r="EG362" s="8">
        <v>1000</v>
      </c>
      <c r="EH362" s="8">
        <v>1190</v>
      </c>
      <c r="EI362" s="8">
        <v>1190</v>
      </c>
      <c r="EJ362" s="8">
        <v>0</v>
      </c>
      <c r="EK362" s="8" t="s">
        <v>2624</v>
      </c>
      <c r="EL362" s="8">
        <v>50</v>
      </c>
      <c r="EM362" s="8">
        <v>0</v>
      </c>
      <c r="EN362" s="8">
        <v>152</v>
      </c>
      <c r="EO362" s="8">
        <v>152</v>
      </c>
      <c r="EP362" s="8">
        <v>152</v>
      </c>
      <c r="EQ362" s="8">
        <v>152</v>
      </c>
      <c r="ER362" s="8">
        <v>152</v>
      </c>
      <c r="ES362" s="8">
        <v>902</v>
      </c>
      <c r="ET362" s="8">
        <v>712</v>
      </c>
      <c r="EU362" s="8">
        <v>902</v>
      </c>
      <c r="EV362" s="8">
        <v>902</v>
      </c>
    </row>
    <row r="363" spans="1:152" x14ac:dyDescent="0.15">
      <c r="A363" s="8">
        <f>ROW([2]!tbl_DPSAC[[#This Row],[Sl. No.]])-1</f>
        <v>362</v>
      </c>
      <c r="B363" s="9" t="s">
        <v>136</v>
      </c>
      <c r="C363" s="9" t="s">
        <v>1980</v>
      </c>
      <c r="D363" s="9" t="s">
        <v>1491</v>
      </c>
      <c r="E363" s="9" t="s">
        <v>1492</v>
      </c>
      <c r="F363" s="9" t="s">
        <v>161</v>
      </c>
      <c r="G363" s="10" t="s">
        <v>1969</v>
      </c>
      <c r="H363" s="10" t="str">
        <f>_xlfn.XLOOKUP(C363,'[1]E&amp;DPSAC'!$K:$K,'[1]E&amp;DPSAC'!$E:$E,,0)</f>
        <v>TANDWA, CHATRA</v>
      </c>
      <c r="I363" s="10"/>
      <c r="J363" s="10">
        <v>7032052579</v>
      </c>
      <c r="K363" s="10" t="str">
        <f>IF(_xlfn.XLOOKUP(C363,'[1]E&amp;DPSAC'!$K:$K,'[1]E&amp;DPSAC'!$G:$G,"",0)=J363,"",_xlfn.XLOOKUP(C363,'[1]E&amp;DPSAC'!$K:$K,'[1]E&amp;DPSAC'!$G:$G,"",0))</f>
        <v/>
      </c>
      <c r="L363" s="9" t="str">
        <f t="shared" ca="1" si="21"/>
        <v>Non - Warranty</v>
      </c>
      <c r="M363" s="11">
        <v>45348</v>
      </c>
      <c r="N363" s="12">
        <v>24</v>
      </c>
      <c r="O363" s="11">
        <f t="shared" si="23"/>
        <v>46081</v>
      </c>
      <c r="P363" s="8" t="s">
        <v>213</v>
      </c>
      <c r="Q363" s="16" t="s">
        <v>2662</v>
      </c>
      <c r="R363" s="15">
        <v>45733.6097337963</v>
      </c>
      <c r="S363" s="14">
        <v>2500</v>
      </c>
      <c r="T363" s="15">
        <v>45796</v>
      </c>
      <c r="U363" s="14">
        <v>2700</v>
      </c>
      <c r="V363" s="14">
        <v>0</v>
      </c>
      <c r="W363" s="17">
        <v>46058.576400462996</v>
      </c>
      <c r="X363" s="14" t="s">
        <v>2855</v>
      </c>
      <c r="Y363" s="14">
        <v>3250</v>
      </c>
      <c r="Z363" s="14" t="s">
        <v>2692</v>
      </c>
      <c r="AA363" s="18">
        <v>379.39026620369987</v>
      </c>
      <c r="AB363" s="18" t="s">
        <v>2697</v>
      </c>
      <c r="AC363" s="8">
        <f>tbl_DPSAC[[#This Row],[Current Month Due Count]]</f>
        <v>0</v>
      </c>
      <c r="AD363" s="8">
        <f>tbl_DPSAC[[#This Row],[Next Month Due2]]</f>
        <v>0</v>
      </c>
      <c r="AE363" s="8"/>
      <c r="AF363" s="8">
        <v>2</v>
      </c>
      <c r="AG363" s="14" t="str">
        <f t="shared" ca="1" si="22"/>
        <v/>
      </c>
      <c r="AH363" s="8" t="s">
        <v>1981</v>
      </c>
      <c r="AI363" s="8" t="s">
        <v>1982</v>
      </c>
      <c r="AJ363" s="8">
        <v>0</v>
      </c>
      <c r="AK363" s="8">
        <v>0</v>
      </c>
      <c r="AL363" s="8">
        <v>0</v>
      </c>
      <c r="AM363" s="8">
        <v>0</v>
      </c>
      <c r="AN363" s="8">
        <v>0</v>
      </c>
      <c r="AO363" s="8">
        <v>0</v>
      </c>
      <c r="AP363" s="8">
        <v>0</v>
      </c>
      <c r="AQ363" s="8">
        <v>0</v>
      </c>
      <c r="AR363" s="8">
        <v>0</v>
      </c>
      <c r="AS363" s="8">
        <v>0</v>
      </c>
      <c r="AT363" s="8">
        <v>0</v>
      </c>
      <c r="AU363" s="8">
        <v>0</v>
      </c>
      <c r="AV363" s="8">
        <v>0</v>
      </c>
      <c r="AW363" s="8">
        <v>0</v>
      </c>
      <c r="AX363" s="8" t="s">
        <v>2007</v>
      </c>
      <c r="AY363" s="14">
        <v>1640</v>
      </c>
      <c r="AZ363" s="19">
        <v>45589</v>
      </c>
      <c r="BA363" s="14" t="s">
        <v>1983</v>
      </c>
      <c r="BB363" s="14">
        <v>1640</v>
      </c>
      <c r="BC363" s="19">
        <v>45589</v>
      </c>
      <c r="BD363" s="14" t="s">
        <v>1983</v>
      </c>
      <c r="BE363" s="14">
        <v>445</v>
      </c>
      <c r="BF363" s="19">
        <v>45407</v>
      </c>
      <c r="BG363" s="14" t="s">
        <v>1984</v>
      </c>
      <c r="BH363" s="14">
        <v>445</v>
      </c>
      <c r="BI363" s="19">
        <v>45407</v>
      </c>
      <c r="BJ363" s="14" t="s">
        <v>1984</v>
      </c>
      <c r="BK363" s="14">
        <v>1</v>
      </c>
      <c r="BL363" s="19">
        <v>45348</v>
      </c>
      <c r="BM363" s="14" t="s">
        <v>1985</v>
      </c>
      <c r="BN363" s="27">
        <v>45769</v>
      </c>
      <c r="BO363" s="27">
        <v>45769</v>
      </c>
      <c r="BP363" s="27">
        <v>45587</v>
      </c>
      <c r="BQ363" s="27">
        <v>45587</v>
      </c>
      <c r="BR363" s="27">
        <v>45713</v>
      </c>
      <c r="BS363" s="28" t="s">
        <v>143</v>
      </c>
      <c r="BT363" s="29" t="s">
        <v>143</v>
      </c>
      <c r="BU363" s="29" t="s">
        <v>143</v>
      </c>
      <c r="BV363" s="29" t="s">
        <v>143</v>
      </c>
      <c r="BW363" s="29" t="s">
        <v>143</v>
      </c>
      <c r="BX363" s="30"/>
      <c r="BY363" s="8">
        <v>5</v>
      </c>
      <c r="BZ363" s="8">
        <v>0</v>
      </c>
      <c r="CA363" s="8">
        <v>0</v>
      </c>
      <c r="CB363" s="21">
        <v>45588.770833333299</v>
      </c>
      <c r="CC363" s="21">
        <v>45588.770833333299</v>
      </c>
      <c r="CD363" s="21">
        <v>45588.770833333299</v>
      </c>
      <c r="CE363" s="21">
        <v>45588.770833333299</v>
      </c>
      <c r="CF363" s="21">
        <v>45588.770833333299</v>
      </c>
      <c r="CG363" s="21">
        <v>45588.770833333299</v>
      </c>
      <c r="CH363" s="21">
        <v>45588.770833333299</v>
      </c>
      <c r="CI363" s="21">
        <v>45588.770833333299</v>
      </c>
      <c r="CJ363" s="21">
        <v>45588.770833333299</v>
      </c>
      <c r="CK363" s="22" t="s">
        <v>2995</v>
      </c>
      <c r="CL363" s="22" t="s">
        <v>2995</v>
      </c>
      <c r="CM363" s="22" t="s">
        <v>2995</v>
      </c>
      <c r="CN363" s="22" t="s">
        <v>2995</v>
      </c>
      <c r="CO363" s="22" t="s">
        <v>2995</v>
      </c>
      <c r="CP363" s="22" t="s">
        <v>3037</v>
      </c>
      <c r="CQ363" s="22" t="s">
        <v>2953</v>
      </c>
      <c r="CR363" s="22" t="s">
        <v>3037</v>
      </c>
      <c r="CS363" s="22" t="s">
        <v>3037</v>
      </c>
      <c r="CT363" s="22">
        <v>1</v>
      </c>
      <c r="CU363" s="21">
        <v>45768</v>
      </c>
      <c r="CV363" s="21">
        <v>45768</v>
      </c>
      <c r="CW363" s="21">
        <v>45768</v>
      </c>
      <c r="CX363" s="21">
        <v>45768</v>
      </c>
      <c r="CY363" s="21">
        <v>45768</v>
      </c>
      <c r="CZ363" s="21">
        <v>45858</v>
      </c>
      <c r="DA363" s="21">
        <v>45953</v>
      </c>
      <c r="DB363" s="21">
        <v>45768</v>
      </c>
      <c r="DC363" s="21">
        <v>45953</v>
      </c>
      <c r="DD363" s="8">
        <v>1</v>
      </c>
      <c r="DE363" s="8">
        <v>0</v>
      </c>
      <c r="DF363" s="8">
        <v>0</v>
      </c>
      <c r="DG363" s="8">
        <v>9</v>
      </c>
      <c r="DH363" s="8">
        <v>0</v>
      </c>
      <c r="DI363" s="8">
        <v>0</v>
      </c>
      <c r="DJ363" s="8" t="s">
        <v>2976</v>
      </c>
      <c r="DK363" s="21">
        <v>45348</v>
      </c>
      <c r="DL363" s="21">
        <v>45310.229166666664</v>
      </c>
      <c r="DM363" s="21">
        <v>46027</v>
      </c>
      <c r="DN363" s="18">
        <v>3030</v>
      </c>
      <c r="DO363" s="21">
        <v>0</v>
      </c>
      <c r="DP363" s="21">
        <v>0</v>
      </c>
      <c r="DQ363" s="21" t="s">
        <v>2955</v>
      </c>
      <c r="DR363" s="21">
        <v>45589</v>
      </c>
      <c r="DS363" s="21">
        <v>45589</v>
      </c>
      <c r="DT363" s="21">
        <v>45589</v>
      </c>
      <c r="DU363" s="21">
        <v>45589</v>
      </c>
      <c r="DV363" s="21">
        <v>45589</v>
      </c>
      <c r="DW363" s="21">
        <v>45589</v>
      </c>
      <c r="DX363" s="21">
        <v>45589</v>
      </c>
      <c r="DY363" s="21">
        <v>45589</v>
      </c>
      <c r="DZ363" s="21">
        <v>45589</v>
      </c>
      <c r="EA363" s="8">
        <v>30</v>
      </c>
      <c r="EB363" s="8">
        <v>30</v>
      </c>
      <c r="EC363" s="8">
        <v>30</v>
      </c>
      <c r="ED363" s="8">
        <v>30</v>
      </c>
      <c r="EE363" s="8">
        <v>30</v>
      </c>
      <c r="EF363" s="8">
        <v>530</v>
      </c>
      <c r="EG363" s="8">
        <v>1000</v>
      </c>
      <c r="EH363" s="8">
        <v>530</v>
      </c>
      <c r="EI363" s="8">
        <v>530</v>
      </c>
      <c r="EJ363" s="8">
        <v>1</v>
      </c>
      <c r="EK363" s="8" t="s">
        <v>2624</v>
      </c>
      <c r="EL363" s="8">
        <v>54</v>
      </c>
      <c r="EM363" s="8">
        <v>108</v>
      </c>
      <c r="EN363" s="8">
        <v>-258</v>
      </c>
      <c r="EO363" s="8">
        <v>-258</v>
      </c>
      <c r="EP363" s="8">
        <v>-258</v>
      </c>
      <c r="EQ363" s="8">
        <v>-258</v>
      </c>
      <c r="ER363" s="8">
        <v>-258</v>
      </c>
      <c r="ES363" s="8">
        <v>242</v>
      </c>
      <c r="ET363" s="8">
        <v>712</v>
      </c>
      <c r="EU363" s="8">
        <v>242</v>
      </c>
      <c r="EV363" s="8">
        <v>242</v>
      </c>
    </row>
    <row r="364" spans="1:152" x14ac:dyDescent="0.15">
      <c r="A364" s="8">
        <f>ROW([2]!tbl_DPSAC[[#This Row],[Sl. No.]])-1</f>
        <v>363</v>
      </c>
      <c r="B364" s="9" t="s">
        <v>136</v>
      </c>
      <c r="C364" s="9" t="s">
        <v>1986</v>
      </c>
      <c r="D364" s="9" t="s">
        <v>638</v>
      </c>
      <c r="E364" s="8" t="s">
        <v>639</v>
      </c>
      <c r="F364" s="9" t="s">
        <v>161</v>
      </c>
      <c r="G364" s="10" t="s">
        <v>1987</v>
      </c>
      <c r="H364" s="10" t="str">
        <f>_xlfn.XLOOKUP(C364,'[1]E&amp;DPSAC'!$K:$K,'[1]E&amp;DPSAC'!$E:$E,,0)</f>
        <v>ENA COLLEARY</v>
      </c>
      <c r="I364" s="10"/>
      <c r="J364" s="10">
        <v>9570178502</v>
      </c>
      <c r="K364" s="10">
        <f>IF(_xlfn.XLOOKUP(C364,'[1]E&amp;DPSAC'!$K:$K,'[1]E&amp;DPSAC'!$G:$G,"",0)=J364,"",_xlfn.XLOOKUP(C364,'[1]E&amp;DPSAC'!$K:$K,'[1]E&amp;DPSAC'!$G:$G,"",0))</f>
        <v>7294155515</v>
      </c>
      <c r="L364" s="9" t="str">
        <f t="shared" ca="1" si="21"/>
        <v>Non - Warranty</v>
      </c>
      <c r="M364" s="11">
        <v>45341</v>
      </c>
      <c r="N364" s="12">
        <v>24</v>
      </c>
      <c r="O364" s="11">
        <f t="shared" si="23"/>
        <v>46081</v>
      </c>
      <c r="P364" s="8" t="s">
        <v>213</v>
      </c>
      <c r="Q364" s="16" t="s">
        <v>1989</v>
      </c>
      <c r="R364" s="15">
        <v>45656.612777777802</v>
      </c>
      <c r="S364" s="14">
        <v>1829</v>
      </c>
      <c r="T364" s="15">
        <v>45889</v>
      </c>
      <c r="U364" s="14">
        <v>3068</v>
      </c>
      <c r="V364" s="14">
        <v>3263</v>
      </c>
      <c r="W364" s="17">
        <v>46027.642893518503</v>
      </c>
      <c r="X364" s="14" t="s">
        <v>2856</v>
      </c>
      <c r="Y364" s="14">
        <v>-684</v>
      </c>
      <c r="Z364" s="14" t="s">
        <v>2697</v>
      </c>
      <c r="AA364" s="18">
        <v>456.38722222219803</v>
      </c>
      <c r="AB364" s="18" t="s">
        <v>2697</v>
      </c>
      <c r="AC364" s="8">
        <f>tbl_DPSAC[[#This Row],[Current Month Due Count]]</f>
        <v>0</v>
      </c>
      <c r="AD364" s="8">
        <f>tbl_DPSAC[[#This Row],[Next Month Due2]]</f>
        <v>0</v>
      </c>
      <c r="AE364" s="8"/>
      <c r="AF364" s="8">
        <v>8</v>
      </c>
      <c r="AG364" s="14">
        <f t="shared" ca="1" si="22"/>
        <v>3946</v>
      </c>
      <c r="AH364" s="8" t="s">
        <v>1988</v>
      </c>
      <c r="AI364" s="8" t="s">
        <v>1619</v>
      </c>
      <c r="AJ364" s="8">
        <v>0</v>
      </c>
      <c r="AK364" s="8">
        <v>0</v>
      </c>
      <c r="AL364" s="8">
        <v>0</v>
      </c>
      <c r="AM364" s="8">
        <v>0</v>
      </c>
      <c r="AN364" s="8">
        <v>0</v>
      </c>
      <c r="AO364" s="8">
        <v>0</v>
      </c>
      <c r="AP364" s="8">
        <v>0</v>
      </c>
      <c r="AQ364" s="8">
        <v>0</v>
      </c>
      <c r="AR364" s="8">
        <v>0</v>
      </c>
      <c r="AS364" s="8">
        <v>0</v>
      </c>
      <c r="AT364" s="8">
        <v>0</v>
      </c>
      <c r="AU364" s="8">
        <v>0</v>
      </c>
      <c r="AV364" s="8">
        <v>0</v>
      </c>
      <c r="AW364" s="8">
        <v>0</v>
      </c>
      <c r="AX364" s="8" t="s">
        <v>2961</v>
      </c>
      <c r="AY364" s="14">
        <v>1829</v>
      </c>
      <c r="AZ364" s="19">
        <v>45656</v>
      </c>
      <c r="BA364" s="14" t="s">
        <v>1989</v>
      </c>
      <c r="BB364" s="14">
        <v>1</v>
      </c>
      <c r="BC364" s="19">
        <v>45341</v>
      </c>
      <c r="BD364" s="14" t="s">
        <v>1990</v>
      </c>
      <c r="BE364" s="14">
        <v>1829</v>
      </c>
      <c r="BF364" s="19">
        <v>45656</v>
      </c>
      <c r="BG364" s="14" t="s">
        <v>1989</v>
      </c>
      <c r="BH364" s="14">
        <v>1829</v>
      </c>
      <c r="BI364" s="19">
        <v>45656</v>
      </c>
      <c r="BJ364" s="14" t="s">
        <v>1989</v>
      </c>
      <c r="BK364" s="14">
        <v>1</v>
      </c>
      <c r="BL364" s="19">
        <v>45341</v>
      </c>
      <c r="BM364" s="14" t="s">
        <v>1990</v>
      </c>
      <c r="BN364" s="27">
        <v>45836</v>
      </c>
      <c r="BO364" s="27">
        <v>45521</v>
      </c>
      <c r="BP364" s="27">
        <v>45836</v>
      </c>
      <c r="BQ364" s="27">
        <v>45836</v>
      </c>
      <c r="BR364" s="27">
        <v>45706</v>
      </c>
      <c r="BS364" s="28">
        <v>-1367</v>
      </c>
      <c r="BT364" s="29">
        <v>-2445</v>
      </c>
      <c r="BU364" s="29">
        <v>-1367</v>
      </c>
      <c r="BV364" s="29">
        <v>-1367</v>
      </c>
      <c r="BW364" s="29">
        <v>-2445</v>
      </c>
      <c r="BX364" s="30"/>
      <c r="BY364" s="8">
        <v>5</v>
      </c>
      <c r="BZ364" s="8">
        <v>0</v>
      </c>
      <c r="CA364" s="8">
        <v>0</v>
      </c>
      <c r="CB364" s="21">
        <v>45655.770833333299</v>
      </c>
      <c r="CC364" s="21">
        <v>45655.770833333299</v>
      </c>
      <c r="CD364" s="21">
        <v>45655.770833333299</v>
      </c>
      <c r="CE364" s="21">
        <v>45655.770833333299</v>
      </c>
      <c r="CF364" s="21">
        <v>45655.770833333299</v>
      </c>
      <c r="CG364" s="21">
        <v>45340.770833333299</v>
      </c>
      <c r="CH364" s="21">
        <v>45655.770833333299</v>
      </c>
      <c r="CI364" s="21">
        <v>45340.770833333299</v>
      </c>
      <c r="CJ364" s="21">
        <v>45340.770833333299</v>
      </c>
      <c r="CK364" s="22" t="s">
        <v>3169</v>
      </c>
      <c r="CL364" s="22" t="s">
        <v>3170</v>
      </c>
      <c r="CM364" s="22" t="s">
        <v>3170</v>
      </c>
      <c r="CN364" s="22" t="s">
        <v>3170</v>
      </c>
      <c r="CO364" s="22" t="s">
        <v>3170</v>
      </c>
      <c r="CP364" s="22" t="s">
        <v>3171</v>
      </c>
      <c r="CQ364" s="22" t="s">
        <v>2953</v>
      </c>
      <c r="CR364" s="22" t="s">
        <v>3171</v>
      </c>
      <c r="CS364" s="22" t="s">
        <v>3171</v>
      </c>
      <c r="CT364" s="22">
        <v>2</v>
      </c>
      <c r="CU364" s="21">
        <v>45835</v>
      </c>
      <c r="CV364" s="21">
        <v>45835</v>
      </c>
      <c r="CW364" s="21">
        <v>45835</v>
      </c>
      <c r="CX364" s="21">
        <v>45835</v>
      </c>
      <c r="CY364" s="21">
        <v>45835</v>
      </c>
      <c r="CZ364" s="21">
        <v>45610</v>
      </c>
      <c r="DA364" s="21">
        <v>46020</v>
      </c>
      <c r="DB364" s="21">
        <v>45520</v>
      </c>
      <c r="DC364" s="21">
        <v>45705</v>
      </c>
      <c r="DD364" s="8">
        <v>1</v>
      </c>
      <c r="DE364" s="8">
        <v>0</v>
      </c>
      <c r="DF364" s="8">
        <v>0</v>
      </c>
      <c r="DG364" s="8">
        <v>9</v>
      </c>
      <c r="DH364" s="8">
        <v>0</v>
      </c>
      <c r="DI364" s="8">
        <v>0</v>
      </c>
      <c r="DJ364" s="8" t="s">
        <v>2976</v>
      </c>
      <c r="DK364" s="21">
        <v>45339</v>
      </c>
      <c r="DL364" s="21">
        <v>45310.229166666664</v>
      </c>
      <c r="DM364" s="21">
        <v>46027</v>
      </c>
      <c r="DN364" s="18">
        <v>3263</v>
      </c>
      <c r="DO364" s="21">
        <v>0</v>
      </c>
      <c r="DP364" s="21">
        <v>0</v>
      </c>
      <c r="DQ364" s="21" t="s">
        <v>2955</v>
      </c>
      <c r="DR364" s="21">
        <v>45656</v>
      </c>
      <c r="DS364" s="21">
        <v>45656</v>
      </c>
      <c r="DT364" s="21">
        <v>45656</v>
      </c>
      <c r="DU364" s="21">
        <v>45656</v>
      </c>
      <c r="DV364" s="21">
        <v>45656</v>
      </c>
      <c r="DW364" s="21">
        <v>45341</v>
      </c>
      <c r="DX364" s="21">
        <v>45656</v>
      </c>
      <c r="DY364" s="21">
        <v>45341</v>
      </c>
      <c r="DZ364" s="21">
        <v>45341</v>
      </c>
      <c r="EA364" s="8">
        <v>5</v>
      </c>
      <c r="EB364" s="8">
        <v>84</v>
      </c>
      <c r="EC364" s="8">
        <v>84</v>
      </c>
      <c r="ED364" s="8">
        <v>84</v>
      </c>
      <c r="EE364" s="8">
        <v>84</v>
      </c>
      <c r="EF364" s="8">
        <v>584</v>
      </c>
      <c r="EG364" s="8">
        <v>1000</v>
      </c>
      <c r="EH364" s="8">
        <v>584</v>
      </c>
      <c r="EI364" s="8">
        <v>584</v>
      </c>
      <c r="EJ364" s="8">
        <v>2</v>
      </c>
      <c r="EK364" s="8" t="s">
        <v>2624</v>
      </c>
      <c r="EL364" s="8">
        <v>85</v>
      </c>
      <c r="EM364" s="8">
        <v>680</v>
      </c>
      <c r="EN364" s="8">
        <v>-283</v>
      </c>
      <c r="EO364" s="8">
        <v>-204</v>
      </c>
      <c r="EP364" s="8">
        <v>-204</v>
      </c>
      <c r="EQ364" s="8">
        <v>-204</v>
      </c>
      <c r="ER364" s="8">
        <v>-204</v>
      </c>
      <c r="ES364" s="8">
        <v>296</v>
      </c>
      <c r="ET364" s="8">
        <v>712</v>
      </c>
      <c r="EU364" s="8">
        <v>296</v>
      </c>
      <c r="EV364" s="8">
        <v>296</v>
      </c>
    </row>
    <row r="365" spans="1:152" x14ac:dyDescent="0.15">
      <c r="A365" s="8">
        <f>ROW([2]!tbl_DPSAC[[#This Row],[Sl. No.]])-1</f>
        <v>364</v>
      </c>
      <c r="B365" s="9" t="s">
        <v>136</v>
      </c>
      <c r="C365" s="9" t="s">
        <v>1991</v>
      </c>
      <c r="D365" s="9" t="s">
        <v>1491</v>
      </c>
      <c r="E365" s="9" t="s">
        <v>1492</v>
      </c>
      <c r="F365" s="9" t="s">
        <v>161</v>
      </c>
      <c r="G365" s="10" t="s">
        <v>1992</v>
      </c>
      <c r="H365" s="10" t="str">
        <f>_xlfn.XLOOKUP(C365,'[1]E&amp;DPSAC'!$K:$K,'[1]E&amp;DPSAC'!$E:$E,,0)</f>
        <v>KUJAMA, LODNA</v>
      </c>
      <c r="I365" s="10"/>
      <c r="J365" s="10">
        <v>8919645238</v>
      </c>
      <c r="K365" s="10">
        <f>_xlfn.XLOOKUP(C365,'[1]E&amp;DPSAC'!$K:$K,'[1]E&amp;DPSAC'!$G:$G,"",0)</f>
        <v>891945238</v>
      </c>
      <c r="L365" s="9" t="str">
        <f t="shared" ca="1" si="21"/>
        <v>Non - Warranty</v>
      </c>
      <c r="M365" s="11">
        <v>45141</v>
      </c>
      <c r="N365" s="12">
        <v>24</v>
      </c>
      <c r="O365" s="11">
        <f t="shared" si="23"/>
        <v>45900</v>
      </c>
      <c r="P365" s="8" t="s">
        <v>689</v>
      </c>
      <c r="Q365" s="16" t="s">
        <v>143</v>
      </c>
      <c r="R365" s="15" t="s">
        <v>143</v>
      </c>
      <c r="S365" s="14" t="s">
        <v>143</v>
      </c>
      <c r="T365" s="15">
        <v>45352</v>
      </c>
      <c r="U365" s="14">
        <v>780</v>
      </c>
      <c r="V365" s="14">
        <v>1310</v>
      </c>
      <c r="W365" s="17">
        <v>45686.792974536998</v>
      </c>
      <c r="X365" s="14" t="s">
        <v>143</v>
      </c>
      <c r="Y365" s="14">
        <v>0</v>
      </c>
      <c r="Z365" s="14" t="s">
        <v>2692</v>
      </c>
      <c r="AA365" s="18">
        <v>972</v>
      </c>
      <c r="AB365" s="18" t="s">
        <v>2697</v>
      </c>
      <c r="AC365" s="8">
        <f>tbl_DPSAC[[#This Row],[Current Month Due Count]]</f>
        <v>0</v>
      </c>
      <c r="AD365" s="8">
        <f>tbl_DPSAC[[#This Row],[Next Month Due2]]</f>
        <v>0</v>
      </c>
      <c r="AE365" s="8"/>
      <c r="AF365" s="8">
        <v>0</v>
      </c>
      <c r="AG365" s="14">
        <f t="shared" ca="1" si="22"/>
        <v>1310</v>
      </c>
      <c r="AH365" s="8" t="s">
        <v>1993</v>
      </c>
      <c r="AI365" s="8" t="s">
        <v>1994</v>
      </c>
      <c r="AJ365" s="8">
        <v>0</v>
      </c>
      <c r="AK365" s="8">
        <v>0</v>
      </c>
      <c r="AL365" s="8">
        <v>0</v>
      </c>
      <c r="AM365" s="8">
        <v>0</v>
      </c>
      <c r="AN365" s="8">
        <v>0</v>
      </c>
      <c r="AO365" s="8">
        <v>0</v>
      </c>
      <c r="AP365" s="8">
        <v>0</v>
      </c>
      <c r="AQ365" s="8">
        <v>0</v>
      </c>
      <c r="AR365" s="8">
        <v>0</v>
      </c>
      <c r="AS365" s="8">
        <v>0</v>
      </c>
      <c r="AT365" s="8">
        <v>0</v>
      </c>
      <c r="AU365" s="8">
        <v>0</v>
      </c>
      <c r="AV365" s="8">
        <v>0</v>
      </c>
      <c r="AW365" s="8">
        <v>0</v>
      </c>
      <c r="AX365" s="8" t="s">
        <v>2980</v>
      </c>
      <c r="AY365" s="14">
        <v>400</v>
      </c>
      <c r="AZ365" s="19">
        <v>45239</v>
      </c>
      <c r="BA365" s="14" t="s">
        <v>1995</v>
      </c>
      <c r="BB365" s="14">
        <v>1</v>
      </c>
      <c r="BC365" s="19">
        <v>45141</v>
      </c>
      <c r="BD365" s="14" t="s">
        <v>1996</v>
      </c>
      <c r="BE365" s="14">
        <v>400</v>
      </c>
      <c r="BF365" s="19">
        <v>45239</v>
      </c>
      <c r="BG365" s="14" t="s">
        <v>1995</v>
      </c>
      <c r="BH365" s="14">
        <v>1</v>
      </c>
      <c r="BI365" s="19">
        <v>45141</v>
      </c>
      <c r="BJ365" s="14" t="s">
        <v>1996</v>
      </c>
      <c r="BK365" s="14">
        <v>1</v>
      </c>
      <c r="BL365" s="19">
        <v>45141</v>
      </c>
      <c r="BM365" s="14" t="s">
        <v>1996</v>
      </c>
      <c r="BN365" s="27">
        <v>45419</v>
      </c>
      <c r="BO365" s="27">
        <v>45321</v>
      </c>
      <c r="BP365" s="27">
        <v>45419</v>
      </c>
      <c r="BQ365" s="27">
        <v>45321</v>
      </c>
      <c r="BR365" s="27">
        <v>45506</v>
      </c>
      <c r="BS365" s="28">
        <v>-160</v>
      </c>
      <c r="BT365" s="29">
        <v>191</v>
      </c>
      <c r="BU365" s="29">
        <v>-160</v>
      </c>
      <c r="BV365" s="29">
        <v>-559</v>
      </c>
      <c r="BW365" s="29">
        <v>191</v>
      </c>
      <c r="BX365" s="30" t="s">
        <v>693</v>
      </c>
      <c r="BY365" s="8">
        <v>5</v>
      </c>
      <c r="BZ365" s="8">
        <v>0</v>
      </c>
      <c r="CA365" s="8">
        <v>0</v>
      </c>
      <c r="CB365" s="21" t="s">
        <v>143</v>
      </c>
      <c r="CC365" s="21" t="s">
        <v>143</v>
      </c>
      <c r="CD365" s="21" t="s">
        <v>143</v>
      </c>
      <c r="CE365" s="21" t="s">
        <v>143</v>
      </c>
      <c r="CF365" s="21" t="s">
        <v>143</v>
      </c>
      <c r="CG365" s="21" t="s">
        <v>143</v>
      </c>
      <c r="CH365" s="21" t="s">
        <v>143</v>
      </c>
      <c r="CI365" s="21" t="s">
        <v>143</v>
      </c>
      <c r="CJ365" s="21" t="s">
        <v>143</v>
      </c>
      <c r="CK365" s="22" t="s">
        <v>143</v>
      </c>
      <c r="CL365" s="22" t="s">
        <v>143</v>
      </c>
      <c r="CM365" s="22" t="s">
        <v>143</v>
      </c>
      <c r="CN365" s="22" t="s">
        <v>143</v>
      </c>
      <c r="CO365" s="22" t="s">
        <v>143</v>
      </c>
      <c r="CP365" s="22" t="s">
        <v>143</v>
      </c>
      <c r="CQ365" s="22" t="s">
        <v>143</v>
      </c>
      <c r="CR365" s="22" t="s">
        <v>143</v>
      </c>
      <c r="CS365" s="22" t="s">
        <v>143</v>
      </c>
      <c r="CT365" s="22" t="s">
        <v>143</v>
      </c>
      <c r="CU365" s="21" t="s">
        <v>143</v>
      </c>
      <c r="CV365" s="21" t="s">
        <v>143</v>
      </c>
      <c r="CW365" s="21" t="s">
        <v>143</v>
      </c>
      <c r="CX365" s="21" t="s">
        <v>143</v>
      </c>
      <c r="CY365" s="21" t="s">
        <v>143</v>
      </c>
      <c r="CZ365" s="21" t="s">
        <v>143</v>
      </c>
      <c r="DA365" s="21" t="s">
        <v>143</v>
      </c>
      <c r="DB365" s="21" t="s">
        <v>143</v>
      </c>
      <c r="DC365" s="21" t="s">
        <v>143</v>
      </c>
      <c r="DD365" s="8" t="s">
        <v>143</v>
      </c>
      <c r="DE365" s="8" t="s">
        <v>143</v>
      </c>
      <c r="DF365" s="8" t="s">
        <v>143</v>
      </c>
      <c r="DG365" s="8">
        <v>0</v>
      </c>
      <c r="DH365" s="8">
        <v>0</v>
      </c>
      <c r="DI365" s="8">
        <v>0</v>
      </c>
      <c r="DJ365" s="8" t="s">
        <v>143</v>
      </c>
      <c r="DK365" s="21" t="s">
        <v>143</v>
      </c>
      <c r="DL365" s="21" t="s">
        <v>143</v>
      </c>
      <c r="DM365" s="21" t="s">
        <v>143</v>
      </c>
      <c r="DN365" s="18" t="s">
        <v>143</v>
      </c>
      <c r="DO365" s="21" t="s">
        <v>143</v>
      </c>
      <c r="DP365" s="21" t="s">
        <v>143</v>
      </c>
      <c r="DQ365" s="21" t="s">
        <v>143</v>
      </c>
      <c r="DR365" s="21" t="s">
        <v>143</v>
      </c>
      <c r="DS365" s="21" t="s">
        <v>143</v>
      </c>
      <c r="DT365" s="21" t="s">
        <v>143</v>
      </c>
      <c r="DU365" s="21" t="s">
        <v>143</v>
      </c>
      <c r="DV365" s="21" t="s">
        <v>143</v>
      </c>
      <c r="DW365" s="21" t="s">
        <v>143</v>
      </c>
      <c r="DX365" s="21" t="s">
        <v>143</v>
      </c>
      <c r="DY365" s="21" t="s">
        <v>143</v>
      </c>
      <c r="DZ365" s="21" t="s">
        <v>143</v>
      </c>
      <c r="EA365" s="8" t="s">
        <v>143</v>
      </c>
      <c r="EB365" s="8" t="s">
        <v>143</v>
      </c>
      <c r="EC365" s="8" t="s">
        <v>143</v>
      </c>
      <c r="ED365" s="8" t="s">
        <v>143</v>
      </c>
      <c r="EE365" s="8" t="s">
        <v>143</v>
      </c>
      <c r="EF365" s="8" t="s">
        <v>143</v>
      </c>
      <c r="EG365" s="8" t="s">
        <v>143</v>
      </c>
      <c r="EH365" s="8" t="s">
        <v>143</v>
      </c>
      <c r="EI365" s="8" t="s">
        <v>143</v>
      </c>
      <c r="EJ365" s="8" t="s">
        <v>143</v>
      </c>
      <c r="EK365" s="8" t="s">
        <v>689</v>
      </c>
      <c r="EL365" s="8">
        <v>426</v>
      </c>
      <c r="EM365" s="8">
        <v>0</v>
      </c>
      <c r="EN365" s="8" t="s">
        <v>143</v>
      </c>
      <c r="EO365" s="8" t="s">
        <v>143</v>
      </c>
      <c r="EP365" s="8" t="s">
        <v>143</v>
      </c>
      <c r="EQ365" s="8" t="s">
        <v>143</v>
      </c>
      <c r="ER365" s="8" t="s">
        <v>143</v>
      </c>
      <c r="ES365" s="8" t="s">
        <v>143</v>
      </c>
      <c r="ET365" s="8" t="s">
        <v>143</v>
      </c>
      <c r="EU365" s="8" t="s">
        <v>143</v>
      </c>
      <c r="EV365" s="8" t="s">
        <v>143</v>
      </c>
    </row>
    <row r="366" spans="1:152" x14ac:dyDescent="0.15">
      <c r="A366" s="8">
        <f>ROW([2]!tbl_DPSAC[[#This Row],[Sl. No.]])-1</f>
        <v>365</v>
      </c>
      <c r="B366" s="9" t="s">
        <v>136</v>
      </c>
      <c r="C366" s="9" t="s">
        <v>1997</v>
      </c>
      <c r="D366" s="9" t="s">
        <v>638</v>
      </c>
      <c r="E366" s="8" t="s">
        <v>639</v>
      </c>
      <c r="F366" s="9" t="s">
        <v>140</v>
      </c>
      <c r="G366" s="10" t="s">
        <v>1998</v>
      </c>
      <c r="H366" s="10" t="str">
        <f>_xlfn.XLOOKUP(C366,'[1]E&amp;DPSAC'!$K:$K,'[1]E&amp;DPSAC'!$E:$E,,0)</f>
        <v>RANCHI</v>
      </c>
      <c r="I366" s="10"/>
      <c r="J366" s="10">
        <v>8709503035</v>
      </c>
      <c r="K366" s="10" t="str">
        <f>IF(_xlfn.XLOOKUP(C366,'[1]E&amp;DPSAC'!$K:$K,'[1]E&amp;DPSAC'!$G:$G,"",0)=J366,"",_xlfn.XLOOKUP(C366,'[1]E&amp;DPSAC'!$K:$K,'[1]E&amp;DPSAC'!$G:$G,"",0))</f>
        <v/>
      </c>
      <c r="L366" s="9" t="str">
        <f t="shared" ca="1" si="21"/>
        <v>Warranty</v>
      </c>
      <c r="M366" s="11">
        <v>45353</v>
      </c>
      <c r="N366" s="12">
        <v>36</v>
      </c>
      <c r="O366" s="11">
        <f t="shared" si="23"/>
        <v>46477</v>
      </c>
      <c r="P366" s="8" t="s">
        <v>213</v>
      </c>
      <c r="Q366" s="16" t="s">
        <v>2002</v>
      </c>
      <c r="R366" s="15">
        <v>46072.531782407401</v>
      </c>
      <c r="S366" s="14">
        <v>3300</v>
      </c>
      <c r="T366" s="15">
        <v>46072</v>
      </c>
      <c r="U366" s="14">
        <v>2540</v>
      </c>
      <c r="V366" s="14">
        <v>3325</v>
      </c>
      <c r="W366" s="17">
        <v>46098.519490740699</v>
      </c>
      <c r="X366" s="14" t="s">
        <v>2796</v>
      </c>
      <c r="Y366" s="14">
        <v>725</v>
      </c>
      <c r="Z366" s="14" t="s">
        <v>2692</v>
      </c>
      <c r="AA366" s="18">
        <v>40.468217592599103</v>
      </c>
      <c r="AB366" s="18" t="s">
        <v>2692</v>
      </c>
      <c r="AC366" s="8">
        <f>tbl_DPSAC[[#This Row],[Current Month Due Count]]</f>
        <v>0</v>
      </c>
      <c r="AD366" s="8">
        <f>tbl_DPSAC[[#This Row],[Next Month Due2]]</f>
        <v>0</v>
      </c>
      <c r="AE366" s="8"/>
      <c r="AF366" s="8">
        <v>1</v>
      </c>
      <c r="AG366" s="14">
        <f t="shared" ca="1" si="22"/>
        <v>3339</v>
      </c>
      <c r="AH366" s="8" t="s">
        <v>1999</v>
      </c>
      <c r="AI366" s="8" t="s">
        <v>1527</v>
      </c>
      <c r="AJ366" s="8">
        <v>0</v>
      </c>
      <c r="AK366" s="8" t="s">
        <v>2000</v>
      </c>
      <c r="AL366" s="8" t="s">
        <v>2001</v>
      </c>
      <c r="AM366" s="8">
        <v>0</v>
      </c>
      <c r="AN366" s="8">
        <v>0</v>
      </c>
      <c r="AO366" s="8">
        <v>0</v>
      </c>
      <c r="AP366" s="8">
        <v>0</v>
      </c>
      <c r="AQ366" s="8">
        <v>0</v>
      </c>
      <c r="AR366" s="8">
        <v>0</v>
      </c>
      <c r="AS366" s="8">
        <v>0</v>
      </c>
      <c r="AT366" s="8">
        <v>0</v>
      </c>
      <c r="AU366" s="8">
        <v>0</v>
      </c>
      <c r="AV366" s="8">
        <v>0</v>
      </c>
      <c r="AW366" s="8">
        <v>0</v>
      </c>
      <c r="AX366" s="8" t="s">
        <v>2007</v>
      </c>
      <c r="AY366" s="14">
        <v>3300</v>
      </c>
      <c r="AZ366" s="19">
        <v>46072</v>
      </c>
      <c r="BA366" s="14" t="s">
        <v>2002</v>
      </c>
      <c r="BB366" s="14">
        <v>3300</v>
      </c>
      <c r="BC366" s="19">
        <v>46072</v>
      </c>
      <c r="BD366" s="14" t="s">
        <v>2002</v>
      </c>
      <c r="BE366" s="14">
        <v>3300</v>
      </c>
      <c r="BF366" s="19">
        <v>46072</v>
      </c>
      <c r="BG366" s="14" t="s">
        <v>2002</v>
      </c>
      <c r="BH366" s="14">
        <v>3300</v>
      </c>
      <c r="BI366" s="19">
        <v>46072</v>
      </c>
      <c r="BJ366" s="14" t="s">
        <v>2002</v>
      </c>
      <c r="BK366" s="14">
        <v>3300</v>
      </c>
      <c r="BL366" s="19">
        <v>46072</v>
      </c>
      <c r="BM366" s="14" t="s">
        <v>2002</v>
      </c>
      <c r="BN366" s="27">
        <v>46252</v>
      </c>
      <c r="BO366" s="27">
        <v>46252</v>
      </c>
      <c r="BP366" s="27">
        <v>46252</v>
      </c>
      <c r="BQ366" s="27">
        <v>46252</v>
      </c>
      <c r="BR366" s="27">
        <v>46437</v>
      </c>
      <c r="BS366" s="28">
        <v>711</v>
      </c>
      <c r="BT366" s="29">
        <v>1461</v>
      </c>
      <c r="BU366" s="29">
        <v>711</v>
      </c>
      <c r="BV366" s="29">
        <v>711</v>
      </c>
      <c r="BW366" s="29">
        <v>1461</v>
      </c>
      <c r="BX366" s="30"/>
      <c r="BY366" s="8">
        <v>0</v>
      </c>
      <c r="BZ366" s="8">
        <v>0</v>
      </c>
      <c r="CA366" s="8">
        <v>0</v>
      </c>
      <c r="CB366" s="21">
        <v>46071.770833333299</v>
      </c>
      <c r="CC366" s="21">
        <v>46071.770833333299</v>
      </c>
      <c r="CD366" s="21">
        <v>46071.770833333299</v>
      </c>
      <c r="CE366" s="21">
        <v>46071.770833333299</v>
      </c>
      <c r="CF366" s="21">
        <v>46071.770833333299</v>
      </c>
      <c r="CG366" s="21">
        <v>46071.770833333299</v>
      </c>
      <c r="CH366" s="21">
        <v>46071.770833333299</v>
      </c>
      <c r="CI366" s="21">
        <v>46071.770833333299</v>
      </c>
      <c r="CJ366" s="21">
        <v>46071.770833333299</v>
      </c>
      <c r="CK366" s="22" t="s">
        <v>2956</v>
      </c>
      <c r="CL366" s="22" t="s">
        <v>2957</v>
      </c>
      <c r="CM366" s="22" t="s">
        <v>2959</v>
      </c>
      <c r="CN366" s="22" t="s">
        <v>2957</v>
      </c>
      <c r="CO366" s="22" t="s">
        <v>2957</v>
      </c>
      <c r="CP366" s="22" t="s">
        <v>2956</v>
      </c>
      <c r="CQ366" s="22" t="s">
        <v>2953</v>
      </c>
      <c r="CR366" s="22" t="s">
        <v>2956</v>
      </c>
      <c r="CS366" s="22" t="s">
        <v>2960</v>
      </c>
      <c r="CT366" s="22">
        <v>5</v>
      </c>
      <c r="CU366" s="21">
        <v>46251</v>
      </c>
      <c r="CV366" s="21">
        <v>46222</v>
      </c>
      <c r="CW366" s="21">
        <v>46172</v>
      </c>
      <c r="CX366" s="21">
        <v>46222</v>
      </c>
      <c r="CY366" s="21">
        <v>46222</v>
      </c>
      <c r="CZ366" s="21">
        <v>46341</v>
      </c>
      <c r="DA366" s="21">
        <v>46272</v>
      </c>
      <c r="DB366" s="21">
        <v>46251</v>
      </c>
      <c r="DC366" s="21">
        <v>46436</v>
      </c>
      <c r="DD366" s="8">
        <v>0</v>
      </c>
      <c r="DE366" s="8">
        <v>0</v>
      </c>
      <c r="DF366" s="8">
        <v>0</v>
      </c>
      <c r="DG366" s="8">
        <v>0</v>
      </c>
      <c r="DH366" s="8">
        <v>0</v>
      </c>
      <c r="DI366" s="8">
        <v>1</v>
      </c>
      <c r="DJ366" s="8" t="s">
        <v>2976</v>
      </c>
      <c r="DK366" s="21">
        <v>45353</v>
      </c>
      <c r="DL366" s="21">
        <v>45260.229166666664</v>
      </c>
      <c r="DM366" s="21">
        <v>46098</v>
      </c>
      <c r="DN366" s="18">
        <v>3325</v>
      </c>
      <c r="DO366" s="21">
        <v>0</v>
      </c>
      <c r="DP366" s="21">
        <v>0</v>
      </c>
      <c r="DQ366" s="21" t="s">
        <v>2955</v>
      </c>
      <c r="DR366" s="21">
        <v>46072</v>
      </c>
      <c r="DS366" s="21">
        <v>46072</v>
      </c>
      <c r="DT366" s="21">
        <v>46072</v>
      </c>
      <c r="DU366" s="21">
        <v>46072</v>
      </c>
      <c r="DV366" s="21">
        <v>45707</v>
      </c>
      <c r="DW366" s="21">
        <v>46072</v>
      </c>
      <c r="DX366" s="21">
        <v>46072</v>
      </c>
      <c r="DY366" s="21">
        <v>46072</v>
      </c>
      <c r="DZ366" s="21">
        <v>46072</v>
      </c>
      <c r="EA366" s="8">
        <v>1475</v>
      </c>
      <c r="EB366" s="8">
        <v>725</v>
      </c>
      <c r="EC366" s="8">
        <v>475</v>
      </c>
      <c r="ED366" s="8">
        <v>725</v>
      </c>
      <c r="EE366" s="8">
        <v>725</v>
      </c>
      <c r="EF366" s="8">
        <v>1475</v>
      </c>
      <c r="EG366" s="8">
        <v>1000</v>
      </c>
      <c r="EH366" s="8">
        <v>1475</v>
      </c>
      <c r="EI366" s="8">
        <v>1475</v>
      </c>
      <c r="EJ366" s="8">
        <v>4</v>
      </c>
      <c r="EK366" s="8" t="s">
        <v>2624</v>
      </c>
      <c r="EL366" s="8">
        <v>14</v>
      </c>
      <c r="EM366" s="8">
        <v>14</v>
      </c>
      <c r="EN366" s="8">
        <v>1187</v>
      </c>
      <c r="EO366" s="8">
        <v>437</v>
      </c>
      <c r="EP366" s="8">
        <v>187</v>
      </c>
      <c r="EQ366" s="8">
        <v>437</v>
      </c>
      <c r="ER366" s="8">
        <v>437</v>
      </c>
      <c r="ES366" s="8">
        <v>1187</v>
      </c>
      <c r="ET366" s="8">
        <v>712</v>
      </c>
      <c r="EU366" s="8">
        <v>1187</v>
      </c>
      <c r="EV366" s="8">
        <v>1187</v>
      </c>
    </row>
    <row r="367" spans="1:152" x14ac:dyDescent="0.15">
      <c r="A367" s="8">
        <f>ROW([2]!tbl_DPSAC[[#This Row],[Sl. No.]])-1</f>
        <v>366</v>
      </c>
      <c r="B367" s="9" t="s">
        <v>196</v>
      </c>
      <c r="C367" s="9" t="s">
        <v>2003</v>
      </c>
      <c r="D367" s="9" t="s">
        <v>273</v>
      </c>
      <c r="E367" s="9" t="s">
        <v>274</v>
      </c>
      <c r="F367" s="9" t="s">
        <v>161</v>
      </c>
      <c r="G367" s="10" t="s">
        <v>1976</v>
      </c>
      <c r="H367" s="10" t="str">
        <f>_xlfn.XLOOKUP(C367,'[1]E&amp;DPSAC'!$K:$K,'[1]E&amp;DPSAC'!$E:$E,,0)</f>
        <v>RAGOPUR, NEPAL BORDER</v>
      </c>
      <c r="I367" s="10"/>
      <c r="J367" s="10">
        <v>9311322151</v>
      </c>
      <c r="K367" s="10" t="str">
        <f>IF(_xlfn.XLOOKUP(C367,'[1]E&amp;DPSAC'!$K:$K,'[1]E&amp;DPSAC'!$G:$G,"",0)=J367,"",_xlfn.XLOOKUP(C367,'[1]E&amp;DPSAC'!$K:$K,'[1]E&amp;DPSAC'!$G:$G,"",0))</f>
        <v/>
      </c>
      <c r="L367" s="9" t="str">
        <f t="shared" ca="1" si="21"/>
        <v>Non - Warranty</v>
      </c>
      <c r="M367" s="11">
        <v>45356</v>
      </c>
      <c r="N367" s="12">
        <v>24</v>
      </c>
      <c r="O367" s="11">
        <f t="shared" si="23"/>
        <v>46112</v>
      </c>
      <c r="P367" s="8" t="s">
        <v>213</v>
      </c>
      <c r="Q367" s="16" t="s">
        <v>143</v>
      </c>
      <c r="R367" s="15" t="s">
        <v>143</v>
      </c>
      <c r="S367" s="14" t="s">
        <v>143</v>
      </c>
      <c r="T367" s="15">
        <v>45356</v>
      </c>
      <c r="U367" s="14">
        <v>1</v>
      </c>
      <c r="V367" s="14">
        <v>260</v>
      </c>
      <c r="W367" s="17">
        <v>46027.649756944404</v>
      </c>
      <c r="X367" s="14" t="s">
        <v>143</v>
      </c>
      <c r="Y367" s="14">
        <v>0</v>
      </c>
      <c r="Z367" s="14" t="s">
        <v>2692</v>
      </c>
      <c r="AA367" s="18">
        <v>757</v>
      </c>
      <c r="AB367" s="18" t="s">
        <v>2697</v>
      </c>
      <c r="AC367" s="8">
        <f>tbl_DPSAC[[#This Row],[Current Month Due Count]]</f>
        <v>0</v>
      </c>
      <c r="AD367" s="8">
        <f>tbl_DPSAC[[#This Row],[Next Month Due2]]</f>
        <v>0</v>
      </c>
      <c r="AE367" s="8"/>
      <c r="AF367" s="8">
        <v>0</v>
      </c>
      <c r="AG367" s="14">
        <f t="shared" ca="1" si="22"/>
        <v>260</v>
      </c>
      <c r="AH367" s="8">
        <v>0</v>
      </c>
      <c r="AI367" s="8">
        <v>0</v>
      </c>
      <c r="AJ367" s="8">
        <v>0</v>
      </c>
      <c r="AK367" s="8">
        <v>0</v>
      </c>
      <c r="AL367" s="8">
        <v>0</v>
      </c>
      <c r="AM367" s="8">
        <v>0</v>
      </c>
      <c r="AN367" s="8">
        <v>0</v>
      </c>
      <c r="AO367" s="8">
        <v>0</v>
      </c>
      <c r="AP367" s="8">
        <v>0</v>
      </c>
      <c r="AQ367" s="8">
        <v>0</v>
      </c>
      <c r="AR367" s="8">
        <v>0</v>
      </c>
      <c r="AS367" s="8">
        <v>0</v>
      </c>
      <c r="AT367" s="8">
        <v>0</v>
      </c>
      <c r="AU367" s="8">
        <v>0</v>
      </c>
      <c r="AV367" s="8">
        <v>0</v>
      </c>
      <c r="AW367" s="8">
        <v>0</v>
      </c>
      <c r="AX367" s="8" t="s">
        <v>2007</v>
      </c>
      <c r="AY367" s="14">
        <v>1</v>
      </c>
      <c r="AZ367" s="19">
        <v>45356</v>
      </c>
      <c r="BA367" s="14" t="s">
        <v>2004</v>
      </c>
      <c r="BB367" s="14">
        <v>1</v>
      </c>
      <c r="BC367" s="19">
        <v>45356</v>
      </c>
      <c r="BD367" s="14" t="s">
        <v>2004</v>
      </c>
      <c r="BE367" s="14">
        <v>1</v>
      </c>
      <c r="BF367" s="19">
        <v>45356</v>
      </c>
      <c r="BG367" s="14" t="s">
        <v>2004</v>
      </c>
      <c r="BH367" s="14">
        <v>1</v>
      </c>
      <c r="BI367" s="19">
        <v>45356</v>
      </c>
      <c r="BJ367" s="14" t="s">
        <v>2004</v>
      </c>
      <c r="BK367" s="14">
        <v>1</v>
      </c>
      <c r="BL367" s="19">
        <v>45356</v>
      </c>
      <c r="BM367" s="14" t="s">
        <v>2004</v>
      </c>
      <c r="BN367" s="27">
        <v>45536</v>
      </c>
      <c r="BO367" s="27">
        <v>45536</v>
      </c>
      <c r="BP367" s="27">
        <v>45536</v>
      </c>
      <c r="BQ367" s="27">
        <v>45536</v>
      </c>
      <c r="BR367" s="27">
        <v>45721</v>
      </c>
      <c r="BS367" s="28">
        <v>491</v>
      </c>
      <c r="BT367" s="29">
        <v>1241</v>
      </c>
      <c r="BU367" s="29">
        <v>491</v>
      </c>
      <c r="BV367" s="29">
        <v>491</v>
      </c>
      <c r="BW367" s="29">
        <v>1241</v>
      </c>
      <c r="BX367" s="30"/>
      <c r="BY367" s="8">
        <v>5</v>
      </c>
      <c r="BZ367" s="8">
        <v>0</v>
      </c>
      <c r="CA367" s="8">
        <v>0</v>
      </c>
      <c r="CB367" s="21">
        <v>45354.770833333299</v>
      </c>
      <c r="CC367" s="21">
        <v>45354.770833333299</v>
      </c>
      <c r="CD367" s="21">
        <v>45354.770833333299</v>
      </c>
      <c r="CE367" s="21">
        <v>45354.770833333299</v>
      </c>
      <c r="CF367" s="21">
        <v>45354.770833333299</v>
      </c>
      <c r="CG367" s="21">
        <v>45354.770833333299</v>
      </c>
      <c r="CH367" s="21">
        <v>45354.770833333299</v>
      </c>
      <c r="CI367" s="21">
        <v>45354.770833333299</v>
      </c>
      <c r="CJ367" s="21">
        <v>45354.770833333299</v>
      </c>
      <c r="CK367" s="22" t="s">
        <v>3071</v>
      </c>
      <c r="CL367" s="22" t="s">
        <v>3071</v>
      </c>
      <c r="CM367" s="22" t="s">
        <v>3071</v>
      </c>
      <c r="CN367" s="22" t="s">
        <v>3071</v>
      </c>
      <c r="CO367" s="22" t="s">
        <v>3071</v>
      </c>
      <c r="CP367" s="22" t="s">
        <v>2965</v>
      </c>
      <c r="CQ367" s="22" t="s">
        <v>2953</v>
      </c>
      <c r="CR367" s="22" t="s">
        <v>2965</v>
      </c>
      <c r="CS367" s="22" t="s">
        <v>2965</v>
      </c>
      <c r="CT367" s="22">
        <v>0</v>
      </c>
      <c r="CU367" s="21">
        <v>0</v>
      </c>
      <c r="CV367" s="21">
        <v>0</v>
      </c>
      <c r="CW367" s="21">
        <v>0</v>
      </c>
      <c r="CX367" s="21">
        <v>0</v>
      </c>
      <c r="CY367" s="21">
        <v>0</v>
      </c>
      <c r="CZ367" s="21">
        <v>0</v>
      </c>
      <c r="DA367" s="21">
        <v>0</v>
      </c>
      <c r="DB367" s="21">
        <v>0</v>
      </c>
      <c r="DC367" s="21">
        <v>0</v>
      </c>
      <c r="DD367" s="8">
        <v>0</v>
      </c>
      <c r="DE367" s="8">
        <v>0</v>
      </c>
      <c r="DF367" s="8">
        <v>0</v>
      </c>
      <c r="DG367" s="8">
        <v>9</v>
      </c>
      <c r="DH367" s="8">
        <v>0</v>
      </c>
      <c r="DI367" s="8">
        <v>0</v>
      </c>
      <c r="DJ367" s="8" t="s">
        <v>2976</v>
      </c>
      <c r="DK367" s="21">
        <v>45356</v>
      </c>
      <c r="DL367" s="21">
        <v>45343.229166666664</v>
      </c>
      <c r="DM367" s="21">
        <v>46027</v>
      </c>
      <c r="DN367" s="18">
        <v>260</v>
      </c>
      <c r="DO367" s="21">
        <v>0</v>
      </c>
      <c r="DP367" s="21">
        <v>0</v>
      </c>
      <c r="DQ367" s="21" t="s">
        <v>3049</v>
      </c>
      <c r="DR367" s="21">
        <v>45355</v>
      </c>
      <c r="DS367" s="21">
        <v>45355</v>
      </c>
      <c r="DT367" s="21">
        <v>45355</v>
      </c>
      <c r="DU367" s="21">
        <v>45355</v>
      </c>
      <c r="DV367" s="21">
        <v>45355</v>
      </c>
      <c r="DW367" s="21">
        <v>45355</v>
      </c>
      <c r="DX367" s="21">
        <v>45355</v>
      </c>
      <c r="DY367" s="21">
        <v>45355</v>
      </c>
      <c r="DZ367" s="21">
        <v>45355</v>
      </c>
      <c r="EA367" s="8">
        <v>240</v>
      </c>
      <c r="EB367" s="8">
        <v>240</v>
      </c>
      <c r="EC367" s="8">
        <v>240</v>
      </c>
      <c r="ED367" s="8">
        <v>240</v>
      </c>
      <c r="EE367" s="8">
        <v>240</v>
      </c>
      <c r="EF367" s="8">
        <v>1240</v>
      </c>
      <c r="EG367" s="8">
        <v>1000</v>
      </c>
      <c r="EH367" s="8">
        <v>1240</v>
      </c>
      <c r="EI367" s="8">
        <v>1240</v>
      </c>
      <c r="EJ367" s="8">
        <v>0</v>
      </c>
      <c r="EK367" s="8" t="s">
        <v>2624</v>
      </c>
      <c r="EL367" s="8">
        <v>85</v>
      </c>
      <c r="EM367" s="8">
        <v>0</v>
      </c>
      <c r="EN367" s="8">
        <v>-48</v>
      </c>
      <c r="EO367" s="8">
        <v>-48</v>
      </c>
      <c r="EP367" s="8">
        <v>-48</v>
      </c>
      <c r="EQ367" s="8">
        <v>-48</v>
      </c>
      <c r="ER367" s="8">
        <v>-48</v>
      </c>
      <c r="ES367" s="8">
        <v>952</v>
      </c>
      <c r="ET367" s="8">
        <v>712</v>
      </c>
      <c r="EU367" s="8">
        <v>952</v>
      </c>
      <c r="EV367" s="8">
        <v>952</v>
      </c>
    </row>
    <row r="368" spans="1:152" x14ac:dyDescent="0.15">
      <c r="A368" s="8">
        <f>ROW([2]!tbl_DPSAC[[#This Row],[Sl. No.]])-1</f>
        <v>367</v>
      </c>
      <c r="B368" s="9" t="s">
        <v>196</v>
      </c>
      <c r="C368" s="9" t="s">
        <v>2005</v>
      </c>
      <c r="D368" s="9" t="s">
        <v>1700</v>
      </c>
      <c r="E368" s="9" t="s">
        <v>1701</v>
      </c>
      <c r="F368" s="9" t="s">
        <v>161</v>
      </c>
      <c r="G368" s="10" t="s">
        <v>2006</v>
      </c>
      <c r="H368" s="10" t="str">
        <f>_xlfn.XLOOKUP(C368,'[1]E&amp;DPSAC'!$K:$K,'[1]E&amp;DPSAC'!$E:$E,,0)</f>
        <v>BAGESARAI, BIHAR</v>
      </c>
      <c r="I368" s="10"/>
      <c r="J368" s="10">
        <v>9883012103</v>
      </c>
      <c r="K368" s="10" t="str">
        <f>IF(_xlfn.XLOOKUP(C368,'[1]E&amp;DPSAC'!$K:$K,'[1]E&amp;DPSAC'!$G:$G,"",0)=J368,"",_xlfn.XLOOKUP(C368,'[1]E&amp;DPSAC'!$K:$K,'[1]E&amp;DPSAC'!$G:$G,"",0))</f>
        <v/>
      </c>
      <c r="L368" s="9" t="str">
        <f t="shared" ca="1" si="21"/>
        <v>Non - Warranty</v>
      </c>
      <c r="M368" s="11">
        <v>45355</v>
      </c>
      <c r="N368" s="12">
        <v>24</v>
      </c>
      <c r="O368" s="11">
        <f t="shared" si="23"/>
        <v>46112</v>
      </c>
      <c r="P368" s="8" t="s">
        <v>213</v>
      </c>
      <c r="Q368" s="16" t="s">
        <v>143</v>
      </c>
      <c r="R368" s="15" t="s">
        <v>143</v>
      </c>
      <c r="S368" s="14" t="s">
        <v>143</v>
      </c>
      <c r="T368" s="15">
        <v>45355</v>
      </c>
      <c r="U368" s="14">
        <v>1</v>
      </c>
      <c r="V368" s="14">
        <v>190</v>
      </c>
      <c r="W368" s="17">
        <v>46027.652268518497</v>
      </c>
      <c r="X368" s="14" t="s">
        <v>143</v>
      </c>
      <c r="Y368" s="14">
        <v>0</v>
      </c>
      <c r="Z368" s="14" t="s">
        <v>2692</v>
      </c>
      <c r="AA368" s="18">
        <v>758</v>
      </c>
      <c r="AB368" s="18" t="s">
        <v>2697</v>
      </c>
      <c r="AC368" s="8">
        <f>tbl_DPSAC[[#This Row],[Current Month Due Count]]</f>
        <v>0</v>
      </c>
      <c r="AD368" s="8">
        <f>tbl_DPSAC[[#This Row],[Next Month Due2]]</f>
        <v>0</v>
      </c>
      <c r="AE368" s="8"/>
      <c r="AF368" s="8">
        <v>0</v>
      </c>
      <c r="AG368" s="14">
        <f t="shared" ca="1" si="22"/>
        <v>190</v>
      </c>
      <c r="AH368" s="8">
        <v>0</v>
      </c>
      <c r="AI368" s="8">
        <v>0</v>
      </c>
      <c r="AJ368" s="8">
        <v>0</v>
      </c>
      <c r="AK368" s="8">
        <v>0</v>
      </c>
      <c r="AL368" s="8">
        <v>0</v>
      </c>
      <c r="AM368" s="8">
        <v>0</v>
      </c>
      <c r="AN368" s="8">
        <v>0</v>
      </c>
      <c r="AO368" s="8">
        <v>0</v>
      </c>
      <c r="AP368" s="8">
        <v>0</v>
      </c>
      <c r="AQ368" s="8">
        <v>0</v>
      </c>
      <c r="AR368" s="8">
        <v>0</v>
      </c>
      <c r="AS368" s="8">
        <v>0</v>
      </c>
      <c r="AT368" s="8">
        <v>0</v>
      </c>
      <c r="AU368" s="8">
        <v>0</v>
      </c>
      <c r="AV368" s="8">
        <v>0</v>
      </c>
      <c r="AW368" s="8">
        <v>0</v>
      </c>
      <c r="AX368" s="8" t="s">
        <v>2007</v>
      </c>
      <c r="AY368" s="14">
        <v>1</v>
      </c>
      <c r="AZ368" s="19">
        <v>45355</v>
      </c>
      <c r="BA368" s="14" t="s">
        <v>2008</v>
      </c>
      <c r="BB368" s="14">
        <v>1</v>
      </c>
      <c r="BC368" s="19">
        <v>45355</v>
      </c>
      <c r="BD368" s="14" t="s">
        <v>2008</v>
      </c>
      <c r="BE368" s="14">
        <v>1</v>
      </c>
      <c r="BF368" s="19">
        <v>45355</v>
      </c>
      <c r="BG368" s="14" t="s">
        <v>2008</v>
      </c>
      <c r="BH368" s="14">
        <v>1</v>
      </c>
      <c r="BI368" s="19">
        <v>45355</v>
      </c>
      <c r="BJ368" s="14" t="s">
        <v>2008</v>
      </c>
      <c r="BK368" s="14">
        <v>1</v>
      </c>
      <c r="BL368" s="19">
        <v>45355</v>
      </c>
      <c r="BM368" s="14" t="s">
        <v>2008</v>
      </c>
      <c r="BN368" s="27">
        <v>45535</v>
      </c>
      <c r="BO368" s="27">
        <v>45535</v>
      </c>
      <c r="BP368" s="27">
        <v>45535</v>
      </c>
      <c r="BQ368" s="27">
        <v>45535</v>
      </c>
      <c r="BR368" s="27">
        <v>45720</v>
      </c>
      <c r="BS368" s="28">
        <v>561</v>
      </c>
      <c r="BT368" s="29">
        <v>1311</v>
      </c>
      <c r="BU368" s="29">
        <v>561</v>
      </c>
      <c r="BV368" s="29">
        <v>561</v>
      </c>
      <c r="BW368" s="29">
        <v>1311</v>
      </c>
      <c r="BX368" s="30"/>
      <c r="BY368" s="8">
        <v>5</v>
      </c>
      <c r="BZ368" s="8">
        <v>0</v>
      </c>
      <c r="CA368" s="8">
        <v>0</v>
      </c>
      <c r="CB368" s="21">
        <v>45354.770833333299</v>
      </c>
      <c r="CC368" s="21">
        <v>45354.770833333299</v>
      </c>
      <c r="CD368" s="21">
        <v>45354.770833333299</v>
      </c>
      <c r="CE368" s="21">
        <v>45354.770833333299</v>
      </c>
      <c r="CF368" s="21">
        <v>45354.770833333299</v>
      </c>
      <c r="CG368" s="21">
        <v>45354.770833333299</v>
      </c>
      <c r="CH368" s="21">
        <v>45354.770833333299</v>
      </c>
      <c r="CI368" s="21">
        <v>45354.770833333299</v>
      </c>
      <c r="CJ368" s="21">
        <v>45354.770833333299</v>
      </c>
      <c r="CK368" s="22" t="s">
        <v>3151</v>
      </c>
      <c r="CL368" s="22" t="s">
        <v>3151</v>
      </c>
      <c r="CM368" s="22" t="s">
        <v>3151</v>
      </c>
      <c r="CN368" s="22" t="s">
        <v>3151</v>
      </c>
      <c r="CO368" s="22" t="s">
        <v>3151</v>
      </c>
      <c r="CP368" s="22" t="s">
        <v>3172</v>
      </c>
      <c r="CQ368" s="22" t="s">
        <v>2953</v>
      </c>
      <c r="CR368" s="22" t="s">
        <v>3172</v>
      </c>
      <c r="CS368" s="22" t="s">
        <v>3172</v>
      </c>
      <c r="CT368" s="22">
        <v>0</v>
      </c>
      <c r="CU368" s="21">
        <v>0</v>
      </c>
      <c r="CV368" s="21">
        <v>0</v>
      </c>
      <c r="CW368" s="21">
        <v>0</v>
      </c>
      <c r="CX368" s="21">
        <v>0</v>
      </c>
      <c r="CY368" s="21">
        <v>0</v>
      </c>
      <c r="CZ368" s="21">
        <v>0</v>
      </c>
      <c r="DA368" s="21">
        <v>0</v>
      </c>
      <c r="DB368" s="21">
        <v>0</v>
      </c>
      <c r="DC368" s="21">
        <v>0</v>
      </c>
      <c r="DD368" s="8">
        <v>0</v>
      </c>
      <c r="DE368" s="8">
        <v>0</v>
      </c>
      <c r="DF368" s="8">
        <v>0</v>
      </c>
      <c r="DG368" s="8">
        <v>9</v>
      </c>
      <c r="DH368" s="8">
        <v>0</v>
      </c>
      <c r="DI368" s="8">
        <v>0</v>
      </c>
      <c r="DJ368" s="8" t="s">
        <v>2976</v>
      </c>
      <c r="DK368" s="21">
        <v>45355</v>
      </c>
      <c r="DL368" s="21">
        <v>45313.229166666664</v>
      </c>
      <c r="DM368" s="21">
        <v>46027</v>
      </c>
      <c r="DN368" s="18">
        <v>190</v>
      </c>
      <c r="DO368" s="21">
        <v>0</v>
      </c>
      <c r="DP368" s="21">
        <v>0</v>
      </c>
      <c r="DQ368" s="21" t="s">
        <v>3049</v>
      </c>
      <c r="DR368" s="21">
        <v>45355</v>
      </c>
      <c r="DS368" s="21">
        <v>45355</v>
      </c>
      <c r="DT368" s="21">
        <v>45355</v>
      </c>
      <c r="DU368" s="21">
        <v>45355</v>
      </c>
      <c r="DV368" s="21">
        <v>45355</v>
      </c>
      <c r="DW368" s="21">
        <v>45355</v>
      </c>
      <c r="DX368" s="21">
        <v>45355</v>
      </c>
      <c r="DY368" s="21">
        <v>45355</v>
      </c>
      <c r="DZ368" s="21">
        <v>45355</v>
      </c>
      <c r="EA368" s="8">
        <v>310</v>
      </c>
      <c r="EB368" s="8">
        <v>310</v>
      </c>
      <c r="EC368" s="8">
        <v>310</v>
      </c>
      <c r="ED368" s="8">
        <v>310</v>
      </c>
      <c r="EE368" s="8">
        <v>310</v>
      </c>
      <c r="EF368" s="8">
        <v>1310</v>
      </c>
      <c r="EG368" s="8">
        <v>1000</v>
      </c>
      <c r="EH368" s="8">
        <v>1310</v>
      </c>
      <c r="EI368" s="8">
        <v>1310</v>
      </c>
      <c r="EJ368" s="8">
        <v>0</v>
      </c>
      <c r="EK368" s="8" t="s">
        <v>2624</v>
      </c>
      <c r="EL368" s="8">
        <v>85</v>
      </c>
      <c r="EM368" s="8">
        <v>0</v>
      </c>
      <c r="EN368" s="8">
        <v>22</v>
      </c>
      <c r="EO368" s="8">
        <v>22</v>
      </c>
      <c r="EP368" s="8">
        <v>22</v>
      </c>
      <c r="EQ368" s="8">
        <v>22</v>
      </c>
      <c r="ER368" s="8">
        <v>22</v>
      </c>
      <c r="ES368" s="8">
        <v>1022</v>
      </c>
      <c r="ET368" s="8">
        <v>712</v>
      </c>
      <c r="EU368" s="8">
        <v>1022</v>
      </c>
      <c r="EV368" s="8">
        <v>1022</v>
      </c>
    </row>
    <row r="369" spans="1:152" x14ac:dyDescent="0.15">
      <c r="A369" s="8">
        <f>ROW([2]!tbl_DPSAC[[#This Row],[Sl. No.]])-1</f>
        <v>368</v>
      </c>
      <c r="B369" s="9" t="s">
        <v>136</v>
      </c>
      <c r="C369" s="9" t="s">
        <v>2009</v>
      </c>
      <c r="D369" s="9" t="s">
        <v>1491</v>
      </c>
      <c r="E369" s="9" t="s">
        <v>1492</v>
      </c>
      <c r="F369" s="9" t="s">
        <v>161</v>
      </c>
      <c r="G369" s="10" t="s">
        <v>2010</v>
      </c>
      <c r="H369" s="10" t="str">
        <f>_xlfn.XLOOKUP(C369,'[1]E&amp;DPSAC'!$K:$K,'[1]E&amp;DPSAC'!$E:$E,,0)</f>
        <v>GHATO</v>
      </c>
      <c r="I369" s="10"/>
      <c r="J369" s="10">
        <v>7209685615</v>
      </c>
      <c r="K369" s="10">
        <f>IF(_xlfn.XLOOKUP(C369,'[1]E&amp;DPSAC'!$K:$K,'[1]E&amp;DPSAC'!$G:$G,"",0)=J369,"",_xlfn.XLOOKUP(C369,'[1]E&amp;DPSAC'!$K:$K,'[1]E&amp;DPSAC'!$G:$G,"",0))</f>
        <v>7260958963</v>
      </c>
      <c r="L369" s="9" t="str">
        <f t="shared" ca="1" si="21"/>
        <v>Non - Warranty</v>
      </c>
      <c r="M369" s="11">
        <v>45355</v>
      </c>
      <c r="N369" s="12">
        <v>24</v>
      </c>
      <c r="O369" s="11">
        <f t="shared" si="23"/>
        <v>46112</v>
      </c>
      <c r="P369" s="8" t="s">
        <v>213</v>
      </c>
      <c r="Q369" s="16" t="s">
        <v>2015</v>
      </c>
      <c r="R369" s="15">
        <v>46072.697719907403</v>
      </c>
      <c r="S369" s="14">
        <v>1750</v>
      </c>
      <c r="T369" s="15">
        <v>46072</v>
      </c>
      <c r="U369" s="14">
        <v>1750</v>
      </c>
      <c r="V369" s="14">
        <v>1780</v>
      </c>
      <c r="W369" s="17">
        <v>46098.6809953704</v>
      </c>
      <c r="X369" s="14" t="s">
        <v>2796</v>
      </c>
      <c r="Y369" s="14">
        <v>720</v>
      </c>
      <c r="Z369" s="14" t="s">
        <v>2692</v>
      </c>
      <c r="AA369" s="18">
        <v>40.302280092597357</v>
      </c>
      <c r="AB369" s="18" t="s">
        <v>2692</v>
      </c>
      <c r="AC369" s="8">
        <f>tbl_DPSAC[[#This Row],[Current Month Due Count]]</f>
        <v>0</v>
      </c>
      <c r="AD369" s="8">
        <f>tbl_DPSAC[[#This Row],[Next Month Due2]]</f>
        <v>0</v>
      </c>
      <c r="AE369" s="8"/>
      <c r="AF369" s="8">
        <v>0</v>
      </c>
      <c r="AG369" s="14">
        <f t="shared" ca="1" si="22"/>
        <v>1780</v>
      </c>
      <c r="AH369" s="8" t="s">
        <v>2011</v>
      </c>
      <c r="AI369" s="8" t="s">
        <v>2012</v>
      </c>
      <c r="AJ369" s="8" t="s">
        <v>2013</v>
      </c>
      <c r="AK369" s="8" t="s">
        <v>2014</v>
      </c>
      <c r="AL369" s="8">
        <v>0</v>
      </c>
      <c r="AM369" s="8">
        <v>0</v>
      </c>
      <c r="AN369" s="8">
        <v>0</v>
      </c>
      <c r="AO369" s="8">
        <v>0</v>
      </c>
      <c r="AP369" s="8">
        <v>0</v>
      </c>
      <c r="AQ369" s="8">
        <v>0</v>
      </c>
      <c r="AR369" s="8">
        <v>0</v>
      </c>
      <c r="AS369" s="8">
        <v>0</v>
      </c>
      <c r="AT369" s="8">
        <v>0</v>
      </c>
      <c r="AU369" s="8">
        <v>0</v>
      </c>
      <c r="AV369" s="8">
        <v>0</v>
      </c>
      <c r="AW369" s="8">
        <v>0</v>
      </c>
      <c r="AX369" s="8" t="s">
        <v>2007</v>
      </c>
      <c r="AY369" s="14">
        <v>1750</v>
      </c>
      <c r="AZ369" s="19">
        <v>46072</v>
      </c>
      <c r="BA369" s="14" t="s">
        <v>2015</v>
      </c>
      <c r="BB369" s="14">
        <v>1750</v>
      </c>
      <c r="BC369" s="19">
        <v>46072</v>
      </c>
      <c r="BD369" s="14" t="s">
        <v>2015</v>
      </c>
      <c r="BE369" s="14">
        <v>1750</v>
      </c>
      <c r="BF369" s="19">
        <v>46072</v>
      </c>
      <c r="BG369" s="14" t="s">
        <v>2015</v>
      </c>
      <c r="BH369" s="14">
        <v>1750</v>
      </c>
      <c r="BI369" s="19">
        <v>46072</v>
      </c>
      <c r="BJ369" s="14" t="s">
        <v>2015</v>
      </c>
      <c r="BK369" s="14">
        <v>1750</v>
      </c>
      <c r="BL369" s="19">
        <v>46072</v>
      </c>
      <c r="BM369" s="14" t="s">
        <v>2015</v>
      </c>
      <c r="BN369" s="27">
        <v>46252</v>
      </c>
      <c r="BO369" s="27">
        <v>46252</v>
      </c>
      <c r="BP369" s="27">
        <v>46252</v>
      </c>
      <c r="BQ369" s="27">
        <v>46252</v>
      </c>
      <c r="BR369" s="27">
        <v>46437</v>
      </c>
      <c r="BS369" s="28">
        <v>720</v>
      </c>
      <c r="BT369" s="29">
        <v>1470</v>
      </c>
      <c r="BU369" s="29">
        <v>720</v>
      </c>
      <c r="BV369" s="29">
        <v>720</v>
      </c>
      <c r="BW369" s="29">
        <v>1470</v>
      </c>
      <c r="BX369" s="30"/>
      <c r="BY369" s="8">
        <v>0</v>
      </c>
      <c r="BZ369" s="8">
        <v>0</v>
      </c>
      <c r="CA369" s="8">
        <v>0</v>
      </c>
      <c r="CB369" s="21">
        <v>46071.770833333299</v>
      </c>
      <c r="CC369" s="21">
        <v>46071.770833333299</v>
      </c>
      <c r="CD369" s="21">
        <v>46071.770833333299</v>
      </c>
      <c r="CE369" s="21">
        <v>46071.770833333299</v>
      </c>
      <c r="CF369" s="21">
        <v>46071.770833333299</v>
      </c>
      <c r="CG369" s="21">
        <v>46071.770833333299</v>
      </c>
      <c r="CH369" s="21">
        <v>46071.770833333299</v>
      </c>
      <c r="CI369" s="21">
        <v>46071.770833333299</v>
      </c>
      <c r="CJ369" s="21">
        <v>46071.770833333299</v>
      </c>
      <c r="CK369" s="22" t="s">
        <v>3080</v>
      </c>
      <c r="CL369" s="22" t="s">
        <v>3080</v>
      </c>
      <c r="CM369" s="22" t="s">
        <v>3080</v>
      </c>
      <c r="CN369" s="22" t="s">
        <v>3080</v>
      </c>
      <c r="CO369" s="22" t="s">
        <v>3080</v>
      </c>
      <c r="CP369" s="22" t="s">
        <v>3173</v>
      </c>
      <c r="CQ369" s="22" t="s">
        <v>2953</v>
      </c>
      <c r="CR369" s="22" t="s">
        <v>3173</v>
      </c>
      <c r="CS369" s="22" t="s">
        <v>3173</v>
      </c>
      <c r="CT369" s="22">
        <v>6</v>
      </c>
      <c r="CU369" s="21">
        <v>46197</v>
      </c>
      <c r="CV369" s="21">
        <v>46197</v>
      </c>
      <c r="CW369" s="21">
        <v>46197</v>
      </c>
      <c r="CX369" s="21">
        <v>46197</v>
      </c>
      <c r="CY369" s="21">
        <v>46197</v>
      </c>
      <c r="CZ369" s="21">
        <v>46323</v>
      </c>
      <c r="DA369" s="21">
        <v>46243</v>
      </c>
      <c r="DB369" s="21">
        <v>46251</v>
      </c>
      <c r="DC369" s="21">
        <v>46323</v>
      </c>
      <c r="DD369" s="8">
        <v>0</v>
      </c>
      <c r="DE369" s="8">
        <v>0</v>
      </c>
      <c r="DF369" s="8">
        <v>0</v>
      </c>
      <c r="DG369" s="8">
        <v>0</v>
      </c>
      <c r="DH369" s="8">
        <v>0</v>
      </c>
      <c r="DI369" s="8">
        <v>0</v>
      </c>
      <c r="DJ369" s="8" t="s">
        <v>2976</v>
      </c>
      <c r="DK369" s="21">
        <v>45355</v>
      </c>
      <c r="DL369" s="21">
        <v>45334.229166666664</v>
      </c>
      <c r="DM369" s="21">
        <v>46098</v>
      </c>
      <c r="DN369" s="18">
        <v>1780</v>
      </c>
      <c r="DO369" s="21">
        <v>0</v>
      </c>
      <c r="DP369" s="21">
        <v>0</v>
      </c>
      <c r="DQ369" s="21" t="s">
        <v>3174</v>
      </c>
      <c r="DR369" s="21">
        <v>46072</v>
      </c>
      <c r="DS369" s="21">
        <v>46072</v>
      </c>
      <c r="DT369" s="21">
        <v>46072</v>
      </c>
      <c r="DU369" s="21">
        <v>46072</v>
      </c>
      <c r="DV369" s="21">
        <v>46072</v>
      </c>
      <c r="DW369" s="21">
        <v>46072</v>
      </c>
      <c r="DX369" s="21">
        <v>46072</v>
      </c>
      <c r="DY369" s="21">
        <v>46072</v>
      </c>
      <c r="DZ369" s="21">
        <v>46072</v>
      </c>
      <c r="EA369" s="8">
        <v>1480</v>
      </c>
      <c r="EB369" s="8">
        <v>720</v>
      </c>
      <c r="EC369" s="8">
        <v>720</v>
      </c>
      <c r="ED369" s="8">
        <v>720</v>
      </c>
      <c r="EE369" s="8">
        <v>720</v>
      </c>
      <c r="EF369" s="8">
        <v>1480</v>
      </c>
      <c r="EG369" s="8">
        <v>1000</v>
      </c>
      <c r="EH369" s="8">
        <v>1480</v>
      </c>
      <c r="EI369" s="8">
        <v>1480</v>
      </c>
      <c r="EJ369" s="8">
        <v>4</v>
      </c>
      <c r="EK369" s="8" t="s">
        <v>2624</v>
      </c>
      <c r="EL369" s="8">
        <v>14</v>
      </c>
      <c r="EM369" s="8">
        <v>0</v>
      </c>
      <c r="EN369" s="8">
        <v>1192</v>
      </c>
      <c r="EO369" s="8">
        <v>432</v>
      </c>
      <c r="EP369" s="8">
        <v>432</v>
      </c>
      <c r="EQ369" s="8">
        <v>432</v>
      </c>
      <c r="ER369" s="8">
        <v>432</v>
      </c>
      <c r="ES369" s="8">
        <v>1192</v>
      </c>
      <c r="ET369" s="8">
        <v>712</v>
      </c>
      <c r="EU369" s="8">
        <v>1192</v>
      </c>
      <c r="EV369" s="8">
        <v>1192</v>
      </c>
    </row>
    <row r="370" spans="1:152" x14ac:dyDescent="0.15">
      <c r="A370" s="8">
        <f>ROW([2]!tbl_DPSAC[[#This Row],[Sl. No.]])-1</f>
        <v>369</v>
      </c>
      <c r="B370" s="9" t="s">
        <v>196</v>
      </c>
      <c r="C370" s="9" t="s">
        <v>2016</v>
      </c>
      <c r="D370" s="9" t="s">
        <v>1792</v>
      </c>
      <c r="E370" s="9" t="s">
        <v>1793</v>
      </c>
      <c r="F370" s="9" t="s">
        <v>161</v>
      </c>
      <c r="G370" s="10" t="s">
        <v>2017</v>
      </c>
      <c r="H370" s="10" t="e">
        <f>_xlfn.XLOOKUP(C370,'[1]E&amp;DPSAC'!$K:$K,'[1]E&amp;DPSAC'!$E:$E,,0)</f>
        <v>#N/A</v>
      </c>
      <c r="I370" s="10"/>
      <c r="J370" s="10">
        <v>9682852342</v>
      </c>
      <c r="K370" s="10" t="str">
        <f>IF(_xlfn.XLOOKUP(C370,'[1]E&amp;DPSAC'!$K:$K,'[1]E&amp;DPSAC'!$G:$G,"",0)=J370,"",_xlfn.XLOOKUP(C370,'[1]E&amp;DPSAC'!$K:$K,'[1]E&amp;DPSAC'!$G:$G,"",0))</f>
        <v/>
      </c>
      <c r="L370" s="9" t="str">
        <f t="shared" ca="1" si="21"/>
        <v>Non - Warranty</v>
      </c>
      <c r="M370" s="11">
        <v>45360</v>
      </c>
      <c r="N370" s="12">
        <v>24</v>
      </c>
      <c r="O370" s="11">
        <f t="shared" si="23"/>
        <v>46112</v>
      </c>
      <c r="P370" s="8" t="s">
        <v>213</v>
      </c>
      <c r="Q370" s="16" t="s">
        <v>143</v>
      </c>
      <c r="R370" s="15" t="s">
        <v>143</v>
      </c>
      <c r="S370" s="14" t="s">
        <v>143</v>
      </c>
      <c r="T370" s="15" t="s">
        <v>143</v>
      </c>
      <c r="U370" s="14" t="s">
        <v>143</v>
      </c>
      <c r="V370" s="14">
        <v>210</v>
      </c>
      <c r="W370" s="17">
        <v>46098.685358796298</v>
      </c>
      <c r="X370" s="14" t="s">
        <v>143</v>
      </c>
      <c r="Y370" s="14">
        <v>0</v>
      </c>
      <c r="Z370" s="14" t="s">
        <v>2692</v>
      </c>
      <c r="AA370" s="18">
        <v>753</v>
      </c>
      <c r="AB370" s="18" t="s">
        <v>2697</v>
      </c>
      <c r="AC370" s="8">
        <f>tbl_DPSAC[[#This Row],[Current Month Due Count]]</f>
        <v>0</v>
      </c>
      <c r="AD370" s="8">
        <f>tbl_DPSAC[[#This Row],[Next Month Due2]]</f>
        <v>0</v>
      </c>
      <c r="AE370" s="8"/>
      <c r="AF370" s="8">
        <v>0</v>
      </c>
      <c r="AG370" s="14">
        <f t="shared" ca="1" si="22"/>
        <v>210</v>
      </c>
      <c r="AH370" s="8">
        <v>0</v>
      </c>
      <c r="AI370" s="8">
        <v>0</v>
      </c>
      <c r="AJ370" s="8">
        <v>0</v>
      </c>
      <c r="AK370" s="8">
        <v>0</v>
      </c>
      <c r="AL370" s="8">
        <v>0</v>
      </c>
      <c r="AM370" s="8">
        <v>0</v>
      </c>
      <c r="AN370" s="8">
        <v>0</v>
      </c>
      <c r="AO370" s="8">
        <v>0</v>
      </c>
      <c r="AP370" s="8">
        <v>0</v>
      </c>
      <c r="AQ370" s="8">
        <v>0</v>
      </c>
      <c r="AR370" s="8">
        <v>0</v>
      </c>
      <c r="AS370" s="8">
        <v>0</v>
      </c>
      <c r="AT370" s="8">
        <v>0</v>
      </c>
      <c r="AU370" s="8">
        <v>0</v>
      </c>
      <c r="AV370" s="8">
        <v>0</v>
      </c>
      <c r="AW370" s="8">
        <v>0</v>
      </c>
      <c r="AX370" s="8" t="s">
        <v>2007</v>
      </c>
      <c r="AY370" s="14">
        <v>1</v>
      </c>
      <c r="AZ370" s="19">
        <v>45360</v>
      </c>
      <c r="BA370" s="14" t="s">
        <v>2018</v>
      </c>
      <c r="BB370" s="14">
        <v>1</v>
      </c>
      <c r="BC370" s="19">
        <v>45360</v>
      </c>
      <c r="BD370" s="14" t="s">
        <v>2018</v>
      </c>
      <c r="BE370" s="14">
        <v>1</v>
      </c>
      <c r="BF370" s="19">
        <v>45360</v>
      </c>
      <c r="BG370" s="14" t="s">
        <v>2018</v>
      </c>
      <c r="BH370" s="14">
        <v>1</v>
      </c>
      <c r="BI370" s="19">
        <v>45360</v>
      </c>
      <c r="BJ370" s="14" t="s">
        <v>2018</v>
      </c>
      <c r="BK370" s="14">
        <v>1</v>
      </c>
      <c r="BL370" s="19">
        <v>45360</v>
      </c>
      <c r="BM370" s="14" t="s">
        <v>2018</v>
      </c>
      <c r="BN370" s="27">
        <v>45540</v>
      </c>
      <c r="BO370" s="27">
        <v>45540</v>
      </c>
      <c r="BP370" s="27">
        <v>45540</v>
      </c>
      <c r="BQ370" s="27">
        <v>45540</v>
      </c>
      <c r="BR370" s="27">
        <v>45725</v>
      </c>
      <c r="BS370" s="28">
        <v>541</v>
      </c>
      <c r="BT370" s="29">
        <v>1291</v>
      </c>
      <c r="BU370" s="29">
        <v>541</v>
      </c>
      <c r="BV370" s="29">
        <v>541</v>
      </c>
      <c r="BW370" s="29">
        <v>1291</v>
      </c>
      <c r="BX370" s="30"/>
      <c r="BY370" s="8">
        <v>5</v>
      </c>
      <c r="BZ370" s="8">
        <v>0</v>
      </c>
      <c r="CA370" s="8">
        <v>0</v>
      </c>
      <c r="CB370" s="21">
        <v>45359.770833333299</v>
      </c>
      <c r="CC370" s="21">
        <v>45359.770833333299</v>
      </c>
      <c r="CD370" s="21">
        <v>0</v>
      </c>
      <c r="CE370" s="21">
        <v>45359.770833333299</v>
      </c>
      <c r="CF370" s="21">
        <v>45359.770833333299</v>
      </c>
      <c r="CG370" s="21">
        <v>45359.770833333299</v>
      </c>
      <c r="CH370" s="21">
        <v>45359.770833333299</v>
      </c>
      <c r="CI370" s="21">
        <v>45359.770833333299</v>
      </c>
      <c r="CJ370" s="21">
        <v>45359.770833333299</v>
      </c>
      <c r="CK370" s="22" t="s">
        <v>3040</v>
      </c>
      <c r="CL370" s="22" t="s">
        <v>3040</v>
      </c>
      <c r="CM370" s="22" t="s">
        <v>3040</v>
      </c>
      <c r="CN370" s="22" t="s">
        <v>3040</v>
      </c>
      <c r="CO370" s="22" t="s">
        <v>3040</v>
      </c>
      <c r="CP370" s="22" t="s">
        <v>3044</v>
      </c>
      <c r="CQ370" s="22" t="s">
        <v>2953</v>
      </c>
      <c r="CR370" s="22" t="s">
        <v>3044</v>
      </c>
      <c r="CS370" s="22" t="s">
        <v>3044</v>
      </c>
      <c r="CT370" s="22">
        <v>0</v>
      </c>
      <c r="CU370" s="21">
        <v>0</v>
      </c>
      <c r="CV370" s="21">
        <v>0</v>
      </c>
      <c r="CW370" s="21">
        <v>0</v>
      </c>
      <c r="CX370" s="21">
        <v>0</v>
      </c>
      <c r="CY370" s="21">
        <v>0</v>
      </c>
      <c r="CZ370" s="21">
        <v>0</v>
      </c>
      <c r="DA370" s="21">
        <v>0</v>
      </c>
      <c r="DB370" s="21">
        <v>0</v>
      </c>
      <c r="DC370" s="21">
        <v>0</v>
      </c>
      <c r="DD370" s="8">
        <v>0</v>
      </c>
      <c r="DE370" s="8">
        <v>0</v>
      </c>
      <c r="DF370" s="8">
        <v>0</v>
      </c>
      <c r="DG370" s="8">
        <v>9</v>
      </c>
      <c r="DH370" s="8">
        <v>0</v>
      </c>
      <c r="DI370" s="8">
        <v>0</v>
      </c>
      <c r="DJ370" s="8" t="s">
        <v>2976</v>
      </c>
      <c r="DK370" s="21">
        <v>45360</v>
      </c>
      <c r="DL370" s="21">
        <v>45349.229166666664</v>
      </c>
      <c r="DM370" s="21">
        <v>46098</v>
      </c>
      <c r="DN370" s="18">
        <v>210</v>
      </c>
      <c r="DO370" s="21">
        <v>0</v>
      </c>
      <c r="DP370" s="21">
        <v>0</v>
      </c>
      <c r="DQ370" s="21" t="s">
        <v>3049</v>
      </c>
      <c r="DR370" s="21">
        <v>45360</v>
      </c>
      <c r="DS370" s="21">
        <v>45360</v>
      </c>
      <c r="DT370" s="21">
        <v>45360</v>
      </c>
      <c r="DU370" s="21">
        <v>45360</v>
      </c>
      <c r="DV370" s="21">
        <v>45360</v>
      </c>
      <c r="DW370" s="21">
        <v>45360</v>
      </c>
      <c r="DX370" s="21">
        <v>45635</v>
      </c>
      <c r="DY370" s="21">
        <v>45360</v>
      </c>
      <c r="DZ370" s="21">
        <v>45635</v>
      </c>
      <c r="EA370" s="8">
        <v>290</v>
      </c>
      <c r="EB370" s="8">
        <v>290</v>
      </c>
      <c r="EC370" s="8">
        <v>290</v>
      </c>
      <c r="ED370" s="8">
        <v>290</v>
      </c>
      <c r="EE370" s="8">
        <v>290</v>
      </c>
      <c r="EF370" s="8">
        <v>1290</v>
      </c>
      <c r="EG370" s="8">
        <v>1000</v>
      </c>
      <c r="EH370" s="8">
        <v>1290</v>
      </c>
      <c r="EI370" s="8">
        <v>1290</v>
      </c>
      <c r="EJ370" s="8">
        <v>0</v>
      </c>
      <c r="EK370" s="8" t="s">
        <v>2624</v>
      </c>
      <c r="EL370" s="8">
        <v>14</v>
      </c>
      <c r="EM370" s="8">
        <v>0</v>
      </c>
      <c r="EN370" s="8">
        <v>2</v>
      </c>
      <c r="EO370" s="8">
        <v>2</v>
      </c>
      <c r="EP370" s="8">
        <v>2</v>
      </c>
      <c r="EQ370" s="8">
        <v>2</v>
      </c>
      <c r="ER370" s="8">
        <v>2</v>
      </c>
      <c r="ES370" s="8">
        <v>1002</v>
      </c>
      <c r="ET370" s="8">
        <v>712</v>
      </c>
      <c r="EU370" s="8">
        <v>1002</v>
      </c>
      <c r="EV370" s="8">
        <v>1002</v>
      </c>
    </row>
    <row r="371" spans="1:152" x14ac:dyDescent="0.15">
      <c r="A371" s="8">
        <f>ROW([2]!tbl_DPSAC[[#This Row],[Sl. No.]])-1</f>
        <v>370</v>
      </c>
      <c r="B371" s="9" t="s">
        <v>136</v>
      </c>
      <c r="C371" s="9" t="s">
        <v>2019</v>
      </c>
      <c r="D371" s="9" t="s">
        <v>1491</v>
      </c>
      <c r="E371" s="9" t="s">
        <v>1492</v>
      </c>
      <c r="F371" s="9" t="s">
        <v>161</v>
      </c>
      <c r="G371" s="10" t="s">
        <v>2020</v>
      </c>
      <c r="H371" s="10" t="str">
        <f>_xlfn.XLOOKUP(C371,'[1]E&amp;DPSAC'!$K:$K,'[1]E&amp;DPSAC'!$E:$E,,0)</f>
        <v>CHAS BOKARO</v>
      </c>
      <c r="I371" s="10"/>
      <c r="J371" s="10">
        <v>9234869985</v>
      </c>
      <c r="K371" s="10">
        <f>IF(_xlfn.XLOOKUP(C371,'[1]E&amp;DPSAC'!$K:$K,'[1]E&amp;DPSAC'!$G:$G,"",0)=J371,"",_xlfn.XLOOKUP(C371,'[1]E&amp;DPSAC'!$K:$K,'[1]E&amp;DPSAC'!$G:$G,"",0))</f>
        <v>9264207575</v>
      </c>
      <c r="L371" s="9" t="str">
        <f t="shared" ca="1" si="21"/>
        <v>Non - Warranty</v>
      </c>
      <c r="M371" s="11">
        <v>45366</v>
      </c>
      <c r="N371" s="12">
        <v>24</v>
      </c>
      <c r="O371" s="11">
        <f t="shared" si="23"/>
        <v>46112</v>
      </c>
      <c r="P371" s="8" t="s">
        <v>213</v>
      </c>
      <c r="Q371" s="16" t="s">
        <v>2028</v>
      </c>
      <c r="R371" s="15">
        <v>46059.532314814802</v>
      </c>
      <c r="S371" s="14">
        <v>3386</v>
      </c>
      <c r="T371" s="15">
        <v>46059</v>
      </c>
      <c r="U371" s="14">
        <v>3386</v>
      </c>
      <c r="V371" s="14">
        <v>3463</v>
      </c>
      <c r="W371" s="17">
        <v>46098.692083333299</v>
      </c>
      <c r="X371" s="14" t="s">
        <v>2857</v>
      </c>
      <c r="Y371" s="14">
        <v>673</v>
      </c>
      <c r="Z371" s="14" t="s">
        <v>2692</v>
      </c>
      <c r="AA371" s="18">
        <v>53.467685185198206</v>
      </c>
      <c r="AB371" s="18" t="s">
        <v>2692</v>
      </c>
      <c r="AC371" s="8">
        <f>tbl_DPSAC[[#This Row],[Current Month Due Count]]</f>
        <v>0</v>
      </c>
      <c r="AD371" s="8">
        <f>tbl_DPSAC[[#This Row],[Next Month Due2]]</f>
        <v>0</v>
      </c>
      <c r="AE371" s="8"/>
      <c r="AF371" s="8">
        <v>2</v>
      </c>
      <c r="AG371" s="14">
        <f t="shared" ca="1" si="22"/>
        <v>3492</v>
      </c>
      <c r="AH371" s="8" t="s">
        <v>2021</v>
      </c>
      <c r="AI371" s="8" t="s">
        <v>2022</v>
      </c>
      <c r="AJ371" s="8" t="s">
        <v>2023</v>
      </c>
      <c r="AK371" s="8" t="s">
        <v>2024</v>
      </c>
      <c r="AL371" s="8" t="s">
        <v>2025</v>
      </c>
      <c r="AM371" s="8" t="s">
        <v>2026</v>
      </c>
      <c r="AN371" s="8" t="s">
        <v>2027</v>
      </c>
      <c r="AO371" s="8">
        <v>0</v>
      </c>
      <c r="AP371" s="8">
        <v>0</v>
      </c>
      <c r="AQ371" s="8">
        <v>0</v>
      </c>
      <c r="AR371" s="8">
        <v>0</v>
      </c>
      <c r="AS371" s="8">
        <v>0</v>
      </c>
      <c r="AT371" s="8">
        <v>0</v>
      </c>
      <c r="AU371" s="8">
        <v>0</v>
      </c>
      <c r="AV371" s="8">
        <v>0</v>
      </c>
      <c r="AW371" s="8">
        <v>0</v>
      </c>
      <c r="AX371" s="8" t="s">
        <v>2007</v>
      </c>
      <c r="AY371" s="14">
        <v>3386</v>
      </c>
      <c r="AZ371" s="19">
        <v>46059</v>
      </c>
      <c r="BA371" s="14" t="s">
        <v>2028</v>
      </c>
      <c r="BB371" s="14">
        <v>2421</v>
      </c>
      <c r="BC371" s="19">
        <v>45813</v>
      </c>
      <c r="BD371" s="14" t="s">
        <v>2029</v>
      </c>
      <c r="BE371" s="14">
        <v>3386</v>
      </c>
      <c r="BF371" s="19">
        <v>46059</v>
      </c>
      <c r="BG371" s="14" t="s">
        <v>2028</v>
      </c>
      <c r="BH371" s="14">
        <v>3386</v>
      </c>
      <c r="BI371" s="19">
        <v>46059</v>
      </c>
      <c r="BJ371" s="14" t="s">
        <v>2028</v>
      </c>
      <c r="BK371" s="14">
        <v>2421</v>
      </c>
      <c r="BL371" s="19">
        <v>45813</v>
      </c>
      <c r="BM371" s="14" t="s">
        <v>2029</v>
      </c>
      <c r="BN371" s="27">
        <v>46239</v>
      </c>
      <c r="BO371" s="27">
        <v>45993</v>
      </c>
      <c r="BP371" s="27">
        <v>46239</v>
      </c>
      <c r="BQ371" s="27">
        <v>46239</v>
      </c>
      <c r="BR371" s="27">
        <v>46178</v>
      </c>
      <c r="BS371" s="28">
        <v>644</v>
      </c>
      <c r="BT371" s="29">
        <v>429</v>
      </c>
      <c r="BU371" s="29">
        <v>644</v>
      </c>
      <c r="BV371" s="29">
        <v>644</v>
      </c>
      <c r="BW371" s="29">
        <v>429</v>
      </c>
      <c r="BX371" s="30"/>
      <c r="BY371" s="8">
        <v>1</v>
      </c>
      <c r="BZ371" s="8">
        <v>0</v>
      </c>
      <c r="CA371" s="8">
        <v>0</v>
      </c>
      <c r="CB371" s="21">
        <v>46058.770833333299</v>
      </c>
      <c r="CC371" s="21">
        <v>45812.770833333299</v>
      </c>
      <c r="CD371" s="21">
        <v>45812.770833333299</v>
      </c>
      <c r="CE371" s="21">
        <v>46058.770833333299</v>
      </c>
      <c r="CF371" s="21">
        <v>46058.770833333299</v>
      </c>
      <c r="CG371" s="21">
        <v>45812.770833333299</v>
      </c>
      <c r="CH371" s="21">
        <v>45812.770833333299</v>
      </c>
      <c r="CI371" s="21">
        <v>45812.770833333299</v>
      </c>
      <c r="CJ371" s="21">
        <v>45812.770833333299</v>
      </c>
      <c r="CK371" s="22" t="s">
        <v>2959</v>
      </c>
      <c r="CL371" s="22" t="s">
        <v>3019</v>
      </c>
      <c r="CM371" s="22" t="s">
        <v>3019</v>
      </c>
      <c r="CN371" s="22" t="s">
        <v>2959</v>
      </c>
      <c r="CO371" s="22" t="s">
        <v>2959</v>
      </c>
      <c r="CP371" s="22" t="s">
        <v>2956</v>
      </c>
      <c r="CQ371" s="22" t="s">
        <v>2953</v>
      </c>
      <c r="CR371" s="22" t="s">
        <v>2956</v>
      </c>
      <c r="CS371" s="22" t="s">
        <v>2960</v>
      </c>
      <c r="CT371" s="22">
        <v>6</v>
      </c>
      <c r="CU371" s="21">
        <v>46142</v>
      </c>
      <c r="CV371" s="21">
        <v>45992</v>
      </c>
      <c r="CW371" s="21">
        <v>45992</v>
      </c>
      <c r="CX371" s="21">
        <v>46142</v>
      </c>
      <c r="CY371" s="21">
        <v>46142</v>
      </c>
      <c r="CZ371" s="21">
        <v>46082</v>
      </c>
      <c r="DA371" s="21">
        <v>46177</v>
      </c>
      <c r="DB371" s="21">
        <v>45992</v>
      </c>
      <c r="DC371" s="21">
        <v>46177</v>
      </c>
      <c r="DD371" s="8">
        <v>1</v>
      </c>
      <c r="DE371" s="8">
        <v>0</v>
      </c>
      <c r="DF371" s="8">
        <v>1</v>
      </c>
      <c r="DG371" s="8">
        <v>4</v>
      </c>
      <c r="DH371" s="8">
        <v>3</v>
      </c>
      <c r="DI371" s="8">
        <v>0</v>
      </c>
      <c r="DJ371" s="8" t="s">
        <v>2976</v>
      </c>
      <c r="DK371" s="21">
        <v>45366</v>
      </c>
      <c r="DL371" s="21">
        <v>45293.229166666664</v>
      </c>
      <c r="DM371" s="21">
        <v>46098</v>
      </c>
      <c r="DN371" s="18">
        <v>3463</v>
      </c>
      <c r="DO371" s="21">
        <v>0</v>
      </c>
      <c r="DP371" s="21">
        <v>0</v>
      </c>
      <c r="DQ371" s="21" t="s">
        <v>2955</v>
      </c>
      <c r="DR371" s="21">
        <v>46059</v>
      </c>
      <c r="DS371" s="21">
        <v>46059</v>
      </c>
      <c r="DT371" s="21">
        <v>46059</v>
      </c>
      <c r="DU371" s="21">
        <v>46059</v>
      </c>
      <c r="DV371" s="21">
        <v>46059</v>
      </c>
      <c r="DW371" s="21">
        <v>45813</v>
      </c>
      <c r="DX371" s="21">
        <v>46059</v>
      </c>
      <c r="DY371" s="21">
        <v>45813</v>
      </c>
      <c r="DZ371" s="21">
        <v>45813</v>
      </c>
      <c r="EA371" s="8">
        <v>468</v>
      </c>
      <c r="EB371" s="8">
        <v>673</v>
      </c>
      <c r="EC371" s="8">
        <v>673</v>
      </c>
      <c r="ED371" s="8">
        <v>673</v>
      </c>
      <c r="EE371" s="8">
        <v>673</v>
      </c>
      <c r="EF371" s="8">
        <v>458</v>
      </c>
      <c r="EG371" s="8">
        <v>1000</v>
      </c>
      <c r="EH371" s="8">
        <v>468</v>
      </c>
      <c r="EI371" s="8">
        <v>1968</v>
      </c>
      <c r="EJ371" s="8">
        <v>4</v>
      </c>
      <c r="EK371" s="8" t="s">
        <v>2624</v>
      </c>
      <c r="EL371" s="8">
        <v>14</v>
      </c>
      <c r="EM371" s="8">
        <v>28</v>
      </c>
      <c r="EN371" s="8">
        <v>180</v>
      </c>
      <c r="EO371" s="8">
        <v>385</v>
      </c>
      <c r="EP371" s="8">
        <v>385</v>
      </c>
      <c r="EQ371" s="8">
        <v>385</v>
      </c>
      <c r="ER371" s="8">
        <v>385</v>
      </c>
      <c r="ES371" s="8">
        <v>170</v>
      </c>
      <c r="ET371" s="8">
        <v>712</v>
      </c>
      <c r="EU371" s="8">
        <v>180</v>
      </c>
      <c r="EV371" s="8">
        <v>1680</v>
      </c>
    </row>
    <row r="372" spans="1:152" x14ac:dyDescent="0.15">
      <c r="A372" s="8">
        <f>ROW([2]!tbl_DPSAC[[#This Row],[Sl. No.]])-1</f>
        <v>371</v>
      </c>
      <c r="B372" s="9" t="s">
        <v>136</v>
      </c>
      <c r="C372" s="9" t="s">
        <v>2030</v>
      </c>
      <c r="D372" s="9" t="s">
        <v>138</v>
      </c>
      <c r="E372" s="9" t="s">
        <v>1232</v>
      </c>
      <c r="F372" s="9" t="s">
        <v>161</v>
      </c>
      <c r="G372" s="10" t="s">
        <v>2031</v>
      </c>
      <c r="H372" s="10" t="str">
        <f>_xlfn.XLOOKUP(C372,'[1]E&amp;DPSAC'!$K:$K,'[1]E&amp;DPSAC'!$E:$E,,0)</f>
        <v>DEOGRAH</v>
      </c>
      <c r="I372" s="10"/>
      <c r="J372" s="10">
        <v>8969595423</v>
      </c>
      <c r="K372" s="10" t="str">
        <f>IF(_xlfn.XLOOKUP(C372,'[1]E&amp;DPSAC'!$K:$K,'[1]E&amp;DPSAC'!$G:$G,"",0)=J372,"",_xlfn.XLOOKUP(C372,'[1]E&amp;DPSAC'!$K:$K,'[1]E&amp;DPSAC'!$G:$G,"",0))</f>
        <v/>
      </c>
      <c r="L372" s="9" t="str">
        <f t="shared" ca="1" si="21"/>
        <v>Non - Warranty</v>
      </c>
      <c r="M372" s="11">
        <v>45367</v>
      </c>
      <c r="N372" s="12">
        <v>24</v>
      </c>
      <c r="O372" s="11">
        <f t="shared" si="23"/>
        <v>46112</v>
      </c>
      <c r="P372" s="8" t="s">
        <v>213</v>
      </c>
      <c r="Q372" s="16" t="s">
        <v>2033</v>
      </c>
      <c r="R372" s="15">
        <v>45442.686111111114</v>
      </c>
      <c r="S372" s="14">
        <v>510</v>
      </c>
      <c r="T372" s="15">
        <v>45742</v>
      </c>
      <c r="U372" s="14">
        <v>829</v>
      </c>
      <c r="V372" s="14">
        <v>1440</v>
      </c>
      <c r="W372" s="17">
        <v>46098.723587963003</v>
      </c>
      <c r="X372" s="14" t="s">
        <v>2858</v>
      </c>
      <c r="Y372" s="14">
        <v>-180</v>
      </c>
      <c r="Z372" s="14" t="s">
        <v>2697</v>
      </c>
      <c r="AA372" s="18">
        <v>670.31388888888614</v>
      </c>
      <c r="AB372" s="18" t="s">
        <v>2697</v>
      </c>
      <c r="AC372" s="8">
        <f>tbl_DPSAC[[#This Row],[Current Month Due Count]]</f>
        <v>0</v>
      </c>
      <c r="AD372" s="8">
        <f>tbl_DPSAC[[#This Row],[Next Month Due2]]</f>
        <v>0</v>
      </c>
      <c r="AE372" s="8"/>
      <c r="AF372" s="8">
        <v>0</v>
      </c>
      <c r="AG372" s="14">
        <f t="shared" ca="1" si="22"/>
        <v>1440</v>
      </c>
      <c r="AH372" s="8" t="s">
        <v>2032</v>
      </c>
      <c r="AI372" s="8" t="s">
        <v>1601</v>
      </c>
      <c r="AJ372" s="8">
        <v>0</v>
      </c>
      <c r="AK372" s="8">
        <v>0</v>
      </c>
      <c r="AL372" s="8">
        <v>0</v>
      </c>
      <c r="AM372" s="8">
        <v>0</v>
      </c>
      <c r="AN372" s="8">
        <v>0</v>
      </c>
      <c r="AO372" s="8">
        <v>0</v>
      </c>
      <c r="AP372" s="8">
        <v>0</v>
      </c>
      <c r="AQ372" s="8">
        <v>0</v>
      </c>
      <c r="AR372" s="8">
        <v>0</v>
      </c>
      <c r="AS372" s="8">
        <v>0</v>
      </c>
      <c r="AT372" s="8">
        <v>0</v>
      </c>
      <c r="AU372" s="8">
        <v>0</v>
      </c>
      <c r="AV372" s="8">
        <v>0</v>
      </c>
      <c r="AW372" s="8">
        <v>0</v>
      </c>
      <c r="AX372" s="8" t="s">
        <v>2980</v>
      </c>
      <c r="AY372" s="14">
        <v>510</v>
      </c>
      <c r="AZ372" s="19">
        <v>45442</v>
      </c>
      <c r="BA372" s="14" t="s">
        <v>2033</v>
      </c>
      <c r="BB372" s="14">
        <v>1</v>
      </c>
      <c r="BC372" s="19">
        <v>45367</v>
      </c>
      <c r="BD372" s="14" t="s">
        <v>2034</v>
      </c>
      <c r="BE372" s="14">
        <v>510</v>
      </c>
      <c r="BF372" s="19">
        <v>45442</v>
      </c>
      <c r="BG372" s="14" t="s">
        <v>2033</v>
      </c>
      <c r="BH372" s="14">
        <v>510</v>
      </c>
      <c r="BI372" s="19">
        <v>45442</v>
      </c>
      <c r="BJ372" s="14" t="s">
        <v>2033</v>
      </c>
      <c r="BK372" s="14">
        <v>1</v>
      </c>
      <c r="BL372" s="19">
        <v>45367</v>
      </c>
      <c r="BM372" s="14" t="s">
        <v>2034</v>
      </c>
      <c r="BN372" s="27">
        <v>45622</v>
      </c>
      <c r="BO372" s="27">
        <v>45547</v>
      </c>
      <c r="BP372" s="27">
        <v>45622</v>
      </c>
      <c r="BQ372" s="27">
        <v>45622</v>
      </c>
      <c r="BR372" s="27">
        <v>45732</v>
      </c>
      <c r="BS372" s="28">
        <v>-180</v>
      </c>
      <c r="BT372" s="29">
        <v>61</v>
      </c>
      <c r="BU372" s="29">
        <v>-180</v>
      </c>
      <c r="BV372" s="29">
        <v>-180</v>
      </c>
      <c r="BW372" s="29">
        <v>61</v>
      </c>
      <c r="BX372" s="30"/>
      <c r="BY372" s="8">
        <v>5</v>
      </c>
      <c r="BZ372" s="8">
        <v>0</v>
      </c>
      <c r="CA372" s="8">
        <v>0</v>
      </c>
      <c r="CB372" s="21">
        <v>45441.770833333299</v>
      </c>
      <c r="CC372" s="21">
        <v>45441.770833333299</v>
      </c>
      <c r="CD372" s="21">
        <v>45441.770833333299</v>
      </c>
      <c r="CE372" s="21">
        <v>45441.770833333299</v>
      </c>
      <c r="CF372" s="21">
        <v>45441.770833333299</v>
      </c>
      <c r="CG372" s="21">
        <v>45441.770833333299</v>
      </c>
      <c r="CH372" s="21">
        <v>45441.770833333299</v>
      </c>
      <c r="CI372" s="21">
        <v>45441.770833333299</v>
      </c>
      <c r="CJ372" s="21">
        <v>45441.770833333299</v>
      </c>
      <c r="CK372" s="22" t="s">
        <v>2982</v>
      </c>
      <c r="CL372" s="22" t="s">
        <v>2982</v>
      </c>
      <c r="CM372" s="22" t="s">
        <v>2982</v>
      </c>
      <c r="CN372" s="22" t="s">
        <v>2982</v>
      </c>
      <c r="CO372" s="22" t="s">
        <v>2982</v>
      </c>
      <c r="CP372" s="22" t="s">
        <v>2982</v>
      </c>
      <c r="CQ372" s="22" t="s">
        <v>2953</v>
      </c>
      <c r="CR372" s="22" t="s">
        <v>2982</v>
      </c>
      <c r="CS372" s="22" t="s">
        <v>2982</v>
      </c>
      <c r="CT372" s="22">
        <v>0</v>
      </c>
      <c r="CU372" s="21">
        <v>0</v>
      </c>
      <c r="CV372" s="21">
        <v>0</v>
      </c>
      <c r="CW372" s="21">
        <v>0</v>
      </c>
      <c r="CX372" s="21">
        <v>0</v>
      </c>
      <c r="CY372" s="21">
        <v>0</v>
      </c>
      <c r="CZ372" s="21">
        <v>0</v>
      </c>
      <c r="DA372" s="21">
        <v>0</v>
      </c>
      <c r="DB372" s="21">
        <v>0</v>
      </c>
      <c r="DC372" s="21">
        <v>0</v>
      </c>
      <c r="DD372" s="8">
        <v>0</v>
      </c>
      <c r="DE372" s="8">
        <v>0</v>
      </c>
      <c r="DF372" s="8">
        <v>0</v>
      </c>
      <c r="DG372" s="8">
        <v>9</v>
      </c>
      <c r="DH372" s="8">
        <v>0</v>
      </c>
      <c r="DI372" s="8">
        <v>0</v>
      </c>
      <c r="DJ372" s="8" t="s">
        <v>2976</v>
      </c>
      <c r="DK372" s="21">
        <v>45367</v>
      </c>
      <c r="DL372" s="21">
        <v>45334.229166666664</v>
      </c>
      <c r="DM372" s="21">
        <v>46098</v>
      </c>
      <c r="DN372" s="18">
        <v>1440</v>
      </c>
      <c r="DO372" s="21">
        <v>0</v>
      </c>
      <c r="DP372" s="21">
        <v>0</v>
      </c>
      <c r="DQ372" s="21" t="s">
        <v>2955</v>
      </c>
      <c r="DR372" s="21">
        <v>45442</v>
      </c>
      <c r="DS372" s="21">
        <v>45442</v>
      </c>
      <c r="DT372" s="21">
        <v>45442</v>
      </c>
      <c r="DU372" s="21">
        <v>45442</v>
      </c>
      <c r="DV372" s="21">
        <v>45807</v>
      </c>
      <c r="DW372" s="21">
        <v>45442</v>
      </c>
      <c r="DX372" s="21">
        <v>45442</v>
      </c>
      <c r="DY372" s="21">
        <v>45442</v>
      </c>
      <c r="DZ372" s="21">
        <v>45442</v>
      </c>
      <c r="EA372" s="8">
        <v>60</v>
      </c>
      <c r="EB372" s="8">
        <v>60</v>
      </c>
      <c r="EC372" s="8">
        <v>60</v>
      </c>
      <c r="ED372" s="8">
        <v>60</v>
      </c>
      <c r="EE372" s="8">
        <v>60</v>
      </c>
      <c r="EF372" s="8">
        <v>60</v>
      </c>
      <c r="EG372" s="8">
        <v>1000</v>
      </c>
      <c r="EH372" s="8">
        <v>60</v>
      </c>
      <c r="EI372" s="8">
        <v>60</v>
      </c>
      <c r="EJ372" s="8">
        <v>0</v>
      </c>
      <c r="EK372" s="8" t="s">
        <v>2624</v>
      </c>
      <c r="EL372" s="8">
        <v>14</v>
      </c>
      <c r="EM372" s="8">
        <v>0</v>
      </c>
      <c r="EN372" s="8">
        <v>-228</v>
      </c>
      <c r="EO372" s="8">
        <v>-228</v>
      </c>
      <c r="EP372" s="8">
        <v>-228</v>
      </c>
      <c r="EQ372" s="8">
        <v>-228</v>
      </c>
      <c r="ER372" s="8">
        <v>-228</v>
      </c>
      <c r="ES372" s="8">
        <v>-228</v>
      </c>
      <c r="ET372" s="8">
        <v>712</v>
      </c>
      <c r="EU372" s="8">
        <v>-228</v>
      </c>
      <c r="EV372" s="8">
        <v>-228</v>
      </c>
    </row>
    <row r="373" spans="1:152" x14ac:dyDescent="0.15">
      <c r="A373" s="8">
        <f>ROW([2]!tbl_DPSAC[[#This Row],[Sl. No.]])-1</f>
        <v>372</v>
      </c>
      <c r="B373" s="9" t="s">
        <v>136</v>
      </c>
      <c r="C373" s="9" t="s">
        <v>2035</v>
      </c>
      <c r="D373" s="9" t="s">
        <v>1491</v>
      </c>
      <c r="E373" s="9" t="s">
        <v>1492</v>
      </c>
      <c r="F373" s="9" t="s">
        <v>161</v>
      </c>
      <c r="G373" s="10" t="s">
        <v>162</v>
      </c>
      <c r="H373" s="10" t="str">
        <f>_xlfn.XLOOKUP(C373,'[1]E&amp;DPSAC'!$K:$K,'[1]E&amp;DPSAC'!$E:$E,,0)</f>
        <v>AMLO PHUSHRO</v>
      </c>
      <c r="I373" s="10"/>
      <c r="J373" s="10">
        <v>9430312599</v>
      </c>
      <c r="K373" s="10">
        <f>IF(_xlfn.XLOOKUP(C373,'[1]E&amp;DPSAC'!$K:$K,'[1]E&amp;DPSAC'!$G:$G,"",0)=J373,"",_xlfn.XLOOKUP(C373,'[1]E&amp;DPSAC'!$K:$K,'[1]E&amp;DPSAC'!$G:$G,"",0))</f>
        <v>9006617909</v>
      </c>
      <c r="L373" s="9" t="str">
        <f t="shared" ca="1" si="21"/>
        <v>Warranty</v>
      </c>
      <c r="M373" s="11">
        <v>45384</v>
      </c>
      <c r="N373" s="12">
        <v>24</v>
      </c>
      <c r="O373" s="11">
        <f t="shared" si="23"/>
        <v>46142</v>
      </c>
      <c r="P373" s="8" t="s">
        <v>213</v>
      </c>
      <c r="Q373" s="16" t="s">
        <v>2045</v>
      </c>
      <c r="R373" s="15">
        <v>45972.7401157407</v>
      </c>
      <c r="S373" s="14">
        <v>5029</v>
      </c>
      <c r="T373" s="15">
        <v>45974</v>
      </c>
      <c r="U373" s="14">
        <v>5029</v>
      </c>
      <c r="V373" s="14">
        <v>5647</v>
      </c>
      <c r="W373" s="17">
        <v>46098.727199074099</v>
      </c>
      <c r="X373" s="14" t="s">
        <v>2859</v>
      </c>
      <c r="Y373" s="14">
        <v>132</v>
      </c>
      <c r="Z373" s="14" t="s">
        <v>2692</v>
      </c>
      <c r="AA373" s="18">
        <v>140.25988425929972</v>
      </c>
      <c r="AB373" s="18" t="s">
        <v>2692</v>
      </c>
      <c r="AC373" s="8">
        <f>tbl_DPSAC[[#This Row],[Current Month Due Count]]</f>
        <v>2</v>
      </c>
      <c r="AD373" s="8">
        <f>tbl_DPSAC[[#This Row],[Next Month Due2]]</f>
        <v>3</v>
      </c>
      <c r="AE373" s="8"/>
      <c r="AF373" s="8">
        <v>5</v>
      </c>
      <c r="AG373" s="14">
        <f t="shared" ca="1" si="22"/>
        <v>5718</v>
      </c>
      <c r="AH373" s="8" t="s">
        <v>2036</v>
      </c>
      <c r="AI373" s="8" t="s">
        <v>1878</v>
      </c>
      <c r="AJ373" s="8" t="s">
        <v>2037</v>
      </c>
      <c r="AK373" s="8" t="s">
        <v>2038</v>
      </c>
      <c r="AL373" s="8" t="s">
        <v>2039</v>
      </c>
      <c r="AM373" s="8">
        <v>0</v>
      </c>
      <c r="AN373" s="8" t="s">
        <v>2040</v>
      </c>
      <c r="AO373" s="8" t="s">
        <v>2041</v>
      </c>
      <c r="AP373" s="8" t="s">
        <v>2042</v>
      </c>
      <c r="AQ373" s="8" t="s">
        <v>2043</v>
      </c>
      <c r="AR373" s="8" t="s">
        <v>2044</v>
      </c>
      <c r="AS373" s="8">
        <v>0</v>
      </c>
      <c r="AT373" s="8">
        <v>0</v>
      </c>
      <c r="AU373" s="8">
        <v>0</v>
      </c>
      <c r="AV373" s="8">
        <v>0</v>
      </c>
      <c r="AW373" s="8">
        <v>0</v>
      </c>
      <c r="AX373" s="8" t="s">
        <v>2007</v>
      </c>
      <c r="AY373" s="14">
        <v>5029</v>
      </c>
      <c r="AZ373" s="19">
        <v>45972</v>
      </c>
      <c r="BA373" s="14" t="s">
        <v>2045</v>
      </c>
      <c r="BB373" s="14">
        <v>4500</v>
      </c>
      <c r="BC373" s="19">
        <v>45936</v>
      </c>
      <c r="BD373" s="14" t="s">
        <v>2046</v>
      </c>
      <c r="BE373" s="14">
        <v>5029</v>
      </c>
      <c r="BF373" s="19">
        <v>45972</v>
      </c>
      <c r="BG373" s="14" t="s">
        <v>2045</v>
      </c>
      <c r="BH373" s="14">
        <v>5029</v>
      </c>
      <c r="BI373" s="19">
        <v>45972</v>
      </c>
      <c r="BJ373" s="14" t="s">
        <v>2045</v>
      </c>
      <c r="BK373" s="14">
        <v>4500</v>
      </c>
      <c r="BL373" s="19">
        <v>45936</v>
      </c>
      <c r="BM373" s="14" t="s">
        <v>2046</v>
      </c>
      <c r="BN373" s="27">
        <v>46152</v>
      </c>
      <c r="BO373" s="27">
        <v>46116</v>
      </c>
      <c r="BP373" s="27">
        <v>46152</v>
      </c>
      <c r="BQ373" s="27">
        <v>46152</v>
      </c>
      <c r="BR373" s="27">
        <v>46116</v>
      </c>
      <c r="BS373" s="28">
        <v>61</v>
      </c>
      <c r="BT373" s="29">
        <v>282</v>
      </c>
      <c r="BU373" s="29">
        <v>61</v>
      </c>
      <c r="BV373" s="29">
        <v>61</v>
      </c>
      <c r="BW373" s="29">
        <v>282</v>
      </c>
      <c r="BX373" s="30"/>
      <c r="BY373" s="8">
        <v>0</v>
      </c>
      <c r="BZ373" s="8">
        <v>2</v>
      </c>
      <c r="CA373" s="8">
        <v>3</v>
      </c>
      <c r="CB373" s="21">
        <v>45971.770833333299</v>
      </c>
      <c r="CC373" s="21">
        <v>45971.770833333299</v>
      </c>
      <c r="CD373" s="21">
        <v>45971.770833333299</v>
      </c>
      <c r="CE373" s="21">
        <v>45971.770833333299</v>
      </c>
      <c r="CF373" s="21">
        <v>45971.770833333299</v>
      </c>
      <c r="CG373" s="21">
        <v>45935.770833333299</v>
      </c>
      <c r="CH373" s="21">
        <v>45935.770833333299</v>
      </c>
      <c r="CI373" s="21">
        <v>45935.770833333299</v>
      </c>
      <c r="CJ373" s="21">
        <v>45935.770833333299</v>
      </c>
      <c r="CK373" s="22" t="s">
        <v>3175</v>
      </c>
      <c r="CL373" s="22" t="s">
        <v>3175</v>
      </c>
      <c r="CM373" s="22" t="s">
        <v>3175</v>
      </c>
      <c r="CN373" s="22" t="s">
        <v>3175</v>
      </c>
      <c r="CO373" s="22" t="s">
        <v>3175</v>
      </c>
      <c r="CP373" s="22" t="s">
        <v>3027</v>
      </c>
      <c r="CQ373" s="22" t="s">
        <v>2953</v>
      </c>
      <c r="CR373" s="22" t="s">
        <v>3027</v>
      </c>
      <c r="CS373" s="22" t="s">
        <v>3027</v>
      </c>
      <c r="CT373" s="22">
        <v>5</v>
      </c>
      <c r="CU373" s="21">
        <v>46123</v>
      </c>
      <c r="CV373" s="21">
        <v>46123</v>
      </c>
      <c r="CW373" s="21">
        <v>46123</v>
      </c>
      <c r="CX373" s="21">
        <v>46123</v>
      </c>
      <c r="CY373" s="21">
        <v>46123</v>
      </c>
      <c r="CZ373" s="21">
        <v>46167</v>
      </c>
      <c r="DA373" s="21">
        <v>46230</v>
      </c>
      <c r="DB373" s="21">
        <v>46115</v>
      </c>
      <c r="DC373" s="21">
        <v>46167</v>
      </c>
      <c r="DD373" s="8">
        <v>0</v>
      </c>
      <c r="DE373" s="8">
        <v>0</v>
      </c>
      <c r="DF373" s="8">
        <v>0</v>
      </c>
      <c r="DG373" s="8">
        <v>0</v>
      </c>
      <c r="DH373" s="8">
        <v>6</v>
      </c>
      <c r="DI373" s="8">
        <v>2</v>
      </c>
      <c r="DJ373" s="8" t="s">
        <v>2976</v>
      </c>
      <c r="DK373" s="21">
        <v>45384</v>
      </c>
      <c r="DL373" s="21">
        <v>45342.229166666664</v>
      </c>
      <c r="DM373" s="21">
        <v>46098</v>
      </c>
      <c r="DN373" s="18">
        <v>5647</v>
      </c>
      <c r="DO373" s="21">
        <v>0</v>
      </c>
      <c r="DP373" s="21">
        <v>0</v>
      </c>
      <c r="DQ373" s="21" t="s">
        <v>2955</v>
      </c>
      <c r="DR373" s="21">
        <v>45972</v>
      </c>
      <c r="DS373" s="21">
        <v>45972</v>
      </c>
      <c r="DT373" s="21">
        <v>45972</v>
      </c>
      <c r="DU373" s="21">
        <v>45972</v>
      </c>
      <c r="DV373" s="21">
        <v>45972</v>
      </c>
      <c r="DW373" s="21">
        <v>45936</v>
      </c>
      <c r="DX373" s="21">
        <v>45936</v>
      </c>
      <c r="DY373" s="21">
        <v>45936</v>
      </c>
      <c r="DZ373" s="21">
        <v>45936</v>
      </c>
      <c r="EA373" s="8">
        <v>128</v>
      </c>
      <c r="EB373" s="8">
        <v>128</v>
      </c>
      <c r="EC373" s="8">
        <v>128</v>
      </c>
      <c r="ED373" s="8">
        <v>128</v>
      </c>
      <c r="EE373" s="8">
        <v>128</v>
      </c>
      <c r="EF373" s="8">
        <v>348</v>
      </c>
      <c r="EG373" s="8">
        <v>1000</v>
      </c>
      <c r="EH373" s="8">
        <v>668</v>
      </c>
      <c r="EI373" s="8">
        <v>348</v>
      </c>
      <c r="EJ373" s="8">
        <v>5</v>
      </c>
      <c r="EK373" s="8" t="s">
        <v>2624</v>
      </c>
      <c r="EL373" s="8">
        <v>14</v>
      </c>
      <c r="EM373" s="8">
        <v>70</v>
      </c>
      <c r="EN373" s="8">
        <v>-160</v>
      </c>
      <c r="EO373" s="8">
        <v>-160</v>
      </c>
      <c r="EP373" s="8">
        <v>-160</v>
      </c>
      <c r="EQ373" s="8">
        <v>-160</v>
      </c>
      <c r="ER373" s="8">
        <v>-160</v>
      </c>
      <c r="ES373" s="8">
        <v>60</v>
      </c>
      <c r="ET373" s="8">
        <v>712</v>
      </c>
      <c r="EU373" s="8">
        <v>380</v>
      </c>
      <c r="EV373" s="8">
        <v>60</v>
      </c>
    </row>
    <row r="374" spans="1:152" x14ac:dyDescent="0.15">
      <c r="A374" s="8">
        <f>ROW([2]!tbl_DPSAC[[#This Row],[Sl. No.]])-1</f>
        <v>373</v>
      </c>
      <c r="B374" s="9" t="s">
        <v>136</v>
      </c>
      <c r="C374" s="9" t="s">
        <v>2047</v>
      </c>
      <c r="D374" s="9" t="s">
        <v>1700</v>
      </c>
      <c r="E374" s="9" t="s">
        <v>1701</v>
      </c>
      <c r="F374" s="9" t="s">
        <v>161</v>
      </c>
      <c r="G374" s="10" t="s">
        <v>2048</v>
      </c>
      <c r="H374" s="10" t="s">
        <v>2049</v>
      </c>
      <c r="I374" s="10"/>
      <c r="J374" s="10">
        <v>9852619477</v>
      </c>
      <c r="K374" s="10" t="str">
        <f>IF(_xlfn.XLOOKUP(C374,'[1]E&amp;DPSAC'!$K:$K,'[1]E&amp;DPSAC'!$G:$G,"",0)=J374,"",_xlfn.XLOOKUP(C374,'[1]E&amp;DPSAC'!$K:$K,'[1]E&amp;DPSAC'!$G:$G,"",0))</f>
        <v/>
      </c>
      <c r="L374" s="9" t="str">
        <f t="shared" ca="1" si="21"/>
        <v>Warranty</v>
      </c>
      <c r="M374" s="11">
        <v>45384</v>
      </c>
      <c r="N374" s="12">
        <v>24</v>
      </c>
      <c r="O374" s="11">
        <f t="shared" si="23"/>
        <v>46142</v>
      </c>
      <c r="P374" s="8" t="s">
        <v>213</v>
      </c>
      <c r="Q374" s="16" t="s">
        <v>143</v>
      </c>
      <c r="R374" s="15" t="s">
        <v>143</v>
      </c>
      <c r="S374" s="14" t="s">
        <v>143</v>
      </c>
      <c r="T374" s="15" t="s">
        <v>143</v>
      </c>
      <c r="U374" s="14" t="s">
        <v>143</v>
      </c>
      <c r="V374" s="14">
        <v>510</v>
      </c>
      <c r="W374" s="17">
        <v>46098.731006944399</v>
      </c>
      <c r="X374" s="14" t="s">
        <v>143</v>
      </c>
      <c r="Y374" s="14">
        <v>0</v>
      </c>
      <c r="Z374" s="14" t="s">
        <v>2692</v>
      </c>
      <c r="AA374" s="18">
        <v>729</v>
      </c>
      <c r="AB374" s="18" t="s">
        <v>2697</v>
      </c>
      <c r="AC374" s="8">
        <f>tbl_DPSAC[[#This Row],[Current Month Due Count]]</f>
        <v>0</v>
      </c>
      <c r="AD374" s="8">
        <f>tbl_DPSAC[[#This Row],[Next Month Due2]]</f>
        <v>0</v>
      </c>
      <c r="AE374" s="8"/>
      <c r="AF374" s="8">
        <v>0</v>
      </c>
      <c r="AG374" s="14">
        <f t="shared" ca="1" si="22"/>
        <v>510</v>
      </c>
      <c r="AH374" s="8">
        <v>0</v>
      </c>
      <c r="AI374" s="8">
        <v>0</v>
      </c>
      <c r="AJ374" s="8">
        <v>0</v>
      </c>
      <c r="AK374" s="8">
        <v>0</v>
      </c>
      <c r="AL374" s="8">
        <v>0</v>
      </c>
      <c r="AM374" s="8">
        <v>0</v>
      </c>
      <c r="AN374" s="8">
        <v>0</v>
      </c>
      <c r="AO374" s="8">
        <v>0</v>
      </c>
      <c r="AP374" s="8">
        <v>0</v>
      </c>
      <c r="AQ374" s="8">
        <v>0</v>
      </c>
      <c r="AR374" s="8">
        <v>0</v>
      </c>
      <c r="AS374" s="8">
        <v>0</v>
      </c>
      <c r="AT374" s="8">
        <v>0</v>
      </c>
      <c r="AU374" s="8">
        <v>0</v>
      </c>
      <c r="AV374" s="8">
        <v>0</v>
      </c>
      <c r="AW374" s="8">
        <v>0</v>
      </c>
      <c r="AX374" s="8" t="s">
        <v>2007</v>
      </c>
      <c r="AY374" s="14">
        <v>1</v>
      </c>
      <c r="AZ374" s="19">
        <v>45384</v>
      </c>
      <c r="BA374" s="14" t="s">
        <v>2050</v>
      </c>
      <c r="BB374" s="14">
        <v>1</v>
      </c>
      <c r="BC374" s="19">
        <v>45384</v>
      </c>
      <c r="BD374" s="14" t="s">
        <v>2050</v>
      </c>
      <c r="BE374" s="14">
        <v>1</v>
      </c>
      <c r="BF374" s="19">
        <v>45384</v>
      </c>
      <c r="BG374" s="14" t="s">
        <v>2050</v>
      </c>
      <c r="BH374" s="14">
        <v>1</v>
      </c>
      <c r="BI374" s="19">
        <v>45384</v>
      </c>
      <c r="BJ374" s="14" t="s">
        <v>2050</v>
      </c>
      <c r="BK374" s="14">
        <v>1</v>
      </c>
      <c r="BL374" s="19">
        <v>45384</v>
      </c>
      <c r="BM374" s="14" t="s">
        <v>2050</v>
      </c>
      <c r="BN374" s="27">
        <v>45564</v>
      </c>
      <c r="BO374" s="27">
        <v>45564</v>
      </c>
      <c r="BP374" s="27">
        <v>45564</v>
      </c>
      <c r="BQ374" s="27">
        <v>45564</v>
      </c>
      <c r="BR374" s="27">
        <v>45564</v>
      </c>
      <c r="BS374" s="28">
        <v>241</v>
      </c>
      <c r="BT374" s="29">
        <v>991</v>
      </c>
      <c r="BU374" s="29">
        <v>241</v>
      </c>
      <c r="BV374" s="29">
        <v>241</v>
      </c>
      <c r="BW374" s="29">
        <v>991</v>
      </c>
      <c r="BX374" s="30"/>
      <c r="BY374" s="8">
        <v>5</v>
      </c>
      <c r="BZ374" s="8">
        <v>0</v>
      </c>
      <c r="CA374" s="8">
        <v>0</v>
      </c>
      <c r="CB374" s="21">
        <v>45383.770833333299</v>
      </c>
      <c r="CC374" s="21">
        <v>45383.770833333299</v>
      </c>
      <c r="CD374" s="21">
        <v>45383.770833333299</v>
      </c>
      <c r="CE374" s="21">
        <v>45383.770833333299</v>
      </c>
      <c r="CF374" s="21">
        <v>45383.770833333299</v>
      </c>
      <c r="CG374" s="21">
        <v>45383.770833333299</v>
      </c>
      <c r="CH374" s="21">
        <v>45383.770833333299</v>
      </c>
      <c r="CI374" s="21">
        <v>45383.770833333299</v>
      </c>
      <c r="CJ374" s="21">
        <v>45383.770833333299</v>
      </c>
      <c r="CK374" s="22" t="s">
        <v>3071</v>
      </c>
      <c r="CL374" s="22" t="s">
        <v>3071</v>
      </c>
      <c r="CM374" s="22" t="s">
        <v>3071</v>
      </c>
      <c r="CN374" s="22" t="s">
        <v>3071</v>
      </c>
      <c r="CO374" s="22" t="s">
        <v>3071</v>
      </c>
      <c r="CP374" s="22" t="s">
        <v>3176</v>
      </c>
      <c r="CQ374" s="22" t="s">
        <v>2953</v>
      </c>
      <c r="CR374" s="22" t="s">
        <v>3176</v>
      </c>
      <c r="CS374" s="22" t="s">
        <v>3176</v>
      </c>
      <c r="CT374" s="22">
        <v>0</v>
      </c>
      <c r="CU374" s="21">
        <v>0</v>
      </c>
      <c r="CV374" s="21">
        <v>0</v>
      </c>
      <c r="CW374" s="21">
        <v>0</v>
      </c>
      <c r="CX374" s="21">
        <v>0</v>
      </c>
      <c r="CY374" s="21">
        <v>0</v>
      </c>
      <c r="CZ374" s="21">
        <v>0</v>
      </c>
      <c r="DA374" s="21">
        <v>0</v>
      </c>
      <c r="DB374" s="21">
        <v>0</v>
      </c>
      <c r="DC374" s="21">
        <v>0</v>
      </c>
      <c r="DD374" s="8">
        <v>0</v>
      </c>
      <c r="DE374" s="8">
        <v>0</v>
      </c>
      <c r="DF374" s="8">
        <v>0</v>
      </c>
      <c r="DG374" s="8">
        <v>9</v>
      </c>
      <c r="DH374" s="8">
        <v>0</v>
      </c>
      <c r="DI374" s="8">
        <v>0</v>
      </c>
      <c r="DJ374" s="8" t="s">
        <v>2976</v>
      </c>
      <c r="DK374" s="21">
        <v>45384</v>
      </c>
      <c r="DL374" s="21">
        <v>45356.229166666664</v>
      </c>
      <c r="DM374" s="21">
        <v>46098</v>
      </c>
      <c r="DN374" s="18">
        <v>510</v>
      </c>
      <c r="DO374" s="21">
        <v>0</v>
      </c>
      <c r="DP374" s="21">
        <v>0</v>
      </c>
      <c r="DQ374" s="21" t="s">
        <v>3049</v>
      </c>
      <c r="DR374" s="21">
        <v>45384</v>
      </c>
      <c r="DS374" s="21">
        <v>45384</v>
      </c>
      <c r="DT374" s="21">
        <v>45384</v>
      </c>
      <c r="DU374" s="21">
        <v>45384</v>
      </c>
      <c r="DV374" s="21">
        <v>45384</v>
      </c>
      <c r="DW374" s="21">
        <v>45384</v>
      </c>
      <c r="DX374" s="21">
        <v>45384</v>
      </c>
      <c r="DY374" s="21">
        <v>45384</v>
      </c>
      <c r="DZ374" s="21">
        <v>45384</v>
      </c>
      <c r="EA374" s="8">
        <v>240</v>
      </c>
      <c r="EB374" s="8">
        <v>240</v>
      </c>
      <c r="EC374" s="8">
        <v>240</v>
      </c>
      <c r="ED374" s="8">
        <v>240</v>
      </c>
      <c r="EE374" s="8">
        <v>240</v>
      </c>
      <c r="EF374" s="8">
        <v>1240</v>
      </c>
      <c r="EG374" s="8">
        <v>1000</v>
      </c>
      <c r="EH374" s="8">
        <v>1240</v>
      </c>
      <c r="EI374" s="8">
        <v>1240</v>
      </c>
      <c r="EJ374" s="8">
        <v>0</v>
      </c>
      <c r="EK374" s="8" t="s">
        <v>2624</v>
      </c>
      <c r="EL374" s="8">
        <v>14</v>
      </c>
      <c r="EM374" s="8">
        <v>0</v>
      </c>
      <c r="EN374" s="8">
        <v>-48</v>
      </c>
      <c r="EO374" s="8">
        <v>-48</v>
      </c>
      <c r="EP374" s="8">
        <v>-48</v>
      </c>
      <c r="EQ374" s="8">
        <v>-48</v>
      </c>
      <c r="ER374" s="8">
        <v>-48</v>
      </c>
      <c r="ES374" s="8">
        <v>952</v>
      </c>
      <c r="ET374" s="8">
        <v>712</v>
      </c>
      <c r="EU374" s="8">
        <v>952</v>
      </c>
      <c r="EV374" s="8">
        <v>952</v>
      </c>
    </row>
    <row r="375" spans="1:152" x14ac:dyDescent="0.15">
      <c r="A375" s="8">
        <f>ROW([2]!tbl_DPSAC[[#This Row],[Sl. No.]])-1</f>
        <v>374</v>
      </c>
      <c r="B375" s="9" t="s">
        <v>196</v>
      </c>
      <c r="C375" s="9" t="s">
        <v>2051</v>
      </c>
      <c r="D375" s="9" t="s">
        <v>1491</v>
      </c>
      <c r="E375" s="9" t="s">
        <v>1492</v>
      </c>
      <c r="F375" s="9" t="s">
        <v>161</v>
      </c>
      <c r="G375" s="10" t="s">
        <v>2052</v>
      </c>
      <c r="H375" s="10" t="str">
        <f>_xlfn.XLOOKUP(C375,'[1]E&amp;DPSAC'!$K:$K,'[1]E&amp;DPSAC'!$E:$E,,0)</f>
        <v>CHAS BOKARO</v>
      </c>
      <c r="I375" s="10"/>
      <c r="J375" s="10">
        <v>6205665396</v>
      </c>
      <c r="K375" s="10" t="str">
        <f>IF(_xlfn.XLOOKUP(C375,'[1]E&amp;DPSAC'!$K:$K,'[1]E&amp;DPSAC'!$G:$G,"",0)=J375,"",_xlfn.XLOOKUP(C375,'[1]E&amp;DPSAC'!$K:$K,'[1]E&amp;DPSAC'!$G:$G,"",0))</f>
        <v/>
      </c>
      <c r="L375" s="9" t="str">
        <f t="shared" ca="1" si="21"/>
        <v>Warranty</v>
      </c>
      <c r="M375" s="11">
        <v>45386</v>
      </c>
      <c r="N375" s="12">
        <v>24</v>
      </c>
      <c r="O375" s="11">
        <f t="shared" si="23"/>
        <v>46142</v>
      </c>
      <c r="P375" s="8" t="s">
        <v>213</v>
      </c>
      <c r="Q375" s="16" t="s">
        <v>2055</v>
      </c>
      <c r="R375" s="15">
        <v>45448.723518518498</v>
      </c>
      <c r="S375" s="14">
        <v>434</v>
      </c>
      <c r="T375" s="15">
        <v>45471</v>
      </c>
      <c r="U375" s="14">
        <v>552</v>
      </c>
      <c r="V375" s="14">
        <v>2490</v>
      </c>
      <c r="W375" s="17">
        <v>46098.734537037002</v>
      </c>
      <c r="X375" s="14" t="s">
        <v>2860</v>
      </c>
      <c r="Y375" s="14">
        <v>-1306</v>
      </c>
      <c r="Z375" s="14" t="s">
        <v>2697</v>
      </c>
      <c r="AA375" s="18">
        <v>664.27648148150183</v>
      </c>
      <c r="AB375" s="18" t="s">
        <v>2697</v>
      </c>
      <c r="AC375" s="8">
        <f>tbl_DPSAC[[#This Row],[Current Month Due Count]]</f>
        <v>0</v>
      </c>
      <c r="AD375" s="8">
        <f>tbl_DPSAC[[#This Row],[Next Month Due2]]</f>
        <v>0</v>
      </c>
      <c r="AE375" s="8"/>
      <c r="AF375" s="8">
        <v>0</v>
      </c>
      <c r="AG375" s="14">
        <f t="shared" ca="1" si="22"/>
        <v>2490</v>
      </c>
      <c r="AH375" s="8" t="s">
        <v>2053</v>
      </c>
      <c r="AI375" s="8" t="s">
        <v>2054</v>
      </c>
      <c r="AJ375" s="8">
        <v>0</v>
      </c>
      <c r="AK375" s="8">
        <v>0</v>
      </c>
      <c r="AL375" s="8">
        <v>0</v>
      </c>
      <c r="AM375" s="8">
        <v>0</v>
      </c>
      <c r="AN375" s="8">
        <v>0</v>
      </c>
      <c r="AO375" s="8">
        <v>0</v>
      </c>
      <c r="AP375" s="8">
        <v>0</v>
      </c>
      <c r="AQ375" s="8">
        <v>0</v>
      </c>
      <c r="AR375" s="8">
        <v>0</v>
      </c>
      <c r="AS375" s="8">
        <v>0</v>
      </c>
      <c r="AT375" s="8">
        <v>0</v>
      </c>
      <c r="AU375" s="8">
        <v>0</v>
      </c>
      <c r="AV375" s="8">
        <v>0</v>
      </c>
      <c r="AW375" s="8">
        <v>0</v>
      </c>
      <c r="AX375" s="8" t="s">
        <v>2961</v>
      </c>
      <c r="AY375" s="14">
        <v>434</v>
      </c>
      <c r="AZ375" s="19">
        <v>45449</v>
      </c>
      <c r="BA375" s="14" t="s">
        <v>2055</v>
      </c>
      <c r="BB375" s="14">
        <v>1</v>
      </c>
      <c r="BC375" s="19">
        <v>45386</v>
      </c>
      <c r="BD375" s="14" t="s">
        <v>2056</v>
      </c>
      <c r="BE375" s="14">
        <v>434</v>
      </c>
      <c r="BF375" s="19">
        <v>45449</v>
      </c>
      <c r="BG375" s="14" t="s">
        <v>2055</v>
      </c>
      <c r="BH375" s="14">
        <v>434</v>
      </c>
      <c r="BI375" s="19">
        <v>45449</v>
      </c>
      <c r="BJ375" s="14" t="s">
        <v>2055</v>
      </c>
      <c r="BK375" s="14">
        <v>1</v>
      </c>
      <c r="BL375" s="19">
        <v>45386</v>
      </c>
      <c r="BM375" s="14" t="s">
        <v>2056</v>
      </c>
      <c r="BN375" s="27">
        <v>45629</v>
      </c>
      <c r="BO375" s="27">
        <v>45566</v>
      </c>
      <c r="BP375" s="27">
        <v>45629</v>
      </c>
      <c r="BQ375" s="27">
        <v>45629</v>
      </c>
      <c r="BR375" s="27">
        <v>45566</v>
      </c>
      <c r="BS375" s="28">
        <v>-1306</v>
      </c>
      <c r="BT375" s="29">
        <v>-989</v>
      </c>
      <c r="BU375" s="29">
        <v>-1306</v>
      </c>
      <c r="BV375" s="29">
        <v>-1306</v>
      </c>
      <c r="BW375" s="29">
        <v>-989</v>
      </c>
      <c r="BX375" s="30"/>
      <c r="BY375" s="8">
        <v>5</v>
      </c>
      <c r="BZ375" s="8">
        <v>0</v>
      </c>
      <c r="CA375" s="8">
        <v>0</v>
      </c>
      <c r="CB375" s="21">
        <v>45433.770833333299</v>
      </c>
      <c r="CC375" s="21">
        <v>45448.770833333299</v>
      </c>
      <c r="CD375" s="21">
        <v>45448.770833333299</v>
      </c>
      <c r="CE375" s="21">
        <v>45448.770833333299</v>
      </c>
      <c r="CF375" s="21">
        <v>45448.770833333299</v>
      </c>
      <c r="CG375" s="21">
        <v>45385.770833333299</v>
      </c>
      <c r="CH375" s="21">
        <v>45385.770833333299</v>
      </c>
      <c r="CI375" s="21">
        <v>45385.770833333299</v>
      </c>
      <c r="CJ375" s="21">
        <v>45385.770833333299</v>
      </c>
      <c r="CK375" s="22" t="s">
        <v>3036</v>
      </c>
      <c r="CL375" s="22" t="s">
        <v>3036</v>
      </c>
      <c r="CM375" s="22" t="s">
        <v>3036</v>
      </c>
      <c r="CN375" s="22" t="s">
        <v>3036</v>
      </c>
      <c r="CO375" s="22" t="s">
        <v>3036</v>
      </c>
      <c r="CP375" s="22" t="s">
        <v>3036</v>
      </c>
      <c r="CQ375" s="22" t="s">
        <v>2953</v>
      </c>
      <c r="CR375" s="22" t="s">
        <v>3036</v>
      </c>
      <c r="CS375" s="22" t="s">
        <v>3036</v>
      </c>
      <c r="CT375" s="22">
        <v>0</v>
      </c>
      <c r="CU375" s="21">
        <v>0</v>
      </c>
      <c r="CV375" s="21">
        <v>0</v>
      </c>
      <c r="CW375" s="21">
        <v>0</v>
      </c>
      <c r="CX375" s="21">
        <v>0</v>
      </c>
      <c r="CY375" s="21">
        <v>0</v>
      </c>
      <c r="CZ375" s="21">
        <v>0</v>
      </c>
      <c r="DA375" s="21">
        <v>0</v>
      </c>
      <c r="DB375" s="21">
        <v>0</v>
      </c>
      <c r="DC375" s="21">
        <v>0</v>
      </c>
      <c r="DD375" s="8">
        <v>0</v>
      </c>
      <c r="DE375" s="8">
        <v>0</v>
      </c>
      <c r="DF375" s="8">
        <v>0</v>
      </c>
      <c r="DG375" s="8">
        <v>9</v>
      </c>
      <c r="DH375" s="8">
        <v>0</v>
      </c>
      <c r="DI375" s="8">
        <v>0</v>
      </c>
      <c r="DJ375" s="8" t="s">
        <v>2976</v>
      </c>
      <c r="DK375" s="21">
        <v>45386</v>
      </c>
      <c r="DL375" s="21">
        <v>45345.229861111111</v>
      </c>
      <c r="DM375" s="21">
        <v>46098</v>
      </c>
      <c r="DN375" s="18">
        <v>2490</v>
      </c>
      <c r="DO375" s="21">
        <v>0</v>
      </c>
      <c r="DP375" s="21">
        <v>0</v>
      </c>
      <c r="DQ375" s="21" t="s">
        <v>2955</v>
      </c>
      <c r="DR375" s="21">
        <v>45434</v>
      </c>
      <c r="DS375" s="21">
        <v>45449</v>
      </c>
      <c r="DT375" s="21">
        <v>45449</v>
      </c>
      <c r="DU375" s="21">
        <v>45449</v>
      </c>
      <c r="DV375" s="21">
        <v>45449</v>
      </c>
      <c r="DW375" s="21">
        <v>45386</v>
      </c>
      <c r="DX375" s="21">
        <v>45386</v>
      </c>
      <c r="DY375" s="21">
        <v>45386</v>
      </c>
      <c r="DZ375" s="21">
        <v>45386</v>
      </c>
      <c r="EA375" s="8">
        <v>510</v>
      </c>
      <c r="EB375" s="8">
        <v>510</v>
      </c>
      <c r="EC375" s="8">
        <v>510</v>
      </c>
      <c r="ED375" s="8">
        <v>610</v>
      </c>
      <c r="EE375" s="8">
        <v>510</v>
      </c>
      <c r="EF375" s="8">
        <v>510</v>
      </c>
      <c r="EG375" s="8">
        <v>1000</v>
      </c>
      <c r="EH375" s="8">
        <v>510</v>
      </c>
      <c r="EI375" s="8">
        <v>510</v>
      </c>
      <c r="EJ375" s="8">
        <v>0</v>
      </c>
      <c r="EK375" s="8" t="s">
        <v>2624</v>
      </c>
      <c r="EL375" s="8">
        <v>14</v>
      </c>
      <c r="EM375" s="8">
        <v>0</v>
      </c>
      <c r="EN375" s="8">
        <v>222</v>
      </c>
      <c r="EO375" s="8">
        <v>222</v>
      </c>
      <c r="EP375" s="8">
        <v>222</v>
      </c>
      <c r="EQ375" s="8">
        <v>322</v>
      </c>
      <c r="ER375" s="8">
        <v>222</v>
      </c>
      <c r="ES375" s="8">
        <v>222</v>
      </c>
      <c r="ET375" s="8">
        <v>712</v>
      </c>
      <c r="EU375" s="8">
        <v>222</v>
      </c>
      <c r="EV375" s="8">
        <v>222</v>
      </c>
    </row>
    <row r="376" spans="1:152" x14ac:dyDescent="0.15">
      <c r="A376" s="8">
        <f>ROW([2]!tbl_DPSAC[[#This Row],[Sl. No.]])-1</f>
        <v>375</v>
      </c>
      <c r="B376" s="9" t="s">
        <v>196</v>
      </c>
      <c r="C376" s="9" t="s">
        <v>2057</v>
      </c>
      <c r="D376" s="9" t="s">
        <v>532</v>
      </c>
      <c r="E376" s="9" t="s">
        <v>217</v>
      </c>
      <c r="F376" s="9" t="s">
        <v>161</v>
      </c>
      <c r="G376" s="10" t="s">
        <v>2058</v>
      </c>
      <c r="H376" s="10" t="str">
        <f>_xlfn.XLOOKUP(C376,'[1]E&amp;DPSAC'!$K:$K,'[1]E&amp;DPSAC'!$E:$E,,0)</f>
        <v>BEGUSARAI</v>
      </c>
      <c r="I376" s="10"/>
      <c r="J376" s="10">
        <v>790329720</v>
      </c>
      <c r="K376" s="10">
        <f>IF(_xlfn.XLOOKUP(C376,'[1]E&amp;DPSAC'!$K:$K,'[1]E&amp;DPSAC'!$G:$G,"",0)=J376,"",_xlfn.XLOOKUP(C376,'[1]E&amp;DPSAC'!$K:$K,'[1]E&amp;DPSAC'!$G:$G,"",0))</f>
        <v>7903297200</v>
      </c>
      <c r="L376" s="9" t="str">
        <f t="shared" ca="1" si="21"/>
        <v>Warranty</v>
      </c>
      <c r="M376" s="11">
        <v>45388</v>
      </c>
      <c r="N376" s="12">
        <v>24</v>
      </c>
      <c r="O376" s="11">
        <f t="shared" si="23"/>
        <v>46142</v>
      </c>
      <c r="P376" s="8" t="s">
        <v>213</v>
      </c>
      <c r="Q376" s="16" t="s">
        <v>2059</v>
      </c>
      <c r="R376" s="15">
        <v>45649.521967592598</v>
      </c>
      <c r="S376" s="14">
        <v>956</v>
      </c>
      <c r="T376" s="15">
        <v>45649</v>
      </c>
      <c r="U376" s="14">
        <v>956</v>
      </c>
      <c r="V376" s="14">
        <v>1387</v>
      </c>
      <c r="W376" s="17">
        <v>46098.742118055598</v>
      </c>
      <c r="X376" s="14" t="s">
        <v>2861</v>
      </c>
      <c r="Y376" s="14">
        <v>319</v>
      </c>
      <c r="Z376" s="14" t="s">
        <v>2692</v>
      </c>
      <c r="AA376" s="18">
        <v>463.47803240740177</v>
      </c>
      <c r="AB376" s="18" t="s">
        <v>2697</v>
      </c>
      <c r="AC376" s="8">
        <f>tbl_DPSAC[[#This Row],[Current Month Due Count]]</f>
        <v>0</v>
      </c>
      <c r="AD376" s="8">
        <f>tbl_DPSAC[[#This Row],[Next Month Due2]]</f>
        <v>0</v>
      </c>
      <c r="AE376" s="8"/>
      <c r="AF376" s="8">
        <v>1</v>
      </c>
      <c r="AG376" s="14">
        <f t="shared" ca="1" si="22"/>
        <v>1401</v>
      </c>
      <c r="AH376" s="8">
        <v>0</v>
      </c>
      <c r="AI376" s="8">
        <v>0</v>
      </c>
      <c r="AJ376" s="8">
        <v>0</v>
      </c>
      <c r="AK376" s="8">
        <v>0</v>
      </c>
      <c r="AL376" s="8">
        <v>0</v>
      </c>
      <c r="AM376" s="8">
        <v>0</v>
      </c>
      <c r="AN376" s="8">
        <v>0</v>
      </c>
      <c r="AO376" s="8">
        <v>0</v>
      </c>
      <c r="AP376" s="8">
        <v>0</v>
      </c>
      <c r="AQ376" s="8">
        <v>0</v>
      </c>
      <c r="AR376" s="8">
        <v>0</v>
      </c>
      <c r="AS376" s="8">
        <v>0</v>
      </c>
      <c r="AT376" s="8">
        <v>0</v>
      </c>
      <c r="AU376" s="8">
        <v>0</v>
      </c>
      <c r="AV376" s="8">
        <v>0</v>
      </c>
      <c r="AW376" s="8">
        <v>0</v>
      </c>
      <c r="AX376" s="8" t="s">
        <v>2007</v>
      </c>
      <c r="AY376" s="14">
        <v>956</v>
      </c>
      <c r="AZ376" s="19">
        <v>45649</v>
      </c>
      <c r="BA376" s="14" t="s">
        <v>2059</v>
      </c>
      <c r="BB376" s="14">
        <v>1</v>
      </c>
      <c r="BC376" s="19">
        <v>45388</v>
      </c>
      <c r="BD376" s="14" t="s">
        <v>2060</v>
      </c>
      <c r="BE376" s="14">
        <v>956</v>
      </c>
      <c r="BF376" s="19">
        <v>45649</v>
      </c>
      <c r="BG376" s="14" t="s">
        <v>2059</v>
      </c>
      <c r="BH376" s="14">
        <v>956</v>
      </c>
      <c r="BI376" s="19">
        <v>45649</v>
      </c>
      <c r="BJ376" s="14" t="s">
        <v>2059</v>
      </c>
      <c r="BK376" s="14">
        <v>1</v>
      </c>
      <c r="BL376" s="19">
        <v>45388</v>
      </c>
      <c r="BM376" s="14" t="s">
        <v>2060</v>
      </c>
      <c r="BN376" s="27">
        <v>45829</v>
      </c>
      <c r="BO376" s="27">
        <v>45568</v>
      </c>
      <c r="BP376" s="27">
        <v>45829</v>
      </c>
      <c r="BQ376" s="27">
        <v>45829</v>
      </c>
      <c r="BR376" s="27">
        <v>45568</v>
      </c>
      <c r="BS376" s="28">
        <v>305</v>
      </c>
      <c r="BT376" s="29">
        <v>100</v>
      </c>
      <c r="BU376" s="29">
        <v>305</v>
      </c>
      <c r="BV376" s="29">
        <v>305</v>
      </c>
      <c r="BW376" s="29">
        <v>100</v>
      </c>
      <c r="BX376" s="30"/>
      <c r="BY376" s="8">
        <v>5</v>
      </c>
      <c r="BZ376" s="8">
        <v>0</v>
      </c>
      <c r="CA376" s="8">
        <v>0</v>
      </c>
      <c r="CB376" s="21">
        <v>45387.770833333299</v>
      </c>
      <c r="CC376" s="21">
        <v>45648.770833333299</v>
      </c>
      <c r="CD376" s="21">
        <v>0</v>
      </c>
      <c r="CE376" s="21">
        <v>45648.770833333299</v>
      </c>
      <c r="CF376" s="21">
        <v>45648.770833333299</v>
      </c>
      <c r="CG376" s="21">
        <v>45387.770833333299</v>
      </c>
      <c r="CH376" s="21">
        <v>45387.770833333299</v>
      </c>
      <c r="CI376" s="21">
        <v>45397.770833333299</v>
      </c>
      <c r="CJ376" s="21">
        <v>45387.770833333299</v>
      </c>
      <c r="CK376" s="22" t="s">
        <v>2972</v>
      </c>
      <c r="CL376" s="22" t="s">
        <v>3177</v>
      </c>
      <c r="CM376" s="22" t="s">
        <v>3177</v>
      </c>
      <c r="CN376" s="22" t="s">
        <v>3177</v>
      </c>
      <c r="CO376" s="22" t="s">
        <v>3177</v>
      </c>
      <c r="CP376" s="22" t="s">
        <v>3054</v>
      </c>
      <c r="CQ376" s="22" t="s">
        <v>2953</v>
      </c>
      <c r="CR376" s="22" t="s">
        <v>3054</v>
      </c>
      <c r="CS376" s="22" t="s">
        <v>3054</v>
      </c>
      <c r="CT376" s="22">
        <v>1</v>
      </c>
      <c r="CU376" s="21">
        <v>45567</v>
      </c>
      <c r="CV376" s="21">
        <v>45828</v>
      </c>
      <c r="CW376" s="21">
        <v>46155</v>
      </c>
      <c r="CX376" s="21">
        <v>45828</v>
      </c>
      <c r="CY376" s="21">
        <v>45828</v>
      </c>
      <c r="CZ376" s="21">
        <v>45657</v>
      </c>
      <c r="DA376" s="21">
        <v>45752</v>
      </c>
      <c r="DB376" s="21">
        <v>45577</v>
      </c>
      <c r="DC376" s="21">
        <v>45752</v>
      </c>
      <c r="DD376" s="8">
        <v>1</v>
      </c>
      <c r="DE376" s="8">
        <v>0</v>
      </c>
      <c r="DF376" s="8">
        <v>0</v>
      </c>
      <c r="DG376" s="8">
        <v>8</v>
      </c>
      <c r="DH376" s="8">
        <v>0</v>
      </c>
      <c r="DI376" s="8">
        <v>1</v>
      </c>
      <c r="DJ376" s="8" t="s">
        <v>2976</v>
      </c>
      <c r="DK376" s="21">
        <v>45388</v>
      </c>
      <c r="DL376" s="21">
        <v>45370.229166666664</v>
      </c>
      <c r="DM376" s="21">
        <v>46098</v>
      </c>
      <c r="DN376" s="18">
        <v>1387</v>
      </c>
      <c r="DO376" s="21">
        <v>0</v>
      </c>
      <c r="DP376" s="21">
        <v>0</v>
      </c>
      <c r="DQ376" s="21" t="s">
        <v>3049</v>
      </c>
      <c r="DR376" s="21">
        <v>45388</v>
      </c>
      <c r="DS376" s="21">
        <v>45649</v>
      </c>
      <c r="DT376" s="21">
        <v>45649</v>
      </c>
      <c r="DU376" s="21">
        <v>45649</v>
      </c>
      <c r="DV376" s="21">
        <v>45649</v>
      </c>
      <c r="DW376" s="21">
        <v>45388</v>
      </c>
      <c r="DX376" s="21">
        <v>45388</v>
      </c>
      <c r="DY376" s="21">
        <v>45388</v>
      </c>
      <c r="DZ376" s="21">
        <v>45022</v>
      </c>
      <c r="EA376" s="8">
        <v>313</v>
      </c>
      <c r="EB376" s="8">
        <v>318</v>
      </c>
      <c r="EC376" s="8">
        <v>318</v>
      </c>
      <c r="ED376" s="8">
        <v>318</v>
      </c>
      <c r="EE376" s="8">
        <v>318</v>
      </c>
      <c r="EF376" s="8">
        <v>113</v>
      </c>
      <c r="EG376" s="8">
        <v>113</v>
      </c>
      <c r="EH376" s="8">
        <v>933</v>
      </c>
      <c r="EI376" s="8">
        <v>113</v>
      </c>
      <c r="EJ376" s="8">
        <v>1</v>
      </c>
      <c r="EK376" s="8" t="s">
        <v>2624</v>
      </c>
      <c r="EL376" s="8">
        <v>14</v>
      </c>
      <c r="EM376" s="8">
        <v>14</v>
      </c>
      <c r="EN376" s="8">
        <v>25</v>
      </c>
      <c r="EO376" s="8">
        <v>30</v>
      </c>
      <c r="EP376" s="8">
        <v>30</v>
      </c>
      <c r="EQ376" s="8">
        <v>30</v>
      </c>
      <c r="ER376" s="8">
        <v>30</v>
      </c>
      <c r="ES376" s="8">
        <v>-175</v>
      </c>
      <c r="ET376" s="8">
        <v>-175</v>
      </c>
      <c r="EU376" s="8">
        <v>645</v>
      </c>
      <c r="EV376" s="8">
        <v>-175</v>
      </c>
    </row>
    <row r="377" spans="1:152" x14ac:dyDescent="0.15">
      <c r="A377" s="8">
        <f>ROW([2]!tbl_DPSAC[[#This Row],[Sl. No.]])-1</f>
        <v>376</v>
      </c>
      <c r="B377" s="9" t="s">
        <v>136</v>
      </c>
      <c r="C377" s="9" t="s">
        <v>2061</v>
      </c>
      <c r="D377" s="9" t="s">
        <v>2062</v>
      </c>
      <c r="E377" s="8" t="s">
        <v>639</v>
      </c>
      <c r="F377" s="9" t="s">
        <v>161</v>
      </c>
      <c r="G377" s="10" t="s">
        <v>2063</v>
      </c>
      <c r="H377" s="10" t="str">
        <f>_xlfn.XLOOKUP(C377,'[1]E&amp;DPSAC'!$K:$K,'[1]E&amp;DPSAC'!$E:$E,,0)</f>
        <v>BARKAGAON, HAZARIBAGH</v>
      </c>
      <c r="I377" s="10"/>
      <c r="J377" s="10">
        <v>6201387183</v>
      </c>
      <c r="K377" s="10">
        <f>_xlfn.XLOOKUP(C377,'[1]E&amp;DPSAC'!$K:$K,'[1]E&amp;DPSAC'!$G:$G,"",0)</f>
        <v>9534176193</v>
      </c>
      <c r="L377" s="9" t="str">
        <f t="shared" ca="1" si="21"/>
        <v>Non - Warranty</v>
      </c>
      <c r="M377" s="11">
        <v>45190</v>
      </c>
      <c r="N377" s="12">
        <v>24</v>
      </c>
      <c r="O377" s="11">
        <f t="shared" si="23"/>
        <v>45930</v>
      </c>
      <c r="P377" s="8" t="s">
        <v>213</v>
      </c>
      <c r="Q377" s="16" t="s">
        <v>2066</v>
      </c>
      <c r="R377" s="15">
        <v>45594.706250000003</v>
      </c>
      <c r="S377" s="14">
        <v>2032</v>
      </c>
      <c r="T377" s="15">
        <v>45595</v>
      </c>
      <c r="U377" s="14">
        <v>2032</v>
      </c>
      <c r="V377" s="14">
        <v>3735</v>
      </c>
      <c r="W377" s="17">
        <v>45966.666666666664</v>
      </c>
      <c r="X377" s="14" t="s">
        <v>2862</v>
      </c>
      <c r="Y377" s="14">
        <v>-953</v>
      </c>
      <c r="Z377" s="14" t="s">
        <v>2697</v>
      </c>
      <c r="AA377" s="18">
        <v>518.29374999999709</v>
      </c>
      <c r="AB377" s="18" t="s">
        <v>2697</v>
      </c>
      <c r="AC377" s="8">
        <f>tbl_DPSAC[[#This Row],[Current Month Due Count]]</f>
        <v>0</v>
      </c>
      <c r="AD377" s="8">
        <f>tbl_DPSAC[[#This Row],[Next Month Due2]]</f>
        <v>0</v>
      </c>
      <c r="AE377" s="8"/>
      <c r="AF377" s="8">
        <v>1</v>
      </c>
      <c r="AG377" s="14">
        <f t="shared" ca="1" si="22"/>
        <v>3881</v>
      </c>
      <c r="AH377" s="8" t="s">
        <v>2064</v>
      </c>
      <c r="AI377" s="8" t="s">
        <v>2065</v>
      </c>
      <c r="AJ377" s="8">
        <v>0</v>
      </c>
      <c r="AK377" s="8">
        <v>0</v>
      </c>
      <c r="AL377" s="8">
        <v>0</v>
      </c>
      <c r="AM377" s="8">
        <v>0</v>
      </c>
      <c r="AN377" s="8">
        <v>0</v>
      </c>
      <c r="AO377" s="8">
        <v>0</v>
      </c>
      <c r="AP377" s="8">
        <v>0</v>
      </c>
      <c r="AQ377" s="8">
        <v>0</v>
      </c>
      <c r="AR377" s="8">
        <v>0</v>
      </c>
      <c r="AS377" s="8">
        <v>0</v>
      </c>
      <c r="AT377" s="8">
        <v>0</v>
      </c>
      <c r="AU377" s="8">
        <v>0</v>
      </c>
      <c r="AV377" s="8">
        <v>0</v>
      </c>
      <c r="AW377" s="8">
        <v>0</v>
      </c>
      <c r="AX377" s="8" t="s">
        <v>2961</v>
      </c>
      <c r="AY377" s="14">
        <v>2032</v>
      </c>
      <c r="AZ377" s="19">
        <v>45594</v>
      </c>
      <c r="BA377" s="14" t="s">
        <v>2066</v>
      </c>
      <c r="BB377" s="14">
        <v>2032</v>
      </c>
      <c r="BC377" s="19">
        <v>45594</v>
      </c>
      <c r="BD377" s="14" t="s">
        <v>2066</v>
      </c>
      <c r="BE377" s="14">
        <v>2032</v>
      </c>
      <c r="BF377" s="19">
        <v>45594</v>
      </c>
      <c r="BG377" s="14" t="s">
        <v>2066</v>
      </c>
      <c r="BH377" s="14">
        <v>2032</v>
      </c>
      <c r="BI377" s="19">
        <v>45594</v>
      </c>
      <c r="BJ377" s="14" t="s">
        <v>2066</v>
      </c>
      <c r="BK377" s="14">
        <v>1</v>
      </c>
      <c r="BL377" s="19">
        <v>45190</v>
      </c>
      <c r="BM377" s="14" t="s">
        <v>2067</v>
      </c>
      <c r="BN377" s="27">
        <v>45774</v>
      </c>
      <c r="BO377" s="27">
        <v>45774</v>
      </c>
      <c r="BP377" s="27">
        <v>45774</v>
      </c>
      <c r="BQ377" s="27">
        <v>45774</v>
      </c>
      <c r="BR377" s="27">
        <v>45370</v>
      </c>
      <c r="BS377" s="28">
        <v>-1099</v>
      </c>
      <c r="BT377" s="29">
        <v>-349</v>
      </c>
      <c r="BU377" s="29">
        <v>-1099</v>
      </c>
      <c r="BV377" s="29">
        <v>-1099</v>
      </c>
      <c r="BW377" s="29">
        <v>-2380</v>
      </c>
      <c r="BX377" s="30"/>
      <c r="BY377" s="8">
        <v>5</v>
      </c>
      <c r="BZ377" s="8">
        <v>0</v>
      </c>
      <c r="CA377" s="8">
        <v>0</v>
      </c>
      <c r="CB377" s="21">
        <v>45593.770833333299</v>
      </c>
      <c r="CC377" s="21">
        <v>45593.770833333299</v>
      </c>
      <c r="CD377" s="21">
        <v>45593.770833333299</v>
      </c>
      <c r="CE377" s="21">
        <v>45593.770833333299</v>
      </c>
      <c r="CF377" s="21">
        <v>45412.770833333299</v>
      </c>
      <c r="CG377" s="21">
        <v>45593.770833333299</v>
      </c>
      <c r="CH377" s="21">
        <v>0</v>
      </c>
      <c r="CI377" s="21">
        <v>0</v>
      </c>
      <c r="CJ377" s="21">
        <v>0</v>
      </c>
      <c r="CK377" s="22" t="s">
        <v>3178</v>
      </c>
      <c r="CL377" s="22" t="s">
        <v>3178</v>
      </c>
      <c r="CM377" s="22" t="s">
        <v>3178</v>
      </c>
      <c r="CN377" s="22" t="s">
        <v>3178</v>
      </c>
      <c r="CO377" s="22" t="s">
        <v>3178</v>
      </c>
      <c r="CP377" s="22" t="s">
        <v>3178</v>
      </c>
      <c r="CQ377" s="22" t="s">
        <v>2953</v>
      </c>
      <c r="CR377" s="22" t="s">
        <v>3178</v>
      </c>
      <c r="CS377" s="22" t="s">
        <v>3178</v>
      </c>
      <c r="CT377" s="22">
        <v>1</v>
      </c>
      <c r="CU377" s="21">
        <v>45773</v>
      </c>
      <c r="CV377" s="21">
        <v>45773</v>
      </c>
      <c r="CW377" s="21">
        <v>45773</v>
      </c>
      <c r="CX377" s="21">
        <v>45773</v>
      </c>
      <c r="CY377" s="21">
        <v>45592</v>
      </c>
      <c r="CZ377" s="21">
        <v>45863</v>
      </c>
      <c r="DA377" s="21">
        <v>46059</v>
      </c>
      <c r="DB377" s="21">
        <v>46031</v>
      </c>
      <c r="DC377" s="21">
        <v>46079</v>
      </c>
      <c r="DD377" s="8">
        <v>1</v>
      </c>
      <c r="DE377" s="8">
        <v>1</v>
      </c>
      <c r="DF377" s="8">
        <v>0</v>
      </c>
      <c r="DG377" s="8">
        <v>9</v>
      </c>
      <c r="DH377" s="8">
        <v>0</v>
      </c>
      <c r="DI377" s="8">
        <v>0</v>
      </c>
      <c r="DJ377" s="8" t="s">
        <v>2976</v>
      </c>
      <c r="DK377" s="21">
        <v>45190</v>
      </c>
      <c r="DL377" s="21">
        <v>45166.229166666664</v>
      </c>
      <c r="DM377" s="21">
        <v>45966</v>
      </c>
      <c r="DN377" s="18">
        <v>3735</v>
      </c>
      <c r="DO377" s="21">
        <v>0</v>
      </c>
      <c r="DP377" s="21">
        <v>0</v>
      </c>
      <c r="DQ377" s="21" t="s">
        <v>2955</v>
      </c>
      <c r="DR377" s="21">
        <v>45594</v>
      </c>
      <c r="DS377" s="21">
        <v>45594</v>
      </c>
      <c r="DT377" s="21">
        <v>45594</v>
      </c>
      <c r="DU377" s="21">
        <v>45594</v>
      </c>
      <c r="DV377" s="21">
        <v>45413</v>
      </c>
      <c r="DW377" s="21">
        <v>45594</v>
      </c>
      <c r="DX377" s="21">
        <v>0</v>
      </c>
      <c r="DY377" s="21">
        <v>0</v>
      </c>
      <c r="DZ377" s="21">
        <v>0</v>
      </c>
      <c r="EA377" s="8">
        <v>225</v>
      </c>
      <c r="EB377" s="8">
        <v>225</v>
      </c>
      <c r="EC377" s="8">
        <v>225</v>
      </c>
      <c r="ED377" s="8">
        <v>225</v>
      </c>
      <c r="EE377" s="8">
        <v>225</v>
      </c>
      <c r="EF377" s="8">
        <v>225</v>
      </c>
      <c r="EG377" s="8">
        <v>1000</v>
      </c>
      <c r="EH377" s="8">
        <v>225</v>
      </c>
      <c r="EI377" s="8">
        <v>225</v>
      </c>
      <c r="EJ377" s="8">
        <v>1</v>
      </c>
      <c r="EK377" s="8" t="s">
        <v>2624</v>
      </c>
      <c r="EL377" s="8">
        <v>146</v>
      </c>
      <c r="EM377" s="8">
        <v>146</v>
      </c>
      <c r="EN377" s="8">
        <v>-63</v>
      </c>
      <c r="EO377" s="8">
        <v>-63</v>
      </c>
      <c r="EP377" s="8">
        <v>-63</v>
      </c>
      <c r="EQ377" s="8">
        <v>-63</v>
      </c>
      <c r="ER377" s="8">
        <v>-63</v>
      </c>
      <c r="ES377" s="8">
        <v>-63</v>
      </c>
      <c r="ET377" s="8">
        <v>712</v>
      </c>
      <c r="EU377" s="8">
        <v>-63</v>
      </c>
      <c r="EV377" s="8">
        <v>-63</v>
      </c>
    </row>
    <row r="378" spans="1:152" x14ac:dyDescent="0.15">
      <c r="A378" s="8">
        <f>ROW([2]!tbl_DPSAC[[#This Row],[Sl. No.]])-1</f>
        <v>377</v>
      </c>
      <c r="B378" s="9" t="s">
        <v>136</v>
      </c>
      <c r="C378" s="9" t="s">
        <v>2068</v>
      </c>
      <c r="D378" s="9" t="s">
        <v>2062</v>
      </c>
      <c r="E378" s="8" t="s">
        <v>639</v>
      </c>
      <c r="F378" s="9" t="s">
        <v>161</v>
      </c>
      <c r="G378" s="10" t="s">
        <v>2063</v>
      </c>
      <c r="H378" s="10" t="str">
        <f>_xlfn.XLOOKUP(C378,'[1]E&amp;DPSAC'!$K:$K,'[1]E&amp;DPSAC'!$E:$E,,0)</f>
        <v>BARKAGAON, HAZARIBAGH</v>
      </c>
      <c r="I378" s="10"/>
      <c r="J378" s="10">
        <v>6201387183</v>
      </c>
      <c r="K378" s="10">
        <f>IF(_xlfn.XLOOKUP(C378,'[1]E&amp;DPSAC'!$K:$K,'[1]E&amp;DPSAC'!$G:$G,"",0)=J378,"",_xlfn.XLOOKUP(C378,'[1]E&amp;DPSAC'!$K:$K,'[1]E&amp;DPSAC'!$G:$G,"",0))</f>
        <v>9534176193</v>
      </c>
      <c r="L378" s="9" t="str">
        <f t="shared" ca="1" si="21"/>
        <v>Non - Warranty</v>
      </c>
      <c r="M378" s="11">
        <v>45208</v>
      </c>
      <c r="N378" s="12">
        <v>24</v>
      </c>
      <c r="O378" s="11">
        <f t="shared" si="23"/>
        <v>45961</v>
      </c>
      <c r="P378" s="8" t="s">
        <v>213</v>
      </c>
      <c r="Q378" s="16" t="s">
        <v>2071</v>
      </c>
      <c r="R378" s="15">
        <v>45594.706944444442</v>
      </c>
      <c r="S378" s="14">
        <v>1757</v>
      </c>
      <c r="T378" s="15">
        <v>45595</v>
      </c>
      <c r="U378" s="14">
        <v>1757</v>
      </c>
      <c r="V378" s="14">
        <v>3485</v>
      </c>
      <c r="W378" s="17">
        <v>45944.380555555559</v>
      </c>
      <c r="X378" s="14" t="s">
        <v>2862</v>
      </c>
      <c r="Y378" s="14">
        <v>-978</v>
      </c>
      <c r="Z378" s="14" t="s">
        <v>2697</v>
      </c>
      <c r="AA378" s="18">
        <v>518.29305555555766</v>
      </c>
      <c r="AB378" s="18" t="s">
        <v>2697</v>
      </c>
      <c r="AC378" s="8">
        <f>tbl_DPSAC[[#This Row],[Current Month Due Count]]</f>
        <v>0</v>
      </c>
      <c r="AD378" s="8">
        <f>tbl_DPSAC[[#This Row],[Next Month Due2]]</f>
        <v>0</v>
      </c>
      <c r="AE378" s="8"/>
      <c r="AF378" s="8">
        <v>2</v>
      </c>
      <c r="AG378" s="14">
        <f t="shared" ca="1" si="22"/>
        <v>3822</v>
      </c>
      <c r="AH378" s="8" t="s">
        <v>2069</v>
      </c>
      <c r="AI378" s="8" t="s">
        <v>2070</v>
      </c>
      <c r="AJ378" s="8">
        <v>0</v>
      </c>
      <c r="AK378" s="8">
        <v>0</v>
      </c>
      <c r="AL378" s="8">
        <v>0</v>
      </c>
      <c r="AM378" s="8">
        <v>0</v>
      </c>
      <c r="AN378" s="8">
        <v>0</v>
      </c>
      <c r="AO378" s="8">
        <v>0</v>
      </c>
      <c r="AP378" s="8">
        <v>0</v>
      </c>
      <c r="AQ378" s="8">
        <v>0</v>
      </c>
      <c r="AR378" s="8">
        <v>0</v>
      </c>
      <c r="AS378" s="8">
        <v>0</v>
      </c>
      <c r="AT378" s="8">
        <v>0</v>
      </c>
      <c r="AU378" s="8">
        <v>0</v>
      </c>
      <c r="AV378" s="8">
        <v>0</v>
      </c>
      <c r="AW378" s="8">
        <v>0</v>
      </c>
      <c r="AX378" s="8" t="s">
        <v>2961</v>
      </c>
      <c r="AY378" s="14">
        <v>1757</v>
      </c>
      <c r="AZ378" s="19">
        <v>45594</v>
      </c>
      <c r="BA378" s="14" t="s">
        <v>2071</v>
      </c>
      <c r="BB378" s="14">
        <v>1757</v>
      </c>
      <c r="BC378" s="19">
        <v>45594</v>
      </c>
      <c r="BD378" s="14" t="s">
        <v>2071</v>
      </c>
      <c r="BE378" s="14">
        <v>1757</v>
      </c>
      <c r="BF378" s="19">
        <v>45594</v>
      </c>
      <c r="BG378" s="14" t="s">
        <v>2071</v>
      </c>
      <c r="BH378" s="14">
        <v>1757</v>
      </c>
      <c r="BI378" s="19">
        <v>45594</v>
      </c>
      <c r="BJ378" s="14" t="s">
        <v>2071</v>
      </c>
      <c r="BK378" s="14">
        <v>1</v>
      </c>
      <c r="BL378" s="19">
        <v>45208</v>
      </c>
      <c r="BM378" s="14" t="s">
        <v>2072</v>
      </c>
      <c r="BN378" s="27">
        <v>45774</v>
      </c>
      <c r="BO378" s="27">
        <v>45774</v>
      </c>
      <c r="BP378" s="27">
        <v>45774</v>
      </c>
      <c r="BQ378" s="27">
        <v>45774</v>
      </c>
      <c r="BR378" s="27">
        <v>45388</v>
      </c>
      <c r="BS378" s="28">
        <v>-1315</v>
      </c>
      <c r="BT378" s="29">
        <v>-565</v>
      </c>
      <c r="BU378" s="29">
        <v>-1315</v>
      </c>
      <c r="BV378" s="29">
        <v>-1315</v>
      </c>
      <c r="BW378" s="29">
        <v>-2321</v>
      </c>
      <c r="BX378" s="30"/>
      <c r="BY378" s="8">
        <v>5</v>
      </c>
      <c r="BZ378" s="8">
        <v>0</v>
      </c>
      <c r="CA378" s="8">
        <v>0</v>
      </c>
      <c r="CB378" s="21">
        <v>45593.770833333299</v>
      </c>
      <c r="CC378" s="21">
        <v>45593.770833333299</v>
      </c>
      <c r="CD378" s="21">
        <v>45593.770833333299</v>
      </c>
      <c r="CE378" s="21">
        <v>45593.770833333299</v>
      </c>
      <c r="CF378" s="21">
        <v>45593.770833333299</v>
      </c>
      <c r="CG378" s="21">
        <v>45593.770833333299</v>
      </c>
      <c r="CH378" s="21">
        <v>45593.770833333299</v>
      </c>
      <c r="CI378" s="21">
        <v>45593.770833333299</v>
      </c>
      <c r="CJ378" s="21">
        <v>45593.770833333299</v>
      </c>
      <c r="CK378" s="22" t="s">
        <v>3061</v>
      </c>
      <c r="CL378" s="22" t="s">
        <v>3061</v>
      </c>
      <c r="CM378" s="22" t="s">
        <v>3061</v>
      </c>
      <c r="CN378" s="22" t="s">
        <v>3061</v>
      </c>
      <c r="CO378" s="22" t="s">
        <v>3061</v>
      </c>
      <c r="CP378" s="22" t="s">
        <v>3061</v>
      </c>
      <c r="CQ378" s="22" t="s">
        <v>2953</v>
      </c>
      <c r="CR378" s="22" t="s">
        <v>3061</v>
      </c>
      <c r="CS378" s="22" t="s">
        <v>3061</v>
      </c>
      <c r="CT378" s="22">
        <v>2</v>
      </c>
      <c r="CU378" s="21">
        <v>45773</v>
      </c>
      <c r="CV378" s="21">
        <v>45773</v>
      </c>
      <c r="CW378" s="21">
        <v>45773</v>
      </c>
      <c r="CX378" s="21">
        <v>45773</v>
      </c>
      <c r="CY378" s="21">
        <v>45773</v>
      </c>
      <c r="CZ378" s="21">
        <v>45863</v>
      </c>
      <c r="DA378" s="21">
        <v>45958</v>
      </c>
      <c r="DB378" s="21">
        <v>45773</v>
      </c>
      <c r="DC378" s="21">
        <v>45958</v>
      </c>
      <c r="DD378" s="8">
        <v>1</v>
      </c>
      <c r="DE378" s="8">
        <v>0</v>
      </c>
      <c r="DF378" s="8">
        <v>0</v>
      </c>
      <c r="DG378" s="8">
        <v>9</v>
      </c>
      <c r="DH378" s="8">
        <v>0</v>
      </c>
      <c r="DI378" s="8">
        <v>0</v>
      </c>
      <c r="DJ378" s="8" t="s">
        <v>2976</v>
      </c>
      <c r="DK378" s="21">
        <v>45208</v>
      </c>
      <c r="DL378" s="21">
        <v>45166.229166666664</v>
      </c>
      <c r="DM378" s="21">
        <v>45944</v>
      </c>
      <c r="DN378" s="18">
        <v>3485</v>
      </c>
      <c r="DO378" s="21">
        <v>0</v>
      </c>
      <c r="DP378" s="21">
        <v>0</v>
      </c>
      <c r="DQ378" s="21" t="s">
        <v>2955</v>
      </c>
      <c r="DR378" s="21">
        <v>45594</v>
      </c>
      <c r="DS378" s="21">
        <v>45594</v>
      </c>
      <c r="DT378" s="21">
        <v>45594</v>
      </c>
      <c r="DU378" s="21">
        <v>45594</v>
      </c>
      <c r="DV378" s="21">
        <v>45594</v>
      </c>
      <c r="DW378" s="21">
        <v>45594</v>
      </c>
      <c r="DX378" s="21">
        <v>45594</v>
      </c>
      <c r="DY378" s="21">
        <v>45594</v>
      </c>
      <c r="DZ378" s="21">
        <v>45594</v>
      </c>
      <c r="EA378" s="8">
        <v>50</v>
      </c>
      <c r="EB378" s="8">
        <v>50</v>
      </c>
      <c r="EC378" s="8">
        <v>50</v>
      </c>
      <c r="ED378" s="8">
        <v>50</v>
      </c>
      <c r="EE378" s="8">
        <v>50</v>
      </c>
      <c r="EF378" s="8">
        <v>50</v>
      </c>
      <c r="EG378" s="8">
        <v>1000</v>
      </c>
      <c r="EH378" s="8">
        <v>50</v>
      </c>
      <c r="EI378" s="8">
        <v>50</v>
      </c>
      <c r="EJ378" s="8">
        <v>2</v>
      </c>
      <c r="EK378" s="8" t="s">
        <v>2624</v>
      </c>
      <c r="EL378" s="8">
        <v>169</v>
      </c>
      <c r="EM378" s="8">
        <v>338</v>
      </c>
      <c r="EN378" s="8">
        <v>-238</v>
      </c>
      <c r="EO378" s="8">
        <v>-238</v>
      </c>
      <c r="EP378" s="8">
        <v>-238</v>
      </c>
      <c r="EQ378" s="8">
        <v>-238</v>
      </c>
      <c r="ER378" s="8">
        <v>-238</v>
      </c>
      <c r="ES378" s="8">
        <v>-238</v>
      </c>
      <c r="ET378" s="8">
        <v>712</v>
      </c>
      <c r="EU378" s="8">
        <v>-238</v>
      </c>
      <c r="EV378" s="8">
        <v>-238</v>
      </c>
    </row>
    <row r="379" spans="1:152" x14ac:dyDescent="0.15">
      <c r="A379" s="8">
        <f>ROW([2]!tbl_DPSAC[[#This Row],[Sl. No.]])-1</f>
        <v>378</v>
      </c>
      <c r="B379" s="9" t="s">
        <v>136</v>
      </c>
      <c r="C379" s="9" t="s">
        <v>2073</v>
      </c>
      <c r="D379" s="9" t="s">
        <v>138</v>
      </c>
      <c r="E379" s="9" t="s">
        <v>1232</v>
      </c>
      <c r="F379" s="9" t="s">
        <v>161</v>
      </c>
      <c r="G379" s="10" t="s">
        <v>2063</v>
      </c>
      <c r="H379" s="10" t="str">
        <f>_xlfn.XLOOKUP(C379,'[1]E&amp;DPSAC'!$K:$K,'[1]E&amp;DPSAC'!$E:$E,,0)</f>
        <v>BARKAGAON, HAZARIBAGH</v>
      </c>
      <c r="I379" s="10"/>
      <c r="J379" s="10">
        <v>6201387183</v>
      </c>
      <c r="K379" s="10">
        <f>_xlfn.XLOOKUP(C379,'[1]E&amp;DPSAC'!$K:$K,'[1]E&amp;DPSAC'!$G:$G,"",0)</f>
        <v>6201387183</v>
      </c>
      <c r="L379" s="9" t="str">
        <f t="shared" ca="1" si="21"/>
        <v>Non - Warranty</v>
      </c>
      <c r="M379" s="11">
        <v>45020</v>
      </c>
      <c r="N379" s="12">
        <v>24</v>
      </c>
      <c r="O379" s="11">
        <f t="shared" si="23"/>
        <v>45777</v>
      </c>
      <c r="P379" s="8" t="s">
        <v>157</v>
      </c>
      <c r="Q379" s="16" t="s">
        <v>2076</v>
      </c>
      <c r="R379" s="15">
        <v>45413.4863078704</v>
      </c>
      <c r="S379" s="14">
        <v>1157</v>
      </c>
      <c r="T379" s="15">
        <v>45413</v>
      </c>
      <c r="U379" s="14">
        <v>1157</v>
      </c>
      <c r="V379" s="14">
        <v>1211</v>
      </c>
      <c r="W379" s="17">
        <v>45418.740972222222</v>
      </c>
      <c r="X379" s="14" t="s">
        <v>2863</v>
      </c>
      <c r="Y379" s="14">
        <v>696</v>
      </c>
      <c r="Z379" s="14" t="s">
        <v>2692</v>
      </c>
      <c r="AA379" s="18">
        <v>699.5136921295998</v>
      </c>
      <c r="AB379" s="18" t="s">
        <v>2697</v>
      </c>
      <c r="AC379" s="8">
        <f>tbl_DPSAC[[#This Row],[Current Month Due Count]]</f>
        <v>0</v>
      </c>
      <c r="AD379" s="8">
        <f>tbl_DPSAC[[#This Row],[Next Month Due2]]</f>
        <v>0</v>
      </c>
      <c r="AE379" s="8"/>
      <c r="AF379" s="8">
        <v>4</v>
      </c>
      <c r="AG379" s="14">
        <f t="shared" ca="1" si="22"/>
        <v>3988</v>
      </c>
      <c r="AH379" s="8" t="s">
        <v>2074</v>
      </c>
      <c r="AI379" s="8" t="s">
        <v>2070</v>
      </c>
      <c r="AJ379" s="8" t="s">
        <v>2075</v>
      </c>
      <c r="AK379" s="8">
        <v>0</v>
      </c>
      <c r="AL379" s="8">
        <v>0</v>
      </c>
      <c r="AM379" s="8">
        <v>0</v>
      </c>
      <c r="AN379" s="8">
        <v>0</v>
      </c>
      <c r="AO379" s="8">
        <v>0</v>
      </c>
      <c r="AP379" s="8">
        <v>0</v>
      </c>
      <c r="AQ379" s="8">
        <v>0</v>
      </c>
      <c r="AR379" s="8">
        <v>0</v>
      </c>
      <c r="AS379" s="8">
        <v>0</v>
      </c>
      <c r="AT379" s="8">
        <v>0</v>
      </c>
      <c r="AU379" s="8">
        <v>0</v>
      </c>
      <c r="AV379" s="8">
        <v>0</v>
      </c>
      <c r="AW379" s="8">
        <v>0</v>
      </c>
      <c r="AX379" s="8" t="s">
        <v>2961</v>
      </c>
      <c r="AY379" s="14">
        <v>1157</v>
      </c>
      <c r="AZ379" s="19">
        <v>45413</v>
      </c>
      <c r="BA379" s="14" t="s">
        <v>2076</v>
      </c>
      <c r="BB379" s="14">
        <v>1157</v>
      </c>
      <c r="BC379" s="19">
        <v>45413</v>
      </c>
      <c r="BD379" s="14" t="s">
        <v>2076</v>
      </c>
      <c r="BE379" s="14">
        <v>1157</v>
      </c>
      <c r="BF379" s="19">
        <v>45413</v>
      </c>
      <c r="BG379" s="14" t="s">
        <v>2076</v>
      </c>
      <c r="BH379" s="14">
        <v>1157</v>
      </c>
      <c r="BI379" s="19">
        <v>45413</v>
      </c>
      <c r="BJ379" s="14" t="s">
        <v>2076</v>
      </c>
      <c r="BK379" s="14">
        <v>1</v>
      </c>
      <c r="BL379" s="19">
        <v>45020</v>
      </c>
      <c r="BM379" s="14" t="s">
        <v>2077</v>
      </c>
      <c r="BN379" s="27">
        <v>45593</v>
      </c>
      <c r="BO379" s="27">
        <v>45593</v>
      </c>
      <c r="BP379" s="27">
        <v>45593</v>
      </c>
      <c r="BQ379" s="27">
        <v>45593</v>
      </c>
      <c r="BR379" s="27">
        <v>45200</v>
      </c>
      <c r="BS379" s="28">
        <v>-2081</v>
      </c>
      <c r="BT379" s="29">
        <v>-1331</v>
      </c>
      <c r="BU379" s="29">
        <v>-2081</v>
      </c>
      <c r="BV379" s="29">
        <v>-2081</v>
      </c>
      <c r="BW379" s="29">
        <v>-2487</v>
      </c>
      <c r="BX379" s="30" t="s">
        <v>159</v>
      </c>
      <c r="BY379" s="8">
        <v>5</v>
      </c>
      <c r="BZ379" s="8">
        <v>0</v>
      </c>
      <c r="CA379" s="8">
        <v>0</v>
      </c>
      <c r="CB379" s="21" t="s">
        <v>143</v>
      </c>
      <c r="CC379" s="21" t="s">
        <v>143</v>
      </c>
      <c r="CD379" s="21" t="s">
        <v>143</v>
      </c>
      <c r="CE379" s="21" t="s">
        <v>143</v>
      </c>
      <c r="CF379" s="21" t="s">
        <v>143</v>
      </c>
      <c r="CG379" s="21" t="s">
        <v>143</v>
      </c>
      <c r="CH379" s="21" t="s">
        <v>143</v>
      </c>
      <c r="CI379" s="21" t="s">
        <v>143</v>
      </c>
      <c r="CJ379" s="21" t="s">
        <v>143</v>
      </c>
      <c r="CK379" s="22" t="s">
        <v>143</v>
      </c>
      <c r="CL379" s="22" t="s">
        <v>143</v>
      </c>
      <c r="CM379" s="22" t="s">
        <v>143</v>
      </c>
      <c r="CN379" s="22" t="s">
        <v>143</v>
      </c>
      <c r="CO379" s="22" t="s">
        <v>143</v>
      </c>
      <c r="CP379" s="22" t="s">
        <v>143</v>
      </c>
      <c r="CQ379" s="22" t="s">
        <v>143</v>
      </c>
      <c r="CR379" s="22" t="s">
        <v>143</v>
      </c>
      <c r="CS379" s="22" t="s">
        <v>143</v>
      </c>
      <c r="CT379" s="22" t="s">
        <v>143</v>
      </c>
      <c r="CU379" s="21" t="s">
        <v>143</v>
      </c>
      <c r="CV379" s="21" t="s">
        <v>143</v>
      </c>
      <c r="CW379" s="21" t="s">
        <v>143</v>
      </c>
      <c r="CX379" s="21" t="s">
        <v>143</v>
      </c>
      <c r="CY379" s="21" t="s">
        <v>143</v>
      </c>
      <c r="CZ379" s="21" t="s">
        <v>143</v>
      </c>
      <c r="DA379" s="21" t="s">
        <v>143</v>
      </c>
      <c r="DB379" s="21" t="s">
        <v>143</v>
      </c>
      <c r="DC379" s="21" t="s">
        <v>143</v>
      </c>
      <c r="DD379" s="8" t="s">
        <v>143</v>
      </c>
      <c r="DE379" s="8" t="s">
        <v>143</v>
      </c>
      <c r="DF379" s="8" t="s">
        <v>143</v>
      </c>
      <c r="DG379" s="8">
        <v>0</v>
      </c>
      <c r="DH379" s="8">
        <v>0</v>
      </c>
      <c r="DI379" s="8">
        <v>0</v>
      </c>
      <c r="DJ379" s="8" t="s">
        <v>143</v>
      </c>
      <c r="DK379" s="21" t="s">
        <v>143</v>
      </c>
      <c r="DL379" s="21" t="s">
        <v>143</v>
      </c>
      <c r="DM379" s="21" t="s">
        <v>143</v>
      </c>
      <c r="DN379" s="18" t="s">
        <v>143</v>
      </c>
      <c r="DO379" s="21" t="s">
        <v>143</v>
      </c>
      <c r="DP379" s="21" t="s">
        <v>143</v>
      </c>
      <c r="DQ379" s="21" t="s">
        <v>143</v>
      </c>
      <c r="DR379" s="21" t="s">
        <v>143</v>
      </c>
      <c r="DS379" s="21" t="s">
        <v>143</v>
      </c>
      <c r="DT379" s="21" t="s">
        <v>143</v>
      </c>
      <c r="DU379" s="21" t="s">
        <v>143</v>
      </c>
      <c r="DV379" s="21" t="s">
        <v>143</v>
      </c>
      <c r="DW379" s="21" t="s">
        <v>143</v>
      </c>
      <c r="DX379" s="21" t="s">
        <v>143</v>
      </c>
      <c r="DY379" s="21" t="s">
        <v>143</v>
      </c>
      <c r="DZ379" s="21" t="s">
        <v>143</v>
      </c>
      <c r="EA379" s="8" t="s">
        <v>143</v>
      </c>
      <c r="EB379" s="8" t="s">
        <v>143</v>
      </c>
      <c r="EC379" s="8" t="s">
        <v>143</v>
      </c>
      <c r="ED379" s="8" t="s">
        <v>143</v>
      </c>
      <c r="EE379" s="8" t="s">
        <v>143</v>
      </c>
      <c r="EF379" s="8" t="s">
        <v>143</v>
      </c>
      <c r="EG379" s="8" t="s">
        <v>143</v>
      </c>
      <c r="EH379" s="8" t="s">
        <v>143</v>
      </c>
      <c r="EI379" s="8" t="s">
        <v>143</v>
      </c>
      <c r="EJ379" s="8" t="s">
        <v>143</v>
      </c>
      <c r="EK379" s="8" t="s">
        <v>157</v>
      </c>
      <c r="EL379" s="8">
        <v>694</v>
      </c>
      <c r="EM379" s="8">
        <v>2776</v>
      </c>
      <c r="EN379" s="8" t="s">
        <v>143</v>
      </c>
      <c r="EO379" s="8" t="s">
        <v>143</v>
      </c>
      <c r="EP379" s="8" t="s">
        <v>143</v>
      </c>
      <c r="EQ379" s="8" t="s">
        <v>143</v>
      </c>
      <c r="ER379" s="8" t="s">
        <v>143</v>
      </c>
      <c r="ES379" s="8" t="s">
        <v>143</v>
      </c>
      <c r="ET379" s="8" t="s">
        <v>143</v>
      </c>
      <c r="EU379" s="8" t="s">
        <v>143</v>
      </c>
      <c r="EV379" s="8" t="s">
        <v>143</v>
      </c>
    </row>
    <row r="380" spans="1:152" x14ac:dyDescent="0.15">
      <c r="A380" s="8">
        <f>ROW([2]!tbl_DPSAC[[#This Row],[Sl. No.]])-1</f>
        <v>379</v>
      </c>
      <c r="B380" s="9" t="s">
        <v>136</v>
      </c>
      <c r="C380" s="9" t="s">
        <v>2078</v>
      </c>
      <c r="D380" s="9" t="s">
        <v>2062</v>
      </c>
      <c r="E380" s="8" t="s">
        <v>639</v>
      </c>
      <c r="F380" s="9" t="s">
        <v>161</v>
      </c>
      <c r="G380" s="10" t="s">
        <v>303</v>
      </c>
      <c r="H380" s="10" t="str">
        <f>_xlfn.XLOOKUP(C380,'[1]E&amp;DPSAC'!$K:$K,'[1]E&amp;DPSAC'!$E:$E,,0)</f>
        <v>JINAGORA, JHARIA</v>
      </c>
      <c r="I380" s="10"/>
      <c r="J380" s="10">
        <v>764404555</v>
      </c>
      <c r="K380" s="10">
        <f>IF(_xlfn.XLOOKUP(C380,'[1]E&amp;DPSAC'!$K:$K,'[1]E&amp;DPSAC'!$G:$G,"",0)=J380,"",_xlfn.XLOOKUP(C380,'[1]E&amp;DPSAC'!$K:$K,'[1]E&amp;DPSAC'!$G:$G,"",0))</f>
        <v>7644045555</v>
      </c>
      <c r="L380" s="9" t="str">
        <f t="shared" ca="1" si="21"/>
        <v>Warranty</v>
      </c>
      <c r="M380" s="11">
        <v>45409</v>
      </c>
      <c r="N380" s="12">
        <v>24</v>
      </c>
      <c r="O380" s="11">
        <f t="shared" si="23"/>
        <v>46142</v>
      </c>
      <c r="P380" s="8" t="s">
        <v>213</v>
      </c>
      <c r="Q380" s="16" t="s">
        <v>2663</v>
      </c>
      <c r="R380" s="15">
        <v>46091.706145833297</v>
      </c>
      <c r="S380" s="14">
        <v>6019</v>
      </c>
      <c r="T380" s="15">
        <v>45979</v>
      </c>
      <c r="U380" s="14">
        <v>5140</v>
      </c>
      <c r="V380" s="14">
        <v>6032</v>
      </c>
      <c r="W380" s="17">
        <v>46098.749780092599</v>
      </c>
      <c r="X380" s="14" t="s">
        <v>2864</v>
      </c>
      <c r="Y380" s="14">
        <v>737</v>
      </c>
      <c r="Z380" s="14" t="s">
        <v>2692</v>
      </c>
      <c r="AA380" s="18">
        <v>21.293854166702658</v>
      </c>
      <c r="AB380" s="18" t="s">
        <v>2692</v>
      </c>
      <c r="AC380" s="8">
        <f>tbl_DPSAC[[#This Row],[Current Month Due Count]]</f>
        <v>0</v>
      </c>
      <c r="AD380" s="8">
        <f>tbl_DPSAC[[#This Row],[Next Month Due2]]</f>
        <v>0</v>
      </c>
      <c r="AE380" s="8"/>
      <c r="AF380" s="8">
        <v>2</v>
      </c>
      <c r="AG380" s="14">
        <f t="shared" ca="1" si="22"/>
        <v>6061</v>
      </c>
      <c r="AH380" s="8" t="s">
        <v>2079</v>
      </c>
      <c r="AI380" s="8" t="s">
        <v>2080</v>
      </c>
      <c r="AJ380" s="8" t="s">
        <v>2081</v>
      </c>
      <c r="AK380" s="8" t="s">
        <v>2082</v>
      </c>
      <c r="AL380" s="8" t="s">
        <v>2083</v>
      </c>
      <c r="AM380" s="8" t="s">
        <v>2084</v>
      </c>
      <c r="AN380" s="8" t="s">
        <v>2085</v>
      </c>
      <c r="AO380" s="8" t="s">
        <v>2086</v>
      </c>
      <c r="AP380" s="8" t="s">
        <v>2087</v>
      </c>
      <c r="AQ380" s="8" t="s">
        <v>2088</v>
      </c>
      <c r="AR380" s="8" t="s">
        <v>2089</v>
      </c>
      <c r="AS380" s="8">
        <v>0</v>
      </c>
      <c r="AT380" s="8">
        <v>0</v>
      </c>
      <c r="AU380" s="8">
        <v>0</v>
      </c>
      <c r="AV380" s="8">
        <v>0</v>
      </c>
      <c r="AW380" s="8">
        <v>0</v>
      </c>
      <c r="AX380" s="8" t="s">
        <v>2007</v>
      </c>
      <c r="AY380" s="14">
        <v>6019</v>
      </c>
      <c r="AZ380" s="19">
        <v>46091</v>
      </c>
      <c r="BA380" s="14" t="s">
        <v>2663</v>
      </c>
      <c r="BB380" s="14">
        <v>6019</v>
      </c>
      <c r="BC380" s="19">
        <v>46091</v>
      </c>
      <c r="BD380" s="14" t="s">
        <v>2663</v>
      </c>
      <c r="BE380" s="14">
        <v>6019</v>
      </c>
      <c r="BF380" s="19">
        <v>46091</v>
      </c>
      <c r="BG380" s="14" t="s">
        <v>2663</v>
      </c>
      <c r="BH380" s="14">
        <v>6019</v>
      </c>
      <c r="BI380" s="19">
        <v>46091</v>
      </c>
      <c r="BJ380" s="14" t="s">
        <v>2663</v>
      </c>
      <c r="BK380" s="14">
        <v>6019</v>
      </c>
      <c r="BL380" s="19">
        <v>46091</v>
      </c>
      <c r="BM380" s="14" t="s">
        <v>2663</v>
      </c>
      <c r="BN380" s="27">
        <v>46271</v>
      </c>
      <c r="BO380" s="27">
        <v>46271</v>
      </c>
      <c r="BP380" s="27">
        <v>46271</v>
      </c>
      <c r="BQ380" s="27">
        <v>46271</v>
      </c>
      <c r="BR380" s="27">
        <v>46271</v>
      </c>
      <c r="BS380" s="28">
        <v>708</v>
      </c>
      <c r="BT380" s="29">
        <v>1458</v>
      </c>
      <c r="BU380" s="29">
        <v>708</v>
      </c>
      <c r="BV380" s="29">
        <v>708</v>
      </c>
      <c r="BW380" s="29">
        <v>1458</v>
      </c>
      <c r="BX380" s="30"/>
      <c r="BY380" s="8">
        <v>0</v>
      </c>
      <c r="BZ380" s="8">
        <v>0</v>
      </c>
      <c r="CA380" s="8">
        <v>0</v>
      </c>
      <c r="CB380" s="21">
        <v>46041.770833333299</v>
      </c>
      <c r="CC380" s="21">
        <v>46041.770833333299</v>
      </c>
      <c r="CD380" s="21">
        <v>46041.770833333299</v>
      </c>
      <c r="CE380" s="21">
        <v>46041.770833333299</v>
      </c>
      <c r="CF380" s="21">
        <v>46041.770833333299</v>
      </c>
      <c r="CG380" s="21">
        <v>45925.770833333299</v>
      </c>
      <c r="CH380" s="21">
        <v>46041.770833333299</v>
      </c>
      <c r="CI380" s="21">
        <v>45925.770833333299</v>
      </c>
      <c r="CJ380" s="21">
        <v>45925.770833333299</v>
      </c>
      <c r="CK380" s="22" t="s">
        <v>2956</v>
      </c>
      <c r="CL380" s="22" t="s">
        <v>2957</v>
      </c>
      <c r="CM380" s="22" t="s">
        <v>2959</v>
      </c>
      <c r="CN380" s="22" t="s">
        <v>2957</v>
      </c>
      <c r="CO380" s="22" t="s">
        <v>2957</v>
      </c>
      <c r="CP380" s="22" t="s">
        <v>3179</v>
      </c>
      <c r="CQ380" s="22" t="s">
        <v>2953</v>
      </c>
      <c r="CR380" s="22" t="s">
        <v>3179</v>
      </c>
      <c r="CS380" s="22" t="s">
        <v>3179</v>
      </c>
      <c r="CT380" s="22">
        <v>12</v>
      </c>
      <c r="CU380" s="21">
        <v>46167</v>
      </c>
      <c r="CV380" s="21">
        <v>46104</v>
      </c>
      <c r="CW380" s="21">
        <v>46083</v>
      </c>
      <c r="CX380" s="21">
        <v>46104</v>
      </c>
      <c r="CY380" s="21">
        <v>46104</v>
      </c>
      <c r="CZ380" s="21">
        <v>46094</v>
      </c>
      <c r="DA380" s="21">
        <v>46125</v>
      </c>
      <c r="DB380" s="21">
        <v>46095</v>
      </c>
      <c r="DC380" s="21">
        <v>46094</v>
      </c>
      <c r="DD380" s="8">
        <v>0</v>
      </c>
      <c r="DE380" s="8">
        <v>0</v>
      </c>
      <c r="DF380" s="8">
        <v>1</v>
      </c>
      <c r="DG380" s="8">
        <v>7</v>
      </c>
      <c r="DH380" s="8">
        <v>1</v>
      </c>
      <c r="DI380" s="8">
        <v>1</v>
      </c>
      <c r="DJ380" s="8" t="s">
        <v>2976</v>
      </c>
      <c r="DK380" s="21">
        <v>45383</v>
      </c>
      <c r="DL380" s="21">
        <v>45349.229166666664</v>
      </c>
      <c r="DM380" s="21">
        <v>46098</v>
      </c>
      <c r="DN380" s="18">
        <v>6032</v>
      </c>
      <c r="DO380" s="21">
        <v>0</v>
      </c>
      <c r="DP380" s="21">
        <v>0</v>
      </c>
      <c r="DQ380" s="21" t="s">
        <v>2955</v>
      </c>
      <c r="DR380" s="21">
        <v>46091</v>
      </c>
      <c r="DS380" s="21">
        <v>46091</v>
      </c>
      <c r="DT380" s="21">
        <v>46091</v>
      </c>
      <c r="DU380" s="21">
        <v>46091</v>
      </c>
      <c r="DV380" s="21">
        <v>46091</v>
      </c>
      <c r="DW380" s="21">
        <v>46091</v>
      </c>
      <c r="DX380" s="21">
        <v>46042</v>
      </c>
      <c r="DY380" s="21">
        <v>46091</v>
      </c>
      <c r="DZ380" s="21">
        <v>46091</v>
      </c>
      <c r="EA380" s="8">
        <v>487</v>
      </c>
      <c r="EB380" s="8">
        <v>487</v>
      </c>
      <c r="EC380" s="8">
        <v>487</v>
      </c>
      <c r="ED380" s="8">
        <v>487</v>
      </c>
      <c r="EE380" s="8">
        <v>487</v>
      </c>
      <c r="EF380" s="8">
        <v>1487</v>
      </c>
      <c r="EG380" s="8">
        <v>987</v>
      </c>
      <c r="EH380" s="8">
        <v>1487</v>
      </c>
      <c r="EI380" s="8">
        <v>2987</v>
      </c>
      <c r="EJ380" s="8">
        <v>4</v>
      </c>
      <c r="EK380" s="8" t="s">
        <v>2624</v>
      </c>
      <c r="EL380" s="8">
        <v>14</v>
      </c>
      <c r="EM380" s="8">
        <v>28</v>
      </c>
      <c r="EN380" s="8">
        <v>199</v>
      </c>
      <c r="EO380" s="8">
        <v>199</v>
      </c>
      <c r="EP380" s="8">
        <v>199</v>
      </c>
      <c r="EQ380" s="8">
        <v>199</v>
      </c>
      <c r="ER380" s="8">
        <v>199</v>
      </c>
      <c r="ES380" s="8">
        <v>1199</v>
      </c>
      <c r="ET380" s="8">
        <v>699</v>
      </c>
      <c r="EU380" s="8">
        <v>1199</v>
      </c>
      <c r="EV380" s="8">
        <v>2699</v>
      </c>
    </row>
    <row r="381" spans="1:152" x14ac:dyDescent="0.15">
      <c r="A381" s="8">
        <f>ROW([2]!tbl_DPSAC[[#This Row],[Sl. No.]])-1</f>
        <v>380</v>
      </c>
      <c r="B381" s="9" t="s">
        <v>136</v>
      </c>
      <c r="C381" s="9" t="s">
        <v>2090</v>
      </c>
      <c r="D381" s="9" t="s">
        <v>175</v>
      </c>
      <c r="E381" s="9" t="s">
        <v>176</v>
      </c>
      <c r="F381" s="9" t="s">
        <v>161</v>
      </c>
      <c r="G381" s="10" t="s">
        <v>1477</v>
      </c>
      <c r="H381" s="10" t="str">
        <f>_xlfn.XLOOKUP(C381,'[1]E&amp;DPSAC'!$K:$K,'[1]E&amp;DPSAC'!$E:$E,,0)</f>
        <v>SARAIKELA, JAMSHEDPUR</v>
      </c>
      <c r="I381" s="10"/>
      <c r="J381" s="10">
        <v>8809697867</v>
      </c>
      <c r="K381" s="10" t="str">
        <f>IF(_xlfn.XLOOKUP(C381,'[1]E&amp;DPSAC'!$K:$K,'[1]E&amp;DPSAC'!$G:$G,"",0)=J381,"",_xlfn.XLOOKUP(C381,'[1]E&amp;DPSAC'!$K:$K,'[1]E&amp;DPSAC'!$G:$G,"",0))</f>
        <v/>
      </c>
      <c r="L381" s="9" t="str">
        <f t="shared" ca="1" si="21"/>
        <v>Warranty</v>
      </c>
      <c r="M381" s="11">
        <v>45404</v>
      </c>
      <c r="N381" s="12">
        <v>24</v>
      </c>
      <c r="O381" s="11">
        <f t="shared" si="23"/>
        <v>46142</v>
      </c>
      <c r="P381" s="8" t="s">
        <v>213</v>
      </c>
      <c r="Q381" s="16" t="s">
        <v>2094</v>
      </c>
      <c r="R381" s="15">
        <v>45940.736805555556</v>
      </c>
      <c r="S381" s="14">
        <v>1923</v>
      </c>
      <c r="T381" s="15">
        <v>45941</v>
      </c>
      <c r="U381" s="14">
        <v>1923</v>
      </c>
      <c r="V381" s="14">
        <v>2389</v>
      </c>
      <c r="W381" s="17">
        <v>46099.479328703703</v>
      </c>
      <c r="X381" s="14" t="s">
        <v>2865</v>
      </c>
      <c r="Y381" s="14">
        <v>284</v>
      </c>
      <c r="Z381" s="14" t="s">
        <v>2692</v>
      </c>
      <c r="AA381" s="18">
        <v>172.2631944444438</v>
      </c>
      <c r="AB381" s="18" t="s">
        <v>2692</v>
      </c>
      <c r="AC381" s="8">
        <f>tbl_DPSAC[[#This Row],[Current Month Due Count]]</f>
        <v>4</v>
      </c>
      <c r="AD381" s="8">
        <f>tbl_DPSAC[[#This Row],[Next Month Due2]]</f>
        <v>0</v>
      </c>
      <c r="AE381" s="8"/>
      <c r="AF381" s="8">
        <v>3</v>
      </c>
      <c r="AG381" s="14">
        <f t="shared" ca="1" si="22"/>
        <v>2430</v>
      </c>
      <c r="AH381" s="8" t="s">
        <v>2091</v>
      </c>
      <c r="AI381" s="8" t="s">
        <v>2092</v>
      </c>
      <c r="AJ381" s="8">
        <v>0</v>
      </c>
      <c r="AK381" s="8">
        <v>0</v>
      </c>
      <c r="AL381" s="8" t="s">
        <v>2093</v>
      </c>
      <c r="AM381" s="8">
        <v>0</v>
      </c>
      <c r="AN381" s="8">
        <v>0</v>
      </c>
      <c r="AO381" s="8">
        <v>0</v>
      </c>
      <c r="AP381" s="8">
        <v>0</v>
      </c>
      <c r="AQ381" s="8">
        <v>0</v>
      </c>
      <c r="AR381" s="8">
        <v>0</v>
      </c>
      <c r="AS381" s="8">
        <v>0</v>
      </c>
      <c r="AT381" s="8">
        <v>0</v>
      </c>
      <c r="AU381" s="8">
        <v>0</v>
      </c>
      <c r="AV381" s="8">
        <v>0</v>
      </c>
      <c r="AW381" s="8">
        <v>0</v>
      </c>
      <c r="AX381" s="8" t="s">
        <v>3147</v>
      </c>
      <c r="AY381" s="14">
        <v>1923</v>
      </c>
      <c r="AZ381" s="19">
        <v>45940</v>
      </c>
      <c r="BA381" s="14" t="s">
        <v>2094</v>
      </c>
      <c r="BB381" s="14">
        <v>1923</v>
      </c>
      <c r="BC381" s="19">
        <v>45940</v>
      </c>
      <c r="BD381" s="14" t="s">
        <v>2094</v>
      </c>
      <c r="BE381" s="14">
        <v>1923</v>
      </c>
      <c r="BF381" s="19">
        <v>45940</v>
      </c>
      <c r="BG381" s="14" t="s">
        <v>2094</v>
      </c>
      <c r="BH381" s="14">
        <v>1923</v>
      </c>
      <c r="BI381" s="19">
        <v>45940</v>
      </c>
      <c r="BJ381" s="14" t="s">
        <v>2094</v>
      </c>
      <c r="BK381" s="14">
        <v>1</v>
      </c>
      <c r="BL381" s="19">
        <v>45404</v>
      </c>
      <c r="BM381" s="14" t="s">
        <v>2095</v>
      </c>
      <c r="BN381" s="27">
        <v>46120</v>
      </c>
      <c r="BO381" s="27">
        <v>46120</v>
      </c>
      <c r="BP381" s="27">
        <v>46120</v>
      </c>
      <c r="BQ381" s="27">
        <v>46120</v>
      </c>
      <c r="BR381" s="27">
        <v>45584</v>
      </c>
      <c r="BS381" s="28">
        <v>243</v>
      </c>
      <c r="BT381" s="29">
        <v>993</v>
      </c>
      <c r="BU381" s="29">
        <v>243</v>
      </c>
      <c r="BV381" s="29">
        <v>243</v>
      </c>
      <c r="BW381" s="29">
        <v>-929</v>
      </c>
      <c r="BX381" s="30"/>
      <c r="BY381" s="8">
        <v>1</v>
      </c>
      <c r="BZ381" s="8">
        <v>4</v>
      </c>
      <c r="CA381" s="8">
        <v>0</v>
      </c>
      <c r="CB381" s="21">
        <v>45940.770833333299</v>
      </c>
      <c r="CC381" s="21">
        <v>45940.770833333299</v>
      </c>
      <c r="CD381" s="21">
        <v>45940.770833333299</v>
      </c>
      <c r="CE381" s="21">
        <v>45940.770833333299</v>
      </c>
      <c r="CF381" s="21">
        <v>45940.770833333299</v>
      </c>
      <c r="CG381" s="21">
        <v>45940.770833333299</v>
      </c>
      <c r="CH381" s="21">
        <v>45940.770833333299</v>
      </c>
      <c r="CI381" s="21">
        <v>45940.770833333299</v>
      </c>
      <c r="CJ381" s="21">
        <v>45403.770833333299</v>
      </c>
      <c r="CK381" s="22" t="s">
        <v>3180</v>
      </c>
      <c r="CL381" s="22" t="s">
        <v>3181</v>
      </c>
      <c r="CM381" s="22" t="s">
        <v>3181</v>
      </c>
      <c r="CN381" s="22" t="s">
        <v>3181</v>
      </c>
      <c r="CO381" s="22" t="s">
        <v>3181</v>
      </c>
      <c r="CP381" s="22" t="s">
        <v>3182</v>
      </c>
      <c r="CQ381" s="22" t="s">
        <v>2953</v>
      </c>
      <c r="CR381" s="22" t="s">
        <v>3182</v>
      </c>
      <c r="CS381" s="22" t="s">
        <v>3182</v>
      </c>
      <c r="CT381" s="22">
        <v>3</v>
      </c>
      <c r="CU381" s="21">
        <v>46120</v>
      </c>
      <c r="CV381" s="21">
        <v>46120</v>
      </c>
      <c r="CW381" s="21">
        <v>46120</v>
      </c>
      <c r="CX381" s="21">
        <v>46120</v>
      </c>
      <c r="CY381" s="21">
        <v>46120</v>
      </c>
      <c r="CZ381" s="21">
        <v>46210</v>
      </c>
      <c r="DA381" s="21">
        <v>46305</v>
      </c>
      <c r="DB381" s="21">
        <v>46120</v>
      </c>
      <c r="DC381" s="21">
        <v>45768</v>
      </c>
      <c r="DD381" s="8">
        <v>1</v>
      </c>
      <c r="DE381" s="8">
        <v>0</v>
      </c>
      <c r="DF381" s="8">
        <v>0</v>
      </c>
      <c r="DG381" s="8">
        <v>1</v>
      </c>
      <c r="DH381" s="8">
        <v>6</v>
      </c>
      <c r="DI381" s="8">
        <v>0</v>
      </c>
      <c r="DJ381" s="8" t="s">
        <v>2976</v>
      </c>
      <c r="DK381" s="21">
        <v>45404</v>
      </c>
      <c r="DL381" s="21">
        <v>45397.229166666664</v>
      </c>
      <c r="DM381" s="21">
        <v>46099</v>
      </c>
      <c r="DN381" s="18">
        <v>2389</v>
      </c>
      <c r="DO381" s="21">
        <v>0</v>
      </c>
      <c r="DP381" s="21">
        <v>0</v>
      </c>
      <c r="DQ381" s="21" t="s">
        <v>2955</v>
      </c>
      <c r="DR381" s="21">
        <v>45941</v>
      </c>
      <c r="DS381" s="21">
        <v>45941</v>
      </c>
      <c r="DT381" s="21">
        <v>45941</v>
      </c>
      <c r="DU381" s="21">
        <v>45941</v>
      </c>
      <c r="DV381" s="21">
        <v>45941</v>
      </c>
      <c r="DW381" s="21">
        <v>45941</v>
      </c>
      <c r="DX381" s="21">
        <v>45941</v>
      </c>
      <c r="DY381" s="21">
        <v>45941</v>
      </c>
      <c r="DZ381" s="21">
        <v>45393</v>
      </c>
      <c r="EA381" s="8">
        <v>283</v>
      </c>
      <c r="EB381" s="8">
        <v>284</v>
      </c>
      <c r="EC381" s="8">
        <v>284</v>
      </c>
      <c r="ED381" s="8">
        <v>284</v>
      </c>
      <c r="EE381" s="8">
        <v>284</v>
      </c>
      <c r="EF381" s="8">
        <v>1034</v>
      </c>
      <c r="EG381" s="8">
        <v>798</v>
      </c>
      <c r="EH381" s="8">
        <v>1034</v>
      </c>
      <c r="EI381" s="8">
        <v>1034</v>
      </c>
      <c r="EJ381" s="8">
        <v>3</v>
      </c>
      <c r="EK381" s="8" t="s">
        <v>2624</v>
      </c>
      <c r="EL381" s="8">
        <v>14</v>
      </c>
      <c r="EM381" s="8">
        <v>42</v>
      </c>
      <c r="EN381" s="8">
        <v>-5</v>
      </c>
      <c r="EO381" s="8">
        <v>-4</v>
      </c>
      <c r="EP381" s="8">
        <v>-4</v>
      </c>
      <c r="EQ381" s="8">
        <v>-4</v>
      </c>
      <c r="ER381" s="8">
        <v>-4</v>
      </c>
      <c r="ES381" s="8">
        <v>746</v>
      </c>
      <c r="ET381" s="8">
        <v>510</v>
      </c>
      <c r="EU381" s="8">
        <v>746</v>
      </c>
      <c r="EV381" s="8">
        <v>746</v>
      </c>
    </row>
    <row r="382" spans="1:152" x14ac:dyDescent="0.15">
      <c r="A382" s="8">
        <f>ROW([2]!tbl_DPSAC[[#This Row],[Sl. No.]])-1</f>
        <v>381</v>
      </c>
      <c r="B382" s="9" t="s">
        <v>136</v>
      </c>
      <c r="C382" s="9" t="s">
        <v>2096</v>
      </c>
      <c r="D382" s="9" t="s">
        <v>1491</v>
      </c>
      <c r="E382" s="9" t="s">
        <v>1492</v>
      </c>
      <c r="F382" s="9" t="s">
        <v>161</v>
      </c>
      <c r="G382" s="10" t="s">
        <v>2097</v>
      </c>
      <c r="H382" s="10" t="str">
        <f>_xlfn.XLOOKUP(C382,'[1]E&amp;DPSAC'!$K:$K,'[1]E&amp;DPSAC'!$E:$E,,0)</f>
        <v>CHATRA</v>
      </c>
      <c r="I382" s="10"/>
      <c r="J382" s="10">
        <v>7004915623</v>
      </c>
      <c r="K382" s="10">
        <f>IF(_xlfn.XLOOKUP(C382,'[1]E&amp;DPSAC'!$K:$K,'[1]E&amp;DPSAC'!$G:$G,"",0)=J382,"",_xlfn.XLOOKUP(C382,'[1]E&amp;DPSAC'!$K:$K,'[1]E&amp;DPSAC'!$G:$G,"",0))</f>
        <v>8102075973</v>
      </c>
      <c r="L382" s="9" t="str">
        <f t="shared" ca="1" si="21"/>
        <v>Warranty</v>
      </c>
      <c r="M382" s="11">
        <v>45407</v>
      </c>
      <c r="N382" s="12">
        <v>24</v>
      </c>
      <c r="O382" s="11">
        <f t="shared" si="23"/>
        <v>46142</v>
      </c>
      <c r="P382" s="8" t="s">
        <v>213</v>
      </c>
      <c r="Q382" s="16" t="s">
        <v>2099</v>
      </c>
      <c r="R382" s="15">
        <v>45483.525000000001</v>
      </c>
      <c r="S382" s="14">
        <v>476</v>
      </c>
      <c r="T382" s="15">
        <v>45484</v>
      </c>
      <c r="U382" s="14">
        <v>476</v>
      </c>
      <c r="V382" s="14">
        <v>2534</v>
      </c>
      <c r="W382" s="17">
        <v>46099.487893518497</v>
      </c>
      <c r="X382" s="14" t="s">
        <v>2866</v>
      </c>
      <c r="Y382" s="14">
        <v>-1308</v>
      </c>
      <c r="Z382" s="14" t="s">
        <v>2697</v>
      </c>
      <c r="AA382" s="18">
        <v>629.47499999999854</v>
      </c>
      <c r="AB382" s="18" t="s">
        <v>2697</v>
      </c>
      <c r="AC382" s="8">
        <f>tbl_DPSAC[[#This Row],[Current Month Due Count]]</f>
        <v>0</v>
      </c>
      <c r="AD382" s="8">
        <f>tbl_DPSAC[[#This Row],[Next Month Due2]]</f>
        <v>0</v>
      </c>
      <c r="AE382" s="8"/>
      <c r="AF382" s="8">
        <v>4</v>
      </c>
      <c r="AG382" s="14">
        <f t="shared" ca="1" si="22"/>
        <v>2588</v>
      </c>
      <c r="AH382" s="8" t="s">
        <v>2098</v>
      </c>
      <c r="AI382" s="8">
        <v>0</v>
      </c>
      <c r="AJ382" s="8">
        <v>0</v>
      </c>
      <c r="AK382" s="8">
        <v>0</v>
      </c>
      <c r="AL382" s="8">
        <v>0</v>
      </c>
      <c r="AM382" s="8">
        <v>0</v>
      </c>
      <c r="AN382" s="8">
        <v>0</v>
      </c>
      <c r="AO382" s="8">
        <v>0</v>
      </c>
      <c r="AP382" s="8">
        <v>0</v>
      </c>
      <c r="AQ382" s="8">
        <v>0</v>
      </c>
      <c r="AR382" s="8">
        <v>0</v>
      </c>
      <c r="AS382" s="8">
        <v>0</v>
      </c>
      <c r="AT382" s="8">
        <v>0</v>
      </c>
      <c r="AU382" s="8">
        <v>0</v>
      </c>
      <c r="AV382" s="8">
        <v>0</v>
      </c>
      <c r="AW382" s="8">
        <v>0</v>
      </c>
      <c r="AX382" s="8" t="s">
        <v>2961</v>
      </c>
      <c r="AY382" s="14">
        <v>476</v>
      </c>
      <c r="AZ382" s="19">
        <v>45483</v>
      </c>
      <c r="BA382" s="14" t="s">
        <v>2099</v>
      </c>
      <c r="BB382" s="14">
        <v>1</v>
      </c>
      <c r="BC382" s="19">
        <v>45407</v>
      </c>
      <c r="BD382" s="14" t="s">
        <v>2100</v>
      </c>
      <c r="BE382" s="14">
        <v>476</v>
      </c>
      <c r="BF382" s="19">
        <v>45483</v>
      </c>
      <c r="BG382" s="14" t="s">
        <v>2099</v>
      </c>
      <c r="BH382" s="14">
        <v>476</v>
      </c>
      <c r="BI382" s="19">
        <v>45483</v>
      </c>
      <c r="BJ382" s="14" t="s">
        <v>2099</v>
      </c>
      <c r="BK382" s="14">
        <v>1</v>
      </c>
      <c r="BL382" s="19">
        <v>45407</v>
      </c>
      <c r="BM382" s="14" t="s">
        <v>2100</v>
      </c>
      <c r="BN382" s="27">
        <v>45663</v>
      </c>
      <c r="BO382" s="27">
        <v>45587</v>
      </c>
      <c r="BP382" s="27">
        <v>45663</v>
      </c>
      <c r="BQ382" s="27">
        <v>45663</v>
      </c>
      <c r="BR382" s="27">
        <v>45587</v>
      </c>
      <c r="BS382" s="28">
        <v>-1362</v>
      </c>
      <c r="BT382" s="29">
        <v>-1087</v>
      </c>
      <c r="BU382" s="29">
        <v>-1362</v>
      </c>
      <c r="BV382" s="29">
        <v>-1362</v>
      </c>
      <c r="BW382" s="29">
        <v>-1087</v>
      </c>
      <c r="BX382" s="30"/>
      <c r="BY382" s="8">
        <v>5</v>
      </c>
      <c r="BZ382" s="8">
        <v>0</v>
      </c>
      <c r="CA382" s="8">
        <v>0</v>
      </c>
      <c r="CB382" s="21">
        <v>45406.770833333299</v>
      </c>
      <c r="CC382" s="21">
        <v>45406.770833333299</v>
      </c>
      <c r="CD382" s="21">
        <v>45406.770833333299</v>
      </c>
      <c r="CE382" s="21">
        <v>45482.770833333299</v>
      </c>
      <c r="CF382" s="21">
        <v>45482.770833333299</v>
      </c>
      <c r="CG382" s="21">
        <v>45406.770833333299</v>
      </c>
      <c r="CH382" s="21">
        <v>45406.770833333299</v>
      </c>
      <c r="CI382" s="21">
        <v>45406.770833333299</v>
      </c>
      <c r="CJ382" s="21">
        <v>45406.770833333299</v>
      </c>
      <c r="CK382" s="22" t="s">
        <v>2971</v>
      </c>
      <c r="CL382" s="22" t="s">
        <v>2971</v>
      </c>
      <c r="CM382" s="22" t="s">
        <v>2971</v>
      </c>
      <c r="CN382" s="22" t="s">
        <v>2971</v>
      </c>
      <c r="CO382" s="22" t="s">
        <v>2971</v>
      </c>
      <c r="CP382" s="22" t="s">
        <v>2999</v>
      </c>
      <c r="CQ382" s="22" t="s">
        <v>2953</v>
      </c>
      <c r="CR382" s="22" t="s">
        <v>2999</v>
      </c>
      <c r="CS382" s="22" t="s">
        <v>2999</v>
      </c>
      <c r="CT382" s="22">
        <v>2</v>
      </c>
      <c r="CU382" s="21">
        <v>45586</v>
      </c>
      <c r="CV382" s="21">
        <v>45586</v>
      </c>
      <c r="CW382" s="21">
        <v>45586</v>
      </c>
      <c r="CX382" s="21">
        <v>45662</v>
      </c>
      <c r="CY382" s="21">
        <v>45662</v>
      </c>
      <c r="CZ382" s="21">
        <v>45676</v>
      </c>
      <c r="DA382" s="21">
        <v>45771</v>
      </c>
      <c r="DB382" s="21">
        <v>45586</v>
      </c>
      <c r="DC382" s="21">
        <v>45771</v>
      </c>
      <c r="DD382" s="8">
        <v>1</v>
      </c>
      <c r="DE382" s="8">
        <v>0</v>
      </c>
      <c r="DF382" s="8">
        <v>0</v>
      </c>
      <c r="DG382" s="8">
        <v>9</v>
      </c>
      <c r="DH382" s="8">
        <v>0</v>
      </c>
      <c r="DI382" s="8">
        <v>0</v>
      </c>
      <c r="DJ382" s="8" t="s">
        <v>2976</v>
      </c>
      <c r="DK382" s="21">
        <v>45407</v>
      </c>
      <c r="DL382" s="21">
        <v>45351.229166666664</v>
      </c>
      <c r="DM382" s="21">
        <v>46099</v>
      </c>
      <c r="DN382" s="18">
        <v>2534</v>
      </c>
      <c r="DO382" s="21">
        <v>0</v>
      </c>
      <c r="DP382" s="21">
        <v>0</v>
      </c>
      <c r="DQ382" s="21" t="s">
        <v>3049</v>
      </c>
      <c r="DR382" s="21">
        <v>45407</v>
      </c>
      <c r="DS382" s="21">
        <v>45407</v>
      </c>
      <c r="DT382" s="21">
        <v>45407</v>
      </c>
      <c r="DU382" s="21">
        <v>45772</v>
      </c>
      <c r="DV382" s="21">
        <v>45772</v>
      </c>
      <c r="DW382" s="21">
        <v>45407</v>
      </c>
      <c r="DX382" s="21">
        <v>45407</v>
      </c>
      <c r="DY382" s="21">
        <v>45407</v>
      </c>
      <c r="DZ382" s="21">
        <v>45407</v>
      </c>
      <c r="EA382" s="8">
        <v>10</v>
      </c>
      <c r="EB382" s="8">
        <v>10</v>
      </c>
      <c r="EC382" s="8">
        <v>10</v>
      </c>
      <c r="ED382" s="8">
        <v>10</v>
      </c>
      <c r="EE382" s="8">
        <v>10</v>
      </c>
      <c r="EF382" s="8">
        <v>461</v>
      </c>
      <c r="EG382" s="8">
        <v>731</v>
      </c>
      <c r="EH382" s="8">
        <v>461</v>
      </c>
      <c r="EI382" s="8">
        <v>461</v>
      </c>
      <c r="EJ382" s="8">
        <v>4</v>
      </c>
      <c r="EK382" s="8" t="s">
        <v>2624</v>
      </c>
      <c r="EL382" s="8">
        <v>14</v>
      </c>
      <c r="EM382" s="8">
        <v>56</v>
      </c>
      <c r="EN382" s="8">
        <v>-278</v>
      </c>
      <c r="EO382" s="8">
        <v>-278</v>
      </c>
      <c r="EP382" s="8">
        <v>-278</v>
      </c>
      <c r="EQ382" s="8">
        <v>-278</v>
      </c>
      <c r="ER382" s="8">
        <v>-278</v>
      </c>
      <c r="ES382" s="8">
        <v>173</v>
      </c>
      <c r="ET382" s="8">
        <v>443</v>
      </c>
      <c r="EU382" s="8">
        <v>173</v>
      </c>
      <c r="EV382" s="8">
        <v>173</v>
      </c>
    </row>
    <row r="383" spans="1:152" x14ac:dyDescent="0.15">
      <c r="A383" s="8">
        <f>ROW([2]!tbl_DPSAC[[#This Row],[Sl. No.]])-1</f>
        <v>382</v>
      </c>
      <c r="B383" s="9" t="s">
        <v>196</v>
      </c>
      <c r="C383" s="9" t="s">
        <v>2101</v>
      </c>
      <c r="D383" s="9" t="s">
        <v>1491</v>
      </c>
      <c r="E383" s="9" t="s">
        <v>1492</v>
      </c>
      <c r="F383" s="9" t="s">
        <v>161</v>
      </c>
      <c r="G383" s="10" t="s">
        <v>2102</v>
      </c>
      <c r="H383" s="10" t="str">
        <f>_xlfn.XLOOKUP(C383,'[1]E&amp;DPSAC'!$K:$K,'[1]E&amp;DPSAC'!$E:$E,,0)</f>
        <v>AURANGABAD</v>
      </c>
      <c r="I383" s="10"/>
      <c r="J383" s="10">
        <v>9090169130</v>
      </c>
      <c r="K383" s="10">
        <f>IF(_xlfn.XLOOKUP(C383,'[1]E&amp;DPSAC'!$K:$K,'[1]E&amp;DPSAC'!$G:$G,"",0)=J383,"",_xlfn.XLOOKUP(C383,'[1]E&amp;DPSAC'!$K:$K,'[1]E&amp;DPSAC'!$G:$G,"",0))</f>
        <v>9090169180</v>
      </c>
      <c r="L383" s="9" t="str">
        <f t="shared" ca="1" si="21"/>
        <v>Warranty</v>
      </c>
      <c r="M383" s="11">
        <v>45416</v>
      </c>
      <c r="N383" s="12">
        <v>24</v>
      </c>
      <c r="O383" s="11">
        <f t="shared" si="23"/>
        <v>46173</v>
      </c>
      <c r="P383" s="8" t="s">
        <v>213</v>
      </c>
      <c r="Q383" s="16" t="s">
        <v>2664</v>
      </c>
      <c r="R383" s="15">
        <v>45775.449247685203</v>
      </c>
      <c r="S383" s="14">
        <v>1610</v>
      </c>
      <c r="T383" s="15">
        <v>45751</v>
      </c>
      <c r="U383" s="14">
        <v>1581</v>
      </c>
      <c r="V383" s="14">
        <v>2245</v>
      </c>
      <c r="W383" s="17">
        <v>46099.491747685199</v>
      </c>
      <c r="X383" s="14" t="s">
        <v>2867</v>
      </c>
      <c r="Y383" s="14">
        <v>115</v>
      </c>
      <c r="Z383" s="14" t="s">
        <v>2692</v>
      </c>
      <c r="AA383" s="18">
        <v>337.55075231479714</v>
      </c>
      <c r="AB383" s="18" t="s">
        <v>2697</v>
      </c>
      <c r="AC383" s="8">
        <f>tbl_DPSAC[[#This Row],[Current Month Due Count]]</f>
        <v>0</v>
      </c>
      <c r="AD383" s="8">
        <f>tbl_DPSAC[[#This Row],[Next Month Due2]]</f>
        <v>0</v>
      </c>
      <c r="AE383" s="8"/>
      <c r="AF383" s="8">
        <v>2</v>
      </c>
      <c r="AG383" s="14">
        <f t="shared" ca="1" si="22"/>
        <v>2272</v>
      </c>
      <c r="AH383" s="8" t="s">
        <v>2103</v>
      </c>
      <c r="AI383" s="8" t="s">
        <v>2104</v>
      </c>
      <c r="AJ383" s="8">
        <v>0</v>
      </c>
      <c r="AK383" s="8" t="s">
        <v>2105</v>
      </c>
      <c r="AL383" s="8">
        <v>0</v>
      </c>
      <c r="AM383" s="8">
        <v>0</v>
      </c>
      <c r="AN383" s="8">
        <v>0</v>
      </c>
      <c r="AO383" s="8">
        <v>0</v>
      </c>
      <c r="AP383" s="8">
        <v>0</v>
      </c>
      <c r="AQ383" s="8">
        <v>0</v>
      </c>
      <c r="AR383" s="8">
        <v>0</v>
      </c>
      <c r="AS383" s="8">
        <v>0</v>
      </c>
      <c r="AT383" s="8">
        <v>0</v>
      </c>
      <c r="AU383" s="8">
        <v>0</v>
      </c>
      <c r="AV383" s="8">
        <v>0</v>
      </c>
      <c r="AW383" s="8">
        <v>0</v>
      </c>
      <c r="AX383" s="8" t="s">
        <v>2007</v>
      </c>
      <c r="AY383" s="14">
        <v>1581</v>
      </c>
      <c r="AZ383" s="19">
        <v>45751</v>
      </c>
      <c r="BA383" s="14" t="s">
        <v>2106</v>
      </c>
      <c r="BB383" s="14">
        <v>1581</v>
      </c>
      <c r="BC383" s="19">
        <v>45751</v>
      </c>
      <c r="BD383" s="14" t="s">
        <v>2106</v>
      </c>
      <c r="BE383" s="14">
        <v>1581</v>
      </c>
      <c r="BF383" s="19">
        <v>45751</v>
      </c>
      <c r="BG383" s="14" t="s">
        <v>2106</v>
      </c>
      <c r="BH383" s="14">
        <v>1581</v>
      </c>
      <c r="BI383" s="19">
        <v>45751</v>
      </c>
      <c r="BJ383" s="14" t="s">
        <v>2106</v>
      </c>
      <c r="BK383" s="14">
        <v>1581</v>
      </c>
      <c r="BL383" s="19">
        <v>45751</v>
      </c>
      <c r="BM383" s="14" t="s">
        <v>2106</v>
      </c>
      <c r="BN383" s="27">
        <v>45931</v>
      </c>
      <c r="BO383" s="27">
        <v>45931</v>
      </c>
      <c r="BP383" s="27">
        <v>45931</v>
      </c>
      <c r="BQ383" s="27">
        <v>45931</v>
      </c>
      <c r="BR383" s="27">
        <v>45931</v>
      </c>
      <c r="BS383" s="28">
        <v>59</v>
      </c>
      <c r="BT383" s="29">
        <v>809</v>
      </c>
      <c r="BU383" s="29">
        <v>59</v>
      </c>
      <c r="BV383" s="29">
        <v>59</v>
      </c>
      <c r="BW383" s="29">
        <v>809</v>
      </c>
      <c r="BX383" s="30"/>
      <c r="BY383" s="8">
        <v>5</v>
      </c>
      <c r="BZ383" s="8">
        <v>0</v>
      </c>
      <c r="CA383" s="8">
        <v>0</v>
      </c>
      <c r="CB383" s="21">
        <v>45415.770833333299</v>
      </c>
      <c r="CC383" s="21">
        <v>45750.770833333299</v>
      </c>
      <c r="CD383" s="21">
        <v>45750.770833333299</v>
      </c>
      <c r="CE383" s="21">
        <v>45750.770833333299</v>
      </c>
      <c r="CF383" s="21">
        <v>45750.770833333299</v>
      </c>
      <c r="CG383" s="21">
        <v>45750.770833333299</v>
      </c>
      <c r="CH383" s="21">
        <v>45415.770833333299</v>
      </c>
      <c r="CI383" s="21">
        <v>45750.770833333299</v>
      </c>
      <c r="CJ383" s="21">
        <v>45415.770833333299</v>
      </c>
      <c r="CK383" s="22" t="s">
        <v>3183</v>
      </c>
      <c r="CL383" s="22" t="s">
        <v>3184</v>
      </c>
      <c r="CM383" s="22" t="s">
        <v>3184</v>
      </c>
      <c r="CN383" s="22" t="s">
        <v>3184</v>
      </c>
      <c r="CO383" s="22" t="s">
        <v>3184</v>
      </c>
      <c r="CP383" s="22" t="s">
        <v>3185</v>
      </c>
      <c r="CQ383" s="22" t="s">
        <v>2953</v>
      </c>
      <c r="CR383" s="22" t="s">
        <v>3185</v>
      </c>
      <c r="CS383" s="22" t="s">
        <v>3185</v>
      </c>
      <c r="CT383" s="22">
        <v>2</v>
      </c>
      <c r="CU383" s="21">
        <v>45595</v>
      </c>
      <c r="CV383" s="21">
        <v>45930</v>
      </c>
      <c r="CW383" s="21">
        <v>45930</v>
      </c>
      <c r="CX383" s="21">
        <v>45930</v>
      </c>
      <c r="CY383" s="21">
        <v>45930</v>
      </c>
      <c r="CZ383" s="21">
        <v>46020</v>
      </c>
      <c r="DA383" s="21">
        <v>45780</v>
      </c>
      <c r="DB383" s="21">
        <v>45930</v>
      </c>
      <c r="DC383" s="21">
        <v>45780</v>
      </c>
      <c r="DD383" s="8">
        <v>1</v>
      </c>
      <c r="DE383" s="8">
        <v>0</v>
      </c>
      <c r="DF383" s="8">
        <v>0</v>
      </c>
      <c r="DG383" s="8">
        <v>9</v>
      </c>
      <c r="DH383" s="8">
        <v>0</v>
      </c>
      <c r="DI383" s="8">
        <v>0</v>
      </c>
      <c r="DJ383" s="8" t="s">
        <v>2976</v>
      </c>
      <c r="DK383" s="21">
        <v>45416</v>
      </c>
      <c r="DL383" s="21">
        <v>45384.229166666664</v>
      </c>
      <c r="DM383" s="21">
        <v>46099</v>
      </c>
      <c r="DN383" s="18">
        <v>2245</v>
      </c>
      <c r="DO383" s="21">
        <v>0</v>
      </c>
      <c r="DP383" s="21">
        <v>0</v>
      </c>
      <c r="DQ383" s="21" t="s">
        <v>2955</v>
      </c>
      <c r="DR383" s="21">
        <v>45416</v>
      </c>
      <c r="DS383" s="21">
        <v>45751</v>
      </c>
      <c r="DT383" s="21">
        <v>45751</v>
      </c>
      <c r="DU383" s="21">
        <v>45751</v>
      </c>
      <c r="DV383" s="21">
        <v>45751</v>
      </c>
      <c r="DW383" s="21">
        <v>45781</v>
      </c>
      <c r="DX383" s="21">
        <v>45781</v>
      </c>
      <c r="DY383" s="21">
        <v>45751</v>
      </c>
      <c r="DZ383" s="21">
        <v>45781</v>
      </c>
      <c r="EA383" s="8">
        <v>135</v>
      </c>
      <c r="EB383" s="8">
        <v>85</v>
      </c>
      <c r="EC383" s="8">
        <v>85</v>
      </c>
      <c r="ED383" s="8">
        <v>85</v>
      </c>
      <c r="EE383" s="8">
        <v>85</v>
      </c>
      <c r="EF383" s="8">
        <v>835</v>
      </c>
      <c r="EG383" s="8">
        <v>865</v>
      </c>
      <c r="EH383" s="8">
        <v>835</v>
      </c>
      <c r="EI383" s="8">
        <v>835</v>
      </c>
      <c r="EJ383" s="8">
        <v>2</v>
      </c>
      <c r="EK383" s="8" t="s">
        <v>2624</v>
      </c>
      <c r="EL383" s="8">
        <v>14</v>
      </c>
      <c r="EM383" s="8">
        <v>28</v>
      </c>
      <c r="EN383" s="8">
        <v>-153</v>
      </c>
      <c r="EO383" s="8">
        <v>-203</v>
      </c>
      <c r="EP383" s="8">
        <v>-203</v>
      </c>
      <c r="EQ383" s="8">
        <v>-203</v>
      </c>
      <c r="ER383" s="8">
        <v>-203</v>
      </c>
      <c r="ES383" s="8">
        <v>547</v>
      </c>
      <c r="ET383" s="8">
        <v>577</v>
      </c>
      <c r="EU383" s="8">
        <v>547</v>
      </c>
      <c r="EV383" s="8">
        <v>547</v>
      </c>
    </row>
    <row r="384" spans="1:152" x14ac:dyDescent="0.15">
      <c r="A384" s="8">
        <f>ROW([2]!tbl_DPSAC[[#This Row],[Sl. No.]])-1</f>
        <v>383</v>
      </c>
      <c r="B384" s="9" t="s">
        <v>136</v>
      </c>
      <c r="C384" s="9" t="s">
        <v>2107</v>
      </c>
      <c r="D384" s="9" t="s">
        <v>333</v>
      </c>
      <c r="E384" s="9" t="s">
        <v>333</v>
      </c>
      <c r="F384" s="9" t="s">
        <v>140</v>
      </c>
      <c r="G384" s="10" t="s">
        <v>2063</v>
      </c>
      <c r="H384" s="10" t="str">
        <f>_xlfn.XLOOKUP(C384,'[1]E&amp;DPSAC'!$K:$K,'[1]E&amp;DPSAC'!$E:$E,,0)</f>
        <v>KEREDARI, HAZARIBAGH</v>
      </c>
      <c r="I384" s="10"/>
      <c r="J384" s="10">
        <v>6201387183</v>
      </c>
      <c r="K384" s="10">
        <f>IF(_xlfn.XLOOKUP(C384,'[1]E&amp;DPSAC'!$K:$K,'[1]E&amp;DPSAC'!$G:$G,"",0)=J384,"",_xlfn.XLOOKUP(C384,'[1]E&amp;DPSAC'!$K:$K,'[1]E&amp;DPSAC'!$G:$G,"",0))</f>
        <v>8978792036</v>
      </c>
      <c r="L384" s="9" t="str">
        <f t="shared" ca="1" si="21"/>
        <v>Warranty</v>
      </c>
      <c r="M384" s="11">
        <v>45423</v>
      </c>
      <c r="N384" s="12">
        <v>24</v>
      </c>
      <c r="O384" s="11">
        <f t="shared" si="23"/>
        <v>46173</v>
      </c>
      <c r="P384" s="8" t="s">
        <v>213</v>
      </c>
      <c r="Q384" s="16" t="s">
        <v>2110</v>
      </c>
      <c r="R384" s="15">
        <v>45610.465208333299</v>
      </c>
      <c r="S384" s="14">
        <v>494</v>
      </c>
      <c r="T384" s="15">
        <v>45608</v>
      </c>
      <c r="U384" s="14">
        <v>464</v>
      </c>
      <c r="V384" s="14">
        <v>2085</v>
      </c>
      <c r="W384" s="17">
        <v>46099.496319444399</v>
      </c>
      <c r="X384" s="14" t="s">
        <v>2868</v>
      </c>
      <c r="Y384" s="14">
        <v>-841</v>
      </c>
      <c r="Z384" s="14" t="s">
        <v>2697</v>
      </c>
      <c r="AA384" s="18">
        <v>502.53479166670149</v>
      </c>
      <c r="AB384" s="18" t="s">
        <v>2697</v>
      </c>
      <c r="AC384" s="8">
        <f>tbl_DPSAC[[#This Row],[Current Month Due Count]]</f>
        <v>0</v>
      </c>
      <c r="AD384" s="8">
        <f>tbl_DPSAC[[#This Row],[Next Month Due2]]</f>
        <v>0</v>
      </c>
      <c r="AE384" s="8"/>
      <c r="AF384" s="8">
        <v>0</v>
      </c>
      <c r="AG384" s="14">
        <f t="shared" ca="1" si="22"/>
        <v>2085</v>
      </c>
      <c r="AH384" s="8" t="s">
        <v>2108</v>
      </c>
      <c r="AI384" s="8" t="s">
        <v>2109</v>
      </c>
      <c r="AJ384" s="8">
        <v>0</v>
      </c>
      <c r="AK384" s="8">
        <v>0</v>
      </c>
      <c r="AL384" s="8">
        <v>0</v>
      </c>
      <c r="AM384" s="8">
        <v>0</v>
      </c>
      <c r="AN384" s="8">
        <v>0</v>
      </c>
      <c r="AO384" s="8">
        <v>0</v>
      </c>
      <c r="AP384" s="8">
        <v>0</v>
      </c>
      <c r="AQ384" s="8">
        <v>0</v>
      </c>
      <c r="AR384" s="8">
        <v>0</v>
      </c>
      <c r="AS384" s="8">
        <v>0</v>
      </c>
      <c r="AT384" s="8">
        <v>0</v>
      </c>
      <c r="AU384" s="8">
        <v>0</v>
      </c>
      <c r="AV384" s="8">
        <v>0</v>
      </c>
      <c r="AW384" s="8">
        <v>0</v>
      </c>
      <c r="AX384" s="8" t="s">
        <v>2961</v>
      </c>
      <c r="AY384" s="14">
        <v>494</v>
      </c>
      <c r="AZ384" s="19">
        <v>45610</v>
      </c>
      <c r="BA384" s="14" t="s">
        <v>2110</v>
      </c>
      <c r="BB384" s="14">
        <v>1</v>
      </c>
      <c r="BC384" s="19">
        <v>45423</v>
      </c>
      <c r="BD384" s="14" t="s">
        <v>2111</v>
      </c>
      <c r="BE384" s="14">
        <v>494</v>
      </c>
      <c r="BF384" s="19">
        <v>45610</v>
      </c>
      <c r="BG384" s="14" t="s">
        <v>2110</v>
      </c>
      <c r="BH384" s="14">
        <v>494</v>
      </c>
      <c r="BI384" s="19">
        <v>45610</v>
      </c>
      <c r="BJ384" s="14" t="s">
        <v>2110</v>
      </c>
      <c r="BK384" s="14">
        <v>1</v>
      </c>
      <c r="BL384" s="19">
        <v>45423</v>
      </c>
      <c r="BM384" s="14" t="s">
        <v>2111</v>
      </c>
      <c r="BN384" s="27">
        <v>45790</v>
      </c>
      <c r="BO384" s="27">
        <v>45603</v>
      </c>
      <c r="BP384" s="27">
        <v>45790</v>
      </c>
      <c r="BQ384" s="27">
        <v>45790</v>
      </c>
      <c r="BR384" s="27">
        <v>45603</v>
      </c>
      <c r="BS384" s="28">
        <v>-841</v>
      </c>
      <c r="BT384" s="29">
        <v>-584</v>
      </c>
      <c r="BU384" s="29">
        <v>-841</v>
      </c>
      <c r="BV384" s="29">
        <v>-841</v>
      </c>
      <c r="BW384" s="29">
        <v>-584</v>
      </c>
      <c r="BX384" s="30"/>
      <c r="BY384" s="8">
        <v>5</v>
      </c>
      <c r="BZ384" s="8">
        <v>0</v>
      </c>
      <c r="CA384" s="8">
        <v>0</v>
      </c>
      <c r="CB384" s="21">
        <v>45422.770833333299</v>
      </c>
      <c r="CC384" s="21">
        <v>45609.770833333299</v>
      </c>
      <c r="CD384" s="21">
        <v>45422.770833333299</v>
      </c>
      <c r="CE384" s="21">
        <v>45609.770833333299</v>
      </c>
      <c r="CF384" s="21">
        <v>45609.770833333299</v>
      </c>
      <c r="CG384" s="21">
        <v>45422.770833333299</v>
      </c>
      <c r="CH384" s="21">
        <v>45422.770833333299</v>
      </c>
      <c r="CI384" s="21">
        <v>45422.770833333299</v>
      </c>
      <c r="CJ384" s="21">
        <v>45422.770833333299</v>
      </c>
      <c r="CK384" s="22" t="s">
        <v>3111</v>
      </c>
      <c r="CL384" s="22" t="s">
        <v>3111</v>
      </c>
      <c r="CM384" s="22" t="s">
        <v>3111</v>
      </c>
      <c r="CN384" s="22" t="s">
        <v>3111</v>
      </c>
      <c r="CO384" s="22" t="s">
        <v>3111</v>
      </c>
      <c r="CP384" s="22" t="s">
        <v>3186</v>
      </c>
      <c r="CQ384" s="22" t="s">
        <v>2953</v>
      </c>
      <c r="CR384" s="22" t="s">
        <v>3186</v>
      </c>
      <c r="CS384" s="22" t="s">
        <v>3186</v>
      </c>
      <c r="CT384" s="22">
        <v>0</v>
      </c>
      <c r="CU384" s="21">
        <v>0</v>
      </c>
      <c r="CV384" s="21">
        <v>0</v>
      </c>
      <c r="CW384" s="21">
        <v>0</v>
      </c>
      <c r="CX384" s="21">
        <v>0</v>
      </c>
      <c r="CY384" s="21">
        <v>0</v>
      </c>
      <c r="CZ384" s="21">
        <v>0</v>
      </c>
      <c r="DA384" s="21">
        <v>0</v>
      </c>
      <c r="DB384" s="21">
        <v>0</v>
      </c>
      <c r="DC384" s="21">
        <v>0</v>
      </c>
      <c r="DD384" s="8">
        <v>0</v>
      </c>
      <c r="DE384" s="8">
        <v>0</v>
      </c>
      <c r="DF384" s="8">
        <v>0</v>
      </c>
      <c r="DG384" s="8">
        <v>9</v>
      </c>
      <c r="DH384" s="8">
        <v>0</v>
      </c>
      <c r="DI384" s="8">
        <v>0</v>
      </c>
      <c r="DJ384" s="8" t="s">
        <v>2976</v>
      </c>
      <c r="DK384" s="21">
        <v>45423</v>
      </c>
      <c r="DL384" s="21">
        <v>45275.229166666664</v>
      </c>
      <c r="DM384" s="21">
        <v>46099</v>
      </c>
      <c r="DN384" s="18">
        <v>2085</v>
      </c>
      <c r="DO384" s="21">
        <v>0</v>
      </c>
      <c r="DP384" s="21">
        <v>0</v>
      </c>
      <c r="DQ384" s="21" t="s">
        <v>2955</v>
      </c>
      <c r="DR384" s="21">
        <v>45423</v>
      </c>
      <c r="DS384" s="21">
        <v>45423</v>
      </c>
      <c r="DT384" s="21">
        <v>45423</v>
      </c>
      <c r="DU384" s="21">
        <v>45423</v>
      </c>
      <c r="DV384" s="21">
        <v>45423</v>
      </c>
      <c r="DW384" s="21">
        <v>45423</v>
      </c>
      <c r="DX384" s="21">
        <v>45423</v>
      </c>
      <c r="DY384" s="21">
        <v>45423</v>
      </c>
      <c r="DZ384" s="21">
        <v>45788</v>
      </c>
      <c r="EA384" s="8">
        <v>130</v>
      </c>
      <c r="EB384" s="8">
        <v>130</v>
      </c>
      <c r="EC384" s="8">
        <v>130</v>
      </c>
      <c r="ED384" s="8">
        <v>130</v>
      </c>
      <c r="EE384" s="8">
        <v>130</v>
      </c>
      <c r="EF384" s="8">
        <v>1130</v>
      </c>
      <c r="EG384" s="8">
        <v>1000</v>
      </c>
      <c r="EH384" s="8">
        <v>1130</v>
      </c>
      <c r="EI384" s="8">
        <v>1130</v>
      </c>
      <c r="EJ384" s="8">
        <v>4</v>
      </c>
      <c r="EK384" s="8" t="s">
        <v>2624</v>
      </c>
      <c r="EL384" s="8">
        <v>14</v>
      </c>
      <c r="EM384" s="8">
        <v>0</v>
      </c>
      <c r="EN384" s="8">
        <v>-158</v>
      </c>
      <c r="EO384" s="8">
        <v>-158</v>
      </c>
      <c r="EP384" s="8">
        <v>-158</v>
      </c>
      <c r="EQ384" s="8">
        <v>-158</v>
      </c>
      <c r="ER384" s="8">
        <v>-158</v>
      </c>
      <c r="ES384" s="8">
        <v>842</v>
      </c>
      <c r="ET384" s="8">
        <v>712</v>
      </c>
      <c r="EU384" s="8">
        <v>842</v>
      </c>
      <c r="EV384" s="8">
        <v>842</v>
      </c>
    </row>
    <row r="385" spans="1:152" x14ac:dyDescent="0.15">
      <c r="A385" s="8">
        <f>ROW([2]!tbl_DPSAC[[#This Row],[Sl. No.]])-1</f>
        <v>384</v>
      </c>
      <c r="B385" s="9" t="s">
        <v>196</v>
      </c>
      <c r="C385" s="9" t="s">
        <v>2112</v>
      </c>
      <c r="D385" s="9" t="s">
        <v>1312</v>
      </c>
      <c r="E385" s="9" t="s">
        <v>1707</v>
      </c>
      <c r="F385" s="9" t="s">
        <v>161</v>
      </c>
      <c r="G385" s="10" t="s">
        <v>2113</v>
      </c>
      <c r="H385" s="10" t="str">
        <f>_xlfn.XLOOKUP(C385,'[1]E&amp;DPSAC'!$K:$K,'[1]E&amp;DPSAC'!$E:$E,,0)</f>
        <v>ARARIA, BIHAR</v>
      </c>
      <c r="I385" s="10"/>
      <c r="J385" s="10">
        <v>9101149067</v>
      </c>
      <c r="K385" s="10">
        <f>IF(_xlfn.XLOOKUP(C385,'[1]E&amp;DPSAC'!$K:$K,'[1]E&amp;DPSAC'!$G:$G,"",0)=J385,"",_xlfn.XLOOKUP(C385,'[1]E&amp;DPSAC'!$K:$K,'[1]E&amp;DPSAC'!$G:$G,"",0))</f>
        <v>9801421403</v>
      </c>
      <c r="L385" s="9" t="str">
        <f t="shared" ca="1" si="21"/>
        <v>Warranty</v>
      </c>
      <c r="M385" s="11">
        <v>45425</v>
      </c>
      <c r="N385" s="12">
        <v>24</v>
      </c>
      <c r="O385" s="11">
        <f t="shared" si="23"/>
        <v>46173</v>
      </c>
      <c r="P385" s="8" t="s">
        <v>213</v>
      </c>
      <c r="Q385" s="16" t="s">
        <v>2665</v>
      </c>
      <c r="R385" s="15">
        <v>45714.608310185198</v>
      </c>
      <c r="S385" s="14">
        <v>1200</v>
      </c>
      <c r="T385" s="15">
        <v>45714</v>
      </c>
      <c r="U385" s="14">
        <v>1200</v>
      </c>
      <c r="V385" s="14">
        <v>2110</v>
      </c>
      <c r="W385" s="17">
        <v>46099.524988425903</v>
      </c>
      <c r="X385" s="14" t="s">
        <v>2869</v>
      </c>
      <c r="Y385" s="14">
        <v>-160</v>
      </c>
      <c r="Z385" s="14" t="s">
        <v>2697</v>
      </c>
      <c r="AA385" s="18">
        <v>398.39168981480179</v>
      </c>
      <c r="AB385" s="18" t="s">
        <v>2697</v>
      </c>
      <c r="AC385" s="8">
        <f>tbl_DPSAC[[#This Row],[Current Month Due Count]]</f>
        <v>0</v>
      </c>
      <c r="AD385" s="8">
        <f>tbl_DPSAC[[#This Row],[Next Month Due2]]</f>
        <v>0</v>
      </c>
      <c r="AE385" s="8"/>
      <c r="AF385" s="8">
        <v>0</v>
      </c>
      <c r="AG385" s="14">
        <f t="shared" ca="1" si="22"/>
        <v>2110</v>
      </c>
      <c r="AH385" s="8" t="s">
        <v>2114</v>
      </c>
      <c r="AI385" s="8">
        <v>0</v>
      </c>
      <c r="AJ385" s="8">
        <v>0</v>
      </c>
      <c r="AK385" s="8">
        <v>0</v>
      </c>
      <c r="AL385" s="8">
        <v>0</v>
      </c>
      <c r="AM385" s="8">
        <v>0</v>
      </c>
      <c r="AN385" s="8">
        <v>0</v>
      </c>
      <c r="AO385" s="8">
        <v>0</v>
      </c>
      <c r="AP385" s="8">
        <v>0</v>
      </c>
      <c r="AQ385" s="8">
        <v>0</v>
      </c>
      <c r="AR385" s="8">
        <v>0</v>
      </c>
      <c r="AS385" s="8">
        <v>0</v>
      </c>
      <c r="AT385" s="8">
        <v>0</v>
      </c>
      <c r="AU385" s="8">
        <v>0</v>
      </c>
      <c r="AV385" s="8">
        <v>0</v>
      </c>
      <c r="AW385" s="8">
        <v>0</v>
      </c>
      <c r="AX385" s="8" t="s">
        <v>2961</v>
      </c>
      <c r="AY385" s="14">
        <v>900</v>
      </c>
      <c r="AZ385" s="19">
        <v>45635</v>
      </c>
      <c r="BA385" s="14" t="s">
        <v>2115</v>
      </c>
      <c r="BB385" s="14">
        <v>1</v>
      </c>
      <c r="BC385" s="19">
        <v>45425</v>
      </c>
      <c r="BD385" s="14" t="s">
        <v>2116</v>
      </c>
      <c r="BE385" s="14">
        <v>900</v>
      </c>
      <c r="BF385" s="19">
        <v>45635</v>
      </c>
      <c r="BG385" s="14" t="s">
        <v>2115</v>
      </c>
      <c r="BH385" s="14">
        <v>900</v>
      </c>
      <c r="BI385" s="19">
        <v>45635</v>
      </c>
      <c r="BJ385" s="14" t="s">
        <v>2115</v>
      </c>
      <c r="BK385" s="14">
        <v>1</v>
      </c>
      <c r="BL385" s="19">
        <v>45425</v>
      </c>
      <c r="BM385" s="14" t="s">
        <v>2116</v>
      </c>
      <c r="BN385" s="27">
        <v>45815</v>
      </c>
      <c r="BO385" s="27">
        <v>45605</v>
      </c>
      <c r="BP385" s="27">
        <v>45815</v>
      </c>
      <c r="BQ385" s="27">
        <v>45815</v>
      </c>
      <c r="BR385" s="27">
        <v>45605</v>
      </c>
      <c r="BS385" s="28">
        <v>-460</v>
      </c>
      <c r="BT385" s="29">
        <v>-609</v>
      </c>
      <c r="BU385" s="29">
        <v>-460</v>
      </c>
      <c r="BV385" s="29">
        <v>-460</v>
      </c>
      <c r="BW385" s="29">
        <v>-609</v>
      </c>
      <c r="BX385" s="30"/>
      <c r="BY385" s="8">
        <v>5</v>
      </c>
      <c r="BZ385" s="8">
        <v>0</v>
      </c>
      <c r="CA385" s="8">
        <v>0</v>
      </c>
      <c r="CB385" s="21">
        <v>45424.770833333299</v>
      </c>
      <c r="CC385" s="21">
        <v>45713.770833333299</v>
      </c>
      <c r="CD385" s="21">
        <v>45713.770833333299</v>
      </c>
      <c r="CE385" s="21">
        <v>45713.770833333299</v>
      </c>
      <c r="CF385" s="21">
        <v>45713.770833333299</v>
      </c>
      <c r="CG385" s="21">
        <v>45713.770833333299</v>
      </c>
      <c r="CH385" s="21">
        <v>45713.770833333299</v>
      </c>
      <c r="CI385" s="21">
        <v>45713.770833333299</v>
      </c>
      <c r="CJ385" s="21">
        <v>45713.770833333299</v>
      </c>
      <c r="CK385" s="22" t="s">
        <v>2982</v>
      </c>
      <c r="CL385" s="22" t="s">
        <v>2982</v>
      </c>
      <c r="CM385" s="22" t="s">
        <v>2982</v>
      </c>
      <c r="CN385" s="22" t="s">
        <v>2982</v>
      </c>
      <c r="CO385" s="22" t="s">
        <v>2982</v>
      </c>
      <c r="CP385" s="22" t="s">
        <v>2982</v>
      </c>
      <c r="CQ385" s="22" t="s">
        <v>2953</v>
      </c>
      <c r="CR385" s="22" t="s">
        <v>2982</v>
      </c>
      <c r="CS385" s="22" t="s">
        <v>2982</v>
      </c>
      <c r="CT385" s="22">
        <v>0</v>
      </c>
      <c r="CU385" s="21">
        <v>0</v>
      </c>
      <c r="CV385" s="21">
        <v>0</v>
      </c>
      <c r="CW385" s="21">
        <v>0</v>
      </c>
      <c r="CX385" s="21">
        <v>0</v>
      </c>
      <c r="CY385" s="21">
        <v>0</v>
      </c>
      <c r="CZ385" s="21">
        <v>0</v>
      </c>
      <c r="DA385" s="21">
        <v>0</v>
      </c>
      <c r="DB385" s="21">
        <v>0</v>
      </c>
      <c r="DC385" s="21">
        <v>0</v>
      </c>
      <c r="DD385" s="8">
        <v>0</v>
      </c>
      <c r="DE385" s="8">
        <v>0</v>
      </c>
      <c r="DF385" s="8">
        <v>0</v>
      </c>
      <c r="DG385" s="8">
        <v>9</v>
      </c>
      <c r="DH385" s="8">
        <v>0</v>
      </c>
      <c r="DI385" s="8">
        <v>0</v>
      </c>
      <c r="DJ385" s="8" t="s">
        <v>2976</v>
      </c>
      <c r="DK385" s="21">
        <v>45425</v>
      </c>
      <c r="DL385" s="21">
        <v>45407.229166666664</v>
      </c>
      <c r="DM385" s="21">
        <v>46099</v>
      </c>
      <c r="DN385" s="18">
        <v>2110</v>
      </c>
      <c r="DO385" s="21">
        <v>0</v>
      </c>
      <c r="DP385" s="21">
        <v>0</v>
      </c>
      <c r="DQ385" s="21" t="s">
        <v>3049</v>
      </c>
      <c r="DR385" s="21">
        <v>45425</v>
      </c>
      <c r="DS385" s="21">
        <v>45714</v>
      </c>
      <c r="DT385" s="21">
        <v>45714</v>
      </c>
      <c r="DU385" s="21">
        <v>45714</v>
      </c>
      <c r="DV385" s="21">
        <v>45714</v>
      </c>
      <c r="DW385" s="21">
        <v>45714</v>
      </c>
      <c r="DX385" s="21">
        <v>45714</v>
      </c>
      <c r="DY385" s="21">
        <v>45714</v>
      </c>
      <c r="DZ385" s="21">
        <v>45714</v>
      </c>
      <c r="EA385" s="8">
        <v>60</v>
      </c>
      <c r="EB385" s="8">
        <v>60</v>
      </c>
      <c r="EC385" s="8">
        <v>60</v>
      </c>
      <c r="ED385" s="8">
        <v>60</v>
      </c>
      <c r="EE385" s="8">
        <v>60</v>
      </c>
      <c r="EF385" s="8">
        <v>60</v>
      </c>
      <c r="EG385" s="8">
        <v>1000</v>
      </c>
      <c r="EH385" s="8">
        <v>60</v>
      </c>
      <c r="EI385" s="8">
        <v>60</v>
      </c>
      <c r="EJ385" s="8">
        <v>0</v>
      </c>
      <c r="EK385" s="8" t="s">
        <v>2624</v>
      </c>
      <c r="EL385" s="8">
        <v>13</v>
      </c>
      <c r="EM385" s="8">
        <v>0</v>
      </c>
      <c r="EN385" s="8">
        <v>-228</v>
      </c>
      <c r="EO385" s="8">
        <v>-228</v>
      </c>
      <c r="EP385" s="8">
        <v>-228</v>
      </c>
      <c r="EQ385" s="8">
        <v>-228</v>
      </c>
      <c r="ER385" s="8">
        <v>-228</v>
      </c>
      <c r="ES385" s="8">
        <v>-228</v>
      </c>
      <c r="ET385" s="8">
        <v>712</v>
      </c>
      <c r="EU385" s="8">
        <v>-228</v>
      </c>
      <c r="EV385" s="8">
        <v>-228</v>
      </c>
    </row>
    <row r="386" spans="1:152" x14ac:dyDescent="0.15">
      <c r="A386" s="8">
        <f>ROW([2]!tbl_DPSAC[[#This Row],[Sl. No.]])-1</f>
        <v>385</v>
      </c>
      <c r="B386" s="9" t="s">
        <v>196</v>
      </c>
      <c r="C386" s="9" t="s">
        <v>2117</v>
      </c>
      <c r="D386" s="9" t="s">
        <v>1312</v>
      </c>
      <c r="E386" s="9" t="s">
        <v>1707</v>
      </c>
      <c r="F386" s="9" t="s">
        <v>161</v>
      </c>
      <c r="G386" s="10" t="s">
        <v>2113</v>
      </c>
      <c r="H386" s="10" t="str">
        <f>_xlfn.XLOOKUP(C386,'[1]E&amp;DPSAC'!$K:$K,'[1]E&amp;DPSAC'!$E:$E,,0)</f>
        <v>ARARIA, BIHAR</v>
      </c>
      <c r="I386" s="10"/>
      <c r="J386" s="10">
        <v>9101149067</v>
      </c>
      <c r="K386" s="10">
        <f>IF(_xlfn.XLOOKUP(C386,'[1]E&amp;DPSAC'!$K:$K,'[1]E&amp;DPSAC'!$G:$G,"",0)=J386,"",_xlfn.XLOOKUP(C386,'[1]E&amp;DPSAC'!$K:$K,'[1]E&amp;DPSAC'!$G:$G,"",0))</f>
        <v>9382901442</v>
      </c>
      <c r="L386" s="9" t="str">
        <f t="shared" ref="L386:L426" ca="1" si="24">IF(O386&gt;=TODAY(),"Warranty","Non - Warranty")</f>
        <v>Warranty</v>
      </c>
      <c r="M386" s="11">
        <v>45425</v>
      </c>
      <c r="N386" s="12">
        <v>24</v>
      </c>
      <c r="O386" s="11">
        <f t="shared" si="23"/>
        <v>46173</v>
      </c>
      <c r="P386" s="8" t="s">
        <v>157</v>
      </c>
      <c r="Q386" s="16" t="s">
        <v>2666</v>
      </c>
      <c r="R386" s="15">
        <v>45714.665196759299</v>
      </c>
      <c r="S386" s="14">
        <v>1580</v>
      </c>
      <c r="T386" s="15">
        <v>45714</v>
      </c>
      <c r="U386" s="14">
        <v>1580</v>
      </c>
      <c r="V386" s="14">
        <v>1955</v>
      </c>
      <c r="W386" s="17">
        <v>45936.668749999997</v>
      </c>
      <c r="X386" s="14" t="s">
        <v>2869</v>
      </c>
      <c r="Y386" s="14">
        <v>375</v>
      </c>
      <c r="Z386" s="14" t="s">
        <v>2692</v>
      </c>
      <c r="AA386" s="18">
        <v>398.33480324070115</v>
      </c>
      <c r="AB386" s="18" t="s">
        <v>2697</v>
      </c>
      <c r="AC386" s="8">
        <f>tbl_DPSAC[[#This Row],[Current Month Due Count]]</f>
        <v>0</v>
      </c>
      <c r="AD386" s="8">
        <f>tbl_DPSAC[[#This Row],[Next Month Due2]]</f>
        <v>0</v>
      </c>
      <c r="AE386" s="8"/>
      <c r="AF386" s="8">
        <v>0</v>
      </c>
      <c r="AG386" s="14">
        <f t="shared" ref="AG386:AG449" ca="1" si="25">IFERROR(IF(V386&gt;=1,ROUND(SUM(SUM(TODAY()-W386)*AF386)+V386,0),""),"")</f>
        <v>1955</v>
      </c>
      <c r="AH386" s="8" t="s">
        <v>2114</v>
      </c>
      <c r="AI386" s="8">
        <v>0</v>
      </c>
      <c r="AJ386" s="8">
        <v>0</v>
      </c>
      <c r="AK386" s="8">
        <v>0</v>
      </c>
      <c r="AL386" s="8">
        <v>0</v>
      </c>
      <c r="AM386" s="8">
        <v>0</v>
      </c>
      <c r="AN386" s="8">
        <v>0</v>
      </c>
      <c r="AO386" s="8">
        <v>0</v>
      </c>
      <c r="AP386" s="8">
        <v>0</v>
      </c>
      <c r="AQ386" s="8">
        <v>0</v>
      </c>
      <c r="AR386" s="8">
        <v>0</v>
      </c>
      <c r="AS386" s="8">
        <v>0</v>
      </c>
      <c r="AT386" s="8">
        <v>0</v>
      </c>
      <c r="AU386" s="8">
        <v>0</v>
      </c>
      <c r="AV386" s="8">
        <v>0</v>
      </c>
      <c r="AW386" s="8">
        <v>0</v>
      </c>
      <c r="AX386" s="8" t="s">
        <v>2961</v>
      </c>
      <c r="AY386" s="14">
        <v>750</v>
      </c>
      <c r="AZ386" s="19">
        <v>45635</v>
      </c>
      <c r="BA386" s="14" t="s">
        <v>2118</v>
      </c>
      <c r="BB386" s="14">
        <v>1</v>
      </c>
      <c r="BC386" s="19">
        <v>45425</v>
      </c>
      <c r="BD386" s="14" t="s">
        <v>2119</v>
      </c>
      <c r="BE386" s="14">
        <v>750</v>
      </c>
      <c r="BF386" s="19">
        <v>45635</v>
      </c>
      <c r="BG386" s="14" t="s">
        <v>2118</v>
      </c>
      <c r="BH386" s="14">
        <v>750</v>
      </c>
      <c r="BI386" s="19">
        <v>45635</v>
      </c>
      <c r="BJ386" s="14" t="s">
        <v>2118</v>
      </c>
      <c r="BK386" s="14">
        <v>1</v>
      </c>
      <c r="BL386" s="19">
        <v>45425</v>
      </c>
      <c r="BM386" s="14" t="s">
        <v>2119</v>
      </c>
      <c r="BN386" s="27">
        <v>45815</v>
      </c>
      <c r="BO386" s="27">
        <v>45605</v>
      </c>
      <c r="BP386" s="27">
        <v>45815</v>
      </c>
      <c r="BQ386" s="27">
        <v>45815</v>
      </c>
      <c r="BR386" s="27">
        <v>45605</v>
      </c>
      <c r="BS386" s="28">
        <v>-455</v>
      </c>
      <c r="BT386" s="29">
        <v>-454</v>
      </c>
      <c r="BU386" s="29">
        <v>-455</v>
      </c>
      <c r="BV386" s="29">
        <v>-455</v>
      </c>
      <c r="BW386" s="29">
        <v>-454</v>
      </c>
      <c r="BX386" s="30" t="s">
        <v>2120</v>
      </c>
      <c r="BY386" s="8">
        <v>5</v>
      </c>
      <c r="BZ386" s="8">
        <v>0</v>
      </c>
      <c r="CA386" s="8">
        <v>0</v>
      </c>
      <c r="CB386" s="21" t="s">
        <v>143</v>
      </c>
      <c r="CC386" s="21" t="s">
        <v>143</v>
      </c>
      <c r="CD386" s="21" t="s">
        <v>143</v>
      </c>
      <c r="CE386" s="21" t="s">
        <v>143</v>
      </c>
      <c r="CF386" s="21" t="s">
        <v>143</v>
      </c>
      <c r="CG386" s="21" t="s">
        <v>143</v>
      </c>
      <c r="CH386" s="21" t="s">
        <v>143</v>
      </c>
      <c r="CI386" s="21" t="s">
        <v>143</v>
      </c>
      <c r="CJ386" s="21" t="s">
        <v>143</v>
      </c>
      <c r="CK386" s="22" t="s">
        <v>143</v>
      </c>
      <c r="CL386" s="22" t="s">
        <v>143</v>
      </c>
      <c r="CM386" s="22" t="s">
        <v>143</v>
      </c>
      <c r="CN386" s="22" t="s">
        <v>143</v>
      </c>
      <c r="CO386" s="22" t="s">
        <v>143</v>
      </c>
      <c r="CP386" s="22" t="s">
        <v>143</v>
      </c>
      <c r="CQ386" s="22" t="s">
        <v>143</v>
      </c>
      <c r="CR386" s="22" t="s">
        <v>143</v>
      </c>
      <c r="CS386" s="22" t="s">
        <v>143</v>
      </c>
      <c r="CT386" s="22" t="s">
        <v>143</v>
      </c>
      <c r="CU386" s="21" t="s">
        <v>143</v>
      </c>
      <c r="CV386" s="21" t="s">
        <v>143</v>
      </c>
      <c r="CW386" s="21" t="s">
        <v>143</v>
      </c>
      <c r="CX386" s="21" t="s">
        <v>143</v>
      </c>
      <c r="CY386" s="21" t="s">
        <v>143</v>
      </c>
      <c r="CZ386" s="21" t="s">
        <v>143</v>
      </c>
      <c r="DA386" s="21" t="s">
        <v>143</v>
      </c>
      <c r="DB386" s="21" t="s">
        <v>143</v>
      </c>
      <c r="DC386" s="21" t="s">
        <v>143</v>
      </c>
      <c r="DD386" s="8" t="s">
        <v>143</v>
      </c>
      <c r="DE386" s="8" t="s">
        <v>143</v>
      </c>
      <c r="DF386" s="8" t="s">
        <v>143</v>
      </c>
      <c r="DG386" s="8">
        <v>0</v>
      </c>
      <c r="DH386" s="8">
        <v>0</v>
      </c>
      <c r="DI386" s="8">
        <v>0</v>
      </c>
      <c r="DJ386" s="8" t="s">
        <v>143</v>
      </c>
      <c r="DK386" s="21" t="s">
        <v>143</v>
      </c>
      <c r="DL386" s="21" t="s">
        <v>143</v>
      </c>
      <c r="DM386" s="21" t="s">
        <v>143</v>
      </c>
      <c r="DN386" s="18" t="s">
        <v>143</v>
      </c>
      <c r="DO386" s="21" t="s">
        <v>143</v>
      </c>
      <c r="DP386" s="21" t="s">
        <v>143</v>
      </c>
      <c r="DQ386" s="21" t="s">
        <v>143</v>
      </c>
      <c r="DR386" s="21" t="s">
        <v>143</v>
      </c>
      <c r="DS386" s="21" t="s">
        <v>143</v>
      </c>
      <c r="DT386" s="21" t="s">
        <v>143</v>
      </c>
      <c r="DU386" s="21" t="s">
        <v>143</v>
      </c>
      <c r="DV386" s="21" t="s">
        <v>143</v>
      </c>
      <c r="DW386" s="21" t="s">
        <v>143</v>
      </c>
      <c r="DX386" s="21" t="s">
        <v>143</v>
      </c>
      <c r="DY386" s="21" t="s">
        <v>143</v>
      </c>
      <c r="DZ386" s="21" t="s">
        <v>143</v>
      </c>
      <c r="EA386" s="8" t="s">
        <v>143</v>
      </c>
      <c r="EB386" s="8" t="s">
        <v>143</v>
      </c>
      <c r="EC386" s="8" t="s">
        <v>143</v>
      </c>
      <c r="ED386" s="8" t="s">
        <v>143</v>
      </c>
      <c r="EE386" s="8" t="s">
        <v>143</v>
      </c>
      <c r="EF386" s="8" t="s">
        <v>143</v>
      </c>
      <c r="EG386" s="8" t="s">
        <v>143</v>
      </c>
      <c r="EH386" s="8" t="s">
        <v>143</v>
      </c>
      <c r="EI386" s="8" t="s">
        <v>143</v>
      </c>
      <c r="EJ386" s="8" t="s">
        <v>143</v>
      </c>
      <c r="EK386" s="8" t="s">
        <v>157</v>
      </c>
      <c r="EL386" s="8">
        <v>176</v>
      </c>
      <c r="EM386" s="8">
        <v>0</v>
      </c>
      <c r="EN386" s="8" t="s">
        <v>143</v>
      </c>
      <c r="EO386" s="8" t="s">
        <v>143</v>
      </c>
      <c r="EP386" s="8" t="s">
        <v>143</v>
      </c>
      <c r="EQ386" s="8" t="s">
        <v>143</v>
      </c>
      <c r="ER386" s="8" t="s">
        <v>143</v>
      </c>
      <c r="ES386" s="8" t="s">
        <v>143</v>
      </c>
      <c r="ET386" s="8" t="s">
        <v>143</v>
      </c>
      <c r="EU386" s="8" t="s">
        <v>143</v>
      </c>
      <c r="EV386" s="8" t="s">
        <v>143</v>
      </c>
    </row>
    <row r="387" spans="1:152" x14ac:dyDescent="0.15">
      <c r="A387" s="8">
        <f>ROW([2]!tbl_DPSAC[[#This Row],[Sl. No.]])-1</f>
        <v>386</v>
      </c>
      <c r="B387" s="9" t="s">
        <v>136</v>
      </c>
      <c r="C387" s="9" t="s">
        <v>2121</v>
      </c>
      <c r="D387" s="9" t="s">
        <v>1491</v>
      </c>
      <c r="E387" s="9" t="s">
        <v>1492</v>
      </c>
      <c r="F387" s="9" t="s">
        <v>161</v>
      </c>
      <c r="G387" s="10" t="s">
        <v>2122</v>
      </c>
      <c r="H387" s="10" t="str">
        <f>_xlfn.XLOOKUP(C387,'[1]E&amp;DPSAC'!$K:$K,'[1]E&amp;DPSAC'!$E:$E,,0)</f>
        <v>CHATRA, HAZARIBAGH</v>
      </c>
      <c r="I387" s="10"/>
      <c r="J387" s="10">
        <v>9431366834</v>
      </c>
      <c r="K387" s="10">
        <f>IF(_xlfn.XLOOKUP(C387,'[1]E&amp;DPSAC'!$K:$K,'[1]E&amp;DPSAC'!$G:$G,"",0)=J387,"",_xlfn.XLOOKUP(C387,'[1]E&amp;DPSAC'!$K:$K,'[1]E&amp;DPSAC'!$G:$G,"",0))</f>
        <v>9955183229</v>
      </c>
      <c r="L387" s="9" t="str">
        <f t="shared" ca="1" si="24"/>
        <v>Warranty</v>
      </c>
      <c r="M387" s="11">
        <v>45398</v>
      </c>
      <c r="N387" s="12">
        <v>24</v>
      </c>
      <c r="O387" s="11">
        <f t="shared" si="23"/>
        <v>46142</v>
      </c>
      <c r="P387" s="8" t="s">
        <v>213</v>
      </c>
      <c r="Q387" s="16" t="s">
        <v>2127</v>
      </c>
      <c r="R387" s="15">
        <v>45992.779791666697</v>
      </c>
      <c r="S387" s="14">
        <v>2789</v>
      </c>
      <c r="T387" s="15">
        <v>45992</v>
      </c>
      <c r="U387" s="14">
        <v>2789</v>
      </c>
      <c r="V387" s="14">
        <v>3219</v>
      </c>
      <c r="W387" s="17">
        <v>46099.530289351896</v>
      </c>
      <c r="X387" s="14" t="s">
        <v>2870</v>
      </c>
      <c r="Y387" s="14">
        <v>320</v>
      </c>
      <c r="Z387" s="14" t="s">
        <v>2692</v>
      </c>
      <c r="AA387" s="18">
        <v>120.22020833330316</v>
      </c>
      <c r="AB387" s="18" t="s">
        <v>2692</v>
      </c>
      <c r="AC387" s="8">
        <f>tbl_DPSAC[[#This Row],[Current Month Due Count]]</f>
        <v>0</v>
      </c>
      <c r="AD387" s="8">
        <f>tbl_DPSAC[[#This Row],[Next Month Due2]]</f>
        <v>3</v>
      </c>
      <c r="AE387" s="8"/>
      <c r="AF387" s="8">
        <v>4</v>
      </c>
      <c r="AG387" s="14">
        <f t="shared" ca="1" si="25"/>
        <v>3273</v>
      </c>
      <c r="AH387" s="8" t="s">
        <v>2123</v>
      </c>
      <c r="AI387" s="8" t="s">
        <v>1553</v>
      </c>
      <c r="AJ387" s="8" t="s">
        <v>2124</v>
      </c>
      <c r="AK387" s="8" t="s">
        <v>2125</v>
      </c>
      <c r="AL387" s="8" t="s">
        <v>2126</v>
      </c>
      <c r="AM387" s="8">
        <v>0</v>
      </c>
      <c r="AN387" s="8">
        <v>0</v>
      </c>
      <c r="AO387" s="8">
        <v>0</v>
      </c>
      <c r="AP387" s="8">
        <v>0</v>
      </c>
      <c r="AQ387" s="8">
        <v>0</v>
      </c>
      <c r="AR387" s="8">
        <v>0</v>
      </c>
      <c r="AS387" s="8">
        <v>0</v>
      </c>
      <c r="AT387" s="8">
        <v>0</v>
      </c>
      <c r="AU387" s="8">
        <v>0</v>
      </c>
      <c r="AV387" s="8">
        <v>0</v>
      </c>
      <c r="AW387" s="8">
        <v>0</v>
      </c>
      <c r="AX387" s="8" t="s">
        <v>3033</v>
      </c>
      <c r="AY387" s="14">
        <v>2789</v>
      </c>
      <c r="AZ387" s="19">
        <v>45992</v>
      </c>
      <c r="BA387" s="14" t="s">
        <v>2127</v>
      </c>
      <c r="BB387" s="14">
        <v>1615</v>
      </c>
      <c r="BC387" s="19">
        <v>45685</v>
      </c>
      <c r="BD387" s="14" t="s">
        <v>2128</v>
      </c>
      <c r="BE387" s="14">
        <v>2789</v>
      </c>
      <c r="BF387" s="19">
        <v>45992</v>
      </c>
      <c r="BG387" s="14" t="s">
        <v>2127</v>
      </c>
      <c r="BH387" s="14">
        <v>2789</v>
      </c>
      <c r="BI387" s="19">
        <v>45992</v>
      </c>
      <c r="BJ387" s="14" t="s">
        <v>2127</v>
      </c>
      <c r="BK387" s="14">
        <v>1615</v>
      </c>
      <c r="BL387" s="19">
        <v>45685</v>
      </c>
      <c r="BM387" s="14" t="s">
        <v>2128</v>
      </c>
      <c r="BN387" s="27">
        <v>46172</v>
      </c>
      <c r="BO387" s="27">
        <v>45865</v>
      </c>
      <c r="BP387" s="27">
        <v>46172</v>
      </c>
      <c r="BQ387" s="27">
        <v>46172</v>
      </c>
      <c r="BR387" s="27">
        <v>45865</v>
      </c>
      <c r="BS387" s="28">
        <v>266</v>
      </c>
      <c r="BT387" s="29">
        <v>-158</v>
      </c>
      <c r="BU387" s="29">
        <v>266</v>
      </c>
      <c r="BV387" s="29">
        <v>266</v>
      </c>
      <c r="BW387" s="29">
        <v>-158</v>
      </c>
      <c r="BX387" s="30"/>
      <c r="BY387" s="8">
        <v>2</v>
      </c>
      <c r="BZ387" s="8">
        <v>0</v>
      </c>
      <c r="CA387" s="8">
        <v>3</v>
      </c>
      <c r="CB387" s="21">
        <v>45992.770833333299</v>
      </c>
      <c r="CC387" s="21">
        <v>45992.770833333299</v>
      </c>
      <c r="CD387" s="21">
        <v>45992.770833333299</v>
      </c>
      <c r="CE387" s="21">
        <v>45992.770833333299</v>
      </c>
      <c r="CF387" s="21">
        <v>45992.770833333299</v>
      </c>
      <c r="CG387" s="21">
        <v>45684.770833333299</v>
      </c>
      <c r="CH387" s="21">
        <v>45684.770833333299</v>
      </c>
      <c r="CI387" s="21">
        <v>45684.770833333299</v>
      </c>
      <c r="CJ387" s="21">
        <v>45684.770833333299</v>
      </c>
      <c r="CK387" s="22" t="s">
        <v>3045</v>
      </c>
      <c r="CL387" s="22" t="s">
        <v>3045</v>
      </c>
      <c r="CM387" s="22" t="s">
        <v>3045</v>
      </c>
      <c r="CN387" s="22" t="s">
        <v>3045</v>
      </c>
      <c r="CO387" s="22" t="s">
        <v>3045</v>
      </c>
      <c r="CP387" s="22" t="s">
        <v>3009</v>
      </c>
      <c r="CQ387" s="22" t="s">
        <v>2953</v>
      </c>
      <c r="CR387" s="22" t="s">
        <v>3009</v>
      </c>
      <c r="CS387" s="22" t="s">
        <v>3009</v>
      </c>
      <c r="CT387" s="22">
        <v>4</v>
      </c>
      <c r="CU387" s="21">
        <v>46172</v>
      </c>
      <c r="CV387" s="21">
        <v>46172</v>
      </c>
      <c r="CW387" s="21">
        <v>46172</v>
      </c>
      <c r="CX387" s="21">
        <v>46172</v>
      </c>
      <c r="CY387" s="21">
        <v>46172</v>
      </c>
      <c r="CZ387" s="21">
        <v>45954</v>
      </c>
      <c r="DA387" s="21">
        <v>46049</v>
      </c>
      <c r="DB387" s="21">
        <v>45864</v>
      </c>
      <c r="DC387" s="21">
        <v>46049</v>
      </c>
      <c r="DD387" s="8">
        <v>1</v>
      </c>
      <c r="DE387" s="8">
        <v>0</v>
      </c>
      <c r="DF387" s="8">
        <v>0</v>
      </c>
      <c r="DG387" s="8">
        <v>4</v>
      </c>
      <c r="DH387" s="8">
        <v>0</v>
      </c>
      <c r="DI387" s="8">
        <v>5</v>
      </c>
      <c r="DJ387" s="8" t="s">
        <v>2976</v>
      </c>
      <c r="DK387" s="21">
        <v>45398</v>
      </c>
      <c r="DL387" s="21">
        <v>45272.229166666664</v>
      </c>
      <c r="DM387" s="21">
        <v>46099</v>
      </c>
      <c r="DN387" s="18">
        <v>3219</v>
      </c>
      <c r="DO387" s="21">
        <v>0</v>
      </c>
      <c r="DP387" s="21">
        <v>0</v>
      </c>
      <c r="DQ387" s="21" t="s">
        <v>2955</v>
      </c>
      <c r="DR387" s="21">
        <v>45993</v>
      </c>
      <c r="DS387" s="21">
        <v>45993</v>
      </c>
      <c r="DT387" s="21">
        <v>45993</v>
      </c>
      <c r="DU387" s="21">
        <v>45993</v>
      </c>
      <c r="DV387" s="21">
        <v>45993</v>
      </c>
      <c r="DW387" s="21">
        <v>45685</v>
      </c>
      <c r="DX387" s="21">
        <v>45685</v>
      </c>
      <c r="DY387" s="21">
        <v>45685</v>
      </c>
      <c r="DZ387" s="21">
        <v>45685</v>
      </c>
      <c r="EA387" s="8">
        <v>321</v>
      </c>
      <c r="EB387" s="8">
        <v>321</v>
      </c>
      <c r="EC387" s="8">
        <v>321</v>
      </c>
      <c r="ED387" s="8">
        <v>321</v>
      </c>
      <c r="EE387" s="8">
        <v>321</v>
      </c>
      <c r="EF387" s="8">
        <v>-104</v>
      </c>
      <c r="EG387" s="8">
        <v>731</v>
      </c>
      <c r="EH387" s="8">
        <v>-104</v>
      </c>
      <c r="EI387" s="8">
        <v>-104</v>
      </c>
      <c r="EJ387" s="8">
        <v>4</v>
      </c>
      <c r="EK387" s="8" t="s">
        <v>2624</v>
      </c>
      <c r="EL387" s="8">
        <v>13</v>
      </c>
      <c r="EM387" s="8">
        <v>52</v>
      </c>
      <c r="EN387" s="8">
        <v>33</v>
      </c>
      <c r="EO387" s="8">
        <v>33</v>
      </c>
      <c r="EP387" s="8">
        <v>33</v>
      </c>
      <c r="EQ387" s="8">
        <v>33</v>
      </c>
      <c r="ER387" s="8">
        <v>33</v>
      </c>
      <c r="ES387" s="8">
        <v>-392</v>
      </c>
      <c r="ET387" s="8">
        <v>443</v>
      </c>
      <c r="EU387" s="8">
        <v>-392</v>
      </c>
      <c r="EV387" s="8">
        <v>-392</v>
      </c>
    </row>
    <row r="388" spans="1:152" x14ac:dyDescent="0.15">
      <c r="A388" s="8">
        <f>ROW([2]!tbl_DPSAC[[#This Row],[Sl. No.]])-1</f>
        <v>387</v>
      </c>
      <c r="B388" s="9" t="s">
        <v>136</v>
      </c>
      <c r="C388" s="9" t="s">
        <v>2129</v>
      </c>
      <c r="D388" s="9" t="s">
        <v>333</v>
      </c>
      <c r="E388" s="9" t="s">
        <v>333</v>
      </c>
      <c r="F388" s="9" t="s">
        <v>161</v>
      </c>
      <c r="G388" s="10" t="s">
        <v>162</v>
      </c>
      <c r="H388" s="10" t="str">
        <f>_xlfn.XLOOKUP(C388,'[1]E&amp;DPSAC'!$K:$K,'[1]E&amp;DPSAC'!$E:$E,,0)</f>
        <v>PIPARWAR</v>
      </c>
      <c r="I388" s="10"/>
      <c r="J388" s="10">
        <v>9308689717</v>
      </c>
      <c r="K388" s="10">
        <f>IF(_xlfn.XLOOKUP(C388,'[1]E&amp;DPSAC'!$K:$K,'[1]E&amp;DPSAC'!$G:$G,"",0)=J388,"",_xlfn.XLOOKUP(C388,'[1]E&amp;DPSAC'!$K:$K,'[1]E&amp;DPSAC'!$G:$G,"",0))</f>
        <v>7541869555</v>
      </c>
      <c r="L388" s="9" t="str">
        <f t="shared" ca="1" si="24"/>
        <v>Non - Warranty</v>
      </c>
      <c r="M388" s="11">
        <v>45341</v>
      </c>
      <c r="N388" s="12">
        <v>24</v>
      </c>
      <c r="O388" s="11">
        <f t="shared" si="23"/>
        <v>46081</v>
      </c>
      <c r="P388" s="8" t="s">
        <v>213</v>
      </c>
      <c r="Q388" s="16" t="s">
        <v>2134</v>
      </c>
      <c r="R388" s="15">
        <v>46067.542071759301</v>
      </c>
      <c r="S388" s="14">
        <v>2810</v>
      </c>
      <c r="T388" s="15">
        <v>45904</v>
      </c>
      <c r="U388" s="14">
        <v>2192</v>
      </c>
      <c r="V388" s="14">
        <v>2810</v>
      </c>
      <c r="W388" s="17">
        <v>46067.542071759301</v>
      </c>
      <c r="X388" s="14" t="s">
        <v>2871</v>
      </c>
      <c r="Y388" s="14">
        <v>750</v>
      </c>
      <c r="Z388" s="14" t="s">
        <v>2692</v>
      </c>
      <c r="AA388" s="18">
        <v>45.457928240699403</v>
      </c>
      <c r="AB388" s="18" t="s">
        <v>2692</v>
      </c>
      <c r="AC388" s="8">
        <f>tbl_DPSAC[[#This Row],[Current Month Due Count]]</f>
        <v>0</v>
      </c>
      <c r="AD388" s="8">
        <f>tbl_DPSAC[[#This Row],[Next Month Due2]]</f>
        <v>0</v>
      </c>
      <c r="AE388" s="8"/>
      <c r="AF388" s="8">
        <v>5</v>
      </c>
      <c r="AG388" s="14">
        <f t="shared" ca="1" si="25"/>
        <v>3037</v>
      </c>
      <c r="AH388" s="8" t="s">
        <v>2130</v>
      </c>
      <c r="AI388" s="8" t="s">
        <v>673</v>
      </c>
      <c r="AJ388" s="8" t="s">
        <v>2131</v>
      </c>
      <c r="AK388" s="8" t="s">
        <v>2132</v>
      </c>
      <c r="AL388" s="8" t="s">
        <v>2133</v>
      </c>
      <c r="AM388" s="8">
        <v>0</v>
      </c>
      <c r="AN388" s="8">
        <v>0</v>
      </c>
      <c r="AO388" s="8">
        <v>0</v>
      </c>
      <c r="AP388" s="8">
        <v>0</v>
      </c>
      <c r="AQ388" s="8">
        <v>0</v>
      </c>
      <c r="AR388" s="8">
        <v>0</v>
      </c>
      <c r="AS388" s="8">
        <v>0</v>
      </c>
      <c r="AT388" s="8">
        <v>0</v>
      </c>
      <c r="AU388" s="8">
        <v>0</v>
      </c>
      <c r="AV388" s="8">
        <v>0</v>
      </c>
      <c r="AW388" s="8">
        <v>0</v>
      </c>
      <c r="AX388" s="8" t="s">
        <v>3033</v>
      </c>
      <c r="AY388" s="14">
        <v>2810</v>
      </c>
      <c r="AZ388" s="19">
        <v>46067</v>
      </c>
      <c r="BA388" s="14" t="s">
        <v>2134</v>
      </c>
      <c r="BB388" s="14">
        <v>1510</v>
      </c>
      <c r="BC388" s="19">
        <v>45743</v>
      </c>
      <c r="BD388" s="14" t="s">
        <v>2135</v>
      </c>
      <c r="BE388" s="14">
        <v>2810</v>
      </c>
      <c r="BF388" s="19">
        <v>46067</v>
      </c>
      <c r="BG388" s="14" t="s">
        <v>2134</v>
      </c>
      <c r="BH388" s="14">
        <v>2810</v>
      </c>
      <c r="BI388" s="19">
        <v>46067</v>
      </c>
      <c r="BJ388" s="14" t="s">
        <v>2134</v>
      </c>
      <c r="BK388" s="14">
        <v>1510</v>
      </c>
      <c r="BL388" s="19">
        <v>45743</v>
      </c>
      <c r="BM388" s="14" t="s">
        <v>2135</v>
      </c>
      <c r="BN388" s="27">
        <v>46247</v>
      </c>
      <c r="BO388" s="27">
        <v>45923</v>
      </c>
      <c r="BP388" s="27">
        <v>46247</v>
      </c>
      <c r="BQ388" s="27">
        <v>46247</v>
      </c>
      <c r="BR388" s="27">
        <v>45923</v>
      </c>
      <c r="BS388" s="28">
        <v>523</v>
      </c>
      <c r="BT388" s="29">
        <v>-27</v>
      </c>
      <c r="BU388" s="29">
        <v>523</v>
      </c>
      <c r="BV388" s="29">
        <v>523</v>
      </c>
      <c r="BW388" s="29">
        <v>-27</v>
      </c>
      <c r="BX388" s="30"/>
      <c r="BY388" s="8">
        <v>2</v>
      </c>
      <c r="BZ388" s="8">
        <v>0</v>
      </c>
      <c r="CA388" s="8">
        <v>0</v>
      </c>
      <c r="CB388" s="21">
        <v>46066.770833333299</v>
      </c>
      <c r="CC388" s="21">
        <v>46066.770833333299</v>
      </c>
      <c r="CD388" s="21">
        <v>46066.770833333299</v>
      </c>
      <c r="CE388" s="21">
        <v>46066.770833333299</v>
      </c>
      <c r="CF388" s="21">
        <v>46066.770833333299</v>
      </c>
      <c r="CG388" s="21">
        <v>45953.770833333299</v>
      </c>
      <c r="CH388" s="21">
        <v>46066.770833333299</v>
      </c>
      <c r="CI388" s="21">
        <v>45953.770833333299</v>
      </c>
      <c r="CJ388" s="21">
        <v>45953.770833333299</v>
      </c>
      <c r="CK388" s="22" t="s">
        <v>2956</v>
      </c>
      <c r="CL388" s="22" t="s">
        <v>2957</v>
      </c>
      <c r="CM388" s="22" t="s">
        <v>2959</v>
      </c>
      <c r="CN388" s="22" t="s">
        <v>2957</v>
      </c>
      <c r="CO388" s="22" t="s">
        <v>2957</v>
      </c>
      <c r="CP388" s="22" t="s">
        <v>2978</v>
      </c>
      <c r="CQ388" s="22" t="s">
        <v>2953</v>
      </c>
      <c r="CR388" s="22" t="s">
        <v>2978</v>
      </c>
      <c r="CS388" s="22" t="s">
        <v>2978</v>
      </c>
      <c r="CT388" s="22">
        <v>4</v>
      </c>
      <c r="CU388" s="21">
        <v>46246</v>
      </c>
      <c r="CV388" s="21">
        <v>46246</v>
      </c>
      <c r="CW388" s="21">
        <v>46192</v>
      </c>
      <c r="CX388" s="21">
        <v>46246</v>
      </c>
      <c r="CY388" s="21">
        <v>46246</v>
      </c>
      <c r="CZ388" s="21">
        <v>46154</v>
      </c>
      <c r="DA388" s="21">
        <v>46317</v>
      </c>
      <c r="DB388" s="21">
        <v>46133</v>
      </c>
      <c r="DC388" s="21">
        <v>46154</v>
      </c>
      <c r="DD388" s="8">
        <v>0</v>
      </c>
      <c r="DE388" s="8">
        <v>0</v>
      </c>
      <c r="DF388" s="8">
        <v>0</v>
      </c>
      <c r="DG388" s="8">
        <v>0</v>
      </c>
      <c r="DH388" s="8">
        <v>1</v>
      </c>
      <c r="DI388" s="8">
        <v>2</v>
      </c>
      <c r="DJ388" s="8" t="s">
        <v>2976</v>
      </c>
      <c r="DK388" s="21">
        <v>45341</v>
      </c>
      <c r="DL388" s="21">
        <v>45303.229166666664</v>
      </c>
      <c r="DM388" s="21">
        <v>46067</v>
      </c>
      <c r="DN388" s="18">
        <v>2810</v>
      </c>
      <c r="DO388" s="21">
        <v>0</v>
      </c>
      <c r="DP388" s="21">
        <v>0</v>
      </c>
      <c r="DQ388" s="21" t="s">
        <v>2955</v>
      </c>
      <c r="DR388" s="21">
        <v>46067</v>
      </c>
      <c r="DS388" s="21">
        <v>46067</v>
      </c>
      <c r="DT388" s="21">
        <v>46067</v>
      </c>
      <c r="DU388" s="21">
        <v>46067</v>
      </c>
      <c r="DV388" s="21">
        <v>46067</v>
      </c>
      <c r="DW388" s="21">
        <v>45954</v>
      </c>
      <c r="DX388" s="21">
        <v>46067</v>
      </c>
      <c r="DY388" s="21">
        <v>45954</v>
      </c>
      <c r="DZ388" s="21">
        <v>45954</v>
      </c>
      <c r="EA388" s="8">
        <v>1500</v>
      </c>
      <c r="EB388" s="8">
        <v>750</v>
      </c>
      <c r="EC388" s="8">
        <v>500</v>
      </c>
      <c r="ED388" s="8">
        <v>750</v>
      </c>
      <c r="EE388" s="8">
        <v>750</v>
      </c>
      <c r="EF388" s="8">
        <v>350</v>
      </c>
      <c r="EG388" s="8">
        <v>1000</v>
      </c>
      <c r="EH388" s="8">
        <v>350</v>
      </c>
      <c r="EI388" s="8">
        <v>350</v>
      </c>
      <c r="EJ388" s="8">
        <v>4</v>
      </c>
      <c r="EK388" s="8" t="s">
        <v>2624</v>
      </c>
      <c r="EL388" s="8">
        <v>45</v>
      </c>
      <c r="EM388" s="8">
        <v>225</v>
      </c>
      <c r="EN388" s="8">
        <v>1212</v>
      </c>
      <c r="EO388" s="8">
        <v>462</v>
      </c>
      <c r="EP388" s="8">
        <v>212</v>
      </c>
      <c r="EQ388" s="8">
        <v>462</v>
      </c>
      <c r="ER388" s="8">
        <v>462</v>
      </c>
      <c r="ES388" s="8">
        <v>62</v>
      </c>
      <c r="ET388" s="8">
        <v>712</v>
      </c>
      <c r="EU388" s="8">
        <v>62</v>
      </c>
      <c r="EV388" s="8">
        <v>62</v>
      </c>
    </row>
    <row r="389" spans="1:152" x14ac:dyDescent="0.15">
      <c r="A389" s="8">
        <f>ROW([2]!tbl_DPSAC[[#This Row],[Sl. No.]])-1</f>
        <v>388</v>
      </c>
      <c r="B389" s="9" t="s">
        <v>136</v>
      </c>
      <c r="C389" s="9" t="s">
        <v>2136</v>
      </c>
      <c r="D389" s="9" t="s">
        <v>1408</v>
      </c>
      <c r="E389" s="9" t="s">
        <v>333</v>
      </c>
      <c r="F389" s="9" t="s">
        <v>140</v>
      </c>
      <c r="G389" s="10" t="s">
        <v>2137</v>
      </c>
      <c r="H389" s="10" t="str">
        <f>_xlfn.XLOOKUP(C389,'[1]E&amp;DPSAC'!$K:$K,'[1]E&amp;DPSAC'!$E:$E,,0)</f>
        <v>PAKURIA</v>
      </c>
      <c r="I389" s="10"/>
      <c r="J389" s="10">
        <v>9631517109</v>
      </c>
      <c r="K389" s="10">
        <f>_xlfn.XLOOKUP(C389,'[1]E&amp;DPSAC'!$K:$K,'[1]E&amp;DPSAC'!$G:$G,"",0)</f>
        <v>9631517109</v>
      </c>
      <c r="L389" s="9" t="str">
        <f t="shared" ca="1" si="24"/>
        <v>Non - Warranty</v>
      </c>
      <c r="M389" s="11">
        <v>40933</v>
      </c>
      <c r="N389" s="12">
        <v>36</v>
      </c>
      <c r="O389" s="11">
        <f t="shared" si="23"/>
        <v>42035</v>
      </c>
      <c r="P389" s="8" t="s">
        <v>715</v>
      </c>
      <c r="Q389" s="16" t="s">
        <v>2139</v>
      </c>
      <c r="R389" s="15">
        <v>45428.503379629597</v>
      </c>
      <c r="S389" s="14">
        <v>3041</v>
      </c>
      <c r="T389" s="15">
        <v>45435</v>
      </c>
      <c r="U389" s="14">
        <v>0</v>
      </c>
      <c r="V389" s="14">
        <v>5500</v>
      </c>
      <c r="W389" s="17">
        <v>45941.540972222225</v>
      </c>
      <c r="X389" s="14" t="s">
        <v>2872</v>
      </c>
      <c r="Y389" s="14">
        <v>-1709</v>
      </c>
      <c r="Z389" s="14" t="s">
        <v>2697</v>
      </c>
      <c r="AA389" s="18">
        <v>684.49662037040252</v>
      </c>
      <c r="AB389" s="18" t="s">
        <v>2697</v>
      </c>
      <c r="AC389" s="8">
        <f>tbl_DPSAC[[#This Row],[Current Month Due Count]]</f>
        <v>0</v>
      </c>
      <c r="AD389" s="8">
        <f>tbl_DPSAC[[#This Row],[Next Month Due2]]</f>
        <v>0</v>
      </c>
      <c r="AE389" s="8"/>
      <c r="AF389" s="8">
        <v>5</v>
      </c>
      <c r="AG389" s="14">
        <f t="shared" ca="1" si="25"/>
        <v>6357</v>
      </c>
      <c r="AH389" s="8" t="s">
        <v>2114</v>
      </c>
      <c r="AI389" s="8">
        <v>0</v>
      </c>
      <c r="AJ389" s="8">
        <v>0</v>
      </c>
      <c r="AK389" s="8">
        <v>0</v>
      </c>
      <c r="AL389" s="8">
        <v>0</v>
      </c>
      <c r="AM389" s="8">
        <v>0</v>
      </c>
      <c r="AN389" s="8" t="s">
        <v>2138</v>
      </c>
      <c r="AO389" s="8">
        <v>0</v>
      </c>
      <c r="AP389" s="8">
        <v>0</v>
      </c>
      <c r="AQ389" s="8">
        <v>0</v>
      </c>
      <c r="AR389" s="8">
        <v>0</v>
      </c>
      <c r="AS389" s="8">
        <v>0</v>
      </c>
      <c r="AT389" s="8">
        <v>0</v>
      </c>
      <c r="AU389" s="8">
        <v>0</v>
      </c>
      <c r="AV389" s="8">
        <v>0</v>
      </c>
      <c r="AW389" s="8">
        <v>0</v>
      </c>
      <c r="AX389" s="8" t="s">
        <v>2961</v>
      </c>
      <c r="AY389" s="14">
        <v>3041</v>
      </c>
      <c r="AZ389" s="19">
        <v>45429</v>
      </c>
      <c r="BA389" s="14" t="s">
        <v>2139</v>
      </c>
      <c r="BB389" s="14">
        <v>3041</v>
      </c>
      <c r="BC389" s="19">
        <v>45429</v>
      </c>
      <c r="BD389" s="14" t="s">
        <v>2139</v>
      </c>
      <c r="BE389" s="14">
        <v>3041</v>
      </c>
      <c r="BF389" s="19">
        <v>45429</v>
      </c>
      <c r="BG389" s="14" t="s">
        <v>2139</v>
      </c>
      <c r="BH389" s="14">
        <v>3041</v>
      </c>
      <c r="BI389" s="19">
        <v>45429</v>
      </c>
      <c r="BJ389" s="14" t="s">
        <v>2139</v>
      </c>
      <c r="BK389" s="14">
        <v>3041</v>
      </c>
      <c r="BL389" s="19">
        <v>45429</v>
      </c>
      <c r="BM389" s="14" t="s">
        <v>2139</v>
      </c>
      <c r="BN389" s="27">
        <v>45609</v>
      </c>
      <c r="BO389" s="27">
        <v>45609</v>
      </c>
      <c r="BP389" s="27">
        <v>45609</v>
      </c>
      <c r="BQ389" s="27">
        <v>45609</v>
      </c>
      <c r="BR389" s="27">
        <v>45609</v>
      </c>
      <c r="BS389" s="28">
        <v>-2566</v>
      </c>
      <c r="BT389" s="29">
        <v>-1816</v>
      </c>
      <c r="BU389" s="29">
        <v>-2566</v>
      </c>
      <c r="BV389" s="29">
        <v>-2566</v>
      </c>
      <c r="BW389" s="29">
        <v>-1816</v>
      </c>
      <c r="BX389" s="30"/>
      <c r="BY389" s="8">
        <v>5</v>
      </c>
      <c r="BZ389" s="8">
        <v>0</v>
      </c>
      <c r="CA389" s="8">
        <v>0</v>
      </c>
      <c r="CB389" s="21" t="s">
        <v>143</v>
      </c>
      <c r="CC389" s="21" t="s">
        <v>143</v>
      </c>
      <c r="CD389" s="21" t="s">
        <v>143</v>
      </c>
      <c r="CE389" s="21" t="s">
        <v>143</v>
      </c>
      <c r="CF389" s="21" t="s">
        <v>143</v>
      </c>
      <c r="CG389" s="21" t="s">
        <v>143</v>
      </c>
      <c r="CH389" s="21" t="s">
        <v>143</v>
      </c>
      <c r="CI389" s="21" t="s">
        <v>143</v>
      </c>
      <c r="CJ389" s="21" t="s">
        <v>143</v>
      </c>
      <c r="CK389" s="22" t="s">
        <v>143</v>
      </c>
      <c r="CL389" s="22" t="s">
        <v>143</v>
      </c>
      <c r="CM389" s="22" t="s">
        <v>143</v>
      </c>
      <c r="CN389" s="22" t="s">
        <v>143</v>
      </c>
      <c r="CO389" s="22" t="s">
        <v>143</v>
      </c>
      <c r="CP389" s="22" t="s">
        <v>143</v>
      </c>
      <c r="CQ389" s="22" t="s">
        <v>143</v>
      </c>
      <c r="CR389" s="22" t="s">
        <v>143</v>
      </c>
      <c r="CS389" s="22" t="s">
        <v>143</v>
      </c>
      <c r="CT389" s="22" t="s">
        <v>143</v>
      </c>
      <c r="CU389" s="21" t="s">
        <v>143</v>
      </c>
      <c r="CV389" s="21" t="s">
        <v>143</v>
      </c>
      <c r="CW389" s="21" t="s">
        <v>143</v>
      </c>
      <c r="CX389" s="21" t="s">
        <v>143</v>
      </c>
      <c r="CY389" s="21" t="s">
        <v>143</v>
      </c>
      <c r="CZ389" s="21" t="s">
        <v>143</v>
      </c>
      <c r="DA389" s="21" t="s">
        <v>143</v>
      </c>
      <c r="DB389" s="21" t="s">
        <v>143</v>
      </c>
      <c r="DC389" s="21" t="s">
        <v>143</v>
      </c>
      <c r="DD389" s="8" t="s">
        <v>143</v>
      </c>
      <c r="DE389" s="8" t="s">
        <v>143</v>
      </c>
      <c r="DF389" s="8" t="s">
        <v>143</v>
      </c>
      <c r="DG389" s="8">
        <v>0</v>
      </c>
      <c r="DH389" s="8">
        <v>0</v>
      </c>
      <c r="DI389" s="8">
        <v>0</v>
      </c>
      <c r="DJ389" s="8" t="s">
        <v>3032</v>
      </c>
      <c r="DK389" s="21">
        <v>40933</v>
      </c>
      <c r="DL389" s="21">
        <v>40906</v>
      </c>
      <c r="DM389" s="21">
        <v>45941</v>
      </c>
      <c r="DN389" s="18">
        <v>5500</v>
      </c>
      <c r="DO389" s="21">
        <v>0</v>
      </c>
      <c r="DP389" s="21">
        <v>0</v>
      </c>
      <c r="DQ389" s="21" t="s">
        <v>2955</v>
      </c>
      <c r="DR389" s="21">
        <v>45429</v>
      </c>
      <c r="DS389" s="21">
        <v>45429</v>
      </c>
      <c r="DT389" s="21">
        <v>45428</v>
      </c>
      <c r="DU389" s="21">
        <v>45428</v>
      </c>
      <c r="DV389" s="21">
        <v>45429</v>
      </c>
      <c r="DW389" s="21">
        <v>45428</v>
      </c>
      <c r="DX389" s="21">
        <v>45428</v>
      </c>
      <c r="DY389" s="21">
        <v>45428</v>
      </c>
      <c r="DZ389" s="21">
        <v>45428</v>
      </c>
      <c r="EA389" s="8">
        <v>560</v>
      </c>
      <c r="EB389" s="8">
        <v>560</v>
      </c>
      <c r="EC389" s="8">
        <v>560</v>
      </c>
      <c r="ED389" s="8">
        <v>560</v>
      </c>
      <c r="EE389" s="8">
        <v>560</v>
      </c>
      <c r="EF389" s="8">
        <v>760</v>
      </c>
      <c r="EG389" s="8">
        <v>1000</v>
      </c>
      <c r="EH389" s="8">
        <v>760</v>
      </c>
      <c r="EI389" s="8">
        <v>760</v>
      </c>
      <c r="EJ389" s="8">
        <v>5</v>
      </c>
      <c r="EK389" s="8" t="s">
        <v>715</v>
      </c>
      <c r="EL389" s="8">
        <v>171</v>
      </c>
      <c r="EM389" s="8">
        <v>855</v>
      </c>
      <c r="EN389" s="8">
        <v>272</v>
      </c>
      <c r="EO389" s="8">
        <v>272</v>
      </c>
      <c r="EP389" s="8">
        <v>272</v>
      </c>
      <c r="EQ389" s="8">
        <v>272</v>
      </c>
      <c r="ER389" s="8">
        <v>272</v>
      </c>
      <c r="ES389" s="8">
        <v>472</v>
      </c>
      <c r="ET389" s="8">
        <v>712</v>
      </c>
      <c r="EU389" s="8">
        <v>472</v>
      </c>
      <c r="EV389" s="8">
        <v>472</v>
      </c>
    </row>
    <row r="390" spans="1:152" x14ac:dyDescent="0.15">
      <c r="A390" s="8">
        <f>ROW([2]!tbl_DPSAC[[#This Row],[Sl. No.]])-1</f>
        <v>389</v>
      </c>
      <c r="B390" s="9" t="s">
        <v>196</v>
      </c>
      <c r="C390" s="9" t="s">
        <v>2140</v>
      </c>
      <c r="D390" s="9" t="s">
        <v>638</v>
      </c>
      <c r="E390" s="8" t="s">
        <v>639</v>
      </c>
      <c r="F390" s="9" t="s">
        <v>140</v>
      </c>
      <c r="G390" s="10" t="s">
        <v>2141</v>
      </c>
      <c r="H390" s="10" t="str">
        <f>_xlfn.XLOOKUP(C390,'[1]E&amp;DPSAC'!$K:$K,'[1]E&amp;DPSAC'!$E:$E,,0)</f>
        <v>AURANGABAD, BIHAR</v>
      </c>
      <c r="I390" s="10"/>
      <c r="J390" s="10">
        <v>9771012500</v>
      </c>
      <c r="K390" s="10" t="str">
        <f>IF(_xlfn.XLOOKUP(C390,'[1]E&amp;DPSAC'!$K:$K,'[1]E&amp;DPSAC'!$G:$G,"",0)=J390,"",_xlfn.XLOOKUP(C390,'[1]E&amp;DPSAC'!$K:$K,'[1]E&amp;DPSAC'!$G:$G,"",0))</f>
        <v/>
      </c>
      <c r="L390" s="9" t="str">
        <f t="shared" ca="1" si="24"/>
        <v>Warranty</v>
      </c>
      <c r="M390" s="11">
        <v>45245</v>
      </c>
      <c r="N390" s="12">
        <v>36</v>
      </c>
      <c r="O390" s="11">
        <f t="shared" si="23"/>
        <v>46356</v>
      </c>
      <c r="P390" s="8" t="s">
        <v>213</v>
      </c>
      <c r="Q390" s="16" t="s">
        <v>2667</v>
      </c>
      <c r="R390" s="15">
        <v>45756.521446759303</v>
      </c>
      <c r="S390" s="14">
        <v>1200</v>
      </c>
      <c r="T390" s="15">
        <v>45812</v>
      </c>
      <c r="U390" s="14">
        <v>1519</v>
      </c>
      <c r="V390" s="14">
        <v>1845</v>
      </c>
      <c r="W390" s="17">
        <v>46099.5466087963</v>
      </c>
      <c r="X390" s="14" t="s">
        <v>2873</v>
      </c>
      <c r="Y390" s="14">
        <v>105</v>
      </c>
      <c r="Z390" s="14" t="s">
        <v>2692</v>
      </c>
      <c r="AA390" s="18">
        <v>356.47855324069678</v>
      </c>
      <c r="AB390" s="18" t="s">
        <v>2697</v>
      </c>
      <c r="AC390" s="8">
        <f>tbl_DPSAC[[#This Row],[Current Month Due Count]]</f>
        <v>0</v>
      </c>
      <c r="AD390" s="8">
        <f>tbl_DPSAC[[#This Row],[Next Month Due2]]</f>
        <v>0</v>
      </c>
      <c r="AE390" s="8"/>
      <c r="AF390" s="8">
        <v>2</v>
      </c>
      <c r="AG390" s="14">
        <f t="shared" ca="1" si="25"/>
        <v>1872</v>
      </c>
      <c r="AH390" s="8" t="s">
        <v>2142</v>
      </c>
      <c r="AI390" s="8" t="s">
        <v>1971</v>
      </c>
      <c r="AJ390" s="8">
        <v>0</v>
      </c>
      <c r="AK390" s="8">
        <v>0</v>
      </c>
      <c r="AL390" s="8">
        <v>0</v>
      </c>
      <c r="AM390" s="8">
        <v>0</v>
      </c>
      <c r="AN390" s="8">
        <v>0</v>
      </c>
      <c r="AO390" s="8">
        <v>0</v>
      </c>
      <c r="AP390" s="8">
        <v>0</v>
      </c>
      <c r="AQ390" s="8">
        <v>0</v>
      </c>
      <c r="AR390" s="8">
        <v>0</v>
      </c>
      <c r="AS390" s="8">
        <v>0</v>
      </c>
      <c r="AT390" s="8">
        <v>0</v>
      </c>
      <c r="AU390" s="8">
        <v>0</v>
      </c>
      <c r="AV390" s="8">
        <v>0</v>
      </c>
      <c r="AW390" s="8">
        <v>0</v>
      </c>
      <c r="AX390" s="8" t="s">
        <v>3033</v>
      </c>
      <c r="AY390" s="14">
        <v>1200</v>
      </c>
      <c r="AZ390" s="19">
        <v>45756</v>
      </c>
      <c r="BA390" s="14" t="s">
        <v>2143</v>
      </c>
      <c r="BB390" s="14">
        <v>1</v>
      </c>
      <c r="BC390" s="19">
        <v>45245</v>
      </c>
      <c r="BD390" s="14" t="s">
        <v>2144</v>
      </c>
      <c r="BE390" s="14">
        <v>1200</v>
      </c>
      <c r="BF390" s="19">
        <v>45756</v>
      </c>
      <c r="BG390" s="14" t="s">
        <v>2143</v>
      </c>
      <c r="BH390" s="14">
        <v>1200</v>
      </c>
      <c r="BI390" s="19">
        <v>45756</v>
      </c>
      <c r="BJ390" s="14" t="s">
        <v>2143</v>
      </c>
      <c r="BK390" s="14">
        <v>1</v>
      </c>
      <c r="BL390" s="19">
        <v>45245</v>
      </c>
      <c r="BM390" s="14" t="s">
        <v>2144</v>
      </c>
      <c r="BN390" s="27">
        <v>45936</v>
      </c>
      <c r="BO390" s="27">
        <v>45425</v>
      </c>
      <c r="BP390" s="27">
        <v>45936</v>
      </c>
      <c r="BQ390" s="27">
        <v>45936</v>
      </c>
      <c r="BR390" s="27">
        <v>45425</v>
      </c>
      <c r="BS390" s="28">
        <v>78</v>
      </c>
      <c r="BT390" s="29">
        <v>-371</v>
      </c>
      <c r="BU390" s="29">
        <v>78</v>
      </c>
      <c r="BV390" s="29">
        <v>78</v>
      </c>
      <c r="BW390" s="29">
        <v>-371</v>
      </c>
      <c r="BX390" s="30"/>
      <c r="BY390" s="8">
        <v>5</v>
      </c>
      <c r="BZ390" s="8">
        <v>0</v>
      </c>
      <c r="CA390" s="8">
        <v>0</v>
      </c>
      <c r="CB390" s="21">
        <v>45785.770833333299</v>
      </c>
      <c r="CC390" s="21">
        <v>45755.770833333299</v>
      </c>
      <c r="CD390" s="21">
        <v>45755.770833333299</v>
      </c>
      <c r="CE390" s="21">
        <v>45755.770833333299</v>
      </c>
      <c r="CF390" s="21">
        <v>45755.770833333299</v>
      </c>
      <c r="CG390" s="21">
        <v>45244.770833333299</v>
      </c>
      <c r="CH390" s="21">
        <v>45390.770833333299</v>
      </c>
      <c r="CI390" s="21">
        <v>45244.770833333299</v>
      </c>
      <c r="CJ390" s="21">
        <v>45244.770833333299</v>
      </c>
      <c r="CK390" s="22" t="s">
        <v>2971</v>
      </c>
      <c r="CL390" s="22" t="s">
        <v>2971</v>
      </c>
      <c r="CM390" s="22" t="s">
        <v>2971</v>
      </c>
      <c r="CN390" s="22" t="s">
        <v>2971</v>
      </c>
      <c r="CO390" s="22" t="s">
        <v>2971</v>
      </c>
      <c r="CP390" s="22" t="s">
        <v>2971</v>
      </c>
      <c r="CQ390" s="22" t="s">
        <v>2953</v>
      </c>
      <c r="CR390" s="22" t="s">
        <v>2971</v>
      </c>
      <c r="CS390" s="22" t="s">
        <v>2971</v>
      </c>
      <c r="CT390" s="22">
        <v>2</v>
      </c>
      <c r="CU390" s="21">
        <v>45965</v>
      </c>
      <c r="CV390" s="21">
        <v>45935</v>
      </c>
      <c r="CW390" s="21">
        <v>45935</v>
      </c>
      <c r="CX390" s="21">
        <v>45935</v>
      </c>
      <c r="CY390" s="21">
        <v>45935</v>
      </c>
      <c r="CZ390" s="21">
        <v>45514</v>
      </c>
      <c r="DA390" s="21">
        <v>45755</v>
      </c>
      <c r="DB390" s="21">
        <v>45424</v>
      </c>
      <c r="DC390" s="21">
        <v>45609</v>
      </c>
      <c r="DD390" s="8">
        <v>1</v>
      </c>
      <c r="DE390" s="8">
        <v>0</v>
      </c>
      <c r="DF390" s="8">
        <v>0</v>
      </c>
      <c r="DG390" s="8">
        <v>9</v>
      </c>
      <c r="DH390" s="8">
        <v>0</v>
      </c>
      <c r="DI390" s="8">
        <v>0</v>
      </c>
      <c r="DJ390" s="8" t="s">
        <v>2976</v>
      </c>
      <c r="DK390" s="21">
        <v>45245</v>
      </c>
      <c r="DL390" s="21">
        <v>45237.229166666664</v>
      </c>
      <c r="DM390" s="21">
        <v>46099</v>
      </c>
      <c r="DN390" s="18">
        <v>1845</v>
      </c>
      <c r="DO390" s="21">
        <v>0</v>
      </c>
      <c r="DP390" s="21">
        <v>0</v>
      </c>
      <c r="DQ390" s="21" t="s">
        <v>2955</v>
      </c>
      <c r="DR390" s="21">
        <v>45786</v>
      </c>
      <c r="DS390" s="21">
        <v>45786</v>
      </c>
      <c r="DT390" s="21">
        <v>45786</v>
      </c>
      <c r="DU390" s="21">
        <v>45786</v>
      </c>
      <c r="DV390" s="21">
        <v>45786</v>
      </c>
      <c r="DW390" s="21">
        <v>45786</v>
      </c>
      <c r="DX390" s="21">
        <v>45786</v>
      </c>
      <c r="DY390" s="21">
        <v>45786</v>
      </c>
      <c r="DZ390" s="21">
        <v>45786</v>
      </c>
      <c r="EA390" s="8">
        <v>95</v>
      </c>
      <c r="EB390" s="8">
        <v>95</v>
      </c>
      <c r="EC390" s="8">
        <v>95</v>
      </c>
      <c r="ED390" s="8">
        <v>95</v>
      </c>
      <c r="EE390" s="8">
        <v>95</v>
      </c>
      <c r="EF390" s="8">
        <v>95</v>
      </c>
      <c r="EG390" s="8">
        <v>865</v>
      </c>
      <c r="EH390" s="8">
        <v>95</v>
      </c>
      <c r="EI390" s="8">
        <v>95</v>
      </c>
      <c r="EJ390" s="8">
        <v>0</v>
      </c>
      <c r="EK390" s="8" t="s">
        <v>2624</v>
      </c>
      <c r="EL390" s="8">
        <v>13</v>
      </c>
      <c r="EM390" s="8">
        <v>26</v>
      </c>
      <c r="EN390" s="8">
        <v>-193</v>
      </c>
      <c r="EO390" s="8">
        <v>-193</v>
      </c>
      <c r="EP390" s="8">
        <v>-193</v>
      </c>
      <c r="EQ390" s="8">
        <v>-193</v>
      </c>
      <c r="ER390" s="8">
        <v>-193</v>
      </c>
      <c r="ES390" s="8">
        <v>-193</v>
      </c>
      <c r="ET390" s="8">
        <v>577</v>
      </c>
      <c r="EU390" s="8">
        <v>-193</v>
      </c>
      <c r="EV390" s="8">
        <v>-193</v>
      </c>
    </row>
    <row r="391" spans="1:152" x14ac:dyDescent="0.15">
      <c r="A391" s="8">
        <f>ROW([2]!tbl_DPSAC[[#This Row],[Sl. No.]])-1</f>
        <v>390</v>
      </c>
      <c r="B391" s="9" t="s">
        <v>196</v>
      </c>
      <c r="C391" s="9" t="s">
        <v>2145</v>
      </c>
      <c r="D391" s="9" t="s">
        <v>2146</v>
      </c>
      <c r="E391" s="9" t="s">
        <v>2147</v>
      </c>
      <c r="F391" s="9" t="s">
        <v>161</v>
      </c>
      <c r="G391" s="10" t="s">
        <v>2148</v>
      </c>
      <c r="H391" s="10" t="str">
        <f>_xlfn.XLOOKUP(C391,'[1]E&amp;DPSAC'!$K:$K,'[1]E&amp;DPSAC'!$E:$E,,0)</f>
        <v>BEGUSARAI</v>
      </c>
      <c r="I391" s="10"/>
      <c r="J391" s="10">
        <v>9852619477</v>
      </c>
      <c r="K391" s="10">
        <f>_xlfn.XLOOKUP(C391,'[1]E&amp;DPSAC'!$K:$K,'[1]E&amp;DPSAC'!$G:$G,"",0)</f>
        <v>9852619477</v>
      </c>
      <c r="L391" s="9" t="str">
        <f t="shared" ca="1" si="24"/>
        <v>Non - Warranty</v>
      </c>
      <c r="M391" s="11">
        <v>43003</v>
      </c>
      <c r="N391" s="12">
        <v>24</v>
      </c>
      <c r="O391" s="11">
        <f t="shared" si="23"/>
        <v>43738</v>
      </c>
      <c r="P391" s="8" t="s">
        <v>157</v>
      </c>
      <c r="Q391" s="16" t="s">
        <v>2149</v>
      </c>
      <c r="R391" s="15">
        <v>45407.426840277803</v>
      </c>
      <c r="S391" s="14">
        <v>7510</v>
      </c>
      <c r="T391" s="15">
        <v>45407</v>
      </c>
      <c r="U391" s="14">
        <v>7510</v>
      </c>
      <c r="V391" s="14">
        <v>8570</v>
      </c>
      <c r="W391" s="17">
        <v>45541.770613425899</v>
      </c>
      <c r="X391" s="14" t="s">
        <v>2874</v>
      </c>
      <c r="Y391" s="14">
        <v>-310</v>
      </c>
      <c r="Z391" s="14" t="s">
        <v>2697</v>
      </c>
      <c r="AA391" s="18">
        <v>705.57315972219658</v>
      </c>
      <c r="AB391" s="18" t="s">
        <v>2697</v>
      </c>
      <c r="AC391" s="8">
        <f>tbl_DPSAC[[#This Row],[Current Month Due Count]]</f>
        <v>0</v>
      </c>
      <c r="AD391" s="8">
        <f>tbl_DPSAC[[#This Row],[Next Month Due2]]</f>
        <v>0</v>
      </c>
      <c r="AE391" s="8"/>
      <c r="AF391" s="8">
        <v>8</v>
      </c>
      <c r="AG391" s="14">
        <f t="shared" ca="1" si="25"/>
        <v>13140</v>
      </c>
      <c r="AH391" s="8" t="s">
        <v>2114</v>
      </c>
      <c r="AI391" s="8">
        <v>0</v>
      </c>
      <c r="AJ391" s="8">
        <v>0</v>
      </c>
      <c r="AK391" s="8">
        <v>0</v>
      </c>
      <c r="AL391" s="8">
        <v>0</v>
      </c>
      <c r="AM391" s="8">
        <v>0</v>
      </c>
      <c r="AN391" s="8">
        <v>0</v>
      </c>
      <c r="AO391" s="8">
        <v>0</v>
      </c>
      <c r="AP391" s="8">
        <v>0</v>
      </c>
      <c r="AQ391" s="8">
        <v>0</v>
      </c>
      <c r="AR391" s="8">
        <v>0</v>
      </c>
      <c r="AS391" s="8">
        <v>0</v>
      </c>
      <c r="AT391" s="8">
        <v>0</v>
      </c>
      <c r="AU391" s="8">
        <v>0</v>
      </c>
      <c r="AV391" s="8">
        <v>0</v>
      </c>
      <c r="AW391" s="8">
        <v>0</v>
      </c>
      <c r="AX391" s="8" t="s">
        <v>2961</v>
      </c>
      <c r="AY391" s="14">
        <v>7510</v>
      </c>
      <c r="AZ391" s="19">
        <v>45407</v>
      </c>
      <c r="BA391" s="14" t="s">
        <v>2149</v>
      </c>
      <c r="BB391" s="14">
        <v>7510</v>
      </c>
      <c r="BC391" s="19">
        <v>45407</v>
      </c>
      <c r="BD391" s="14" t="s">
        <v>2149</v>
      </c>
      <c r="BE391" s="14">
        <v>7510</v>
      </c>
      <c r="BF391" s="19">
        <v>45407</v>
      </c>
      <c r="BG391" s="14" t="s">
        <v>2149</v>
      </c>
      <c r="BH391" s="14">
        <v>7510</v>
      </c>
      <c r="BI391" s="19">
        <v>45407</v>
      </c>
      <c r="BJ391" s="14" t="s">
        <v>2149</v>
      </c>
      <c r="BK391" s="14">
        <v>7510</v>
      </c>
      <c r="BL391" s="19">
        <v>45407</v>
      </c>
      <c r="BM391" s="14" t="s">
        <v>2149</v>
      </c>
      <c r="BN391" s="27">
        <v>45587</v>
      </c>
      <c r="BO391" s="27">
        <v>45587</v>
      </c>
      <c r="BP391" s="27">
        <v>45587</v>
      </c>
      <c r="BQ391" s="27">
        <v>45587</v>
      </c>
      <c r="BR391" s="27">
        <v>45587</v>
      </c>
      <c r="BS391" s="28">
        <v>-4880</v>
      </c>
      <c r="BT391" s="29">
        <v>-4130</v>
      </c>
      <c r="BU391" s="29">
        <v>-4880</v>
      </c>
      <c r="BV391" s="29">
        <v>-4880</v>
      </c>
      <c r="BW391" s="29">
        <v>-4130</v>
      </c>
      <c r="BX391" s="30" t="s">
        <v>2150</v>
      </c>
      <c r="BY391" s="8">
        <v>5</v>
      </c>
      <c r="BZ391" s="8">
        <v>0</v>
      </c>
      <c r="CA391" s="8">
        <v>0</v>
      </c>
      <c r="CB391" s="21" t="s">
        <v>143</v>
      </c>
      <c r="CC391" s="21" t="s">
        <v>143</v>
      </c>
      <c r="CD391" s="21" t="s">
        <v>143</v>
      </c>
      <c r="CE391" s="21" t="s">
        <v>143</v>
      </c>
      <c r="CF391" s="21" t="s">
        <v>143</v>
      </c>
      <c r="CG391" s="21" t="s">
        <v>143</v>
      </c>
      <c r="CH391" s="21" t="s">
        <v>143</v>
      </c>
      <c r="CI391" s="21" t="s">
        <v>143</v>
      </c>
      <c r="CJ391" s="21" t="s">
        <v>143</v>
      </c>
      <c r="CK391" s="22" t="s">
        <v>143</v>
      </c>
      <c r="CL391" s="22" t="s">
        <v>143</v>
      </c>
      <c r="CM391" s="22" t="s">
        <v>143</v>
      </c>
      <c r="CN391" s="22" t="s">
        <v>143</v>
      </c>
      <c r="CO391" s="22" t="s">
        <v>143</v>
      </c>
      <c r="CP391" s="22" t="s">
        <v>143</v>
      </c>
      <c r="CQ391" s="22" t="s">
        <v>143</v>
      </c>
      <c r="CR391" s="22" t="s">
        <v>143</v>
      </c>
      <c r="CS391" s="22" t="s">
        <v>143</v>
      </c>
      <c r="CT391" s="22" t="s">
        <v>143</v>
      </c>
      <c r="CU391" s="21" t="s">
        <v>143</v>
      </c>
      <c r="CV391" s="21" t="s">
        <v>143</v>
      </c>
      <c r="CW391" s="21" t="s">
        <v>143</v>
      </c>
      <c r="CX391" s="21" t="s">
        <v>143</v>
      </c>
      <c r="CY391" s="21" t="s">
        <v>143</v>
      </c>
      <c r="CZ391" s="21" t="s">
        <v>143</v>
      </c>
      <c r="DA391" s="21" t="s">
        <v>143</v>
      </c>
      <c r="DB391" s="21" t="s">
        <v>143</v>
      </c>
      <c r="DC391" s="21" t="s">
        <v>143</v>
      </c>
      <c r="DD391" s="8" t="s">
        <v>143</v>
      </c>
      <c r="DE391" s="8" t="s">
        <v>143</v>
      </c>
      <c r="DF391" s="8" t="s">
        <v>143</v>
      </c>
      <c r="DG391" s="8">
        <v>0</v>
      </c>
      <c r="DH391" s="8">
        <v>0</v>
      </c>
      <c r="DI391" s="8">
        <v>0</v>
      </c>
      <c r="DJ391" s="8" t="s">
        <v>143</v>
      </c>
      <c r="DK391" s="21" t="s">
        <v>143</v>
      </c>
      <c r="DL391" s="21" t="s">
        <v>143</v>
      </c>
      <c r="DM391" s="21" t="s">
        <v>143</v>
      </c>
      <c r="DN391" s="18" t="s">
        <v>143</v>
      </c>
      <c r="DO391" s="21" t="s">
        <v>143</v>
      </c>
      <c r="DP391" s="21" t="s">
        <v>143</v>
      </c>
      <c r="DQ391" s="21" t="s">
        <v>143</v>
      </c>
      <c r="DR391" s="21" t="s">
        <v>143</v>
      </c>
      <c r="DS391" s="21" t="s">
        <v>143</v>
      </c>
      <c r="DT391" s="21" t="s">
        <v>143</v>
      </c>
      <c r="DU391" s="21" t="s">
        <v>143</v>
      </c>
      <c r="DV391" s="21" t="s">
        <v>143</v>
      </c>
      <c r="DW391" s="21" t="s">
        <v>143</v>
      </c>
      <c r="DX391" s="21" t="s">
        <v>143</v>
      </c>
      <c r="DY391" s="21" t="s">
        <v>143</v>
      </c>
      <c r="DZ391" s="21" t="s">
        <v>143</v>
      </c>
      <c r="EA391" s="8" t="s">
        <v>143</v>
      </c>
      <c r="EB391" s="8" t="s">
        <v>143</v>
      </c>
      <c r="EC391" s="8" t="s">
        <v>143</v>
      </c>
      <c r="ED391" s="8" t="s">
        <v>143</v>
      </c>
      <c r="EE391" s="8" t="s">
        <v>143</v>
      </c>
      <c r="EF391" s="8" t="s">
        <v>143</v>
      </c>
      <c r="EG391" s="8" t="s">
        <v>143</v>
      </c>
      <c r="EH391" s="8" t="s">
        <v>143</v>
      </c>
      <c r="EI391" s="8" t="s">
        <v>143</v>
      </c>
      <c r="EJ391" s="8" t="s">
        <v>143</v>
      </c>
      <c r="EK391" s="8" t="s">
        <v>157</v>
      </c>
      <c r="EL391" s="8">
        <v>571</v>
      </c>
      <c r="EM391" s="8">
        <v>4568</v>
      </c>
      <c r="EN391" s="8" t="s">
        <v>143</v>
      </c>
      <c r="EO391" s="8" t="s">
        <v>143</v>
      </c>
      <c r="EP391" s="8" t="s">
        <v>143</v>
      </c>
      <c r="EQ391" s="8" t="s">
        <v>143</v>
      </c>
      <c r="ER391" s="8" t="s">
        <v>143</v>
      </c>
      <c r="ES391" s="8" t="s">
        <v>143</v>
      </c>
      <c r="ET391" s="8" t="s">
        <v>143</v>
      </c>
      <c r="EU391" s="8" t="s">
        <v>143</v>
      </c>
      <c r="EV391" s="8" t="s">
        <v>143</v>
      </c>
    </row>
    <row r="392" spans="1:152" x14ac:dyDescent="0.15">
      <c r="A392" s="8">
        <f>ROW([2]!tbl_DPSAC[[#This Row],[Sl. No.]])-1</f>
        <v>391</v>
      </c>
      <c r="B392" s="9" t="s">
        <v>196</v>
      </c>
      <c r="C392" s="9" t="s">
        <v>2151</v>
      </c>
      <c r="D392" s="9" t="s">
        <v>638</v>
      </c>
      <c r="E392" s="8" t="s">
        <v>639</v>
      </c>
      <c r="F392" s="9" t="s">
        <v>140</v>
      </c>
      <c r="G392" s="10" t="s">
        <v>2152</v>
      </c>
      <c r="H392" s="10" t="str">
        <f>_xlfn.XLOOKUP(C392,'[1]E&amp;DPSAC'!$K:$K,'[1]E&amp;DPSAC'!$E:$E,,0)</f>
        <v>BEGUSARAI</v>
      </c>
      <c r="I392" s="10"/>
      <c r="J392" s="10">
        <v>6201785442</v>
      </c>
      <c r="K392" s="10" t="str">
        <f>IF(_xlfn.XLOOKUP(C392,'[1]E&amp;DPSAC'!$K:$K,'[1]E&amp;DPSAC'!$G:$G,"",0)=J392,"",_xlfn.XLOOKUP(C392,'[1]E&amp;DPSAC'!$K:$K,'[1]E&amp;DPSAC'!$G:$G,"",0))</f>
        <v/>
      </c>
      <c r="L392" s="9" t="str">
        <f t="shared" ca="1" si="24"/>
        <v>Warranty</v>
      </c>
      <c r="M392" s="11">
        <v>45245</v>
      </c>
      <c r="N392" s="12">
        <v>36</v>
      </c>
      <c r="O392" s="11">
        <f t="shared" si="23"/>
        <v>46356</v>
      </c>
      <c r="P392" s="8" t="s">
        <v>213</v>
      </c>
      <c r="Q392" s="16" t="s">
        <v>2155</v>
      </c>
      <c r="R392" s="15">
        <v>45621.492569444403</v>
      </c>
      <c r="S392" s="14">
        <v>1188</v>
      </c>
      <c r="T392" s="15">
        <v>45811</v>
      </c>
      <c r="U392" s="14">
        <v>1188</v>
      </c>
      <c r="V392" s="14">
        <v>1950</v>
      </c>
      <c r="W392" s="17">
        <v>46099.550381944398</v>
      </c>
      <c r="X392" s="14" t="s">
        <v>2875</v>
      </c>
      <c r="Y392" s="14">
        <v>-12</v>
      </c>
      <c r="Z392" s="14" t="s">
        <v>2697</v>
      </c>
      <c r="AA392" s="18">
        <v>491.50743055559724</v>
      </c>
      <c r="AB392" s="18" t="s">
        <v>2697</v>
      </c>
      <c r="AC392" s="8">
        <f>tbl_DPSAC[[#This Row],[Current Month Due Count]]</f>
        <v>0</v>
      </c>
      <c r="AD392" s="8">
        <f>tbl_DPSAC[[#This Row],[Next Month Due2]]</f>
        <v>0</v>
      </c>
      <c r="AE392" s="8"/>
      <c r="AF392" s="8">
        <v>2</v>
      </c>
      <c r="AG392" s="14">
        <f t="shared" ca="1" si="25"/>
        <v>1977</v>
      </c>
      <c r="AH392" s="8" t="s">
        <v>2153</v>
      </c>
      <c r="AI392" s="8" t="s">
        <v>1360</v>
      </c>
      <c r="AJ392" s="8" t="s">
        <v>2154</v>
      </c>
      <c r="AK392" s="8">
        <v>0</v>
      </c>
      <c r="AL392" s="8">
        <v>0</v>
      </c>
      <c r="AM392" s="8">
        <v>0</v>
      </c>
      <c r="AN392" s="8">
        <v>0</v>
      </c>
      <c r="AO392" s="8">
        <v>0</v>
      </c>
      <c r="AP392" s="8">
        <v>0</v>
      </c>
      <c r="AQ392" s="8">
        <v>0</v>
      </c>
      <c r="AR392" s="8">
        <v>0</v>
      </c>
      <c r="AS392" s="8">
        <v>0</v>
      </c>
      <c r="AT392" s="8">
        <v>0</v>
      </c>
      <c r="AU392" s="8">
        <v>0</v>
      </c>
      <c r="AV392" s="8">
        <v>0</v>
      </c>
      <c r="AW392" s="8">
        <v>0</v>
      </c>
      <c r="AX392" s="8" t="s">
        <v>2961</v>
      </c>
      <c r="AY392" s="14">
        <v>1188</v>
      </c>
      <c r="AZ392" s="19">
        <v>45621</v>
      </c>
      <c r="BA392" s="14" t="s">
        <v>2155</v>
      </c>
      <c r="BB392" s="14">
        <v>1</v>
      </c>
      <c r="BC392" s="19">
        <v>45245</v>
      </c>
      <c r="BD392" s="14" t="s">
        <v>2156</v>
      </c>
      <c r="BE392" s="14">
        <v>1188</v>
      </c>
      <c r="BF392" s="19">
        <v>45621</v>
      </c>
      <c r="BG392" s="14" t="s">
        <v>2155</v>
      </c>
      <c r="BH392" s="14">
        <v>1188</v>
      </c>
      <c r="BI392" s="19">
        <v>45621</v>
      </c>
      <c r="BJ392" s="14" t="s">
        <v>2155</v>
      </c>
      <c r="BK392" s="14">
        <v>1</v>
      </c>
      <c r="BL392" s="19">
        <v>45245</v>
      </c>
      <c r="BM392" s="14" t="s">
        <v>2156</v>
      </c>
      <c r="BN392" s="27">
        <v>45801</v>
      </c>
      <c r="BO392" s="27">
        <v>45425</v>
      </c>
      <c r="BP392" s="27">
        <v>45801</v>
      </c>
      <c r="BQ392" s="27">
        <v>45801</v>
      </c>
      <c r="BR392" s="27">
        <v>45425</v>
      </c>
      <c r="BS392" s="28">
        <v>-39</v>
      </c>
      <c r="BT392" s="29">
        <v>-476</v>
      </c>
      <c r="BU392" s="29">
        <v>-39</v>
      </c>
      <c r="BV392" s="29">
        <v>-39</v>
      </c>
      <c r="BW392" s="29">
        <v>-476</v>
      </c>
      <c r="BX392" s="30"/>
      <c r="BY392" s="8">
        <v>5</v>
      </c>
      <c r="BZ392" s="8">
        <v>0</v>
      </c>
      <c r="CA392" s="8">
        <v>0</v>
      </c>
      <c r="CB392" s="21">
        <v>45619.770833333299</v>
      </c>
      <c r="CC392" s="21">
        <v>45619.770833333299</v>
      </c>
      <c r="CD392" s="21">
        <v>45619.770833333299</v>
      </c>
      <c r="CE392" s="21">
        <v>45619.770833333299</v>
      </c>
      <c r="CF392" s="21">
        <v>45619.770833333299</v>
      </c>
      <c r="CG392" s="21">
        <v>45619.770833333299</v>
      </c>
      <c r="CH392" s="21">
        <v>45619.770833333299</v>
      </c>
      <c r="CI392" s="21">
        <v>45619.770833333299</v>
      </c>
      <c r="CJ392" s="21">
        <v>45619.770833333299</v>
      </c>
      <c r="CK392" s="22" t="s">
        <v>3061</v>
      </c>
      <c r="CL392" s="22" t="s">
        <v>3061</v>
      </c>
      <c r="CM392" s="22" t="s">
        <v>3061</v>
      </c>
      <c r="CN392" s="22" t="s">
        <v>3061</v>
      </c>
      <c r="CO392" s="22" t="s">
        <v>3061</v>
      </c>
      <c r="CP392" s="22" t="s">
        <v>3061</v>
      </c>
      <c r="CQ392" s="22" t="s">
        <v>2953</v>
      </c>
      <c r="CR392" s="22" t="s">
        <v>3061</v>
      </c>
      <c r="CS392" s="22" t="s">
        <v>3061</v>
      </c>
      <c r="CT392" s="22">
        <v>3</v>
      </c>
      <c r="CU392" s="21">
        <v>45799</v>
      </c>
      <c r="CV392" s="21">
        <v>45799</v>
      </c>
      <c r="CW392" s="21">
        <v>45799</v>
      </c>
      <c r="CX392" s="21">
        <v>45799</v>
      </c>
      <c r="CY392" s="21">
        <v>45799</v>
      </c>
      <c r="CZ392" s="21">
        <v>45889</v>
      </c>
      <c r="DA392" s="21">
        <v>45984</v>
      </c>
      <c r="DB392" s="21">
        <v>45799</v>
      </c>
      <c r="DC392" s="21">
        <v>45984</v>
      </c>
      <c r="DD392" s="8">
        <v>1</v>
      </c>
      <c r="DE392" s="8">
        <v>0</v>
      </c>
      <c r="DF392" s="8">
        <v>0</v>
      </c>
      <c r="DG392" s="8">
        <v>9</v>
      </c>
      <c r="DH392" s="8">
        <v>0</v>
      </c>
      <c r="DI392" s="8">
        <v>0</v>
      </c>
      <c r="DJ392" s="8" t="s">
        <v>2976</v>
      </c>
      <c r="DK392" s="21">
        <v>45245</v>
      </c>
      <c r="DL392" s="21">
        <v>45239.229166666664</v>
      </c>
      <c r="DM392" s="21">
        <v>46099</v>
      </c>
      <c r="DN392" s="18">
        <v>1950</v>
      </c>
      <c r="DO392" s="21">
        <v>0</v>
      </c>
      <c r="DP392" s="21">
        <v>0</v>
      </c>
      <c r="DQ392" s="21" t="s">
        <v>2955</v>
      </c>
      <c r="DR392" s="21">
        <v>45620</v>
      </c>
      <c r="DS392" s="21">
        <v>45620</v>
      </c>
      <c r="DT392" s="21">
        <v>45620</v>
      </c>
      <c r="DU392" s="21">
        <v>45620</v>
      </c>
      <c r="DV392" s="21">
        <v>45620</v>
      </c>
      <c r="DW392" s="21">
        <v>45620</v>
      </c>
      <c r="DX392" s="21">
        <v>45620</v>
      </c>
      <c r="DY392" s="21">
        <v>45620</v>
      </c>
      <c r="DZ392" s="21">
        <v>45620</v>
      </c>
      <c r="EA392" s="8">
        <v>80</v>
      </c>
      <c r="EB392" s="8">
        <v>50</v>
      </c>
      <c r="EC392" s="8">
        <v>50</v>
      </c>
      <c r="ED392" s="8">
        <v>50</v>
      </c>
      <c r="EE392" s="8">
        <v>50</v>
      </c>
      <c r="EF392" s="8">
        <v>1080</v>
      </c>
      <c r="EG392" s="8">
        <v>1000</v>
      </c>
      <c r="EH392" s="8">
        <v>1080</v>
      </c>
      <c r="EI392" s="8">
        <v>1080</v>
      </c>
      <c r="EJ392" s="8">
        <v>0</v>
      </c>
      <c r="EK392" s="8" t="s">
        <v>2624</v>
      </c>
      <c r="EL392" s="8">
        <v>13</v>
      </c>
      <c r="EM392" s="8">
        <v>26</v>
      </c>
      <c r="EN392" s="8">
        <v>-208</v>
      </c>
      <c r="EO392" s="8">
        <v>-238</v>
      </c>
      <c r="EP392" s="8">
        <v>-238</v>
      </c>
      <c r="EQ392" s="8">
        <v>-238</v>
      </c>
      <c r="ER392" s="8">
        <v>-238</v>
      </c>
      <c r="ES392" s="8">
        <v>792</v>
      </c>
      <c r="ET392" s="8">
        <v>712</v>
      </c>
      <c r="EU392" s="8">
        <v>792</v>
      </c>
      <c r="EV392" s="8">
        <v>792</v>
      </c>
    </row>
    <row r="393" spans="1:152" x14ac:dyDescent="0.15">
      <c r="A393" s="8">
        <f>ROW([2]!tbl_DPSAC[[#This Row],[Sl. No.]])-1</f>
        <v>392</v>
      </c>
      <c r="B393" s="9" t="s">
        <v>136</v>
      </c>
      <c r="C393" s="9" t="s">
        <v>2157</v>
      </c>
      <c r="D393" s="9" t="s">
        <v>262</v>
      </c>
      <c r="E393" s="9" t="s">
        <v>176</v>
      </c>
      <c r="F393" s="9" t="s">
        <v>161</v>
      </c>
      <c r="G393" s="10" t="s">
        <v>1637</v>
      </c>
      <c r="H393" s="10" t="str">
        <f>_xlfn.XLOOKUP(C393,'[1]E&amp;DPSAC'!$K:$K,'[1]E&amp;DPSAC'!$E:$E,,0)</f>
        <v>KULI, RAMGRAH</v>
      </c>
      <c r="I393" s="10"/>
      <c r="J393" s="10">
        <v>9691773091</v>
      </c>
      <c r="K393" s="10">
        <f>_xlfn.XLOOKUP(C393,'[1]E&amp;DPSAC'!$K:$K,'[1]E&amp;DPSAC'!$G:$G,"",0)</f>
        <v>9691773091</v>
      </c>
      <c r="L393" s="9" t="str">
        <f t="shared" ca="1" si="24"/>
        <v>Non - Warranty</v>
      </c>
      <c r="M393" s="11">
        <v>44866</v>
      </c>
      <c r="N393" s="12">
        <v>24</v>
      </c>
      <c r="O393" s="11">
        <f t="shared" si="23"/>
        <v>45596</v>
      </c>
      <c r="P393" s="8" t="s">
        <v>142</v>
      </c>
      <c r="Q393" s="16" t="s">
        <v>2161</v>
      </c>
      <c r="R393" s="15">
        <v>46072.5631712963</v>
      </c>
      <c r="S393" s="14">
        <v>9480</v>
      </c>
      <c r="T393" s="15">
        <v>46072</v>
      </c>
      <c r="U393" s="14">
        <v>9480</v>
      </c>
      <c r="V393" s="14">
        <v>9480</v>
      </c>
      <c r="W393" s="17">
        <v>46072.5631712963</v>
      </c>
      <c r="X393" s="14" t="s">
        <v>2695</v>
      </c>
      <c r="Y393" s="14">
        <v>750</v>
      </c>
      <c r="Z393" s="14" t="s">
        <v>2692</v>
      </c>
      <c r="AA393" s="18">
        <v>40.436828703699575</v>
      </c>
      <c r="AB393" s="18" t="s">
        <v>2692</v>
      </c>
      <c r="AC393" s="8">
        <f>tbl_DPSAC[[#This Row],[Current Month Due Count]]</f>
        <v>0</v>
      </c>
      <c r="AD393" s="8">
        <f>tbl_DPSAC[[#This Row],[Next Month Due2]]</f>
        <v>0</v>
      </c>
      <c r="AE393" s="8"/>
      <c r="AF393" s="8">
        <v>19</v>
      </c>
      <c r="AG393" s="14">
        <f t="shared" ca="1" si="25"/>
        <v>10248</v>
      </c>
      <c r="AH393" s="8" t="s">
        <v>2158</v>
      </c>
      <c r="AI393" s="8" t="s">
        <v>2159</v>
      </c>
      <c r="AJ393" s="8">
        <v>0</v>
      </c>
      <c r="AK393" s="8" t="s">
        <v>2160</v>
      </c>
      <c r="AL393" s="8">
        <v>0</v>
      </c>
      <c r="AM393" s="8">
        <v>0</v>
      </c>
      <c r="AN393" s="8">
        <v>0</v>
      </c>
      <c r="AO393" s="8">
        <v>0</v>
      </c>
      <c r="AP393" s="8">
        <v>0</v>
      </c>
      <c r="AQ393" s="8">
        <v>0</v>
      </c>
      <c r="AR393" s="8">
        <v>0</v>
      </c>
      <c r="AS393" s="8">
        <v>0</v>
      </c>
      <c r="AT393" s="8">
        <v>0</v>
      </c>
      <c r="AU393" s="8">
        <v>0</v>
      </c>
      <c r="AV393" s="8">
        <v>0</v>
      </c>
      <c r="AW393" s="8">
        <v>0</v>
      </c>
      <c r="AX393" s="8" t="s">
        <v>2980</v>
      </c>
      <c r="AY393" s="14">
        <v>9480</v>
      </c>
      <c r="AZ393" s="19">
        <v>46072</v>
      </c>
      <c r="BA393" s="14" t="s">
        <v>2161</v>
      </c>
      <c r="BB393" s="14">
        <v>9480</v>
      </c>
      <c r="BC393" s="19">
        <v>46072</v>
      </c>
      <c r="BD393" s="14" t="s">
        <v>2161</v>
      </c>
      <c r="BE393" s="14">
        <v>9480</v>
      </c>
      <c r="BF393" s="19">
        <v>46072</v>
      </c>
      <c r="BG393" s="14" t="s">
        <v>2161</v>
      </c>
      <c r="BH393" s="14">
        <v>9480</v>
      </c>
      <c r="BI393" s="19">
        <v>46072</v>
      </c>
      <c r="BJ393" s="14" t="s">
        <v>2161</v>
      </c>
      <c r="BK393" s="14">
        <v>9480</v>
      </c>
      <c r="BL393" s="19">
        <v>46072</v>
      </c>
      <c r="BM393" s="14" t="s">
        <v>2161</v>
      </c>
      <c r="BN393" s="27">
        <v>46252</v>
      </c>
      <c r="BO393" s="27">
        <v>46252</v>
      </c>
      <c r="BP393" s="27">
        <v>46252</v>
      </c>
      <c r="BQ393" s="27">
        <v>46252</v>
      </c>
      <c r="BR393" s="27">
        <v>46252</v>
      </c>
      <c r="BS393" s="28">
        <v>-18</v>
      </c>
      <c r="BT393" s="29">
        <v>732</v>
      </c>
      <c r="BU393" s="29">
        <v>-18</v>
      </c>
      <c r="BV393" s="29">
        <v>-18</v>
      </c>
      <c r="BW393" s="29">
        <v>732</v>
      </c>
      <c r="BX393" s="30"/>
      <c r="BY393" s="8">
        <v>0</v>
      </c>
      <c r="BZ393" s="8">
        <v>0</v>
      </c>
      <c r="CA393" s="8">
        <v>0</v>
      </c>
      <c r="CB393" s="21">
        <v>46071.770833333299</v>
      </c>
      <c r="CC393" s="21">
        <v>46071.770833333299</v>
      </c>
      <c r="CD393" s="21">
        <v>46071.770833333299</v>
      </c>
      <c r="CE393" s="21">
        <v>46071.770833333299</v>
      </c>
      <c r="CF393" s="21">
        <v>46071.770833333299</v>
      </c>
      <c r="CG393" s="21">
        <v>46071.770833333299</v>
      </c>
      <c r="CH393" s="21">
        <v>46071.770833333299</v>
      </c>
      <c r="CI393" s="21">
        <v>46071.770833333299</v>
      </c>
      <c r="CJ393" s="21">
        <v>46071.770833333299</v>
      </c>
      <c r="CK393" s="22" t="s">
        <v>2956</v>
      </c>
      <c r="CL393" s="22" t="s">
        <v>2957</v>
      </c>
      <c r="CM393" s="22" t="s">
        <v>2959</v>
      </c>
      <c r="CN393" s="22" t="s">
        <v>2957</v>
      </c>
      <c r="CO393" s="22" t="s">
        <v>2957</v>
      </c>
      <c r="CP393" s="22" t="s">
        <v>2956</v>
      </c>
      <c r="CQ393" s="22" t="s">
        <v>2953</v>
      </c>
      <c r="CR393" s="22" t="s">
        <v>2956</v>
      </c>
      <c r="CS393" s="22" t="s">
        <v>2960</v>
      </c>
      <c r="CT393" s="22">
        <v>10</v>
      </c>
      <c r="CU393" s="21">
        <v>46222</v>
      </c>
      <c r="CV393" s="21">
        <v>46147</v>
      </c>
      <c r="CW393" s="21">
        <v>46122</v>
      </c>
      <c r="CX393" s="21">
        <v>46147</v>
      </c>
      <c r="CY393" s="21">
        <v>46147</v>
      </c>
      <c r="CZ393" s="21">
        <v>46222</v>
      </c>
      <c r="DA393" s="21">
        <v>46172</v>
      </c>
      <c r="DB393" s="21">
        <v>46222</v>
      </c>
      <c r="DC393" s="21">
        <v>46372</v>
      </c>
      <c r="DD393" s="8">
        <v>0</v>
      </c>
      <c r="DE393" s="8">
        <v>0</v>
      </c>
      <c r="DF393" s="8">
        <v>0</v>
      </c>
      <c r="DG393" s="8">
        <v>0</v>
      </c>
      <c r="DH393" s="8">
        <v>1</v>
      </c>
      <c r="DI393" s="8">
        <v>4</v>
      </c>
      <c r="DJ393" s="8" t="s">
        <v>2954</v>
      </c>
      <c r="DK393" s="21">
        <v>44866</v>
      </c>
      <c r="DL393" s="21">
        <v>44846.229166666664</v>
      </c>
      <c r="DM393" s="21">
        <v>46072</v>
      </c>
      <c r="DN393" s="18">
        <v>9480</v>
      </c>
      <c r="DO393" s="21">
        <v>0</v>
      </c>
      <c r="DP393" s="21">
        <v>0</v>
      </c>
      <c r="DQ393" s="21" t="s">
        <v>2955</v>
      </c>
      <c r="DR393" s="21">
        <v>46072</v>
      </c>
      <c r="DS393" s="21">
        <v>46072</v>
      </c>
      <c r="DT393" s="21">
        <v>46072</v>
      </c>
      <c r="DU393" s="21">
        <v>46072</v>
      </c>
      <c r="DV393" s="21">
        <v>46072</v>
      </c>
      <c r="DW393" s="21">
        <v>46072</v>
      </c>
      <c r="DX393" s="21">
        <v>46072</v>
      </c>
      <c r="DY393" s="21">
        <v>46072</v>
      </c>
      <c r="DZ393" s="21">
        <v>46072</v>
      </c>
      <c r="EA393" s="8">
        <v>1500</v>
      </c>
      <c r="EB393" s="8">
        <v>750</v>
      </c>
      <c r="EC393" s="8">
        <v>500</v>
      </c>
      <c r="ED393" s="8">
        <v>750</v>
      </c>
      <c r="EE393" s="8">
        <v>750</v>
      </c>
      <c r="EF393" s="8">
        <v>1500</v>
      </c>
      <c r="EG393" s="8">
        <v>1000</v>
      </c>
      <c r="EH393" s="8">
        <v>1500</v>
      </c>
      <c r="EI393" s="8">
        <v>3000</v>
      </c>
      <c r="EJ393" s="8">
        <v>10</v>
      </c>
      <c r="EK393" s="8" t="s">
        <v>2624</v>
      </c>
      <c r="EL393" s="8">
        <v>40</v>
      </c>
      <c r="EM393" s="8">
        <v>760</v>
      </c>
      <c r="EN393" s="8">
        <v>1212</v>
      </c>
      <c r="EO393" s="8">
        <v>462</v>
      </c>
      <c r="EP393" s="8">
        <v>212</v>
      </c>
      <c r="EQ393" s="8">
        <v>462</v>
      </c>
      <c r="ER393" s="8">
        <v>462</v>
      </c>
      <c r="ES393" s="8">
        <v>1212</v>
      </c>
      <c r="ET393" s="8">
        <v>712</v>
      </c>
      <c r="EU393" s="8">
        <v>1212</v>
      </c>
      <c r="EV393" s="8">
        <v>2712</v>
      </c>
    </row>
    <row r="394" spans="1:152" x14ac:dyDescent="0.15">
      <c r="A394" s="8">
        <f>ROW([2]!tbl_DPSAC[[#This Row],[Sl. No.]])-1</f>
        <v>393</v>
      </c>
      <c r="B394" s="9" t="s">
        <v>136</v>
      </c>
      <c r="C394" s="9" t="s">
        <v>2162</v>
      </c>
      <c r="D394" s="9" t="s">
        <v>198</v>
      </c>
      <c r="E394" s="9" t="s">
        <v>199</v>
      </c>
      <c r="F394" s="9" t="s">
        <v>161</v>
      </c>
      <c r="G394" s="10" t="s">
        <v>2163</v>
      </c>
      <c r="H394" s="10" t="str">
        <f>_xlfn.XLOOKUP(C394,'[1]E&amp;DPSAC'!$K:$K,'[1]E&amp;DPSAC'!$E:$E,,0)</f>
        <v>NEAR OVER BRIDGE, RANCHI</v>
      </c>
      <c r="I394" s="10"/>
      <c r="J394" s="10">
        <v>7368928746</v>
      </c>
      <c r="K394" s="10">
        <f>_xlfn.XLOOKUP(C394,'[1]E&amp;DPSAC'!$K:$K,'[1]E&amp;DPSAC'!$G:$G,"",0)</f>
        <v>7049289596</v>
      </c>
      <c r="L394" s="9" t="str">
        <f t="shared" ca="1" si="24"/>
        <v>Non - Warranty</v>
      </c>
      <c r="M394" s="11">
        <v>44391</v>
      </c>
      <c r="N394" s="12">
        <v>24</v>
      </c>
      <c r="O394" s="11">
        <f t="shared" si="23"/>
        <v>45138</v>
      </c>
      <c r="P394" s="8" t="s">
        <v>715</v>
      </c>
      <c r="Q394" s="16" t="s">
        <v>2166</v>
      </c>
      <c r="R394" s="15">
        <v>45265.569976851897</v>
      </c>
      <c r="S394" s="14">
        <v>1650</v>
      </c>
      <c r="T394" s="15">
        <v>45265</v>
      </c>
      <c r="U394" s="14">
        <v>1650</v>
      </c>
      <c r="V394" s="14">
        <v>2900</v>
      </c>
      <c r="W394" s="17">
        <v>45891.664282407401</v>
      </c>
      <c r="X394" s="14" t="s">
        <v>2876</v>
      </c>
      <c r="Y394" s="14">
        <v>-500</v>
      </c>
      <c r="Z394" s="14" t="s">
        <v>2697</v>
      </c>
      <c r="AA394" s="18">
        <v>847.43002314810292</v>
      </c>
      <c r="AB394" s="18" t="s">
        <v>2697</v>
      </c>
      <c r="AC394" s="8">
        <f>tbl_DPSAC[[#This Row],[Current Month Due Count]]</f>
        <v>0</v>
      </c>
      <c r="AD394" s="8">
        <f>tbl_DPSAC[[#This Row],[Next Month Due2]]</f>
        <v>0</v>
      </c>
      <c r="AE394" s="8"/>
      <c r="AF394" s="8">
        <v>0</v>
      </c>
      <c r="AG394" s="14">
        <f t="shared" ca="1" si="25"/>
        <v>2900</v>
      </c>
      <c r="AH394" s="8" t="s">
        <v>2114</v>
      </c>
      <c r="AI394" s="8" t="s">
        <v>2164</v>
      </c>
      <c r="AJ394" s="8">
        <v>0</v>
      </c>
      <c r="AK394" s="8" t="s">
        <v>2165</v>
      </c>
      <c r="AL394" s="8">
        <v>0</v>
      </c>
      <c r="AM394" s="8">
        <v>0</v>
      </c>
      <c r="AN394" s="8">
        <v>0</v>
      </c>
      <c r="AO394" s="8">
        <v>0</v>
      </c>
      <c r="AP394" s="8">
        <v>0</v>
      </c>
      <c r="AQ394" s="8">
        <v>0</v>
      </c>
      <c r="AR394" s="8">
        <v>0</v>
      </c>
      <c r="AS394" s="8">
        <v>0</v>
      </c>
      <c r="AT394" s="8">
        <v>0</v>
      </c>
      <c r="AU394" s="8">
        <v>0</v>
      </c>
      <c r="AV394" s="8">
        <v>0</v>
      </c>
      <c r="AW394" s="8">
        <v>0</v>
      </c>
      <c r="AX394" s="8" t="s">
        <v>2980</v>
      </c>
      <c r="AY394" s="14">
        <v>1650</v>
      </c>
      <c r="AZ394" s="19">
        <v>45265</v>
      </c>
      <c r="BA394" s="14" t="s">
        <v>2166</v>
      </c>
      <c r="BB394" s="14">
        <v>1650</v>
      </c>
      <c r="BC394" s="19">
        <v>45265</v>
      </c>
      <c r="BD394" s="14" t="s">
        <v>2166</v>
      </c>
      <c r="BE394" s="14">
        <v>1650</v>
      </c>
      <c r="BF394" s="19">
        <v>45265</v>
      </c>
      <c r="BG394" s="14" t="s">
        <v>2166</v>
      </c>
      <c r="BH394" s="14">
        <v>1650</v>
      </c>
      <c r="BI394" s="19">
        <v>45265</v>
      </c>
      <c r="BJ394" s="14" t="s">
        <v>2166</v>
      </c>
      <c r="BK394" s="14">
        <v>1650</v>
      </c>
      <c r="BL394" s="19">
        <v>45265</v>
      </c>
      <c r="BM394" s="14" t="s">
        <v>2166</v>
      </c>
      <c r="BN394" s="27">
        <v>45445</v>
      </c>
      <c r="BO394" s="27">
        <v>45445</v>
      </c>
      <c r="BP394" s="27">
        <v>45445</v>
      </c>
      <c r="BQ394" s="27">
        <v>45445</v>
      </c>
      <c r="BR394" s="27">
        <v>45445</v>
      </c>
      <c r="BS394" s="28">
        <v>-500</v>
      </c>
      <c r="BT394" s="29">
        <v>250</v>
      </c>
      <c r="BU394" s="29">
        <v>-500</v>
      </c>
      <c r="BV394" s="29">
        <v>-500</v>
      </c>
      <c r="BW394" s="29">
        <v>250</v>
      </c>
      <c r="BX394" s="30" t="s">
        <v>2167</v>
      </c>
      <c r="BY394" s="8">
        <v>5</v>
      </c>
      <c r="BZ394" s="8">
        <v>0</v>
      </c>
      <c r="CA394" s="8">
        <v>0</v>
      </c>
      <c r="CB394" s="21">
        <v>45264.770833333299</v>
      </c>
      <c r="CC394" s="21">
        <v>45264.770833333299</v>
      </c>
      <c r="CD394" s="21">
        <v>45002.770833333299</v>
      </c>
      <c r="CE394" s="21">
        <v>45264.770833333299</v>
      </c>
      <c r="CF394" s="21">
        <v>45264.770833333299</v>
      </c>
      <c r="CG394" s="21">
        <v>0</v>
      </c>
      <c r="CH394" s="21">
        <v>0</v>
      </c>
      <c r="CI394" s="21">
        <v>0</v>
      </c>
      <c r="CJ394" s="21">
        <v>0</v>
      </c>
      <c r="CK394" s="22" t="s">
        <v>3069</v>
      </c>
      <c r="CL394" s="22" t="s">
        <v>3069</v>
      </c>
      <c r="CM394" s="22" t="s">
        <v>3069</v>
      </c>
      <c r="CN394" s="22" t="s">
        <v>3069</v>
      </c>
      <c r="CO394" s="22" t="s">
        <v>3069</v>
      </c>
      <c r="CP394" s="22" t="s">
        <v>3069</v>
      </c>
      <c r="CQ394" s="22" t="s">
        <v>2953</v>
      </c>
      <c r="CR394" s="22" t="s">
        <v>3069</v>
      </c>
      <c r="CS394" s="22" t="s">
        <v>3069</v>
      </c>
      <c r="CT394" s="22">
        <v>3</v>
      </c>
      <c r="CU394" s="21">
        <v>45444</v>
      </c>
      <c r="CV394" s="21">
        <v>45444</v>
      </c>
      <c r="CW394" s="21">
        <v>45182</v>
      </c>
      <c r="CX394" s="21">
        <v>45444</v>
      </c>
      <c r="CY394" s="21">
        <v>45444</v>
      </c>
      <c r="CZ394" s="21">
        <v>45974</v>
      </c>
      <c r="DA394" s="21">
        <v>45984</v>
      </c>
      <c r="DB394" s="21">
        <v>45958</v>
      </c>
      <c r="DC394" s="21">
        <v>45974</v>
      </c>
      <c r="DD394" s="8">
        <v>1</v>
      </c>
      <c r="DE394" s="8">
        <v>0</v>
      </c>
      <c r="DF394" s="8">
        <v>0</v>
      </c>
      <c r="DG394" s="8">
        <v>9</v>
      </c>
      <c r="DH394" s="8">
        <v>0</v>
      </c>
      <c r="DI394" s="8">
        <v>0</v>
      </c>
      <c r="DJ394" s="8" t="s">
        <v>2954</v>
      </c>
      <c r="DK394" s="21">
        <v>44391</v>
      </c>
      <c r="DL394" s="21">
        <v>44377.229166666664</v>
      </c>
      <c r="DM394" s="21">
        <v>45891</v>
      </c>
      <c r="DN394" s="18">
        <v>2900</v>
      </c>
      <c r="DO394" s="21">
        <v>0</v>
      </c>
      <c r="DP394" s="21">
        <v>0</v>
      </c>
      <c r="DQ394" s="21" t="s">
        <v>2955</v>
      </c>
      <c r="DR394" s="21">
        <v>45265</v>
      </c>
      <c r="DS394" s="21">
        <v>45265</v>
      </c>
      <c r="DT394" s="21">
        <v>45003</v>
      </c>
      <c r="DU394" s="21">
        <v>45265</v>
      </c>
      <c r="DV394" s="21">
        <v>45265</v>
      </c>
      <c r="DW394" s="21">
        <v>0</v>
      </c>
      <c r="DX394" s="21">
        <v>0</v>
      </c>
      <c r="DY394" s="21">
        <v>0</v>
      </c>
      <c r="DZ394" s="21">
        <v>0</v>
      </c>
      <c r="EA394" s="8">
        <v>250</v>
      </c>
      <c r="EB394" s="8">
        <v>250</v>
      </c>
      <c r="EC394" s="8">
        <v>250</v>
      </c>
      <c r="ED394" s="8">
        <v>250</v>
      </c>
      <c r="EE394" s="8">
        <v>250</v>
      </c>
      <c r="EF394" s="8">
        <v>250</v>
      </c>
      <c r="EG394" s="8">
        <v>1000</v>
      </c>
      <c r="EH394" s="8">
        <v>250</v>
      </c>
      <c r="EI394" s="8">
        <v>250</v>
      </c>
      <c r="EJ394" s="8">
        <v>3</v>
      </c>
      <c r="EK394" s="8" t="s">
        <v>715</v>
      </c>
      <c r="EL394" s="8">
        <v>221</v>
      </c>
      <c r="EM394" s="8">
        <v>0</v>
      </c>
      <c r="EN394" s="8">
        <v>-38</v>
      </c>
      <c r="EO394" s="8">
        <v>-38</v>
      </c>
      <c r="EP394" s="8">
        <v>-38</v>
      </c>
      <c r="EQ394" s="8">
        <v>-38</v>
      </c>
      <c r="ER394" s="8">
        <v>-38</v>
      </c>
      <c r="ES394" s="8">
        <v>-38</v>
      </c>
      <c r="ET394" s="8">
        <v>712</v>
      </c>
      <c r="EU394" s="8">
        <v>-38</v>
      </c>
      <c r="EV394" s="8">
        <v>-38</v>
      </c>
    </row>
    <row r="395" spans="1:152" x14ac:dyDescent="0.15">
      <c r="A395" s="8">
        <f>ROW([2]!tbl_DPSAC[[#This Row],[Sl. No.]])-1</f>
        <v>394</v>
      </c>
      <c r="B395" s="9" t="s">
        <v>136</v>
      </c>
      <c r="C395" s="9" t="s">
        <v>2168</v>
      </c>
      <c r="D395" s="9" t="s">
        <v>175</v>
      </c>
      <c r="E395" s="9" t="s">
        <v>176</v>
      </c>
      <c r="F395" s="9" t="s">
        <v>140</v>
      </c>
      <c r="G395" s="10" t="s">
        <v>739</v>
      </c>
      <c r="H395" s="10" t="str">
        <f>_xlfn.XLOOKUP(C395,'[1]E&amp;DPSAC'!$K:$K,'[1]E&amp;DPSAC'!$E:$E,,0)</f>
        <v>RAMGARH</v>
      </c>
      <c r="I395" s="10"/>
      <c r="J395" s="10">
        <v>7672870941</v>
      </c>
      <c r="K395" s="10">
        <f>_xlfn.XLOOKUP(C395,'[1]E&amp;DPSAC'!$K:$K,'[1]E&amp;DPSAC'!$G:$G,"",0)</f>
        <v>7004332970</v>
      </c>
      <c r="L395" s="9" t="str">
        <f t="shared" ca="1" si="24"/>
        <v>Non - Warranty</v>
      </c>
      <c r="M395" s="11">
        <v>43299</v>
      </c>
      <c r="N395" s="12">
        <v>36</v>
      </c>
      <c r="O395" s="11">
        <f t="shared" si="23"/>
        <v>44408</v>
      </c>
      <c r="P395" s="8" t="s">
        <v>715</v>
      </c>
      <c r="Q395" s="16" t="s">
        <v>2169</v>
      </c>
      <c r="R395" s="15">
        <v>45981.477905092601</v>
      </c>
      <c r="S395" s="14">
        <v>8730</v>
      </c>
      <c r="T395" s="15">
        <v>45981</v>
      </c>
      <c r="U395" s="14">
        <v>8730</v>
      </c>
      <c r="V395" s="14">
        <v>8730</v>
      </c>
      <c r="W395" s="17">
        <v>45981.477905092601</v>
      </c>
      <c r="X395" s="14" t="s">
        <v>2877</v>
      </c>
      <c r="Y395" s="14">
        <v>750</v>
      </c>
      <c r="Z395" s="14" t="s">
        <v>2692</v>
      </c>
      <c r="AA395" s="18">
        <v>131.52209490739915</v>
      </c>
      <c r="AB395" s="18" t="s">
        <v>2692</v>
      </c>
      <c r="AC395" s="8">
        <f>tbl_DPSAC[[#This Row],[Current Month Due Count]]</f>
        <v>0</v>
      </c>
      <c r="AD395" s="8">
        <f>tbl_DPSAC[[#This Row],[Next Month Due2]]</f>
        <v>5</v>
      </c>
      <c r="AE395" s="8"/>
      <c r="AF395" s="8">
        <v>3</v>
      </c>
      <c r="AG395" s="14">
        <f t="shared" ca="1" si="25"/>
        <v>9125</v>
      </c>
      <c r="AH395" s="8" t="s">
        <v>2114</v>
      </c>
      <c r="AI395" s="8">
        <v>0</v>
      </c>
      <c r="AJ395" s="8">
        <v>0</v>
      </c>
      <c r="AK395" s="8">
        <v>0</v>
      </c>
      <c r="AL395" s="8">
        <v>0</v>
      </c>
      <c r="AM395" s="8">
        <v>0</v>
      </c>
      <c r="AN395" s="8">
        <v>0</v>
      </c>
      <c r="AO395" s="8">
        <v>0</v>
      </c>
      <c r="AP395" s="8">
        <v>0</v>
      </c>
      <c r="AQ395" s="8">
        <v>0</v>
      </c>
      <c r="AR395" s="8">
        <v>0</v>
      </c>
      <c r="AS395" s="8">
        <v>0</v>
      </c>
      <c r="AT395" s="8">
        <v>0</v>
      </c>
      <c r="AU395" s="8">
        <v>0</v>
      </c>
      <c r="AV395" s="8">
        <v>0</v>
      </c>
      <c r="AW395" s="8">
        <v>0</v>
      </c>
      <c r="AX395" s="8" t="s">
        <v>2007</v>
      </c>
      <c r="AY395" s="14">
        <v>8730</v>
      </c>
      <c r="AZ395" s="19">
        <v>45981</v>
      </c>
      <c r="BA395" s="14" t="s">
        <v>2169</v>
      </c>
      <c r="BB395" s="14">
        <v>8730</v>
      </c>
      <c r="BC395" s="19">
        <v>45981</v>
      </c>
      <c r="BD395" s="14" t="s">
        <v>2169</v>
      </c>
      <c r="BE395" s="14">
        <v>8730</v>
      </c>
      <c r="BF395" s="19">
        <v>45981</v>
      </c>
      <c r="BG395" s="14" t="s">
        <v>2169</v>
      </c>
      <c r="BH395" s="14">
        <v>8730</v>
      </c>
      <c r="BI395" s="19">
        <v>45981</v>
      </c>
      <c r="BJ395" s="14" t="s">
        <v>2169</v>
      </c>
      <c r="BK395" s="14">
        <v>8730</v>
      </c>
      <c r="BL395" s="19">
        <v>45981</v>
      </c>
      <c r="BM395" s="14" t="s">
        <v>2169</v>
      </c>
      <c r="BN395" s="27">
        <v>46161</v>
      </c>
      <c r="BO395" s="27">
        <v>46161</v>
      </c>
      <c r="BP395" s="27">
        <v>46161</v>
      </c>
      <c r="BQ395" s="27">
        <v>46161</v>
      </c>
      <c r="BR395" s="27">
        <v>46161</v>
      </c>
      <c r="BS395" s="28">
        <v>355</v>
      </c>
      <c r="BT395" s="29">
        <v>1105</v>
      </c>
      <c r="BU395" s="29">
        <v>355</v>
      </c>
      <c r="BV395" s="29">
        <v>355</v>
      </c>
      <c r="BW395" s="29">
        <v>1105</v>
      </c>
      <c r="BX395" s="30"/>
      <c r="BY395" s="8">
        <v>0</v>
      </c>
      <c r="BZ395" s="8">
        <v>0</v>
      </c>
      <c r="CA395" s="8">
        <v>5</v>
      </c>
      <c r="CB395" s="21" t="s">
        <v>143</v>
      </c>
      <c r="CC395" s="21" t="s">
        <v>143</v>
      </c>
      <c r="CD395" s="21" t="s">
        <v>143</v>
      </c>
      <c r="CE395" s="21" t="s">
        <v>143</v>
      </c>
      <c r="CF395" s="21" t="s">
        <v>143</v>
      </c>
      <c r="CG395" s="21" t="s">
        <v>143</v>
      </c>
      <c r="CH395" s="21" t="s">
        <v>143</v>
      </c>
      <c r="CI395" s="21" t="s">
        <v>143</v>
      </c>
      <c r="CJ395" s="21" t="s">
        <v>143</v>
      </c>
      <c r="CK395" s="22" t="s">
        <v>143</v>
      </c>
      <c r="CL395" s="22" t="s">
        <v>143</v>
      </c>
      <c r="CM395" s="22" t="s">
        <v>143</v>
      </c>
      <c r="CN395" s="22" t="s">
        <v>143</v>
      </c>
      <c r="CO395" s="22" t="s">
        <v>143</v>
      </c>
      <c r="CP395" s="22" t="s">
        <v>143</v>
      </c>
      <c r="CQ395" s="22" t="s">
        <v>143</v>
      </c>
      <c r="CR395" s="22" t="s">
        <v>143</v>
      </c>
      <c r="CS395" s="22" t="s">
        <v>143</v>
      </c>
      <c r="CT395" s="22" t="s">
        <v>143</v>
      </c>
      <c r="CU395" s="21" t="s">
        <v>143</v>
      </c>
      <c r="CV395" s="21" t="s">
        <v>143</v>
      </c>
      <c r="CW395" s="21" t="s">
        <v>143</v>
      </c>
      <c r="CX395" s="21" t="s">
        <v>143</v>
      </c>
      <c r="CY395" s="21" t="s">
        <v>143</v>
      </c>
      <c r="CZ395" s="21" t="s">
        <v>143</v>
      </c>
      <c r="DA395" s="21" t="s">
        <v>143</v>
      </c>
      <c r="DB395" s="21" t="s">
        <v>143</v>
      </c>
      <c r="DC395" s="21" t="s">
        <v>143</v>
      </c>
      <c r="DD395" s="8" t="s">
        <v>143</v>
      </c>
      <c r="DE395" s="8" t="s">
        <v>143</v>
      </c>
      <c r="DF395" s="8" t="s">
        <v>143</v>
      </c>
      <c r="DG395" s="8">
        <v>0</v>
      </c>
      <c r="DH395" s="8">
        <v>0</v>
      </c>
      <c r="DI395" s="8">
        <v>0</v>
      </c>
      <c r="DJ395" s="8" t="s">
        <v>3032</v>
      </c>
      <c r="DK395" s="21">
        <v>43299</v>
      </c>
      <c r="DL395" s="21">
        <v>43235</v>
      </c>
      <c r="DM395" s="21">
        <v>45981</v>
      </c>
      <c r="DN395" s="18">
        <v>8730</v>
      </c>
      <c r="DO395" s="21">
        <v>0</v>
      </c>
      <c r="DP395" s="21">
        <v>0</v>
      </c>
      <c r="DQ395" s="21" t="s">
        <v>2955</v>
      </c>
      <c r="DR395" s="21">
        <v>45981</v>
      </c>
      <c r="DS395" s="21">
        <v>45981</v>
      </c>
      <c r="DT395" s="21">
        <v>45981</v>
      </c>
      <c r="DU395" s="21">
        <v>45981</v>
      </c>
      <c r="DV395" s="21">
        <v>45981</v>
      </c>
      <c r="DW395" s="21">
        <v>45981</v>
      </c>
      <c r="DX395" s="21">
        <v>45981</v>
      </c>
      <c r="DY395" s="21">
        <v>45981</v>
      </c>
      <c r="DZ395" s="21">
        <v>45981</v>
      </c>
      <c r="EA395" s="8">
        <v>1500</v>
      </c>
      <c r="EB395" s="8">
        <v>759</v>
      </c>
      <c r="EC395" s="8">
        <v>750</v>
      </c>
      <c r="ED395" s="8">
        <v>750</v>
      </c>
      <c r="EE395" s="8">
        <v>750</v>
      </c>
      <c r="EF395" s="8">
        <v>1500</v>
      </c>
      <c r="EG395" s="8">
        <v>1000</v>
      </c>
      <c r="EH395" s="8">
        <v>1500</v>
      </c>
      <c r="EI395" s="8">
        <v>1500</v>
      </c>
      <c r="EJ395" s="8">
        <v>5</v>
      </c>
      <c r="EK395" s="8" t="s">
        <v>715</v>
      </c>
      <c r="EL395" s="8">
        <v>132</v>
      </c>
      <c r="EM395" s="8">
        <v>396</v>
      </c>
      <c r="EN395" s="8">
        <v>1212</v>
      </c>
      <c r="EO395" s="8">
        <v>471</v>
      </c>
      <c r="EP395" s="8">
        <v>462</v>
      </c>
      <c r="EQ395" s="8">
        <v>462</v>
      </c>
      <c r="ER395" s="8">
        <v>462</v>
      </c>
      <c r="ES395" s="8">
        <v>1212</v>
      </c>
      <c r="ET395" s="8">
        <v>712</v>
      </c>
      <c r="EU395" s="8">
        <v>1212</v>
      </c>
      <c r="EV395" s="8">
        <v>1212</v>
      </c>
    </row>
    <row r="396" spans="1:152" x14ac:dyDescent="0.15">
      <c r="A396" s="8">
        <f>ROW([2]!tbl_DPSAC[[#This Row],[Sl. No.]])-1</f>
        <v>395</v>
      </c>
      <c r="B396" s="9" t="s">
        <v>136</v>
      </c>
      <c r="C396" s="9" t="s">
        <v>2170</v>
      </c>
      <c r="D396" s="9" t="s">
        <v>1491</v>
      </c>
      <c r="E396" s="9" t="s">
        <v>1492</v>
      </c>
      <c r="F396" s="9" t="s">
        <v>161</v>
      </c>
      <c r="G396" s="10" t="s">
        <v>670</v>
      </c>
      <c r="H396" s="10" t="str">
        <f>_xlfn.XLOOKUP(C396,'[1]E&amp;DPSAC'!$K:$K,'[1]E&amp;DPSAC'!$E:$E,,0)</f>
        <v>PHUSHRO</v>
      </c>
      <c r="I396" s="10"/>
      <c r="J396" s="10">
        <v>7091340232</v>
      </c>
      <c r="K396" s="10">
        <f>_xlfn.XLOOKUP(C396,'[1]E&amp;DPSAC'!$K:$K,'[1]E&amp;DPSAC'!$G:$G,"",0)</f>
        <v>7979946647</v>
      </c>
      <c r="L396" s="9" t="str">
        <f t="shared" ca="1" si="24"/>
        <v>Non - Warranty</v>
      </c>
      <c r="M396" s="11">
        <v>45082</v>
      </c>
      <c r="N396" s="12">
        <v>24</v>
      </c>
      <c r="O396" s="11">
        <f t="shared" si="23"/>
        <v>45838</v>
      </c>
      <c r="P396" s="8" t="s">
        <v>142</v>
      </c>
      <c r="Q396" s="16" t="s">
        <v>2171</v>
      </c>
      <c r="R396" s="15">
        <v>45824.4622453704</v>
      </c>
      <c r="S396" s="14">
        <v>3467</v>
      </c>
      <c r="T396" s="15">
        <v>45856</v>
      </c>
      <c r="U396" s="14">
        <v>3674</v>
      </c>
      <c r="V396" s="14">
        <v>4300</v>
      </c>
      <c r="W396" s="17">
        <v>45941.554166666669</v>
      </c>
      <c r="X396" s="14" t="s">
        <v>2878</v>
      </c>
      <c r="Y396" s="14">
        <v>-83</v>
      </c>
      <c r="Z396" s="14" t="s">
        <v>2697</v>
      </c>
      <c r="AA396" s="18">
        <v>288.53775462960039</v>
      </c>
      <c r="AB396" s="18" t="s">
        <v>2697</v>
      </c>
      <c r="AC396" s="8">
        <f>tbl_DPSAC[[#This Row],[Current Month Due Count]]</f>
        <v>0</v>
      </c>
      <c r="AD396" s="8">
        <f>tbl_DPSAC[[#This Row],[Next Month Due2]]</f>
        <v>0</v>
      </c>
      <c r="AE396" s="8"/>
      <c r="AF396" s="8">
        <v>8</v>
      </c>
      <c r="AG396" s="14">
        <f t="shared" ca="1" si="25"/>
        <v>5672</v>
      </c>
      <c r="AH396" s="8" t="s">
        <v>2114</v>
      </c>
      <c r="AI396" s="8">
        <v>0</v>
      </c>
      <c r="AJ396" s="8">
        <v>0</v>
      </c>
      <c r="AK396" s="8">
        <v>0</v>
      </c>
      <c r="AL396" s="8">
        <v>0</v>
      </c>
      <c r="AM396" s="8">
        <v>0</v>
      </c>
      <c r="AN396" s="8">
        <v>0</v>
      </c>
      <c r="AO396" s="8">
        <v>0</v>
      </c>
      <c r="AP396" s="8">
        <v>0</v>
      </c>
      <c r="AQ396" s="8">
        <v>0</v>
      </c>
      <c r="AR396" s="8">
        <v>0</v>
      </c>
      <c r="AS396" s="8">
        <v>0</v>
      </c>
      <c r="AT396" s="8">
        <v>0</v>
      </c>
      <c r="AU396" s="8">
        <v>0</v>
      </c>
      <c r="AV396" s="8">
        <v>0</v>
      </c>
      <c r="AW396" s="8">
        <v>0</v>
      </c>
      <c r="AX396" s="8" t="s">
        <v>2961</v>
      </c>
      <c r="AY396" s="14">
        <v>3467</v>
      </c>
      <c r="AZ396" s="19">
        <v>45826</v>
      </c>
      <c r="BA396" s="14" t="s">
        <v>2171</v>
      </c>
      <c r="BB396" s="14">
        <v>3467</v>
      </c>
      <c r="BC396" s="19">
        <v>45826</v>
      </c>
      <c r="BD396" s="14" t="s">
        <v>2171</v>
      </c>
      <c r="BE396" s="14">
        <v>3467</v>
      </c>
      <c r="BF396" s="19">
        <v>45826</v>
      </c>
      <c r="BG396" s="14" t="s">
        <v>2171</v>
      </c>
      <c r="BH396" s="14">
        <v>3467</v>
      </c>
      <c r="BI396" s="19">
        <v>45826</v>
      </c>
      <c r="BJ396" s="14" t="s">
        <v>2171</v>
      </c>
      <c r="BK396" s="14">
        <v>3467</v>
      </c>
      <c r="BL396" s="19">
        <v>45826</v>
      </c>
      <c r="BM396" s="14" t="s">
        <v>2171</v>
      </c>
      <c r="BN396" s="27">
        <v>46006</v>
      </c>
      <c r="BO396" s="27">
        <v>46006</v>
      </c>
      <c r="BP396" s="27">
        <v>46006</v>
      </c>
      <c r="BQ396" s="27">
        <v>46006</v>
      </c>
      <c r="BR396" s="27">
        <v>46006</v>
      </c>
      <c r="BS396" s="28">
        <v>-1455</v>
      </c>
      <c r="BT396" s="29">
        <v>-705</v>
      </c>
      <c r="BU396" s="29">
        <v>-1455</v>
      </c>
      <c r="BV396" s="29">
        <v>-1455</v>
      </c>
      <c r="BW396" s="29">
        <v>-705</v>
      </c>
      <c r="BX396" s="30"/>
      <c r="BY396" s="8">
        <v>5</v>
      </c>
      <c r="BZ396" s="8">
        <v>0</v>
      </c>
      <c r="CA396" s="8">
        <v>0</v>
      </c>
      <c r="CB396" s="21">
        <v>45824.770833333299</v>
      </c>
      <c r="CC396" s="21">
        <v>45824.770833333299</v>
      </c>
      <c r="CD396" s="21">
        <v>45824.770833333299</v>
      </c>
      <c r="CE396" s="21">
        <v>45824.770833333299</v>
      </c>
      <c r="CF396" s="21">
        <v>45750.770833333299</v>
      </c>
      <c r="CG396" s="21">
        <v>45824.770833333299</v>
      </c>
      <c r="CH396" s="21">
        <v>45750.770833333299</v>
      </c>
      <c r="CI396" s="21">
        <v>45824.770833333299</v>
      </c>
      <c r="CJ396" s="21">
        <v>45750.770833333299</v>
      </c>
      <c r="CK396" s="22" t="s">
        <v>3110</v>
      </c>
      <c r="CL396" s="22" t="s">
        <v>3110</v>
      </c>
      <c r="CM396" s="22" t="s">
        <v>3110</v>
      </c>
      <c r="CN396" s="22" t="s">
        <v>3110</v>
      </c>
      <c r="CO396" s="22" t="s">
        <v>3110</v>
      </c>
      <c r="CP396" s="22" t="s">
        <v>3045</v>
      </c>
      <c r="CQ396" s="22" t="s">
        <v>2953</v>
      </c>
      <c r="CR396" s="22" t="s">
        <v>3045</v>
      </c>
      <c r="CS396" s="22" t="s">
        <v>3045</v>
      </c>
      <c r="CT396" s="22">
        <v>4</v>
      </c>
      <c r="CU396" s="21">
        <v>45991</v>
      </c>
      <c r="CV396" s="21">
        <v>45991</v>
      </c>
      <c r="CW396" s="21">
        <v>45991</v>
      </c>
      <c r="CX396" s="21">
        <v>45991</v>
      </c>
      <c r="CY396" s="21">
        <v>45930</v>
      </c>
      <c r="CZ396" s="21">
        <v>46088</v>
      </c>
      <c r="DA396" s="21">
        <v>46115</v>
      </c>
      <c r="DB396" s="21">
        <v>46004</v>
      </c>
      <c r="DC396" s="21">
        <v>46088</v>
      </c>
      <c r="DD396" s="8">
        <v>1</v>
      </c>
      <c r="DE396" s="8">
        <v>0</v>
      </c>
      <c r="DF396" s="8">
        <v>1</v>
      </c>
      <c r="DG396" s="8">
        <v>8</v>
      </c>
      <c r="DH396" s="8">
        <v>1</v>
      </c>
      <c r="DI396" s="8">
        <v>0</v>
      </c>
      <c r="DJ396" s="8" t="s">
        <v>2954</v>
      </c>
      <c r="DK396" s="21">
        <v>45082</v>
      </c>
      <c r="DL396" s="21">
        <v>44796.229166666664</v>
      </c>
      <c r="DM396" s="21">
        <v>45941</v>
      </c>
      <c r="DN396" s="18">
        <v>4300</v>
      </c>
      <c r="DO396" s="21">
        <v>0</v>
      </c>
      <c r="DP396" s="21">
        <v>0</v>
      </c>
      <c r="DQ396" s="21" t="s">
        <v>2955</v>
      </c>
      <c r="DR396" s="21">
        <v>45825</v>
      </c>
      <c r="DS396" s="21">
        <v>45825</v>
      </c>
      <c r="DT396" s="21">
        <v>45825</v>
      </c>
      <c r="DU396" s="21">
        <v>45825</v>
      </c>
      <c r="DV396" s="21">
        <v>45751</v>
      </c>
      <c r="DW396" s="21">
        <v>45825</v>
      </c>
      <c r="DX396" s="21">
        <v>45751</v>
      </c>
      <c r="DY396" s="21">
        <v>45825</v>
      </c>
      <c r="DZ396" s="21">
        <v>45751</v>
      </c>
      <c r="EA396" s="8">
        <v>200</v>
      </c>
      <c r="EB396" s="8">
        <v>200</v>
      </c>
      <c r="EC396" s="8">
        <v>200</v>
      </c>
      <c r="ED396" s="8">
        <v>200</v>
      </c>
      <c r="EE396" s="8">
        <v>200</v>
      </c>
      <c r="EF396" s="8">
        <v>590</v>
      </c>
      <c r="EG396" s="8">
        <v>1000</v>
      </c>
      <c r="EH396" s="8">
        <v>590</v>
      </c>
      <c r="EI396" s="8">
        <v>590</v>
      </c>
      <c r="EJ396" s="8">
        <v>4</v>
      </c>
      <c r="EK396" s="8" t="s">
        <v>2624</v>
      </c>
      <c r="EL396" s="8">
        <v>171</v>
      </c>
      <c r="EM396" s="8">
        <v>1368</v>
      </c>
      <c r="EN396" s="8">
        <v>-88</v>
      </c>
      <c r="EO396" s="8">
        <v>-88</v>
      </c>
      <c r="EP396" s="8">
        <v>-88</v>
      </c>
      <c r="EQ396" s="8">
        <v>-88</v>
      </c>
      <c r="ER396" s="8">
        <v>-88</v>
      </c>
      <c r="ES396" s="8">
        <v>302</v>
      </c>
      <c r="ET396" s="8">
        <v>712</v>
      </c>
      <c r="EU396" s="8">
        <v>302</v>
      </c>
      <c r="EV396" s="8">
        <v>302</v>
      </c>
    </row>
    <row r="397" spans="1:152" x14ac:dyDescent="0.15">
      <c r="A397" s="8">
        <f>ROW([2]!tbl_DPSAC[[#This Row],[Sl. No.]])-1</f>
        <v>396</v>
      </c>
      <c r="B397" s="9" t="s">
        <v>196</v>
      </c>
      <c r="C397" s="9" t="s">
        <v>2172</v>
      </c>
      <c r="D397" s="9" t="s">
        <v>697</v>
      </c>
      <c r="E397" s="9" t="s">
        <v>176</v>
      </c>
      <c r="F397" s="9" t="s">
        <v>161</v>
      </c>
      <c r="G397" s="10" t="s">
        <v>2173</v>
      </c>
      <c r="H397" s="10" t="str">
        <f>_xlfn.XLOOKUP(C397,'[1]E&amp;DPSAC'!$K:$K,'[1]E&amp;DPSAC'!$E:$E,,0)</f>
        <v>LATEHAR</v>
      </c>
      <c r="I397" s="10"/>
      <c r="J397" s="10">
        <v>8340483119</v>
      </c>
      <c r="K397" s="10">
        <f>_xlfn.XLOOKUP(C397,'[1]E&amp;DPSAC'!$K:$K,'[1]E&amp;DPSAC'!$G:$G,"",0)</f>
        <v>9934700413</v>
      </c>
      <c r="L397" s="9" t="str">
        <f t="shared" ca="1" si="24"/>
        <v>Non - Warranty</v>
      </c>
      <c r="M397" s="11">
        <v>43517</v>
      </c>
      <c r="N397" s="12">
        <v>24</v>
      </c>
      <c r="O397" s="11">
        <f t="shared" si="23"/>
        <v>44255</v>
      </c>
      <c r="P397" s="8" t="s">
        <v>715</v>
      </c>
      <c r="Q397" s="16" t="s">
        <v>2174</v>
      </c>
      <c r="R397" s="15">
        <v>45147.509629629603</v>
      </c>
      <c r="S397" s="14">
        <v>6679</v>
      </c>
      <c r="T397" s="15">
        <v>45147</v>
      </c>
      <c r="U397" s="14">
        <v>6679</v>
      </c>
      <c r="V397" s="14">
        <v>10970</v>
      </c>
      <c r="W397" s="17">
        <v>45941.556250000001</v>
      </c>
      <c r="X397" s="14" t="s">
        <v>2879</v>
      </c>
      <c r="Y397" s="14">
        <v>-3541</v>
      </c>
      <c r="Z397" s="14" t="s">
        <v>2697</v>
      </c>
      <c r="AA397" s="18">
        <v>965.4903703703967</v>
      </c>
      <c r="AB397" s="18" t="s">
        <v>2697</v>
      </c>
      <c r="AC397" s="8">
        <f>tbl_DPSAC[[#This Row],[Current Month Due Count]]</f>
        <v>0</v>
      </c>
      <c r="AD397" s="8">
        <f>tbl_DPSAC[[#This Row],[Next Month Due2]]</f>
        <v>0</v>
      </c>
      <c r="AE397" s="8"/>
      <c r="AF397" s="8">
        <v>6</v>
      </c>
      <c r="AG397" s="14">
        <f t="shared" ca="1" si="25"/>
        <v>11999</v>
      </c>
      <c r="AH397" s="8" t="s">
        <v>2114</v>
      </c>
      <c r="AI397" s="8">
        <v>0</v>
      </c>
      <c r="AJ397" s="8">
        <v>0</v>
      </c>
      <c r="AK397" s="8">
        <v>0</v>
      </c>
      <c r="AL397" s="8">
        <v>0</v>
      </c>
      <c r="AM397" s="8">
        <v>0</v>
      </c>
      <c r="AN397" s="8">
        <v>0</v>
      </c>
      <c r="AO397" s="8">
        <v>0</v>
      </c>
      <c r="AP397" s="8">
        <v>0</v>
      </c>
      <c r="AQ397" s="8">
        <v>0</v>
      </c>
      <c r="AR397" s="8">
        <v>0</v>
      </c>
      <c r="AS397" s="8">
        <v>0</v>
      </c>
      <c r="AT397" s="8">
        <v>0</v>
      </c>
      <c r="AU397" s="8">
        <v>0</v>
      </c>
      <c r="AV397" s="8">
        <v>0</v>
      </c>
      <c r="AW397" s="8">
        <v>0</v>
      </c>
      <c r="AX397" s="8" t="s">
        <v>2961</v>
      </c>
      <c r="AY397" s="14">
        <v>6679</v>
      </c>
      <c r="AZ397" s="19">
        <v>45147</v>
      </c>
      <c r="BA397" s="14" t="s">
        <v>2174</v>
      </c>
      <c r="BB397" s="14">
        <v>6679</v>
      </c>
      <c r="BC397" s="19">
        <v>45147</v>
      </c>
      <c r="BD397" s="14" t="s">
        <v>2174</v>
      </c>
      <c r="BE397" s="14">
        <v>6679</v>
      </c>
      <c r="BF397" s="19">
        <v>45147</v>
      </c>
      <c r="BG397" s="14" t="s">
        <v>2174</v>
      </c>
      <c r="BH397" s="14">
        <v>6679</v>
      </c>
      <c r="BI397" s="19">
        <v>45147</v>
      </c>
      <c r="BJ397" s="14" t="s">
        <v>2174</v>
      </c>
      <c r="BK397" s="14">
        <v>6679</v>
      </c>
      <c r="BL397" s="19">
        <v>45147</v>
      </c>
      <c r="BM397" s="14" t="s">
        <v>2174</v>
      </c>
      <c r="BN397" s="27">
        <v>45327</v>
      </c>
      <c r="BO397" s="27">
        <v>45327</v>
      </c>
      <c r="BP397" s="27">
        <v>45327</v>
      </c>
      <c r="BQ397" s="27">
        <v>45327</v>
      </c>
      <c r="BR397" s="27">
        <v>45327</v>
      </c>
      <c r="BS397" s="28">
        <v>-4570</v>
      </c>
      <c r="BT397" s="29">
        <v>-3820</v>
      </c>
      <c r="BU397" s="29">
        <v>-4570</v>
      </c>
      <c r="BV397" s="29">
        <v>-4570</v>
      </c>
      <c r="BW397" s="29">
        <v>-3820</v>
      </c>
      <c r="BX397" s="30"/>
      <c r="BY397" s="8">
        <v>5</v>
      </c>
      <c r="BZ397" s="8">
        <v>0</v>
      </c>
      <c r="CA397" s="8">
        <v>0</v>
      </c>
      <c r="CB397" s="21" t="s">
        <v>143</v>
      </c>
      <c r="CC397" s="21" t="s">
        <v>143</v>
      </c>
      <c r="CD397" s="21" t="s">
        <v>143</v>
      </c>
      <c r="CE397" s="21" t="s">
        <v>143</v>
      </c>
      <c r="CF397" s="21" t="s">
        <v>143</v>
      </c>
      <c r="CG397" s="21" t="s">
        <v>143</v>
      </c>
      <c r="CH397" s="21" t="s">
        <v>143</v>
      </c>
      <c r="CI397" s="21" t="s">
        <v>143</v>
      </c>
      <c r="CJ397" s="21" t="s">
        <v>143</v>
      </c>
      <c r="CK397" s="22" t="s">
        <v>143</v>
      </c>
      <c r="CL397" s="22" t="s">
        <v>143</v>
      </c>
      <c r="CM397" s="22" t="s">
        <v>143</v>
      </c>
      <c r="CN397" s="22" t="s">
        <v>143</v>
      </c>
      <c r="CO397" s="22" t="s">
        <v>143</v>
      </c>
      <c r="CP397" s="22" t="s">
        <v>143</v>
      </c>
      <c r="CQ397" s="22" t="s">
        <v>143</v>
      </c>
      <c r="CR397" s="22" t="s">
        <v>143</v>
      </c>
      <c r="CS397" s="22" t="s">
        <v>143</v>
      </c>
      <c r="CT397" s="22" t="s">
        <v>143</v>
      </c>
      <c r="CU397" s="21" t="s">
        <v>143</v>
      </c>
      <c r="CV397" s="21" t="s">
        <v>143</v>
      </c>
      <c r="CW397" s="21" t="s">
        <v>143</v>
      </c>
      <c r="CX397" s="21" t="s">
        <v>143</v>
      </c>
      <c r="CY397" s="21" t="s">
        <v>143</v>
      </c>
      <c r="CZ397" s="21" t="s">
        <v>143</v>
      </c>
      <c r="DA397" s="21" t="s">
        <v>143</v>
      </c>
      <c r="DB397" s="21" t="s">
        <v>143</v>
      </c>
      <c r="DC397" s="21" t="s">
        <v>143</v>
      </c>
      <c r="DD397" s="8" t="s">
        <v>143</v>
      </c>
      <c r="DE397" s="8" t="s">
        <v>143</v>
      </c>
      <c r="DF397" s="8" t="s">
        <v>143</v>
      </c>
      <c r="DG397" s="8">
        <v>0</v>
      </c>
      <c r="DH397" s="8">
        <v>0</v>
      </c>
      <c r="DI397" s="8">
        <v>0</v>
      </c>
      <c r="DJ397" s="8" t="s">
        <v>3032</v>
      </c>
      <c r="DK397" s="21">
        <v>43517</v>
      </c>
      <c r="DL397" s="21">
        <v>43495.229166666664</v>
      </c>
      <c r="DM397" s="21">
        <v>45941</v>
      </c>
      <c r="DN397" s="18">
        <v>10970</v>
      </c>
      <c r="DO397" s="21">
        <v>0</v>
      </c>
      <c r="DP397" s="21">
        <v>0</v>
      </c>
      <c r="DQ397" s="21" t="s">
        <v>2955</v>
      </c>
      <c r="DR397" s="21">
        <v>45147</v>
      </c>
      <c r="DS397" s="21">
        <v>45147</v>
      </c>
      <c r="DT397" s="21">
        <v>45147</v>
      </c>
      <c r="DU397" s="21">
        <v>45147</v>
      </c>
      <c r="DV397" s="21">
        <v>45147</v>
      </c>
      <c r="DW397" s="21">
        <v>0</v>
      </c>
      <c r="DX397" s="21">
        <v>0</v>
      </c>
      <c r="DY397" s="21">
        <v>45147</v>
      </c>
      <c r="DZ397" s="21">
        <v>0</v>
      </c>
      <c r="EA397" s="8">
        <v>540</v>
      </c>
      <c r="EB397" s="8">
        <v>540</v>
      </c>
      <c r="EC397" s="8">
        <v>540</v>
      </c>
      <c r="ED397" s="8">
        <v>540</v>
      </c>
      <c r="EE397" s="8">
        <v>540</v>
      </c>
      <c r="EF397" s="8">
        <v>790</v>
      </c>
      <c r="EG397" s="8">
        <v>1000</v>
      </c>
      <c r="EH397" s="8">
        <v>790</v>
      </c>
      <c r="EI397" s="8">
        <v>790</v>
      </c>
      <c r="EJ397" s="8">
        <v>6</v>
      </c>
      <c r="EK397" s="8" t="s">
        <v>715</v>
      </c>
      <c r="EL397" s="8">
        <v>171</v>
      </c>
      <c r="EM397" s="8">
        <v>1026</v>
      </c>
      <c r="EN397" s="8">
        <v>252</v>
      </c>
      <c r="EO397" s="8">
        <v>252</v>
      </c>
      <c r="EP397" s="8">
        <v>252</v>
      </c>
      <c r="EQ397" s="8">
        <v>252</v>
      </c>
      <c r="ER397" s="8">
        <v>252</v>
      </c>
      <c r="ES397" s="8">
        <v>502</v>
      </c>
      <c r="ET397" s="8">
        <v>712</v>
      </c>
      <c r="EU397" s="8">
        <v>502</v>
      </c>
      <c r="EV397" s="8">
        <v>502</v>
      </c>
    </row>
    <row r="398" spans="1:152" x14ac:dyDescent="0.15">
      <c r="A398" s="8">
        <f>ROW([2]!tbl_DPSAC[[#This Row],[Sl. No.]])-1</f>
        <v>397</v>
      </c>
      <c r="B398" s="9" t="s">
        <v>196</v>
      </c>
      <c r="C398" s="9" t="s">
        <v>2175</v>
      </c>
      <c r="D398" s="9" t="s">
        <v>2176</v>
      </c>
      <c r="E398" s="9" t="s">
        <v>247</v>
      </c>
      <c r="F398" s="9" t="s">
        <v>161</v>
      </c>
      <c r="G398" s="10" t="s">
        <v>2177</v>
      </c>
      <c r="H398" s="10" t="str">
        <f>_xlfn.XLOOKUP(C398,'[1]E&amp;DPSAC'!$K:$K,'[1]E&amp;DPSAC'!$E:$E,,0)</f>
        <v>RAGAVPUR MORE, CITY CENTRE, PURULIA</v>
      </c>
      <c r="I398" s="10"/>
      <c r="J398" s="10">
        <v>9973775819</v>
      </c>
      <c r="K398" s="10">
        <f>_xlfn.XLOOKUP(C398,'[1]E&amp;DPSAC'!$K:$K,'[1]E&amp;DPSAC'!$G:$G,"",0)</f>
        <v>9973775819</v>
      </c>
      <c r="L398" s="9" t="str">
        <f t="shared" ca="1" si="24"/>
        <v>Non - Warranty</v>
      </c>
      <c r="M398" s="11">
        <v>41386</v>
      </c>
      <c r="N398" s="12">
        <v>24</v>
      </c>
      <c r="O398" s="11">
        <f t="shared" si="23"/>
        <v>42124</v>
      </c>
      <c r="P398" s="8" t="s">
        <v>715</v>
      </c>
      <c r="Q398" s="16" t="s">
        <v>2178</v>
      </c>
      <c r="R398" s="15">
        <v>45042.734120370398</v>
      </c>
      <c r="S398" s="14">
        <v>5055</v>
      </c>
      <c r="T398" s="15">
        <v>45288</v>
      </c>
      <c r="U398" s="14">
        <v>4613</v>
      </c>
      <c r="V398" s="14">
        <v>8350</v>
      </c>
      <c r="W398" s="17">
        <v>45941.559027777781</v>
      </c>
      <c r="X398" s="14" t="s">
        <v>2880</v>
      </c>
      <c r="Y398" s="14">
        <v>-2545</v>
      </c>
      <c r="Z398" s="14" t="s">
        <v>2697</v>
      </c>
      <c r="AA398" s="18">
        <v>1070.2658796296018</v>
      </c>
      <c r="AB398" s="18" t="s">
        <v>2697</v>
      </c>
      <c r="AC398" s="8">
        <f>tbl_DPSAC[[#This Row],[Current Month Due Count]]</f>
        <v>0</v>
      </c>
      <c r="AD398" s="8">
        <f>tbl_DPSAC[[#This Row],[Next Month Due2]]</f>
        <v>0</v>
      </c>
      <c r="AE398" s="8"/>
      <c r="AF398" s="8">
        <v>4</v>
      </c>
      <c r="AG398" s="14">
        <f t="shared" ca="1" si="25"/>
        <v>9036</v>
      </c>
      <c r="AH398" s="8" t="s">
        <v>2114</v>
      </c>
      <c r="AI398" s="8">
        <v>0</v>
      </c>
      <c r="AJ398" s="8">
        <v>0</v>
      </c>
      <c r="AK398" s="8">
        <v>0</v>
      </c>
      <c r="AL398" s="8">
        <v>0</v>
      </c>
      <c r="AM398" s="8">
        <v>0</v>
      </c>
      <c r="AN398" s="8">
        <v>0</v>
      </c>
      <c r="AO398" s="8">
        <v>0</v>
      </c>
      <c r="AP398" s="8">
        <v>0</v>
      </c>
      <c r="AQ398" s="8">
        <v>0</v>
      </c>
      <c r="AR398" s="8">
        <v>0</v>
      </c>
      <c r="AS398" s="8">
        <v>0</v>
      </c>
      <c r="AT398" s="8">
        <v>0</v>
      </c>
      <c r="AU398" s="8">
        <v>0</v>
      </c>
      <c r="AV398" s="8">
        <v>0</v>
      </c>
      <c r="AW398" s="8">
        <v>0</v>
      </c>
      <c r="AX398" s="8" t="s">
        <v>2961</v>
      </c>
      <c r="AY398" s="14">
        <v>5055</v>
      </c>
      <c r="AZ398" s="19">
        <v>45042</v>
      </c>
      <c r="BA398" s="14" t="s">
        <v>2178</v>
      </c>
      <c r="BB398" s="14">
        <v>5055</v>
      </c>
      <c r="BC398" s="19">
        <v>45042</v>
      </c>
      <c r="BD398" s="14" t="s">
        <v>2178</v>
      </c>
      <c r="BE398" s="14">
        <v>5055</v>
      </c>
      <c r="BF398" s="19">
        <v>45042</v>
      </c>
      <c r="BG398" s="14" t="s">
        <v>2178</v>
      </c>
      <c r="BH398" s="14">
        <v>5055</v>
      </c>
      <c r="BI398" s="19">
        <v>45042</v>
      </c>
      <c r="BJ398" s="14" t="s">
        <v>2178</v>
      </c>
      <c r="BK398" s="14">
        <v>5055</v>
      </c>
      <c r="BL398" s="19">
        <v>45042</v>
      </c>
      <c r="BM398" s="14" t="s">
        <v>2178</v>
      </c>
      <c r="BN398" s="27">
        <v>45222</v>
      </c>
      <c r="BO398" s="27">
        <v>45222</v>
      </c>
      <c r="BP398" s="27">
        <v>45222</v>
      </c>
      <c r="BQ398" s="27">
        <v>45222</v>
      </c>
      <c r="BR398" s="27">
        <v>45222</v>
      </c>
      <c r="BS398" s="28">
        <v>-3231</v>
      </c>
      <c r="BT398" s="29">
        <v>-2481</v>
      </c>
      <c r="BU398" s="29">
        <v>-3231</v>
      </c>
      <c r="BV398" s="29">
        <v>-3231</v>
      </c>
      <c r="BW398" s="29">
        <v>-2481</v>
      </c>
      <c r="BX398" s="30"/>
      <c r="BY398" s="8">
        <v>5</v>
      </c>
      <c r="BZ398" s="8">
        <v>0</v>
      </c>
      <c r="CA398" s="8">
        <v>0</v>
      </c>
      <c r="CB398" s="21" t="s">
        <v>143</v>
      </c>
      <c r="CC398" s="21" t="s">
        <v>143</v>
      </c>
      <c r="CD398" s="21" t="s">
        <v>143</v>
      </c>
      <c r="CE398" s="21" t="s">
        <v>143</v>
      </c>
      <c r="CF398" s="21" t="s">
        <v>143</v>
      </c>
      <c r="CG398" s="21" t="s">
        <v>143</v>
      </c>
      <c r="CH398" s="21" t="s">
        <v>143</v>
      </c>
      <c r="CI398" s="21" t="s">
        <v>143</v>
      </c>
      <c r="CJ398" s="21" t="s">
        <v>143</v>
      </c>
      <c r="CK398" s="22" t="s">
        <v>143</v>
      </c>
      <c r="CL398" s="22" t="s">
        <v>143</v>
      </c>
      <c r="CM398" s="22" t="s">
        <v>143</v>
      </c>
      <c r="CN398" s="22" t="s">
        <v>143</v>
      </c>
      <c r="CO398" s="22" t="s">
        <v>143</v>
      </c>
      <c r="CP398" s="22" t="s">
        <v>143</v>
      </c>
      <c r="CQ398" s="22" t="s">
        <v>143</v>
      </c>
      <c r="CR398" s="22" t="s">
        <v>143</v>
      </c>
      <c r="CS398" s="22" t="s">
        <v>143</v>
      </c>
      <c r="CT398" s="22" t="s">
        <v>143</v>
      </c>
      <c r="CU398" s="21" t="s">
        <v>143</v>
      </c>
      <c r="CV398" s="21" t="s">
        <v>143</v>
      </c>
      <c r="CW398" s="21" t="s">
        <v>143</v>
      </c>
      <c r="CX398" s="21" t="s">
        <v>143</v>
      </c>
      <c r="CY398" s="21" t="s">
        <v>143</v>
      </c>
      <c r="CZ398" s="21" t="s">
        <v>143</v>
      </c>
      <c r="DA398" s="21" t="s">
        <v>143</v>
      </c>
      <c r="DB398" s="21" t="s">
        <v>143</v>
      </c>
      <c r="DC398" s="21" t="s">
        <v>143</v>
      </c>
      <c r="DD398" s="8" t="s">
        <v>143</v>
      </c>
      <c r="DE398" s="8" t="s">
        <v>143</v>
      </c>
      <c r="DF398" s="8" t="s">
        <v>143</v>
      </c>
      <c r="DG398" s="8">
        <v>0</v>
      </c>
      <c r="DH398" s="8">
        <v>0</v>
      </c>
      <c r="DI398" s="8">
        <v>0</v>
      </c>
      <c r="DJ398" s="8" t="s">
        <v>3032</v>
      </c>
      <c r="DK398" s="21">
        <v>41386</v>
      </c>
      <c r="DL398" s="21">
        <v>41369</v>
      </c>
      <c r="DM398" s="21">
        <v>45941</v>
      </c>
      <c r="DN398" s="18">
        <v>8350</v>
      </c>
      <c r="DO398" s="21">
        <v>0</v>
      </c>
      <c r="DP398" s="21">
        <v>0</v>
      </c>
      <c r="DQ398" s="21" t="s">
        <v>2955</v>
      </c>
      <c r="DR398" s="21">
        <v>45042</v>
      </c>
      <c r="DS398" s="21">
        <v>45042</v>
      </c>
      <c r="DT398" s="21">
        <v>45042</v>
      </c>
      <c r="DU398" s="21">
        <v>45042</v>
      </c>
      <c r="DV398" s="21">
        <v>45042</v>
      </c>
      <c r="DW398" s="21">
        <v>45042</v>
      </c>
      <c r="DX398" s="21">
        <v>0</v>
      </c>
      <c r="DY398" s="21">
        <v>0</v>
      </c>
      <c r="DZ398" s="21">
        <v>0</v>
      </c>
      <c r="EA398" s="8">
        <v>550</v>
      </c>
      <c r="EB398" s="8">
        <v>550</v>
      </c>
      <c r="EC398" s="8">
        <v>550</v>
      </c>
      <c r="ED398" s="8">
        <v>550</v>
      </c>
      <c r="EE398" s="8">
        <v>550</v>
      </c>
      <c r="EF398" s="8">
        <v>800</v>
      </c>
      <c r="EG398" s="8">
        <v>1000</v>
      </c>
      <c r="EH398" s="8">
        <v>800</v>
      </c>
      <c r="EI398" s="8">
        <v>800</v>
      </c>
      <c r="EJ398" s="8">
        <v>4</v>
      </c>
      <c r="EK398" s="8" t="s">
        <v>715</v>
      </c>
      <c r="EL398" s="8">
        <v>171</v>
      </c>
      <c r="EM398" s="8">
        <v>684</v>
      </c>
      <c r="EN398" s="8">
        <v>262</v>
      </c>
      <c r="EO398" s="8">
        <v>262</v>
      </c>
      <c r="EP398" s="8">
        <v>262</v>
      </c>
      <c r="EQ398" s="8">
        <v>262</v>
      </c>
      <c r="ER398" s="8">
        <v>262</v>
      </c>
      <c r="ES398" s="8">
        <v>512</v>
      </c>
      <c r="ET398" s="8">
        <v>712</v>
      </c>
      <c r="EU398" s="8">
        <v>512</v>
      </c>
      <c r="EV398" s="8">
        <v>512</v>
      </c>
    </row>
    <row r="399" spans="1:152" x14ac:dyDescent="0.15">
      <c r="A399" s="8">
        <f>ROW([2]!tbl_DPSAC[[#This Row],[Sl. No.]])-1</f>
        <v>398</v>
      </c>
      <c r="B399" s="9" t="s">
        <v>136</v>
      </c>
      <c r="C399" s="9" t="s">
        <v>2179</v>
      </c>
      <c r="D399" s="9" t="s">
        <v>333</v>
      </c>
      <c r="E399" s="9" t="s">
        <v>333</v>
      </c>
      <c r="F399" s="9" t="s">
        <v>140</v>
      </c>
      <c r="G399" s="10" t="s">
        <v>522</v>
      </c>
      <c r="H399" s="10" t="str">
        <f>_xlfn.XLOOKUP(C399,'[1]E&amp;DPSAC'!$K:$K,'[1]E&amp;DPSAC'!$E:$E,,0)</f>
        <v>KATRAS, DHANBAD</v>
      </c>
      <c r="I399" s="10"/>
      <c r="J399" s="10">
        <v>9798360305</v>
      </c>
      <c r="K399" s="10">
        <f>IF(_xlfn.XLOOKUP(C399,'[1]E&amp;DPSAC'!$K:$K,'[1]E&amp;DPSAC'!$G:$G,"",0)=J399,"",_xlfn.XLOOKUP(C399,'[1]E&amp;DPSAC'!$K:$K,'[1]E&amp;DPSAC'!$G:$G,"",0))</f>
        <v>9155382795</v>
      </c>
      <c r="L399" s="9" t="str">
        <f t="shared" ca="1" si="24"/>
        <v>Warranty</v>
      </c>
      <c r="M399" s="11">
        <v>45450</v>
      </c>
      <c r="N399" s="12">
        <v>36</v>
      </c>
      <c r="O399" s="11">
        <f t="shared" si="23"/>
        <v>46568</v>
      </c>
      <c r="P399" s="8" t="s">
        <v>157</v>
      </c>
      <c r="Q399" s="16" t="s">
        <v>143</v>
      </c>
      <c r="R399" s="15" t="s">
        <v>143</v>
      </c>
      <c r="S399" s="14" t="s">
        <v>143</v>
      </c>
      <c r="T399" s="15">
        <v>45533</v>
      </c>
      <c r="U399" s="14">
        <v>443</v>
      </c>
      <c r="V399" s="14">
        <v>540</v>
      </c>
      <c r="W399" s="17">
        <v>45598.4983796296</v>
      </c>
      <c r="X399" s="14" t="s">
        <v>143</v>
      </c>
      <c r="Y399" s="14">
        <v>0</v>
      </c>
      <c r="Z399" s="14" t="s">
        <v>2692</v>
      </c>
      <c r="AA399" s="18">
        <v>663</v>
      </c>
      <c r="AB399" s="18" t="s">
        <v>2697</v>
      </c>
      <c r="AC399" s="8">
        <f>tbl_DPSAC[[#This Row],[Current Month Due Count]]</f>
        <v>0</v>
      </c>
      <c r="AD399" s="8">
        <f>tbl_DPSAC[[#This Row],[Next Month Due2]]</f>
        <v>0</v>
      </c>
      <c r="AE399" s="8"/>
      <c r="AF399" s="8">
        <v>4</v>
      </c>
      <c r="AG399" s="14">
        <f t="shared" ca="1" si="25"/>
        <v>2598</v>
      </c>
      <c r="AH399" s="8" t="s">
        <v>2114</v>
      </c>
      <c r="AI399" s="8">
        <v>0</v>
      </c>
      <c r="AJ399" s="8">
        <v>0</v>
      </c>
      <c r="AK399" s="8">
        <v>0</v>
      </c>
      <c r="AL399" s="8">
        <v>0</v>
      </c>
      <c r="AM399" s="8">
        <v>0</v>
      </c>
      <c r="AN399" s="8">
        <v>0</v>
      </c>
      <c r="AO399" s="8">
        <v>0</v>
      </c>
      <c r="AP399" s="8">
        <v>0</v>
      </c>
      <c r="AQ399" s="8">
        <v>0</v>
      </c>
      <c r="AR399" s="8">
        <v>0</v>
      </c>
      <c r="AS399" s="8">
        <v>0</v>
      </c>
      <c r="AT399" s="8">
        <v>0</v>
      </c>
      <c r="AU399" s="8">
        <v>0</v>
      </c>
      <c r="AV399" s="8">
        <v>0</v>
      </c>
      <c r="AW399" s="8">
        <v>0</v>
      </c>
      <c r="AX399" s="8" t="s">
        <v>2961</v>
      </c>
      <c r="AY399" s="14">
        <v>1</v>
      </c>
      <c r="AZ399" s="19">
        <v>45450</v>
      </c>
      <c r="BA399" s="14" t="s">
        <v>2180</v>
      </c>
      <c r="BB399" s="14">
        <v>1</v>
      </c>
      <c r="BC399" s="19">
        <v>45450</v>
      </c>
      <c r="BD399" s="14" t="s">
        <v>2180</v>
      </c>
      <c r="BE399" s="14">
        <v>1</v>
      </c>
      <c r="BF399" s="19">
        <v>45450</v>
      </c>
      <c r="BG399" s="14" t="s">
        <v>2180</v>
      </c>
      <c r="BH399" s="14">
        <v>1</v>
      </c>
      <c r="BI399" s="19">
        <v>45450</v>
      </c>
      <c r="BJ399" s="14" t="s">
        <v>2180</v>
      </c>
      <c r="BK399" s="14">
        <v>1</v>
      </c>
      <c r="BL399" s="19">
        <v>45450</v>
      </c>
      <c r="BM399" s="14" t="s">
        <v>2180</v>
      </c>
      <c r="BN399" s="27">
        <v>45630</v>
      </c>
      <c r="BO399" s="27">
        <v>45630</v>
      </c>
      <c r="BP399" s="27">
        <v>45630</v>
      </c>
      <c r="BQ399" s="27">
        <v>45630</v>
      </c>
      <c r="BR399" s="27">
        <v>45630</v>
      </c>
      <c r="BS399" s="28">
        <v>-1847</v>
      </c>
      <c r="BT399" s="29">
        <v>-1097</v>
      </c>
      <c r="BU399" s="29">
        <v>-1847</v>
      </c>
      <c r="BV399" s="29">
        <v>-1847</v>
      </c>
      <c r="BW399" s="29">
        <v>-1097</v>
      </c>
      <c r="BX399" s="30" t="s">
        <v>1350</v>
      </c>
      <c r="BY399" s="8">
        <v>5</v>
      </c>
      <c r="BZ399" s="8">
        <v>0</v>
      </c>
      <c r="CA399" s="8">
        <v>0</v>
      </c>
      <c r="CB399" s="21" t="s">
        <v>143</v>
      </c>
      <c r="CC399" s="21" t="s">
        <v>143</v>
      </c>
      <c r="CD399" s="21" t="s">
        <v>143</v>
      </c>
      <c r="CE399" s="21" t="s">
        <v>143</v>
      </c>
      <c r="CF399" s="21" t="s">
        <v>143</v>
      </c>
      <c r="CG399" s="21" t="s">
        <v>143</v>
      </c>
      <c r="CH399" s="21" t="s">
        <v>143</v>
      </c>
      <c r="CI399" s="21" t="s">
        <v>143</v>
      </c>
      <c r="CJ399" s="21" t="s">
        <v>143</v>
      </c>
      <c r="CK399" s="22" t="s">
        <v>143</v>
      </c>
      <c r="CL399" s="22" t="s">
        <v>143</v>
      </c>
      <c r="CM399" s="22" t="s">
        <v>143</v>
      </c>
      <c r="CN399" s="22" t="s">
        <v>143</v>
      </c>
      <c r="CO399" s="22" t="s">
        <v>143</v>
      </c>
      <c r="CP399" s="22" t="s">
        <v>143</v>
      </c>
      <c r="CQ399" s="22" t="s">
        <v>143</v>
      </c>
      <c r="CR399" s="22" t="s">
        <v>143</v>
      </c>
      <c r="CS399" s="22" t="s">
        <v>143</v>
      </c>
      <c r="CT399" s="22" t="s">
        <v>143</v>
      </c>
      <c r="CU399" s="21" t="s">
        <v>143</v>
      </c>
      <c r="CV399" s="21" t="s">
        <v>143</v>
      </c>
      <c r="CW399" s="21" t="s">
        <v>143</v>
      </c>
      <c r="CX399" s="21" t="s">
        <v>143</v>
      </c>
      <c r="CY399" s="21" t="s">
        <v>143</v>
      </c>
      <c r="CZ399" s="21" t="s">
        <v>143</v>
      </c>
      <c r="DA399" s="21" t="s">
        <v>143</v>
      </c>
      <c r="DB399" s="21" t="s">
        <v>143</v>
      </c>
      <c r="DC399" s="21" t="s">
        <v>143</v>
      </c>
      <c r="DD399" s="8" t="s">
        <v>143</v>
      </c>
      <c r="DE399" s="8" t="s">
        <v>143</v>
      </c>
      <c r="DF399" s="8" t="s">
        <v>143</v>
      </c>
      <c r="DG399" s="8">
        <v>0</v>
      </c>
      <c r="DH399" s="8">
        <v>0</v>
      </c>
      <c r="DI399" s="8">
        <v>0</v>
      </c>
      <c r="DJ399" s="8" t="s">
        <v>143</v>
      </c>
      <c r="DK399" s="21" t="s">
        <v>143</v>
      </c>
      <c r="DL399" s="21" t="s">
        <v>143</v>
      </c>
      <c r="DM399" s="21" t="s">
        <v>143</v>
      </c>
      <c r="DN399" s="18" t="s">
        <v>143</v>
      </c>
      <c r="DO399" s="21" t="s">
        <v>143</v>
      </c>
      <c r="DP399" s="21" t="s">
        <v>143</v>
      </c>
      <c r="DQ399" s="21" t="s">
        <v>143</v>
      </c>
      <c r="DR399" s="21" t="s">
        <v>143</v>
      </c>
      <c r="DS399" s="21" t="s">
        <v>143</v>
      </c>
      <c r="DT399" s="21" t="s">
        <v>143</v>
      </c>
      <c r="DU399" s="21" t="s">
        <v>143</v>
      </c>
      <c r="DV399" s="21" t="s">
        <v>143</v>
      </c>
      <c r="DW399" s="21" t="s">
        <v>143</v>
      </c>
      <c r="DX399" s="21" t="s">
        <v>143</v>
      </c>
      <c r="DY399" s="21" t="s">
        <v>143</v>
      </c>
      <c r="DZ399" s="21" t="s">
        <v>143</v>
      </c>
      <c r="EA399" s="8" t="s">
        <v>143</v>
      </c>
      <c r="EB399" s="8" t="s">
        <v>143</v>
      </c>
      <c r="EC399" s="8" t="s">
        <v>143</v>
      </c>
      <c r="ED399" s="8" t="s">
        <v>143</v>
      </c>
      <c r="EE399" s="8" t="s">
        <v>143</v>
      </c>
      <c r="EF399" s="8" t="s">
        <v>143</v>
      </c>
      <c r="EG399" s="8" t="s">
        <v>143</v>
      </c>
      <c r="EH399" s="8" t="s">
        <v>143</v>
      </c>
      <c r="EI399" s="8" t="s">
        <v>143</v>
      </c>
      <c r="EJ399" s="8" t="s">
        <v>143</v>
      </c>
      <c r="EK399" s="8" t="s">
        <v>157</v>
      </c>
      <c r="EL399" s="8">
        <v>515</v>
      </c>
      <c r="EM399" s="8">
        <v>2060</v>
      </c>
      <c r="EN399" s="8" t="s">
        <v>143</v>
      </c>
      <c r="EO399" s="8" t="s">
        <v>143</v>
      </c>
      <c r="EP399" s="8" t="s">
        <v>143</v>
      </c>
      <c r="EQ399" s="8" t="s">
        <v>143</v>
      </c>
      <c r="ER399" s="8" t="s">
        <v>143</v>
      </c>
      <c r="ES399" s="8" t="s">
        <v>143</v>
      </c>
      <c r="ET399" s="8" t="s">
        <v>143</v>
      </c>
      <c r="EU399" s="8" t="s">
        <v>143</v>
      </c>
      <c r="EV399" s="8" t="s">
        <v>143</v>
      </c>
    </row>
    <row r="400" spans="1:152" x14ac:dyDescent="0.15">
      <c r="A400" s="8">
        <f>ROW([2]!tbl_DPSAC[[#This Row],[Sl. No.]])-1</f>
        <v>399</v>
      </c>
      <c r="B400" s="9" t="s">
        <v>136</v>
      </c>
      <c r="C400" s="9" t="s">
        <v>2181</v>
      </c>
      <c r="D400" s="9" t="s">
        <v>2182</v>
      </c>
      <c r="E400" s="9" t="s">
        <v>1492</v>
      </c>
      <c r="F400" s="9" t="s">
        <v>161</v>
      </c>
      <c r="G400" s="10" t="s">
        <v>2183</v>
      </c>
      <c r="H400" s="10" t="str">
        <f>_xlfn.XLOOKUP(C400,'[1]E&amp;DPSAC'!$K:$K,'[1]E&amp;DPSAC'!$E:$E,,0)</f>
        <v>AMRAPALI, TANDWA</v>
      </c>
      <c r="I400" s="10"/>
      <c r="J400" s="10">
        <v>8555913918</v>
      </c>
      <c r="K400" s="10" t="str">
        <f>IF(_xlfn.XLOOKUP(C400,'[1]E&amp;DPSAC'!$K:$K,'[1]E&amp;DPSAC'!$G:$G,"",0)=J400,"",_xlfn.XLOOKUP(C400,'[1]E&amp;DPSAC'!$K:$K,'[1]E&amp;DPSAC'!$G:$G,"",0))</f>
        <v/>
      </c>
      <c r="L400" s="9" t="str">
        <f t="shared" ca="1" si="24"/>
        <v>Warranty</v>
      </c>
      <c r="M400" s="11">
        <v>45451</v>
      </c>
      <c r="N400" s="12">
        <v>24</v>
      </c>
      <c r="O400" s="11">
        <f t="shared" si="23"/>
        <v>46203</v>
      </c>
      <c r="P400" s="8" t="s">
        <v>213</v>
      </c>
      <c r="Q400" s="16" t="s">
        <v>2184</v>
      </c>
      <c r="R400" s="15">
        <v>46015.616145833301</v>
      </c>
      <c r="S400" s="14">
        <v>1773</v>
      </c>
      <c r="T400" s="15">
        <v>46015</v>
      </c>
      <c r="U400" s="14">
        <v>1773</v>
      </c>
      <c r="V400" s="14">
        <v>2100</v>
      </c>
      <c r="W400" s="17">
        <v>46099.556655092601</v>
      </c>
      <c r="X400" s="14" t="s">
        <v>2881</v>
      </c>
      <c r="Y400" s="14">
        <v>423</v>
      </c>
      <c r="Z400" s="14" t="s">
        <v>2692</v>
      </c>
      <c r="AA400" s="18">
        <v>97.383854166699166</v>
      </c>
      <c r="AB400" s="18" t="s">
        <v>2692</v>
      </c>
      <c r="AC400" s="8">
        <f>tbl_DPSAC[[#This Row],[Current Month Due Count]]</f>
        <v>0</v>
      </c>
      <c r="AD400" s="8">
        <f>tbl_DPSAC[[#This Row],[Next Month Due2]]</f>
        <v>0</v>
      </c>
      <c r="AE400" s="8"/>
      <c r="AF400" s="8">
        <v>4</v>
      </c>
      <c r="AG400" s="14">
        <f t="shared" ca="1" si="25"/>
        <v>2154</v>
      </c>
      <c r="AH400" s="8" t="s">
        <v>2114</v>
      </c>
      <c r="AI400" s="8">
        <v>0</v>
      </c>
      <c r="AJ400" s="8">
        <v>0</v>
      </c>
      <c r="AK400" s="8">
        <v>0</v>
      </c>
      <c r="AL400" s="8">
        <v>0</v>
      </c>
      <c r="AM400" s="8">
        <v>0</v>
      </c>
      <c r="AN400" s="8">
        <v>0</v>
      </c>
      <c r="AO400" s="8">
        <v>0</v>
      </c>
      <c r="AP400" s="8">
        <v>0</v>
      </c>
      <c r="AQ400" s="8">
        <v>0</v>
      </c>
      <c r="AR400" s="8">
        <v>0</v>
      </c>
      <c r="AS400" s="8">
        <v>0</v>
      </c>
      <c r="AT400" s="8">
        <v>0</v>
      </c>
      <c r="AU400" s="8">
        <v>0</v>
      </c>
      <c r="AV400" s="8">
        <v>0</v>
      </c>
      <c r="AW400" s="8">
        <v>0</v>
      </c>
      <c r="AX400" s="8" t="s">
        <v>2007</v>
      </c>
      <c r="AY400" s="14">
        <v>1773</v>
      </c>
      <c r="AZ400" s="19">
        <v>46015</v>
      </c>
      <c r="BA400" s="14" t="s">
        <v>2184</v>
      </c>
      <c r="BB400" s="14">
        <v>1773</v>
      </c>
      <c r="BC400" s="19">
        <v>46015</v>
      </c>
      <c r="BD400" s="14" t="s">
        <v>2184</v>
      </c>
      <c r="BE400" s="14">
        <v>1773</v>
      </c>
      <c r="BF400" s="19">
        <v>46015</v>
      </c>
      <c r="BG400" s="14" t="s">
        <v>2184</v>
      </c>
      <c r="BH400" s="14">
        <v>1773</v>
      </c>
      <c r="BI400" s="19">
        <v>46015</v>
      </c>
      <c r="BJ400" s="14" t="s">
        <v>2184</v>
      </c>
      <c r="BK400" s="14">
        <v>1773</v>
      </c>
      <c r="BL400" s="19">
        <v>46015</v>
      </c>
      <c r="BM400" s="14" t="s">
        <v>2184</v>
      </c>
      <c r="BN400" s="27">
        <v>46195</v>
      </c>
      <c r="BO400" s="27">
        <v>46195</v>
      </c>
      <c r="BP400" s="27">
        <v>46195</v>
      </c>
      <c r="BQ400" s="27">
        <v>46195</v>
      </c>
      <c r="BR400" s="27">
        <v>46195</v>
      </c>
      <c r="BS400" s="28">
        <v>369</v>
      </c>
      <c r="BT400" s="29">
        <v>1119</v>
      </c>
      <c r="BU400" s="29">
        <v>369</v>
      </c>
      <c r="BV400" s="29">
        <v>369</v>
      </c>
      <c r="BW400" s="29">
        <v>1119</v>
      </c>
      <c r="BX400" s="30"/>
      <c r="BY400" s="8">
        <v>0</v>
      </c>
      <c r="BZ400" s="8">
        <v>0</v>
      </c>
      <c r="CA400" s="8">
        <v>0</v>
      </c>
      <c r="CB400" s="21">
        <v>46014.770833333299</v>
      </c>
      <c r="CC400" s="21">
        <v>46014.770833333299</v>
      </c>
      <c r="CD400" s="21">
        <v>46014.770833333299</v>
      </c>
      <c r="CE400" s="21">
        <v>46014.770833333299</v>
      </c>
      <c r="CF400" s="21">
        <v>46014.770833333299</v>
      </c>
      <c r="CG400" s="21">
        <v>46014.770833333299</v>
      </c>
      <c r="CH400" s="21">
        <v>45450.770833333299</v>
      </c>
      <c r="CI400" s="21">
        <v>46014.770833333299</v>
      </c>
      <c r="CJ400" s="21">
        <v>46014.770833333299</v>
      </c>
      <c r="CK400" s="22" t="s">
        <v>3056</v>
      </c>
      <c r="CL400" s="22" t="s">
        <v>3062</v>
      </c>
      <c r="CM400" s="22" t="s">
        <v>3062</v>
      </c>
      <c r="CN400" s="22" t="s">
        <v>3062</v>
      </c>
      <c r="CO400" s="22" t="s">
        <v>3062</v>
      </c>
      <c r="CP400" s="22" t="s">
        <v>3056</v>
      </c>
      <c r="CQ400" s="22" t="s">
        <v>2953</v>
      </c>
      <c r="CR400" s="22" t="s">
        <v>3056</v>
      </c>
      <c r="CS400" s="22" t="s">
        <v>3056</v>
      </c>
      <c r="CT400" s="22">
        <v>2</v>
      </c>
      <c r="CU400" s="21">
        <v>46194</v>
      </c>
      <c r="CV400" s="21">
        <v>46194</v>
      </c>
      <c r="CW400" s="21">
        <v>46194</v>
      </c>
      <c r="CX400" s="21">
        <v>46194</v>
      </c>
      <c r="CY400" s="21">
        <v>46194</v>
      </c>
      <c r="CZ400" s="21">
        <v>46284</v>
      </c>
      <c r="DA400" s="21">
        <v>45815</v>
      </c>
      <c r="DB400" s="21">
        <v>46194</v>
      </c>
      <c r="DC400" s="21">
        <v>46379</v>
      </c>
      <c r="DD400" s="8">
        <v>1</v>
      </c>
      <c r="DE400" s="8">
        <v>0</v>
      </c>
      <c r="DF400" s="8">
        <v>0</v>
      </c>
      <c r="DG400" s="8">
        <v>1</v>
      </c>
      <c r="DH400" s="8">
        <v>0</v>
      </c>
      <c r="DI400" s="8">
        <v>0</v>
      </c>
      <c r="DJ400" s="8" t="s">
        <v>2976</v>
      </c>
      <c r="DK400" s="21">
        <v>45451</v>
      </c>
      <c r="DL400" s="21">
        <v>45394.229166666664</v>
      </c>
      <c r="DM400" s="21">
        <v>46099</v>
      </c>
      <c r="DN400" s="18">
        <v>2100</v>
      </c>
      <c r="DO400" s="21">
        <v>0</v>
      </c>
      <c r="DP400" s="21">
        <v>0</v>
      </c>
      <c r="DQ400" s="21" t="s">
        <v>2955</v>
      </c>
      <c r="DR400" s="21">
        <v>46015</v>
      </c>
      <c r="DS400" s="21">
        <v>46015</v>
      </c>
      <c r="DT400" s="21">
        <v>46015</v>
      </c>
      <c r="DU400" s="21">
        <v>46015</v>
      </c>
      <c r="DV400" s="21">
        <v>46015</v>
      </c>
      <c r="DW400" s="21">
        <v>46015</v>
      </c>
      <c r="DX400" s="21">
        <v>46015</v>
      </c>
      <c r="DY400" s="21">
        <v>46015</v>
      </c>
      <c r="DZ400" s="21">
        <v>46015</v>
      </c>
      <c r="EA400" s="8">
        <v>1170</v>
      </c>
      <c r="EB400" s="8">
        <v>425</v>
      </c>
      <c r="EC400" s="8">
        <v>425</v>
      </c>
      <c r="ED400" s="8">
        <v>425</v>
      </c>
      <c r="EE400" s="8">
        <v>425</v>
      </c>
      <c r="EF400" s="8">
        <v>1170</v>
      </c>
      <c r="EG400" s="8">
        <v>730</v>
      </c>
      <c r="EH400" s="8">
        <v>1170</v>
      </c>
      <c r="EI400" s="8">
        <v>1170</v>
      </c>
      <c r="EJ400" s="8">
        <v>4</v>
      </c>
      <c r="EK400" s="8" t="s">
        <v>2624</v>
      </c>
      <c r="EL400" s="8">
        <v>13</v>
      </c>
      <c r="EM400" s="8">
        <v>52</v>
      </c>
      <c r="EN400" s="8">
        <v>882</v>
      </c>
      <c r="EO400" s="8">
        <v>137</v>
      </c>
      <c r="EP400" s="8">
        <v>137</v>
      </c>
      <c r="EQ400" s="8">
        <v>137</v>
      </c>
      <c r="ER400" s="8">
        <v>137</v>
      </c>
      <c r="ES400" s="8">
        <v>882</v>
      </c>
      <c r="ET400" s="8">
        <v>442</v>
      </c>
      <c r="EU400" s="8">
        <v>882</v>
      </c>
      <c r="EV400" s="8">
        <v>882</v>
      </c>
    </row>
    <row r="401" spans="1:152" x14ac:dyDescent="0.15">
      <c r="A401" s="8">
        <f>ROW([2]!tbl_DPSAC[[#This Row],[Sl. No.]])-1</f>
        <v>400</v>
      </c>
      <c r="B401" s="9" t="s">
        <v>136</v>
      </c>
      <c r="C401" s="9" t="s">
        <v>2185</v>
      </c>
      <c r="D401" s="9" t="s">
        <v>175</v>
      </c>
      <c r="E401" s="9" t="s">
        <v>176</v>
      </c>
      <c r="F401" s="9" t="s">
        <v>161</v>
      </c>
      <c r="G401" s="10" t="s">
        <v>2186</v>
      </c>
      <c r="H401" s="10" t="str">
        <f>_xlfn.XLOOKUP(C401,'[1]E&amp;DPSAC'!$K:$K,'[1]E&amp;DPSAC'!$E:$E,,0)</f>
        <v>CHATRO, JAMUA</v>
      </c>
      <c r="I401" s="10"/>
      <c r="J401" s="10">
        <v>9431373731</v>
      </c>
      <c r="K401" s="10">
        <f>IF(_xlfn.XLOOKUP(C401,'[1]E&amp;DPSAC'!$K:$K,'[1]E&amp;DPSAC'!$G:$G,"",0)=J401,"",_xlfn.XLOOKUP(C401,'[1]E&amp;DPSAC'!$K:$K,'[1]E&amp;DPSAC'!$G:$G,"",0))</f>
        <v>7903781073</v>
      </c>
      <c r="L401" s="9" t="str">
        <f t="shared" ca="1" si="24"/>
        <v>Warranty</v>
      </c>
      <c r="M401" s="11">
        <v>45463</v>
      </c>
      <c r="N401" s="12">
        <v>24</v>
      </c>
      <c r="O401" s="11">
        <f t="shared" si="23"/>
        <v>46203</v>
      </c>
      <c r="P401" s="8" t="s">
        <v>213</v>
      </c>
      <c r="Q401" s="16" t="s">
        <v>143</v>
      </c>
      <c r="R401" s="15" t="s">
        <v>143</v>
      </c>
      <c r="S401" s="14" t="s">
        <v>143</v>
      </c>
      <c r="T401" s="15">
        <v>45797</v>
      </c>
      <c r="U401" s="14">
        <v>184</v>
      </c>
      <c r="V401" s="14">
        <v>710</v>
      </c>
      <c r="W401" s="17">
        <v>46099.560578703698</v>
      </c>
      <c r="X401" s="14" t="s">
        <v>143</v>
      </c>
      <c r="Y401" s="14">
        <v>0</v>
      </c>
      <c r="Z401" s="14" t="s">
        <v>2692</v>
      </c>
      <c r="AA401" s="18">
        <v>650</v>
      </c>
      <c r="AB401" s="18" t="s">
        <v>2697</v>
      </c>
      <c r="AC401" s="8">
        <f>tbl_DPSAC[[#This Row],[Current Month Due Count]]</f>
        <v>0</v>
      </c>
      <c r="AD401" s="8">
        <f>tbl_DPSAC[[#This Row],[Next Month Due2]]</f>
        <v>0</v>
      </c>
      <c r="AE401" s="8"/>
      <c r="AF401" s="8">
        <v>0</v>
      </c>
      <c r="AG401" s="14">
        <f t="shared" ca="1" si="25"/>
        <v>710</v>
      </c>
      <c r="AH401" s="8" t="s">
        <v>2114</v>
      </c>
      <c r="AI401" s="8">
        <v>0</v>
      </c>
      <c r="AJ401" s="8">
        <v>0</v>
      </c>
      <c r="AK401" s="8">
        <v>0</v>
      </c>
      <c r="AL401" s="8">
        <v>0</v>
      </c>
      <c r="AM401" s="8">
        <v>0</v>
      </c>
      <c r="AN401" s="8">
        <v>0</v>
      </c>
      <c r="AO401" s="8">
        <v>0</v>
      </c>
      <c r="AP401" s="8">
        <v>0</v>
      </c>
      <c r="AQ401" s="8">
        <v>0</v>
      </c>
      <c r="AR401" s="8">
        <v>0</v>
      </c>
      <c r="AS401" s="8">
        <v>0</v>
      </c>
      <c r="AT401" s="8">
        <v>0</v>
      </c>
      <c r="AU401" s="8">
        <v>0</v>
      </c>
      <c r="AV401" s="8">
        <v>0</v>
      </c>
      <c r="AW401" s="8">
        <v>0</v>
      </c>
      <c r="AX401" s="8" t="s">
        <v>2007</v>
      </c>
      <c r="AY401" s="14">
        <v>1</v>
      </c>
      <c r="AZ401" s="19">
        <v>45463</v>
      </c>
      <c r="BA401" s="14" t="s">
        <v>2187</v>
      </c>
      <c r="BB401" s="14">
        <v>1</v>
      </c>
      <c r="BC401" s="19">
        <v>45463</v>
      </c>
      <c r="BD401" s="14" t="s">
        <v>2187</v>
      </c>
      <c r="BE401" s="14">
        <v>1</v>
      </c>
      <c r="BF401" s="19">
        <v>45463</v>
      </c>
      <c r="BG401" s="14" t="s">
        <v>2187</v>
      </c>
      <c r="BH401" s="14">
        <v>1</v>
      </c>
      <c r="BI401" s="19">
        <v>45463</v>
      </c>
      <c r="BJ401" s="14" t="s">
        <v>2187</v>
      </c>
      <c r="BK401" s="14">
        <v>1</v>
      </c>
      <c r="BL401" s="19">
        <v>45463</v>
      </c>
      <c r="BM401" s="14" t="s">
        <v>2187</v>
      </c>
      <c r="BN401" s="27">
        <v>45643</v>
      </c>
      <c r="BO401" s="27">
        <v>45643</v>
      </c>
      <c r="BP401" s="27">
        <v>45643</v>
      </c>
      <c r="BQ401" s="27">
        <v>45643</v>
      </c>
      <c r="BR401" s="27">
        <v>45643</v>
      </c>
      <c r="BS401" s="28">
        <v>41</v>
      </c>
      <c r="BT401" s="29">
        <v>791</v>
      </c>
      <c r="BU401" s="29">
        <v>41</v>
      </c>
      <c r="BV401" s="29">
        <v>41</v>
      </c>
      <c r="BW401" s="29">
        <v>791</v>
      </c>
      <c r="BX401" s="30"/>
      <c r="BY401" s="8">
        <v>5</v>
      </c>
      <c r="BZ401" s="8">
        <v>0</v>
      </c>
      <c r="CA401" s="8">
        <v>0</v>
      </c>
      <c r="CB401" s="21">
        <v>45462.770833333299</v>
      </c>
      <c r="CC401" s="21">
        <v>45462.770833333299</v>
      </c>
      <c r="CD401" s="21">
        <v>45462.770833333299</v>
      </c>
      <c r="CE401" s="21">
        <v>45462.770833333299</v>
      </c>
      <c r="CF401" s="21">
        <v>45462.770833333299</v>
      </c>
      <c r="CG401" s="21">
        <v>45462.770833333299</v>
      </c>
      <c r="CH401" s="21">
        <v>45462.770833333299</v>
      </c>
      <c r="CI401" s="21">
        <v>45462.770833333299</v>
      </c>
      <c r="CJ401" s="21">
        <v>45462.770833333299</v>
      </c>
      <c r="CK401" s="22" t="s">
        <v>3061</v>
      </c>
      <c r="CL401" s="22" t="s">
        <v>3061</v>
      </c>
      <c r="CM401" s="22" t="s">
        <v>3061</v>
      </c>
      <c r="CN401" s="22" t="s">
        <v>3061</v>
      </c>
      <c r="CO401" s="22" t="s">
        <v>3061</v>
      </c>
      <c r="CP401" s="22" t="s">
        <v>3160</v>
      </c>
      <c r="CQ401" s="22" t="s">
        <v>2953</v>
      </c>
      <c r="CR401" s="22" t="s">
        <v>3160</v>
      </c>
      <c r="CS401" s="22" t="s">
        <v>3071</v>
      </c>
      <c r="CT401" s="22">
        <v>2</v>
      </c>
      <c r="CU401" s="21">
        <v>45642</v>
      </c>
      <c r="CV401" s="21">
        <v>45642</v>
      </c>
      <c r="CW401" s="21">
        <v>45642</v>
      </c>
      <c r="CX401" s="21">
        <v>45642</v>
      </c>
      <c r="CY401" s="21">
        <v>45642</v>
      </c>
      <c r="CZ401" s="21">
        <v>45732</v>
      </c>
      <c r="DA401" s="21">
        <v>45827</v>
      </c>
      <c r="DB401" s="21">
        <v>45642</v>
      </c>
      <c r="DC401" s="21">
        <v>45827</v>
      </c>
      <c r="DD401" s="8">
        <v>1</v>
      </c>
      <c r="DE401" s="8">
        <v>0</v>
      </c>
      <c r="DF401" s="8">
        <v>0</v>
      </c>
      <c r="DG401" s="8">
        <v>9</v>
      </c>
      <c r="DH401" s="8">
        <v>0</v>
      </c>
      <c r="DI401" s="8">
        <v>0</v>
      </c>
      <c r="DJ401" s="8" t="s">
        <v>2976</v>
      </c>
      <c r="DK401" s="21">
        <v>45463</v>
      </c>
      <c r="DL401" s="21">
        <v>45457.229166666664</v>
      </c>
      <c r="DM401" s="21">
        <v>46099</v>
      </c>
      <c r="DN401" s="18">
        <v>710</v>
      </c>
      <c r="DO401" s="21">
        <v>0</v>
      </c>
      <c r="DP401" s="21">
        <v>0</v>
      </c>
      <c r="DQ401" s="21" t="s">
        <v>3049</v>
      </c>
      <c r="DR401" s="21">
        <v>45463</v>
      </c>
      <c r="DS401" s="21">
        <v>45463</v>
      </c>
      <c r="DT401" s="21">
        <v>45828</v>
      </c>
      <c r="DU401" s="21">
        <v>45463</v>
      </c>
      <c r="DV401" s="21">
        <v>45463</v>
      </c>
      <c r="DW401" s="21">
        <v>45463</v>
      </c>
      <c r="DX401" s="21">
        <v>45463</v>
      </c>
      <c r="DY401" s="21">
        <v>45463</v>
      </c>
      <c r="DZ401" s="21">
        <v>45463</v>
      </c>
      <c r="EA401" s="8">
        <v>40</v>
      </c>
      <c r="EB401" s="8">
        <v>40</v>
      </c>
      <c r="EC401" s="8">
        <v>40</v>
      </c>
      <c r="ED401" s="8">
        <v>40</v>
      </c>
      <c r="EE401" s="8">
        <v>40</v>
      </c>
      <c r="EF401" s="8">
        <v>1040</v>
      </c>
      <c r="EG401" s="8">
        <v>1000</v>
      </c>
      <c r="EH401" s="8">
        <v>1040</v>
      </c>
      <c r="EI401" s="8">
        <v>1040</v>
      </c>
      <c r="EJ401" s="8">
        <v>0</v>
      </c>
      <c r="EK401" s="8" t="s">
        <v>2624</v>
      </c>
      <c r="EL401" s="8">
        <v>13</v>
      </c>
      <c r="EM401" s="8">
        <v>0</v>
      </c>
      <c r="EN401" s="8">
        <v>-248</v>
      </c>
      <c r="EO401" s="8">
        <v>-248</v>
      </c>
      <c r="EP401" s="8">
        <v>-248</v>
      </c>
      <c r="EQ401" s="8">
        <v>-248</v>
      </c>
      <c r="ER401" s="8">
        <v>-248</v>
      </c>
      <c r="ES401" s="8">
        <v>752</v>
      </c>
      <c r="ET401" s="8">
        <v>712</v>
      </c>
      <c r="EU401" s="8">
        <v>752</v>
      </c>
      <c r="EV401" s="8">
        <v>752</v>
      </c>
    </row>
    <row r="402" spans="1:152" x14ac:dyDescent="0.15">
      <c r="A402" s="8">
        <f>ROW([2]!tbl_DPSAC[[#This Row],[Sl. No.]])-1</f>
        <v>401</v>
      </c>
      <c r="B402" s="9" t="s">
        <v>136</v>
      </c>
      <c r="C402" s="9" t="s">
        <v>2188</v>
      </c>
      <c r="D402" s="9" t="s">
        <v>2189</v>
      </c>
      <c r="E402" s="9" t="s">
        <v>2189</v>
      </c>
      <c r="F402" s="9" t="s">
        <v>140</v>
      </c>
      <c r="G402" s="10" t="s">
        <v>2190</v>
      </c>
      <c r="H402" s="10" t="str">
        <f>_xlfn.XLOOKUP(C402,'[1]E&amp;DPSAC'!$K:$K,'[1]E&amp;DPSAC'!$E:$E,,0)</f>
        <v>BARWADA, DHANBAD</v>
      </c>
      <c r="I402" s="10"/>
      <c r="J402" s="10">
        <v>7010688817</v>
      </c>
      <c r="K402" s="10">
        <f>IF(_xlfn.XLOOKUP(C402,'[1]E&amp;DPSAC'!$K:$K,'[1]E&amp;DPSAC'!$G:$G,"",0)=J402,"",_xlfn.XLOOKUP(C402,'[1]E&amp;DPSAC'!$K:$K,'[1]E&amp;DPSAC'!$G:$G,"",0))</f>
        <v>9123424186</v>
      </c>
      <c r="L402" s="9" t="str">
        <f t="shared" ca="1" si="24"/>
        <v>Warranty</v>
      </c>
      <c r="M402" s="11">
        <v>45472</v>
      </c>
      <c r="N402" s="12">
        <v>36</v>
      </c>
      <c r="O402" s="11">
        <f t="shared" si="23"/>
        <v>46568</v>
      </c>
      <c r="P402" s="8" t="s">
        <v>213</v>
      </c>
      <c r="Q402" s="16" t="s">
        <v>2191</v>
      </c>
      <c r="R402" s="15">
        <v>45813.48541666667</v>
      </c>
      <c r="S402" s="14">
        <v>1272</v>
      </c>
      <c r="T402" s="15">
        <v>46058</v>
      </c>
      <c r="U402" s="14">
        <v>1580</v>
      </c>
      <c r="V402" s="14">
        <v>1652</v>
      </c>
      <c r="W402" s="17">
        <v>46099.564768518503</v>
      </c>
      <c r="X402" s="14" t="s">
        <v>2882</v>
      </c>
      <c r="Y402" s="14">
        <v>370</v>
      </c>
      <c r="Z402" s="14" t="s">
        <v>2692</v>
      </c>
      <c r="AA402" s="18">
        <v>299.51458333332994</v>
      </c>
      <c r="AB402" s="18" t="s">
        <v>2697</v>
      </c>
      <c r="AC402" s="8">
        <f>tbl_DPSAC[[#This Row],[Current Month Due Count]]</f>
        <v>0</v>
      </c>
      <c r="AD402" s="8">
        <f>tbl_DPSAC[[#This Row],[Next Month Due2]]</f>
        <v>0</v>
      </c>
      <c r="AE402" s="8"/>
      <c r="AF402" s="8">
        <v>2</v>
      </c>
      <c r="AG402" s="14">
        <f t="shared" ca="1" si="25"/>
        <v>1679</v>
      </c>
      <c r="AH402" s="8" t="s">
        <v>2114</v>
      </c>
      <c r="AI402" s="8">
        <v>0</v>
      </c>
      <c r="AJ402" s="8">
        <v>0</v>
      </c>
      <c r="AK402" s="8">
        <v>0</v>
      </c>
      <c r="AL402" s="8">
        <v>0</v>
      </c>
      <c r="AM402" s="8">
        <v>0</v>
      </c>
      <c r="AN402" s="8">
        <v>0</v>
      </c>
      <c r="AO402" s="8">
        <v>0</v>
      </c>
      <c r="AP402" s="8">
        <v>0</v>
      </c>
      <c r="AQ402" s="8">
        <v>0</v>
      </c>
      <c r="AR402" s="8">
        <v>0</v>
      </c>
      <c r="AS402" s="8">
        <v>0</v>
      </c>
      <c r="AT402" s="8">
        <v>0</v>
      </c>
      <c r="AU402" s="8">
        <v>0</v>
      </c>
      <c r="AV402" s="8">
        <v>0</v>
      </c>
      <c r="AW402" s="8">
        <v>0</v>
      </c>
      <c r="AX402" s="8" t="s">
        <v>3033</v>
      </c>
      <c r="AY402" s="14">
        <v>1272</v>
      </c>
      <c r="AZ402" s="19">
        <v>45813</v>
      </c>
      <c r="BA402" s="14" t="s">
        <v>2191</v>
      </c>
      <c r="BB402" s="14">
        <v>1</v>
      </c>
      <c r="BC402" s="19">
        <v>45472</v>
      </c>
      <c r="BD402" s="14" t="s">
        <v>2192</v>
      </c>
      <c r="BE402" s="14">
        <v>1272</v>
      </c>
      <c r="BF402" s="19">
        <v>45813</v>
      </c>
      <c r="BG402" s="14" t="s">
        <v>2191</v>
      </c>
      <c r="BH402" s="14">
        <v>1272</v>
      </c>
      <c r="BI402" s="19">
        <v>45813</v>
      </c>
      <c r="BJ402" s="14" t="s">
        <v>2191</v>
      </c>
      <c r="BK402" s="14">
        <v>1</v>
      </c>
      <c r="BL402" s="19">
        <v>45472</v>
      </c>
      <c r="BM402" s="14" t="s">
        <v>2192</v>
      </c>
      <c r="BN402" s="27">
        <v>45993</v>
      </c>
      <c r="BO402" s="27">
        <v>45652</v>
      </c>
      <c r="BP402" s="27">
        <v>45993</v>
      </c>
      <c r="BQ402" s="27">
        <v>45993</v>
      </c>
      <c r="BR402" s="27">
        <v>45652</v>
      </c>
      <c r="BS402" s="28">
        <v>343</v>
      </c>
      <c r="BT402" s="29">
        <v>-178</v>
      </c>
      <c r="BU402" s="29">
        <v>343</v>
      </c>
      <c r="BV402" s="29">
        <v>343</v>
      </c>
      <c r="BW402" s="29">
        <v>-178</v>
      </c>
      <c r="BX402" s="30"/>
      <c r="BY402" s="8">
        <v>5</v>
      </c>
      <c r="BZ402" s="8">
        <v>0</v>
      </c>
      <c r="CA402" s="8">
        <v>0</v>
      </c>
      <c r="CB402" s="21">
        <v>45812.770833333299</v>
      </c>
      <c r="CC402" s="21">
        <v>45812.770833333299</v>
      </c>
      <c r="CD402" s="21">
        <v>45683.770833333299</v>
      </c>
      <c r="CE402" s="21">
        <v>45812.770833333299</v>
      </c>
      <c r="CF402" s="21">
        <v>45812.770833333299</v>
      </c>
      <c r="CG402" s="21">
        <v>45812.770833333299</v>
      </c>
      <c r="CH402" s="21">
        <v>45471.770833333299</v>
      </c>
      <c r="CI402" s="21">
        <v>45471.770833333299</v>
      </c>
      <c r="CJ402" s="21">
        <v>45471.770833333299</v>
      </c>
      <c r="CK402" s="22" t="s">
        <v>3141</v>
      </c>
      <c r="CL402" s="22" t="s">
        <v>3141</v>
      </c>
      <c r="CM402" s="22" t="s">
        <v>3141</v>
      </c>
      <c r="CN402" s="22" t="s">
        <v>3141</v>
      </c>
      <c r="CO402" s="22" t="s">
        <v>3141</v>
      </c>
      <c r="CP402" s="22" t="s">
        <v>3187</v>
      </c>
      <c r="CQ402" s="22" t="s">
        <v>2953</v>
      </c>
      <c r="CR402" s="22" t="s">
        <v>3141</v>
      </c>
      <c r="CS402" s="22" t="s">
        <v>3187</v>
      </c>
      <c r="CT402" s="22">
        <v>2</v>
      </c>
      <c r="CU402" s="21">
        <v>45992</v>
      </c>
      <c r="CV402" s="21">
        <v>45992</v>
      </c>
      <c r="CW402" s="21">
        <v>45863</v>
      </c>
      <c r="CX402" s="21">
        <v>45992</v>
      </c>
      <c r="CY402" s="21">
        <v>45992</v>
      </c>
      <c r="CZ402" s="21">
        <v>46082</v>
      </c>
      <c r="DA402" s="21">
        <v>45836</v>
      </c>
      <c r="DB402" s="21">
        <v>45651</v>
      </c>
      <c r="DC402" s="21">
        <v>45836</v>
      </c>
      <c r="DD402" s="8">
        <v>1</v>
      </c>
      <c r="DE402" s="8">
        <v>0</v>
      </c>
      <c r="DF402" s="8">
        <v>1</v>
      </c>
      <c r="DG402" s="8">
        <v>9</v>
      </c>
      <c r="DH402" s="8">
        <v>0</v>
      </c>
      <c r="DI402" s="8">
        <v>0</v>
      </c>
      <c r="DJ402" s="8" t="s">
        <v>2976</v>
      </c>
      <c r="DK402" s="21">
        <v>45472</v>
      </c>
      <c r="DL402" s="21">
        <v>45406.229166666664</v>
      </c>
      <c r="DM402" s="21">
        <v>46099</v>
      </c>
      <c r="DN402" s="18">
        <v>1652</v>
      </c>
      <c r="DO402" s="21">
        <v>0</v>
      </c>
      <c r="DP402" s="21">
        <v>0</v>
      </c>
      <c r="DQ402" s="21" t="s">
        <v>2955</v>
      </c>
      <c r="DR402" s="21">
        <v>45813</v>
      </c>
      <c r="DS402" s="21">
        <v>45813</v>
      </c>
      <c r="DT402" s="21">
        <v>45813</v>
      </c>
      <c r="DU402" s="21">
        <v>45813</v>
      </c>
      <c r="DV402" s="21">
        <v>45813</v>
      </c>
      <c r="DW402" s="21">
        <v>45813</v>
      </c>
      <c r="DX402" s="21">
        <v>45472</v>
      </c>
      <c r="DY402" s="21">
        <v>45813</v>
      </c>
      <c r="DZ402" s="21">
        <v>45472</v>
      </c>
      <c r="EA402" s="8">
        <v>413</v>
      </c>
      <c r="EB402" s="8">
        <v>413</v>
      </c>
      <c r="EC402" s="8">
        <v>413</v>
      </c>
      <c r="ED402" s="8">
        <v>413</v>
      </c>
      <c r="EE402" s="8">
        <v>413</v>
      </c>
      <c r="EF402" s="8">
        <v>1163</v>
      </c>
      <c r="EG402" s="8">
        <v>933</v>
      </c>
      <c r="EH402" s="8">
        <v>413</v>
      </c>
      <c r="EI402" s="8">
        <v>1163</v>
      </c>
      <c r="EJ402" s="8">
        <v>4</v>
      </c>
      <c r="EK402" s="8" t="s">
        <v>2624</v>
      </c>
      <c r="EL402" s="8">
        <v>13</v>
      </c>
      <c r="EM402" s="8">
        <v>26</v>
      </c>
      <c r="EN402" s="8">
        <v>125</v>
      </c>
      <c r="EO402" s="8">
        <v>125</v>
      </c>
      <c r="EP402" s="8">
        <v>125</v>
      </c>
      <c r="EQ402" s="8">
        <v>125</v>
      </c>
      <c r="ER402" s="8">
        <v>125</v>
      </c>
      <c r="ES402" s="8">
        <v>875</v>
      </c>
      <c r="ET402" s="8">
        <v>645</v>
      </c>
      <c r="EU402" s="8">
        <v>125</v>
      </c>
      <c r="EV402" s="8">
        <v>875</v>
      </c>
    </row>
    <row r="403" spans="1:152" x14ac:dyDescent="0.15">
      <c r="A403" s="8">
        <f>ROW([2]!tbl_DPSAC[[#This Row],[Sl. No.]])-1</f>
        <v>402</v>
      </c>
      <c r="B403" s="9" t="s">
        <v>136</v>
      </c>
      <c r="C403" s="9" t="s">
        <v>2193</v>
      </c>
      <c r="D403" s="9" t="s">
        <v>1491</v>
      </c>
      <c r="E403" s="9" t="s">
        <v>1492</v>
      </c>
      <c r="F403" s="9" t="s">
        <v>161</v>
      </c>
      <c r="G403" s="10" t="s">
        <v>2194</v>
      </c>
      <c r="H403" s="10" t="str">
        <f>_xlfn.XLOOKUP(C403,'[1]E&amp;DPSAC'!$K:$K,'[1]E&amp;DPSAC'!$E:$E,,0)</f>
        <v>PATRATU</v>
      </c>
      <c r="I403" s="10"/>
      <c r="J403" s="10">
        <v>6204702966</v>
      </c>
      <c r="K403" s="10">
        <f>IF(_xlfn.XLOOKUP(C403,'[1]E&amp;DPSAC'!$K:$K,'[1]E&amp;DPSAC'!$G:$G,"",0)=J403,"",_xlfn.XLOOKUP(C403,'[1]E&amp;DPSAC'!$K:$K,'[1]E&amp;DPSAC'!$G:$G,"",0))</f>
        <v>9095444151</v>
      </c>
      <c r="L403" s="9" t="str">
        <f t="shared" ca="1" si="24"/>
        <v>Warranty</v>
      </c>
      <c r="M403" s="11">
        <v>45481</v>
      </c>
      <c r="N403" s="12">
        <v>24</v>
      </c>
      <c r="O403" s="11">
        <f t="shared" si="23"/>
        <v>46234</v>
      </c>
      <c r="P403" s="8" t="s">
        <v>213</v>
      </c>
      <c r="Q403" s="16" t="s">
        <v>2668</v>
      </c>
      <c r="R403" s="15">
        <v>46083.470509259299</v>
      </c>
      <c r="S403" s="14">
        <v>2000</v>
      </c>
      <c r="T403" s="15">
        <v>45924</v>
      </c>
      <c r="U403" s="14">
        <v>1660</v>
      </c>
      <c r="V403" s="14">
        <v>2058</v>
      </c>
      <c r="W403" s="17">
        <v>46099.569618055597</v>
      </c>
      <c r="X403" s="14" t="s">
        <v>2883</v>
      </c>
      <c r="Y403" s="14">
        <v>692</v>
      </c>
      <c r="Z403" s="14" t="s">
        <v>2692</v>
      </c>
      <c r="AA403" s="18">
        <v>29.529490740700567</v>
      </c>
      <c r="AB403" s="18" t="s">
        <v>2692</v>
      </c>
      <c r="AC403" s="8">
        <f>tbl_DPSAC[[#This Row],[Current Month Due Count]]</f>
        <v>0</v>
      </c>
      <c r="AD403" s="8">
        <f>tbl_DPSAC[[#This Row],[Next Month Due2]]</f>
        <v>0</v>
      </c>
      <c r="AE403" s="8"/>
      <c r="AF403" s="8">
        <v>4</v>
      </c>
      <c r="AG403" s="14">
        <f t="shared" ca="1" si="25"/>
        <v>2112</v>
      </c>
      <c r="AH403" s="8" t="s">
        <v>2195</v>
      </c>
      <c r="AI403" s="8" t="s">
        <v>2196</v>
      </c>
      <c r="AJ403" s="8">
        <v>0</v>
      </c>
      <c r="AK403" s="8">
        <v>0</v>
      </c>
      <c r="AL403" s="8">
        <v>0</v>
      </c>
      <c r="AM403" s="8">
        <v>0</v>
      </c>
      <c r="AN403" s="8">
        <v>0</v>
      </c>
      <c r="AO403" s="8">
        <v>0</v>
      </c>
      <c r="AP403" s="8">
        <v>0</v>
      </c>
      <c r="AQ403" s="8">
        <v>0</v>
      </c>
      <c r="AR403" s="8">
        <v>0</v>
      </c>
      <c r="AS403" s="8">
        <v>0</v>
      </c>
      <c r="AT403" s="8">
        <v>0</v>
      </c>
      <c r="AU403" s="8">
        <v>0</v>
      </c>
      <c r="AV403" s="8">
        <v>0</v>
      </c>
      <c r="AW403" s="8">
        <v>0</v>
      </c>
      <c r="AX403" s="8" t="s">
        <v>3033</v>
      </c>
      <c r="AY403" s="14">
        <v>2000</v>
      </c>
      <c r="AZ403" s="19">
        <v>46083</v>
      </c>
      <c r="BA403" s="14" t="s">
        <v>2668</v>
      </c>
      <c r="BB403" s="14">
        <v>1</v>
      </c>
      <c r="BC403" s="19">
        <v>45481</v>
      </c>
      <c r="BD403" s="14" t="s">
        <v>2197</v>
      </c>
      <c r="BE403" s="14">
        <v>2000</v>
      </c>
      <c r="BF403" s="19">
        <v>46083</v>
      </c>
      <c r="BG403" s="14" t="s">
        <v>2668</v>
      </c>
      <c r="BH403" s="14">
        <v>2000</v>
      </c>
      <c r="BI403" s="19">
        <v>46083</v>
      </c>
      <c r="BJ403" s="14" t="s">
        <v>2668</v>
      </c>
      <c r="BK403" s="14">
        <v>1</v>
      </c>
      <c r="BL403" s="19">
        <v>45481</v>
      </c>
      <c r="BM403" s="14" t="s">
        <v>2197</v>
      </c>
      <c r="BN403" s="27">
        <v>46263</v>
      </c>
      <c r="BO403" s="27">
        <v>45661</v>
      </c>
      <c r="BP403" s="27">
        <v>46263</v>
      </c>
      <c r="BQ403" s="27">
        <v>46263</v>
      </c>
      <c r="BR403" s="27">
        <v>45661</v>
      </c>
      <c r="BS403" s="28">
        <v>638</v>
      </c>
      <c r="BT403" s="29">
        <v>-611</v>
      </c>
      <c r="BU403" s="29">
        <v>638</v>
      </c>
      <c r="BV403" s="29">
        <v>638</v>
      </c>
      <c r="BW403" s="29">
        <v>-611</v>
      </c>
      <c r="BX403" s="30" t="s">
        <v>2198</v>
      </c>
      <c r="BY403" s="8">
        <v>2</v>
      </c>
      <c r="BZ403" s="8">
        <v>0</v>
      </c>
      <c r="CA403" s="8">
        <v>0</v>
      </c>
      <c r="CB403" s="21">
        <v>45764.770833333299</v>
      </c>
      <c r="CC403" s="21">
        <v>45764.770833333299</v>
      </c>
      <c r="CD403" s="21">
        <v>45764.770833333299</v>
      </c>
      <c r="CE403" s="21">
        <v>45764.770833333299</v>
      </c>
      <c r="CF403" s="21">
        <v>45764.770833333299</v>
      </c>
      <c r="CG403" s="21">
        <v>45480.770833333299</v>
      </c>
      <c r="CH403" s="21">
        <v>45764.770833333299</v>
      </c>
      <c r="CI403" s="21">
        <v>45480.770833333299</v>
      </c>
      <c r="CJ403" s="21">
        <v>45480.770833333299</v>
      </c>
      <c r="CK403" s="22" t="s">
        <v>3083</v>
      </c>
      <c r="CL403" s="22" t="s">
        <v>3061</v>
      </c>
      <c r="CM403" s="22" t="s">
        <v>3061</v>
      </c>
      <c r="CN403" s="22" t="s">
        <v>3061</v>
      </c>
      <c r="CO403" s="22" t="s">
        <v>3061</v>
      </c>
      <c r="CP403" s="22" t="s">
        <v>3061</v>
      </c>
      <c r="CQ403" s="22" t="s">
        <v>3061</v>
      </c>
      <c r="CR403" s="22" t="s">
        <v>3061</v>
      </c>
      <c r="CS403" s="22" t="s">
        <v>3061</v>
      </c>
      <c r="CT403" s="22">
        <v>3</v>
      </c>
      <c r="CU403" s="21">
        <v>45944</v>
      </c>
      <c r="CV403" s="21">
        <v>45944</v>
      </c>
      <c r="CW403" s="21">
        <v>45944</v>
      </c>
      <c r="CX403" s="21">
        <v>45944</v>
      </c>
      <c r="CY403" s="21">
        <v>45944</v>
      </c>
      <c r="CZ403" s="21">
        <v>45750</v>
      </c>
      <c r="DA403" s="21">
        <v>46079</v>
      </c>
      <c r="DB403" s="21">
        <v>45660</v>
      </c>
      <c r="DC403" s="21">
        <v>45845</v>
      </c>
      <c r="DD403" s="8">
        <v>1</v>
      </c>
      <c r="DE403" s="8">
        <v>1</v>
      </c>
      <c r="DF403" s="8">
        <v>0</v>
      </c>
      <c r="DG403" s="8">
        <v>9</v>
      </c>
      <c r="DH403" s="8">
        <v>0</v>
      </c>
      <c r="DI403" s="8">
        <v>0</v>
      </c>
      <c r="DJ403" s="8" t="s">
        <v>2976</v>
      </c>
      <c r="DK403" s="21">
        <v>45481</v>
      </c>
      <c r="DL403" s="21">
        <v>45408.229166666664</v>
      </c>
      <c r="DM403" s="21">
        <v>46099</v>
      </c>
      <c r="DN403" s="18">
        <v>2058</v>
      </c>
      <c r="DO403" s="21">
        <v>0</v>
      </c>
      <c r="DP403" s="21">
        <v>0</v>
      </c>
      <c r="DQ403" s="21" t="s">
        <v>2955</v>
      </c>
      <c r="DR403" s="21">
        <v>46083</v>
      </c>
      <c r="DS403" s="21">
        <v>46083</v>
      </c>
      <c r="DT403" s="21">
        <v>46083</v>
      </c>
      <c r="DU403" s="21">
        <v>46083</v>
      </c>
      <c r="DV403" s="21">
        <v>46083</v>
      </c>
      <c r="DW403" s="21">
        <v>46083</v>
      </c>
      <c r="DX403" s="21">
        <v>46083</v>
      </c>
      <c r="DY403" s="21">
        <v>46083</v>
      </c>
      <c r="DZ403" s="21">
        <v>46083</v>
      </c>
      <c r="EA403" s="8">
        <v>1442</v>
      </c>
      <c r="EB403" s="8">
        <v>692</v>
      </c>
      <c r="EC403" s="8">
        <v>442</v>
      </c>
      <c r="ED403" s="8">
        <v>692</v>
      </c>
      <c r="EE403" s="8">
        <v>692</v>
      </c>
      <c r="EF403" s="8">
        <v>1442</v>
      </c>
      <c r="EG403" s="8">
        <v>942</v>
      </c>
      <c r="EH403" s="8">
        <v>1442</v>
      </c>
      <c r="EI403" s="8">
        <v>2942</v>
      </c>
      <c r="EJ403" s="8">
        <v>4</v>
      </c>
      <c r="EK403" s="8" t="s">
        <v>2624</v>
      </c>
      <c r="EL403" s="8">
        <v>13</v>
      </c>
      <c r="EM403" s="8">
        <v>52</v>
      </c>
      <c r="EN403" s="8">
        <v>1154</v>
      </c>
      <c r="EO403" s="8">
        <v>404</v>
      </c>
      <c r="EP403" s="8">
        <v>154</v>
      </c>
      <c r="EQ403" s="8">
        <v>404</v>
      </c>
      <c r="ER403" s="8">
        <v>404</v>
      </c>
      <c r="ES403" s="8">
        <v>1154</v>
      </c>
      <c r="ET403" s="8">
        <v>654</v>
      </c>
      <c r="EU403" s="8">
        <v>1154</v>
      </c>
      <c r="EV403" s="8">
        <v>2654</v>
      </c>
    </row>
    <row r="404" spans="1:152" x14ac:dyDescent="0.15">
      <c r="A404" s="8">
        <f>ROW([2]!tbl_DPSAC[[#This Row],[Sl. No.]])-1</f>
        <v>403</v>
      </c>
      <c r="B404" s="9" t="s">
        <v>136</v>
      </c>
      <c r="C404" s="9" t="s">
        <v>2199</v>
      </c>
      <c r="D404" s="9" t="s">
        <v>460</v>
      </c>
      <c r="E404" s="9" t="s">
        <v>170</v>
      </c>
      <c r="F404" s="9" t="s">
        <v>161</v>
      </c>
      <c r="G404" s="10" t="s">
        <v>2200</v>
      </c>
      <c r="H404" s="10" t="str">
        <f>_xlfn.XLOOKUP(C404,'[1]E&amp;DPSAC'!$K:$K,'[1]E&amp;DPSAC'!$E:$E,,0)</f>
        <v>BARABAZAR</v>
      </c>
      <c r="I404" s="10"/>
      <c r="J404" s="10">
        <v>9431300470</v>
      </c>
      <c r="K404" s="10">
        <f>IF(_xlfn.XLOOKUP(C404,'[1]E&amp;DPSAC'!$K:$K,'[1]E&amp;DPSAC'!$G:$G,"",0)=J404,"",_xlfn.XLOOKUP(C404,'[1]E&amp;DPSAC'!$K:$K,'[1]E&amp;DPSAC'!$G:$G,"",0))</f>
        <v>9438348720</v>
      </c>
      <c r="L404" s="9" t="str">
        <f t="shared" ca="1" si="24"/>
        <v>Warranty</v>
      </c>
      <c r="M404" s="11">
        <v>45483</v>
      </c>
      <c r="N404" s="12">
        <v>24</v>
      </c>
      <c r="O404" s="11">
        <f t="shared" si="23"/>
        <v>46234</v>
      </c>
      <c r="P404" s="8" t="s">
        <v>157</v>
      </c>
      <c r="Q404" s="16" t="s">
        <v>143</v>
      </c>
      <c r="R404" s="15" t="s">
        <v>143</v>
      </c>
      <c r="S404" s="14" t="s">
        <v>143</v>
      </c>
      <c r="T404" s="15">
        <v>46029</v>
      </c>
      <c r="U404" s="14">
        <v>531</v>
      </c>
      <c r="V404" s="14">
        <v>465</v>
      </c>
      <c r="W404" s="17">
        <v>45687.675914351901</v>
      </c>
      <c r="X404" s="14" t="s">
        <v>143</v>
      </c>
      <c r="Y404" s="14">
        <v>0</v>
      </c>
      <c r="Z404" s="14" t="s">
        <v>2692</v>
      </c>
      <c r="AA404" s="18">
        <v>630</v>
      </c>
      <c r="AB404" s="18" t="s">
        <v>2697</v>
      </c>
      <c r="AC404" s="8">
        <f>tbl_DPSAC[[#This Row],[Current Month Due Count]]</f>
        <v>0</v>
      </c>
      <c r="AD404" s="8">
        <f>tbl_DPSAC[[#This Row],[Next Month Due2]]</f>
        <v>0</v>
      </c>
      <c r="AE404" s="8"/>
      <c r="AF404" s="8">
        <v>0</v>
      </c>
      <c r="AG404" s="14">
        <f t="shared" ca="1" si="25"/>
        <v>465</v>
      </c>
      <c r="AH404" s="8" t="s">
        <v>2114</v>
      </c>
      <c r="AI404" s="8">
        <v>0</v>
      </c>
      <c r="AJ404" s="8">
        <v>0</v>
      </c>
      <c r="AK404" s="8">
        <v>0</v>
      </c>
      <c r="AL404" s="8">
        <v>0</v>
      </c>
      <c r="AM404" s="8">
        <v>0</v>
      </c>
      <c r="AN404" s="8">
        <v>0</v>
      </c>
      <c r="AO404" s="8">
        <v>0</v>
      </c>
      <c r="AP404" s="8">
        <v>0</v>
      </c>
      <c r="AQ404" s="8">
        <v>0</v>
      </c>
      <c r="AR404" s="8">
        <v>0</v>
      </c>
      <c r="AS404" s="8">
        <v>0</v>
      </c>
      <c r="AT404" s="8">
        <v>0</v>
      </c>
      <c r="AU404" s="8">
        <v>0</v>
      </c>
      <c r="AV404" s="8">
        <v>0</v>
      </c>
      <c r="AW404" s="8">
        <v>0</v>
      </c>
      <c r="AX404" s="8" t="s">
        <v>2007</v>
      </c>
      <c r="AY404" s="14">
        <v>1</v>
      </c>
      <c r="AZ404" s="19">
        <v>45483</v>
      </c>
      <c r="BA404" s="14" t="s">
        <v>2201</v>
      </c>
      <c r="BB404" s="14">
        <v>1</v>
      </c>
      <c r="BC404" s="19">
        <v>45483</v>
      </c>
      <c r="BD404" s="14" t="s">
        <v>2201</v>
      </c>
      <c r="BE404" s="14">
        <v>1</v>
      </c>
      <c r="BF404" s="19">
        <v>45483</v>
      </c>
      <c r="BG404" s="14" t="s">
        <v>2201</v>
      </c>
      <c r="BH404" s="14">
        <v>1</v>
      </c>
      <c r="BI404" s="19">
        <v>45483</v>
      </c>
      <c r="BJ404" s="14" t="s">
        <v>2201</v>
      </c>
      <c r="BK404" s="14">
        <v>1</v>
      </c>
      <c r="BL404" s="19">
        <v>45483</v>
      </c>
      <c r="BM404" s="14" t="s">
        <v>2201</v>
      </c>
      <c r="BN404" s="27">
        <v>45663</v>
      </c>
      <c r="BO404" s="27">
        <v>45663</v>
      </c>
      <c r="BP404" s="27">
        <v>45663</v>
      </c>
      <c r="BQ404" s="27">
        <v>45663</v>
      </c>
      <c r="BR404" s="27">
        <v>45663</v>
      </c>
      <c r="BS404" s="28">
        <v>286</v>
      </c>
      <c r="BT404" s="29">
        <v>1036</v>
      </c>
      <c r="BU404" s="29">
        <v>286</v>
      </c>
      <c r="BV404" s="29">
        <v>286</v>
      </c>
      <c r="BW404" s="29">
        <v>1036</v>
      </c>
      <c r="BX404" s="30" t="s">
        <v>255</v>
      </c>
      <c r="BY404" s="8">
        <v>5</v>
      </c>
      <c r="BZ404" s="8">
        <v>0</v>
      </c>
      <c r="CA404" s="8">
        <v>0</v>
      </c>
      <c r="CB404" s="21">
        <v>0</v>
      </c>
      <c r="CC404" s="21">
        <v>45482.770833333299</v>
      </c>
      <c r="CD404" s="21">
        <v>0</v>
      </c>
      <c r="CE404" s="21">
        <v>45482.770833333299</v>
      </c>
      <c r="CF404" s="21">
        <v>45482.770833333299</v>
      </c>
      <c r="CG404" s="21">
        <v>45482.770833333299</v>
      </c>
      <c r="CH404" s="21">
        <v>45475.770833333299</v>
      </c>
      <c r="CI404" s="21">
        <v>45482.770833333299</v>
      </c>
      <c r="CJ404" s="21">
        <v>45482.770833333299</v>
      </c>
      <c r="CK404" s="22" t="s">
        <v>2959</v>
      </c>
      <c r="CL404" s="22" t="s">
        <v>2959</v>
      </c>
      <c r="CM404" s="22" t="s">
        <v>3188</v>
      </c>
      <c r="CN404" s="22" t="s">
        <v>2959</v>
      </c>
      <c r="CO404" s="22" t="s">
        <v>2959</v>
      </c>
      <c r="CP404" s="22" t="s">
        <v>2956</v>
      </c>
      <c r="CQ404" s="22" t="s">
        <v>2953</v>
      </c>
      <c r="CR404" s="22" t="s">
        <v>2956</v>
      </c>
      <c r="CS404" s="22" t="s">
        <v>2960</v>
      </c>
      <c r="CT404" s="22">
        <v>8</v>
      </c>
      <c r="CU404" s="21">
        <v>46091</v>
      </c>
      <c r="CV404" s="21">
        <v>45662</v>
      </c>
      <c r="CW404" s="21">
        <v>46033</v>
      </c>
      <c r="CX404" s="21">
        <v>45662</v>
      </c>
      <c r="CY404" s="21">
        <v>45662</v>
      </c>
      <c r="CZ404" s="21">
        <v>45752</v>
      </c>
      <c r="DA404" s="21">
        <v>45840</v>
      </c>
      <c r="DB404" s="21">
        <v>45662</v>
      </c>
      <c r="DC404" s="21">
        <v>45847</v>
      </c>
      <c r="DD404" s="8">
        <v>1</v>
      </c>
      <c r="DE404" s="8">
        <v>0</v>
      </c>
      <c r="DF404" s="8">
        <v>1</v>
      </c>
      <c r="DG404" s="8">
        <v>9</v>
      </c>
      <c r="DH404" s="8">
        <v>0</v>
      </c>
      <c r="DI404" s="8">
        <v>0</v>
      </c>
      <c r="DJ404" s="8" t="s">
        <v>2976</v>
      </c>
      <c r="DK404" s="21">
        <v>45483</v>
      </c>
      <c r="DL404" s="21">
        <v>45331.229166666664</v>
      </c>
      <c r="DM404" s="21">
        <v>46029</v>
      </c>
      <c r="DN404" s="18">
        <v>466</v>
      </c>
      <c r="DO404" s="21">
        <v>0</v>
      </c>
      <c r="DP404" s="21">
        <v>0</v>
      </c>
      <c r="DQ404" s="21" t="s">
        <v>2955</v>
      </c>
      <c r="DR404" s="21">
        <v>0</v>
      </c>
      <c r="DS404" s="21">
        <v>45483</v>
      </c>
      <c r="DT404" s="21">
        <v>0</v>
      </c>
      <c r="DU404" s="21">
        <v>45483</v>
      </c>
      <c r="DV404" s="21">
        <v>45483</v>
      </c>
      <c r="DW404" s="21">
        <v>45483</v>
      </c>
      <c r="DX404" s="21">
        <v>45476</v>
      </c>
      <c r="DY404" s="21">
        <v>45483</v>
      </c>
      <c r="DZ404" s="21">
        <v>45483</v>
      </c>
      <c r="EA404" s="8">
        <v>500</v>
      </c>
      <c r="EB404" s="8">
        <v>500</v>
      </c>
      <c r="EC404" s="8">
        <v>35</v>
      </c>
      <c r="ED404" s="8">
        <v>500</v>
      </c>
      <c r="EE404" s="8">
        <v>500</v>
      </c>
      <c r="EF404" s="8">
        <v>1500</v>
      </c>
      <c r="EG404" s="8">
        <v>1000</v>
      </c>
      <c r="EH404" s="8">
        <v>1500</v>
      </c>
      <c r="EI404" s="8">
        <v>3000</v>
      </c>
      <c r="EJ404" s="8">
        <v>8</v>
      </c>
      <c r="EK404" s="8" t="s">
        <v>157</v>
      </c>
      <c r="EL404" s="8">
        <v>425</v>
      </c>
      <c r="EM404" s="8">
        <v>0</v>
      </c>
      <c r="EN404" s="8">
        <v>212</v>
      </c>
      <c r="EO404" s="8">
        <v>212</v>
      </c>
      <c r="EP404" s="8">
        <v>-253</v>
      </c>
      <c r="EQ404" s="8">
        <v>212</v>
      </c>
      <c r="ER404" s="8">
        <v>212</v>
      </c>
      <c r="ES404" s="8">
        <v>1212</v>
      </c>
      <c r="ET404" s="8">
        <v>712</v>
      </c>
      <c r="EU404" s="8">
        <v>1212</v>
      </c>
      <c r="EV404" s="8">
        <v>2712</v>
      </c>
    </row>
    <row r="405" spans="1:152" x14ac:dyDescent="0.15">
      <c r="A405" s="8">
        <f>ROW([2]!tbl_DPSAC[[#This Row],[Sl. No.]])-1</f>
        <v>404</v>
      </c>
      <c r="B405" s="9" t="s">
        <v>136</v>
      </c>
      <c r="C405" s="9" t="s">
        <v>2202</v>
      </c>
      <c r="D405" s="9" t="s">
        <v>262</v>
      </c>
      <c r="E405" s="9" t="s">
        <v>176</v>
      </c>
      <c r="F405" s="9" t="s">
        <v>161</v>
      </c>
      <c r="G405" s="10" t="s">
        <v>1671</v>
      </c>
      <c r="H405" s="10" t="str">
        <f>_xlfn.XLOOKUP(C405,'[1]E&amp;DPSAC'!$K:$K,'[1]E&amp;DPSAC'!$E:$E,,0)</f>
        <v>HARDAG</v>
      </c>
      <c r="I405" s="10"/>
      <c r="J405" s="10">
        <v>8302560821</v>
      </c>
      <c r="K405" s="10" t="str">
        <f>IF(_xlfn.XLOOKUP(C405,'[1]E&amp;DPSAC'!$K:$K,'[1]E&amp;DPSAC'!$G:$G,"",0)=J405,"",_xlfn.XLOOKUP(C405,'[1]E&amp;DPSAC'!$K:$K,'[1]E&amp;DPSAC'!$G:$G,"",0))</f>
        <v/>
      </c>
      <c r="L405" s="9" t="str">
        <f t="shared" ca="1" si="24"/>
        <v>Warranty</v>
      </c>
      <c r="M405" s="11">
        <v>45488</v>
      </c>
      <c r="N405" s="12">
        <v>24</v>
      </c>
      <c r="O405" s="11">
        <f t="shared" si="23"/>
        <v>46234</v>
      </c>
      <c r="P405" s="8" t="s">
        <v>213</v>
      </c>
      <c r="Q405" s="16" t="s">
        <v>143</v>
      </c>
      <c r="R405" s="15" t="s">
        <v>143</v>
      </c>
      <c r="S405" s="14" t="s">
        <v>143</v>
      </c>
      <c r="T405" s="15">
        <v>45488</v>
      </c>
      <c r="U405" s="14">
        <v>1</v>
      </c>
      <c r="V405" s="14">
        <v>625</v>
      </c>
      <c r="W405" s="17">
        <v>46099.574004629598</v>
      </c>
      <c r="X405" s="14" t="s">
        <v>143</v>
      </c>
      <c r="Y405" s="14">
        <v>0</v>
      </c>
      <c r="Z405" s="14" t="s">
        <v>2692</v>
      </c>
      <c r="AA405" s="18">
        <v>625</v>
      </c>
      <c r="AB405" s="18" t="s">
        <v>2697</v>
      </c>
      <c r="AC405" s="8">
        <f>tbl_DPSAC[[#This Row],[Current Month Due Count]]</f>
        <v>0</v>
      </c>
      <c r="AD405" s="8">
        <f>tbl_DPSAC[[#This Row],[Next Month Due2]]</f>
        <v>0</v>
      </c>
      <c r="AE405" s="8"/>
      <c r="AF405" s="8">
        <v>0</v>
      </c>
      <c r="AG405" s="14">
        <f t="shared" ca="1" si="25"/>
        <v>625</v>
      </c>
      <c r="AH405" s="8" t="s">
        <v>2114</v>
      </c>
      <c r="AI405" s="8">
        <v>0</v>
      </c>
      <c r="AJ405" s="8">
        <v>0</v>
      </c>
      <c r="AK405" s="8">
        <v>0</v>
      </c>
      <c r="AL405" s="8">
        <v>0</v>
      </c>
      <c r="AM405" s="8">
        <v>0</v>
      </c>
      <c r="AN405" s="8">
        <v>0</v>
      </c>
      <c r="AO405" s="8">
        <v>0</v>
      </c>
      <c r="AP405" s="8">
        <v>0</v>
      </c>
      <c r="AQ405" s="8">
        <v>0</v>
      </c>
      <c r="AR405" s="8">
        <v>0</v>
      </c>
      <c r="AS405" s="8">
        <v>0</v>
      </c>
      <c r="AT405" s="8">
        <v>0</v>
      </c>
      <c r="AU405" s="8">
        <v>0</v>
      </c>
      <c r="AV405" s="8">
        <v>0</v>
      </c>
      <c r="AW405" s="8">
        <v>0</v>
      </c>
      <c r="AX405" s="8" t="s">
        <v>2007</v>
      </c>
      <c r="AY405" s="14">
        <v>1</v>
      </c>
      <c r="AZ405" s="19">
        <v>45488</v>
      </c>
      <c r="BA405" s="14" t="s">
        <v>2203</v>
      </c>
      <c r="BB405" s="14">
        <v>1</v>
      </c>
      <c r="BC405" s="19">
        <v>45488</v>
      </c>
      <c r="BD405" s="14" t="s">
        <v>2203</v>
      </c>
      <c r="BE405" s="14">
        <v>1</v>
      </c>
      <c r="BF405" s="19">
        <v>45488</v>
      </c>
      <c r="BG405" s="14" t="s">
        <v>2203</v>
      </c>
      <c r="BH405" s="14">
        <v>1</v>
      </c>
      <c r="BI405" s="19">
        <v>45488</v>
      </c>
      <c r="BJ405" s="14" t="s">
        <v>2203</v>
      </c>
      <c r="BK405" s="14">
        <v>1</v>
      </c>
      <c r="BL405" s="19">
        <v>45488</v>
      </c>
      <c r="BM405" s="14" t="s">
        <v>2203</v>
      </c>
      <c r="BN405" s="27">
        <v>45668</v>
      </c>
      <c r="BO405" s="27">
        <v>45668</v>
      </c>
      <c r="BP405" s="27">
        <v>45668</v>
      </c>
      <c r="BQ405" s="27">
        <v>45668</v>
      </c>
      <c r="BR405" s="27">
        <v>45668</v>
      </c>
      <c r="BS405" s="28">
        <v>126</v>
      </c>
      <c r="BT405" s="29">
        <v>876</v>
      </c>
      <c r="BU405" s="29">
        <v>126</v>
      </c>
      <c r="BV405" s="29">
        <v>126</v>
      </c>
      <c r="BW405" s="29">
        <v>876</v>
      </c>
      <c r="BX405" s="30"/>
      <c r="BY405" s="8">
        <v>5</v>
      </c>
      <c r="BZ405" s="8">
        <v>0</v>
      </c>
      <c r="CA405" s="8">
        <v>0</v>
      </c>
      <c r="CB405" s="21">
        <v>45487.770833333299</v>
      </c>
      <c r="CC405" s="21">
        <v>45487.770833333299</v>
      </c>
      <c r="CD405" s="21">
        <v>45487.770833333299</v>
      </c>
      <c r="CE405" s="21">
        <v>45487.770833333299</v>
      </c>
      <c r="CF405" s="21">
        <v>45487.770833333299</v>
      </c>
      <c r="CG405" s="21">
        <v>45487.770833333299</v>
      </c>
      <c r="CH405" s="21">
        <v>45487.770833333299</v>
      </c>
      <c r="CI405" s="21">
        <v>45487.770833333299</v>
      </c>
      <c r="CJ405" s="21">
        <v>45487.770833333299</v>
      </c>
      <c r="CK405" s="22" t="s">
        <v>2963</v>
      </c>
      <c r="CL405" s="22" t="s">
        <v>2963</v>
      </c>
      <c r="CM405" s="22" t="s">
        <v>2963</v>
      </c>
      <c r="CN405" s="22" t="s">
        <v>2963</v>
      </c>
      <c r="CO405" s="22" t="s">
        <v>2963</v>
      </c>
      <c r="CP405" s="22" t="s">
        <v>3189</v>
      </c>
      <c r="CQ405" s="22" t="s">
        <v>2953</v>
      </c>
      <c r="CR405" s="22" t="s">
        <v>3189</v>
      </c>
      <c r="CS405" s="22" t="s">
        <v>3189</v>
      </c>
      <c r="CT405" s="22">
        <v>0</v>
      </c>
      <c r="CU405" s="21">
        <v>0</v>
      </c>
      <c r="CV405" s="21">
        <v>0</v>
      </c>
      <c r="CW405" s="21">
        <v>0</v>
      </c>
      <c r="CX405" s="21">
        <v>0</v>
      </c>
      <c r="CY405" s="21">
        <v>0</v>
      </c>
      <c r="CZ405" s="21">
        <v>0</v>
      </c>
      <c r="DA405" s="21">
        <v>0</v>
      </c>
      <c r="DB405" s="21">
        <v>0</v>
      </c>
      <c r="DC405" s="21">
        <v>0</v>
      </c>
      <c r="DD405" s="8">
        <v>0</v>
      </c>
      <c r="DE405" s="8">
        <v>0</v>
      </c>
      <c r="DF405" s="8">
        <v>0</v>
      </c>
      <c r="DG405" s="8">
        <v>9</v>
      </c>
      <c r="DH405" s="8">
        <v>0</v>
      </c>
      <c r="DI405" s="8">
        <v>0</v>
      </c>
      <c r="DJ405" s="8" t="s">
        <v>2976</v>
      </c>
      <c r="DK405" s="21">
        <v>45488</v>
      </c>
      <c r="DL405" s="21">
        <v>45476.229166666664</v>
      </c>
      <c r="DM405" s="21">
        <v>46099</v>
      </c>
      <c r="DN405" s="18">
        <v>625</v>
      </c>
      <c r="DO405" s="21">
        <v>0</v>
      </c>
      <c r="DP405" s="21">
        <v>0</v>
      </c>
      <c r="DQ405" s="21" t="s">
        <v>3049</v>
      </c>
      <c r="DR405" s="21">
        <v>45488</v>
      </c>
      <c r="DS405" s="21">
        <v>45488</v>
      </c>
      <c r="DT405" s="21">
        <v>45488</v>
      </c>
      <c r="DU405" s="21">
        <v>45488</v>
      </c>
      <c r="DV405" s="21">
        <v>45488</v>
      </c>
      <c r="DW405" s="21">
        <v>45498</v>
      </c>
      <c r="DX405" s="21">
        <v>45863</v>
      </c>
      <c r="DY405" s="21">
        <v>45498</v>
      </c>
      <c r="DZ405" s="21">
        <v>45498</v>
      </c>
      <c r="EA405" s="8">
        <v>125</v>
      </c>
      <c r="EB405" s="8">
        <v>125</v>
      </c>
      <c r="EC405" s="8">
        <v>125</v>
      </c>
      <c r="ED405" s="8">
        <v>125</v>
      </c>
      <c r="EE405" s="8">
        <v>125</v>
      </c>
      <c r="EF405" s="8">
        <v>1125</v>
      </c>
      <c r="EG405" s="8">
        <v>1000</v>
      </c>
      <c r="EH405" s="8">
        <v>1125</v>
      </c>
      <c r="EI405" s="8">
        <v>1125</v>
      </c>
      <c r="EJ405" s="8">
        <v>0</v>
      </c>
      <c r="EK405" s="8" t="s">
        <v>2624</v>
      </c>
      <c r="EL405" s="8">
        <v>13</v>
      </c>
      <c r="EM405" s="8">
        <v>0</v>
      </c>
      <c r="EN405" s="8">
        <v>-163</v>
      </c>
      <c r="EO405" s="8">
        <v>-163</v>
      </c>
      <c r="EP405" s="8">
        <v>-163</v>
      </c>
      <c r="EQ405" s="8">
        <v>-163</v>
      </c>
      <c r="ER405" s="8">
        <v>-163</v>
      </c>
      <c r="ES405" s="8">
        <v>837</v>
      </c>
      <c r="ET405" s="8">
        <v>712</v>
      </c>
      <c r="EU405" s="8">
        <v>837</v>
      </c>
      <c r="EV405" s="8">
        <v>837</v>
      </c>
    </row>
    <row r="406" spans="1:152" x14ac:dyDescent="0.15">
      <c r="A406" s="8">
        <f>ROW([2]!tbl_DPSAC[[#This Row],[Sl. No.]])-1</f>
        <v>405</v>
      </c>
      <c r="B406" s="9" t="s">
        <v>136</v>
      </c>
      <c r="C406" s="9" t="s">
        <v>2204</v>
      </c>
      <c r="D406" s="9" t="s">
        <v>460</v>
      </c>
      <c r="E406" s="9" t="s">
        <v>170</v>
      </c>
      <c r="F406" s="9" t="s">
        <v>161</v>
      </c>
      <c r="G406" s="10" t="s">
        <v>2205</v>
      </c>
      <c r="H406" s="10" t="str">
        <f>_xlfn.XLOOKUP(C406,'[1]E&amp;DPSAC'!$K:$K,'[1]E&amp;DPSAC'!$E:$E,,0)</f>
        <v>PURULIA</v>
      </c>
      <c r="I406" s="10"/>
      <c r="J406" s="10">
        <v>8637328348</v>
      </c>
      <c r="K406" s="10" t="str">
        <f>IF(_xlfn.XLOOKUP(C406,'[1]E&amp;DPSAC'!$K:$K,'[1]E&amp;DPSAC'!$G:$G,"",0)=J406,"",_xlfn.XLOOKUP(C406,'[1]E&amp;DPSAC'!$K:$K,'[1]E&amp;DPSAC'!$G:$G,"",0))</f>
        <v/>
      </c>
      <c r="L406" s="9" t="str">
        <f t="shared" ca="1" si="24"/>
        <v>Warranty</v>
      </c>
      <c r="M406" s="11">
        <v>45490</v>
      </c>
      <c r="N406" s="12">
        <v>24</v>
      </c>
      <c r="O406" s="11">
        <f t="shared" si="23"/>
        <v>46234</v>
      </c>
      <c r="P406" s="8" t="s">
        <v>157</v>
      </c>
      <c r="Q406" s="16" t="s">
        <v>143</v>
      </c>
      <c r="R406" s="15" t="s">
        <v>143</v>
      </c>
      <c r="S406" s="14" t="s">
        <v>143</v>
      </c>
      <c r="T406" s="15">
        <v>45490</v>
      </c>
      <c r="U406" s="14">
        <v>1</v>
      </c>
      <c r="V406" s="14">
        <v>60</v>
      </c>
      <c r="W406" s="17">
        <v>45510.7192939815</v>
      </c>
      <c r="X406" s="14" t="s">
        <v>143</v>
      </c>
      <c r="Y406" s="14">
        <v>0</v>
      </c>
      <c r="Z406" s="14" t="s">
        <v>2692</v>
      </c>
      <c r="AA406" s="18">
        <v>623</v>
      </c>
      <c r="AB406" s="18" t="s">
        <v>2697</v>
      </c>
      <c r="AC406" s="8">
        <f>tbl_DPSAC[[#This Row],[Current Month Due Count]]</f>
        <v>0</v>
      </c>
      <c r="AD406" s="8">
        <f>tbl_DPSAC[[#This Row],[Next Month Due2]]</f>
        <v>0</v>
      </c>
      <c r="AE406" s="8"/>
      <c r="AF406" s="8">
        <v>12</v>
      </c>
      <c r="AG406" s="14">
        <f t="shared" ca="1" si="25"/>
        <v>7287</v>
      </c>
      <c r="AH406" s="8" t="s">
        <v>2114</v>
      </c>
      <c r="AI406" s="8">
        <v>0</v>
      </c>
      <c r="AJ406" s="8">
        <v>0</v>
      </c>
      <c r="AK406" s="8">
        <v>0</v>
      </c>
      <c r="AL406" s="8">
        <v>0</v>
      </c>
      <c r="AM406" s="8">
        <v>0</v>
      </c>
      <c r="AN406" s="8">
        <v>0</v>
      </c>
      <c r="AO406" s="8">
        <v>0</v>
      </c>
      <c r="AP406" s="8">
        <v>0</v>
      </c>
      <c r="AQ406" s="8">
        <v>0</v>
      </c>
      <c r="AR406" s="8">
        <v>0</v>
      </c>
      <c r="AS406" s="8">
        <v>0</v>
      </c>
      <c r="AT406" s="8">
        <v>0</v>
      </c>
      <c r="AU406" s="8">
        <v>0</v>
      </c>
      <c r="AV406" s="8">
        <v>0</v>
      </c>
      <c r="AW406" s="8">
        <v>0</v>
      </c>
      <c r="AX406" s="8" t="s">
        <v>2961</v>
      </c>
      <c r="AY406" s="14">
        <v>1</v>
      </c>
      <c r="AZ406" s="19">
        <v>45490</v>
      </c>
      <c r="BA406" s="14" t="s">
        <v>2206</v>
      </c>
      <c r="BB406" s="14">
        <v>1</v>
      </c>
      <c r="BC406" s="19">
        <v>45490</v>
      </c>
      <c r="BD406" s="14" t="s">
        <v>2206</v>
      </c>
      <c r="BE406" s="14">
        <v>1</v>
      </c>
      <c r="BF406" s="19">
        <v>45490</v>
      </c>
      <c r="BG406" s="14" t="s">
        <v>2206</v>
      </c>
      <c r="BH406" s="14">
        <v>1</v>
      </c>
      <c r="BI406" s="19">
        <v>45490</v>
      </c>
      <c r="BJ406" s="14" t="s">
        <v>2206</v>
      </c>
      <c r="BK406" s="14">
        <v>1</v>
      </c>
      <c r="BL406" s="19">
        <v>45490</v>
      </c>
      <c r="BM406" s="14" t="s">
        <v>2206</v>
      </c>
      <c r="BN406" s="27">
        <v>45670</v>
      </c>
      <c r="BO406" s="27">
        <v>45670</v>
      </c>
      <c r="BP406" s="27">
        <v>45670</v>
      </c>
      <c r="BQ406" s="27">
        <v>45670</v>
      </c>
      <c r="BR406" s="27">
        <v>45670</v>
      </c>
      <c r="BS406" s="28">
        <v>-6536</v>
      </c>
      <c r="BT406" s="29">
        <v>-5786</v>
      </c>
      <c r="BU406" s="29">
        <v>-6536</v>
      </c>
      <c r="BV406" s="29">
        <v>-6536</v>
      </c>
      <c r="BW406" s="29">
        <v>-5786</v>
      </c>
      <c r="BX406" s="30" t="s">
        <v>255</v>
      </c>
      <c r="BY406" s="8">
        <v>5</v>
      </c>
      <c r="BZ406" s="8">
        <v>0</v>
      </c>
      <c r="CA406" s="8">
        <v>0</v>
      </c>
      <c r="CB406" s="21" t="s">
        <v>143</v>
      </c>
      <c r="CC406" s="21" t="s">
        <v>143</v>
      </c>
      <c r="CD406" s="21" t="s">
        <v>143</v>
      </c>
      <c r="CE406" s="21" t="s">
        <v>143</v>
      </c>
      <c r="CF406" s="21" t="s">
        <v>143</v>
      </c>
      <c r="CG406" s="21" t="s">
        <v>143</v>
      </c>
      <c r="CH406" s="21" t="s">
        <v>143</v>
      </c>
      <c r="CI406" s="21" t="s">
        <v>143</v>
      </c>
      <c r="CJ406" s="21" t="s">
        <v>143</v>
      </c>
      <c r="CK406" s="22" t="s">
        <v>143</v>
      </c>
      <c r="CL406" s="22" t="s">
        <v>143</v>
      </c>
      <c r="CM406" s="22" t="s">
        <v>143</v>
      </c>
      <c r="CN406" s="22" t="s">
        <v>143</v>
      </c>
      <c r="CO406" s="22" t="s">
        <v>143</v>
      </c>
      <c r="CP406" s="22" t="s">
        <v>143</v>
      </c>
      <c r="CQ406" s="22" t="s">
        <v>143</v>
      </c>
      <c r="CR406" s="22" t="s">
        <v>143</v>
      </c>
      <c r="CS406" s="22" t="s">
        <v>143</v>
      </c>
      <c r="CT406" s="22" t="s">
        <v>143</v>
      </c>
      <c r="CU406" s="21" t="s">
        <v>143</v>
      </c>
      <c r="CV406" s="21" t="s">
        <v>143</v>
      </c>
      <c r="CW406" s="21" t="s">
        <v>143</v>
      </c>
      <c r="CX406" s="21" t="s">
        <v>143</v>
      </c>
      <c r="CY406" s="21" t="s">
        <v>143</v>
      </c>
      <c r="CZ406" s="21" t="s">
        <v>143</v>
      </c>
      <c r="DA406" s="21" t="s">
        <v>143</v>
      </c>
      <c r="DB406" s="21" t="s">
        <v>143</v>
      </c>
      <c r="DC406" s="21" t="s">
        <v>143</v>
      </c>
      <c r="DD406" s="8" t="s">
        <v>143</v>
      </c>
      <c r="DE406" s="8" t="s">
        <v>143</v>
      </c>
      <c r="DF406" s="8" t="s">
        <v>143</v>
      </c>
      <c r="DG406" s="8">
        <v>0</v>
      </c>
      <c r="DH406" s="8">
        <v>0</v>
      </c>
      <c r="DI406" s="8">
        <v>0</v>
      </c>
      <c r="DJ406" s="8" t="s">
        <v>143</v>
      </c>
      <c r="DK406" s="21" t="s">
        <v>143</v>
      </c>
      <c r="DL406" s="21" t="s">
        <v>143</v>
      </c>
      <c r="DM406" s="21" t="s">
        <v>143</v>
      </c>
      <c r="DN406" s="18" t="s">
        <v>143</v>
      </c>
      <c r="DO406" s="21" t="s">
        <v>143</v>
      </c>
      <c r="DP406" s="21" t="s">
        <v>143</v>
      </c>
      <c r="DQ406" s="21" t="s">
        <v>143</v>
      </c>
      <c r="DR406" s="21" t="s">
        <v>143</v>
      </c>
      <c r="DS406" s="21" t="s">
        <v>143</v>
      </c>
      <c r="DT406" s="21" t="s">
        <v>143</v>
      </c>
      <c r="DU406" s="21" t="s">
        <v>143</v>
      </c>
      <c r="DV406" s="21" t="s">
        <v>143</v>
      </c>
      <c r="DW406" s="21" t="s">
        <v>143</v>
      </c>
      <c r="DX406" s="21" t="s">
        <v>143</v>
      </c>
      <c r="DY406" s="21" t="s">
        <v>143</v>
      </c>
      <c r="DZ406" s="21" t="s">
        <v>143</v>
      </c>
      <c r="EA406" s="8" t="s">
        <v>143</v>
      </c>
      <c r="EB406" s="8" t="s">
        <v>143</v>
      </c>
      <c r="EC406" s="8" t="s">
        <v>143</v>
      </c>
      <c r="ED406" s="8" t="s">
        <v>143</v>
      </c>
      <c r="EE406" s="8" t="s">
        <v>143</v>
      </c>
      <c r="EF406" s="8" t="s">
        <v>143</v>
      </c>
      <c r="EG406" s="8" t="s">
        <v>143</v>
      </c>
      <c r="EH406" s="8" t="s">
        <v>143</v>
      </c>
      <c r="EI406" s="8" t="s">
        <v>143</v>
      </c>
      <c r="EJ406" s="8" t="s">
        <v>143</v>
      </c>
      <c r="EK406" s="8" t="s">
        <v>157</v>
      </c>
      <c r="EL406" s="8">
        <v>602</v>
      </c>
      <c r="EM406" s="8">
        <v>7224</v>
      </c>
      <c r="EN406" s="8" t="s">
        <v>143</v>
      </c>
      <c r="EO406" s="8" t="s">
        <v>143</v>
      </c>
      <c r="EP406" s="8" t="s">
        <v>143</v>
      </c>
      <c r="EQ406" s="8" t="s">
        <v>143</v>
      </c>
      <c r="ER406" s="8" t="s">
        <v>143</v>
      </c>
      <c r="ES406" s="8" t="s">
        <v>143</v>
      </c>
      <c r="ET406" s="8" t="s">
        <v>143</v>
      </c>
      <c r="EU406" s="8" t="s">
        <v>143</v>
      </c>
      <c r="EV406" s="8" t="s">
        <v>143</v>
      </c>
    </row>
    <row r="407" spans="1:152" x14ac:dyDescent="0.15">
      <c r="A407" s="8">
        <f>ROW([2]!tbl_DPSAC[[#This Row],[Sl. No.]])-1</f>
        <v>406</v>
      </c>
      <c r="B407" s="9" t="s">
        <v>136</v>
      </c>
      <c r="C407" s="9" t="s">
        <v>2207</v>
      </c>
      <c r="D407" s="9" t="s">
        <v>1491</v>
      </c>
      <c r="E407" s="9" t="s">
        <v>1492</v>
      </c>
      <c r="F407" s="9" t="s">
        <v>161</v>
      </c>
      <c r="G407" s="10" t="s">
        <v>162</v>
      </c>
      <c r="H407" s="10" t="str">
        <f>_xlfn.XLOOKUP(C407,'[1]E&amp;DPSAC'!$K:$K,'[1]E&amp;DPSAC'!$E:$E,,0)</f>
        <v>GIRIDIH</v>
      </c>
      <c r="I407" s="10"/>
      <c r="J407" s="10">
        <v>9931921808</v>
      </c>
      <c r="K407" s="10">
        <f>IF(_xlfn.XLOOKUP(C407,'[1]E&amp;DPSAC'!$K:$K,'[1]E&amp;DPSAC'!$G:$G,"",0)=J407,"",_xlfn.XLOOKUP(C407,'[1]E&amp;DPSAC'!$K:$K,'[1]E&amp;DPSAC'!$G:$G,"",0))</f>
        <v>9234615009</v>
      </c>
      <c r="L407" s="9" t="str">
        <f t="shared" ca="1" si="24"/>
        <v>Warranty</v>
      </c>
      <c r="M407" s="11">
        <v>45495</v>
      </c>
      <c r="N407" s="12">
        <v>24</v>
      </c>
      <c r="O407" s="11">
        <f t="shared" si="23"/>
        <v>46234</v>
      </c>
      <c r="P407" s="8" t="s">
        <v>213</v>
      </c>
      <c r="Q407" s="16" t="s">
        <v>2212</v>
      </c>
      <c r="R407" s="15">
        <v>45953.722222222219</v>
      </c>
      <c r="S407" s="14">
        <v>2346</v>
      </c>
      <c r="T407" s="15">
        <v>45993</v>
      </c>
      <c r="U407" s="14">
        <v>2401</v>
      </c>
      <c r="V407" s="14">
        <v>2480</v>
      </c>
      <c r="W407" s="17">
        <v>46004.6929282407</v>
      </c>
      <c r="X407" s="14" t="s">
        <v>2884</v>
      </c>
      <c r="Y407" s="14">
        <v>616</v>
      </c>
      <c r="Z407" s="14" t="s">
        <v>2692</v>
      </c>
      <c r="AA407" s="18">
        <v>159.27777777778101</v>
      </c>
      <c r="AB407" s="18" t="s">
        <v>2692</v>
      </c>
      <c r="AC407" s="8">
        <f>tbl_DPSAC[[#This Row],[Current Month Due Count]]</f>
        <v>3</v>
      </c>
      <c r="AD407" s="8">
        <f>tbl_DPSAC[[#This Row],[Next Month Due2]]</f>
        <v>0</v>
      </c>
      <c r="AE407" s="8"/>
      <c r="AF407" s="8">
        <v>3</v>
      </c>
      <c r="AG407" s="14">
        <f t="shared" ca="1" si="25"/>
        <v>2805</v>
      </c>
      <c r="AH407" s="8" t="s">
        <v>2208</v>
      </c>
      <c r="AI407" s="8" t="s">
        <v>2109</v>
      </c>
      <c r="AJ407" s="8" t="s">
        <v>2209</v>
      </c>
      <c r="AK407" s="8" t="s">
        <v>2210</v>
      </c>
      <c r="AL407" s="8" t="s">
        <v>2211</v>
      </c>
      <c r="AM407" s="8">
        <v>0</v>
      </c>
      <c r="AN407" s="8">
        <v>0</v>
      </c>
      <c r="AO407" s="8">
        <v>0</v>
      </c>
      <c r="AP407" s="8">
        <v>0</v>
      </c>
      <c r="AQ407" s="8">
        <v>0</v>
      </c>
      <c r="AR407" s="8">
        <v>0</v>
      </c>
      <c r="AS407" s="8">
        <v>0</v>
      </c>
      <c r="AT407" s="8">
        <v>0</v>
      </c>
      <c r="AU407" s="8">
        <v>0</v>
      </c>
      <c r="AV407" s="8">
        <v>0</v>
      </c>
      <c r="AW407" s="8">
        <v>0</v>
      </c>
      <c r="AX407" s="8" t="s">
        <v>2007</v>
      </c>
      <c r="AY407" s="14">
        <v>2346</v>
      </c>
      <c r="AZ407" s="19">
        <v>45953</v>
      </c>
      <c r="BA407" s="14" t="s">
        <v>2212</v>
      </c>
      <c r="BB407" s="14">
        <v>2032</v>
      </c>
      <c r="BC407" s="19">
        <v>45817</v>
      </c>
      <c r="BD407" s="14" t="s">
        <v>2213</v>
      </c>
      <c r="BE407" s="14">
        <v>2346</v>
      </c>
      <c r="BF407" s="19">
        <v>45953</v>
      </c>
      <c r="BG407" s="14" t="s">
        <v>2212</v>
      </c>
      <c r="BH407" s="14">
        <v>2346</v>
      </c>
      <c r="BI407" s="19">
        <v>45953</v>
      </c>
      <c r="BJ407" s="14" t="s">
        <v>2212</v>
      </c>
      <c r="BK407" s="14">
        <v>2032</v>
      </c>
      <c r="BL407" s="19">
        <v>45817</v>
      </c>
      <c r="BM407" s="14" t="s">
        <v>2213</v>
      </c>
      <c r="BN407" s="27">
        <v>46133</v>
      </c>
      <c r="BO407" s="27">
        <v>45997</v>
      </c>
      <c r="BP407" s="27">
        <v>46133</v>
      </c>
      <c r="BQ407" s="27">
        <v>46133</v>
      </c>
      <c r="BR407" s="27">
        <v>45997</v>
      </c>
      <c r="BS407" s="28">
        <v>291</v>
      </c>
      <c r="BT407" s="29">
        <v>727</v>
      </c>
      <c r="BU407" s="29">
        <v>291</v>
      </c>
      <c r="BV407" s="29">
        <v>291</v>
      </c>
      <c r="BW407" s="29">
        <v>727</v>
      </c>
      <c r="BX407" s="30"/>
      <c r="BY407" s="8">
        <v>2</v>
      </c>
      <c r="BZ407" s="8">
        <v>3</v>
      </c>
      <c r="CA407" s="8">
        <v>0</v>
      </c>
      <c r="CB407" s="21">
        <v>45952.770833333299</v>
      </c>
      <c r="CC407" s="21">
        <v>45952.770833333299</v>
      </c>
      <c r="CD407" s="21">
        <v>45952.770833333299</v>
      </c>
      <c r="CE407" s="21">
        <v>45952.770833333299</v>
      </c>
      <c r="CF407" s="21">
        <v>45952.770833333299</v>
      </c>
      <c r="CG407" s="21">
        <v>45816.770833333299</v>
      </c>
      <c r="CH407" s="21">
        <v>45816.770833333299</v>
      </c>
      <c r="CI407" s="21">
        <v>45816.770833333299</v>
      </c>
      <c r="CJ407" s="21">
        <v>45494.770833333299</v>
      </c>
      <c r="CK407" s="22" t="s">
        <v>3076</v>
      </c>
      <c r="CL407" s="22" t="s">
        <v>2951</v>
      </c>
      <c r="CM407" s="22" t="s">
        <v>2951</v>
      </c>
      <c r="CN407" s="22" t="s">
        <v>2951</v>
      </c>
      <c r="CO407" s="22" t="s">
        <v>2951</v>
      </c>
      <c r="CP407" s="22" t="s">
        <v>2951</v>
      </c>
      <c r="CQ407" s="22" t="s">
        <v>2953</v>
      </c>
      <c r="CR407" s="22" t="s">
        <v>3190</v>
      </c>
      <c r="CS407" s="22" t="s">
        <v>3190</v>
      </c>
      <c r="CT407" s="22">
        <v>4</v>
      </c>
      <c r="CU407" s="21">
        <v>46132</v>
      </c>
      <c r="CV407" s="21">
        <v>46132</v>
      </c>
      <c r="CW407" s="21">
        <v>46132</v>
      </c>
      <c r="CX407" s="21">
        <v>46132</v>
      </c>
      <c r="CY407" s="21">
        <v>46132</v>
      </c>
      <c r="CZ407" s="21">
        <v>46086</v>
      </c>
      <c r="DA407" s="21">
        <v>46181</v>
      </c>
      <c r="DB407" s="21">
        <v>45996</v>
      </c>
      <c r="DC407" s="21">
        <v>45859</v>
      </c>
      <c r="DD407" s="8">
        <v>1</v>
      </c>
      <c r="DE407" s="8">
        <v>0</v>
      </c>
      <c r="DF407" s="8">
        <v>1</v>
      </c>
      <c r="DG407" s="8">
        <v>3</v>
      </c>
      <c r="DH407" s="8">
        <v>5</v>
      </c>
      <c r="DI407" s="8">
        <v>0</v>
      </c>
      <c r="DJ407" s="8" t="s">
        <v>2976</v>
      </c>
      <c r="DK407" s="21">
        <v>45495</v>
      </c>
      <c r="DL407" s="21">
        <v>45464.229166666664</v>
      </c>
      <c r="DM407" s="21">
        <v>46031</v>
      </c>
      <c r="DN407" s="18">
        <v>2480</v>
      </c>
      <c r="DO407" s="21">
        <v>0</v>
      </c>
      <c r="DP407" s="21">
        <v>0</v>
      </c>
      <c r="DQ407" s="21" t="s">
        <v>2955</v>
      </c>
      <c r="DR407" s="21">
        <v>45953</v>
      </c>
      <c r="DS407" s="21">
        <v>45953</v>
      </c>
      <c r="DT407" s="21">
        <v>45953</v>
      </c>
      <c r="DU407" s="21">
        <v>45953</v>
      </c>
      <c r="DV407" s="21">
        <v>45953</v>
      </c>
      <c r="DW407" s="21">
        <v>45817</v>
      </c>
      <c r="DX407" s="21">
        <v>45817</v>
      </c>
      <c r="DY407" s="21">
        <v>45817</v>
      </c>
      <c r="DZ407" s="21">
        <v>45495</v>
      </c>
      <c r="EA407" s="8">
        <v>610</v>
      </c>
      <c r="EB407" s="8">
        <v>620</v>
      </c>
      <c r="EC407" s="8">
        <v>620</v>
      </c>
      <c r="ED407" s="8">
        <v>620</v>
      </c>
      <c r="EE407" s="8">
        <v>620</v>
      </c>
      <c r="EF407" s="8">
        <v>620</v>
      </c>
      <c r="EG407" s="8">
        <v>1000</v>
      </c>
      <c r="EH407" s="8">
        <v>1020</v>
      </c>
      <c r="EI407" s="8">
        <v>1020</v>
      </c>
      <c r="EJ407" s="8">
        <v>4</v>
      </c>
      <c r="EK407" s="8" t="s">
        <v>2624</v>
      </c>
      <c r="EL407" s="8">
        <v>108</v>
      </c>
      <c r="EM407" s="8">
        <v>324</v>
      </c>
      <c r="EN407" s="8">
        <v>322</v>
      </c>
      <c r="EO407" s="8">
        <v>332</v>
      </c>
      <c r="EP407" s="8">
        <v>332</v>
      </c>
      <c r="EQ407" s="8">
        <v>332</v>
      </c>
      <c r="ER407" s="8">
        <v>332</v>
      </c>
      <c r="ES407" s="8">
        <v>332</v>
      </c>
      <c r="ET407" s="8">
        <v>712</v>
      </c>
      <c r="EU407" s="8">
        <v>732</v>
      </c>
      <c r="EV407" s="8">
        <v>732</v>
      </c>
    </row>
    <row r="408" spans="1:152" x14ac:dyDescent="0.15">
      <c r="A408" s="8">
        <f>ROW([2]!tbl_DPSAC[[#This Row],[Sl. No.]])-1</f>
        <v>407</v>
      </c>
      <c r="B408" s="9" t="s">
        <v>136</v>
      </c>
      <c r="C408" s="9" t="s">
        <v>2214</v>
      </c>
      <c r="D408" s="9" t="s">
        <v>333</v>
      </c>
      <c r="E408" s="9" t="s">
        <v>333</v>
      </c>
      <c r="F408" s="9" t="s">
        <v>140</v>
      </c>
      <c r="G408" s="10" t="s">
        <v>2215</v>
      </c>
      <c r="H408" s="10" t="str">
        <f>_xlfn.XLOOKUP(C408,'[1]E&amp;DPSAC'!$K:$K,'[1]E&amp;DPSAC'!$E:$E,,0)</f>
        <v>BARKAGAON</v>
      </c>
      <c r="I408" s="10"/>
      <c r="J408" s="10">
        <v>8978792036</v>
      </c>
      <c r="K408" s="10" t="str">
        <f>IF(_xlfn.XLOOKUP(C408,'[1]E&amp;DPSAC'!$K:$K,'[1]E&amp;DPSAC'!$G:$G,"",0)=J408,"",_xlfn.XLOOKUP(C408,'[1]E&amp;DPSAC'!$K:$K,'[1]E&amp;DPSAC'!$G:$G,"",0))</f>
        <v/>
      </c>
      <c r="L408" s="9" t="str">
        <f t="shared" ca="1" si="24"/>
        <v>Warranty</v>
      </c>
      <c r="M408" s="11">
        <v>45496</v>
      </c>
      <c r="N408" s="12">
        <v>24</v>
      </c>
      <c r="O408" s="11">
        <f t="shared" si="23"/>
        <v>46234</v>
      </c>
      <c r="P408" s="8" t="s">
        <v>213</v>
      </c>
      <c r="Q408" s="16" t="s">
        <v>2218</v>
      </c>
      <c r="R408" s="15">
        <v>45773.739618055602</v>
      </c>
      <c r="S408" s="14">
        <v>1500</v>
      </c>
      <c r="T408" s="15">
        <v>45983</v>
      </c>
      <c r="U408" s="14">
        <v>2511</v>
      </c>
      <c r="V408" s="14">
        <v>2733</v>
      </c>
      <c r="W408" s="17">
        <v>46099.5787962963</v>
      </c>
      <c r="X408" s="14" t="s">
        <v>2885</v>
      </c>
      <c r="Y408" s="14">
        <v>-483</v>
      </c>
      <c r="Z408" s="14" t="s">
        <v>2697</v>
      </c>
      <c r="AA408" s="18">
        <v>339.26038194439752</v>
      </c>
      <c r="AB408" s="18" t="s">
        <v>2697</v>
      </c>
      <c r="AC408" s="8">
        <f>tbl_DPSAC[[#This Row],[Current Month Due Count]]</f>
        <v>0</v>
      </c>
      <c r="AD408" s="8">
        <f>tbl_DPSAC[[#This Row],[Next Month Due2]]</f>
        <v>0</v>
      </c>
      <c r="AE408" s="8"/>
      <c r="AF408" s="8">
        <v>2</v>
      </c>
      <c r="AG408" s="14">
        <f t="shared" ca="1" si="25"/>
        <v>2760</v>
      </c>
      <c r="AH408" s="8" t="s">
        <v>2216</v>
      </c>
      <c r="AI408" s="8" t="s">
        <v>2217</v>
      </c>
      <c r="AJ408" s="8">
        <v>0</v>
      </c>
      <c r="AK408" s="8">
        <v>0</v>
      </c>
      <c r="AL408" s="8">
        <v>0</v>
      </c>
      <c r="AM408" s="8">
        <v>0</v>
      </c>
      <c r="AN408" s="8">
        <v>0</v>
      </c>
      <c r="AO408" s="8">
        <v>0</v>
      </c>
      <c r="AP408" s="8">
        <v>0</v>
      </c>
      <c r="AQ408" s="8">
        <v>0</v>
      </c>
      <c r="AR408" s="8">
        <v>0</v>
      </c>
      <c r="AS408" s="8">
        <v>0</v>
      </c>
      <c r="AT408" s="8">
        <v>0</v>
      </c>
      <c r="AU408" s="8">
        <v>0</v>
      </c>
      <c r="AV408" s="8">
        <v>0</v>
      </c>
      <c r="AW408" s="8">
        <v>0</v>
      </c>
      <c r="AX408" s="8" t="s">
        <v>2980</v>
      </c>
      <c r="AY408" s="14">
        <v>1500</v>
      </c>
      <c r="AZ408" s="19">
        <v>45773</v>
      </c>
      <c r="BA408" s="14" t="s">
        <v>2218</v>
      </c>
      <c r="BB408" s="14">
        <v>1500</v>
      </c>
      <c r="BC408" s="19">
        <v>45773</v>
      </c>
      <c r="BD408" s="14" t="s">
        <v>2218</v>
      </c>
      <c r="BE408" s="14">
        <v>1500</v>
      </c>
      <c r="BF408" s="19">
        <v>45773</v>
      </c>
      <c r="BG408" s="14" t="s">
        <v>2218</v>
      </c>
      <c r="BH408" s="14">
        <v>1500</v>
      </c>
      <c r="BI408" s="19">
        <v>45773</v>
      </c>
      <c r="BJ408" s="14" t="s">
        <v>2218</v>
      </c>
      <c r="BK408" s="14">
        <v>1500</v>
      </c>
      <c r="BL408" s="19">
        <v>45773</v>
      </c>
      <c r="BM408" s="14" t="s">
        <v>2218</v>
      </c>
      <c r="BN408" s="27">
        <v>45953</v>
      </c>
      <c r="BO408" s="27">
        <v>45953</v>
      </c>
      <c r="BP408" s="27">
        <v>45953</v>
      </c>
      <c r="BQ408" s="27">
        <v>45953</v>
      </c>
      <c r="BR408" s="27">
        <v>45953</v>
      </c>
      <c r="BS408" s="28">
        <v>-510</v>
      </c>
      <c r="BT408" s="29">
        <v>240</v>
      </c>
      <c r="BU408" s="29">
        <v>-510</v>
      </c>
      <c r="BV408" s="29">
        <v>-510</v>
      </c>
      <c r="BW408" s="29">
        <v>240</v>
      </c>
      <c r="BX408" s="30"/>
      <c r="BY408" s="8">
        <v>5</v>
      </c>
      <c r="BZ408" s="8">
        <v>0</v>
      </c>
      <c r="CA408" s="8">
        <v>0</v>
      </c>
      <c r="CB408" s="21">
        <v>45772.770833333299</v>
      </c>
      <c r="CC408" s="21">
        <v>45772.770833333299</v>
      </c>
      <c r="CD408" s="21">
        <v>45772.770833333299</v>
      </c>
      <c r="CE408" s="21">
        <v>45772.770833333299</v>
      </c>
      <c r="CF408" s="21">
        <v>45772.770833333299</v>
      </c>
      <c r="CG408" s="21">
        <v>45772.770833333299</v>
      </c>
      <c r="CH408" s="21">
        <v>45495.770833333299</v>
      </c>
      <c r="CI408" s="21">
        <v>45772.770833333299</v>
      </c>
      <c r="CJ408" s="21">
        <v>45495.770833333299</v>
      </c>
      <c r="CK408" s="22" t="s">
        <v>3113</v>
      </c>
      <c r="CL408" s="22" t="s">
        <v>3113</v>
      </c>
      <c r="CM408" s="22" t="s">
        <v>3113</v>
      </c>
      <c r="CN408" s="22" t="s">
        <v>3113</v>
      </c>
      <c r="CO408" s="22" t="s">
        <v>3113</v>
      </c>
      <c r="CP408" s="22" t="s">
        <v>3113</v>
      </c>
      <c r="CQ408" s="22" t="s">
        <v>2953</v>
      </c>
      <c r="CR408" s="22" t="s">
        <v>3113</v>
      </c>
      <c r="CS408" s="22" t="s">
        <v>3113</v>
      </c>
      <c r="CT408" s="22">
        <v>2</v>
      </c>
      <c r="CU408" s="21">
        <v>45952</v>
      </c>
      <c r="CV408" s="21">
        <v>45952</v>
      </c>
      <c r="CW408" s="21">
        <v>45952</v>
      </c>
      <c r="CX408" s="21">
        <v>45952</v>
      </c>
      <c r="CY408" s="21">
        <v>45952</v>
      </c>
      <c r="CZ408" s="21">
        <v>46042</v>
      </c>
      <c r="DA408" s="21">
        <v>45860</v>
      </c>
      <c r="DB408" s="21">
        <v>45952</v>
      </c>
      <c r="DC408" s="21">
        <v>45860</v>
      </c>
      <c r="DD408" s="8">
        <v>1</v>
      </c>
      <c r="DE408" s="8">
        <v>0</v>
      </c>
      <c r="DF408" s="8">
        <v>0</v>
      </c>
      <c r="DG408" s="8">
        <v>9</v>
      </c>
      <c r="DH408" s="8">
        <v>0</v>
      </c>
      <c r="DI408" s="8">
        <v>0</v>
      </c>
      <c r="DJ408" s="8" t="s">
        <v>2976</v>
      </c>
      <c r="DK408" s="21">
        <v>45496</v>
      </c>
      <c r="DL408" s="21">
        <v>45281.229166666664</v>
      </c>
      <c r="DM408" s="21">
        <v>46099</v>
      </c>
      <c r="DN408" s="18">
        <v>2733</v>
      </c>
      <c r="DO408" s="21">
        <v>0</v>
      </c>
      <c r="DP408" s="21">
        <v>0</v>
      </c>
      <c r="DQ408" s="21" t="s">
        <v>2955</v>
      </c>
      <c r="DR408" s="21">
        <v>45773</v>
      </c>
      <c r="DS408" s="21">
        <v>45773</v>
      </c>
      <c r="DT408" s="21">
        <v>45773</v>
      </c>
      <c r="DU408" s="21">
        <v>45773</v>
      </c>
      <c r="DV408" s="21">
        <v>45773</v>
      </c>
      <c r="DW408" s="21">
        <v>45773</v>
      </c>
      <c r="DX408" s="21">
        <v>45773</v>
      </c>
      <c r="DY408" s="21">
        <v>45773</v>
      </c>
      <c r="DZ408" s="21">
        <v>45773</v>
      </c>
      <c r="EA408" s="8">
        <v>267</v>
      </c>
      <c r="EB408" s="8">
        <v>267</v>
      </c>
      <c r="EC408" s="8">
        <v>267</v>
      </c>
      <c r="ED408" s="8">
        <v>267</v>
      </c>
      <c r="EE408" s="8">
        <v>267</v>
      </c>
      <c r="EF408" s="8">
        <v>267</v>
      </c>
      <c r="EG408" s="8">
        <v>867</v>
      </c>
      <c r="EH408" s="8">
        <v>267</v>
      </c>
      <c r="EI408" s="8">
        <v>267</v>
      </c>
      <c r="EJ408" s="8">
        <v>2</v>
      </c>
      <c r="EK408" s="8" t="s">
        <v>2624</v>
      </c>
      <c r="EL408" s="8">
        <v>13</v>
      </c>
      <c r="EM408" s="8">
        <v>26</v>
      </c>
      <c r="EN408" s="8">
        <v>-21</v>
      </c>
      <c r="EO408" s="8">
        <v>-21</v>
      </c>
      <c r="EP408" s="8">
        <v>-21</v>
      </c>
      <c r="EQ408" s="8">
        <v>-21</v>
      </c>
      <c r="ER408" s="8">
        <v>-21</v>
      </c>
      <c r="ES408" s="8">
        <v>-21</v>
      </c>
      <c r="ET408" s="8">
        <v>579</v>
      </c>
      <c r="EU408" s="8">
        <v>-21</v>
      </c>
      <c r="EV408" s="8">
        <v>-21</v>
      </c>
    </row>
    <row r="409" spans="1:152" x14ac:dyDescent="0.15">
      <c r="A409" s="8">
        <f>ROW([2]!tbl_DPSAC[[#This Row],[Sl. No.]])-1</f>
        <v>408</v>
      </c>
      <c r="B409" s="9" t="s">
        <v>136</v>
      </c>
      <c r="C409" s="9" t="s">
        <v>2219</v>
      </c>
      <c r="D409" s="9" t="s">
        <v>638</v>
      </c>
      <c r="E409" s="8" t="s">
        <v>639</v>
      </c>
      <c r="F409" s="9" t="s">
        <v>161</v>
      </c>
      <c r="G409" s="10" t="s">
        <v>2220</v>
      </c>
      <c r="H409" s="10" t="str">
        <f>_xlfn.XLOOKUP(C409,'[1]E&amp;DPSAC'!$K:$K,'[1]E&amp;DPSAC'!$E:$E,,0)</f>
        <v>RAMGRAH</v>
      </c>
      <c r="I409" s="10"/>
      <c r="J409" s="10">
        <v>9471104999</v>
      </c>
      <c r="K409" s="10" t="str">
        <f>IF(_xlfn.XLOOKUP(C409,'[1]E&amp;DPSAC'!$K:$K,'[1]E&amp;DPSAC'!$G:$G,"",0)=J409,"",_xlfn.XLOOKUP(C409,'[1]E&amp;DPSAC'!$K:$K,'[1]E&amp;DPSAC'!$G:$G,"",0))</f>
        <v/>
      </c>
      <c r="L409" s="9" t="str">
        <f t="shared" ca="1" si="24"/>
        <v>Warranty</v>
      </c>
      <c r="M409" s="11">
        <v>45496</v>
      </c>
      <c r="N409" s="12">
        <v>24</v>
      </c>
      <c r="O409" s="11">
        <f t="shared" si="23"/>
        <v>46234</v>
      </c>
      <c r="P409" s="8" t="s">
        <v>213</v>
      </c>
      <c r="Q409" s="16" t="s">
        <v>143</v>
      </c>
      <c r="R409" s="15" t="s">
        <v>143</v>
      </c>
      <c r="S409" s="14" t="s">
        <v>143</v>
      </c>
      <c r="T409" s="15">
        <v>45513</v>
      </c>
      <c r="U409" s="14">
        <v>16</v>
      </c>
      <c r="V409" s="14">
        <v>300</v>
      </c>
      <c r="W409" s="17">
        <v>46099.582708333299</v>
      </c>
      <c r="X409" s="14" t="s">
        <v>143</v>
      </c>
      <c r="Y409" s="14">
        <v>0</v>
      </c>
      <c r="Z409" s="14" t="s">
        <v>2692</v>
      </c>
      <c r="AA409" s="18">
        <v>617</v>
      </c>
      <c r="AB409" s="18" t="s">
        <v>2697</v>
      </c>
      <c r="AC409" s="8">
        <f>tbl_DPSAC[[#This Row],[Current Month Due Count]]</f>
        <v>0</v>
      </c>
      <c r="AD409" s="8">
        <f>tbl_DPSAC[[#This Row],[Next Month Due2]]</f>
        <v>0</v>
      </c>
      <c r="AE409" s="8"/>
      <c r="AF409" s="8">
        <v>0</v>
      </c>
      <c r="AG409" s="14">
        <f t="shared" ca="1" si="25"/>
        <v>300</v>
      </c>
      <c r="AH409" s="8" t="s">
        <v>2114</v>
      </c>
      <c r="AI409" s="8">
        <v>0</v>
      </c>
      <c r="AJ409" s="8">
        <v>0</v>
      </c>
      <c r="AK409" s="8">
        <v>0</v>
      </c>
      <c r="AL409" s="8">
        <v>0</v>
      </c>
      <c r="AM409" s="8">
        <v>0</v>
      </c>
      <c r="AN409" s="8">
        <v>0</v>
      </c>
      <c r="AO409" s="8">
        <v>0</v>
      </c>
      <c r="AP409" s="8">
        <v>0</v>
      </c>
      <c r="AQ409" s="8">
        <v>0</v>
      </c>
      <c r="AR409" s="8">
        <v>0</v>
      </c>
      <c r="AS409" s="8">
        <v>0</v>
      </c>
      <c r="AT409" s="8">
        <v>0</v>
      </c>
      <c r="AU409" s="8">
        <v>0</v>
      </c>
      <c r="AV409" s="8">
        <v>0</v>
      </c>
      <c r="AW409" s="8">
        <v>0</v>
      </c>
      <c r="AX409" s="8" t="s">
        <v>2007</v>
      </c>
      <c r="AY409" s="14">
        <v>1</v>
      </c>
      <c r="AZ409" s="19">
        <v>45496</v>
      </c>
      <c r="BA409" s="14" t="s">
        <v>2221</v>
      </c>
      <c r="BB409" s="14">
        <v>1</v>
      </c>
      <c r="BC409" s="19">
        <v>45496</v>
      </c>
      <c r="BD409" s="14" t="s">
        <v>2221</v>
      </c>
      <c r="BE409" s="14">
        <v>1</v>
      </c>
      <c r="BF409" s="19">
        <v>45496</v>
      </c>
      <c r="BG409" s="14" t="s">
        <v>2221</v>
      </c>
      <c r="BH409" s="14">
        <v>1</v>
      </c>
      <c r="BI409" s="19">
        <v>45496</v>
      </c>
      <c r="BJ409" s="14" t="s">
        <v>2221</v>
      </c>
      <c r="BK409" s="14">
        <v>1</v>
      </c>
      <c r="BL409" s="19">
        <v>45496</v>
      </c>
      <c r="BM409" s="14" t="s">
        <v>2221</v>
      </c>
      <c r="BN409" s="27">
        <v>45676</v>
      </c>
      <c r="BO409" s="27">
        <v>45676</v>
      </c>
      <c r="BP409" s="27">
        <v>45676</v>
      </c>
      <c r="BQ409" s="27">
        <v>45676</v>
      </c>
      <c r="BR409" s="27">
        <v>45676</v>
      </c>
      <c r="BS409" s="28">
        <v>451</v>
      </c>
      <c r="BT409" s="29">
        <v>1201</v>
      </c>
      <c r="BU409" s="29">
        <v>451</v>
      </c>
      <c r="BV409" s="29">
        <v>451</v>
      </c>
      <c r="BW409" s="29">
        <v>1201</v>
      </c>
      <c r="BX409" s="8"/>
      <c r="BY409" s="8">
        <v>5</v>
      </c>
      <c r="BZ409" s="8">
        <v>0</v>
      </c>
      <c r="CA409" s="8">
        <v>0</v>
      </c>
      <c r="CB409" s="21">
        <v>45526.770833333299</v>
      </c>
      <c r="CC409" s="21">
        <v>45495.770833333299</v>
      </c>
      <c r="CD409" s="21">
        <v>45495.770833333299</v>
      </c>
      <c r="CE409" s="21">
        <v>45495.770833333299</v>
      </c>
      <c r="CF409" s="21">
        <v>45495.770833333299</v>
      </c>
      <c r="CG409" s="21">
        <v>45495.770833333299</v>
      </c>
      <c r="CH409" s="21">
        <v>45495.770833333299</v>
      </c>
      <c r="CI409" s="21">
        <v>45495.770833333299</v>
      </c>
      <c r="CJ409" s="21">
        <v>45495.770833333299</v>
      </c>
      <c r="CK409" s="22" t="s">
        <v>3019</v>
      </c>
      <c r="CL409" s="22" t="s">
        <v>3110</v>
      </c>
      <c r="CM409" s="22" t="s">
        <v>3110</v>
      </c>
      <c r="CN409" s="22" t="s">
        <v>3110</v>
      </c>
      <c r="CO409" s="22" t="s">
        <v>3110</v>
      </c>
      <c r="CP409" s="22" t="s">
        <v>3026</v>
      </c>
      <c r="CQ409" s="22" t="s">
        <v>2953</v>
      </c>
      <c r="CR409" s="22" t="s">
        <v>3026</v>
      </c>
      <c r="CS409" s="22" t="s">
        <v>3026</v>
      </c>
      <c r="CT409" s="22">
        <v>1</v>
      </c>
      <c r="CU409" s="21">
        <v>45706</v>
      </c>
      <c r="CV409" s="21">
        <v>45675</v>
      </c>
      <c r="CW409" s="21">
        <v>45675</v>
      </c>
      <c r="CX409" s="21">
        <v>45675</v>
      </c>
      <c r="CY409" s="21">
        <v>45675</v>
      </c>
      <c r="CZ409" s="21">
        <v>45765</v>
      </c>
      <c r="DA409" s="21">
        <v>45860</v>
      </c>
      <c r="DB409" s="21">
        <v>45675</v>
      </c>
      <c r="DC409" s="21">
        <v>45860</v>
      </c>
      <c r="DD409" s="8">
        <v>1</v>
      </c>
      <c r="DE409" s="8">
        <v>0</v>
      </c>
      <c r="DF409" s="8">
        <v>0</v>
      </c>
      <c r="DG409" s="8">
        <v>9</v>
      </c>
      <c r="DH409" s="8">
        <v>0</v>
      </c>
      <c r="DI409" s="8">
        <v>0</v>
      </c>
      <c r="DJ409" s="8" t="s">
        <v>2976</v>
      </c>
      <c r="DK409" s="21">
        <v>45496</v>
      </c>
      <c r="DL409" s="21">
        <v>45254.229166666664</v>
      </c>
      <c r="DM409" s="21">
        <v>46099</v>
      </c>
      <c r="DN409" s="18">
        <v>300</v>
      </c>
      <c r="DO409" s="21">
        <v>0</v>
      </c>
      <c r="DP409" s="21">
        <v>0</v>
      </c>
      <c r="DQ409" s="21" t="s">
        <v>3049</v>
      </c>
      <c r="DR409" s="21">
        <v>45527</v>
      </c>
      <c r="DS409" s="21">
        <v>45496</v>
      </c>
      <c r="DT409" s="21">
        <v>45496</v>
      </c>
      <c r="DU409" s="21">
        <v>45496</v>
      </c>
      <c r="DV409" s="21">
        <v>45496</v>
      </c>
      <c r="DW409" s="21">
        <v>45496</v>
      </c>
      <c r="DX409" s="21">
        <v>45496</v>
      </c>
      <c r="DY409" s="21">
        <v>45496</v>
      </c>
      <c r="DZ409" s="21">
        <v>45496</v>
      </c>
      <c r="EA409" s="8">
        <v>200</v>
      </c>
      <c r="EB409" s="8">
        <v>200</v>
      </c>
      <c r="EC409" s="8">
        <v>200</v>
      </c>
      <c r="ED409" s="8">
        <v>200</v>
      </c>
      <c r="EE409" s="8">
        <v>200</v>
      </c>
      <c r="EF409" s="8">
        <v>1200</v>
      </c>
      <c r="EG409" s="8">
        <v>1000</v>
      </c>
      <c r="EH409" s="8">
        <v>1200</v>
      </c>
      <c r="EI409" s="8">
        <v>2700</v>
      </c>
      <c r="EJ409" s="8">
        <v>0</v>
      </c>
      <c r="EK409" s="8" t="s">
        <v>2624</v>
      </c>
      <c r="EL409" s="8">
        <v>13</v>
      </c>
      <c r="EM409" s="8">
        <v>0</v>
      </c>
      <c r="EN409" s="8">
        <v>-88</v>
      </c>
      <c r="EO409" s="8">
        <v>-88</v>
      </c>
      <c r="EP409" s="8">
        <v>-88</v>
      </c>
      <c r="EQ409" s="8">
        <v>-88</v>
      </c>
      <c r="ER409" s="8">
        <v>-88</v>
      </c>
      <c r="ES409" s="8">
        <v>912</v>
      </c>
      <c r="ET409" s="8">
        <v>712</v>
      </c>
      <c r="EU409" s="8">
        <v>912</v>
      </c>
      <c r="EV409" s="8">
        <v>2412</v>
      </c>
    </row>
    <row r="410" spans="1:152" x14ac:dyDescent="0.15">
      <c r="A410" s="8">
        <f>ROW([2]!tbl_DPSAC[[#This Row],[Sl. No.]])-1</f>
        <v>409</v>
      </c>
      <c r="B410" s="9" t="s">
        <v>136</v>
      </c>
      <c r="C410" s="8" t="s">
        <v>2222</v>
      </c>
      <c r="D410" s="8" t="s">
        <v>1491</v>
      </c>
      <c r="E410" s="8" t="s">
        <v>1492</v>
      </c>
      <c r="F410" s="9" t="s">
        <v>161</v>
      </c>
      <c r="G410" s="10" t="s">
        <v>184</v>
      </c>
      <c r="H410" s="10" t="str">
        <f>_xlfn.XLOOKUP(C410,'[1]E&amp;DPSAC'!$K:$K,'[1]E&amp;DPSAC'!$E:$E,,0)</f>
        <v>BHORA</v>
      </c>
      <c r="I410" s="23"/>
      <c r="J410" s="10">
        <v>6204251214</v>
      </c>
      <c r="K410" s="10">
        <f>IF(_xlfn.XLOOKUP(C410,'[1]E&amp;DPSAC'!$K:$K,'[1]E&amp;DPSAC'!$G:$G,"",0)=J410,"",_xlfn.XLOOKUP(C410,'[1]E&amp;DPSAC'!$K:$K,'[1]E&amp;DPSAC'!$G:$G,"",0))</f>
        <v>9550053031</v>
      </c>
      <c r="L410" s="9" t="str">
        <f t="shared" ca="1" si="24"/>
        <v>Non - Warranty</v>
      </c>
      <c r="M410" s="13">
        <v>45286</v>
      </c>
      <c r="N410" s="12">
        <v>24</v>
      </c>
      <c r="O410" s="11">
        <f t="shared" si="23"/>
        <v>46022</v>
      </c>
      <c r="P410" s="8" t="s">
        <v>213</v>
      </c>
      <c r="Q410" s="16" t="s">
        <v>2225</v>
      </c>
      <c r="R410" s="15">
        <v>45817.651620370401</v>
      </c>
      <c r="S410" s="14">
        <v>3281</v>
      </c>
      <c r="T410" s="15">
        <v>45874</v>
      </c>
      <c r="U410" s="14">
        <v>3761</v>
      </c>
      <c r="V410" s="14">
        <v>4300</v>
      </c>
      <c r="W410" s="17">
        <v>45994.535798611098</v>
      </c>
      <c r="X410" s="14" t="s">
        <v>2886</v>
      </c>
      <c r="Y410" s="14">
        <v>-269</v>
      </c>
      <c r="Z410" s="14" t="s">
        <v>2697</v>
      </c>
      <c r="AA410" s="18">
        <v>295.34837962959864</v>
      </c>
      <c r="AB410" s="18" t="s">
        <v>2697</v>
      </c>
      <c r="AC410" s="8">
        <f>tbl_DPSAC[[#This Row],[Current Month Due Count]]</f>
        <v>0</v>
      </c>
      <c r="AD410" s="8">
        <f>tbl_DPSAC[[#This Row],[Next Month Due2]]</f>
        <v>0</v>
      </c>
      <c r="AE410" s="8"/>
      <c r="AF410" s="8">
        <v>6</v>
      </c>
      <c r="AG410" s="14">
        <f t="shared" ca="1" si="25"/>
        <v>5011</v>
      </c>
      <c r="AH410" s="8" t="s">
        <v>2223</v>
      </c>
      <c r="AI410" s="8" t="s">
        <v>2224</v>
      </c>
      <c r="AJ410" s="8">
        <v>0</v>
      </c>
      <c r="AK410" s="8">
        <v>0</v>
      </c>
      <c r="AL410" s="8">
        <v>0</v>
      </c>
      <c r="AM410" s="8">
        <v>0</v>
      </c>
      <c r="AN410" s="8">
        <v>0</v>
      </c>
      <c r="AO410" s="8">
        <v>0</v>
      </c>
      <c r="AP410" s="8">
        <v>0</v>
      </c>
      <c r="AQ410" s="8">
        <v>0</v>
      </c>
      <c r="AR410" s="8">
        <v>0</v>
      </c>
      <c r="AS410" s="8">
        <v>0</v>
      </c>
      <c r="AT410" s="8">
        <v>0</v>
      </c>
      <c r="AU410" s="8">
        <v>0</v>
      </c>
      <c r="AV410" s="8">
        <v>0</v>
      </c>
      <c r="AW410" s="8">
        <v>0</v>
      </c>
      <c r="AX410" s="8" t="s">
        <v>2961</v>
      </c>
      <c r="AY410" s="14">
        <v>3281</v>
      </c>
      <c r="AZ410" s="19">
        <v>45817</v>
      </c>
      <c r="BA410" s="14" t="s">
        <v>2225</v>
      </c>
      <c r="BB410" s="14">
        <v>3281</v>
      </c>
      <c r="BC410" s="19">
        <v>45817</v>
      </c>
      <c r="BD410" s="14" t="s">
        <v>2225</v>
      </c>
      <c r="BE410" s="14">
        <v>3281</v>
      </c>
      <c r="BF410" s="19">
        <v>45817</v>
      </c>
      <c r="BG410" s="14" t="s">
        <v>2225</v>
      </c>
      <c r="BH410" s="14">
        <v>3281</v>
      </c>
      <c r="BI410" s="19">
        <v>45817</v>
      </c>
      <c r="BJ410" s="14" t="s">
        <v>2225</v>
      </c>
      <c r="BK410" s="14">
        <v>3281</v>
      </c>
      <c r="BL410" s="19">
        <v>45817</v>
      </c>
      <c r="BM410" s="14" t="s">
        <v>2225</v>
      </c>
      <c r="BN410" s="27">
        <v>45997</v>
      </c>
      <c r="BO410" s="27">
        <v>45997</v>
      </c>
      <c r="BP410" s="27">
        <v>45997</v>
      </c>
      <c r="BQ410" s="27">
        <v>45997</v>
      </c>
      <c r="BR410" s="27">
        <v>45997</v>
      </c>
      <c r="BS410" s="28">
        <v>-980</v>
      </c>
      <c r="BT410" s="29">
        <v>-230</v>
      </c>
      <c r="BU410" s="29">
        <v>-980</v>
      </c>
      <c r="BV410" s="29">
        <v>-980</v>
      </c>
      <c r="BW410" s="29">
        <v>-230</v>
      </c>
      <c r="BX410" s="8" t="s">
        <v>384</v>
      </c>
      <c r="BY410" s="8">
        <v>5</v>
      </c>
      <c r="BZ410" s="8">
        <v>0</v>
      </c>
      <c r="CA410" s="8">
        <v>0</v>
      </c>
      <c r="CB410" s="21">
        <v>45726.770833333299</v>
      </c>
      <c r="CC410" s="21">
        <v>45816.770833333299</v>
      </c>
      <c r="CD410" s="21">
        <v>45816.770833333299</v>
      </c>
      <c r="CE410" s="21">
        <v>45816.770833333299</v>
      </c>
      <c r="CF410" s="21">
        <v>45816.770833333299</v>
      </c>
      <c r="CG410" s="21">
        <v>45816.770833333299</v>
      </c>
      <c r="CH410" s="21">
        <v>45439.770833333299</v>
      </c>
      <c r="CI410" s="21">
        <v>45572.770833333299</v>
      </c>
      <c r="CJ410" s="21">
        <v>45816.770833333299</v>
      </c>
      <c r="CK410" s="22" t="s">
        <v>3105</v>
      </c>
      <c r="CL410" s="22" t="s">
        <v>3105</v>
      </c>
      <c r="CM410" s="22" t="s">
        <v>3105</v>
      </c>
      <c r="CN410" s="22" t="s">
        <v>3105</v>
      </c>
      <c r="CO410" s="22" t="s">
        <v>3105</v>
      </c>
      <c r="CP410" s="22" t="s">
        <v>3105</v>
      </c>
      <c r="CQ410" s="22" t="s">
        <v>2953</v>
      </c>
      <c r="CR410" s="22" t="s">
        <v>3105</v>
      </c>
      <c r="CS410" s="22" t="s">
        <v>3105</v>
      </c>
      <c r="CT410" s="22">
        <v>4</v>
      </c>
      <c r="CU410" s="21">
        <v>45906</v>
      </c>
      <c r="CV410" s="21">
        <v>45996</v>
      </c>
      <c r="CW410" s="21">
        <v>45996</v>
      </c>
      <c r="CX410" s="21">
        <v>45996</v>
      </c>
      <c r="CY410" s="21">
        <v>45996</v>
      </c>
      <c r="CZ410" s="21">
        <v>46086</v>
      </c>
      <c r="DA410" s="21">
        <v>45804</v>
      </c>
      <c r="DB410" s="21">
        <v>45752</v>
      </c>
      <c r="DC410" s="21">
        <v>46109</v>
      </c>
      <c r="DD410" s="8">
        <v>1</v>
      </c>
      <c r="DE410" s="8">
        <v>0</v>
      </c>
      <c r="DF410" s="8">
        <v>1</v>
      </c>
      <c r="DG410" s="8">
        <v>9</v>
      </c>
      <c r="DH410" s="8">
        <v>0</v>
      </c>
      <c r="DI410" s="8">
        <v>0</v>
      </c>
      <c r="DJ410" s="8" t="s">
        <v>2976</v>
      </c>
      <c r="DK410" s="21">
        <v>45286</v>
      </c>
      <c r="DL410" s="21">
        <v>44868.229166666664</v>
      </c>
      <c r="DM410" s="21">
        <v>45994</v>
      </c>
      <c r="DN410" s="18">
        <v>4300</v>
      </c>
      <c r="DO410" s="21">
        <v>0</v>
      </c>
      <c r="DP410" s="21">
        <v>0</v>
      </c>
      <c r="DQ410" s="21" t="s">
        <v>2955</v>
      </c>
      <c r="DR410" s="21">
        <v>45727</v>
      </c>
      <c r="DS410" s="21">
        <v>45817</v>
      </c>
      <c r="DT410" s="21">
        <v>45817</v>
      </c>
      <c r="DU410" s="21">
        <v>45817</v>
      </c>
      <c r="DV410" s="21">
        <v>45817</v>
      </c>
      <c r="DW410" s="21">
        <v>45817</v>
      </c>
      <c r="DX410" s="21">
        <v>45440</v>
      </c>
      <c r="DY410" s="21">
        <v>45573</v>
      </c>
      <c r="DZ410" s="21">
        <v>45817</v>
      </c>
      <c r="EA410" s="8">
        <v>460</v>
      </c>
      <c r="EB410" s="8">
        <v>460</v>
      </c>
      <c r="EC410" s="8">
        <v>460</v>
      </c>
      <c r="ED410" s="8">
        <v>460</v>
      </c>
      <c r="EE410" s="8">
        <v>460</v>
      </c>
      <c r="EF410" s="8">
        <v>460</v>
      </c>
      <c r="EG410" s="8">
        <v>1000</v>
      </c>
      <c r="EH410" s="8">
        <v>460</v>
      </c>
      <c r="EI410" s="8">
        <v>460</v>
      </c>
      <c r="EJ410" s="8">
        <v>4</v>
      </c>
      <c r="EK410" s="8" t="s">
        <v>2624</v>
      </c>
      <c r="EL410" s="8">
        <v>118</v>
      </c>
      <c r="EM410" s="8">
        <v>708</v>
      </c>
      <c r="EN410" s="8">
        <v>172</v>
      </c>
      <c r="EO410" s="8">
        <v>172</v>
      </c>
      <c r="EP410" s="8">
        <v>172</v>
      </c>
      <c r="EQ410" s="8">
        <v>172</v>
      </c>
      <c r="ER410" s="8">
        <v>172</v>
      </c>
      <c r="ES410" s="8">
        <v>172</v>
      </c>
      <c r="ET410" s="8">
        <v>712</v>
      </c>
      <c r="EU410" s="8">
        <v>172</v>
      </c>
      <c r="EV410" s="8">
        <v>172</v>
      </c>
    </row>
    <row r="411" spans="1:152" x14ac:dyDescent="0.15">
      <c r="A411" s="8">
        <f>ROW([2]!tbl_DPSAC[[#This Row],[Sl. No.]])-1</f>
        <v>410</v>
      </c>
      <c r="B411" s="9" t="s">
        <v>136</v>
      </c>
      <c r="C411" s="8" t="s">
        <v>2226</v>
      </c>
      <c r="D411" s="8" t="s">
        <v>1491</v>
      </c>
      <c r="E411" s="8" t="s">
        <v>1492</v>
      </c>
      <c r="F411" s="9" t="s">
        <v>161</v>
      </c>
      <c r="G411" s="23" t="s">
        <v>2183</v>
      </c>
      <c r="H411" s="10" t="str">
        <f>_xlfn.XLOOKUP(C411,'[1]E&amp;DPSAC'!$K:$K,'[1]E&amp;DPSAC'!$E:$E,,0)</f>
        <v>AMRAPALI PROJECT, TANDWA</v>
      </c>
      <c r="I411" s="23"/>
      <c r="J411" s="10">
        <v>7032052579</v>
      </c>
      <c r="K411" s="10" t="str">
        <f>IF(_xlfn.XLOOKUP(C411,'[1]E&amp;DPSAC'!$K:$K,'[1]E&amp;DPSAC'!$G:$G,"",0)=J411,"",_xlfn.XLOOKUP(C411,'[1]E&amp;DPSAC'!$K:$K,'[1]E&amp;DPSAC'!$G:$G,"",0))</f>
        <v/>
      </c>
      <c r="L411" s="9" t="str">
        <f t="shared" ca="1" si="24"/>
        <v>Warranty</v>
      </c>
      <c r="M411" s="13">
        <v>45518</v>
      </c>
      <c r="N411" s="12">
        <v>24</v>
      </c>
      <c r="O411" s="11">
        <f t="shared" si="23"/>
        <v>46265</v>
      </c>
      <c r="P411" s="8" t="s">
        <v>213</v>
      </c>
      <c r="Q411" s="16" t="s">
        <v>2227</v>
      </c>
      <c r="R411" s="15">
        <v>45796.596759259301</v>
      </c>
      <c r="S411" s="14">
        <v>1550</v>
      </c>
      <c r="T411" s="15">
        <v>45796</v>
      </c>
      <c r="U411" s="14">
        <v>1550</v>
      </c>
      <c r="V411" s="14">
        <v>1836</v>
      </c>
      <c r="W411" s="17">
        <v>46099.587129629603</v>
      </c>
      <c r="X411" s="14" t="s">
        <v>2887</v>
      </c>
      <c r="Y411" s="14">
        <v>464</v>
      </c>
      <c r="Z411" s="14" t="s">
        <v>2692</v>
      </c>
      <c r="AA411" s="18">
        <v>316.4032407406994</v>
      </c>
      <c r="AB411" s="18" t="s">
        <v>2697</v>
      </c>
      <c r="AC411" s="8">
        <f>tbl_DPSAC[[#This Row],[Current Month Due Count]]</f>
        <v>0</v>
      </c>
      <c r="AD411" s="8">
        <f>tbl_DPSAC[[#This Row],[Next Month Due2]]</f>
        <v>0</v>
      </c>
      <c r="AE411" s="8"/>
      <c r="AF411" s="8">
        <v>1</v>
      </c>
      <c r="AG411" s="14">
        <f t="shared" ca="1" si="25"/>
        <v>1849</v>
      </c>
      <c r="AH411" s="8">
        <v>0</v>
      </c>
      <c r="AI411" s="8">
        <v>0</v>
      </c>
      <c r="AJ411" s="8">
        <v>0</v>
      </c>
      <c r="AK411" s="8">
        <v>0</v>
      </c>
      <c r="AL411" s="8">
        <v>0</v>
      </c>
      <c r="AM411" s="8">
        <v>0</v>
      </c>
      <c r="AN411" s="8">
        <v>0</v>
      </c>
      <c r="AO411" s="8">
        <v>0</v>
      </c>
      <c r="AP411" s="8">
        <v>0</v>
      </c>
      <c r="AQ411" s="8">
        <v>0</v>
      </c>
      <c r="AR411" s="8">
        <v>0</v>
      </c>
      <c r="AS411" s="8">
        <v>0</v>
      </c>
      <c r="AT411" s="8">
        <v>0</v>
      </c>
      <c r="AU411" s="8">
        <v>0</v>
      </c>
      <c r="AV411" s="8">
        <v>0</v>
      </c>
      <c r="AW411" s="8">
        <v>0</v>
      </c>
      <c r="AX411" s="8" t="s">
        <v>2007</v>
      </c>
      <c r="AY411" s="14">
        <v>1550</v>
      </c>
      <c r="AZ411" s="19">
        <v>45796</v>
      </c>
      <c r="BA411" s="14" t="s">
        <v>2227</v>
      </c>
      <c r="BB411" s="14">
        <v>1550</v>
      </c>
      <c r="BC411" s="19">
        <v>45796</v>
      </c>
      <c r="BD411" s="14" t="s">
        <v>2227</v>
      </c>
      <c r="BE411" s="14">
        <v>1550</v>
      </c>
      <c r="BF411" s="19">
        <v>45796</v>
      </c>
      <c r="BG411" s="14" t="s">
        <v>2227</v>
      </c>
      <c r="BH411" s="14">
        <v>1550</v>
      </c>
      <c r="BI411" s="19">
        <v>45796</v>
      </c>
      <c r="BJ411" s="14" t="s">
        <v>2227</v>
      </c>
      <c r="BK411" s="14">
        <v>1550</v>
      </c>
      <c r="BL411" s="19">
        <v>45796</v>
      </c>
      <c r="BM411" s="14" t="s">
        <v>2227</v>
      </c>
      <c r="BN411" s="27">
        <v>45976</v>
      </c>
      <c r="BO411" s="27">
        <v>45976</v>
      </c>
      <c r="BP411" s="27">
        <v>45976</v>
      </c>
      <c r="BQ411" s="27">
        <v>45976</v>
      </c>
      <c r="BR411" s="27">
        <v>45976</v>
      </c>
      <c r="BS411" s="28">
        <v>451</v>
      </c>
      <c r="BT411" s="29">
        <v>1201</v>
      </c>
      <c r="BU411" s="29">
        <v>451</v>
      </c>
      <c r="BV411" s="29">
        <v>451</v>
      </c>
      <c r="BW411" s="29">
        <v>1201</v>
      </c>
      <c r="BX411" s="8"/>
      <c r="BY411" s="8">
        <v>5</v>
      </c>
      <c r="BZ411" s="8">
        <v>0</v>
      </c>
      <c r="CA411" s="8">
        <v>0</v>
      </c>
      <c r="CB411" s="21">
        <v>45795.770833333299</v>
      </c>
      <c r="CC411" s="21">
        <v>45795.770833333299</v>
      </c>
      <c r="CD411" s="21">
        <v>45795.770833333299</v>
      </c>
      <c r="CE411" s="21">
        <v>45795.770833333299</v>
      </c>
      <c r="CF411" s="21">
        <v>45795.770833333299</v>
      </c>
      <c r="CG411" s="21">
        <v>45795.770833333299</v>
      </c>
      <c r="CH411" s="21">
        <v>45795.770833333299</v>
      </c>
      <c r="CI411" s="21">
        <v>45795.770833333299</v>
      </c>
      <c r="CJ411" s="21">
        <v>45795.770833333299</v>
      </c>
      <c r="CK411" s="22" t="s">
        <v>3037</v>
      </c>
      <c r="CL411" s="22" t="s">
        <v>3037</v>
      </c>
      <c r="CM411" s="22" t="s">
        <v>3037</v>
      </c>
      <c r="CN411" s="22" t="s">
        <v>3037</v>
      </c>
      <c r="CO411" s="22" t="s">
        <v>3037</v>
      </c>
      <c r="CP411" s="22" t="s">
        <v>3191</v>
      </c>
      <c r="CQ411" s="22" t="s">
        <v>2953</v>
      </c>
      <c r="CR411" s="22" t="s">
        <v>3191</v>
      </c>
      <c r="CS411" s="22" t="s">
        <v>3191</v>
      </c>
      <c r="CT411" s="22">
        <v>1</v>
      </c>
      <c r="CU411" s="21">
        <v>45975</v>
      </c>
      <c r="CV411" s="21">
        <v>45975</v>
      </c>
      <c r="CW411" s="21">
        <v>45975</v>
      </c>
      <c r="CX411" s="21">
        <v>45975</v>
      </c>
      <c r="CY411" s="21">
        <v>45975</v>
      </c>
      <c r="CZ411" s="21">
        <v>46065</v>
      </c>
      <c r="DA411" s="21">
        <v>46160</v>
      </c>
      <c r="DB411" s="21">
        <v>45975</v>
      </c>
      <c r="DC411" s="21">
        <v>46160</v>
      </c>
      <c r="DD411" s="8">
        <v>1</v>
      </c>
      <c r="DE411" s="8">
        <v>1</v>
      </c>
      <c r="DF411" s="8">
        <v>0</v>
      </c>
      <c r="DG411" s="8">
        <v>7</v>
      </c>
      <c r="DH411" s="8">
        <v>0</v>
      </c>
      <c r="DI411" s="8">
        <v>2</v>
      </c>
      <c r="DJ411" s="8" t="s">
        <v>2976</v>
      </c>
      <c r="DK411" s="21">
        <v>45518</v>
      </c>
      <c r="DL411" s="21">
        <v>45433.229166666664</v>
      </c>
      <c r="DM411" s="21">
        <v>46099</v>
      </c>
      <c r="DN411" s="18">
        <v>1836</v>
      </c>
      <c r="DO411" s="21">
        <v>0</v>
      </c>
      <c r="DP411" s="21">
        <v>0</v>
      </c>
      <c r="DQ411" s="21" t="s">
        <v>2955</v>
      </c>
      <c r="DR411" s="21">
        <v>45796</v>
      </c>
      <c r="DS411" s="21">
        <v>45796</v>
      </c>
      <c r="DT411" s="21">
        <v>45796</v>
      </c>
      <c r="DU411" s="21">
        <v>45796</v>
      </c>
      <c r="DV411" s="21">
        <v>45431</v>
      </c>
      <c r="DW411" s="21">
        <v>45796</v>
      </c>
      <c r="DX411" s="21">
        <v>45796</v>
      </c>
      <c r="DY411" s="21">
        <v>45796</v>
      </c>
      <c r="DZ411" s="21">
        <v>45796</v>
      </c>
      <c r="EA411" s="8">
        <v>464</v>
      </c>
      <c r="EB411" s="8">
        <v>464</v>
      </c>
      <c r="EC411" s="8">
        <v>464</v>
      </c>
      <c r="ED411" s="8">
        <v>464</v>
      </c>
      <c r="EE411" s="8">
        <v>464</v>
      </c>
      <c r="EF411" s="8">
        <v>1214</v>
      </c>
      <c r="EG411" s="8">
        <v>1000</v>
      </c>
      <c r="EH411" s="8">
        <v>1214</v>
      </c>
      <c r="EI411" s="8">
        <v>1214</v>
      </c>
      <c r="EJ411" s="8">
        <v>1</v>
      </c>
      <c r="EK411" s="8" t="s">
        <v>2624</v>
      </c>
      <c r="EL411" s="8">
        <v>13</v>
      </c>
      <c r="EM411" s="8">
        <v>13</v>
      </c>
      <c r="EN411" s="8">
        <v>176</v>
      </c>
      <c r="EO411" s="8">
        <v>176</v>
      </c>
      <c r="EP411" s="8">
        <v>176</v>
      </c>
      <c r="EQ411" s="8">
        <v>176</v>
      </c>
      <c r="ER411" s="8">
        <v>176</v>
      </c>
      <c r="ES411" s="8">
        <v>926</v>
      </c>
      <c r="ET411" s="8">
        <v>712</v>
      </c>
      <c r="EU411" s="8">
        <v>926</v>
      </c>
      <c r="EV411" s="8">
        <v>926</v>
      </c>
    </row>
    <row r="412" spans="1:152" x14ac:dyDescent="0.15">
      <c r="A412" s="8">
        <f>ROW([2]!tbl_DPSAC[[#This Row],[Sl. No.]])-1</f>
        <v>411</v>
      </c>
      <c r="B412" s="9" t="s">
        <v>136</v>
      </c>
      <c r="C412" s="8" t="s">
        <v>2228</v>
      </c>
      <c r="D412" s="8" t="s">
        <v>1491</v>
      </c>
      <c r="E412" s="8" t="s">
        <v>1492</v>
      </c>
      <c r="F412" s="9" t="s">
        <v>161</v>
      </c>
      <c r="G412" s="10" t="s">
        <v>1063</v>
      </c>
      <c r="H412" s="10" t="str">
        <f>_xlfn.XLOOKUP(C412,'[1]E&amp;DPSAC'!$K:$K,'[1]E&amp;DPSAC'!$E:$E,,0)</f>
        <v>GOVINDPUR, PHUSHRO</v>
      </c>
      <c r="I412" s="23"/>
      <c r="J412" s="10">
        <v>7672025601</v>
      </c>
      <c r="K412" s="10" t="str">
        <f>IF(_xlfn.XLOOKUP(C412,'[1]E&amp;DPSAC'!$K:$K,'[1]E&amp;DPSAC'!$G:$G,"",0)=J412,"",_xlfn.XLOOKUP(C412,'[1]E&amp;DPSAC'!$K:$K,'[1]E&amp;DPSAC'!$G:$G,"",0))</f>
        <v/>
      </c>
      <c r="L412" s="9" t="str">
        <f t="shared" ca="1" si="24"/>
        <v>Warranty</v>
      </c>
      <c r="M412" s="13">
        <v>45518</v>
      </c>
      <c r="N412" s="12">
        <v>24</v>
      </c>
      <c r="O412" s="11">
        <f t="shared" si="23"/>
        <v>46265</v>
      </c>
      <c r="P412" s="8" t="s">
        <v>213</v>
      </c>
      <c r="Q412" s="16" t="s">
        <v>2233</v>
      </c>
      <c r="R412" s="15">
        <v>46055.445057870398</v>
      </c>
      <c r="S412" s="14">
        <v>1613</v>
      </c>
      <c r="T412" s="15">
        <v>46055</v>
      </c>
      <c r="U412" s="14">
        <v>1613</v>
      </c>
      <c r="V412" s="14">
        <v>1741</v>
      </c>
      <c r="W412" s="17">
        <v>46099.591307870403</v>
      </c>
      <c r="X412" s="14" t="s">
        <v>2888</v>
      </c>
      <c r="Y412" s="14">
        <v>622</v>
      </c>
      <c r="Z412" s="14" t="s">
        <v>2692</v>
      </c>
      <c r="AA412" s="18">
        <v>57.554942129601841</v>
      </c>
      <c r="AB412" s="18" t="s">
        <v>2692</v>
      </c>
      <c r="AC412" s="8">
        <f>tbl_DPSAC[[#This Row],[Current Month Due Count]]</f>
        <v>2</v>
      </c>
      <c r="AD412" s="8">
        <f>tbl_DPSAC[[#This Row],[Next Month Due2]]</f>
        <v>0</v>
      </c>
      <c r="AE412" s="8"/>
      <c r="AF412" s="8">
        <v>3</v>
      </c>
      <c r="AG412" s="14">
        <f t="shared" ca="1" si="25"/>
        <v>1781</v>
      </c>
      <c r="AH412" s="8" t="s">
        <v>2229</v>
      </c>
      <c r="AI412" s="8" t="s">
        <v>2230</v>
      </c>
      <c r="AJ412" s="8" t="s">
        <v>2231</v>
      </c>
      <c r="AK412" s="8" t="s">
        <v>2232</v>
      </c>
      <c r="AL412" s="8">
        <v>0</v>
      </c>
      <c r="AM412" s="8">
        <v>0</v>
      </c>
      <c r="AN412" s="8">
        <v>0</v>
      </c>
      <c r="AO412" s="8">
        <v>0</v>
      </c>
      <c r="AP412" s="8">
        <v>0</v>
      </c>
      <c r="AQ412" s="8">
        <v>0</v>
      </c>
      <c r="AR412" s="8">
        <v>0</v>
      </c>
      <c r="AS412" s="8">
        <v>0</v>
      </c>
      <c r="AT412" s="8">
        <v>0</v>
      </c>
      <c r="AU412" s="8">
        <v>0</v>
      </c>
      <c r="AV412" s="8">
        <v>0</v>
      </c>
      <c r="AW412" s="8">
        <v>0</v>
      </c>
      <c r="AX412" s="8" t="s">
        <v>3147</v>
      </c>
      <c r="AY412" s="14">
        <v>1613</v>
      </c>
      <c r="AZ412" s="19">
        <v>46055</v>
      </c>
      <c r="BA412" s="14" t="s">
        <v>2233</v>
      </c>
      <c r="BB412" s="14">
        <v>1613</v>
      </c>
      <c r="BC412" s="19">
        <v>46055</v>
      </c>
      <c r="BD412" s="14" t="s">
        <v>2233</v>
      </c>
      <c r="BE412" s="14">
        <v>1208</v>
      </c>
      <c r="BF412" s="19">
        <v>45948</v>
      </c>
      <c r="BG412" s="14" t="s">
        <v>2234</v>
      </c>
      <c r="BH412" s="14">
        <v>1208</v>
      </c>
      <c r="BI412" s="19">
        <v>45948</v>
      </c>
      <c r="BJ412" s="14" t="s">
        <v>2234</v>
      </c>
      <c r="BK412" s="14">
        <v>1</v>
      </c>
      <c r="BL412" s="19">
        <v>45518</v>
      </c>
      <c r="BM412" s="14" t="s">
        <v>2235</v>
      </c>
      <c r="BN412" s="27">
        <v>46235</v>
      </c>
      <c r="BO412" s="27">
        <v>46235</v>
      </c>
      <c r="BP412" s="27">
        <v>46128</v>
      </c>
      <c r="BQ412" s="27">
        <v>46128</v>
      </c>
      <c r="BR412" s="27">
        <v>45698</v>
      </c>
      <c r="BS412" s="28">
        <v>582</v>
      </c>
      <c r="BT412" s="29">
        <v>1332</v>
      </c>
      <c r="BU412" s="29">
        <v>177</v>
      </c>
      <c r="BV412" s="29">
        <v>177</v>
      </c>
      <c r="BW412" s="29">
        <v>-280</v>
      </c>
      <c r="BX412" s="8"/>
      <c r="BY412" s="8">
        <v>1</v>
      </c>
      <c r="BZ412" s="8">
        <v>2</v>
      </c>
      <c r="CA412" s="8">
        <v>0</v>
      </c>
      <c r="CB412" s="21">
        <v>46054.770833333299</v>
      </c>
      <c r="CC412" s="21">
        <v>46054.770833333299</v>
      </c>
      <c r="CD412" s="21">
        <v>46054.770833333299</v>
      </c>
      <c r="CE412" s="21">
        <v>46054.770833333299</v>
      </c>
      <c r="CF412" s="21">
        <v>46054.770833333299</v>
      </c>
      <c r="CG412" s="21">
        <v>46054.770833333299</v>
      </c>
      <c r="CH412" s="21">
        <v>46054.770833333299</v>
      </c>
      <c r="CI412" s="21">
        <v>46054.770833333299</v>
      </c>
      <c r="CJ412" s="21">
        <v>45517.770833333299</v>
      </c>
      <c r="CK412" s="22" t="s">
        <v>2956</v>
      </c>
      <c r="CL412" s="22" t="s">
        <v>2957</v>
      </c>
      <c r="CM412" s="22" t="s">
        <v>2959</v>
      </c>
      <c r="CN412" s="22" t="s">
        <v>2957</v>
      </c>
      <c r="CO412" s="22" t="s">
        <v>2957</v>
      </c>
      <c r="CP412" s="22" t="s">
        <v>2956</v>
      </c>
      <c r="CQ412" s="22" t="s">
        <v>2953</v>
      </c>
      <c r="CR412" s="22" t="s">
        <v>2956</v>
      </c>
      <c r="CS412" s="22" t="s">
        <v>2956</v>
      </c>
      <c r="CT412" s="22">
        <v>7</v>
      </c>
      <c r="CU412" s="21">
        <v>46234</v>
      </c>
      <c r="CV412" s="21">
        <v>46162</v>
      </c>
      <c r="CW412" s="21">
        <v>46126</v>
      </c>
      <c r="CX412" s="21">
        <v>46162</v>
      </c>
      <c r="CY412" s="21">
        <v>46162</v>
      </c>
      <c r="CZ412" s="21">
        <v>46269</v>
      </c>
      <c r="DA412" s="21">
        <v>46197</v>
      </c>
      <c r="DB412" s="21">
        <v>46234</v>
      </c>
      <c r="DC412" s="21">
        <v>45882</v>
      </c>
      <c r="DD412" s="8">
        <v>1</v>
      </c>
      <c r="DE412" s="8">
        <v>0</v>
      </c>
      <c r="DF412" s="8">
        <v>0</v>
      </c>
      <c r="DG412" s="8">
        <v>1</v>
      </c>
      <c r="DH412" s="8">
        <v>1</v>
      </c>
      <c r="DI412" s="8">
        <v>3</v>
      </c>
      <c r="DJ412" s="8" t="s">
        <v>2976</v>
      </c>
      <c r="DK412" s="21">
        <v>45518</v>
      </c>
      <c r="DL412" s="21">
        <v>45469.229166666664</v>
      </c>
      <c r="DM412" s="21">
        <v>46099</v>
      </c>
      <c r="DN412" s="18">
        <v>1741</v>
      </c>
      <c r="DO412" s="21">
        <v>0</v>
      </c>
      <c r="DP412" s="21">
        <v>0</v>
      </c>
      <c r="DQ412" s="21" t="s">
        <v>2955</v>
      </c>
      <c r="DR412" s="21">
        <v>46055</v>
      </c>
      <c r="DS412" s="21">
        <v>46055</v>
      </c>
      <c r="DT412" s="21">
        <v>46055</v>
      </c>
      <c r="DU412" s="21">
        <v>46055</v>
      </c>
      <c r="DV412" s="21">
        <v>46055</v>
      </c>
      <c r="DW412" s="21">
        <v>46055</v>
      </c>
      <c r="DX412" s="21">
        <v>46055</v>
      </c>
      <c r="DY412" s="21">
        <v>46055</v>
      </c>
      <c r="DZ412" s="21">
        <v>46055</v>
      </c>
      <c r="EA412" s="8">
        <v>1372</v>
      </c>
      <c r="EB412" s="8">
        <v>622</v>
      </c>
      <c r="EC412" s="8">
        <v>622</v>
      </c>
      <c r="ED412" s="8">
        <v>622</v>
      </c>
      <c r="EE412" s="8">
        <v>622</v>
      </c>
      <c r="EF412" s="8">
        <v>1372</v>
      </c>
      <c r="EG412" s="8">
        <v>872</v>
      </c>
      <c r="EH412" s="8">
        <v>1372</v>
      </c>
      <c r="EI412" s="8">
        <v>1372</v>
      </c>
      <c r="EJ412" s="8">
        <v>3</v>
      </c>
      <c r="EK412" s="8" t="s">
        <v>2624</v>
      </c>
      <c r="EL412" s="8">
        <v>13</v>
      </c>
      <c r="EM412" s="8">
        <v>39</v>
      </c>
      <c r="EN412" s="8">
        <v>1084</v>
      </c>
      <c r="EO412" s="8">
        <v>334</v>
      </c>
      <c r="EP412" s="8">
        <v>334</v>
      </c>
      <c r="EQ412" s="8">
        <v>334</v>
      </c>
      <c r="ER412" s="8">
        <v>334</v>
      </c>
      <c r="ES412" s="8">
        <v>1084</v>
      </c>
      <c r="ET412" s="8">
        <v>584</v>
      </c>
      <c r="EU412" s="8">
        <v>1084</v>
      </c>
      <c r="EV412" s="8">
        <v>1084</v>
      </c>
    </row>
    <row r="413" spans="1:152" x14ac:dyDescent="0.15">
      <c r="A413" s="8">
        <f>ROW([2]!tbl_DPSAC[[#This Row],[Sl. No.]])-1</f>
        <v>412</v>
      </c>
      <c r="B413" s="9" t="s">
        <v>136</v>
      </c>
      <c r="C413" s="8" t="s">
        <v>2236</v>
      </c>
      <c r="D413" s="8" t="s">
        <v>1491</v>
      </c>
      <c r="E413" s="8" t="s">
        <v>1492</v>
      </c>
      <c r="F413" s="9" t="s">
        <v>161</v>
      </c>
      <c r="G413" s="23" t="s">
        <v>291</v>
      </c>
      <c r="H413" s="10" t="str">
        <f>_xlfn.XLOOKUP(C413,'[1]E&amp;DPSAC'!$K:$K,'[1]E&amp;DPSAC'!$E:$E,,0)</f>
        <v>DHANBAD</v>
      </c>
      <c r="I413" s="23"/>
      <c r="J413" s="10">
        <v>9006138621</v>
      </c>
      <c r="K413" s="10">
        <f>IF(_xlfn.XLOOKUP(C413,'[1]E&amp;DPSAC'!$K:$K,'[1]E&amp;DPSAC'!$G:$G,"",0)=J413,"",_xlfn.XLOOKUP(C413,'[1]E&amp;DPSAC'!$K:$K,'[1]E&amp;DPSAC'!$G:$G,"",0))</f>
        <v>8210106692</v>
      </c>
      <c r="L413" s="9" t="str">
        <f t="shared" ca="1" si="24"/>
        <v>Warranty</v>
      </c>
      <c r="M413" s="13">
        <v>45520</v>
      </c>
      <c r="N413" s="12">
        <v>24</v>
      </c>
      <c r="O413" s="11">
        <f t="shared" si="23"/>
        <v>46265</v>
      </c>
      <c r="P413" s="8" t="s">
        <v>213</v>
      </c>
      <c r="Q413" s="16" t="s">
        <v>2238</v>
      </c>
      <c r="R413" s="15">
        <v>45601.743564814802</v>
      </c>
      <c r="S413" s="14">
        <v>500</v>
      </c>
      <c r="T413" s="15">
        <v>45603</v>
      </c>
      <c r="U413" s="14">
        <v>500</v>
      </c>
      <c r="V413" s="14">
        <v>1343</v>
      </c>
      <c r="W413" s="17">
        <v>46099.674479166701</v>
      </c>
      <c r="X413" s="14" t="s">
        <v>2889</v>
      </c>
      <c r="Y413" s="14">
        <v>-93</v>
      </c>
      <c r="Z413" s="14" t="s">
        <v>2697</v>
      </c>
      <c r="AA413" s="18">
        <v>511.25643518519792</v>
      </c>
      <c r="AB413" s="18" t="s">
        <v>2697</v>
      </c>
      <c r="AC413" s="8">
        <f>tbl_DPSAC[[#This Row],[Current Month Due Count]]</f>
        <v>0</v>
      </c>
      <c r="AD413" s="8">
        <f>tbl_DPSAC[[#This Row],[Next Month Due2]]</f>
        <v>0</v>
      </c>
      <c r="AE413" s="8"/>
      <c r="AF413" s="8">
        <v>2</v>
      </c>
      <c r="AG413" s="14">
        <f t="shared" ca="1" si="25"/>
        <v>1370</v>
      </c>
      <c r="AH413" s="8" t="s">
        <v>2237</v>
      </c>
      <c r="AI413" s="8" t="s">
        <v>1873</v>
      </c>
      <c r="AJ413" s="8">
        <v>0</v>
      </c>
      <c r="AK413" s="8">
        <v>0</v>
      </c>
      <c r="AL413" s="8">
        <v>0</v>
      </c>
      <c r="AM413" s="8">
        <v>0</v>
      </c>
      <c r="AN413" s="8">
        <v>0</v>
      </c>
      <c r="AO413" s="8">
        <v>0</v>
      </c>
      <c r="AP413" s="8">
        <v>0</v>
      </c>
      <c r="AQ413" s="8">
        <v>0</v>
      </c>
      <c r="AR413" s="8">
        <v>0</v>
      </c>
      <c r="AS413" s="8">
        <v>0</v>
      </c>
      <c r="AT413" s="8">
        <v>0</v>
      </c>
      <c r="AU413" s="8">
        <v>0</v>
      </c>
      <c r="AV413" s="8">
        <v>0</v>
      </c>
      <c r="AW413" s="8">
        <v>0</v>
      </c>
      <c r="AX413" s="8" t="s">
        <v>2980</v>
      </c>
      <c r="AY413" s="14">
        <v>500</v>
      </c>
      <c r="AZ413" s="19">
        <v>45601</v>
      </c>
      <c r="BA413" s="14" t="s">
        <v>2238</v>
      </c>
      <c r="BB413" s="14">
        <v>1</v>
      </c>
      <c r="BC413" s="19">
        <v>45520</v>
      </c>
      <c r="BD413" s="14" t="s">
        <v>2239</v>
      </c>
      <c r="BE413" s="14">
        <v>500</v>
      </c>
      <c r="BF413" s="19">
        <v>45601</v>
      </c>
      <c r="BG413" s="14" t="s">
        <v>2238</v>
      </c>
      <c r="BH413" s="14">
        <v>500</v>
      </c>
      <c r="BI413" s="19">
        <v>45601</v>
      </c>
      <c r="BJ413" s="14" t="s">
        <v>2238</v>
      </c>
      <c r="BK413" s="14">
        <v>1</v>
      </c>
      <c r="BL413" s="19">
        <v>45520</v>
      </c>
      <c r="BM413" s="14" t="s">
        <v>2239</v>
      </c>
      <c r="BN413" s="27">
        <v>45781</v>
      </c>
      <c r="BO413" s="27">
        <v>45700</v>
      </c>
      <c r="BP413" s="27">
        <v>45781</v>
      </c>
      <c r="BQ413" s="27">
        <v>45781</v>
      </c>
      <c r="BR413" s="27">
        <v>45700</v>
      </c>
      <c r="BS413" s="28">
        <v>-120</v>
      </c>
      <c r="BT413" s="29">
        <v>131</v>
      </c>
      <c r="BU413" s="29">
        <v>-120</v>
      </c>
      <c r="BV413" s="29">
        <v>-120</v>
      </c>
      <c r="BW413" s="29">
        <v>131</v>
      </c>
      <c r="BX413" s="8"/>
      <c r="BY413" s="8">
        <v>5</v>
      </c>
      <c r="BZ413" s="8">
        <v>0</v>
      </c>
      <c r="CA413" s="8">
        <v>0</v>
      </c>
      <c r="CB413" s="21">
        <v>45599.770833333299</v>
      </c>
      <c r="CC413" s="21">
        <v>45599.770833333299</v>
      </c>
      <c r="CD413" s="21">
        <v>45599.770833333299</v>
      </c>
      <c r="CE413" s="21">
        <v>45599.770833333299</v>
      </c>
      <c r="CF413" s="21">
        <v>45599.770833333299</v>
      </c>
      <c r="CG413" s="21">
        <v>45519.770833333299</v>
      </c>
      <c r="CH413" s="21">
        <v>45519.770833333299</v>
      </c>
      <c r="CI413" s="21">
        <v>45519.770833333299</v>
      </c>
      <c r="CJ413" s="21">
        <v>45519.770833333299</v>
      </c>
      <c r="CK413" s="22" t="s">
        <v>2962</v>
      </c>
      <c r="CL413" s="22" t="s">
        <v>2962</v>
      </c>
      <c r="CM413" s="22" t="s">
        <v>2962</v>
      </c>
      <c r="CN413" s="22" t="s">
        <v>2962</v>
      </c>
      <c r="CO413" s="22" t="s">
        <v>2962</v>
      </c>
      <c r="CP413" s="22" t="s">
        <v>3040</v>
      </c>
      <c r="CQ413" s="22" t="s">
        <v>2953</v>
      </c>
      <c r="CR413" s="22" t="s">
        <v>3040</v>
      </c>
      <c r="CS413" s="22" t="s">
        <v>3040</v>
      </c>
      <c r="CT413" s="22">
        <v>2</v>
      </c>
      <c r="CU413" s="21">
        <v>45779</v>
      </c>
      <c r="CV413" s="21">
        <v>45779</v>
      </c>
      <c r="CW413" s="21">
        <v>45779</v>
      </c>
      <c r="CX413" s="21">
        <v>45779</v>
      </c>
      <c r="CY413" s="21">
        <v>45779</v>
      </c>
      <c r="CZ413" s="21">
        <v>45789</v>
      </c>
      <c r="DA413" s="21">
        <v>45884</v>
      </c>
      <c r="DB413" s="21">
        <v>45699</v>
      </c>
      <c r="DC413" s="21">
        <v>45884</v>
      </c>
      <c r="DD413" s="8">
        <v>1</v>
      </c>
      <c r="DE413" s="8">
        <v>0</v>
      </c>
      <c r="DF413" s="8">
        <v>0</v>
      </c>
      <c r="DG413" s="8">
        <v>9</v>
      </c>
      <c r="DH413" s="8">
        <v>0</v>
      </c>
      <c r="DI413" s="8">
        <v>0</v>
      </c>
      <c r="DJ413" s="8" t="s">
        <v>2976</v>
      </c>
      <c r="DK413" s="21">
        <v>45520</v>
      </c>
      <c r="DL413" s="21">
        <v>45442.229166666664</v>
      </c>
      <c r="DM413" s="21">
        <v>46099</v>
      </c>
      <c r="DN413" s="18">
        <v>1343</v>
      </c>
      <c r="DO413" s="21">
        <v>0</v>
      </c>
      <c r="DP413" s="21">
        <v>0</v>
      </c>
      <c r="DQ413" s="21" t="s">
        <v>2955</v>
      </c>
      <c r="DR413" s="21">
        <v>45600</v>
      </c>
      <c r="DS413" s="21">
        <v>45600</v>
      </c>
      <c r="DT413" s="21">
        <v>45600</v>
      </c>
      <c r="DU413" s="21">
        <v>45600</v>
      </c>
      <c r="DV413" s="21">
        <v>45600</v>
      </c>
      <c r="DW413" s="21">
        <v>45520</v>
      </c>
      <c r="DX413" s="21">
        <v>45520</v>
      </c>
      <c r="DY413" s="21">
        <v>45520</v>
      </c>
      <c r="DZ413" s="21">
        <v>45459</v>
      </c>
      <c r="EA413" s="8">
        <v>-93</v>
      </c>
      <c r="EB413" s="8">
        <v>-93</v>
      </c>
      <c r="EC413" s="8">
        <v>-93</v>
      </c>
      <c r="ED413" s="8">
        <v>-93</v>
      </c>
      <c r="EE413" s="8">
        <v>-93</v>
      </c>
      <c r="EF413" s="8">
        <v>157</v>
      </c>
      <c r="EG413" s="8">
        <v>867</v>
      </c>
      <c r="EH413" s="8">
        <v>157</v>
      </c>
      <c r="EI413" s="8">
        <v>157</v>
      </c>
      <c r="EJ413" s="8">
        <v>2</v>
      </c>
      <c r="EK413" s="8" t="s">
        <v>2624</v>
      </c>
      <c r="EL413" s="8">
        <v>13</v>
      </c>
      <c r="EM413" s="8">
        <v>26</v>
      </c>
      <c r="EN413" s="8">
        <v>-381</v>
      </c>
      <c r="EO413" s="8">
        <v>-381</v>
      </c>
      <c r="EP413" s="8">
        <v>-381</v>
      </c>
      <c r="EQ413" s="8">
        <v>-381</v>
      </c>
      <c r="ER413" s="8">
        <v>-381</v>
      </c>
      <c r="ES413" s="8">
        <v>-131</v>
      </c>
      <c r="ET413" s="8">
        <v>579</v>
      </c>
      <c r="EU413" s="8">
        <v>-131</v>
      </c>
      <c r="EV413" s="8">
        <v>-131</v>
      </c>
    </row>
    <row r="414" spans="1:152" x14ac:dyDescent="0.15">
      <c r="A414" s="8">
        <f>ROW([2]!tbl_DPSAC[[#This Row],[Sl. No.]])-1</f>
        <v>413</v>
      </c>
      <c r="B414" s="9" t="s">
        <v>196</v>
      </c>
      <c r="C414" s="8" t="s">
        <v>2240</v>
      </c>
      <c r="D414" s="8" t="s">
        <v>1426</v>
      </c>
      <c r="E414" s="8" t="s">
        <v>1707</v>
      </c>
      <c r="F414" s="9" t="s">
        <v>161</v>
      </c>
      <c r="G414" s="23" t="s">
        <v>1427</v>
      </c>
      <c r="H414" s="10" t="str">
        <f>_xlfn.XLOOKUP(C414,'[1]E&amp;DPSAC'!$K:$K,'[1]E&amp;DPSAC'!$E:$E,,0)</f>
        <v>MALDA</v>
      </c>
      <c r="I414" s="23"/>
      <c r="J414" s="10">
        <v>9386279110</v>
      </c>
      <c r="K414" s="10">
        <f>IF(_xlfn.XLOOKUP(C414,'[1]E&amp;DPSAC'!$K:$K,'[1]E&amp;DPSAC'!$G:$G,"",0)=J414,"",_xlfn.XLOOKUP(C414,'[1]E&amp;DPSAC'!$K:$K,'[1]E&amp;DPSAC'!$G:$G,"",0))</f>
        <v>6204058763</v>
      </c>
      <c r="L414" s="9" t="str">
        <f t="shared" ca="1" si="24"/>
        <v>Warranty</v>
      </c>
      <c r="M414" s="13">
        <v>45555</v>
      </c>
      <c r="N414" s="12">
        <v>24</v>
      </c>
      <c r="O414" s="11">
        <f t="shared" si="23"/>
        <v>46295</v>
      </c>
      <c r="P414" s="8" t="s">
        <v>157</v>
      </c>
      <c r="Q414" s="16" t="s">
        <v>2241</v>
      </c>
      <c r="R414" s="15">
        <v>46006.571273148104</v>
      </c>
      <c r="S414" s="14">
        <v>2374</v>
      </c>
      <c r="T414" s="15">
        <v>46006</v>
      </c>
      <c r="U414" s="14">
        <v>2374</v>
      </c>
      <c r="V414" s="14">
        <v>2425</v>
      </c>
      <c r="W414" s="17">
        <v>46031.565717592603</v>
      </c>
      <c r="X414" s="14" t="s">
        <v>2890</v>
      </c>
      <c r="Y414" s="14">
        <v>699</v>
      </c>
      <c r="Z414" s="14" t="s">
        <v>2692</v>
      </c>
      <c r="AA414" s="18">
        <v>106.4287268518965</v>
      </c>
      <c r="AB414" s="18" t="s">
        <v>2692</v>
      </c>
      <c r="AC414" s="8">
        <f>tbl_DPSAC[[#This Row],[Current Month Due Count]]</f>
        <v>0</v>
      </c>
      <c r="AD414" s="8">
        <f>tbl_DPSAC[[#This Row],[Next Month Due2]]</f>
        <v>0</v>
      </c>
      <c r="AE414" s="8"/>
      <c r="AF414" s="8">
        <v>2</v>
      </c>
      <c r="AG414" s="14">
        <f t="shared" ca="1" si="25"/>
        <v>2588</v>
      </c>
      <c r="AH414" s="8">
        <v>0</v>
      </c>
      <c r="AI414" s="8">
        <v>0</v>
      </c>
      <c r="AJ414" s="8">
        <v>0</v>
      </c>
      <c r="AK414" s="8">
        <v>0</v>
      </c>
      <c r="AL414" s="8">
        <v>0</v>
      </c>
      <c r="AM414" s="8">
        <v>0</v>
      </c>
      <c r="AN414" s="8">
        <v>0</v>
      </c>
      <c r="AO414" s="8">
        <v>0</v>
      </c>
      <c r="AP414" s="8">
        <v>0</v>
      </c>
      <c r="AQ414" s="8">
        <v>0</v>
      </c>
      <c r="AR414" s="8">
        <v>0</v>
      </c>
      <c r="AS414" s="8">
        <v>0</v>
      </c>
      <c r="AT414" s="8">
        <v>0</v>
      </c>
      <c r="AU414" s="8">
        <v>0</v>
      </c>
      <c r="AV414" s="8">
        <v>0</v>
      </c>
      <c r="AW414" s="8">
        <v>0</v>
      </c>
      <c r="AX414" s="8" t="s">
        <v>2007</v>
      </c>
      <c r="AY414" s="14">
        <v>2374</v>
      </c>
      <c r="AZ414" s="19">
        <v>46006</v>
      </c>
      <c r="BA414" s="14" t="s">
        <v>2241</v>
      </c>
      <c r="BB414" s="14">
        <v>1572</v>
      </c>
      <c r="BC414" s="19">
        <v>45812</v>
      </c>
      <c r="BD414" s="14" t="s">
        <v>2242</v>
      </c>
      <c r="BE414" s="14">
        <v>2374</v>
      </c>
      <c r="BF414" s="19">
        <v>46006</v>
      </c>
      <c r="BG414" s="14" t="s">
        <v>2241</v>
      </c>
      <c r="BH414" s="14">
        <v>2374</v>
      </c>
      <c r="BI414" s="19">
        <v>46006</v>
      </c>
      <c r="BJ414" s="14" t="s">
        <v>2241</v>
      </c>
      <c r="BK414" s="14">
        <v>1572</v>
      </c>
      <c r="BL414" s="19">
        <v>45812</v>
      </c>
      <c r="BM414" s="14" t="s">
        <v>2242</v>
      </c>
      <c r="BN414" s="27">
        <v>46186</v>
      </c>
      <c r="BO414" s="27">
        <v>45992</v>
      </c>
      <c r="BP414" s="27">
        <v>46186</v>
      </c>
      <c r="BQ414" s="27">
        <v>46186</v>
      </c>
      <c r="BR414" s="27">
        <v>45992</v>
      </c>
      <c r="BS414" s="28">
        <v>536</v>
      </c>
      <c r="BT414" s="29">
        <v>484</v>
      </c>
      <c r="BU414" s="29">
        <v>536</v>
      </c>
      <c r="BV414" s="29">
        <v>536</v>
      </c>
      <c r="BW414" s="29">
        <v>484</v>
      </c>
      <c r="BX414" s="30" t="s">
        <v>255</v>
      </c>
      <c r="BY414" s="8">
        <v>2</v>
      </c>
      <c r="BZ414" s="8">
        <v>0</v>
      </c>
      <c r="CA414" s="8">
        <v>0</v>
      </c>
      <c r="CB414" s="21">
        <v>46005.770833333299</v>
      </c>
      <c r="CC414" s="21">
        <v>46005.770833333299</v>
      </c>
      <c r="CD414" s="21">
        <v>46005.770833333299</v>
      </c>
      <c r="CE414" s="21">
        <v>46005.770833333299</v>
      </c>
      <c r="CF414" s="21">
        <v>46005.770833333299</v>
      </c>
      <c r="CG414" s="21">
        <v>45811.770833333299</v>
      </c>
      <c r="CH414" s="21">
        <v>45554.770833333299</v>
      </c>
      <c r="CI414" s="21">
        <v>45811.770833333299</v>
      </c>
      <c r="CJ414" s="21">
        <v>45554.770833333299</v>
      </c>
      <c r="CK414" s="22" t="s">
        <v>3128</v>
      </c>
      <c r="CL414" s="22" t="s">
        <v>3128</v>
      </c>
      <c r="CM414" s="22" t="s">
        <v>3128</v>
      </c>
      <c r="CN414" s="22" t="s">
        <v>3128</v>
      </c>
      <c r="CO414" s="22" t="s">
        <v>3128</v>
      </c>
      <c r="CP414" s="22" t="s">
        <v>3007</v>
      </c>
      <c r="CQ414" s="22" t="s">
        <v>2953</v>
      </c>
      <c r="CR414" s="22" t="s">
        <v>3007</v>
      </c>
      <c r="CS414" s="22" t="s">
        <v>3007</v>
      </c>
      <c r="CT414" s="22">
        <v>2</v>
      </c>
      <c r="CU414" s="21">
        <v>46185</v>
      </c>
      <c r="CV414" s="21">
        <v>46185</v>
      </c>
      <c r="CW414" s="21">
        <v>46185</v>
      </c>
      <c r="CX414" s="21">
        <v>46185</v>
      </c>
      <c r="CY414" s="21">
        <v>46185</v>
      </c>
      <c r="CZ414" s="21">
        <v>46081</v>
      </c>
      <c r="DA414" s="21">
        <v>45919</v>
      </c>
      <c r="DB414" s="21">
        <v>45991</v>
      </c>
      <c r="DC414" s="21">
        <v>45919</v>
      </c>
      <c r="DD414" s="8">
        <v>1</v>
      </c>
      <c r="DE414" s="8">
        <v>1</v>
      </c>
      <c r="DF414" s="8">
        <v>0</v>
      </c>
      <c r="DG414" s="8">
        <v>4</v>
      </c>
      <c r="DH414" s="8">
        <v>0</v>
      </c>
      <c r="DI414" s="8">
        <v>0</v>
      </c>
      <c r="DJ414" s="8" t="s">
        <v>2976</v>
      </c>
      <c r="DK414" s="21">
        <v>45555</v>
      </c>
      <c r="DL414" s="21">
        <v>45533.229166666664</v>
      </c>
      <c r="DM414" s="21">
        <v>46031</v>
      </c>
      <c r="DN414" s="18">
        <v>2425</v>
      </c>
      <c r="DO414" s="21">
        <v>0</v>
      </c>
      <c r="DP414" s="21">
        <v>0</v>
      </c>
      <c r="DQ414" s="21" t="s">
        <v>2955</v>
      </c>
      <c r="DR414" s="21">
        <v>46006</v>
      </c>
      <c r="DS414" s="21">
        <v>46006</v>
      </c>
      <c r="DT414" s="21">
        <v>46006</v>
      </c>
      <c r="DU414" s="21">
        <v>46006</v>
      </c>
      <c r="DV414" s="21">
        <v>46006</v>
      </c>
      <c r="DW414" s="21">
        <v>45812</v>
      </c>
      <c r="DX414" s="21">
        <v>45555</v>
      </c>
      <c r="DY414" s="21">
        <v>45812</v>
      </c>
      <c r="DZ414" s="21">
        <v>45555</v>
      </c>
      <c r="EA414" s="8">
        <v>700</v>
      </c>
      <c r="EB414" s="8">
        <v>700</v>
      </c>
      <c r="EC414" s="8">
        <v>700</v>
      </c>
      <c r="ED414" s="8">
        <v>700</v>
      </c>
      <c r="EE414" s="8">
        <v>700</v>
      </c>
      <c r="EF414" s="8">
        <v>650</v>
      </c>
      <c r="EG414" s="8">
        <v>1000</v>
      </c>
      <c r="EH414" s="8">
        <v>650</v>
      </c>
      <c r="EI414" s="8">
        <v>650</v>
      </c>
      <c r="EJ414" s="8">
        <v>2</v>
      </c>
      <c r="EK414" s="8" t="s">
        <v>157</v>
      </c>
      <c r="EL414" s="8">
        <v>81</v>
      </c>
      <c r="EM414" s="8">
        <v>162</v>
      </c>
      <c r="EN414" s="8">
        <v>412</v>
      </c>
      <c r="EO414" s="8">
        <v>412</v>
      </c>
      <c r="EP414" s="8">
        <v>412</v>
      </c>
      <c r="EQ414" s="8">
        <v>412</v>
      </c>
      <c r="ER414" s="8">
        <v>412</v>
      </c>
      <c r="ES414" s="8">
        <v>362</v>
      </c>
      <c r="ET414" s="8">
        <v>712</v>
      </c>
      <c r="EU414" s="8">
        <v>362</v>
      </c>
      <c r="EV414" s="8">
        <v>362</v>
      </c>
    </row>
    <row r="415" spans="1:152" x14ac:dyDescent="0.15">
      <c r="A415" s="8">
        <f>ROW([2]!tbl_DPSAC[[#This Row],[Sl. No.]])-1</f>
        <v>414</v>
      </c>
      <c r="B415" s="9" t="s">
        <v>196</v>
      </c>
      <c r="C415" s="8" t="s">
        <v>2243</v>
      </c>
      <c r="D415" s="8" t="s">
        <v>175</v>
      </c>
      <c r="E415" s="8" t="s">
        <v>176</v>
      </c>
      <c r="F415" s="9" t="s">
        <v>161</v>
      </c>
      <c r="G415" s="23" t="s">
        <v>2244</v>
      </c>
      <c r="H415" s="10" t="str">
        <f>_xlfn.XLOOKUP(C415,'[1]E&amp;DPSAC'!$K:$K,'[1]E&amp;DPSAC'!$E:$E,,0)</f>
        <v>GAYA BIHAR</v>
      </c>
      <c r="I415" s="23"/>
      <c r="J415" s="10">
        <v>8340735591</v>
      </c>
      <c r="K415" s="10">
        <f>_xlfn.XLOOKUP(C415,'[1]E&amp;DPSAC'!$K:$K,'[1]E&amp;DPSAC'!$G:$G,"",0)</f>
        <v>8340735591</v>
      </c>
      <c r="L415" s="9" t="str">
        <f t="shared" ca="1" si="24"/>
        <v>Non - Warranty</v>
      </c>
      <c r="M415" s="13">
        <v>43592</v>
      </c>
      <c r="N415" s="12">
        <v>24</v>
      </c>
      <c r="O415" s="11">
        <f t="shared" si="23"/>
        <v>44347</v>
      </c>
      <c r="P415" s="8" t="s">
        <v>715</v>
      </c>
      <c r="Q415" s="16" t="s">
        <v>2669</v>
      </c>
      <c r="R415" s="15">
        <v>45434.576388888891</v>
      </c>
      <c r="S415" s="14">
        <v>6188</v>
      </c>
      <c r="T415" s="15">
        <v>45434</v>
      </c>
      <c r="U415" s="14">
        <v>6188</v>
      </c>
      <c r="V415" s="14">
        <v>7350</v>
      </c>
      <c r="W415" s="17">
        <v>45941.5625</v>
      </c>
      <c r="X415" s="14" t="s">
        <v>2891</v>
      </c>
      <c r="Y415" s="14">
        <v>-412</v>
      </c>
      <c r="Z415" s="14" t="s">
        <v>2697</v>
      </c>
      <c r="AA415" s="18">
        <v>678.42361111110949</v>
      </c>
      <c r="AB415" s="18" t="s">
        <v>2697</v>
      </c>
      <c r="AC415" s="8">
        <f>tbl_DPSAC[[#This Row],[Current Month Due Count]]</f>
        <v>0</v>
      </c>
      <c r="AD415" s="8">
        <f>tbl_DPSAC[[#This Row],[Next Month Due2]]</f>
        <v>0</v>
      </c>
      <c r="AE415" s="8"/>
      <c r="AF415" s="8">
        <v>4</v>
      </c>
      <c r="AG415" s="14">
        <f t="shared" ca="1" si="25"/>
        <v>8036</v>
      </c>
      <c r="AH415" s="8">
        <v>0</v>
      </c>
      <c r="AI415" s="8">
        <v>0</v>
      </c>
      <c r="AJ415" s="8">
        <v>0</v>
      </c>
      <c r="AK415" s="8">
        <v>0</v>
      </c>
      <c r="AL415" s="8">
        <v>0</v>
      </c>
      <c r="AM415" s="8">
        <v>0</v>
      </c>
      <c r="AN415" s="8">
        <v>0</v>
      </c>
      <c r="AO415" s="8">
        <v>0</v>
      </c>
      <c r="AP415" s="8">
        <v>0</v>
      </c>
      <c r="AQ415" s="8">
        <v>0</v>
      </c>
      <c r="AR415" s="8">
        <v>0</v>
      </c>
      <c r="AS415" s="8">
        <v>0</v>
      </c>
      <c r="AT415" s="8">
        <v>0</v>
      </c>
      <c r="AU415" s="8">
        <v>0</v>
      </c>
      <c r="AV415" s="8">
        <v>0</v>
      </c>
      <c r="AW415" s="8">
        <v>0</v>
      </c>
      <c r="AX415" s="8" t="s">
        <v>2007</v>
      </c>
      <c r="AY415" s="14"/>
      <c r="AZ415" s="19"/>
      <c r="BA415" s="14"/>
      <c r="BB415" s="14"/>
      <c r="BC415" s="19"/>
      <c r="BD415" s="14"/>
      <c r="BE415" s="14"/>
      <c r="BF415" s="19"/>
      <c r="BG415" s="14"/>
      <c r="BH415" s="14"/>
      <c r="BI415" s="19"/>
      <c r="BJ415" s="14"/>
      <c r="BK415" s="14"/>
      <c r="BL415" s="19"/>
      <c r="BM415" s="14"/>
      <c r="BN415" s="27"/>
      <c r="BO415" s="27"/>
      <c r="BP415" s="27"/>
      <c r="BQ415" s="27"/>
      <c r="BR415" s="27"/>
      <c r="BS415" s="28"/>
      <c r="BT415" s="29" t="s">
        <v>143</v>
      </c>
      <c r="BU415" s="29" t="s">
        <v>143</v>
      </c>
      <c r="BV415" s="29"/>
      <c r="BW415" s="29"/>
      <c r="BX415" s="8"/>
      <c r="BY415" s="8">
        <v>0</v>
      </c>
      <c r="BZ415" s="8">
        <v>0</v>
      </c>
      <c r="CA415" s="8">
        <v>0</v>
      </c>
      <c r="CB415" s="21" t="s">
        <v>143</v>
      </c>
      <c r="CC415" s="21" t="s">
        <v>143</v>
      </c>
      <c r="CD415" s="21" t="s">
        <v>143</v>
      </c>
      <c r="CE415" s="21" t="s">
        <v>143</v>
      </c>
      <c r="CF415" s="21" t="s">
        <v>143</v>
      </c>
      <c r="CG415" s="21" t="s">
        <v>143</v>
      </c>
      <c r="CH415" s="21" t="s">
        <v>143</v>
      </c>
      <c r="CI415" s="21" t="s">
        <v>143</v>
      </c>
      <c r="CJ415" s="21" t="s">
        <v>143</v>
      </c>
      <c r="CK415" s="22" t="s">
        <v>143</v>
      </c>
      <c r="CL415" s="22" t="s">
        <v>143</v>
      </c>
      <c r="CM415" s="22" t="s">
        <v>143</v>
      </c>
      <c r="CN415" s="22" t="s">
        <v>143</v>
      </c>
      <c r="CO415" s="22" t="s">
        <v>143</v>
      </c>
      <c r="CP415" s="22" t="s">
        <v>143</v>
      </c>
      <c r="CQ415" s="22" t="s">
        <v>143</v>
      </c>
      <c r="CR415" s="22" t="s">
        <v>143</v>
      </c>
      <c r="CS415" s="22" t="s">
        <v>143</v>
      </c>
      <c r="CT415" s="22" t="s">
        <v>143</v>
      </c>
      <c r="CU415" s="21" t="s">
        <v>143</v>
      </c>
      <c r="CV415" s="21" t="s">
        <v>143</v>
      </c>
      <c r="CW415" s="21" t="s">
        <v>143</v>
      </c>
      <c r="CX415" s="21" t="s">
        <v>143</v>
      </c>
      <c r="CY415" s="21" t="s">
        <v>143</v>
      </c>
      <c r="CZ415" s="21" t="s">
        <v>143</v>
      </c>
      <c r="DA415" s="21" t="s">
        <v>143</v>
      </c>
      <c r="DB415" s="21" t="s">
        <v>143</v>
      </c>
      <c r="DC415" s="21" t="s">
        <v>143</v>
      </c>
      <c r="DD415" s="8" t="s">
        <v>143</v>
      </c>
      <c r="DE415" s="8" t="s">
        <v>143</v>
      </c>
      <c r="DF415" s="8" t="s">
        <v>143</v>
      </c>
      <c r="DG415" s="8">
        <v>0</v>
      </c>
      <c r="DH415" s="8">
        <v>0</v>
      </c>
      <c r="DI415" s="8">
        <v>0</v>
      </c>
      <c r="DJ415" s="8" t="s">
        <v>3032</v>
      </c>
      <c r="DK415" s="21">
        <v>43592</v>
      </c>
      <c r="DL415" s="21">
        <v>43571.229166666664</v>
      </c>
      <c r="DM415" s="21">
        <v>45941</v>
      </c>
      <c r="DN415" s="18">
        <v>7350</v>
      </c>
      <c r="DO415" s="21">
        <v>0</v>
      </c>
      <c r="DP415" s="21">
        <v>0</v>
      </c>
      <c r="DQ415" s="21" t="s">
        <v>2955</v>
      </c>
      <c r="DR415" s="21">
        <v>45434</v>
      </c>
      <c r="DS415" s="21">
        <v>45434</v>
      </c>
      <c r="DT415" s="21">
        <v>45434</v>
      </c>
      <c r="DU415" s="21">
        <v>45434</v>
      </c>
      <c r="DV415" s="21">
        <v>45434</v>
      </c>
      <c r="DW415" s="21">
        <v>45434</v>
      </c>
      <c r="DX415" s="21">
        <v>45434</v>
      </c>
      <c r="DY415" s="21">
        <v>45434</v>
      </c>
      <c r="DZ415" s="21">
        <v>45434</v>
      </c>
      <c r="EA415" s="8">
        <v>350</v>
      </c>
      <c r="EB415" s="8">
        <v>350</v>
      </c>
      <c r="EC415" s="8">
        <v>350</v>
      </c>
      <c r="ED415" s="8">
        <v>350</v>
      </c>
      <c r="EE415" s="8">
        <v>350</v>
      </c>
      <c r="EF415" s="8">
        <v>1050</v>
      </c>
      <c r="EG415" s="8">
        <v>1000</v>
      </c>
      <c r="EH415" s="8">
        <v>1050</v>
      </c>
      <c r="EI415" s="8">
        <v>1050</v>
      </c>
      <c r="EJ415" s="8">
        <v>3</v>
      </c>
      <c r="EK415" s="8" t="s">
        <v>715</v>
      </c>
      <c r="EL415" s="8">
        <v>171</v>
      </c>
      <c r="EM415" s="8">
        <v>684</v>
      </c>
      <c r="EN415" s="8">
        <v>62</v>
      </c>
      <c r="EO415" s="8">
        <v>62</v>
      </c>
      <c r="EP415" s="8">
        <v>62</v>
      </c>
      <c r="EQ415" s="8">
        <v>62</v>
      </c>
      <c r="ER415" s="8">
        <v>62</v>
      </c>
      <c r="ES415" s="8">
        <v>762</v>
      </c>
      <c r="ET415" s="8">
        <v>712</v>
      </c>
      <c r="EU415" s="8">
        <v>762</v>
      </c>
      <c r="EV415" s="8">
        <v>762</v>
      </c>
    </row>
    <row r="416" spans="1:152" x14ac:dyDescent="0.15">
      <c r="A416" s="8">
        <f>ROW([2]!tbl_DPSAC[[#This Row],[Sl. No.]])-1</f>
        <v>415</v>
      </c>
      <c r="B416" s="9" t="s">
        <v>136</v>
      </c>
      <c r="C416" s="8" t="s">
        <v>2245</v>
      </c>
      <c r="D416" s="8" t="s">
        <v>1491</v>
      </c>
      <c r="E416" s="8" t="s">
        <v>1492</v>
      </c>
      <c r="F416" s="9" t="s">
        <v>161</v>
      </c>
      <c r="G416" s="23" t="s">
        <v>2246</v>
      </c>
      <c r="H416" s="10" t="str">
        <f>_xlfn.XLOOKUP(C416,'[1]E&amp;DPSAC'!$K:$K,'[1]E&amp;DPSAC'!$E:$E,,0)</f>
        <v>JAMSHEDPUR</v>
      </c>
      <c r="I416" s="23"/>
      <c r="J416" s="10">
        <v>6337904150</v>
      </c>
      <c r="K416" s="10">
        <f>_xlfn.XLOOKUP(C416,'[1]E&amp;DPSAC'!$K:$K,'[1]E&amp;DPSAC'!$G:$G,"",0)</f>
        <v>9337904150</v>
      </c>
      <c r="L416" s="9" t="str">
        <f t="shared" ca="1" si="24"/>
        <v>Non - Warranty</v>
      </c>
      <c r="M416" s="13">
        <v>45192</v>
      </c>
      <c r="N416" s="12">
        <v>24</v>
      </c>
      <c r="O416" s="11">
        <f t="shared" si="23"/>
        <v>45930</v>
      </c>
      <c r="P416" s="8" t="s">
        <v>157</v>
      </c>
      <c r="Q416" s="16" t="s">
        <v>2248</v>
      </c>
      <c r="R416" s="15">
        <v>45432.702777777777</v>
      </c>
      <c r="S416" s="14">
        <v>628</v>
      </c>
      <c r="T416" s="15">
        <v>45481</v>
      </c>
      <c r="U416" s="14">
        <v>996</v>
      </c>
      <c r="V416" s="14">
        <v>1000</v>
      </c>
      <c r="W416" s="17">
        <v>45598.551655092597</v>
      </c>
      <c r="X416" s="14" t="s">
        <v>2892</v>
      </c>
      <c r="Y416" s="14">
        <v>378</v>
      </c>
      <c r="Z416" s="14" t="s">
        <v>2692</v>
      </c>
      <c r="AA416" s="18">
        <v>680.29722222222335</v>
      </c>
      <c r="AB416" s="18" t="s">
        <v>2697</v>
      </c>
      <c r="AC416" s="8">
        <f>tbl_DPSAC[[#This Row],[Current Month Due Count]]</f>
        <v>0</v>
      </c>
      <c r="AD416" s="8">
        <f>tbl_DPSAC[[#This Row],[Next Month Due2]]</f>
        <v>0</v>
      </c>
      <c r="AE416" s="8"/>
      <c r="AF416" s="8">
        <v>8</v>
      </c>
      <c r="AG416" s="14">
        <f t="shared" ca="1" si="25"/>
        <v>5116</v>
      </c>
      <c r="AH416" s="8" t="s">
        <v>2247</v>
      </c>
      <c r="AI416" s="8">
        <v>0</v>
      </c>
      <c r="AJ416" s="8">
        <v>0</v>
      </c>
      <c r="AK416" s="8">
        <v>0</v>
      </c>
      <c r="AL416" s="8">
        <v>0</v>
      </c>
      <c r="AM416" s="8">
        <v>0</v>
      </c>
      <c r="AN416" s="8">
        <v>0</v>
      </c>
      <c r="AO416" s="8">
        <v>0</v>
      </c>
      <c r="AP416" s="8">
        <v>0</v>
      </c>
      <c r="AQ416" s="8">
        <v>0</v>
      </c>
      <c r="AR416" s="8">
        <v>0</v>
      </c>
      <c r="AS416" s="8">
        <v>0</v>
      </c>
      <c r="AT416" s="8">
        <v>0</v>
      </c>
      <c r="AU416" s="8">
        <v>0</v>
      </c>
      <c r="AV416" s="8">
        <v>0</v>
      </c>
      <c r="AW416" s="8">
        <v>0</v>
      </c>
      <c r="AX416" s="8" t="s">
        <v>2961</v>
      </c>
      <c r="AY416" s="14">
        <v>628</v>
      </c>
      <c r="AZ416" s="19">
        <v>45433</v>
      </c>
      <c r="BA416" s="14" t="s">
        <v>2248</v>
      </c>
      <c r="BB416" s="14">
        <v>1</v>
      </c>
      <c r="BC416" s="19">
        <v>45192</v>
      </c>
      <c r="BD416" s="14" t="s">
        <v>2249</v>
      </c>
      <c r="BE416" s="14">
        <v>628</v>
      </c>
      <c r="BF416" s="19">
        <v>45433</v>
      </c>
      <c r="BG416" s="14" t="s">
        <v>2248</v>
      </c>
      <c r="BH416" s="14">
        <v>628</v>
      </c>
      <c r="BI416" s="19">
        <v>45433</v>
      </c>
      <c r="BJ416" s="14" t="s">
        <v>2248</v>
      </c>
      <c r="BK416" s="14">
        <v>1</v>
      </c>
      <c r="BL416" s="19">
        <v>45192</v>
      </c>
      <c r="BM416" s="14" t="s">
        <v>2249</v>
      </c>
      <c r="BN416" s="27">
        <v>45613</v>
      </c>
      <c r="BO416" s="27">
        <v>45372</v>
      </c>
      <c r="BP416" s="27">
        <v>45613</v>
      </c>
      <c r="BQ416" s="27">
        <v>45613</v>
      </c>
      <c r="BR416" s="27">
        <v>45372</v>
      </c>
      <c r="BS416" s="28">
        <v>-3738</v>
      </c>
      <c r="BT416" s="29">
        <v>-3615</v>
      </c>
      <c r="BU416" s="29">
        <v>-3738</v>
      </c>
      <c r="BV416" s="29">
        <v>-3738</v>
      </c>
      <c r="BW416" s="29">
        <v>-3615</v>
      </c>
      <c r="BX416" s="8" t="s">
        <v>2250</v>
      </c>
      <c r="BY416" s="8">
        <v>5</v>
      </c>
      <c r="BZ416" s="8">
        <v>0</v>
      </c>
      <c r="CA416" s="8">
        <v>0</v>
      </c>
      <c r="CB416" s="21" t="s">
        <v>143</v>
      </c>
      <c r="CC416" s="21" t="s">
        <v>143</v>
      </c>
      <c r="CD416" s="21" t="s">
        <v>143</v>
      </c>
      <c r="CE416" s="21" t="s">
        <v>143</v>
      </c>
      <c r="CF416" s="21" t="s">
        <v>143</v>
      </c>
      <c r="CG416" s="21" t="s">
        <v>143</v>
      </c>
      <c r="CH416" s="21" t="s">
        <v>143</v>
      </c>
      <c r="CI416" s="21" t="s">
        <v>143</v>
      </c>
      <c r="CJ416" s="21" t="s">
        <v>143</v>
      </c>
      <c r="CK416" s="22" t="s">
        <v>143</v>
      </c>
      <c r="CL416" s="22" t="s">
        <v>143</v>
      </c>
      <c r="CM416" s="22" t="s">
        <v>143</v>
      </c>
      <c r="CN416" s="22" t="s">
        <v>143</v>
      </c>
      <c r="CO416" s="22" t="s">
        <v>143</v>
      </c>
      <c r="CP416" s="22" t="s">
        <v>143</v>
      </c>
      <c r="CQ416" s="22" t="s">
        <v>143</v>
      </c>
      <c r="CR416" s="22" t="s">
        <v>143</v>
      </c>
      <c r="CS416" s="22" t="s">
        <v>143</v>
      </c>
      <c r="CT416" s="22" t="s">
        <v>143</v>
      </c>
      <c r="CU416" s="21" t="s">
        <v>143</v>
      </c>
      <c r="CV416" s="21" t="s">
        <v>143</v>
      </c>
      <c r="CW416" s="21" t="s">
        <v>143</v>
      </c>
      <c r="CX416" s="21" t="s">
        <v>143</v>
      </c>
      <c r="CY416" s="21" t="s">
        <v>143</v>
      </c>
      <c r="CZ416" s="21" t="s">
        <v>143</v>
      </c>
      <c r="DA416" s="21" t="s">
        <v>143</v>
      </c>
      <c r="DB416" s="21" t="s">
        <v>143</v>
      </c>
      <c r="DC416" s="21" t="s">
        <v>143</v>
      </c>
      <c r="DD416" s="8" t="s">
        <v>143</v>
      </c>
      <c r="DE416" s="8" t="s">
        <v>143</v>
      </c>
      <c r="DF416" s="8" t="s">
        <v>143</v>
      </c>
      <c r="DG416" s="8">
        <v>0</v>
      </c>
      <c r="DH416" s="8">
        <v>0</v>
      </c>
      <c r="DI416" s="8">
        <v>0</v>
      </c>
      <c r="DJ416" s="8" t="s">
        <v>143</v>
      </c>
      <c r="DK416" s="21" t="s">
        <v>143</v>
      </c>
      <c r="DL416" s="21" t="s">
        <v>143</v>
      </c>
      <c r="DM416" s="21" t="s">
        <v>143</v>
      </c>
      <c r="DN416" s="18" t="s">
        <v>143</v>
      </c>
      <c r="DO416" s="21" t="s">
        <v>143</v>
      </c>
      <c r="DP416" s="21" t="s">
        <v>143</v>
      </c>
      <c r="DQ416" s="21" t="s">
        <v>143</v>
      </c>
      <c r="DR416" s="21" t="s">
        <v>143</v>
      </c>
      <c r="DS416" s="21" t="s">
        <v>143</v>
      </c>
      <c r="DT416" s="21" t="s">
        <v>143</v>
      </c>
      <c r="DU416" s="21" t="s">
        <v>143</v>
      </c>
      <c r="DV416" s="21" t="s">
        <v>143</v>
      </c>
      <c r="DW416" s="21" t="s">
        <v>143</v>
      </c>
      <c r="DX416" s="21" t="s">
        <v>143</v>
      </c>
      <c r="DY416" s="21" t="s">
        <v>143</v>
      </c>
      <c r="DZ416" s="21" t="s">
        <v>143</v>
      </c>
      <c r="EA416" s="8" t="s">
        <v>143</v>
      </c>
      <c r="EB416" s="8" t="s">
        <v>143</v>
      </c>
      <c r="EC416" s="8" t="s">
        <v>143</v>
      </c>
      <c r="ED416" s="8" t="s">
        <v>143</v>
      </c>
      <c r="EE416" s="8" t="s">
        <v>143</v>
      </c>
      <c r="EF416" s="8" t="s">
        <v>143</v>
      </c>
      <c r="EG416" s="8" t="s">
        <v>143</v>
      </c>
      <c r="EH416" s="8" t="s">
        <v>143</v>
      </c>
      <c r="EI416" s="8" t="s">
        <v>143</v>
      </c>
      <c r="EJ416" s="8" t="s">
        <v>143</v>
      </c>
      <c r="EK416" s="8" t="s">
        <v>157</v>
      </c>
      <c r="EL416" s="8">
        <v>514</v>
      </c>
      <c r="EM416" s="8">
        <v>4112</v>
      </c>
      <c r="EN416" s="8" t="s">
        <v>143</v>
      </c>
      <c r="EO416" s="8" t="s">
        <v>143</v>
      </c>
      <c r="EP416" s="8" t="s">
        <v>143</v>
      </c>
      <c r="EQ416" s="8" t="s">
        <v>143</v>
      </c>
      <c r="ER416" s="8" t="s">
        <v>143</v>
      </c>
      <c r="ES416" s="8" t="s">
        <v>143</v>
      </c>
      <c r="ET416" s="8" t="s">
        <v>143</v>
      </c>
      <c r="EU416" s="8" t="s">
        <v>143</v>
      </c>
      <c r="EV416" s="8" t="s">
        <v>143</v>
      </c>
    </row>
    <row r="417" spans="1:152" x14ac:dyDescent="0.15">
      <c r="A417" s="8">
        <f>ROW([2]!tbl_DPSAC[[#This Row],[Sl. No.]])-1</f>
        <v>416</v>
      </c>
      <c r="B417" s="9" t="s">
        <v>136</v>
      </c>
      <c r="C417" s="8" t="s">
        <v>2251</v>
      </c>
      <c r="D417" s="8" t="s">
        <v>1491</v>
      </c>
      <c r="E417" s="8" t="s">
        <v>1492</v>
      </c>
      <c r="F417" s="9" t="s">
        <v>161</v>
      </c>
      <c r="G417" s="23" t="s">
        <v>2252</v>
      </c>
      <c r="H417" s="10" t="str">
        <f>_xlfn.XLOOKUP(C417,'[1]E&amp;DPSAC'!$K:$K,'[1]E&amp;DPSAC'!$E:$E,,0)</f>
        <v>KEREDARI, HAZARIBAGH</v>
      </c>
      <c r="I417" s="23"/>
      <c r="J417" s="10">
        <v>6348067513</v>
      </c>
      <c r="K417" s="10">
        <f>IF(_xlfn.XLOOKUP(C417,'[1]E&amp;DPSAC'!$K:$K,'[1]E&amp;DPSAC'!$G:$G,"",0)=J417,"",_xlfn.XLOOKUP(C417,'[1]E&amp;DPSAC'!$K:$K,'[1]E&amp;DPSAC'!$G:$G,"",0))</f>
        <v>9348067514</v>
      </c>
      <c r="L417" s="9" t="str">
        <f t="shared" ca="1" si="24"/>
        <v>Warranty</v>
      </c>
      <c r="M417" s="13">
        <v>45447</v>
      </c>
      <c r="N417" s="12">
        <v>24</v>
      </c>
      <c r="O417" s="11">
        <f t="shared" si="23"/>
        <v>46203</v>
      </c>
      <c r="P417" s="8" t="s">
        <v>213</v>
      </c>
      <c r="Q417" s="16" t="s">
        <v>2670</v>
      </c>
      <c r="R417" s="15">
        <v>45990.4135185185</v>
      </c>
      <c r="S417" s="14">
        <v>3643</v>
      </c>
      <c r="T417" s="15">
        <v>46014</v>
      </c>
      <c r="U417" s="14">
        <v>3812</v>
      </c>
      <c r="V417" s="14">
        <v>3894</v>
      </c>
      <c r="W417" s="17">
        <v>46099.678703703699</v>
      </c>
      <c r="X417" s="14" t="s">
        <v>2893</v>
      </c>
      <c r="Y417" s="14">
        <v>499</v>
      </c>
      <c r="Z417" s="14" t="s">
        <v>2692</v>
      </c>
      <c r="AA417" s="18">
        <v>122.5864814814995</v>
      </c>
      <c r="AB417" s="18" t="s">
        <v>2692</v>
      </c>
      <c r="AC417" s="8">
        <f>tbl_DPSAC[[#This Row],[Current Month Due Count]]</f>
        <v>5</v>
      </c>
      <c r="AD417" s="8">
        <f>tbl_DPSAC[[#This Row],[Next Month Due2]]</f>
        <v>0</v>
      </c>
      <c r="AE417" s="8"/>
      <c r="AF417" s="8">
        <v>4</v>
      </c>
      <c r="AG417" s="14">
        <f t="shared" ca="1" si="25"/>
        <v>3947</v>
      </c>
      <c r="AH417" s="8" t="s">
        <v>2253</v>
      </c>
      <c r="AI417" s="8" t="s">
        <v>1342</v>
      </c>
      <c r="AJ417" s="8" t="s">
        <v>2254</v>
      </c>
      <c r="AK417" s="8" t="s">
        <v>2255</v>
      </c>
      <c r="AL417" s="8" t="s">
        <v>2256</v>
      </c>
      <c r="AM417" s="8" t="s">
        <v>2257</v>
      </c>
      <c r="AN417" s="8" t="s">
        <v>2258</v>
      </c>
      <c r="AO417" s="8">
        <v>0</v>
      </c>
      <c r="AP417" s="8">
        <v>0</v>
      </c>
      <c r="AQ417" s="8">
        <v>0</v>
      </c>
      <c r="AR417" s="8">
        <v>0</v>
      </c>
      <c r="AS417" s="8">
        <v>0</v>
      </c>
      <c r="AT417" s="8">
        <v>0</v>
      </c>
      <c r="AU417" s="8">
        <v>0</v>
      </c>
      <c r="AV417" s="8">
        <v>0</v>
      </c>
      <c r="AW417" s="8">
        <v>0</v>
      </c>
      <c r="AX417" s="8" t="s">
        <v>2980</v>
      </c>
      <c r="AY417" s="14">
        <v>3096</v>
      </c>
      <c r="AZ417" s="19">
        <v>45941</v>
      </c>
      <c r="BA417" s="14" t="s">
        <v>2259</v>
      </c>
      <c r="BB417" s="14">
        <v>3096</v>
      </c>
      <c r="BC417" s="19">
        <v>45941</v>
      </c>
      <c r="BD417" s="14" t="s">
        <v>2259</v>
      </c>
      <c r="BE417" s="14">
        <v>3096</v>
      </c>
      <c r="BF417" s="19">
        <v>45941</v>
      </c>
      <c r="BG417" s="14" t="s">
        <v>2259</v>
      </c>
      <c r="BH417" s="14">
        <v>3096</v>
      </c>
      <c r="BI417" s="19">
        <v>45941</v>
      </c>
      <c r="BJ417" s="14" t="s">
        <v>2259</v>
      </c>
      <c r="BK417" s="14">
        <v>3096</v>
      </c>
      <c r="BL417" s="19">
        <v>45941</v>
      </c>
      <c r="BM417" s="14" t="s">
        <v>2259</v>
      </c>
      <c r="BN417" s="27">
        <v>46121</v>
      </c>
      <c r="BO417" s="27">
        <v>46121</v>
      </c>
      <c r="BP417" s="27">
        <v>46121</v>
      </c>
      <c r="BQ417" s="27">
        <v>46121</v>
      </c>
      <c r="BR417" s="27">
        <v>46121</v>
      </c>
      <c r="BS417" s="28">
        <v>-101</v>
      </c>
      <c r="BT417" s="29">
        <v>649</v>
      </c>
      <c r="BU417" s="29">
        <v>-101</v>
      </c>
      <c r="BV417" s="29">
        <v>-101</v>
      </c>
      <c r="BW417" s="29">
        <v>649</v>
      </c>
      <c r="BX417" s="8"/>
      <c r="BY417" s="8">
        <v>0</v>
      </c>
      <c r="BZ417" s="8">
        <v>5</v>
      </c>
      <c r="CA417" s="8">
        <v>0</v>
      </c>
      <c r="CB417" s="21">
        <v>45989.770833333299</v>
      </c>
      <c r="CC417" s="21">
        <v>45989.770833333299</v>
      </c>
      <c r="CD417" s="21">
        <v>45989.770833333299</v>
      </c>
      <c r="CE417" s="21">
        <v>45989.770833333299</v>
      </c>
      <c r="CF417" s="21">
        <v>45989.770833333299</v>
      </c>
      <c r="CG417" s="21">
        <v>45940.770833333299</v>
      </c>
      <c r="CH417" s="21">
        <v>0</v>
      </c>
      <c r="CI417" s="21">
        <v>45666.770833333299</v>
      </c>
      <c r="CJ417" s="21">
        <v>45940.770833333299</v>
      </c>
      <c r="CK417" s="22" t="s">
        <v>3061</v>
      </c>
      <c r="CL417" s="22" t="s">
        <v>3061</v>
      </c>
      <c r="CM417" s="22" t="s">
        <v>3061</v>
      </c>
      <c r="CN417" s="22" t="s">
        <v>3061</v>
      </c>
      <c r="CO417" s="22" t="s">
        <v>3061</v>
      </c>
      <c r="CP417" s="22" t="s">
        <v>3080</v>
      </c>
      <c r="CQ417" s="22" t="s">
        <v>2953</v>
      </c>
      <c r="CR417" s="22" t="s">
        <v>3080</v>
      </c>
      <c r="CS417" s="22" t="s">
        <v>3080</v>
      </c>
      <c r="CT417" s="22">
        <v>2</v>
      </c>
      <c r="CU417" s="21">
        <v>46056</v>
      </c>
      <c r="CV417" s="21">
        <v>46056</v>
      </c>
      <c r="CW417" s="21">
        <v>46056</v>
      </c>
      <c r="CX417" s="21">
        <v>46056</v>
      </c>
      <c r="CY417" s="21">
        <v>46056</v>
      </c>
      <c r="CZ417" s="21">
        <v>46210</v>
      </c>
      <c r="DA417" s="21">
        <v>46124</v>
      </c>
      <c r="DB417" s="21">
        <v>45846</v>
      </c>
      <c r="DC417" s="21">
        <v>46305</v>
      </c>
      <c r="DD417" s="8">
        <v>1</v>
      </c>
      <c r="DE417" s="8">
        <v>1</v>
      </c>
      <c r="DF417" s="8">
        <v>0</v>
      </c>
      <c r="DG417" s="8">
        <v>6</v>
      </c>
      <c r="DH417" s="8">
        <v>1</v>
      </c>
      <c r="DI417" s="8">
        <v>0</v>
      </c>
      <c r="DJ417" s="8" t="s">
        <v>2976</v>
      </c>
      <c r="DK417" s="21">
        <v>45447</v>
      </c>
      <c r="DL417" s="21">
        <v>45409.229166666664</v>
      </c>
      <c r="DM417" s="21">
        <v>46099</v>
      </c>
      <c r="DN417" s="18">
        <v>3894</v>
      </c>
      <c r="DO417" s="21">
        <v>0</v>
      </c>
      <c r="DP417" s="21">
        <v>0</v>
      </c>
      <c r="DQ417" s="21" t="s">
        <v>2955</v>
      </c>
      <c r="DR417" s="21">
        <v>45990</v>
      </c>
      <c r="DS417" s="21">
        <v>45990</v>
      </c>
      <c r="DT417" s="21">
        <v>45990</v>
      </c>
      <c r="DU417" s="21">
        <v>45990</v>
      </c>
      <c r="DV417" s="21">
        <v>45625</v>
      </c>
      <c r="DW417" s="21">
        <v>45941</v>
      </c>
      <c r="DX417" s="21">
        <v>46032</v>
      </c>
      <c r="DY417" s="21">
        <v>46032</v>
      </c>
      <c r="DZ417" s="21">
        <v>46032</v>
      </c>
      <c r="EA417" s="8">
        <v>478</v>
      </c>
      <c r="EB417" s="8">
        <v>478</v>
      </c>
      <c r="EC417" s="8">
        <v>478</v>
      </c>
      <c r="ED417" s="8">
        <v>478</v>
      </c>
      <c r="EE417" s="8">
        <v>478</v>
      </c>
      <c r="EF417" s="8">
        <v>478</v>
      </c>
      <c r="EG417" s="8">
        <v>978</v>
      </c>
      <c r="EH417" s="8">
        <v>1478</v>
      </c>
      <c r="EI417" s="8">
        <v>2978</v>
      </c>
      <c r="EJ417" s="8">
        <v>4</v>
      </c>
      <c r="EK417" s="8" t="s">
        <v>2624</v>
      </c>
      <c r="EL417" s="8">
        <v>13</v>
      </c>
      <c r="EM417" s="8">
        <v>52</v>
      </c>
      <c r="EN417" s="8">
        <v>190</v>
      </c>
      <c r="EO417" s="8">
        <v>190</v>
      </c>
      <c r="EP417" s="8">
        <v>190</v>
      </c>
      <c r="EQ417" s="8">
        <v>190</v>
      </c>
      <c r="ER417" s="8">
        <v>190</v>
      </c>
      <c r="ES417" s="8">
        <v>190</v>
      </c>
      <c r="ET417" s="8">
        <v>690</v>
      </c>
      <c r="EU417" s="8">
        <v>1190</v>
      </c>
      <c r="EV417" s="8">
        <v>2690</v>
      </c>
    </row>
    <row r="418" spans="1:152" x14ac:dyDescent="0.15">
      <c r="A418" s="8">
        <f>ROW([2]!tbl_DPSAC[[#This Row],[Sl. No.]])-1</f>
        <v>417</v>
      </c>
      <c r="B418" s="9" t="s">
        <v>136</v>
      </c>
      <c r="C418" s="8" t="s">
        <v>2260</v>
      </c>
      <c r="D418" s="8" t="s">
        <v>262</v>
      </c>
      <c r="E418" s="8" t="s">
        <v>176</v>
      </c>
      <c r="F418" s="9" t="s">
        <v>161</v>
      </c>
      <c r="G418" s="23" t="s">
        <v>2261</v>
      </c>
      <c r="H418" s="10" t="str">
        <f>_xlfn.XLOOKUP(C418,'[1]E&amp;DPSAC'!$K:$K,'[1]E&amp;DPSAC'!$E:$E,,0)</f>
        <v>SAHEBGANJ</v>
      </c>
      <c r="I418" s="23"/>
      <c r="J418" s="10">
        <v>9116343171</v>
      </c>
      <c r="K418" s="10">
        <f>IF(_xlfn.XLOOKUP(C418,'[1]E&amp;DPSAC'!$K:$K,'[1]E&amp;DPSAC'!$G:$G,"",0)=J418,"",_xlfn.XLOOKUP(C418,'[1]E&amp;DPSAC'!$K:$K,'[1]E&amp;DPSAC'!$G:$G,"",0))</f>
        <v>8102674203</v>
      </c>
      <c r="L418" s="9" t="str">
        <f t="shared" ca="1" si="24"/>
        <v>Warranty</v>
      </c>
      <c r="M418" s="13">
        <v>45464</v>
      </c>
      <c r="N418" s="12">
        <v>24</v>
      </c>
      <c r="O418" s="11">
        <f t="shared" si="23"/>
        <v>46203</v>
      </c>
      <c r="P418" s="8" t="s">
        <v>142</v>
      </c>
      <c r="Q418" s="16" t="s">
        <v>2671</v>
      </c>
      <c r="R418" s="15">
        <v>46092.5080787037</v>
      </c>
      <c r="S418" s="14">
        <v>2480</v>
      </c>
      <c r="T418" s="15">
        <v>45924</v>
      </c>
      <c r="U418" s="14">
        <v>2000</v>
      </c>
      <c r="V418" s="14">
        <v>2502</v>
      </c>
      <c r="W418" s="17">
        <v>46099.682673611103</v>
      </c>
      <c r="X418" s="14" t="s">
        <v>2894</v>
      </c>
      <c r="Y418" s="14">
        <v>728</v>
      </c>
      <c r="Z418" s="14" t="s">
        <v>2692</v>
      </c>
      <c r="AA418" s="18">
        <v>20.491921296299552</v>
      </c>
      <c r="AB418" s="18" t="s">
        <v>2692</v>
      </c>
      <c r="AC418" s="8">
        <f>tbl_DPSAC[[#This Row],[Current Month Due Count]]</f>
        <v>0</v>
      </c>
      <c r="AD418" s="8">
        <f>tbl_DPSAC[[#This Row],[Next Month Due2]]</f>
        <v>0</v>
      </c>
      <c r="AE418" s="8"/>
      <c r="AF418" s="8">
        <v>4</v>
      </c>
      <c r="AG418" s="14">
        <f t="shared" ca="1" si="25"/>
        <v>2555</v>
      </c>
      <c r="AH418" s="8" t="s">
        <v>2262</v>
      </c>
      <c r="AI418" s="8" t="s">
        <v>1673</v>
      </c>
      <c r="AJ418" s="8" t="s">
        <v>2263</v>
      </c>
      <c r="AK418" s="8" t="s">
        <v>2264</v>
      </c>
      <c r="AL418" s="8" t="s">
        <v>2265</v>
      </c>
      <c r="AM418" s="8">
        <v>0</v>
      </c>
      <c r="AN418" s="8">
        <v>0</v>
      </c>
      <c r="AO418" s="8">
        <v>0</v>
      </c>
      <c r="AP418" s="8">
        <v>0</v>
      </c>
      <c r="AQ418" s="8">
        <v>0</v>
      </c>
      <c r="AR418" s="8">
        <v>0</v>
      </c>
      <c r="AS418" s="8">
        <v>0</v>
      </c>
      <c r="AT418" s="8">
        <v>0</v>
      </c>
      <c r="AU418" s="8">
        <v>0</v>
      </c>
      <c r="AV418" s="8">
        <v>0</v>
      </c>
      <c r="AW418" s="8">
        <v>0</v>
      </c>
      <c r="AX418" s="8" t="s">
        <v>2007</v>
      </c>
      <c r="AY418" s="14">
        <v>2480</v>
      </c>
      <c r="AZ418" s="19">
        <v>46092</v>
      </c>
      <c r="BA418" s="14" t="s">
        <v>2671</v>
      </c>
      <c r="BB418" s="14">
        <v>1493</v>
      </c>
      <c r="BC418" s="19">
        <v>45839</v>
      </c>
      <c r="BD418" s="14" t="s">
        <v>2266</v>
      </c>
      <c r="BE418" s="14">
        <v>2480</v>
      </c>
      <c r="BF418" s="19">
        <v>46092</v>
      </c>
      <c r="BG418" s="14" t="s">
        <v>2671</v>
      </c>
      <c r="BH418" s="14">
        <v>2480</v>
      </c>
      <c r="BI418" s="19">
        <v>46092</v>
      </c>
      <c r="BJ418" s="14" t="s">
        <v>2671</v>
      </c>
      <c r="BK418" s="14">
        <v>1493</v>
      </c>
      <c r="BL418" s="19">
        <v>45839</v>
      </c>
      <c r="BM418" s="14" t="s">
        <v>2266</v>
      </c>
      <c r="BN418" s="27">
        <v>46272</v>
      </c>
      <c r="BO418" s="27">
        <v>46019</v>
      </c>
      <c r="BP418" s="27">
        <v>46272</v>
      </c>
      <c r="BQ418" s="27">
        <v>46272</v>
      </c>
      <c r="BR418" s="27">
        <v>46019</v>
      </c>
      <c r="BS418" s="28">
        <v>675</v>
      </c>
      <c r="BT418" s="29">
        <v>438</v>
      </c>
      <c r="BU418" s="29">
        <v>675</v>
      </c>
      <c r="BV418" s="29">
        <v>675</v>
      </c>
      <c r="BW418" s="29">
        <v>438</v>
      </c>
      <c r="BX418" s="8"/>
      <c r="BY418" s="8">
        <v>2</v>
      </c>
      <c r="BZ418" s="8">
        <v>0</v>
      </c>
      <c r="CA418" s="8">
        <v>0</v>
      </c>
      <c r="CB418" s="21" t="s">
        <v>143</v>
      </c>
      <c r="CC418" s="21" t="s">
        <v>143</v>
      </c>
      <c r="CD418" s="21" t="s">
        <v>143</v>
      </c>
      <c r="CE418" s="21" t="s">
        <v>143</v>
      </c>
      <c r="CF418" s="21" t="s">
        <v>143</v>
      </c>
      <c r="CG418" s="21" t="s">
        <v>143</v>
      </c>
      <c r="CH418" s="21" t="s">
        <v>143</v>
      </c>
      <c r="CI418" s="21" t="s">
        <v>143</v>
      </c>
      <c r="CJ418" s="21" t="s">
        <v>143</v>
      </c>
      <c r="CK418" s="22" t="s">
        <v>143</v>
      </c>
      <c r="CL418" s="22" t="s">
        <v>143</v>
      </c>
      <c r="CM418" s="22" t="s">
        <v>143</v>
      </c>
      <c r="CN418" s="22" t="s">
        <v>143</v>
      </c>
      <c r="CO418" s="22" t="s">
        <v>143</v>
      </c>
      <c r="CP418" s="22" t="s">
        <v>143</v>
      </c>
      <c r="CQ418" s="22" t="s">
        <v>143</v>
      </c>
      <c r="CR418" s="22" t="s">
        <v>143</v>
      </c>
      <c r="CS418" s="22" t="s">
        <v>143</v>
      </c>
      <c r="CT418" s="22" t="s">
        <v>143</v>
      </c>
      <c r="CU418" s="21" t="s">
        <v>143</v>
      </c>
      <c r="CV418" s="21" t="s">
        <v>143</v>
      </c>
      <c r="CW418" s="21" t="s">
        <v>143</v>
      </c>
      <c r="CX418" s="21" t="s">
        <v>143</v>
      </c>
      <c r="CY418" s="21" t="s">
        <v>143</v>
      </c>
      <c r="CZ418" s="21" t="s">
        <v>143</v>
      </c>
      <c r="DA418" s="21" t="s">
        <v>143</v>
      </c>
      <c r="DB418" s="21" t="s">
        <v>143</v>
      </c>
      <c r="DC418" s="21" t="s">
        <v>143</v>
      </c>
      <c r="DD418" s="8" t="s">
        <v>143</v>
      </c>
      <c r="DE418" s="8" t="s">
        <v>143</v>
      </c>
      <c r="DF418" s="8" t="s">
        <v>143</v>
      </c>
      <c r="DG418" s="8">
        <v>0</v>
      </c>
      <c r="DH418" s="8">
        <v>0</v>
      </c>
      <c r="DI418" s="8">
        <v>0</v>
      </c>
      <c r="DJ418" s="8" t="s">
        <v>2976</v>
      </c>
      <c r="DK418" s="21">
        <v>45464</v>
      </c>
      <c r="DL418" s="21">
        <v>45450.229166666664</v>
      </c>
      <c r="DM418" s="21">
        <v>46099</v>
      </c>
      <c r="DN418" s="18">
        <v>2502</v>
      </c>
      <c r="DO418" s="21">
        <v>0</v>
      </c>
      <c r="DP418" s="21">
        <v>0</v>
      </c>
      <c r="DQ418" s="21" t="s">
        <v>2955</v>
      </c>
      <c r="DR418" s="21">
        <v>45929</v>
      </c>
      <c r="DS418" s="21">
        <v>46093</v>
      </c>
      <c r="DT418" s="21">
        <v>46093</v>
      </c>
      <c r="DU418" s="21">
        <v>46093</v>
      </c>
      <c r="DV418" s="21">
        <v>46093</v>
      </c>
      <c r="DW418" s="21">
        <v>45839</v>
      </c>
      <c r="DX418" s="21">
        <v>46093</v>
      </c>
      <c r="DY418" s="21">
        <v>45839</v>
      </c>
      <c r="DZ418" s="21">
        <v>45839</v>
      </c>
      <c r="EA418" s="8">
        <v>678</v>
      </c>
      <c r="EB418" s="8">
        <v>728</v>
      </c>
      <c r="EC418" s="8">
        <v>478</v>
      </c>
      <c r="ED418" s="8">
        <v>728</v>
      </c>
      <c r="EE418" s="8">
        <v>728</v>
      </c>
      <c r="EF418" s="8">
        <v>678</v>
      </c>
      <c r="EG418" s="8">
        <v>978</v>
      </c>
      <c r="EH418" s="8">
        <v>678</v>
      </c>
      <c r="EI418" s="8">
        <v>678</v>
      </c>
      <c r="EJ418" s="8">
        <v>4</v>
      </c>
      <c r="EK418" s="8" t="s">
        <v>2624</v>
      </c>
      <c r="EL418" s="8">
        <v>13</v>
      </c>
      <c r="EM418" s="8">
        <v>52</v>
      </c>
      <c r="EN418" s="8">
        <v>390</v>
      </c>
      <c r="EO418" s="8">
        <v>440</v>
      </c>
      <c r="EP418" s="8">
        <v>190</v>
      </c>
      <c r="EQ418" s="8">
        <v>440</v>
      </c>
      <c r="ER418" s="8">
        <v>440</v>
      </c>
      <c r="ES418" s="8">
        <v>390</v>
      </c>
      <c r="ET418" s="8">
        <v>690</v>
      </c>
      <c r="EU418" s="8">
        <v>390</v>
      </c>
      <c r="EV418" s="8">
        <v>390</v>
      </c>
    </row>
    <row r="419" spans="1:152" x14ac:dyDescent="0.15">
      <c r="A419" s="8">
        <f>ROW([2]!tbl_DPSAC[[#This Row],[Sl. No.]])-1</f>
        <v>418</v>
      </c>
      <c r="B419" s="9" t="s">
        <v>136</v>
      </c>
      <c r="C419" s="8" t="s">
        <v>2267</v>
      </c>
      <c r="D419" s="8" t="s">
        <v>138</v>
      </c>
      <c r="E419" s="8" t="s">
        <v>1232</v>
      </c>
      <c r="F419" s="9" t="s">
        <v>161</v>
      </c>
      <c r="G419" s="23" t="s">
        <v>2268</v>
      </c>
      <c r="H419" s="10" t="str">
        <f>_xlfn.XLOOKUP(C419,'[1]E&amp;DPSAC'!$K:$K,'[1]E&amp;DPSAC'!$E:$E,,0)</f>
        <v>GIRIDIH</v>
      </c>
      <c r="I419" s="23"/>
      <c r="J419" s="10">
        <v>8340417458</v>
      </c>
      <c r="K419" s="10">
        <f>IF(_xlfn.XLOOKUP(C419,'[1]E&amp;DPSAC'!$K:$K,'[1]E&amp;DPSAC'!$G:$G,"",0)=J419,"",_xlfn.XLOOKUP(C419,'[1]E&amp;DPSAC'!$K:$K,'[1]E&amp;DPSAC'!$G:$G,"",0))</f>
        <v>9155064551</v>
      </c>
      <c r="L419" s="9" t="str">
        <f t="shared" ca="1" si="24"/>
        <v>Warranty</v>
      </c>
      <c r="M419" s="13">
        <v>45580</v>
      </c>
      <c r="N419" s="12">
        <v>24</v>
      </c>
      <c r="O419" s="11">
        <f t="shared" si="23"/>
        <v>46326</v>
      </c>
      <c r="P419" s="8" t="s">
        <v>213</v>
      </c>
      <c r="Q419" s="16" t="s">
        <v>2269</v>
      </c>
      <c r="R419" s="15">
        <v>45775.643078703702</v>
      </c>
      <c r="S419" s="14">
        <v>500</v>
      </c>
      <c r="T419" s="15">
        <v>45775</v>
      </c>
      <c r="U419" s="14">
        <v>1</v>
      </c>
      <c r="V419" s="14">
        <v>1291</v>
      </c>
      <c r="W419" s="17">
        <v>46099.686678240701</v>
      </c>
      <c r="X419" s="14" t="s">
        <v>2895</v>
      </c>
      <c r="Y419" s="14">
        <v>-41</v>
      </c>
      <c r="Z419" s="14" t="s">
        <v>2697</v>
      </c>
      <c r="AA419" s="18">
        <v>337.35692129629751</v>
      </c>
      <c r="AB419" s="18" t="s">
        <v>2697</v>
      </c>
      <c r="AC419" s="8">
        <f>tbl_DPSAC[[#This Row],[Current Month Due Count]]</f>
        <v>0</v>
      </c>
      <c r="AD419" s="8">
        <f>tbl_DPSAC[[#This Row],[Next Month Due2]]</f>
        <v>0</v>
      </c>
      <c r="AE419" s="8"/>
      <c r="AF419" s="8">
        <v>1</v>
      </c>
      <c r="AG419" s="14">
        <f t="shared" ca="1" si="25"/>
        <v>1304</v>
      </c>
      <c r="AH419" s="8">
        <v>0</v>
      </c>
      <c r="AI419" s="8">
        <v>0</v>
      </c>
      <c r="AJ419" s="8">
        <v>0</v>
      </c>
      <c r="AK419" s="8">
        <v>0</v>
      </c>
      <c r="AL419" s="8">
        <v>0</v>
      </c>
      <c r="AM419" s="8">
        <v>0</v>
      </c>
      <c r="AN419" s="8">
        <v>0</v>
      </c>
      <c r="AO419" s="8">
        <v>0</v>
      </c>
      <c r="AP419" s="8">
        <v>0</v>
      </c>
      <c r="AQ419" s="8">
        <v>0</v>
      </c>
      <c r="AR419" s="8">
        <v>0</v>
      </c>
      <c r="AS419" s="8">
        <v>0</v>
      </c>
      <c r="AT419" s="8">
        <v>0</v>
      </c>
      <c r="AU419" s="8">
        <v>0</v>
      </c>
      <c r="AV419" s="8">
        <v>0</v>
      </c>
      <c r="AW419" s="8">
        <v>0</v>
      </c>
      <c r="AX419" s="8" t="s">
        <v>2980</v>
      </c>
      <c r="AY419" s="14">
        <v>500</v>
      </c>
      <c r="AZ419" s="19">
        <v>45775</v>
      </c>
      <c r="BA419" s="14" t="s">
        <v>2269</v>
      </c>
      <c r="BB419" s="14">
        <v>1</v>
      </c>
      <c r="BC419" s="19">
        <v>45580</v>
      </c>
      <c r="BD419" s="14" t="s">
        <v>2270</v>
      </c>
      <c r="BE419" s="14">
        <v>500</v>
      </c>
      <c r="BF419" s="19">
        <v>45775</v>
      </c>
      <c r="BG419" s="14" t="s">
        <v>2269</v>
      </c>
      <c r="BH419" s="14">
        <v>500</v>
      </c>
      <c r="BI419" s="19">
        <v>45775</v>
      </c>
      <c r="BJ419" s="14" t="s">
        <v>2269</v>
      </c>
      <c r="BK419" s="14">
        <v>1</v>
      </c>
      <c r="BL419" s="19">
        <v>45580</v>
      </c>
      <c r="BM419" s="14" t="s">
        <v>2270</v>
      </c>
      <c r="BN419" s="27">
        <v>45955</v>
      </c>
      <c r="BO419" s="27">
        <v>45760</v>
      </c>
      <c r="BP419" s="27">
        <v>45955</v>
      </c>
      <c r="BQ419" s="27">
        <v>45955</v>
      </c>
      <c r="BR419" s="27">
        <v>45760</v>
      </c>
      <c r="BS419" s="28">
        <v>-54</v>
      </c>
      <c r="BT419" s="29">
        <v>197</v>
      </c>
      <c r="BU419" s="29">
        <v>-54</v>
      </c>
      <c r="BV419" s="29">
        <v>-54</v>
      </c>
      <c r="BW419" s="29">
        <v>197</v>
      </c>
      <c r="BX419" s="8"/>
      <c r="BY419" s="8">
        <v>5</v>
      </c>
      <c r="BZ419" s="8">
        <v>0</v>
      </c>
      <c r="CA419" s="8">
        <v>0</v>
      </c>
      <c r="CB419" s="21">
        <v>45774.770833333299</v>
      </c>
      <c r="CC419" s="21">
        <v>45774.770833333299</v>
      </c>
      <c r="CD419" s="21">
        <v>45774.770833333299</v>
      </c>
      <c r="CE419" s="21">
        <v>45774.770833333299</v>
      </c>
      <c r="CF419" s="21">
        <v>45579.770833333299</v>
      </c>
      <c r="CG419" s="21">
        <v>45579.770833333299</v>
      </c>
      <c r="CH419" s="21">
        <v>45579.770833333299</v>
      </c>
      <c r="CI419" s="21">
        <v>45579.770833333299</v>
      </c>
      <c r="CJ419" s="21">
        <v>45579.770833333299</v>
      </c>
      <c r="CK419" s="22" t="s">
        <v>3029</v>
      </c>
      <c r="CL419" s="22" t="s">
        <v>3029</v>
      </c>
      <c r="CM419" s="22" t="s">
        <v>3029</v>
      </c>
      <c r="CN419" s="22" t="s">
        <v>3029</v>
      </c>
      <c r="CO419" s="22" t="s">
        <v>3029</v>
      </c>
      <c r="CP419" s="22" t="s">
        <v>3035</v>
      </c>
      <c r="CQ419" s="22" t="s">
        <v>2953</v>
      </c>
      <c r="CR419" s="22" t="s">
        <v>3035</v>
      </c>
      <c r="CS419" s="22" t="s">
        <v>3035</v>
      </c>
      <c r="CT419" s="22">
        <v>1</v>
      </c>
      <c r="CU419" s="21">
        <v>45954</v>
      </c>
      <c r="CV419" s="21">
        <v>45954</v>
      </c>
      <c r="CW419" s="21">
        <v>45954</v>
      </c>
      <c r="CX419" s="21">
        <v>45954</v>
      </c>
      <c r="CY419" s="21">
        <v>45759</v>
      </c>
      <c r="CZ419" s="21">
        <v>45849</v>
      </c>
      <c r="DA419" s="21">
        <v>45944</v>
      </c>
      <c r="DB419" s="21">
        <v>45759</v>
      </c>
      <c r="DC419" s="21">
        <v>45944</v>
      </c>
      <c r="DD419" s="8">
        <v>1</v>
      </c>
      <c r="DE419" s="8">
        <v>0</v>
      </c>
      <c r="DF419" s="8">
        <v>0</v>
      </c>
      <c r="DG419" s="8">
        <v>9</v>
      </c>
      <c r="DH419" s="8">
        <v>0</v>
      </c>
      <c r="DI419" s="8">
        <v>0</v>
      </c>
      <c r="DJ419" s="8" t="s">
        <v>2976</v>
      </c>
      <c r="DK419" s="21">
        <v>45580</v>
      </c>
      <c r="DL419" s="21">
        <v>45554.229166666664</v>
      </c>
      <c r="DM419" s="21">
        <v>46099</v>
      </c>
      <c r="DN419" s="18">
        <v>1291</v>
      </c>
      <c r="DO419" s="21">
        <v>0</v>
      </c>
      <c r="DP419" s="21">
        <v>0</v>
      </c>
      <c r="DQ419" s="21" t="s">
        <v>2955</v>
      </c>
      <c r="DR419" s="21">
        <v>45775</v>
      </c>
      <c r="DS419" s="21">
        <v>45775</v>
      </c>
      <c r="DT419" s="21">
        <v>45775</v>
      </c>
      <c r="DU419" s="21">
        <v>45775</v>
      </c>
      <c r="DV419" s="21">
        <v>45775</v>
      </c>
      <c r="DW419" s="21">
        <v>45580</v>
      </c>
      <c r="DX419" s="21">
        <v>45580</v>
      </c>
      <c r="DY419" s="21">
        <v>45580</v>
      </c>
      <c r="DZ419" s="21">
        <v>45580</v>
      </c>
      <c r="EA419" s="8">
        <v>-41</v>
      </c>
      <c r="EB419" s="8">
        <v>-41</v>
      </c>
      <c r="EC419" s="8">
        <v>-41</v>
      </c>
      <c r="ED419" s="8">
        <v>-41</v>
      </c>
      <c r="EE419" s="8">
        <v>-41</v>
      </c>
      <c r="EF419" s="8">
        <v>209</v>
      </c>
      <c r="EG419" s="8">
        <v>934</v>
      </c>
      <c r="EH419" s="8">
        <v>209</v>
      </c>
      <c r="EI419" s="8">
        <v>209</v>
      </c>
      <c r="EJ419" s="8">
        <v>1</v>
      </c>
      <c r="EK419" s="8" t="s">
        <v>2624</v>
      </c>
      <c r="EL419" s="8">
        <v>13</v>
      </c>
      <c r="EM419" s="8">
        <v>13</v>
      </c>
      <c r="EN419" s="8">
        <v>-329</v>
      </c>
      <c r="EO419" s="8">
        <v>-329</v>
      </c>
      <c r="EP419" s="8">
        <v>-329</v>
      </c>
      <c r="EQ419" s="8">
        <v>-329</v>
      </c>
      <c r="ER419" s="8">
        <v>-329</v>
      </c>
      <c r="ES419" s="8">
        <v>-79</v>
      </c>
      <c r="ET419" s="8">
        <v>646</v>
      </c>
      <c r="EU419" s="8">
        <v>-79</v>
      </c>
      <c r="EV419" s="8">
        <v>-79</v>
      </c>
    </row>
    <row r="420" spans="1:152" x14ac:dyDescent="0.15">
      <c r="A420" s="8">
        <f>ROW([2]!tbl_DPSAC[[#This Row],[Sl. No.]])-1</f>
        <v>419</v>
      </c>
      <c r="B420" s="9" t="s">
        <v>136</v>
      </c>
      <c r="C420" s="8" t="s">
        <v>2271</v>
      </c>
      <c r="D420" s="8" t="s">
        <v>638</v>
      </c>
      <c r="E420" s="8" t="s">
        <v>639</v>
      </c>
      <c r="F420" s="9" t="s">
        <v>140</v>
      </c>
      <c r="G420" s="23" t="s">
        <v>2272</v>
      </c>
      <c r="H420" s="10" t="str">
        <f>_xlfn.XLOOKUP(C420,'[1]E&amp;DPSAC'!$K:$K,'[1]E&amp;DPSAC'!$E:$E,,0)</f>
        <v>CHATRA</v>
      </c>
      <c r="I420" s="23"/>
      <c r="J420" s="10">
        <v>9304734925</v>
      </c>
      <c r="K420" s="10" t="str">
        <f>IF(_xlfn.XLOOKUP(C420,'[1]E&amp;DPSAC'!$K:$K,'[1]E&amp;DPSAC'!$G:$G,"",0)=J420,"",_xlfn.XLOOKUP(C420,'[1]E&amp;DPSAC'!$K:$K,'[1]E&amp;DPSAC'!$G:$G,"",0))</f>
        <v/>
      </c>
      <c r="L420" s="9" t="str">
        <f t="shared" ca="1" si="24"/>
        <v>Warranty</v>
      </c>
      <c r="M420" s="13">
        <v>45346</v>
      </c>
      <c r="N420" s="12">
        <v>36</v>
      </c>
      <c r="O420" s="11">
        <f t="shared" si="23"/>
        <v>46446</v>
      </c>
      <c r="P420" s="8" t="s">
        <v>213</v>
      </c>
      <c r="Q420" s="16" t="s">
        <v>2274</v>
      </c>
      <c r="R420" s="15">
        <v>45463.481261574103</v>
      </c>
      <c r="S420" s="14">
        <v>741</v>
      </c>
      <c r="T420" s="15">
        <v>45769</v>
      </c>
      <c r="U420" s="14">
        <v>973</v>
      </c>
      <c r="V420" s="14">
        <v>1770</v>
      </c>
      <c r="W420" s="17">
        <v>46099.690462963001</v>
      </c>
      <c r="X420" s="14" t="s">
        <v>2896</v>
      </c>
      <c r="Y420" s="14">
        <v>-279</v>
      </c>
      <c r="Z420" s="14" t="s">
        <v>2697</v>
      </c>
      <c r="AA420" s="18">
        <v>649.51873842589703</v>
      </c>
      <c r="AB420" s="18" t="s">
        <v>2697</v>
      </c>
      <c r="AC420" s="8">
        <f>tbl_DPSAC[[#This Row],[Current Month Due Count]]</f>
        <v>0</v>
      </c>
      <c r="AD420" s="8">
        <f>tbl_DPSAC[[#This Row],[Next Month Due2]]</f>
        <v>0</v>
      </c>
      <c r="AE420" s="8"/>
      <c r="AF420" s="8">
        <v>0</v>
      </c>
      <c r="AG420" s="14">
        <f t="shared" ca="1" si="25"/>
        <v>1770</v>
      </c>
      <c r="AH420" s="8" t="s">
        <v>2273</v>
      </c>
      <c r="AI420" s="8">
        <v>0</v>
      </c>
      <c r="AJ420" s="8">
        <v>0</v>
      </c>
      <c r="AK420" s="8">
        <v>0</v>
      </c>
      <c r="AL420" s="8">
        <v>0</v>
      </c>
      <c r="AM420" s="8">
        <v>0</v>
      </c>
      <c r="AN420" s="8">
        <v>0</v>
      </c>
      <c r="AO420" s="8">
        <v>0</v>
      </c>
      <c r="AP420" s="8">
        <v>0</v>
      </c>
      <c r="AQ420" s="8">
        <v>0</v>
      </c>
      <c r="AR420" s="8">
        <v>0</v>
      </c>
      <c r="AS420" s="8">
        <v>0</v>
      </c>
      <c r="AT420" s="8">
        <v>0</v>
      </c>
      <c r="AU420" s="8">
        <v>0</v>
      </c>
      <c r="AV420" s="8">
        <v>0</v>
      </c>
      <c r="AW420" s="8">
        <v>0</v>
      </c>
      <c r="AX420" s="8" t="s">
        <v>2961</v>
      </c>
      <c r="AY420" s="14">
        <v>741</v>
      </c>
      <c r="AZ420" s="19">
        <v>45463</v>
      </c>
      <c r="BA420" s="14" t="s">
        <v>2274</v>
      </c>
      <c r="BB420" s="14">
        <v>1</v>
      </c>
      <c r="BC420" s="19">
        <v>45345</v>
      </c>
      <c r="BD420" s="14" t="s">
        <v>2275</v>
      </c>
      <c r="BE420" s="14">
        <v>741</v>
      </c>
      <c r="BF420" s="19">
        <v>45463</v>
      </c>
      <c r="BG420" s="14" t="s">
        <v>2274</v>
      </c>
      <c r="BH420" s="14">
        <v>741</v>
      </c>
      <c r="BI420" s="19">
        <v>45463</v>
      </c>
      <c r="BJ420" s="14" t="s">
        <v>2274</v>
      </c>
      <c r="BK420" s="14">
        <v>1</v>
      </c>
      <c r="BL420" s="19">
        <v>45345</v>
      </c>
      <c r="BM420" s="14" t="s">
        <v>2275</v>
      </c>
      <c r="BN420" s="27">
        <v>45643</v>
      </c>
      <c r="BO420" s="27">
        <v>45525</v>
      </c>
      <c r="BP420" s="27">
        <v>45643</v>
      </c>
      <c r="BQ420" s="27">
        <v>45643</v>
      </c>
      <c r="BR420" s="27">
        <v>45525</v>
      </c>
      <c r="BS420" s="28">
        <v>-279</v>
      </c>
      <c r="BT420" s="29">
        <v>-269</v>
      </c>
      <c r="BU420" s="29">
        <v>-279</v>
      </c>
      <c r="BV420" s="29">
        <v>-279</v>
      </c>
      <c r="BW420" s="29">
        <v>-269</v>
      </c>
      <c r="BX420" s="8"/>
      <c r="BY420" s="8">
        <v>5</v>
      </c>
      <c r="BZ420" s="8">
        <v>0</v>
      </c>
      <c r="CA420" s="8">
        <v>0</v>
      </c>
      <c r="CB420" s="21">
        <v>45462.770833333299</v>
      </c>
      <c r="CC420" s="21">
        <v>45462.770833333299</v>
      </c>
      <c r="CD420" s="21">
        <v>45462.770833333299</v>
      </c>
      <c r="CE420" s="21">
        <v>45462.770833333299</v>
      </c>
      <c r="CF420" s="21">
        <v>45462.770833333299</v>
      </c>
      <c r="CG420" s="21">
        <v>0</v>
      </c>
      <c r="CH420" s="21">
        <v>0</v>
      </c>
      <c r="CI420" s="21">
        <v>0</v>
      </c>
      <c r="CJ420" s="21">
        <v>0</v>
      </c>
      <c r="CK420" s="22" t="s">
        <v>2971</v>
      </c>
      <c r="CL420" s="22" t="s">
        <v>2971</v>
      </c>
      <c r="CM420" s="22" t="s">
        <v>2971</v>
      </c>
      <c r="CN420" s="22" t="s">
        <v>2971</v>
      </c>
      <c r="CO420" s="22" t="s">
        <v>2971</v>
      </c>
      <c r="CP420" s="22" t="s">
        <v>2971</v>
      </c>
      <c r="CQ420" s="22" t="s">
        <v>2953</v>
      </c>
      <c r="CR420" s="22" t="s">
        <v>2971</v>
      </c>
      <c r="CS420" s="22" t="s">
        <v>2971</v>
      </c>
      <c r="CT420" s="22">
        <v>2</v>
      </c>
      <c r="CU420" s="21">
        <v>45642</v>
      </c>
      <c r="CV420" s="21">
        <v>45642</v>
      </c>
      <c r="CW420" s="21">
        <v>45642</v>
      </c>
      <c r="CX420" s="21">
        <v>45642</v>
      </c>
      <c r="CY420" s="21">
        <v>45642</v>
      </c>
      <c r="CZ420" s="21">
        <v>46146</v>
      </c>
      <c r="DA420" s="21">
        <v>46124</v>
      </c>
      <c r="DB420" s="21">
        <v>46096</v>
      </c>
      <c r="DC420" s="21">
        <v>46145</v>
      </c>
      <c r="DD420" s="8">
        <v>1</v>
      </c>
      <c r="DE420" s="8">
        <v>0</v>
      </c>
      <c r="DF420" s="8">
        <v>1</v>
      </c>
      <c r="DG420" s="8">
        <v>6</v>
      </c>
      <c r="DH420" s="8">
        <v>1</v>
      </c>
      <c r="DI420" s="8">
        <v>2</v>
      </c>
      <c r="DJ420" s="8" t="s">
        <v>2976</v>
      </c>
      <c r="DK420" s="21">
        <v>45346</v>
      </c>
      <c r="DL420" s="21">
        <v>45328.229166666664</v>
      </c>
      <c r="DM420" s="21">
        <v>46099</v>
      </c>
      <c r="DN420" s="18">
        <v>1770</v>
      </c>
      <c r="DO420" s="21">
        <v>0</v>
      </c>
      <c r="DP420" s="21">
        <v>0</v>
      </c>
      <c r="DQ420" s="21" t="s">
        <v>2955</v>
      </c>
      <c r="DR420" s="21">
        <v>45463</v>
      </c>
      <c r="DS420" s="21">
        <v>45463</v>
      </c>
      <c r="DT420" s="21">
        <v>45463</v>
      </c>
      <c r="DU420" s="21">
        <v>45463</v>
      </c>
      <c r="DV420" s="21">
        <v>45463</v>
      </c>
      <c r="DW420" s="21">
        <v>45463</v>
      </c>
      <c r="DX420" s="21">
        <v>45463</v>
      </c>
      <c r="DY420" s="21">
        <v>45463</v>
      </c>
      <c r="DZ420" s="21">
        <v>45463</v>
      </c>
      <c r="EA420" s="8">
        <v>230</v>
      </c>
      <c r="EB420" s="8">
        <v>230</v>
      </c>
      <c r="EC420" s="8">
        <v>230</v>
      </c>
      <c r="ED420" s="8">
        <v>230</v>
      </c>
      <c r="EE420" s="8">
        <v>230</v>
      </c>
      <c r="EF420" s="8">
        <v>230</v>
      </c>
      <c r="EG420" s="8">
        <v>1000</v>
      </c>
      <c r="EH420" s="8">
        <v>230</v>
      </c>
      <c r="EI420" s="8">
        <v>230</v>
      </c>
      <c r="EJ420" s="8">
        <v>0</v>
      </c>
      <c r="EK420" s="8" t="s">
        <v>2624</v>
      </c>
      <c r="EL420" s="8">
        <v>13</v>
      </c>
      <c r="EM420" s="8">
        <v>0</v>
      </c>
      <c r="EN420" s="8">
        <v>-58</v>
      </c>
      <c r="EO420" s="8">
        <v>-58</v>
      </c>
      <c r="EP420" s="8">
        <v>-58</v>
      </c>
      <c r="EQ420" s="8">
        <v>-58</v>
      </c>
      <c r="ER420" s="8">
        <v>-58</v>
      </c>
      <c r="ES420" s="8">
        <v>-58</v>
      </c>
      <c r="ET420" s="8">
        <v>712</v>
      </c>
      <c r="EU420" s="8">
        <v>-58</v>
      </c>
      <c r="EV420" s="8">
        <v>-58</v>
      </c>
    </row>
    <row r="421" spans="1:152" x14ac:dyDescent="0.15">
      <c r="A421" s="8">
        <f>ROW([2]!tbl_DPSAC[[#This Row],[Sl. No.]])-1</f>
        <v>420</v>
      </c>
      <c r="B421" s="9" t="s">
        <v>136</v>
      </c>
      <c r="C421" s="8" t="s">
        <v>2276</v>
      </c>
      <c r="D421" s="8" t="s">
        <v>333</v>
      </c>
      <c r="E421" s="8" t="s">
        <v>333</v>
      </c>
      <c r="F421" s="9" t="s">
        <v>140</v>
      </c>
      <c r="G421" s="23" t="s">
        <v>2252</v>
      </c>
      <c r="H421" s="10" t="str">
        <f>_xlfn.XLOOKUP(C421,'[1]E&amp;DPSAC'!$K:$K,'[1]E&amp;DPSAC'!$E:$E,,0)</f>
        <v>KEREDARI, HAZARIBAGH</v>
      </c>
      <c r="I421" s="23"/>
      <c r="J421" s="10">
        <v>6348067513</v>
      </c>
      <c r="K421" s="10">
        <f>IF(_xlfn.XLOOKUP(C421,'[1]E&amp;DPSAC'!$K:$K,'[1]E&amp;DPSAC'!$G:$G,"",0)=J421,"",_xlfn.XLOOKUP(C421,'[1]E&amp;DPSAC'!$K:$K,'[1]E&amp;DPSAC'!$G:$G,"",0))</f>
        <v>9348067513</v>
      </c>
      <c r="L421" s="9" t="str">
        <f t="shared" ca="1" si="24"/>
        <v>Warranty</v>
      </c>
      <c r="M421" s="13">
        <v>45415</v>
      </c>
      <c r="N421" s="12">
        <v>36</v>
      </c>
      <c r="O421" s="11">
        <f t="shared" si="23"/>
        <v>46538</v>
      </c>
      <c r="P421" s="8" t="s">
        <v>213</v>
      </c>
      <c r="Q421" s="16" t="s">
        <v>2280</v>
      </c>
      <c r="R421" s="15">
        <v>46052.505347222199</v>
      </c>
      <c r="S421" s="14">
        <v>2958</v>
      </c>
      <c r="T421" s="15">
        <v>46053</v>
      </c>
      <c r="U421" s="14">
        <v>2958</v>
      </c>
      <c r="V421" s="14">
        <v>3094</v>
      </c>
      <c r="W421" s="17">
        <v>46099.694166666697</v>
      </c>
      <c r="X421" s="14" t="s">
        <v>2897</v>
      </c>
      <c r="Y421" s="14">
        <v>614</v>
      </c>
      <c r="Z421" s="14" t="s">
        <v>2692</v>
      </c>
      <c r="AA421" s="18">
        <v>60.494652777801093</v>
      </c>
      <c r="AB421" s="18" t="s">
        <v>2692</v>
      </c>
      <c r="AC421" s="8">
        <f>tbl_DPSAC[[#This Row],[Current Month Due Count]]</f>
        <v>0</v>
      </c>
      <c r="AD421" s="8">
        <f>tbl_DPSAC[[#This Row],[Next Month Due2]]</f>
        <v>0</v>
      </c>
      <c r="AE421" s="8"/>
      <c r="AF421" s="8">
        <v>3</v>
      </c>
      <c r="AG421" s="14">
        <f t="shared" ca="1" si="25"/>
        <v>3134</v>
      </c>
      <c r="AH421" s="8" t="s">
        <v>2277</v>
      </c>
      <c r="AI421" s="8" t="s">
        <v>1951</v>
      </c>
      <c r="AJ421" s="8" t="s">
        <v>2278</v>
      </c>
      <c r="AK421" s="8" t="s">
        <v>2279</v>
      </c>
      <c r="AL421" s="8">
        <v>0</v>
      </c>
      <c r="AM421" s="8">
        <v>0</v>
      </c>
      <c r="AN421" s="8">
        <v>0</v>
      </c>
      <c r="AO421" s="8">
        <v>0</v>
      </c>
      <c r="AP421" s="8">
        <v>0</v>
      </c>
      <c r="AQ421" s="8">
        <v>0</v>
      </c>
      <c r="AR421" s="8">
        <v>0</v>
      </c>
      <c r="AS421" s="8">
        <v>0</v>
      </c>
      <c r="AT421" s="8">
        <v>0</v>
      </c>
      <c r="AU421" s="8">
        <v>0</v>
      </c>
      <c r="AV421" s="8">
        <v>0</v>
      </c>
      <c r="AW421" s="8">
        <v>0</v>
      </c>
      <c r="AX421" s="8" t="s">
        <v>2007</v>
      </c>
      <c r="AY421" s="14">
        <v>2958</v>
      </c>
      <c r="AZ421" s="19">
        <v>46052</v>
      </c>
      <c r="BA421" s="14" t="s">
        <v>2280</v>
      </c>
      <c r="BB421" s="14">
        <v>2958</v>
      </c>
      <c r="BC421" s="19">
        <v>46052</v>
      </c>
      <c r="BD421" s="14" t="s">
        <v>2280</v>
      </c>
      <c r="BE421" s="14">
        <v>2958</v>
      </c>
      <c r="BF421" s="19">
        <v>46052</v>
      </c>
      <c r="BG421" s="14" t="s">
        <v>2280</v>
      </c>
      <c r="BH421" s="14">
        <v>2958</v>
      </c>
      <c r="BI421" s="19">
        <v>46052</v>
      </c>
      <c r="BJ421" s="14" t="s">
        <v>2280</v>
      </c>
      <c r="BK421" s="14">
        <v>2958</v>
      </c>
      <c r="BL421" s="19">
        <v>46052</v>
      </c>
      <c r="BM421" s="14" t="s">
        <v>2280</v>
      </c>
      <c r="BN421" s="27">
        <v>46232</v>
      </c>
      <c r="BO421" s="27">
        <v>46232</v>
      </c>
      <c r="BP421" s="27">
        <v>46232</v>
      </c>
      <c r="BQ421" s="27">
        <v>46232</v>
      </c>
      <c r="BR421" s="27">
        <v>46232</v>
      </c>
      <c r="BS421" s="28">
        <v>574</v>
      </c>
      <c r="BT421" s="29">
        <v>1324</v>
      </c>
      <c r="BU421" s="29">
        <v>574</v>
      </c>
      <c r="BV421" s="29">
        <v>574</v>
      </c>
      <c r="BW421" s="29">
        <v>1324</v>
      </c>
      <c r="BX421" s="8"/>
      <c r="BY421" s="8">
        <v>0</v>
      </c>
      <c r="BZ421" s="8">
        <v>0</v>
      </c>
      <c r="CA421" s="8">
        <v>0</v>
      </c>
      <c r="CB421" s="21">
        <v>46051.770833333299</v>
      </c>
      <c r="CC421" s="21">
        <v>46051.770833333299</v>
      </c>
      <c r="CD421" s="21">
        <v>46051.770833333299</v>
      </c>
      <c r="CE421" s="21">
        <v>46051.770833333299</v>
      </c>
      <c r="CF421" s="21">
        <v>46051.770833333299</v>
      </c>
      <c r="CG421" s="21">
        <v>46051.770833333299</v>
      </c>
      <c r="CH421" s="21">
        <v>46051.770833333299</v>
      </c>
      <c r="CI421" s="21">
        <v>46051.770833333299</v>
      </c>
      <c r="CJ421" s="21">
        <v>46051.770833333299</v>
      </c>
      <c r="CK421" s="22" t="s">
        <v>2956</v>
      </c>
      <c r="CL421" s="22" t="s">
        <v>2957</v>
      </c>
      <c r="CM421" s="22" t="s">
        <v>2959</v>
      </c>
      <c r="CN421" s="22" t="s">
        <v>2957</v>
      </c>
      <c r="CO421" s="22" t="s">
        <v>2957</v>
      </c>
      <c r="CP421" s="22" t="s">
        <v>2956</v>
      </c>
      <c r="CQ421" s="22" t="s">
        <v>2953</v>
      </c>
      <c r="CR421" s="22" t="s">
        <v>2956</v>
      </c>
      <c r="CS421" s="22" t="s">
        <v>2960</v>
      </c>
      <c r="CT421" s="22">
        <v>5</v>
      </c>
      <c r="CU421" s="21">
        <v>46231</v>
      </c>
      <c r="CV421" s="21">
        <v>46203</v>
      </c>
      <c r="CW421" s="21">
        <v>46153</v>
      </c>
      <c r="CX421" s="21">
        <v>46203</v>
      </c>
      <c r="CY421" s="21">
        <v>46203</v>
      </c>
      <c r="CZ421" s="21">
        <v>46321</v>
      </c>
      <c r="DA421" s="21">
        <v>46253</v>
      </c>
      <c r="DB421" s="21">
        <v>46231</v>
      </c>
      <c r="DC421" s="21">
        <v>46416</v>
      </c>
      <c r="DD421" s="8">
        <v>0</v>
      </c>
      <c r="DE421" s="8">
        <v>0</v>
      </c>
      <c r="DF421" s="8">
        <v>0</v>
      </c>
      <c r="DG421" s="8">
        <v>0</v>
      </c>
      <c r="DH421" s="8">
        <v>0</v>
      </c>
      <c r="DI421" s="8">
        <v>1</v>
      </c>
      <c r="DJ421" s="8" t="s">
        <v>2976</v>
      </c>
      <c r="DK421" s="21">
        <v>45415</v>
      </c>
      <c r="DL421" s="21">
        <v>45358.229166666664</v>
      </c>
      <c r="DM421" s="21">
        <v>46099</v>
      </c>
      <c r="DN421" s="18">
        <v>3094</v>
      </c>
      <c r="DO421" s="21">
        <v>0</v>
      </c>
      <c r="DP421" s="21">
        <v>0</v>
      </c>
      <c r="DQ421" s="21" t="s">
        <v>2955</v>
      </c>
      <c r="DR421" s="21">
        <v>46052</v>
      </c>
      <c r="DS421" s="21">
        <v>46052</v>
      </c>
      <c r="DT421" s="21">
        <v>46052</v>
      </c>
      <c r="DU421" s="21">
        <v>46052</v>
      </c>
      <c r="DV421" s="21">
        <v>46052</v>
      </c>
      <c r="DW421" s="21">
        <v>46052</v>
      </c>
      <c r="DX421" s="21">
        <v>46052</v>
      </c>
      <c r="DY421" s="21">
        <v>46052</v>
      </c>
      <c r="DZ421" s="21">
        <v>46052</v>
      </c>
      <c r="EA421" s="8">
        <v>1364</v>
      </c>
      <c r="EB421" s="8">
        <v>614</v>
      </c>
      <c r="EC421" s="8">
        <v>364</v>
      </c>
      <c r="ED421" s="8">
        <v>614</v>
      </c>
      <c r="EE421" s="8">
        <v>614</v>
      </c>
      <c r="EF421" s="8">
        <v>1364</v>
      </c>
      <c r="EG421" s="8">
        <v>864</v>
      </c>
      <c r="EH421" s="8">
        <v>1364</v>
      </c>
      <c r="EI421" s="8">
        <v>2864</v>
      </c>
      <c r="EJ421" s="8">
        <v>3</v>
      </c>
      <c r="EK421" s="8" t="s">
        <v>2624</v>
      </c>
      <c r="EL421" s="8">
        <v>13</v>
      </c>
      <c r="EM421" s="8">
        <v>39</v>
      </c>
      <c r="EN421" s="8">
        <v>1076</v>
      </c>
      <c r="EO421" s="8">
        <v>326</v>
      </c>
      <c r="EP421" s="8">
        <v>76</v>
      </c>
      <c r="EQ421" s="8">
        <v>326</v>
      </c>
      <c r="ER421" s="8">
        <v>326</v>
      </c>
      <c r="ES421" s="8">
        <v>1076</v>
      </c>
      <c r="ET421" s="8">
        <v>576</v>
      </c>
      <c r="EU421" s="8">
        <v>1076</v>
      </c>
      <c r="EV421" s="8">
        <v>2576</v>
      </c>
    </row>
    <row r="422" spans="1:152" ht="31.5" x14ac:dyDescent="0.15">
      <c r="A422" s="8">
        <f>ROW([2]!tbl_DPSAC[[#This Row],[Sl. No.]])-1</f>
        <v>421</v>
      </c>
      <c r="B422" s="9" t="s">
        <v>136</v>
      </c>
      <c r="C422" s="8" t="s">
        <v>2281</v>
      </c>
      <c r="D422" s="8" t="s">
        <v>2189</v>
      </c>
      <c r="E422" s="8" t="s">
        <v>2189</v>
      </c>
      <c r="F422" s="9" t="s">
        <v>140</v>
      </c>
      <c r="G422" s="23" t="s">
        <v>2282</v>
      </c>
      <c r="H422" s="10" t="str">
        <f>_xlfn.XLOOKUP(C422,'[1]E&amp;DPSAC'!$K:$K,'[1]E&amp;DPSAC'!$E:$E,,0)</f>
        <v>SISAI, GUMLA</v>
      </c>
      <c r="I422" s="23"/>
      <c r="J422" s="10">
        <v>9994068694</v>
      </c>
      <c r="K422" s="10">
        <f>IF(_xlfn.XLOOKUP(C422,'[1]E&amp;DPSAC'!$K:$K,'[1]E&amp;DPSAC'!$G:$G,"",0)=J422,"",_xlfn.XLOOKUP(C422,'[1]E&amp;DPSAC'!$K:$K,'[1]E&amp;DPSAC'!$G:$G,"",0))</f>
        <v>6379844619</v>
      </c>
      <c r="L422" s="9" t="str">
        <f t="shared" ca="1" si="24"/>
        <v>Warranty</v>
      </c>
      <c r="M422" s="13">
        <v>45398</v>
      </c>
      <c r="N422" s="12">
        <v>36</v>
      </c>
      <c r="O422" s="11">
        <f t="shared" si="23"/>
        <v>46507</v>
      </c>
      <c r="P422" s="8" t="s">
        <v>157</v>
      </c>
      <c r="Q422" s="16" t="s">
        <v>2285</v>
      </c>
      <c r="R422" s="15">
        <v>46034.513807870397</v>
      </c>
      <c r="S422" s="14">
        <v>2733</v>
      </c>
      <c r="T422" s="15">
        <v>46056</v>
      </c>
      <c r="U422" s="14">
        <v>2858</v>
      </c>
      <c r="V422" s="14">
        <v>2858</v>
      </c>
      <c r="W422" s="17">
        <v>46062.6581828704</v>
      </c>
      <c r="X422" s="14" t="s">
        <v>2898</v>
      </c>
      <c r="Y422" s="14">
        <v>625</v>
      </c>
      <c r="Z422" s="14" t="s">
        <v>2692</v>
      </c>
      <c r="AA422" s="18">
        <v>78.486192129603296</v>
      </c>
      <c r="AB422" s="18" t="s">
        <v>2692</v>
      </c>
      <c r="AC422" s="8">
        <f>tbl_DPSAC[[#This Row],[Current Month Due Count]]</f>
        <v>0</v>
      </c>
      <c r="AD422" s="8">
        <f>tbl_DPSAC[[#This Row],[Next Month Due2]]</f>
        <v>0</v>
      </c>
      <c r="AE422" s="8"/>
      <c r="AF422" s="8">
        <v>3</v>
      </c>
      <c r="AG422" s="14">
        <f t="shared" ca="1" si="25"/>
        <v>3009</v>
      </c>
      <c r="AH422" s="8" t="s">
        <v>2283</v>
      </c>
      <c r="AI422" s="8">
        <v>0</v>
      </c>
      <c r="AJ422" s="20" t="s">
        <v>2284</v>
      </c>
      <c r="AK422" s="8">
        <v>0</v>
      </c>
      <c r="AL422" s="8">
        <v>0</v>
      </c>
      <c r="AM422" s="8">
        <v>0</v>
      </c>
      <c r="AN422" s="8">
        <v>0</v>
      </c>
      <c r="AO422" s="8">
        <v>0</v>
      </c>
      <c r="AP422" s="8">
        <v>0</v>
      </c>
      <c r="AQ422" s="8">
        <v>0</v>
      </c>
      <c r="AR422" s="8">
        <v>0</v>
      </c>
      <c r="AS422" s="8">
        <v>0</v>
      </c>
      <c r="AT422" s="8">
        <v>0</v>
      </c>
      <c r="AU422" s="8">
        <v>0</v>
      </c>
      <c r="AV422" s="8">
        <v>0</v>
      </c>
      <c r="AW422" s="8">
        <v>0</v>
      </c>
      <c r="AX422" s="8" t="s">
        <v>2007</v>
      </c>
      <c r="AY422" s="14">
        <v>2733</v>
      </c>
      <c r="AZ422" s="19">
        <v>46034</v>
      </c>
      <c r="BA422" s="14" t="s">
        <v>2285</v>
      </c>
      <c r="BB422" s="14">
        <v>2733</v>
      </c>
      <c r="BC422" s="19">
        <v>46034</v>
      </c>
      <c r="BD422" s="14" t="s">
        <v>2285</v>
      </c>
      <c r="BE422" s="14">
        <v>2733</v>
      </c>
      <c r="BF422" s="19">
        <v>46034</v>
      </c>
      <c r="BG422" s="14" t="s">
        <v>2285</v>
      </c>
      <c r="BH422" s="14">
        <v>2733</v>
      </c>
      <c r="BI422" s="19">
        <v>46034</v>
      </c>
      <c r="BJ422" s="14" t="s">
        <v>2285</v>
      </c>
      <c r="BK422" s="14">
        <v>2005</v>
      </c>
      <c r="BL422" s="19">
        <v>45770</v>
      </c>
      <c r="BM422" s="14" t="s">
        <v>2286</v>
      </c>
      <c r="BN422" s="27">
        <v>46214</v>
      </c>
      <c r="BO422" s="27">
        <v>46214</v>
      </c>
      <c r="BP422" s="27">
        <v>46214</v>
      </c>
      <c r="BQ422" s="27">
        <v>46214</v>
      </c>
      <c r="BR422" s="27">
        <v>45950</v>
      </c>
      <c r="BS422" s="28">
        <v>474</v>
      </c>
      <c r="BT422" s="29">
        <v>1224</v>
      </c>
      <c r="BU422" s="29">
        <v>474</v>
      </c>
      <c r="BV422" s="29">
        <v>474</v>
      </c>
      <c r="BW422" s="29">
        <v>496</v>
      </c>
      <c r="BX422" s="30" t="s">
        <v>1547</v>
      </c>
      <c r="BY422" s="8">
        <v>1</v>
      </c>
      <c r="BZ422" s="8">
        <v>0</v>
      </c>
      <c r="CA422" s="8">
        <v>0</v>
      </c>
      <c r="CB422" s="21">
        <v>46031.770833333299</v>
      </c>
      <c r="CC422" s="21">
        <v>46031.770833333299</v>
      </c>
      <c r="CD422" s="21">
        <v>46031.770833333299</v>
      </c>
      <c r="CE422" s="21">
        <v>46031.770833333299</v>
      </c>
      <c r="CF422" s="21">
        <v>46031.770833333299</v>
      </c>
      <c r="CG422" s="21">
        <v>46031.770833333299</v>
      </c>
      <c r="CH422" s="21">
        <v>46031.770833333299</v>
      </c>
      <c r="CI422" s="21">
        <v>46031.770833333299</v>
      </c>
      <c r="CJ422" s="21">
        <v>46031.770833333299</v>
      </c>
      <c r="CK422" s="22" t="s">
        <v>3007</v>
      </c>
      <c r="CL422" s="22" t="s">
        <v>3007</v>
      </c>
      <c r="CM422" s="22" t="s">
        <v>3007</v>
      </c>
      <c r="CN422" s="22" t="s">
        <v>3007</v>
      </c>
      <c r="CO422" s="22" t="s">
        <v>3007</v>
      </c>
      <c r="CP422" s="22" t="s">
        <v>3192</v>
      </c>
      <c r="CQ422" s="22" t="s">
        <v>3193</v>
      </c>
      <c r="CR422" s="22" t="s">
        <v>3192</v>
      </c>
      <c r="CS422" s="22" t="s">
        <v>3192</v>
      </c>
      <c r="CT422" s="22">
        <v>4</v>
      </c>
      <c r="CU422" s="21">
        <v>46211</v>
      </c>
      <c r="CV422" s="21">
        <v>46211</v>
      </c>
      <c r="CW422" s="21">
        <v>46211</v>
      </c>
      <c r="CX422" s="21">
        <v>46211</v>
      </c>
      <c r="CY422" s="21">
        <v>46211</v>
      </c>
      <c r="CZ422" s="21">
        <v>46301</v>
      </c>
      <c r="DA422" s="21">
        <v>46287</v>
      </c>
      <c r="DB422" s="21">
        <v>46211</v>
      </c>
      <c r="DC422" s="21">
        <v>46396</v>
      </c>
      <c r="DD422" s="8">
        <v>0</v>
      </c>
      <c r="DE422" s="8">
        <v>0</v>
      </c>
      <c r="DF422" s="8">
        <v>0</v>
      </c>
      <c r="DG422" s="8">
        <v>0</v>
      </c>
      <c r="DH422" s="8">
        <v>0</v>
      </c>
      <c r="DI422" s="8">
        <v>0</v>
      </c>
      <c r="DJ422" s="8" t="s">
        <v>2976</v>
      </c>
      <c r="DK422" s="21">
        <v>45398</v>
      </c>
      <c r="DL422" s="21">
        <v>45371.229166666664</v>
      </c>
      <c r="DM422" s="21">
        <v>46062</v>
      </c>
      <c r="DN422" s="18">
        <v>2858</v>
      </c>
      <c r="DO422" s="21">
        <v>0</v>
      </c>
      <c r="DP422" s="21">
        <v>0</v>
      </c>
      <c r="DQ422" s="21" t="s">
        <v>2955</v>
      </c>
      <c r="DR422" s="21">
        <v>46032</v>
      </c>
      <c r="DS422" s="21">
        <v>46032</v>
      </c>
      <c r="DT422" s="21">
        <v>46032</v>
      </c>
      <c r="DU422" s="21">
        <v>46032</v>
      </c>
      <c r="DV422" s="21">
        <v>46032</v>
      </c>
      <c r="DW422" s="21">
        <v>46032</v>
      </c>
      <c r="DX422" s="21">
        <v>46032</v>
      </c>
      <c r="DY422" s="21">
        <v>46032</v>
      </c>
      <c r="DZ422" s="21">
        <v>46032</v>
      </c>
      <c r="EA422" s="8">
        <v>650</v>
      </c>
      <c r="EB422" s="8">
        <v>650</v>
      </c>
      <c r="EC422" s="8">
        <v>650</v>
      </c>
      <c r="ED422" s="8">
        <v>650</v>
      </c>
      <c r="EE422" s="8">
        <v>650</v>
      </c>
      <c r="EF422" s="8">
        <v>1400</v>
      </c>
      <c r="EG422" s="8">
        <v>900</v>
      </c>
      <c r="EH422" s="8">
        <v>1400</v>
      </c>
      <c r="EI422" s="8">
        <v>1400</v>
      </c>
      <c r="EJ422" s="8">
        <v>4</v>
      </c>
      <c r="EK422" s="8" t="s">
        <v>157</v>
      </c>
      <c r="EL422" s="8">
        <v>50</v>
      </c>
      <c r="EM422" s="8">
        <v>150</v>
      </c>
      <c r="EN422" s="8">
        <v>362</v>
      </c>
      <c r="EO422" s="8">
        <v>362</v>
      </c>
      <c r="EP422" s="8">
        <v>362</v>
      </c>
      <c r="EQ422" s="8">
        <v>362</v>
      </c>
      <c r="ER422" s="8">
        <v>362</v>
      </c>
      <c r="ES422" s="8">
        <v>1112</v>
      </c>
      <c r="ET422" s="8">
        <v>612</v>
      </c>
      <c r="EU422" s="8">
        <v>1112</v>
      </c>
      <c r="EV422" s="8">
        <v>1112</v>
      </c>
    </row>
    <row r="423" spans="1:152" x14ac:dyDescent="0.15">
      <c r="A423" s="8">
        <f>ROW([2]!tbl_DPSAC[[#This Row],[Sl. No.]])-1</f>
        <v>422</v>
      </c>
      <c r="B423" s="9" t="s">
        <v>196</v>
      </c>
      <c r="C423" s="8" t="s">
        <v>2287</v>
      </c>
      <c r="D423" s="8" t="s">
        <v>532</v>
      </c>
      <c r="E423" s="8" t="s">
        <v>217</v>
      </c>
      <c r="F423" s="9" t="s">
        <v>161</v>
      </c>
      <c r="G423" s="23" t="s">
        <v>2288</v>
      </c>
      <c r="H423" s="10" t="str">
        <f>_xlfn.XLOOKUP(C423,'[1]E&amp;DPSAC'!$K:$K,'[1]E&amp;DPSAC'!$E:$E,,0)</f>
        <v>BEGUSARAI, BIHAR</v>
      </c>
      <c r="I423" s="23"/>
      <c r="J423" s="10">
        <v>9304337942</v>
      </c>
      <c r="K423" s="10">
        <f>IF(_xlfn.XLOOKUP(C423,'[1]E&amp;DPSAC'!$K:$K,'[1]E&amp;DPSAC'!$G:$G,"",0)=J423,"",_xlfn.XLOOKUP(C423,'[1]E&amp;DPSAC'!$K:$K,'[1]E&amp;DPSAC'!$G:$G,"",0))</f>
        <v>7979826214</v>
      </c>
      <c r="L423" s="9" t="str">
        <f t="shared" ca="1" si="24"/>
        <v>Warranty</v>
      </c>
      <c r="M423" s="13">
        <v>45594</v>
      </c>
      <c r="N423" s="12">
        <v>24</v>
      </c>
      <c r="O423" s="11">
        <f t="shared" si="23"/>
        <v>46326</v>
      </c>
      <c r="P423" s="8" t="s">
        <v>213</v>
      </c>
      <c r="Q423" s="16" t="s">
        <v>2290</v>
      </c>
      <c r="R423" s="15">
        <v>45883.724305555559</v>
      </c>
      <c r="S423" s="14">
        <v>537</v>
      </c>
      <c r="T423" s="15">
        <v>45883</v>
      </c>
      <c r="U423" s="14">
        <v>537</v>
      </c>
      <c r="V423" s="14">
        <v>746</v>
      </c>
      <c r="W423" s="17">
        <v>46099.698738425897</v>
      </c>
      <c r="X423" s="14" t="s">
        <v>2899</v>
      </c>
      <c r="Y423" s="14">
        <v>541</v>
      </c>
      <c r="Z423" s="14" t="s">
        <v>2692</v>
      </c>
      <c r="AA423" s="18">
        <v>229.27569444444089</v>
      </c>
      <c r="AB423" s="18" t="s">
        <v>2697</v>
      </c>
      <c r="AC423" s="8">
        <f>tbl_DPSAC[[#This Row],[Current Month Due Count]]</f>
        <v>0</v>
      </c>
      <c r="AD423" s="8">
        <f>tbl_DPSAC[[#This Row],[Next Month Due2]]</f>
        <v>0</v>
      </c>
      <c r="AE423" s="8"/>
      <c r="AF423" s="8">
        <v>1</v>
      </c>
      <c r="AG423" s="14">
        <f t="shared" ca="1" si="25"/>
        <v>759</v>
      </c>
      <c r="AH423" s="8" t="s">
        <v>2289</v>
      </c>
      <c r="AI423" s="8" t="s">
        <v>1692</v>
      </c>
      <c r="AJ423" s="8"/>
      <c r="AK423" s="8"/>
      <c r="AL423" s="8"/>
      <c r="AM423" s="8"/>
      <c r="AN423" s="8"/>
      <c r="AO423" s="8"/>
      <c r="AP423" s="8"/>
      <c r="AQ423" s="8"/>
      <c r="AR423" s="8"/>
      <c r="AS423" s="8"/>
      <c r="AT423" s="8"/>
      <c r="AU423" s="8"/>
      <c r="AV423" s="8"/>
      <c r="AW423" s="8"/>
      <c r="AX423" s="8" t="s">
        <v>2007</v>
      </c>
      <c r="AY423" s="14">
        <v>537</v>
      </c>
      <c r="AZ423" s="19">
        <v>45883</v>
      </c>
      <c r="BA423" s="14" t="s">
        <v>2290</v>
      </c>
      <c r="BB423" s="14">
        <v>1</v>
      </c>
      <c r="BC423" s="19">
        <v>45580</v>
      </c>
      <c r="BD423" s="14" t="s">
        <v>2291</v>
      </c>
      <c r="BE423" s="14">
        <v>537</v>
      </c>
      <c r="BF423" s="19">
        <v>45883</v>
      </c>
      <c r="BG423" s="14" t="s">
        <v>2290</v>
      </c>
      <c r="BH423" s="14">
        <v>537</v>
      </c>
      <c r="BI423" s="19">
        <v>45883</v>
      </c>
      <c r="BJ423" s="14" t="s">
        <v>2290</v>
      </c>
      <c r="BK423" s="14">
        <v>1</v>
      </c>
      <c r="BL423" s="19">
        <v>45580</v>
      </c>
      <c r="BM423" s="14" t="s">
        <v>2291</v>
      </c>
      <c r="BN423" s="27">
        <v>46063</v>
      </c>
      <c r="BO423" s="27">
        <v>45760</v>
      </c>
      <c r="BP423" s="27">
        <v>46063</v>
      </c>
      <c r="BQ423" s="27">
        <v>46063</v>
      </c>
      <c r="BR423" s="27">
        <v>45760</v>
      </c>
      <c r="BS423" s="28">
        <v>528</v>
      </c>
      <c r="BT423" s="29">
        <v>742</v>
      </c>
      <c r="BU423" s="29">
        <v>528</v>
      </c>
      <c r="BV423" s="29">
        <v>528</v>
      </c>
      <c r="BW423" s="29">
        <v>742</v>
      </c>
      <c r="BX423" s="8"/>
      <c r="BY423" s="8">
        <v>5</v>
      </c>
      <c r="BZ423" s="8">
        <v>0</v>
      </c>
      <c r="CA423" s="8">
        <v>0</v>
      </c>
      <c r="CB423" s="21">
        <v>45882.770833333299</v>
      </c>
      <c r="CC423" s="21">
        <v>45882.770833333299</v>
      </c>
      <c r="CD423" s="21">
        <v>0</v>
      </c>
      <c r="CE423" s="21">
        <v>45882.770833333299</v>
      </c>
      <c r="CF423" s="21">
        <v>45882.770833333299</v>
      </c>
      <c r="CG423" s="21">
        <v>0</v>
      </c>
      <c r="CH423" s="21">
        <v>0</v>
      </c>
      <c r="CI423" s="21">
        <v>0</v>
      </c>
      <c r="CJ423" s="21">
        <v>0</v>
      </c>
      <c r="CK423" s="22" t="s">
        <v>3015</v>
      </c>
      <c r="CL423" s="22" t="s">
        <v>3015</v>
      </c>
      <c r="CM423" s="22" t="s">
        <v>3015</v>
      </c>
      <c r="CN423" s="22" t="s">
        <v>3015</v>
      </c>
      <c r="CO423" s="22" t="s">
        <v>3015</v>
      </c>
      <c r="CP423" s="22" t="s">
        <v>3194</v>
      </c>
      <c r="CQ423" s="22" t="s">
        <v>2953</v>
      </c>
      <c r="CR423" s="22" t="s">
        <v>3194</v>
      </c>
      <c r="CS423" s="22" t="s">
        <v>3194</v>
      </c>
      <c r="CT423" s="22">
        <v>1</v>
      </c>
      <c r="CU423" s="21">
        <v>46062</v>
      </c>
      <c r="CV423" s="21">
        <v>46062</v>
      </c>
      <c r="CW423" s="21">
        <v>46176</v>
      </c>
      <c r="CX423" s="21">
        <v>46062</v>
      </c>
      <c r="CY423" s="21">
        <v>46062</v>
      </c>
      <c r="CZ423" s="21">
        <v>46240</v>
      </c>
      <c r="DA423" s="21">
        <v>46124</v>
      </c>
      <c r="DB423" s="21">
        <v>46150</v>
      </c>
      <c r="DC423" s="21">
        <v>46198</v>
      </c>
      <c r="DD423" s="8">
        <v>0</v>
      </c>
      <c r="DE423" s="8">
        <v>1</v>
      </c>
      <c r="DF423" s="8">
        <v>0</v>
      </c>
      <c r="DG423" s="8">
        <v>4</v>
      </c>
      <c r="DH423" s="8">
        <v>1</v>
      </c>
      <c r="DI423" s="8">
        <v>1</v>
      </c>
      <c r="DJ423" s="8" t="s">
        <v>2976</v>
      </c>
      <c r="DK423" s="21">
        <v>45594</v>
      </c>
      <c r="DL423" s="21">
        <v>45443.229166666664</v>
      </c>
      <c r="DM423" s="21">
        <v>46099</v>
      </c>
      <c r="DN423" s="18">
        <v>746</v>
      </c>
      <c r="DO423" s="21">
        <v>0</v>
      </c>
      <c r="DP423" s="21">
        <v>0</v>
      </c>
      <c r="DQ423" s="21" t="s">
        <v>2955</v>
      </c>
      <c r="DR423" s="21">
        <v>45883</v>
      </c>
      <c r="DS423" s="21">
        <v>45883</v>
      </c>
      <c r="DT423" s="21">
        <v>45883</v>
      </c>
      <c r="DU423" s="21">
        <v>45883</v>
      </c>
      <c r="DV423" s="21">
        <v>45883</v>
      </c>
      <c r="DW423" s="21">
        <v>45883</v>
      </c>
      <c r="DX423" s="21">
        <v>45883</v>
      </c>
      <c r="DY423" s="21">
        <v>45883</v>
      </c>
      <c r="DZ423" s="21">
        <v>45883</v>
      </c>
      <c r="EA423" s="8">
        <v>539</v>
      </c>
      <c r="EB423" s="8">
        <v>739</v>
      </c>
      <c r="EC423" s="8">
        <v>539</v>
      </c>
      <c r="ED423" s="8">
        <v>739</v>
      </c>
      <c r="EE423" s="8">
        <v>739</v>
      </c>
      <c r="EF423" s="8">
        <v>754</v>
      </c>
      <c r="EG423" s="8">
        <v>1000</v>
      </c>
      <c r="EH423" s="8">
        <v>754</v>
      </c>
      <c r="EI423" s="8">
        <v>754</v>
      </c>
      <c r="EJ423" s="8">
        <v>1</v>
      </c>
      <c r="EK423" s="8" t="s">
        <v>2624</v>
      </c>
      <c r="EL423" s="8">
        <v>13</v>
      </c>
      <c r="EM423" s="8">
        <v>13</v>
      </c>
      <c r="EN423" s="8">
        <v>251</v>
      </c>
      <c r="EO423" s="8">
        <v>451</v>
      </c>
      <c r="EP423" s="8">
        <v>251</v>
      </c>
      <c r="EQ423" s="8">
        <v>451</v>
      </c>
      <c r="ER423" s="8">
        <v>451</v>
      </c>
      <c r="ES423" s="8">
        <v>466</v>
      </c>
      <c r="ET423" s="8">
        <v>712</v>
      </c>
      <c r="EU423" s="8">
        <v>466</v>
      </c>
      <c r="EV423" s="8">
        <v>466</v>
      </c>
    </row>
    <row r="424" spans="1:152" x14ac:dyDescent="0.15">
      <c r="A424" s="8">
        <f>ROW([2]!tbl_DPSAC[[#This Row],[Sl. No.]])-1</f>
        <v>423</v>
      </c>
      <c r="B424" s="9" t="s">
        <v>136</v>
      </c>
      <c r="C424" s="8" t="s">
        <v>2292</v>
      </c>
      <c r="D424" s="8" t="s">
        <v>638</v>
      </c>
      <c r="E424" s="8" t="s">
        <v>1492</v>
      </c>
      <c r="F424" s="9" t="s">
        <v>161</v>
      </c>
      <c r="G424" s="23" t="s">
        <v>2293</v>
      </c>
      <c r="H424" s="10" t="str">
        <f>_xlfn.XLOOKUP(C424,'[1]E&amp;DPSAC'!$K:$K,'[1]E&amp;DPSAC'!$E:$E,,0)</f>
        <v>CHAS BOKARO</v>
      </c>
      <c r="I424" s="23"/>
      <c r="J424" s="10">
        <v>7004564809</v>
      </c>
      <c r="K424" s="10">
        <f>IF(_xlfn.XLOOKUP(C424,'[1]E&amp;DPSAC'!$K:$K,'[1]E&amp;DPSAC'!$G:$G,"",0)=J424,"",_xlfn.XLOOKUP(C424,'[1]E&amp;DPSAC'!$K:$K,'[1]E&amp;DPSAC'!$G:$G,"",0))</f>
        <v>8969560475</v>
      </c>
      <c r="L424" s="9" t="str">
        <f t="shared" ca="1" si="24"/>
        <v>Warranty</v>
      </c>
      <c r="M424" s="13">
        <v>45611</v>
      </c>
      <c r="N424" s="12">
        <v>24</v>
      </c>
      <c r="O424" s="11">
        <f t="shared" si="23"/>
        <v>46356</v>
      </c>
      <c r="P424" s="8" t="s">
        <v>213</v>
      </c>
      <c r="Q424" s="16" t="s">
        <v>2672</v>
      </c>
      <c r="R424" s="15">
        <v>46104.433217592603</v>
      </c>
      <c r="S424" s="14">
        <v>1580</v>
      </c>
      <c r="T424" s="15">
        <v>45761</v>
      </c>
      <c r="U424" s="14">
        <v>501</v>
      </c>
      <c r="V424" s="14">
        <v>1580</v>
      </c>
      <c r="W424" s="17">
        <v>46104.433217592603</v>
      </c>
      <c r="X424" s="14" t="s">
        <v>2900</v>
      </c>
      <c r="Y424" s="14">
        <v>750</v>
      </c>
      <c r="Z424" s="14" t="s">
        <v>2692</v>
      </c>
      <c r="AA424" s="18">
        <v>8.5667824073971133</v>
      </c>
      <c r="AB424" s="18" t="s">
        <v>2692</v>
      </c>
      <c r="AC424" s="8">
        <f>tbl_DPSAC[[#This Row],[Current Month Due Count]]</f>
        <v>0</v>
      </c>
      <c r="AD424" s="8">
        <f>tbl_DPSAC[[#This Row],[Next Month Due2]]</f>
        <v>0</v>
      </c>
      <c r="AE424" s="8"/>
      <c r="AF424" s="8">
        <v>1</v>
      </c>
      <c r="AG424" s="14">
        <f t="shared" ca="1" si="25"/>
        <v>1589</v>
      </c>
      <c r="AH424" s="8" t="s">
        <v>2294</v>
      </c>
      <c r="AI424" s="8" t="s">
        <v>1841</v>
      </c>
      <c r="AJ424" s="8"/>
      <c r="AK424" s="8"/>
      <c r="AL424" s="8"/>
      <c r="AM424" s="8"/>
      <c r="AN424" s="8"/>
      <c r="AO424" s="8"/>
      <c r="AP424" s="8"/>
      <c r="AQ424" s="8"/>
      <c r="AR424" s="8"/>
      <c r="AS424" s="8"/>
      <c r="AT424" s="8"/>
      <c r="AU424" s="8"/>
      <c r="AV424" s="8"/>
      <c r="AW424" s="8"/>
      <c r="AX424" s="8" t="s">
        <v>2007</v>
      </c>
      <c r="AY424" s="14">
        <v>1580</v>
      </c>
      <c r="AZ424" s="19">
        <v>46104</v>
      </c>
      <c r="BA424" s="14" t="s">
        <v>2672</v>
      </c>
      <c r="BB424" s="14">
        <v>1580</v>
      </c>
      <c r="BC424" s="19">
        <v>46104</v>
      </c>
      <c r="BD424" s="14" t="s">
        <v>2672</v>
      </c>
      <c r="BE424" s="14">
        <v>1580</v>
      </c>
      <c r="BF424" s="19">
        <v>46104</v>
      </c>
      <c r="BG424" s="14" t="s">
        <v>2672</v>
      </c>
      <c r="BH424" s="14">
        <v>1580</v>
      </c>
      <c r="BI424" s="19">
        <v>46104</v>
      </c>
      <c r="BJ424" s="14" t="s">
        <v>2672</v>
      </c>
      <c r="BK424" s="14">
        <v>1580</v>
      </c>
      <c r="BL424" s="19">
        <v>46104</v>
      </c>
      <c r="BM424" s="14" t="s">
        <v>2672</v>
      </c>
      <c r="BN424" s="27">
        <v>46284</v>
      </c>
      <c r="BO424" s="27">
        <v>46284</v>
      </c>
      <c r="BP424" s="27">
        <v>46284</v>
      </c>
      <c r="BQ424" s="27">
        <v>46284</v>
      </c>
      <c r="BR424" s="27">
        <v>46284</v>
      </c>
      <c r="BS424" s="28">
        <v>741</v>
      </c>
      <c r="BT424" s="29">
        <v>1491</v>
      </c>
      <c r="BU424" s="29">
        <v>741</v>
      </c>
      <c r="BV424" s="29">
        <v>741</v>
      </c>
      <c r="BW424" s="29">
        <v>1491</v>
      </c>
      <c r="BX424" s="8"/>
      <c r="BY424" s="8">
        <v>0</v>
      </c>
      <c r="BZ424" s="8">
        <v>0</v>
      </c>
      <c r="CA424" s="8">
        <v>0</v>
      </c>
      <c r="CB424" s="21">
        <v>45993.770833333299</v>
      </c>
      <c r="CC424" s="21">
        <v>45993.770833333299</v>
      </c>
      <c r="CD424" s="21">
        <v>45993.770833333299</v>
      </c>
      <c r="CE424" s="21">
        <v>45993.770833333299</v>
      </c>
      <c r="CF424" s="21">
        <v>45797.770833333299</v>
      </c>
      <c r="CG424" s="21">
        <v>45613.770833333299</v>
      </c>
      <c r="CH424" s="21">
        <v>45613.770833333299</v>
      </c>
      <c r="CI424" s="21">
        <v>45613.770833333299</v>
      </c>
      <c r="CJ424" s="21">
        <v>45613.770833333299</v>
      </c>
      <c r="CK424" s="22" t="s">
        <v>3068</v>
      </c>
      <c r="CL424" s="22" t="s">
        <v>3068</v>
      </c>
      <c r="CM424" s="22" t="s">
        <v>3068</v>
      </c>
      <c r="CN424" s="22" t="s">
        <v>3068</v>
      </c>
      <c r="CO424" s="22" t="s">
        <v>3068</v>
      </c>
      <c r="CP424" s="22" t="s">
        <v>3078</v>
      </c>
      <c r="CQ424" s="22" t="s">
        <v>2953</v>
      </c>
      <c r="CR424" s="22" t="s">
        <v>3078</v>
      </c>
      <c r="CS424" s="22" t="s">
        <v>3078</v>
      </c>
      <c r="CT424" s="22">
        <v>1</v>
      </c>
      <c r="CU424" s="21">
        <v>46173</v>
      </c>
      <c r="CV424" s="21">
        <v>46173</v>
      </c>
      <c r="CW424" s="21">
        <v>46173</v>
      </c>
      <c r="CX424" s="21">
        <v>46173</v>
      </c>
      <c r="CY424" s="21">
        <v>45977</v>
      </c>
      <c r="CZ424" s="21">
        <v>45883</v>
      </c>
      <c r="DA424" s="21">
        <v>45978</v>
      </c>
      <c r="DB424" s="21">
        <v>45793</v>
      </c>
      <c r="DC424" s="21">
        <v>45978</v>
      </c>
      <c r="DD424" s="8">
        <v>1</v>
      </c>
      <c r="DE424" s="8">
        <v>0</v>
      </c>
      <c r="DF424" s="8">
        <v>0</v>
      </c>
      <c r="DG424" s="8">
        <v>5</v>
      </c>
      <c r="DH424" s="8">
        <v>0</v>
      </c>
      <c r="DI424" s="8">
        <v>4</v>
      </c>
      <c r="DJ424" s="8" t="s">
        <v>2976</v>
      </c>
      <c r="DK424" s="21">
        <v>45614</v>
      </c>
      <c r="DL424" s="21">
        <v>45427.229166666664</v>
      </c>
      <c r="DM424" s="21">
        <v>46104</v>
      </c>
      <c r="DN424" s="18">
        <v>1580</v>
      </c>
      <c r="DO424" s="21">
        <v>0</v>
      </c>
      <c r="DP424" s="21">
        <v>0</v>
      </c>
      <c r="DQ424" s="21" t="s">
        <v>2955</v>
      </c>
      <c r="DR424" s="21">
        <v>45994</v>
      </c>
      <c r="DS424" s="21">
        <v>45994</v>
      </c>
      <c r="DT424" s="21">
        <v>45994</v>
      </c>
      <c r="DU424" s="21">
        <v>45994</v>
      </c>
      <c r="DV424" s="21">
        <v>45994</v>
      </c>
      <c r="DW424" s="21">
        <v>46102</v>
      </c>
      <c r="DX424" s="21">
        <v>45994</v>
      </c>
      <c r="DY424" s="21">
        <v>46102</v>
      </c>
      <c r="DZ424" s="21">
        <v>45614</v>
      </c>
      <c r="EA424" s="8">
        <v>500</v>
      </c>
      <c r="EB424" s="8">
        <v>500</v>
      </c>
      <c r="EC424" s="8">
        <v>500</v>
      </c>
      <c r="ED424" s="8">
        <v>500</v>
      </c>
      <c r="EE424" s="8">
        <v>500</v>
      </c>
      <c r="EF424" s="8">
        <v>1500</v>
      </c>
      <c r="EG424" s="8">
        <v>1000</v>
      </c>
      <c r="EH424" s="8">
        <v>1500</v>
      </c>
      <c r="EI424" s="8">
        <v>3000</v>
      </c>
      <c r="EJ424" s="8">
        <v>8</v>
      </c>
      <c r="EK424" s="8" t="s">
        <v>2624</v>
      </c>
      <c r="EL424" s="8">
        <v>9</v>
      </c>
      <c r="EM424" s="8">
        <v>9</v>
      </c>
      <c r="EN424" s="8">
        <v>212</v>
      </c>
      <c r="EO424" s="8">
        <v>212</v>
      </c>
      <c r="EP424" s="8">
        <v>212</v>
      </c>
      <c r="EQ424" s="8">
        <v>212</v>
      </c>
      <c r="ER424" s="8">
        <v>212</v>
      </c>
      <c r="ES424" s="8">
        <v>1212</v>
      </c>
      <c r="ET424" s="8">
        <v>712</v>
      </c>
      <c r="EU424" s="8">
        <v>1212</v>
      </c>
      <c r="EV424" s="8">
        <v>2712</v>
      </c>
    </row>
    <row r="425" spans="1:152" x14ac:dyDescent="0.15">
      <c r="A425" s="8">
        <f>ROW([2]!tbl_DPSAC[[#This Row],[Sl. No.]])-1</f>
        <v>424</v>
      </c>
      <c r="B425" s="9" t="s">
        <v>136</v>
      </c>
      <c r="C425" s="8" t="s">
        <v>2295</v>
      </c>
      <c r="D425" s="8" t="s">
        <v>2296</v>
      </c>
      <c r="E425" s="8" t="s">
        <v>2297</v>
      </c>
      <c r="F425" s="9" t="s">
        <v>161</v>
      </c>
      <c r="G425" s="23" t="s">
        <v>162</v>
      </c>
      <c r="H425" s="10" t="str">
        <f>_xlfn.XLOOKUP(C425,'[1]E&amp;DPSAC'!$K:$K,'[1]E&amp;DPSAC'!$E:$E,,0)</f>
        <v>BARKAGAON</v>
      </c>
      <c r="I425" s="23"/>
      <c r="J425" s="10">
        <v>9234615009</v>
      </c>
      <c r="K425" s="10" t="str">
        <f>IF(_xlfn.XLOOKUP(C425,'[1]E&amp;DPSAC'!$K:$K,'[1]E&amp;DPSAC'!$G:$G,"",0)=J425,"",_xlfn.XLOOKUP(C425,'[1]E&amp;DPSAC'!$K:$K,'[1]E&amp;DPSAC'!$G:$G,"",0))</f>
        <v/>
      </c>
      <c r="L425" s="9" t="str">
        <f t="shared" ca="1" si="24"/>
        <v>Warranty</v>
      </c>
      <c r="M425" s="13">
        <v>45624</v>
      </c>
      <c r="N425" s="12">
        <v>24</v>
      </c>
      <c r="O425" s="11">
        <f t="shared" si="23"/>
        <v>46356</v>
      </c>
      <c r="P425" s="8" t="s">
        <v>213</v>
      </c>
      <c r="Q425" s="16" t="s">
        <v>2302</v>
      </c>
      <c r="R425" s="15">
        <v>46067.539594907401</v>
      </c>
      <c r="S425" s="14">
        <v>2114</v>
      </c>
      <c r="T425" s="15">
        <v>46029</v>
      </c>
      <c r="U425" s="14">
        <v>1790</v>
      </c>
      <c r="V425" s="14">
        <v>2297</v>
      </c>
      <c r="W425" s="17">
        <v>46099.706238425897</v>
      </c>
      <c r="X425" s="14" t="s">
        <v>2901</v>
      </c>
      <c r="Y425" s="14">
        <v>567</v>
      </c>
      <c r="Z425" s="14" t="s">
        <v>2692</v>
      </c>
      <c r="AA425" s="18">
        <v>45.460405092599103</v>
      </c>
      <c r="AB425" s="18" t="s">
        <v>2692</v>
      </c>
      <c r="AC425" s="8">
        <f>tbl_DPSAC[[#This Row],[Current Month Due Count]]</f>
        <v>2</v>
      </c>
      <c r="AD425" s="8">
        <f>tbl_DPSAC[[#This Row],[Next Month Due2]]</f>
        <v>0</v>
      </c>
      <c r="AE425" s="8"/>
      <c r="AF425" s="8">
        <v>6</v>
      </c>
      <c r="AG425" s="14">
        <f t="shared" ca="1" si="25"/>
        <v>2377</v>
      </c>
      <c r="AH425" s="8" t="s">
        <v>2298</v>
      </c>
      <c r="AI425" s="8" t="s">
        <v>1429</v>
      </c>
      <c r="AJ425" s="8" t="s">
        <v>2299</v>
      </c>
      <c r="AK425" s="8" t="s">
        <v>2300</v>
      </c>
      <c r="AL425" s="8" t="s">
        <v>2301</v>
      </c>
      <c r="AM425" s="8"/>
      <c r="AN425" s="8"/>
      <c r="AO425" s="8"/>
      <c r="AP425" s="8"/>
      <c r="AQ425" s="8"/>
      <c r="AR425" s="8"/>
      <c r="AS425" s="8"/>
      <c r="AT425" s="8"/>
      <c r="AU425" s="8"/>
      <c r="AV425" s="8"/>
      <c r="AW425" s="8"/>
      <c r="AX425" s="8" t="s">
        <v>2007</v>
      </c>
      <c r="AY425" s="14">
        <v>2114</v>
      </c>
      <c r="AZ425" s="19">
        <v>46067</v>
      </c>
      <c r="BA425" s="14" t="s">
        <v>2302</v>
      </c>
      <c r="BB425" s="14">
        <v>1504</v>
      </c>
      <c r="BC425" s="19">
        <v>45954</v>
      </c>
      <c r="BD425" s="14" t="s">
        <v>2303</v>
      </c>
      <c r="BE425" s="14">
        <v>2114</v>
      </c>
      <c r="BF425" s="19">
        <v>46067</v>
      </c>
      <c r="BG425" s="14" t="s">
        <v>2302</v>
      </c>
      <c r="BH425" s="14">
        <v>2114</v>
      </c>
      <c r="BI425" s="19">
        <v>46067</v>
      </c>
      <c r="BJ425" s="14" t="s">
        <v>2302</v>
      </c>
      <c r="BK425" s="14">
        <v>1504</v>
      </c>
      <c r="BL425" s="19">
        <v>45954</v>
      </c>
      <c r="BM425" s="14" t="s">
        <v>2303</v>
      </c>
      <c r="BN425" s="27">
        <v>46247</v>
      </c>
      <c r="BO425" s="27">
        <v>46134</v>
      </c>
      <c r="BP425" s="27">
        <v>46247</v>
      </c>
      <c r="BQ425" s="27">
        <v>46247</v>
      </c>
      <c r="BR425" s="27">
        <v>46134</v>
      </c>
      <c r="BS425" s="28">
        <v>487</v>
      </c>
      <c r="BT425" s="29">
        <v>627</v>
      </c>
      <c r="BU425" s="29">
        <v>487</v>
      </c>
      <c r="BV425" s="29">
        <v>487</v>
      </c>
      <c r="BW425" s="29">
        <v>627</v>
      </c>
      <c r="BX425" s="8"/>
      <c r="BY425" s="8">
        <v>0</v>
      </c>
      <c r="BZ425" s="8">
        <v>2</v>
      </c>
      <c r="CA425" s="8">
        <v>0</v>
      </c>
      <c r="CB425" s="21">
        <v>46066.770833333299</v>
      </c>
      <c r="CC425" s="21">
        <v>46066.770833333299</v>
      </c>
      <c r="CD425" s="21">
        <v>46066.770833333299</v>
      </c>
      <c r="CE425" s="21">
        <v>46066.770833333299</v>
      </c>
      <c r="CF425" s="21">
        <v>46066.770833333299</v>
      </c>
      <c r="CG425" s="21">
        <v>45950.770833333299</v>
      </c>
      <c r="CH425" s="21">
        <v>46066.770833333299</v>
      </c>
      <c r="CI425" s="21">
        <v>45950.770833333299</v>
      </c>
      <c r="CJ425" s="21">
        <v>45623.770833333299</v>
      </c>
      <c r="CK425" s="22" t="s">
        <v>2956</v>
      </c>
      <c r="CL425" s="22" t="s">
        <v>2957</v>
      </c>
      <c r="CM425" s="22" t="s">
        <v>2959</v>
      </c>
      <c r="CN425" s="22" t="s">
        <v>2957</v>
      </c>
      <c r="CO425" s="22" t="s">
        <v>2957</v>
      </c>
      <c r="CP425" s="22" t="s">
        <v>3079</v>
      </c>
      <c r="CQ425" s="22" t="s">
        <v>2953</v>
      </c>
      <c r="CR425" s="22" t="s">
        <v>3079</v>
      </c>
      <c r="CS425" s="22" t="s">
        <v>3079</v>
      </c>
      <c r="CT425" s="22">
        <v>3</v>
      </c>
      <c r="CU425" s="21">
        <v>46246</v>
      </c>
      <c r="CV425" s="21">
        <v>46246</v>
      </c>
      <c r="CW425" s="21">
        <v>46233</v>
      </c>
      <c r="CX425" s="21">
        <v>46246</v>
      </c>
      <c r="CY425" s="21">
        <v>46246</v>
      </c>
      <c r="CZ425" s="21">
        <v>46220</v>
      </c>
      <c r="DA425" s="21">
        <v>46400</v>
      </c>
      <c r="DB425" s="21">
        <v>46130</v>
      </c>
      <c r="DC425" s="21">
        <v>45988</v>
      </c>
      <c r="DD425" s="8">
        <v>1</v>
      </c>
      <c r="DE425" s="8">
        <v>0</v>
      </c>
      <c r="DF425" s="8">
        <v>0</v>
      </c>
      <c r="DG425" s="8">
        <v>1</v>
      </c>
      <c r="DH425" s="8">
        <v>1</v>
      </c>
      <c r="DI425" s="8">
        <v>0</v>
      </c>
      <c r="DJ425" s="8" t="s">
        <v>2976</v>
      </c>
      <c r="DK425" s="21">
        <v>45624</v>
      </c>
      <c r="DL425" s="21">
        <v>45573.229166666664</v>
      </c>
      <c r="DM425" s="21">
        <v>46099</v>
      </c>
      <c r="DN425" s="18">
        <v>2297</v>
      </c>
      <c r="DO425" s="21">
        <v>0</v>
      </c>
      <c r="DP425" s="21">
        <v>0</v>
      </c>
      <c r="DQ425" s="21" t="s">
        <v>2955</v>
      </c>
      <c r="DR425" s="21">
        <v>46067</v>
      </c>
      <c r="DS425" s="21">
        <v>46067</v>
      </c>
      <c r="DT425" s="21">
        <v>46067</v>
      </c>
      <c r="DU425" s="21">
        <v>46067</v>
      </c>
      <c r="DV425" s="21">
        <v>46067</v>
      </c>
      <c r="DW425" s="21">
        <v>45951</v>
      </c>
      <c r="DX425" s="21">
        <v>46067</v>
      </c>
      <c r="DY425" s="21">
        <v>45951</v>
      </c>
      <c r="DZ425" s="21">
        <v>45951</v>
      </c>
      <c r="EA425" s="8">
        <v>1317</v>
      </c>
      <c r="EB425" s="8">
        <v>567</v>
      </c>
      <c r="EC425" s="8">
        <v>317</v>
      </c>
      <c r="ED425" s="8">
        <v>567</v>
      </c>
      <c r="EE425" s="8">
        <v>567</v>
      </c>
      <c r="EF425" s="8">
        <v>617</v>
      </c>
      <c r="EG425" s="8">
        <v>817</v>
      </c>
      <c r="EH425" s="8">
        <v>617</v>
      </c>
      <c r="EI425" s="8">
        <v>617</v>
      </c>
      <c r="EJ425" s="8">
        <v>6</v>
      </c>
      <c r="EK425" s="8" t="s">
        <v>2624</v>
      </c>
      <c r="EL425" s="8">
        <v>13</v>
      </c>
      <c r="EM425" s="8">
        <v>78</v>
      </c>
      <c r="EN425" s="8">
        <v>1029</v>
      </c>
      <c r="EO425" s="8">
        <v>279</v>
      </c>
      <c r="EP425" s="8">
        <v>29</v>
      </c>
      <c r="EQ425" s="8">
        <v>279</v>
      </c>
      <c r="ER425" s="8">
        <v>279</v>
      </c>
      <c r="ES425" s="8">
        <v>329</v>
      </c>
      <c r="ET425" s="8">
        <v>529</v>
      </c>
      <c r="EU425" s="8">
        <v>329</v>
      </c>
      <c r="EV425" s="8">
        <v>329</v>
      </c>
    </row>
    <row r="426" spans="1:152" x14ac:dyDescent="0.15">
      <c r="A426" s="8">
        <f>ROW([2]!tbl_DPSAC[[#This Row],[Sl. No.]])-1</f>
        <v>425</v>
      </c>
      <c r="B426" s="9" t="s">
        <v>136</v>
      </c>
      <c r="C426" s="8" t="s">
        <v>2304</v>
      </c>
      <c r="D426" s="8" t="s">
        <v>2305</v>
      </c>
      <c r="E426" s="8" t="s">
        <v>2306</v>
      </c>
      <c r="F426" s="9" t="s">
        <v>161</v>
      </c>
      <c r="G426" s="23" t="s">
        <v>2307</v>
      </c>
      <c r="H426" s="10" t="str">
        <f>_xlfn.XLOOKUP(C426,'[1]E&amp;DPSAC'!$K:$K,'[1]E&amp;DPSAC'!$E:$E,,0)</f>
        <v>DUMKA</v>
      </c>
      <c r="I426" s="23"/>
      <c r="J426" s="10"/>
      <c r="K426" s="10">
        <f>IF(_xlfn.XLOOKUP(C426,'[1]E&amp;DPSAC'!$K:$K,'[1]E&amp;DPSAC'!$G:$G,"",0)=J426,"",_xlfn.XLOOKUP(C426,'[1]E&amp;DPSAC'!$K:$K,'[1]E&amp;DPSAC'!$G:$G,"",0))</f>
        <v>8920483522</v>
      </c>
      <c r="L426" s="9" t="s">
        <v>2308</v>
      </c>
      <c r="M426" s="13">
        <v>45638</v>
      </c>
      <c r="N426" s="12">
        <v>24</v>
      </c>
      <c r="O426" s="11">
        <f t="shared" ref="O426:O474" si="26">EOMONTH(DATE(YEAR(M426)+SUM(N426/12),MONTH(M426),DAY(M426))-1,0)</f>
        <v>46387</v>
      </c>
      <c r="P426" s="8" t="s">
        <v>213</v>
      </c>
      <c r="Q426" s="16" t="s">
        <v>2310</v>
      </c>
      <c r="R426" s="15">
        <v>45846.563240740703</v>
      </c>
      <c r="S426" s="14">
        <v>530</v>
      </c>
      <c r="T426" s="15">
        <v>45846</v>
      </c>
      <c r="U426" s="14">
        <v>530</v>
      </c>
      <c r="V426" s="14">
        <v>1440</v>
      </c>
      <c r="W426" s="17">
        <v>46099.7121990741</v>
      </c>
      <c r="X426" s="14" t="s">
        <v>2902</v>
      </c>
      <c r="Y426" s="14">
        <v>-160</v>
      </c>
      <c r="Z426" s="14" t="s">
        <v>2697</v>
      </c>
      <c r="AA426" s="18">
        <v>266.43675925929711</v>
      </c>
      <c r="AB426" s="18" t="s">
        <v>2697</v>
      </c>
      <c r="AC426" s="8">
        <f>tbl_DPSAC[[#This Row],[Current Month Due Count]]</f>
        <v>0</v>
      </c>
      <c r="AD426" s="8">
        <f>tbl_DPSAC[[#This Row],[Next Month Due2]]</f>
        <v>0</v>
      </c>
      <c r="AE426" s="8"/>
      <c r="AF426" s="8">
        <v>5</v>
      </c>
      <c r="AG426" s="14">
        <f t="shared" ca="1" si="25"/>
        <v>1506</v>
      </c>
      <c r="AH426" s="8" t="s">
        <v>2309</v>
      </c>
      <c r="AI426" s="8" t="s">
        <v>1846</v>
      </c>
      <c r="AJ426" s="8"/>
      <c r="AK426" s="8"/>
      <c r="AL426" s="8"/>
      <c r="AM426" s="8"/>
      <c r="AN426" s="8"/>
      <c r="AO426" s="8"/>
      <c r="AP426" s="8"/>
      <c r="AQ426" s="8"/>
      <c r="AR426" s="8"/>
      <c r="AS426" s="8"/>
      <c r="AT426" s="8"/>
      <c r="AU426" s="8"/>
      <c r="AV426" s="8"/>
      <c r="AW426" s="8"/>
      <c r="AX426" s="8" t="s">
        <v>2961</v>
      </c>
      <c r="AY426" s="14">
        <v>530</v>
      </c>
      <c r="AZ426" s="19">
        <v>45846</v>
      </c>
      <c r="BA426" s="14" t="s">
        <v>2310</v>
      </c>
      <c r="BB426" s="14">
        <v>1</v>
      </c>
      <c r="BC426" s="19">
        <v>45638</v>
      </c>
      <c r="BD426" s="14" t="s">
        <v>2311</v>
      </c>
      <c r="BE426" s="14">
        <v>530</v>
      </c>
      <c r="BF426" s="19">
        <v>45846</v>
      </c>
      <c r="BG426" s="14" t="s">
        <v>2310</v>
      </c>
      <c r="BH426" s="14">
        <v>530</v>
      </c>
      <c r="BI426" s="19">
        <v>45846</v>
      </c>
      <c r="BJ426" s="14" t="s">
        <v>2310</v>
      </c>
      <c r="BK426" s="14">
        <v>1</v>
      </c>
      <c r="BL426" s="19">
        <v>45638</v>
      </c>
      <c r="BM426" s="14" t="s">
        <v>2311</v>
      </c>
      <c r="BN426" s="27">
        <v>46026</v>
      </c>
      <c r="BO426" s="27">
        <v>45818</v>
      </c>
      <c r="BP426" s="27">
        <v>46026</v>
      </c>
      <c r="BQ426" s="27">
        <v>46026</v>
      </c>
      <c r="BR426" s="27">
        <v>45818</v>
      </c>
      <c r="BS426" s="28">
        <v>-226</v>
      </c>
      <c r="BT426" s="29">
        <v>-5</v>
      </c>
      <c r="BU426" s="29">
        <v>-226</v>
      </c>
      <c r="BV426" s="29">
        <v>-226</v>
      </c>
      <c r="BW426" s="29">
        <v>-5</v>
      </c>
      <c r="BX426" s="8"/>
      <c r="BY426" s="8">
        <v>5</v>
      </c>
      <c r="BZ426" s="8">
        <v>0</v>
      </c>
      <c r="CA426" s="8">
        <v>0</v>
      </c>
      <c r="CB426" s="21">
        <v>45637.770833333299</v>
      </c>
      <c r="CC426" s="21">
        <v>45845.770833333299</v>
      </c>
      <c r="CD426" s="21">
        <v>0</v>
      </c>
      <c r="CE426" s="21">
        <v>45845.770833333299</v>
      </c>
      <c r="CF426" s="21">
        <v>45845.770833333299</v>
      </c>
      <c r="CG426" s="21">
        <v>45637.770833333299</v>
      </c>
      <c r="CH426" s="21">
        <v>45637.770833333299</v>
      </c>
      <c r="CI426" s="21">
        <v>45637.770833333299</v>
      </c>
      <c r="CJ426" s="21">
        <v>45637.770833333299</v>
      </c>
      <c r="CK426" s="22" t="s">
        <v>2982</v>
      </c>
      <c r="CL426" s="22" t="s">
        <v>2982</v>
      </c>
      <c r="CM426" s="22" t="s">
        <v>2982</v>
      </c>
      <c r="CN426" s="22" t="s">
        <v>2982</v>
      </c>
      <c r="CO426" s="22" t="s">
        <v>2982</v>
      </c>
      <c r="CP426" s="22" t="s">
        <v>2982</v>
      </c>
      <c r="CQ426" s="22" t="s">
        <v>2953</v>
      </c>
      <c r="CR426" s="22" t="s">
        <v>2982</v>
      </c>
      <c r="CS426" s="22" t="s">
        <v>2982</v>
      </c>
      <c r="CT426" s="22">
        <v>4</v>
      </c>
      <c r="CU426" s="21">
        <v>45817</v>
      </c>
      <c r="CV426" s="21">
        <v>46025</v>
      </c>
      <c r="CW426" s="21">
        <v>46046</v>
      </c>
      <c r="CX426" s="21">
        <v>46025</v>
      </c>
      <c r="CY426" s="21">
        <v>46025</v>
      </c>
      <c r="CZ426" s="21">
        <v>45907</v>
      </c>
      <c r="DA426" s="21">
        <v>46002</v>
      </c>
      <c r="DB426" s="21">
        <v>45817</v>
      </c>
      <c r="DC426" s="21">
        <v>46002</v>
      </c>
      <c r="DD426" s="8">
        <v>1</v>
      </c>
      <c r="DE426" s="8">
        <v>0</v>
      </c>
      <c r="DF426" s="8">
        <v>0</v>
      </c>
      <c r="DG426" s="8">
        <v>9</v>
      </c>
      <c r="DH426" s="8">
        <v>0</v>
      </c>
      <c r="DI426" s="8">
        <v>0</v>
      </c>
      <c r="DJ426" s="8" t="s">
        <v>2976</v>
      </c>
      <c r="DK426" s="21">
        <v>45638</v>
      </c>
      <c r="DL426" s="21">
        <v>45626.229166666664</v>
      </c>
      <c r="DM426" s="21">
        <v>46099</v>
      </c>
      <c r="DN426" s="18">
        <v>1440</v>
      </c>
      <c r="DO426" s="21">
        <v>0</v>
      </c>
      <c r="DP426" s="21">
        <v>0</v>
      </c>
      <c r="DQ426" s="21" t="s">
        <v>3049</v>
      </c>
      <c r="DR426" s="21">
        <v>45638</v>
      </c>
      <c r="DS426" s="21">
        <v>45638</v>
      </c>
      <c r="DT426" s="21">
        <v>45638</v>
      </c>
      <c r="DU426" s="21">
        <v>45638</v>
      </c>
      <c r="DV426" s="21">
        <v>45638</v>
      </c>
      <c r="DW426" s="21">
        <v>45638</v>
      </c>
      <c r="DX426" s="21">
        <v>45638</v>
      </c>
      <c r="DY426" s="21">
        <v>45638</v>
      </c>
      <c r="DZ426" s="21">
        <v>45638</v>
      </c>
      <c r="EA426" s="8">
        <v>60</v>
      </c>
      <c r="EB426" s="8">
        <v>60</v>
      </c>
      <c r="EC426" s="8">
        <v>60</v>
      </c>
      <c r="ED426" s="8">
        <v>60</v>
      </c>
      <c r="EE426" s="8">
        <v>60</v>
      </c>
      <c r="EF426" s="8">
        <v>660</v>
      </c>
      <c r="EG426" s="8">
        <v>1000</v>
      </c>
      <c r="EH426" s="8">
        <v>660</v>
      </c>
      <c r="EI426" s="8">
        <v>660</v>
      </c>
      <c r="EJ426" s="8">
        <v>0</v>
      </c>
      <c r="EK426" s="8" t="s">
        <v>2624</v>
      </c>
      <c r="EL426" s="8">
        <v>13</v>
      </c>
      <c r="EM426" s="8">
        <v>65</v>
      </c>
      <c r="EN426" s="8">
        <v>-228</v>
      </c>
      <c r="EO426" s="8">
        <v>-228</v>
      </c>
      <c r="EP426" s="8">
        <v>-228</v>
      </c>
      <c r="EQ426" s="8">
        <v>-228</v>
      </c>
      <c r="ER426" s="8">
        <v>-228</v>
      </c>
      <c r="ES426" s="8">
        <v>372</v>
      </c>
      <c r="ET426" s="8">
        <v>712</v>
      </c>
      <c r="EU426" s="8">
        <v>372</v>
      </c>
      <c r="EV426" s="8">
        <v>372</v>
      </c>
    </row>
    <row r="427" spans="1:152" x14ac:dyDescent="0.15">
      <c r="A427" s="8">
        <f>ROW([2]!tbl_DPSAC[[#This Row],[Sl. No.]])-1</f>
        <v>426</v>
      </c>
      <c r="B427" s="9" t="s">
        <v>136</v>
      </c>
      <c r="C427" s="8" t="s">
        <v>2312</v>
      </c>
      <c r="D427" s="8" t="s">
        <v>2313</v>
      </c>
      <c r="E427" s="8" t="s">
        <v>2297</v>
      </c>
      <c r="F427" s="9" t="s">
        <v>161</v>
      </c>
      <c r="G427" s="23" t="s">
        <v>162</v>
      </c>
      <c r="H427" s="10" t="str">
        <f>_xlfn.XLOOKUP(C427,'[1]E&amp;DPSAC'!$K:$K,'[1]E&amp;DPSAC'!$E:$E,,0)</f>
        <v>URIMARI, RAMGARH</v>
      </c>
      <c r="I427" s="23"/>
      <c r="J427" s="10">
        <v>9234615009</v>
      </c>
      <c r="K427" s="10" t="str">
        <f>IF(_xlfn.XLOOKUP(C427,'[1]E&amp;DPSAC'!$K:$K,'[1]E&amp;DPSAC'!$G:$G,"",0)=J427,"",_xlfn.XLOOKUP(C427,'[1]E&amp;DPSAC'!$K:$K,'[1]E&amp;DPSAC'!$G:$G,"",0))</f>
        <v/>
      </c>
      <c r="L427" s="9" t="str">
        <f t="shared" ref="L427:L485" ca="1" si="27">IF(O427&gt;=TODAY(),"Warranty","Non - Warranty")</f>
        <v>Warranty</v>
      </c>
      <c r="M427" s="13">
        <v>45646</v>
      </c>
      <c r="N427" s="12">
        <v>24</v>
      </c>
      <c r="O427" s="11">
        <f t="shared" si="26"/>
        <v>46387</v>
      </c>
      <c r="P427" s="8" t="s">
        <v>157</v>
      </c>
      <c r="Q427" s="16" t="s">
        <v>143</v>
      </c>
      <c r="R427" s="15" t="s">
        <v>143</v>
      </c>
      <c r="S427" s="14" t="s">
        <v>143</v>
      </c>
      <c r="T427" s="15">
        <v>45736</v>
      </c>
      <c r="U427" s="14">
        <v>117</v>
      </c>
      <c r="V427" s="14">
        <v>460</v>
      </c>
      <c r="W427" s="17">
        <v>45796.559467592597</v>
      </c>
      <c r="X427" s="14" t="s">
        <v>143</v>
      </c>
      <c r="Y427" s="14">
        <v>0</v>
      </c>
      <c r="Z427" s="14" t="s">
        <v>2692</v>
      </c>
      <c r="AA427" s="18">
        <v>467</v>
      </c>
      <c r="AB427" s="18" t="s">
        <v>2697</v>
      </c>
      <c r="AC427" s="8">
        <f>tbl_DPSAC[[#This Row],[Current Month Due Count]]</f>
        <v>0</v>
      </c>
      <c r="AD427" s="8">
        <f>tbl_DPSAC[[#This Row],[Next Month Due2]]</f>
        <v>0</v>
      </c>
      <c r="AE427" s="8"/>
      <c r="AF427" s="8">
        <v>2</v>
      </c>
      <c r="AG427" s="14">
        <f t="shared" ca="1" si="25"/>
        <v>1093</v>
      </c>
      <c r="AH427" s="8"/>
      <c r="AI427" s="8"/>
      <c r="AJ427" s="8"/>
      <c r="AK427" s="8"/>
      <c r="AL427" s="8"/>
      <c r="AM427" s="8"/>
      <c r="AN427" s="8"/>
      <c r="AO427" s="8"/>
      <c r="AP427" s="8"/>
      <c r="AQ427" s="8"/>
      <c r="AR427" s="8"/>
      <c r="AS427" s="8"/>
      <c r="AT427" s="8"/>
      <c r="AU427" s="8"/>
      <c r="AV427" s="8"/>
      <c r="AW427" s="8"/>
      <c r="AX427" s="8" t="s">
        <v>2980</v>
      </c>
      <c r="AY427" s="14">
        <v>1</v>
      </c>
      <c r="AZ427" s="19">
        <v>45646</v>
      </c>
      <c r="BA427" s="14" t="s">
        <v>2314</v>
      </c>
      <c r="BB427" s="14">
        <v>1</v>
      </c>
      <c r="BC427" s="19">
        <v>45646</v>
      </c>
      <c r="BD427" s="14" t="s">
        <v>2314</v>
      </c>
      <c r="BE427" s="14">
        <v>1</v>
      </c>
      <c r="BF427" s="19">
        <v>45646</v>
      </c>
      <c r="BG427" s="14" t="s">
        <v>2314</v>
      </c>
      <c r="BH427" s="14">
        <v>1</v>
      </c>
      <c r="BI427" s="19">
        <v>45646</v>
      </c>
      <c r="BJ427" s="14" t="s">
        <v>2314</v>
      </c>
      <c r="BK427" s="14">
        <v>1</v>
      </c>
      <c r="BL427" s="19">
        <v>45646</v>
      </c>
      <c r="BM427" s="14" t="s">
        <v>2314</v>
      </c>
      <c r="BN427" s="27">
        <v>45826</v>
      </c>
      <c r="BO427" s="27">
        <v>45826</v>
      </c>
      <c r="BP427" s="27">
        <v>45826</v>
      </c>
      <c r="BQ427" s="27">
        <v>45826</v>
      </c>
      <c r="BR427" s="27">
        <v>45826</v>
      </c>
      <c r="BS427" s="28">
        <v>-342</v>
      </c>
      <c r="BT427" s="29">
        <v>408</v>
      </c>
      <c r="BU427" s="29">
        <v>-342</v>
      </c>
      <c r="BV427" s="29">
        <v>-342</v>
      </c>
      <c r="BW427" s="29">
        <v>408</v>
      </c>
      <c r="BX427" s="30" t="s">
        <v>1819</v>
      </c>
      <c r="BY427" s="8">
        <v>5</v>
      </c>
      <c r="BZ427" s="8">
        <v>0</v>
      </c>
      <c r="CA427" s="8">
        <v>0</v>
      </c>
      <c r="CB427" s="21" t="s">
        <v>143</v>
      </c>
      <c r="CC427" s="21" t="s">
        <v>143</v>
      </c>
      <c r="CD427" s="21" t="s">
        <v>143</v>
      </c>
      <c r="CE427" s="21" t="s">
        <v>143</v>
      </c>
      <c r="CF427" s="21" t="s">
        <v>143</v>
      </c>
      <c r="CG427" s="21" t="s">
        <v>143</v>
      </c>
      <c r="CH427" s="21" t="s">
        <v>143</v>
      </c>
      <c r="CI427" s="21" t="s">
        <v>143</v>
      </c>
      <c r="CJ427" s="21" t="s">
        <v>143</v>
      </c>
      <c r="CK427" s="22" t="s">
        <v>143</v>
      </c>
      <c r="CL427" s="22" t="s">
        <v>143</v>
      </c>
      <c r="CM427" s="22" t="s">
        <v>143</v>
      </c>
      <c r="CN427" s="22" t="s">
        <v>143</v>
      </c>
      <c r="CO427" s="22" t="s">
        <v>143</v>
      </c>
      <c r="CP427" s="22" t="s">
        <v>143</v>
      </c>
      <c r="CQ427" s="22" t="s">
        <v>143</v>
      </c>
      <c r="CR427" s="22" t="s">
        <v>143</v>
      </c>
      <c r="CS427" s="22" t="s">
        <v>143</v>
      </c>
      <c r="CT427" s="22" t="s">
        <v>143</v>
      </c>
      <c r="CU427" s="21" t="s">
        <v>143</v>
      </c>
      <c r="CV427" s="21" t="s">
        <v>143</v>
      </c>
      <c r="CW427" s="21" t="s">
        <v>143</v>
      </c>
      <c r="CX427" s="21" t="s">
        <v>143</v>
      </c>
      <c r="CY427" s="21" t="s">
        <v>143</v>
      </c>
      <c r="CZ427" s="21" t="s">
        <v>143</v>
      </c>
      <c r="DA427" s="21" t="s">
        <v>143</v>
      </c>
      <c r="DB427" s="21" t="s">
        <v>143</v>
      </c>
      <c r="DC427" s="21" t="s">
        <v>143</v>
      </c>
      <c r="DD427" s="8" t="s">
        <v>143</v>
      </c>
      <c r="DE427" s="8" t="s">
        <v>143</v>
      </c>
      <c r="DF427" s="8" t="s">
        <v>143</v>
      </c>
      <c r="DG427" s="8">
        <v>0</v>
      </c>
      <c r="DH427" s="8">
        <v>0</v>
      </c>
      <c r="DI427" s="8">
        <v>0</v>
      </c>
      <c r="DJ427" s="8" t="s">
        <v>143</v>
      </c>
      <c r="DK427" s="21" t="s">
        <v>143</v>
      </c>
      <c r="DL427" s="21" t="s">
        <v>143</v>
      </c>
      <c r="DM427" s="21" t="s">
        <v>143</v>
      </c>
      <c r="DN427" s="18" t="s">
        <v>143</v>
      </c>
      <c r="DO427" s="21" t="s">
        <v>143</v>
      </c>
      <c r="DP427" s="21" t="s">
        <v>143</v>
      </c>
      <c r="DQ427" s="21" t="s">
        <v>143</v>
      </c>
      <c r="DR427" s="21" t="s">
        <v>143</v>
      </c>
      <c r="DS427" s="21" t="s">
        <v>143</v>
      </c>
      <c r="DT427" s="21" t="s">
        <v>143</v>
      </c>
      <c r="DU427" s="21" t="s">
        <v>143</v>
      </c>
      <c r="DV427" s="21" t="s">
        <v>143</v>
      </c>
      <c r="DW427" s="21" t="s">
        <v>143</v>
      </c>
      <c r="DX427" s="21" t="s">
        <v>143</v>
      </c>
      <c r="DY427" s="21" t="s">
        <v>143</v>
      </c>
      <c r="DZ427" s="21" t="s">
        <v>143</v>
      </c>
      <c r="EA427" s="8" t="s">
        <v>143</v>
      </c>
      <c r="EB427" s="8" t="s">
        <v>143</v>
      </c>
      <c r="EC427" s="8" t="s">
        <v>143</v>
      </c>
      <c r="ED427" s="8" t="s">
        <v>143</v>
      </c>
      <c r="EE427" s="8" t="s">
        <v>143</v>
      </c>
      <c r="EF427" s="8" t="s">
        <v>143</v>
      </c>
      <c r="EG427" s="8" t="s">
        <v>143</v>
      </c>
      <c r="EH427" s="8" t="s">
        <v>143</v>
      </c>
      <c r="EI427" s="8" t="s">
        <v>143</v>
      </c>
      <c r="EJ427" s="8" t="s">
        <v>143</v>
      </c>
      <c r="EK427" s="8" t="s">
        <v>157</v>
      </c>
      <c r="EL427" s="8">
        <v>316</v>
      </c>
      <c r="EM427" s="8">
        <v>632</v>
      </c>
      <c r="EN427" s="8" t="s">
        <v>143</v>
      </c>
      <c r="EO427" s="8" t="s">
        <v>143</v>
      </c>
      <c r="EP427" s="8" t="s">
        <v>143</v>
      </c>
      <c r="EQ427" s="8" t="s">
        <v>143</v>
      </c>
      <c r="ER427" s="8" t="s">
        <v>143</v>
      </c>
      <c r="ES427" s="8" t="s">
        <v>143</v>
      </c>
      <c r="ET427" s="8" t="s">
        <v>143</v>
      </c>
      <c r="EU427" s="8" t="s">
        <v>143</v>
      </c>
      <c r="EV427" s="8" t="s">
        <v>143</v>
      </c>
    </row>
    <row r="428" spans="1:152" x14ac:dyDescent="0.15">
      <c r="A428" s="8">
        <f>ROW([2]!tbl_DPSAC[[#This Row],[Sl. No.]])-1</f>
        <v>427</v>
      </c>
      <c r="B428" s="9" t="s">
        <v>136</v>
      </c>
      <c r="C428" s="8" t="s">
        <v>2315</v>
      </c>
      <c r="D428" s="8" t="s">
        <v>1491</v>
      </c>
      <c r="E428" s="8" t="s">
        <v>1492</v>
      </c>
      <c r="F428" s="9" t="s">
        <v>161</v>
      </c>
      <c r="G428" s="23" t="s">
        <v>2316</v>
      </c>
      <c r="H428" s="10" t="str">
        <f>_xlfn.XLOOKUP(C428,'[1]E&amp;DPSAC'!$K:$K,'[1]E&amp;DPSAC'!$E:$E,,0)</f>
        <v>SAYAL, RAMGARH</v>
      </c>
      <c r="I428" s="23"/>
      <c r="J428" s="10">
        <v>6304185763</v>
      </c>
      <c r="K428" s="10">
        <f>IF(_xlfn.XLOOKUP(C428,'[1]E&amp;DPSAC'!$K:$K,'[1]E&amp;DPSAC'!$G:$G,"",0)=J428,"",_xlfn.XLOOKUP(C428,'[1]E&amp;DPSAC'!$K:$K,'[1]E&amp;DPSAC'!$G:$G,"",0))</f>
        <v>8946096277</v>
      </c>
      <c r="L428" s="9" t="str">
        <f t="shared" ca="1" si="27"/>
        <v>Warranty</v>
      </c>
      <c r="M428" s="13">
        <v>45646</v>
      </c>
      <c r="N428" s="12">
        <v>24</v>
      </c>
      <c r="O428" s="11">
        <f t="shared" si="26"/>
        <v>46387</v>
      </c>
      <c r="P428" s="8" t="s">
        <v>213</v>
      </c>
      <c r="Q428" s="16" t="s">
        <v>2320</v>
      </c>
      <c r="R428" s="15">
        <v>46072.701435185198</v>
      </c>
      <c r="S428" s="14">
        <v>1501</v>
      </c>
      <c r="T428" s="15">
        <v>46072</v>
      </c>
      <c r="U428" s="14">
        <v>1859</v>
      </c>
      <c r="V428" s="14">
        <v>1621</v>
      </c>
      <c r="W428" s="17">
        <v>46099.716249999998</v>
      </c>
      <c r="X428" s="14" t="s">
        <v>2796</v>
      </c>
      <c r="Y428" s="14">
        <v>630</v>
      </c>
      <c r="Z428" s="14" t="s">
        <v>2692</v>
      </c>
      <c r="AA428" s="18">
        <v>40.298564814802376</v>
      </c>
      <c r="AB428" s="18" t="s">
        <v>2692</v>
      </c>
      <c r="AC428" s="8">
        <f>tbl_DPSAC[[#This Row],[Current Month Due Count]]</f>
        <v>0</v>
      </c>
      <c r="AD428" s="8">
        <f>tbl_DPSAC[[#This Row],[Next Month Due2]]</f>
        <v>0</v>
      </c>
      <c r="AE428" s="8"/>
      <c r="AF428" s="8">
        <v>3</v>
      </c>
      <c r="AG428" s="14">
        <f t="shared" ca="1" si="25"/>
        <v>1661</v>
      </c>
      <c r="AH428" s="8" t="s">
        <v>2317</v>
      </c>
      <c r="AI428" s="8" t="s">
        <v>2318</v>
      </c>
      <c r="AJ428" s="8" t="s">
        <v>404</v>
      </c>
      <c r="AK428" s="8" t="s">
        <v>2319</v>
      </c>
      <c r="AL428" s="8"/>
      <c r="AM428" s="8"/>
      <c r="AN428" s="8"/>
      <c r="AO428" s="8"/>
      <c r="AP428" s="8"/>
      <c r="AQ428" s="8"/>
      <c r="AR428" s="8"/>
      <c r="AS428" s="8"/>
      <c r="AT428" s="8"/>
      <c r="AU428" s="8"/>
      <c r="AV428" s="8"/>
      <c r="AW428" s="8"/>
      <c r="AX428" s="8" t="s">
        <v>2007</v>
      </c>
      <c r="AY428" s="14">
        <v>1501</v>
      </c>
      <c r="AZ428" s="19">
        <v>46072</v>
      </c>
      <c r="BA428" s="14" t="s">
        <v>2320</v>
      </c>
      <c r="BB428" s="14">
        <v>1501</v>
      </c>
      <c r="BC428" s="19">
        <v>46072</v>
      </c>
      <c r="BD428" s="14" t="s">
        <v>2320</v>
      </c>
      <c r="BE428" s="14">
        <v>1501</v>
      </c>
      <c r="BF428" s="19">
        <v>46072</v>
      </c>
      <c r="BG428" s="14" t="s">
        <v>2320</v>
      </c>
      <c r="BH428" s="14">
        <v>1501</v>
      </c>
      <c r="BI428" s="19">
        <v>46072</v>
      </c>
      <c r="BJ428" s="14" t="s">
        <v>2320</v>
      </c>
      <c r="BK428" s="14">
        <v>1501</v>
      </c>
      <c r="BL428" s="19">
        <v>46072</v>
      </c>
      <c r="BM428" s="14" t="s">
        <v>2320</v>
      </c>
      <c r="BN428" s="27">
        <v>46252</v>
      </c>
      <c r="BO428" s="27">
        <v>46252</v>
      </c>
      <c r="BP428" s="27">
        <v>46252</v>
      </c>
      <c r="BQ428" s="27">
        <v>46252</v>
      </c>
      <c r="BR428" s="27">
        <v>46252</v>
      </c>
      <c r="BS428" s="28">
        <v>590</v>
      </c>
      <c r="BT428" s="29">
        <v>1340</v>
      </c>
      <c r="BU428" s="29">
        <v>590</v>
      </c>
      <c r="BV428" s="29">
        <v>590</v>
      </c>
      <c r="BW428" s="29">
        <v>1340</v>
      </c>
      <c r="BX428" s="8"/>
      <c r="BY428" s="8">
        <v>0</v>
      </c>
      <c r="BZ428" s="8">
        <v>0</v>
      </c>
      <c r="CA428" s="8">
        <v>0</v>
      </c>
      <c r="CB428" s="21">
        <v>46071.770833333299</v>
      </c>
      <c r="CC428" s="21">
        <v>46071.770833333299</v>
      </c>
      <c r="CD428" s="21">
        <v>46071.770833333299</v>
      </c>
      <c r="CE428" s="21">
        <v>46071.770833333299</v>
      </c>
      <c r="CF428" s="21">
        <v>46071.770833333299</v>
      </c>
      <c r="CG428" s="21">
        <v>46071.770833333299</v>
      </c>
      <c r="CH428" s="21">
        <v>46071.770833333299</v>
      </c>
      <c r="CI428" s="21">
        <v>46071.770833333299</v>
      </c>
      <c r="CJ428" s="21">
        <v>46071.770833333299</v>
      </c>
      <c r="CK428" s="22" t="s">
        <v>3056</v>
      </c>
      <c r="CL428" s="22" t="s">
        <v>3042</v>
      </c>
      <c r="CM428" s="22" t="s">
        <v>3042</v>
      </c>
      <c r="CN428" s="22" t="s">
        <v>3042</v>
      </c>
      <c r="CO428" s="22" t="s">
        <v>3042</v>
      </c>
      <c r="CP428" s="22" t="s">
        <v>3056</v>
      </c>
      <c r="CQ428" s="22" t="s">
        <v>2953</v>
      </c>
      <c r="CR428" s="22" t="s">
        <v>3056</v>
      </c>
      <c r="CS428" s="22" t="s">
        <v>3056</v>
      </c>
      <c r="CT428" s="22">
        <v>6</v>
      </c>
      <c r="CU428" s="21">
        <v>46251</v>
      </c>
      <c r="CV428" s="21">
        <v>46192</v>
      </c>
      <c r="CW428" s="21">
        <v>46192</v>
      </c>
      <c r="CX428" s="21">
        <v>46192</v>
      </c>
      <c r="CY428" s="21">
        <v>46192</v>
      </c>
      <c r="CZ428" s="21">
        <v>46317</v>
      </c>
      <c r="DA428" s="21">
        <v>46243</v>
      </c>
      <c r="DB428" s="21">
        <v>46251</v>
      </c>
      <c r="DC428" s="21">
        <v>46317</v>
      </c>
      <c r="DD428" s="8">
        <v>0</v>
      </c>
      <c r="DE428" s="8">
        <v>0</v>
      </c>
      <c r="DF428" s="8">
        <v>0</v>
      </c>
      <c r="DG428" s="8">
        <v>0</v>
      </c>
      <c r="DH428" s="8">
        <v>0</v>
      </c>
      <c r="DI428" s="8">
        <v>0</v>
      </c>
      <c r="DJ428" s="8" t="s">
        <v>2976</v>
      </c>
      <c r="DK428" s="21">
        <v>45646</v>
      </c>
      <c r="DL428" s="21">
        <v>45572.229166666664</v>
      </c>
      <c r="DM428" s="21">
        <v>46099</v>
      </c>
      <c r="DN428" s="18">
        <v>1621</v>
      </c>
      <c r="DO428" s="21">
        <v>0</v>
      </c>
      <c r="DP428" s="21">
        <v>0</v>
      </c>
      <c r="DQ428" s="21" t="s">
        <v>2955</v>
      </c>
      <c r="DR428" s="21">
        <v>46072</v>
      </c>
      <c r="DS428" s="21">
        <v>46072</v>
      </c>
      <c r="DT428" s="21">
        <v>46072</v>
      </c>
      <c r="DU428" s="21">
        <v>46072</v>
      </c>
      <c r="DV428" s="21">
        <v>46072</v>
      </c>
      <c r="DW428" s="21">
        <v>46072</v>
      </c>
      <c r="DX428" s="21">
        <v>46072</v>
      </c>
      <c r="DY428" s="21">
        <v>46072</v>
      </c>
      <c r="DZ428" s="21">
        <v>46072</v>
      </c>
      <c r="EA428" s="8">
        <v>1379</v>
      </c>
      <c r="EB428" s="8">
        <v>629</v>
      </c>
      <c r="EC428" s="8">
        <v>629</v>
      </c>
      <c r="ED428" s="8">
        <v>629</v>
      </c>
      <c r="EE428" s="8">
        <v>629</v>
      </c>
      <c r="EF428" s="8">
        <v>1379</v>
      </c>
      <c r="EG428" s="8">
        <v>939</v>
      </c>
      <c r="EH428" s="8">
        <v>1379</v>
      </c>
      <c r="EI428" s="8">
        <v>1379</v>
      </c>
      <c r="EJ428" s="8">
        <v>3</v>
      </c>
      <c r="EK428" s="8" t="s">
        <v>2624</v>
      </c>
      <c r="EL428" s="8">
        <v>13</v>
      </c>
      <c r="EM428" s="8">
        <v>39</v>
      </c>
      <c r="EN428" s="8">
        <v>1091</v>
      </c>
      <c r="EO428" s="8">
        <v>341</v>
      </c>
      <c r="EP428" s="8">
        <v>341</v>
      </c>
      <c r="EQ428" s="8">
        <v>341</v>
      </c>
      <c r="ER428" s="8">
        <v>341</v>
      </c>
      <c r="ES428" s="8">
        <v>1091</v>
      </c>
      <c r="ET428" s="8">
        <v>651</v>
      </c>
      <c r="EU428" s="8">
        <v>1091</v>
      </c>
      <c r="EV428" s="8">
        <v>1091</v>
      </c>
    </row>
    <row r="429" spans="1:152" x14ac:dyDescent="0.15">
      <c r="A429" s="8">
        <f>ROW([2]!tbl_DPSAC[[#This Row],[Sl. No.]])-1</f>
        <v>428</v>
      </c>
      <c r="B429" s="9" t="s">
        <v>136</v>
      </c>
      <c r="C429" s="8" t="s">
        <v>2321</v>
      </c>
      <c r="D429" s="8" t="s">
        <v>333</v>
      </c>
      <c r="E429" s="8" t="s">
        <v>333</v>
      </c>
      <c r="F429" s="9" t="s">
        <v>140</v>
      </c>
      <c r="G429" s="23" t="s">
        <v>2322</v>
      </c>
      <c r="H429" s="10" t="str">
        <f>_xlfn.XLOOKUP(C429,'[1]E&amp;DPSAC'!$K:$K,'[1]E&amp;DPSAC'!$E:$E,,0)</f>
        <v>TUBED MINES, LATEHAR</v>
      </c>
      <c r="I429" s="23"/>
      <c r="J429" s="10">
        <v>6263452330</v>
      </c>
      <c r="K429" s="10">
        <f>IF(_xlfn.XLOOKUP(C429,'[1]E&amp;DPSAC'!$K:$K,'[1]E&amp;DPSAC'!$G:$G,"",0)=J429,"",_xlfn.XLOOKUP(C429,'[1]E&amp;DPSAC'!$K:$K,'[1]E&amp;DPSAC'!$G:$G,"",0))</f>
        <v>7979098236</v>
      </c>
      <c r="L429" s="9" t="str">
        <f t="shared" ca="1" si="27"/>
        <v>Warranty</v>
      </c>
      <c r="M429" s="13">
        <v>45639</v>
      </c>
      <c r="N429" s="12">
        <v>36</v>
      </c>
      <c r="O429" s="11">
        <f t="shared" si="26"/>
        <v>46752</v>
      </c>
      <c r="P429" s="8" t="s">
        <v>213</v>
      </c>
      <c r="Q429" s="16" t="s">
        <v>2327</v>
      </c>
      <c r="R429" s="15">
        <v>46077.719282407401</v>
      </c>
      <c r="S429" s="14">
        <v>2063</v>
      </c>
      <c r="T429" s="15">
        <v>46069</v>
      </c>
      <c r="U429" s="14">
        <v>2015</v>
      </c>
      <c r="V429" s="14">
        <v>2185</v>
      </c>
      <c r="W429" s="17">
        <v>46099.719340277799</v>
      </c>
      <c r="X429" s="14" t="s">
        <v>2903</v>
      </c>
      <c r="Y429" s="14">
        <v>628</v>
      </c>
      <c r="Z429" s="14" t="s">
        <v>2692</v>
      </c>
      <c r="AA429" s="18">
        <v>35.280717592599103</v>
      </c>
      <c r="AB429" s="18" t="s">
        <v>2692</v>
      </c>
      <c r="AC429" s="8">
        <f>tbl_DPSAC[[#This Row],[Current Month Due Count]]</f>
        <v>0</v>
      </c>
      <c r="AD429" s="8">
        <f>tbl_DPSAC[[#This Row],[Next Month Due2]]</f>
        <v>0</v>
      </c>
      <c r="AE429" s="8"/>
      <c r="AF429" s="8">
        <v>6</v>
      </c>
      <c r="AG429" s="14">
        <f t="shared" ca="1" si="25"/>
        <v>2265</v>
      </c>
      <c r="AH429" s="8" t="s">
        <v>2323</v>
      </c>
      <c r="AI429" s="8" t="s">
        <v>1614</v>
      </c>
      <c r="AJ429" s="8" t="s">
        <v>2324</v>
      </c>
      <c r="AK429" s="8" t="s">
        <v>2325</v>
      </c>
      <c r="AL429" s="8" t="s">
        <v>2326</v>
      </c>
      <c r="AM429" s="8"/>
      <c r="AN429" s="8"/>
      <c r="AO429" s="8"/>
      <c r="AP429" s="8"/>
      <c r="AQ429" s="8"/>
      <c r="AR429" s="8"/>
      <c r="AS429" s="8"/>
      <c r="AT429" s="8"/>
      <c r="AU429" s="8"/>
      <c r="AV429" s="8"/>
      <c r="AW429" s="8"/>
      <c r="AX429" s="8" t="s">
        <v>2007</v>
      </c>
      <c r="AY429" s="14">
        <v>2063</v>
      </c>
      <c r="AZ429" s="19">
        <v>46077</v>
      </c>
      <c r="BA429" s="14" t="s">
        <v>2327</v>
      </c>
      <c r="BB429" s="14">
        <v>1705</v>
      </c>
      <c r="BC429" s="19">
        <v>46007</v>
      </c>
      <c r="BD429" s="14" t="s">
        <v>2328</v>
      </c>
      <c r="BE429" s="14">
        <v>2063</v>
      </c>
      <c r="BF429" s="19">
        <v>46077</v>
      </c>
      <c r="BG429" s="14" t="s">
        <v>2327</v>
      </c>
      <c r="BH429" s="14">
        <v>1705</v>
      </c>
      <c r="BI429" s="19">
        <v>46007</v>
      </c>
      <c r="BJ429" s="14" t="s">
        <v>2328</v>
      </c>
      <c r="BK429" s="14">
        <v>1705</v>
      </c>
      <c r="BL429" s="19">
        <v>46007</v>
      </c>
      <c r="BM429" s="14" t="s">
        <v>2328</v>
      </c>
      <c r="BN429" s="27">
        <v>46257</v>
      </c>
      <c r="BO429" s="27">
        <v>46187</v>
      </c>
      <c r="BP429" s="27">
        <v>46257</v>
      </c>
      <c r="BQ429" s="27">
        <v>46187</v>
      </c>
      <c r="BR429" s="27">
        <v>46187</v>
      </c>
      <c r="BS429" s="28">
        <v>548</v>
      </c>
      <c r="BT429" s="29">
        <v>940</v>
      </c>
      <c r="BU429" s="29">
        <v>548</v>
      </c>
      <c r="BV429" s="29">
        <v>190</v>
      </c>
      <c r="BW429" s="29">
        <v>940</v>
      </c>
      <c r="BX429" s="8"/>
      <c r="BY429" s="8">
        <v>0</v>
      </c>
      <c r="BZ429" s="8">
        <v>0</v>
      </c>
      <c r="CA429" s="8">
        <v>0</v>
      </c>
      <c r="CB429" s="21">
        <v>46077.770833333299</v>
      </c>
      <c r="CC429" s="21">
        <v>46077.770833333299</v>
      </c>
      <c r="CD429" s="21">
        <v>46006.770833333299</v>
      </c>
      <c r="CE429" s="21">
        <v>46076.770833333299</v>
      </c>
      <c r="CF429" s="21">
        <v>46076.770833333299</v>
      </c>
      <c r="CG429" s="21">
        <v>46006.770833333299</v>
      </c>
      <c r="CH429" s="21">
        <v>46006.770833333299</v>
      </c>
      <c r="CI429" s="21">
        <v>46006.770833333299</v>
      </c>
      <c r="CJ429" s="21">
        <v>45272.770833333299</v>
      </c>
      <c r="CK429" s="22" t="s">
        <v>2956</v>
      </c>
      <c r="CL429" s="22" t="s">
        <v>2957</v>
      </c>
      <c r="CM429" s="22" t="s">
        <v>3110</v>
      </c>
      <c r="CN429" s="22" t="s">
        <v>2957</v>
      </c>
      <c r="CO429" s="22" t="s">
        <v>2957</v>
      </c>
      <c r="CP429" s="22" t="s">
        <v>3195</v>
      </c>
      <c r="CQ429" s="22" t="s">
        <v>2953</v>
      </c>
      <c r="CR429" s="22" t="s">
        <v>3195</v>
      </c>
      <c r="CS429" s="22" t="s">
        <v>3195</v>
      </c>
      <c r="CT429" s="22">
        <v>11</v>
      </c>
      <c r="CU429" s="21">
        <v>46214</v>
      </c>
      <c r="CV429" s="21">
        <v>46146</v>
      </c>
      <c r="CW429" s="21">
        <v>46096</v>
      </c>
      <c r="CX429" s="21">
        <v>46146</v>
      </c>
      <c r="CY429" s="21">
        <v>46146</v>
      </c>
      <c r="CZ429" s="21">
        <v>46162</v>
      </c>
      <c r="DA429" s="21">
        <v>46168</v>
      </c>
      <c r="DB429" s="21">
        <v>46163</v>
      </c>
      <c r="DC429" s="21">
        <v>45637</v>
      </c>
      <c r="DD429" s="8">
        <v>1</v>
      </c>
      <c r="DE429" s="8">
        <v>0</v>
      </c>
      <c r="DF429" s="8">
        <v>1</v>
      </c>
      <c r="DG429" s="8">
        <v>2</v>
      </c>
      <c r="DH429" s="8">
        <v>0</v>
      </c>
      <c r="DI429" s="8">
        <v>6</v>
      </c>
      <c r="DJ429" s="8" t="s">
        <v>2976</v>
      </c>
      <c r="DK429" s="21">
        <v>45639</v>
      </c>
      <c r="DL429" s="21">
        <v>45590.229166666664</v>
      </c>
      <c r="DM429" s="21">
        <v>46099</v>
      </c>
      <c r="DN429" s="18">
        <v>2185</v>
      </c>
      <c r="DO429" s="21">
        <v>0</v>
      </c>
      <c r="DP429" s="21">
        <v>0</v>
      </c>
      <c r="DQ429" s="21" t="s">
        <v>2955</v>
      </c>
      <c r="DR429" s="21">
        <v>46078</v>
      </c>
      <c r="DS429" s="21">
        <v>46078</v>
      </c>
      <c r="DT429" s="21">
        <v>46055</v>
      </c>
      <c r="DU429" s="21">
        <v>46078</v>
      </c>
      <c r="DV429" s="21">
        <v>46078</v>
      </c>
      <c r="DW429" s="21">
        <v>46007</v>
      </c>
      <c r="DX429" s="21">
        <v>46007</v>
      </c>
      <c r="DY429" s="21">
        <v>46007</v>
      </c>
      <c r="DZ429" s="21">
        <v>46007</v>
      </c>
      <c r="EA429" s="8">
        <v>1378</v>
      </c>
      <c r="EB429" s="8">
        <v>628</v>
      </c>
      <c r="EC429" s="8">
        <v>628</v>
      </c>
      <c r="ED429" s="8">
        <v>628</v>
      </c>
      <c r="EE429" s="8">
        <v>628</v>
      </c>
      <c r="EF429" s="8">
        <v>811</v>
      </c>
      <c r="EG429" s="8">
        <v>878</v>
      </c>
      <c r="EH429" s="8">
        <v>811</v>
      </c>
      <c r="EI429" s="8">
        <v>811</v>
      </c>
      <c r="EJ429" s="8">
        <v>6</v>
      </c>
      <c r="EK429" s="8" t="s">
        <v>2624</v>
      </c>
      <c r="EL429" s="8">
        <v>13</v>
      </c>
      <c r="EM429" s="8">
        <v>78</v>
      </c>
      <c r="EN429" s="8">
        <v>1090</v>
      </c>
      <c r="EO429" s="8">
        <v>340</v>
      </c>
      <c r="EP429" s="8">
        <v>340</v>
      </c>
      <c r="EQ429" s="8">
        <v>340</v>
      </c>
      <c r="ER429" s="8">
        <v>340</v>
      </c>
      <c r="ES429" s="8">
        <v>523</v>
      </c>
      <c r="ET429" s="8">
        <v>590</v>
      </c>
      <c r="EU429" s="8">
        <v>523</v>
      </c>
      <c r="EV429" s="8">
        <v>523</v>
      </c>
    </row>
    <row r="430" spans="1:152" x14ac:dyDescent="0.15">
      <c r="A430" s="8">
        <f>ROW([2]!tbl_DPSAC[[#This Row],[Sl. No.]])-1</f>
        <v>429</v>
      </c>
      <c r="B430" s="9" t="s">
        <v>196</v>
      </c>
      <c r="C430" s="8" t="s">
        <v>2329</v>
      </c>
      <c r="D430" s="8" t="s">
        <v>1426</v>
      </c>
      <c r="E430" s="8" t="s">
        <v>1707</v>
      </c>
      <c r="F430" s="9" t="s">
        <v>161</v>
      </c>
      <c r="G430" s="23" t="s">
        <v>2330</v>
      </c>
      <c r="H430" s="10" t="e">
        <f>_xlfn.XLOOKUP(C430,'[1]E&amp;DPSAC'!$K:$K,'[1]E&amp;DPSAC'!$E:$E,,0)</f>
        <v>#N/A</v>
      </c>
      <c r="I430" s="23"/>
      <c r="J430" s="10"/>
      <c r="K430" s="10" t="str">
        <f>IF(_xlfn.XLOOKUP(C430,'[1]E&amp;DPSAC'!$K:$K,'[1]E&amp;DPSAC'!$G:$G,"",0)=J430,"",_xlfn.XLOOKUP(C430,'[1]E&amp;DPSAC'!$K:$K,'[1]E&amp;DPSAC'!$G:$G,"",0))</f>
        <v/>
      </c>
      <c r="L430" s="9" t="str">
        <f t="shared" ca="1" si="27"/>
        <v>Warranty</v>
      </c>
      <c r="M430" s="13">
        <v>45652</v>
      </c>
      <c r="N430" s="12">
        <v>24</v>
      </c>
      <c r="O430" s="11">
        <f t="shared" si="26"/>
        <v>46387</v>
      </c>
      <c r="P430" s="8" t="s">
        <v>157</v>
      </c>
      <c r="Q430" s="16" t="s">
        <v>143</v>
      </c>
      <c r="R430" s="15" t="s">
        <v>143</v>
      </c>
      <c r="S430" s="14" t="s">
        <v>143</v>
      </c>
      <c r="T430" s="15" t="s">
        <v>143</v>
      </c>
      <c r="U430" s="14" t="s">
        <v>143</v>
      </c>
      <c r="V430" s="14">
        <v>200</v>
      </c>
      <c r="W430" s="17">
        <v>45756.616840277798</v>
      </c>
      <c r="X430" s="14" t="s">
        <v>143</v>
      </c>
      <c r="Y430" s="14">
        <v>0</v>
      </c>
      <c r="Z430" s="14" t="s">
        <v>2692</v>
      </c>
      <c r="AA430" s="18">
        <v>461</v>
      </c>
      <c r="AB430" s="18" t="s">
        <v>2697</v>
      </c>
      <c r="AC430" s="8">
        <f>tbl_DPSAC[[#This Row],[Current Month Due Count]]</f>
        <v>0</v>
      </c>
      <c r="AD430" s="8">
        <f>tbl_DPSAC[[#This Row],[Next Month Due2]]</f>
        <v>0</v>
      </c>
      <c r="AE430" s="8"/>
      <c r="AF430" s="8">
        <v>2</v>
      </c>
      <c r="AG430" s="14">
        <f t="shared" ca="1" si="25"/>
        <v>913</v>
      </c>
      <c r="AH430" s="8"/>
      <c r="AI430" s="8"/>
      <c r="AJ430" s="8"/>
      <c r="AK430" s="8"/>
      <c r="AL430" s="8"/>
      <c r="AM430" s="8"/>
      <c r="AN430" s="8"/>
      <c r="AO430" s="8"/>
      <c r="AP430" s="8"/>
      <c r="AQ430" s="8"/>
      <c r="AR430" s="8"/>
      <c r="AS430" s="8"/>
      <c r="AT430" s="8"/>
      <c r="AU430" s="8"/>
      <c r="AV430" s="8"/>
      <c r="AW430" s="8"/>
      <c r="AX430" s="8" t="s">
        <v>2980</v>
      </c>
      <c r="AY430" s="14">
        <v>1</v>
      </c>
      <c r="AZ430" s="19">
        <v>46017</v>
      </c>
      <c r="BA430" s="14" t="s">
        <v>2331</v>
      </c>
      <c r="BB430" s="14">
        <v>1</v>
      </c>
      <c r="BC430" s="19">
        <v>46017</v>
      </c>
      <c r="BD430" s="14" t="s">
        <v>2331</v>
      </c>
      <c r="BE430" s="14">
        <v>1</v>
      </c>
      <c r="BF430" s="19">
        <v>46017</v>
      </c>
      <c r="BG430" s="14" t="s">
        <v>2331</v>
      </c>
      <c r="BH430" s="14">
        <v>1</v>
      </c>
      <c r="BI430" s="19">
        <v>46017</v>
      </c>
      <c r="BJ430" s="14" t="s">
        <v>2331</v>
      </c>
      <c r="BK430" s="14">
        <v>1</v>
      </c>
      <c r="BL430" s="19">
        <v>46017</v>
      </c>
      <c r="BM430" s="14" t="s">
        <v>2331</v>
      </c>
      <c r="BN430" s="27">
        <v>46197</v>
      </c>
      <c r="BO430" s="27">
        <v>46197</v>
      </c>
      <c r="BP430" s="27">
        <v>46197</v>
      </c>
      <c r="BQ430" s="27">
        <v>46197</v>
      </c>
      <c r="BR430" s="27">
        <v>46197</v>
      </c>
      <c r="BS430" s="28">
        <v>-162</v>
      </c>
      <c r="BT430" s="29">
        <v>588</v>
      </c>
      <c r="BU430" s="29">
        <v>-162</v>
      </c>
      <c r="BV430" s="29">
        <v>-162</v>
      </c>
      <c r="BW430" s="29">
        <v>588</v>
      </c>
      <c r="BX430" s="30" t="s">
        <v>255</v>
      </c>
      <c r="BY430" s="8">
        <v>0</v>
      </c>
      <c r="BZ430" s="8">
        <v>0</v>
      </c>
      <c r="CA430" s="8">
        <v>0</v>
      </c>
      <c r="CB430" s="21" t="s">
        <v>143</v>
      </c>
      <c r="CC430" s="21" t="s">
        <v>143</v>
      </c>
      <c r="CD430" s="21" t="s">
        <v>143</v>
      </c>
      <c r="CE430" s="21" t="s">
        <v>143</v>
      </c>
      <c r="CF430" s="21" t="s">
        <v>143</v>
      </c>
      <c r="CG430" s="21" t="s">
        <v>143</v>
      </c>
      <c r="CH430" s="21" t="s">
        <v>143</v>
      </c>
      <c r="CI430" s="21" t="s">
        <v>143</v>
      </c>
      <c r="CJ430" s="21" t="s">
        <v>143</v>
      </c>
      <c r="CK430" s="22" t="s">
        <v>143</v>
      </c>
      <c r="CL430" s="22" t="s">
        <v>143</v>
      </c>
      <c r="CM430" s="22" t="s">
        <v>143</v>
      </c>
      <c r="CN430" s="22" t="s">
        <v>143</v>
      </c>
      <c r="CO430" s="22" t="s">
        <v>143</v>
      </c>
      <c r="CP430" s="22" t="s">
        <v>143</v>
      </c>
      <c r="CQ430" s="22" t="s">
        <v>143</v>
      </c>
      <c r="CR430" s="22" t="s">
        <v>143</v>
      </c>
      <c r="CS430" s="22" t="s">
        <v>143</v>
      </c>
      <c r="CT430" s="22" t="s">
        <v>143</v>
      </c>
      <c r="CU430" s="21" t="s">
        <v>143</v>
      </c>
      <c r="CV430" s="21" t="s">
        <v>143</v>
      </c>
      <c r="CW430" s="21" t="s">
        <v>143</v>
      </c>
      <c r="CX430" s="21" t="s">
        <v>143</v>
      </c>
      <c r="CY430" s="21" t="s">
        <v>143</v>
      </c>
      <c r="CZ430" s="21" t="s">
        <v>143</v>
      </c>
      <c r="DA430" s="21" t="s">
        <v>143</v>
      </c>
      <c r="DB430" s="21" t="s">
        <v>143</v>
      </c>
      <c r="DC430" s="21" t="s">
        <v>143</v>
      </c>
      <c r="DD430" s="8" t="s">
        <v>143</v>
      </c>
      <c r="DE430" s="8" t="s">
        <v>143</v>
      </c>
      <c r="DF430" s="8" t="s">
        <v>143</v>
      </c>
      <c r="DG430" s="8">
        <v>0</v>
      </c>
      <c r="DH430" s="8">
        <v>0</v>
      </c>
      <c r="DI430" s="8">
        <v>0</v>
      </c>
      <c r="DJ430" s="8" t="s">
        <v>143</v>
      </c>
      <c r="DK430" s="21" t="s">
        <v>143</v>
      </c>
      <c r="DL430" s="21" t="s">
        <v>143</v>
      </c>
      <c r="DM430" s="21" t="s">
        <v>143</v>
      </c>
      <c r="DN430" s="18" t="s">
        <v>143</v>
      </c>
      <c r="DO430" s="21" t="s">
        <v>143</v>
      </c>
      <c r="DP430" s="21" t="s">
        <v>143</v>
      </c>
      <c r="DQ430" s="21" t="s">
        <v>143</v>
      </c>
      <c r="DR430" s="21" t="s">
        <v>143</v>
      </c>
      <c r="DS430" s="21" t="s">
        <v>143</v>
      </c>
      <c r="DT430" s="21" t="s">
        <v>143</v>
      </c>
      <c r="DU430" s="21" t="s">
        <v>143</v>
      </c>
      <c r="DV430" s="21" t="s">
        <v>143</v>
      </c>
      <c r="DW430" s="21" t="s">
        <v>143</v>
      </c>
      <c r="DX430" s="21" t="s">
        <v>143</v>
      </c>
      <c r="DY430" s="21" t="s">
        <v>143</v>
      </c>
      <c r="DZ430" s="21" t="s">
        <v>143</v>
      </c>
      <c r="EA430" s="8" t="s">
        <v>143</v>
      </c>
      <c r="EB430" s="8" t="s">
        <v>143</v>
      </c>
      <c r="EC430" s="8" t="s">
        <v>143</v>
      </c>
      <c r="ED430" s="8" t="s">
        <v>143</v>
      </c>
      <c r="EE430" s="8" t="s">
        <v>143</v>
      </c>
      <c r="EF430" s="8" t="s">
        <v>143</v>
      </c>
      <c r="EG430" s="8" t="s">
        <v>143</v>
      </c>
      <c r="EH430" s="8" t="s">
        <v>143</v>
      </c>
      <c r="EI430" s="8" t="s">
        <v>143</v>
      </c>
      <c r="EJ430" s="8" t="s">
        <v>143</v>
      </c>
      <c r="EK430" s="8" t="s">
        <v>157</v>
      </c>
      <c r="EL430" s="8">
        <v>356</v>
      </c>
      <c r="EM430" s="8">
        <v>712</v>
      </c>
      <c r="EN430" s="8" t="s">
        <v>143</v>
      </c>
      <c r="EO430" s="8" t="s">
        <v>143</v>
      </c>
      <c r="EP430" s="8" t="s">
        <v>143</v>
      </c>
      <c r="EQ430" s="8" t="s">
        <v>143</v>
      </c>
      <c r="ER430" s="8" t="s">
        <v>143</v>
      </c>
      <c r="ES430" s="8" t="s">
        <v>143</v>
      </c>
      <c r="ET430" s="8" t="s">
        <v>143</v>
      </c>
      <c r="EU430" s="8" t="s">
        <v>143</v>
      </c>
      <c r="EV430" s="8" t="s">
        <v>143</v>
      </c>
    </row>
    <row r="431" spans="1:152" x14ac:dyDescent="0.15">
      <c r="A431" s="8">
        <f>ROW([2]!tbl_DPSAC[[#This Row],[Sl. No.]])-1</f>
        <v>430</v>
      </c>
      <c r="B431" s="9" t="s">
        <v>136</v>
      </c>
      <c r="C431" s="8" t="s">
        <v>2332</v>
      </c>
      <c r="D431" s="8" t="s">
        <v>262</v>
      </c>
      <c r="E431" s="8" t="s">
        <v>176</v>
      </c>
      <c r="F431" s="9" t="s">
        <v>161</v>
      </c>
      <c r="G431" s="23" t="s">
        <v>2333</v>
      </c>
      <c r="H431" s="10" t="str">
        <f>_xlfn.XLOOKUP(C431,'[1]E&amp;DPSAC'!$K:$K,'[1]E&amp;DPSAC'!$E:$E,,0)</f>
        <v>SIMDEGA</v>
      </c>
      <c r="I431" s="23"/>
      <c r="J431" s="10">
        <v>9304534857</v>
      </c>
      <c r="K431" s="10" t="str">
        <f>IF(_xlfn.XLOOKUP(C431,'[1]E&amp;DPSAC'!$K:$K,'[1]E&amp;DPSAC'!$G:$G,"",0)=J431,"",_xlfn.XLOOKUP(C431,'[1]E&amp;DPSAC'!$K:$K,'[1]E&amp;DPSAC'!$G:$G,"",0))</f>
        <v/>
      </c>
      <c r="L431" s="9" t="str">
        <f t="shared" ca="1" si="27"/>
        <v>Warranty</v>
      </c>
      <c r="M431" s="13">
        <v>45654</v>
      </c>
      <c r="N431" s="12">
        <v>24</v>
      </c>
      <c r="O431" s="11">
        <f t="shared" si="26"/>
        <v>46387</v>
      </c>
      <c r="P431" s="8" t="s">
        <v>213</v>
      </c>
      <c r="Q431" s="16" t="s">
        <v>143</v>
      </c>
      <c r="R431" s="15" t="s">
        <v>143</v>
      </c>
      <c r="S431" s="14" t="s">
        <v>143</v>
      </c>
      <c r="T431" s="15">
        <v>45654</v>
      </c>
      <c r="U431" s="14">
        <v>1</v>
      </c>
      <c r="V431" s="14">
        <v>330</v>
      </c>
      <c r="W431" s="17">
        <v>46099.723229166702</v>
      </c>
      <c r="X431" s="14" t="s">
        <v>143</v>
      </c>
      <c r="Y431" s="14">
        <v>0</v>
      </c>
      <c r="Z431" s="14" t="s">
        <v>2692</v>
      </c>
      <c r="AA431" s="18">
        <v>459</v>
      </c>
      <c r="AB431" s="18" t="s">
        <v>2697</v>
      </c>
      <c r="AC431" s="8">
        <f>tbl_DPSAC[[#This Row],[Current Month Due Count]]</f>
        <v>0</v>
      </c>
      <c r="AD431" s="8">
        <f>tbl_DPSAC[[#This Row],[Next Month Due2]]</f>
        <v>0</v>
      </c>
      <c r="AE431" s="8"/>
      <c r="AF431" s="8">
        <v>0</v>
      </c>
      <c r="AG431" s="14">
        <f t="shared" ca="1" si="25"/>
        <v>330</v>
      </c>
      <c r="AH431" s="8"/>
      <c r="AI431" s="8"/>
      <c r="AJ431" s="8"/>
      <c r="AK431" s="8"/>
      <c r="AL431" s="8"/>
      <c r="AM431" s="8"/>
      <c r="AN431" s="8"/>
      <c r="AO431" s="8"/>
      <c r="AP431" s="8"/>
      <c r="AQ431" s="8"/>
      <c r="AR431" s="8"/>
      <c r="AS431" s="8"/>
      <c r="AT431" s="8"/>
      <c r="AU431" s="8"/>
      <c r="AV431" s="8"/>
      <c r="AW431" s="8"/>
      <c r="AX431" s="8" t="s">
        <v>2007</v>
      </c>
      <c r="AY431" s="14">
        <v>1</v>
      </c>
      <c r="AZ431" s="19">
        <v>45654</v>
      </c>
      <c r="BA431" s="14" t="s">
        <v>2334</v>
      </c>
      <c r="BB431" s="14">
        <v>1</v>
      </c>
      <c r="BC431" s="19">
        <v>45654</v>
      </c>
      <c r="BD431" s="14" t="s">
        <v>2334</v>
      </c>
      <c r="BE431" s="14">
        <v>1</v>
      </c>
      <c r="BF431" s="19">
        <v>45654</v>
      </c>
      <c r="BG431" s="14" t="s">
        <v>2334</v>
      </c>
      <c r="BH431" s="14">
        <v>1</v>
      </c>
      <c r="BI431" s="19">
        <v>45654</v>
      </c>
      <c r="BJ431" s="14" t="s">
        <v>2334</v>
      </c>
      <c r="BK431" s="14">
        <v>1</v>
      </c>
      <c r="BL431" s="19">
        <v>45654</v>
      </c>
      <c r="BM431" s="14" t="s">
        <v>2334</v>
      </c>
      <c r="BN431" s="27">
        <v>45834</v>
      </c>
      <c r="BO431" s="27">
        <v>45834</v>
      </c>
      <c r="BP431" s="27">
        <v>45834</v>
      </c>
      <c r="BQ431" s="27">
        <v>45834</v>
      </c>
      <c r="BR431" s="27">
        <v>45834</v>
      </c>
      <c r="BS431" s="28">
        <v>421</v>
      </c>
      <c r="BT431" s="29">
        <v>1171</v>
      </c>
      <c r="BU431" s="29">
        <v>421</v>
      </c>
      <c r="BV431" s="29">
        <v>421</v>
      </c>
      <c r="BW431" s="29">
        <v>1171</v>
      </c>
      <c r="BX431" s="8"/>
      <c r="BY431" s="8">
        <v>5</v>
      </c>
      <c r="BZ431" s="8">
        <v>0</v>
      </c>
      <c r="CA431" s="8">
        <v>0</v>
      </c>
      <c r="CB431" s="21">
        <v>45653.770833333299</v>
      </c>
      <c r="CC431" s="21">
        <v>45653.770833333299</v>
      </c>
      <c r="CD431" s="21">
        <v>45653.770833333299</v>
      </c>
      <c r="CE431" s="21">
        <v>45653.770833333299</v>
      </c>
      <c r="CF431" s="21">
        <v>45653.770833333299</v>
      </c>
      <c r="CG431" s="21">
        <v>45653.770833333299</v>
      </c>
      <c r="CH431" s="21">
        <v>45653.770833333299</v>
      </c>
      <c r="CI431" s="21">
        <v>45653.770833333299</v>
      </c>
      <c r="CJ431" s="21">
        <v>45653.770833333299</v>
      </c>
      <c r="CK431" s="22" t="s">
        <v>3078</v>
      </c>
      <c r="CL431" s="22" t="s">
        <v>3078</v>
      </c>
      <c r="CM431" s="22" t="s">
        <v>3078</v>
      </c>
      <c r="CN431" s="22" t="s">
        <v>3078</v>
      </c>
      <c r="CO431" s="22" t="s">
        <v>3078</v>
      </c>
      <c r="CP431" s="22" t="s">
        <v>3051</v>
      </c>
      <c r="CQ431" s="22" t="s">
        <v>2953</v>
      </c>
      <c r="CR431" s="22" t="s">
        <v>3051</v>
      </c>
      <c r="CS431" s="22" t="s">
        <v>3051</v>
      </c>
      <c r="CT431" s="22">
        <v>3</v>
      </c>
      <c r="CU431" s="21">
        <v>45833</v>
      </c>
      <c r="CV431" s="21">
        <v>45833</v>
      </c>
      <c r="CW431" s="21">
        <v>45833</v>
      </c>
      <c r="CX431" s="21">
        <v>45833</v>
      </c>
      <c r="CY431" s="21">
        <v>45833</v>
      </c>
      <c r="CZ431" s="21">
        <v>45923</v>
      </c>
      <c r="DA431" s="21">
        <v>46018</v>
      </c>
      <c r="DB431" s="21">
        <v>45833</v>
      </c>
      <c r="DC431" s="21">
        <v>46018</v>
      </c>
      <c r="DD431" s="8">
        <v>1</v>
      </c>
      <c r="DE431" s="8">
        <v>0</v>
      </c>
      <c r="DF431" s="8">
        <v>0</v>
      </c>
      <c r="DG431" s="8">
        <v>9</v>
      </c>
      <c r="DH431" s="8">
        <v>0</v>
      </c>
      <c r="DI431" s="8">
        <v>0</v>
      </c>
      <c r="DJ431" s="8" t="s">
        <v>2976</v>
      </c>
      <c r="DK431" s="21">
        <v>45654</v>
      </c>
      <c r="DL431" s="21">
        <v>45639.229166666664</v>
      </c>
      <c r="DM431" s="21">
        <v>46099</v>
      </c>
      <c r="DN431" s="18">
        <v>330</v>
      </c>
      <c r="DO431" s="21">
        <v>0</v>
      </c>
      <c r="DP431" s="21">
        <v>0</v>
      </c>
      <c r="DQ431" s="21" t="s">
        <v>3049</v>
      </c>
      <c r="DR431" s="21">
        <v>45654</v>
      </c>
      <c r="DS431" s="21">
        <v>45654</v>
      </c>
      <c r="DT431" s="21">
        <v>45654</v>
      </c>
      <c r="DU431" s="21">
        <v>45654</v>
      </c>
      <c r="DV431" s="21">
        <v>45654</v>
      </c>
      <c r="DW431" s="21">
        <v>45654</v>
      </c>
      <c r="DX431" s="21">
        <v>45654</v>
      </c>
      <c r="DY431" s="21">
        <v>45654</v>
      </c>
      <c r="DZ431" s="21">
        <v>45654</v>
      </c>
      <c r="EA431" s="8">
        <v>170</v>
      </c>
      <c r="EB431" s="8">
        <v>170</v>
      </c>
      <c r="EC431" s="8">
        <v>170</v>
      </c>
      <c r="ED431" s="8">
        <v>170</v>
      </c>
      <c r="EE431" s="8">
        <v>170</v>
      </c>
      <c r="EF431" s="8">
        <v>1170</v>
      </c>
      <c r="EG431" s="8">
        <v>1000</v>
      </c>
      <c r="EH431" s="8">
        <v>1170</v>
      </c>
      <c r="EI431" s="8">
        <v>1170</v>
      </c>
      <c r="EJ431" s="8">
        <v>0</v>
      </c>
      <c r="EK431" s="8" t="s">
        <v>2624</v>
      </c>
      <c r="EL431" s="8">
        <v>13</v>
      </c>
      <c r="EM431" s="8">
        <v>0</v>
      </c>
      <c r="EN431" s="8">
        <v>-118</v>
      </c>
      <c r="EO431" s="8">
        <v>-118</v>
      </c>
      <c r="EP431" s="8">
        <v>-118</v>
      </c>
      <c r="EQ431" s="8">
        <v>-118</v>
      </c>
      <c r="ER431" s="8">
        <v>-118</v>
      </c>
      <c r="ES431" s="8">
        <v>882</v>
      </c>
      <c r="ET431" s="8">
        <v>712</v>
      </c>
      <c r="EU431" s="8">
        <v>882</v>
      </c>
      <c r="EV431" s="8">
        <v>882</v>
      </c>
    </row>
    <row r="432" spans="1:152" x14ac:dyDescent="0.15">
      <c r="A432" s="8">
        <f>ROW([2]!tbl_DPSAC[[#This Row],[Sl. No.]])-1</f>
        <v>431</v>
      </c>
      <c r="B432" s="9" t="s">
        <v>136</v>
      </c>
      <c r="C432" s="8" t="s">
        <v>2335</v>
      </c>
      <c r="D432" s="8" t="s">
        <v>138</v>
      </c>
      <c r="E432" s="8" t="s">
        <v>139</v>
      </c>
      <c r="F432" s="9" t="s">
        <v>161</v>
      </c>
      <c r="G432" s="23" t="s">
        <v>2097</v>
      </c>
      <c r="H432" s="10" t="str">
        <f>_xlfn.XLOOKUP(C432,'[1]E&amp;DPSAC'!$K:$K,'[1]E&amp;DPSAC'!$E:$E,,0)</f>
        <v>CHATRA</v>
      </c>
      <c r="I432" s="23"/>
      <c r="J432" s="10">
        <v>7004915623</v>
      </c>
      <c r="K432" s="10" t="str">
        <f>IF(_xlfn.XLOOKUP(C432,'[1]E&amp;DPSAC'!$K:$K,'[1]E&amp;DPSAC'!$G:$G,"",0)=J432,"",_xlfn.XLOOKUP(C432,'[1]E&amp;DPSAC'!$K:$K,'[1]E&amp;DPSAC'!$G:$G,"",0))</f>
        <v/>
      </c>
      <c r="L432" s="9" t="str">
        <f t="shared" ca="1" si="27"/>
        <v>Warranty</v>
      </c>
      <c r="M432" s="13">
        <v>45668</v>
      </c>
      <c r="N432" s="12">
        <v>24</v>
      </c>
      <c r="O432" s="11">
        <f t="shared" si="26"/>
        <v>46418</v>
      </c>
      <c r="P432" s="8" t="s">
        <v>213</v>
      </c>
      <c r="Q432" s="16" t="s">
        <v>2336</v>
      </c>
      <c r="R432" s="15">
        <v>46009.497499999998</v>
      </c>
      <c r="S432" s="14">
        <v>1445</v>
      </c>
      <c r="T432" s="15">
        <v>46009</v>
      </c>
      <c r="U432" s="14">
        <v>1445</v>
      </c>
      <c r="V432" s="14">
        <v>1796</v>
      </c>
      <c r="W432" s="17">
        <v>46099.727569444403</v>
      </c>
      <c r="X432" s="14" t="s">
        <v>2828</v>
      </c>
      <c r="Y432" s="14">
        <v>399</v>
      </c>
      <c r="Z432" s="14" t="s">
        <v>2692</v>
      </c>
      <c r="AA432" s="18">
        <v>103.50250000000233</v>
      </c>
      <c r="AB432" s="18" t="s">
        <v>2692</v>
      </c>
      <c r="AC432" s="8">
        <f>tbl_DPSAC[[#This Row],[Current Month Due Count]]</f>
        <v>0</v>
      </c>
      <c r="AD432" s="8">
        <f>tbl_DPSAC[[#This Row],[Next Month Due2]]</f>
        <v>0</v>
      </c>
      <c r="AE432" s="8"/>
      <c r="AF432" s="8">
        <v>4</v>
      </c>
      <c r="AG432" s="14">
        <f t="shared" ca="1" si="25"/>
        <v>1849</v>
      </c>
      <c r="AH432" s="8"/>
      <c r="AI432" s="8"/>
      <c r="AJ432" s="8"/>
      <c r="AK432" s="8"/>
      <c r="AL432" s="8"/>
      <c r="AM432" s="8"/>
      <c r="AN432" s="8"/>
      <c r="AO432" s="8"/>
      <c r="AP432" s="8"/>
      <c r="AQ432" s="8"/>
      <c r="AR432" s="8"/>
      <c r="AS432" s="8"/>
      <c r="AT432" s="8"/>
      <c r="AU432" s="8"/>
      <c r="AV432" s="8"/>
      <c r="AW432" s="8"/>
      <c r="AX432" s="8" t="s">
        <v>2007</v>
      </c>
      <c r="AY432" s="14">
        <v>1445</v>
      </c>
      <c r="AZ432" s="19">
        <v>46009</v>
      </c>
      <c r="BA432" s="14" t="s">
        <v>2336</v>
      </c>
      <c r="BB432" s="14">
        <v>1445</v>
      </c>
      <c r="BC432" s="19">
        <v>46009</v>
      </c>
      <c r="BD432" s="14" t="s">
        <v>2336</v>
      </c>
      <c r="BE432" s="14">
        <v>1445</v>
      </c>
      <c r="BF432" s="19">
        <v>46009</v>
      </c>
      <c r="BG432" s="14" t="s">
        <v>2336</v>
      </c>
      <c r="BH432" s="14">
        <v>1445</v>
      </c>
      <c r="BI432" s="19">
        <v>46009</v>
      </c>
      <c r="BJ432" s="14" t="s">
        <v>2336</v>
      </c>
      <c r="BK432" s="14">
        <v>1445</v>
      </c>
      <c r="BL432" s="19">
        <v>46009</v>
      </c>
      <c r="BM432" s="14" t="s">
        <v>2336</v>
      </c>
      <c r="BN432" s="27">
        <v>46189</v>
      </c>
      <c r="BO432" s="27">
        <v>46189</v>
      </c>
      <c r="BP432" s="27">
        <v>46189</v>
      </c>
      <c r="BQ432" s="27">
        <v>46189</v>
      </c>
      <c r="BR432" s="27">
        <v>46189</v>
      </c>
      <c r="BS432" s="28">
        <v>346</v>
      </c>
      <c r="BT432" s="29">
        <v>1096</v>
      </c>
      <c r="BU432" s="29">
        <v>346</v>
      </c>
      <c r="BV432" s="29">
        <v>346</v>
      </c>
      <c r="BW432" s="29">
        <v>1096</v>
      </c>
      <c r="BX432" s="8"/>
      <c r="BY432" s="8">
        <v>0</v>
      </c>
      <c r="BZ432" s="8">
        <v>0</v>
      </c>
      <c r="CA432" s="8">
        <v>0</v>
      </c>
      <c r="CB432" s="21">
        <v>46008.770833333299</v>
      </c>
      <c r="CC432" s="21">
        <v>46008.770833333299</v>
      </c>
      <c r="CD432" s="21">
        <v>46008.770833333299</v>
      </c>
      <c r="CE432" s="21">
        <v>46008.770833333299</v>
      </c>
      <c r="CF432" s="21">
        <v>46008.770833333299</v>
      </c>
      <c r="CG432" s="21">
        <v>46008.770833333299</v>
      </c>
      <c r="CH432" s="21">
        <v>46008.770833333299</v>
      </c>
      <c r="CI432" s="21">
        <v>46008.770833333299</v>
      </c>
      <c r="CJ432" s="21">
        <v>45667.770833333299</v>
      </c>
      <c r="CK432" s="22" t="s">
        <v>3196</v>
      </c>
      <c r="CL432" s="22" t="s">
        <v>3196</v>
      </c>
      <c r="CM432" s="22" t="s">
        <v>3196</v>
      </c>
      <c r="CN432" s="22" t="s">
        <v>3196</v>
      </c>
      <c r="CO432" s="22" t="s">
        <v>3196</v>
      </c>
      <c r="CP432" s="22" t="s">
        <v>3197</v>
      </c>
      <c r="CQ432" s="22" t="s">
        <v>2953</v>
      </c>
      <c r="CR432" s="22" t="s">
        <v>3197</v>
      </c>
      <c r="CS432" s="22" t="s">
        <v>3197</v>
      </c>
      <c r="CT432" s="22">
        <v>3</v>
      </c>
      <c r="CU432" s="21">
        <v>46188</v>
      </c>
      <c r="CV432" s="21">
        <v>46188</v>
      </c>
      <c r="CW432" s="21">
        <v>46188</v>
      </c>
      <c r="CX432" s="21">
        <v>46188</v>
      </c>
      <c r="CY432" s="21">
        <v>46188</v>
      </c>
      <c r="CZ432" s="21">
        <v>46278</v>
      </c>
      <c r="DA432" s="21">
        <v>46364</v>
      </c>
      <c r="DB432" s="21">
        <v>46188</v>
      </c>
      <c r="DC432" s="21">
        <v>46032</v>
      </c>
      <c r="DD432" s="8">
        <v>1</v>
      </c>
      <c r="DE432" s="8">
        <v>0</v>
      </c>
      <c r="DF432" s="8">
        <v>0</v>
      </c>
      <c r="DG432" s="8">
        <v>1</v>
      </c>
      <c r="DH432" s="8">
        <v>0</v>
      </c>
      <c r="DI432" s="8">
        <v>0</v>
      </c>
      <c r="DJ432" s="8" t="s">
        <v>2976</v>
      </c>
      <c r="DK432" s="21">
        <v>45668</v>
      </c>
      <c r="DL432" s="21">
        <v>45637.229166666664</v>
      </c>
      <c r="DM432" s="21">
        <v>46099</v>
      </c>
      <c r="DN432" s="18">
        <v>1796</v>
      </c>
      <c r="DO432" s="21">
        <v>0</v>
      </c>
      <c r="DP432" s="21">
        <v>0</v>
      </c>
      <c r="DQ432" s="21" t="s">
        <v>2955</v>
      </c>
      <c r="DR432" s="21">
        <v>46009</v>
      </c>
      <c r="DS432" s="21">
        <v>46009</v>
      </c>
      <c r="DT432" s="21">
        <v>46009</v>
      </c>
      <c r="DU432" s="21">
        <v>46009</v>
      </c>
      <c r="DV432" s="21">
        <v>46009</v>
      </c>
      <c r="DW432" s="21">
        <v>46009</v>
      </c>
      <c r="DX432" s="21">
        <v>46009</v>
      </c>
      <c r="DY432" s="21">
        <v>46009</v>
      </c>
      <c r="DZ432" s="21">
        <v>46009</v>
      </c>
      <c r="EA432" s="8">
        <v>399</v>
      </c>
      <c r="EB432" s="8">
        <v>399</v>
      </c>
      <c r="EC432" s="8">
        <v>399</v>
      </c>
      <c r="ED432" s="8">
        <v>399</v>
      </c>
      <c r="EE432" s="8">
        <v>399</v>
      </c>
      <c r="EF432" s="8">
        <v>1149</v>
      </c>
      <c r="EG432" s="8">
        <v>734</v>
      </c>
      <c r="EH432" s="8">
        <v>1149</v>
      </c>
      <c r="EI432" s="8">
        <v>1149</v>
      </c>
      <c r="EJ432" s="8">
        <v>4</v>
      </c>
      <c r="EK432" s="8" t="s">
        <v>2624</v>
      </c>
      <c r="EL432" s="8">
        <v>13</v>
      </c>
      <c r="EM432" s="8">
        <v>52</v>
      </c>
      <c r="EN432" s="8">
        <v>111</v>
      </c>
      <c r="EO432" s="8">
        <v>111</v>
      </c>
      <c r="EP432" s="8">
        <v>111</v>
      </c>
      <c r="EQ432" s="8">
        <v>111</v>
      </c>
      <c r="ER432" s="8">
        <v>111</v>
      </c>
      <c r="ES432" s="8">
        <v>861</v>
      </c>
      <c r="ET432" s="8">
        <v>446</v>
      </c>
      <c r="EU432" s="8">
        <v>861</v>
      </c>
      <c r="EV432" s="8">
        <v>861</v>
      </c>
    </row>
    <row r="433" spans="1:152" x14ac:dyDescent="0.15">
      <c r="A433" s="8">
        <f>ROW([2]!tbl_DPSAC[[#This Row],[Sl. No.]])-1</f>
        <v>432</v>
      </c>
      <c r="B433" s="9" t="s">
        <v>136</v>
      </c>
      <c r="C433" s="8" t="s">
        <v>2337</v>
      </c>
      <c r="D433" s="8" t="s">
        <v>138</v>
      </c>
      <c r="E433" s="8" t="s">
        <v>139</v>
      </c>
      <c r="F433" s="9" t="s">
        <v>161</v>
      </c>
      <c r="G433" s="23" t="s">
        <v>480</v>
      </c>
      <c r="H433" s="10" t="str">
        <f>_xlfn.XLOOKUP(C433,'[1]E&amp;DPSAC'!$K:$K,'[1]E&amp;DPSAC'!$E:$E,,0)</f>
        <v>DALADALI, RANCHI</v>
      </c>
      <c r="I433" s="23"/>
      <c r="J433" s="10">
        <v>8051191796</v>
      </c>
      <c r="K433" s="10">
        <f>IF(_xlfn.XLOOKUP(C433,'[1]E&amp;DPSAC'!$K:$K,'[1]E&amp;DPSAC'!$G:$G,"",0)=J433,"",_xlfn.XLOOKUP(C433,'[1]E&amp;DPSAC'!$K:$K,'[1]E&amp;DPSAC'!$G:$G,"",0))</f>
        <v>7903260686</v>
      </c>
      <c r="L433" s="9" t="str">
        <f t="shared" ca="1" si="27"/>
        <v>Warranty</v>
      </c>
      <c r="M433" s="13">
        <v>45670</v>
      </c>
      <c r="N433" s="12">
        <v>24</v>
      </c>
      <c r="O433" s="11">
        <f t="shared" si="26"/>
        <v>46418</v>
      </c>
      <c r="P433" s="8" t="s">
        <v>213</v>
      </c>
      <c r="Q433" s="16" t="s">
        <v>2673</v>
      </c>
      <c r="R433" s="15">
        <v>46094.688136574099</v>
      </c>
      <c r="S433" s="14">
        <v>2134</v>
      </c>
      <c r="T433" s="15">
        <v>45993</v>
      </c>
      <c r="U433" s="14">
        <v>1492</v>
      </c>
      <c r="V433" s="14">
        <v>2154</v>
      </c>
      <c r="W433" s="17">
        <v>46099.730856481503</v>
      </c>
      <c r="X433" s="14" t="s">
        <v>2837</v>
      </c>
      <c r="Y433" s="14">
        <v>730</v>
      </c>
      <c r="Z433" s="14" t="s">
        <v>2692</v>
      </c>
      <c r="AA433" s="18">
        <v>18.31186342590081</v>
      </c>
      <c r="AB433" s="18" t="s">
        <v>2692</v>
      </c>
      <c r="AC433" s="8">
        <f>tbl_DPSAC[[#This Row],[Current Month Due Count]]</f>
        <v>0</v>
      </c>
      <c r="AD433" s="8">
        <f>tbl_DPSAC[[#This Row],[Next Month Due2]]</f>
        <v>1</v>
      </c>
      <c r="AE433" s="8"/>
      <c r="AF433" s="8">
        <v>5</v>
      </c>
      <c r="AG433" s="14">
        <f t="shared" ca="1" si="25"/>
        <v>2220</v>
      </c>
      <c r="AH433" s="8"/>
      <c r="AI433" s="8"/>
      <c r="AJ433" s="8"/>
      <c r="AK433" s="8"/>
      <c r="AL433" s="8"/>
      <c r="AM433" s="8"/>
      <c r="AN433" s="8"/>
      <c r="AO433" s="8"/>
      <c r="AP433" s="8"/>
      <c r="AQ433" s="8"/>
      <c r="AR433" s="8"/>
      <c r="AS433" s="8"/>
      <c r="AT433" s="8"/>
      <c r="AU433" s="8"/>
      <c r="AV433" s="8"/>
      <c r="AW433" s="8"/>
      <c r="AX433" s="8" t="s">
        <v>2007</v>
      </c>
      <c r="AY433" s="14">
        <v>2134</v>
      </c>
      <c r="AZ433" s="19">
        <v>46094</v>
      </c>
      <c r="BA433" s="14" t="s">
        <v>2673</v>
      </c>
      <c r="BB433" s="14">
        <v>1492</v>
      </c>
      <c r="BC433" s="19">
        <v>45992</v>
      </c>
      <c r="BD433" s="14" t="s">
        <v>2338</v>
      </c>
      <c r="BE433" s="14">
        <v>2134</v>
      </c>
      <c r="BF433" s="19">
        <v>46094</v>
      </c>
      <c r="BG433" s="14" t="s">
        <v>2673</v>
      </c>
      <c r="BH433" s="14">
        <v>2134</v>
      </c>
      <c r="BI433" s="19">
        <v>46094</v>
      </c>
      <c r="BJ433" s="14" t="s">
        <v>2673</v>
      </c>
      <c r="BK433" s="14">
        <v>1492</v>
      </c>
      <c r="BL433" s="19">
        <v>45992</v>
      </c>
      <c r="BM433" s="14" t="s">
        <v>2338</v>
      </c>
      <c r="BN433" s="27">
        <v>46274</v>
      </c>
      <c r="BO433" s="27">
        <v>46172</v>
      </c>
      <c r="BP433" s="27">
        <v>46274</v>
      </c>
      <c r="BQ433" s="27">
        <v>46274</v>
      </c>
      <c r="BR433" s="27">
        <v>46357</v>
      </c>
      <c r="BS433" s="28">
        <v>664</v>
      </c>
      <c r="BT433" s="29">
        <v>772</v>
      </c>
      <c r="BU433" s="29">
        <v>664</v>
      </c>
      <c r="BV433" s="29">
        <v>664</v>
      </c>
      <c r="BW433" s="29">
        <v>772</v>
      </c>
      <c r="BX433" s="8"/>
      <c r="BY433" s="8">
        <v>0</v>
      </c>
      <c r="BZ433" s="8">
        <v>0</v>
      </c>
      <c r="CA433" s="8">
        <v>1</v>
      </c>
      <c r="CB433" s="21">
        <v>45991.770833333299</v>
      </c>
      <c r="CC433" s="21">
        <v>45991.770833333299</v>
      </c>
      <c r="CD433" s="21">
        <v>45991.770833333299</v>
      </c>
      <c r="CE433" s="21">
        <v>45991.770833333299</v>
      </c>
      <c r="CF433" s="21">
        <v>45991.770833333299</v>
      </c>
      <c r="CG433" s="21">
        <v>45991.770833333299</v>
      </c>
      <c r="CH433" s="21">
        <v>45991.770833333299</v>
      </c>
      <c r="CI433" s="21">
        <v>45991.770833333299</v>
      </c>
      <c r="CJ433" s="21">
        <v>45991.770833333299</v>
      </c>
      <c r="CK433" s="22" t="s">
        <v>3198</v>
      </c>
      <c r="CL433" s="22" t="s">
        <v>3198</v>
      </c>
      <c r="CM433" s="22" t="s">
        <v>3198</v>
      </c>
      <c r="CN433" s="22" t="s">
        <v>3198</v>
      </c>
      <c r="CO433" s="22" t="s">
        <v>3198</v>
      </c>
      <c r="CP433" s="22" t="s">
        <v>3199</v>
      </c>
      <c r="CQ433" s="22" t="s">
        <v>2953</v>
      </c>
      <c r="CR433" s="22" t="s">
        <v>3199</v>
      </c>
      <c r="CS433" s="22" t="s">
        <v>3199</v>
      </c>
      <c r="CT433" s="22">
        <v>4</v>
      </c>
      <c r="CU433" s="21">
        <v>46171</v>
      </c>
      <c r="CV433" s="21">
        <v>46171</v>
      </c>
      <c r="CW433" s="21">
        <v>46171</v>
      </c>
      <c r="CX433" s="21">
        <v>46171</v>
      </c>
      <c r="CY433" s="21">
        <v>46171</v>
      </c>
      <c r="CZ433" s="21">
        <v>46261</v>
      </c>
      <c r="DA433" s="21">
        <v>46281</v>
      </c>
      <c r="DB433" s="21">
        <v>46171</v>
      </c>
      <c r="DC433" s="21">
        <v>46356</v>
      </c>
      <c r="DD433" s="8">
        <v>0</v>
      </c>
      <c r="DE433" s="8">
        <v>0</v>
      </c>
      <c r="DF433" s="8">
        <v>0</v>
      </c>
      <c r="DG433" s="8">
        <v>0</v>
      </c>
      <c r="DH433" s="8">
        <v>0</v>
      </c>
      <c r="DI433" s="8">
        <v>6</v>
      </c>
      <c r="DJ433" s="8" t="s">
        <v>2976</v>
      </c>
      <c r="DK433" s="21">
        <v>45670</v>
      </c>
      <c r="DL433" s="21">
        <v>45560.229166666664</v>
      </c>
      <c r="DM433" s="21">
        <v>46099</v>
      </c>
      <c r="DN433" s="18">
        <v>2154</v>
      </c>
      <c r="DO433" s="21">
        <v>0</v>
      </c>
      <c r="DP433" s="21">
        <v>0</v>
      </c>
      <c r="DQ433" s="21" t="s">
        <v>2955</v>
      </c>
      <c r="DR433" s="21">
        <v>46094</v>
      </c>
      <c r="DS433" s="21">
        <v>46094</v>
      </c>
      <c r="DT433" s="21">
        <v>46094</v>
      </c>
      <c r="DU433" s="21">
        <v>46094</v>
      </c>
      <c r="DV433" s="21">
        <v>46094</v>
      </c>
      <c r="DW433" s="21">
        <v>45992</v>
      </c>
      <c r="DX433" s="21">
        <v>45992</v>
      </c>
      <c r="DY433" s="21">
        <v>45992</v>
      </c>
      <c r="DZ433" s="21">
        <v>45992</v>
      </c>
      <c r="EA433" s="8">
        <v>720</v>
      </c>
      <c r="EB433" s="8">
        <v>720</v>
      </c>
      <c r="EC433" s="8">
        <v>720</v>
      </c>
      <c r="ED433" s="8">
        <v>720</v>
      </c>
      <c r="EE433" s="8">
        <v>720</v>
      </c>
      <c r="EF433" s="8">
        <v>983</v>
      </c>
      <c r="EG433" s="8">
        <v>668</v>
      </c>
      <c r="EH433" s="8">
        <v>983</v>
      </c>
      <c r="EI433" s="8">
        <v>983</v>
      </c>
      <c r="EJ433" s="8">
        <v>5</v>
      </c>
      <c r="EK433" s="8" t="s">
        <v>2624</v>
      </c>
      <c r="EL433" s="8">
        <v>13</v>
      </c>
      <c r="EM433" s="8">
        <v>65</v>
      </c>
      <c r="EN433" s="8">
        <v>432</v>
      </c>
      <c r="EO433" s="8">
        <v>432</v>
      </c>
      <c r="EP433" s="8">
        <v>432</v>
      </c>
      <c r="EQ433" s="8">
        <v>432</v>
      </c>
      <c r="ER433" s="8">
        <v>432</v>
      </c>
      <c r="ES433" s="8">
        <v>695</v>
      </c>
      <c r="ET433" s="8">
        <v>380</v>
      </c>
      <c r="EU433" s="8">
        <v>695</v>
      </c>
      <c r="EV433" s="8">
        <v>695</v>
      </c>
    </row>
    <row r="434" spans="1:152" ht="31.5" x14ac:dyDescent="0.15">
      <c r="A434" s="8">
        <f>ROW([2]!tbl_DPSAC[[#This Row],[Sl. No.]])-1</f>
        <v>433</v>
      </c>
      <c r="B434" s="9" t="s">
        <v>136</v>
      </c>
      <c r="C434" s="8" t="s">
        <v>2339</v>
      </c>
      <c r="D434" s="8" t="s">
        <v>333</v>
      </c>
      <c r="E434" s="8" t="s">
        <v>333</v>
      </c>
      <c r="F434" s="9" t="s">
        <v>140</v>
      </c>
      <c r="G434" s="23" t="s">
        <v>2340</v>
      </c>
      <c r="H434" s="10" t="str">
        <f>_xlfn.XLOOKUP(C434,'[1]E&amp;DPSAC'!$K:$K,'[1]E&amp;DPSAC'!$E:$E,,0)</f>
        <v>ASANSOL WB</v>
      </c>
      <c r="I434" s="23"/>
      <c r="J434" s="10">
        <v>9122008958</v>
      </c>
      <c r="K434" s="10">
        <f>IF(_xlfn.XLOOKUP(C434,'[1]E&amp;DPSAC'!$K:$K,'[1]E&amp;DPSAC'!$G:$G,"",0)=J434,"",_xlfn.XLOOKUP(C434,'[1]E&amp;DPSAC'!$K:$K,'[1]E&amp;DPSAC'!$G:$G,"",0))</f>
        <v>8617494518</v>
      </c>
      <c r="L434" s="9" t="str">
        <f t="shared" ca="1" si="27"/>
        <v>Warranty</v>
      </c>
      <c r="M434" s="13">
        <v>45677</v>
      </c>
      <c r="N434" s="12">
        <v>36</v>
      </c>
      <c r="O434" s="11">
        <f t="shared" si="26"/>
        <v>46783</v>
      </c>
      <c r="P434" s="8" t="s">
        <v>157</v>
      </c>
      <c r="Q434" s="16" t="s">
        <v>2344</v>
      </c>
      <c r="R434" s="15">
        <v>46030.6407638889</v>
      </c>
      <c r="S434" s="14">
        <v>1921</v>
      </c>
      <c r="T434" s="15">
        <v>45996</v>
      </c>
      <c r="U434" s="14">
        <v>1589</v>
      </c>
      <c r="V434" s="14">
        <v>1980</v>
      </c>
      <c r="W434" s="17">
        <v>46039.5563541667</v>
      </c>
      <c r="X434" s="14" t="s">
        <v>2904</v>
      </c>
      <c r="Y434" s="14">
        <v>691</v>
      </c>
      <c r="Z434" s="14" t="s">
        <v>2692</v>
      </c>
      <c r="AA434" s="18">
        <v>82.359236111100472</v>
      </c>
      <c r="AB434" s="18" t="s">
        <v>2692</v>
      </c>
      <c r="AC434" s="8">
        <f>tbl_DPSAC[[#This Row],[Current Month Due Count]]</f>
        <v>0</v>
      </c>
      <c r="AD434" s="8">
        <f>tbl_DPSAC[[#This Row],[Next Month Due2]]</f>
        <v>0</v>
      </c>
      <c r="AE434" s="8"/>
      <c r="AF434" s="8">
        <v>4</v>
      </c>
      <c r="AG434" s="14">
        <f t="shared" ca="1" si="25"/>
        <v>2274</v>
      </c>
      <c r="AH434" s="20" t="s">
        <v>2341</v>
      </c>
      <c r="AI434" s="8" t="s">
        <v>2342</v>
      </c>
      <c r="AJ434" s="8" t="s">
        <v>404</v>
      </c>
      <c r="AK434" s="20" t="s">
        <v>2343</v>
      </c>
      <c r="AL434" s="8"/>
      <c r="AM434" s="8"/>
      <c r="AN434" s="8"/>
      <c r="AO434" s="8"/>
      <c r="AP434" s="8"/>
      <c r="AQ434" s="8"/>
      <c r="AR434" s="8"/>
      <c r="AS434" s="8"/>
      <c r="AT434" s="8"/>
      <c r="AU434" s="8"/>
      <c r="AV434" s="8"/>
      <c r="AW434" s="8"/>
      <c r="AX434" s="8" t="s">
        <v>2007</v>
      </c>
      <c r="AY434" s="14">
        <v>1921</v>
      </c>
      <c r="AZ434" s="19">
        <v>46030</v>
      </c>
      <c r="BA434" s="14" t="s">
        <v>2344</v>
      </c>
      <c r="BB434" s="14">
        <v>1921</v>
      </c>
      <c r="BC434" s="19">
        <v>46030</v>
      </c>
      <c r="BD434" s="14" t="s">
        <v>2344</v>
      </c>
      <c r="BE434" s="14">
        <v>1921</v>
      </c>
      <c r="BF434" s="19">
        <v>46030</v>
      </c>
      <c r="BG434" s="14" t="s">
        <v>2344</v>
      </c>
      <c r="BH434" s="14">
        <v>1921</v>
      </c>
      <c r="BI434" s="19">
        <v>46030</v>
      </c>
      <c r="BJ434" s="14" t="s">
        <v>2344</v>
      </c>
      <c r="BK434" s="14">
        <v>1921</v>
      </c>
      <c r="BL434" s="19">
        <v>46030</v>
      </c>
      <c r="BM434" s="14" t="s">
        <v>2344</v>
      </c>
      <c r="BN434" s="27">
        <v>46210</v>
      </c>
      <c r="BO434" s="27">
        <v>46210</v>
      </c>
      <c r="BP434" s="27">
        <v>46210</v>
      </c>
      <c r="BQ434" s="27">
        <v>46210</v>
      </c>
      <c r="BR434" s="27">
        <v>46210</v>
      </c>
      <c r="BS434" s="28">
        <v>397</v>
      </c>
      <c r="BT434" s="29">
        <v>1147</v>
      </c>
      <c r="BU434" s="29">
        <v>397</v>
      </c>
      <c r="BV434" s="29">
        <v>397</v>
      </c>
      <c r="BW434" s="29">
        <v>1147</v>
      </c>
      <c r="BX434" s="30" t="s">
        <v>1547</v>
      </c>
      <c r="BY434" s="8">
        <v>0</v>
      </c>
      <c r="BZ434" s="8">
        <v>0</v>
      </c>
      <c r="CA434" s="8">
        <v>0</v>
      </c>
      <c r="CB434" s="21">
        <v>46029.770833333299</v>
      </c>
      <c r="CC434" s="21">
        <v>46029.770833333299</v>
      </c>
      <c r="CD434" s="21">
        <v>45676.770833333299</v>
      </c>
      <c r="CE434" s="21">
        <v>46029.770833333299</v>
      </c>
      <c r="CF434" s="21">
        <v>46029.770833333299</v>
      </c>
      <c r="CG434" s="21">
        <v>46029.770833333299</v>
      </c>
      <c r="CH434" s="21">
        <v>45676.770833333299</v>
      </c>
      <c r="CI434" s="21">
        <v>46029.770833333299</v>
      </c>
      <c r="CJ434" s="21">
        <v>46029.770833333299</v>
      </c>
      <c r="CK434" s="22" t="s">
        <v>2959</v>
      </c>
      <c r="CL434" s="22" t="s">
        <v>2959</v>
      </c>
      <c r="CM434" s="22" t="s">
        <v>2959</v>
      </c>
      <c r="CN434" s="22" t="s">
        <v>2959</v>
      </c>
      <c r="CO434" s="22" t="s">
        <v>2959</v>
      </c>
      <c r="CP434" s="22" t="s">
        <v>2956</v>
      </c>
      <c r="CQ434" s="22" t="s">
        <v>2953</v>
      </c>
      <c r="CR434" s="22" t="s">
        <v>2956</v>
      </c>
      <c r="CS434" s="22" t="s">
        <v>2960</v>
      </c>
      <c r="CT434" s="22">
        <v>10</v>
      </c>
      <c r="CU434" s="21">
        <v>46089</v>
      </c>
      <c r="CV434" s="21">
        <v>46089</v>
      </c>
      <c r="CW434" s="21">
        <v>45856</v>
      </c>
      <c r="CX434" s="21">
        <v>46089</v>
      </c>
      <c r="CY434" s="21">
        <v>46089</v>
      </c>
      <c r="CZ434" s="21">
        <v>46189</v>
      </c>
      <c r="DA434" s="21">
        <v>46041</v>
      </c>
      <c r="DB434" s="21">
        <v>46189</v>
      </c>
      <c r="DC434" s="21">
        <v>46339</v>
      </c>
      <c r="DD434" s="8">
        <v>1</v>
      </c>
      <c r="DE434" s="8">
        <v>0</v>
      </c>
      <c r="DF434" s="8">
        <v>1</v>
      </c>
      <c r="DG434" s="8">
        <v>6</v>
      </c>
      <c r="DH434" s="8">
        <v>0</v>
      </c>
      <c r="DI434" s="8">
        <v>0</v>
      </c>
      <c r="DJ434" s="8" t="s">
        <v>2976</v>
      </c>
      <c r="DK434" s="21">
        <v>45677</v>
      </c>
      <c r="DL434" s="21">
        <v>45565.229166666664</v>
      </c>
      <c r="DM434" s="21">
        <v>46112</v>
      </c>
      <c r="DN434" s="18">
        <v>1989</v>
      </c>
      <c r="DO434" s="21">
        <v>0</v>
      </c>
      <c r="DP434" s="21">
        <v>0</v>
      </c>
      <c r="DQ434" s="21" t="s">
        <v>2955</v>
      </c>
      <c r="DR434" s="21">
        <v>46030</v>
      </c>
      <c r="DS434" s="21">
        <v>46030</v>
      </c>
      <c r="DT434" s="21">
        <v>45677</v>
      </c>
      <c r="DU434" s="21">
        <v>46030</v>
      </c>
      <c r="DV434" s="21">
        <v>46030</v>
      </c>
      <c r="DW434" s="21">
        <v>46030</v>
      </c>
      <c r="DX434" s="21">
        <v>45677</v>
      </c>
      <c r="DY434" s="21">
        <v>46030</v>
      </c>
      <c r="DZ434" s="21">
        <v>46030</v>
      </c>
      <c r="EA434" s="8">
        <v>500</v>
      </c>
      <c r="EB434" s="8">
        <v>10</v>
      </c>
      <c r="EC434" s="8">
        <v>10</v>
      </c>
      <c r="ED434" s="8">
        <v>10</v>
      </c>
      <c r="EE434" s="8">
        <v>10</v>
      </c>
      <c r="EF434" s="8">
        <v>1010</v>
      </c>
      <c r="EG434" s="8">
        <v>3000</v>
      </c>
      <c r="EH434" s="8">
        <v>1500</v>
      </c>
      <c r="EI434" s="8">
        <v>1010</v>
      </c>
      <c r="EJ434" s="8">
        <v>3</v>
      </c>
      <c r="EK434" s="8" t="s">
        <v>157</v>
      </c>
      <c r="EL434" s="8">
        <v>73</v>
      </c>
      <c r="EM434" s="8">
        <v>292</v>
      </c>
      <c r="EN434" s="8">
        <v>212</v>
      </c>
      <c r="EO434" s="8">
        <v>-278</v>
      </c>
      <c r="EP434" s="8">
        <v>-278</v>
      </c>
      <c r="EQ434" s="8">
        <v>-278</v>
      </c>
      <c r="ER434" s="8">
        <v>-278</v>
      </c>
      <c r="ES434" s="8">
        <v>722</v>
      </c>
      <c r="ET434" s="8">
        <v>2712</v>
      </c>
      <c r="EU434" s="8">
        <v>1212</v>
      </c>
      <c r="EV434" s="8">
        <v>722</v>
      </c>
    </row>
    <row r="435" spans="1:152" x14ac:dyDescent="0.15">
      <c r="A435" s="8">
        <f>ROW([2]!tbl_DPSAC[[#This Row],[Sl. No.]])-1</f>
        <v>434</v>
      </c>
      <c r="B435" s="9" t="s">
        <v>136</v>
      </c>
      <c r="C435" s="8" t="s">
        <v>2345</v>
      </c>
      <c r="D435" s="8" t="s">
        <v>1491</v>
      </c>
      <c r="E435" s="8" t="s">
        <v>1492</v>
      </c>
      <c r="F435" s="9" t="s">
        <v>161</v>
      </c>
      <c r="G435" s="23" t="s">
        <v>1876</v>
      </c>
      <c r="H435" s="10" t="str">
        <f>_xlfn.XLOOKUP(C435,'[1]E&amp;DPSAC'!$K:$K,'[1]E&amp;DPSAC'!$E:$E,,0)</f>
        <v>MAHUDA MORE</v>
      </c>
      <c r="I435" s="23"/>
      <c r="J435" s="10">
        <v>6204702963</v>
      </c>
      <c r="K435" s="10" t="str">
        <f>IF(_xlfn.XLOOKUP(C435,'[1]E&amp;DPSAC'!$K:$K,'[1]E&amp;DPSAC'!$G:$G,"",0)=J435,"",_xlfn.XLOOKUP(C435,'[1]E&amp;DPSAC'!$K:$K,'[1]E&amp;DPSAC'!$G:$G,"",0))</f>
        <v/>
      </c>
      <c r="L435" s="9" t="str">
        <f t="shared" ca="1" si="27"/>
        <v>Warranty</v>
      </c>
      <c r="M435" s="13">
        <v>45685</v>
      </c>
      <c r="N435" s="12">
        <v>24</v>
      </c>
      <c r="O435" s="11">
        <f t="shared" si="26"/>
        <v>46418</v>
      </c>
      <c r="P435" s="8" t="s">
        <v>213</v>
      </c>
      <c r="Q435" s="16" t="s">
        <v>2349</v>
      </c>
      <c r="R435" s="15">
        <v>45943.558333333334</v>
      </c>
      <c r="S435" s="14">
        <v>1517</v>
      </c>
      <c r="T435" s="15">
        <v>46010</v>
      </c>
      <c r="U435" s="14">
        <v>1914</v>
      </c>
      <c r="V435" s="14">
        <v>2085</v>
      </c>
      <c r="W435" s="17">
        <v>46100.518599536997</v>
      </c>
      <c r="X435" s="14" t="s">
        <v>2905</v>
      </c>
      <c r="Y435" s="14">
        <v>182</v>
      </c>
      <c r="Z435" s="14" t="s">
        <v>2692</v>
      </c>
      <c r="AA435" s="18">
        <v>169.4416666666657</v>
      </c>
      <c r="AB435" s="18" t="s">
        <v>2692</v>
      </c>
      <c r="AC435" s="8">
        <f>tbl_DPSAC[[#This Row],[Current Month Due Count]]</f>
        <v>5</v>
      </c>
      <c r="AD435" s="8">
        <f>tbl_DPSAC[[#This Row],[Next Month Due2]]</f>
        <v>0</v>
      </c>
      <c r="AE435" s="8"/>
      <c r="AF435" s="8">
        <v>2</v>
      </c>
      <c r="AG435" s="14">
        <f t="shared" ca="1" si="25"/>
        <v>2110</v>
      </c>
      <c r="AH435" s="8" t="s">
        <v>2346</v>
      </c>
      <c r="AI435" s="8" t="s">
        <v>2347</v>
      </c>
      <c r="AJ435" s="8">
        <v>0</v>
      </c>
      <c r="AK435" s="8" t="s">
        <v>2348</v>
      </c>
      <c r="AL435" s="8"/>
      <c r="AM435" s="8"/>
      <c r="AN435" s="8"/>
      <c r="AO435" s="8"/>
      <c r="AP435" s="8"/>
      <c r="AQ435" s="8"/>
      <c r="AR435" s="8"/>
      <c r="AS435" s="8"/>
      <c r="AT435" s="8"/>
      <c r="AU435" s="8"/>
      <c r="AV435" s="8"/>
      <c r="AW435" s="8"/>
      <c r="AX435" s="8" t="s">
        <v>2007</v>
      </c>
      <c r="AY435" s="14">
        <v>1517</v>
      </c>
      <c r="AZ435" s="19">
        <v>45943</v>
      </c>
      <c r="BA435" s="14" t="s">
        <v>2349</v>
      </c>
      <c r="BB435" s="14">
        <v>1517</v>
      </c>
      <c r="BC435" s="19">
        <v>45943</v>
      </c>
      <c r="BD435" s="14" t="s">
        <v>2349</v>
      </c>
      <c r="BE435" s="14">
        <v>1517</v>
      </c>
      <c r="BF435" s="19">
        <v>45943</v>
      </c>
      <c r="BG435" s="14" t="s">
        <v>2349</v>
      </c>
      <c r="BH435" s="14">
        <v>1517</v>
      </c>
      <c r="BI435" s="19">
        <v>45943</v>
      </c>
      <c r="BJ435" s="14" t="s">
        <v>2349</v>
      </c>
      <c r="BK435" s="14">
        <v>1517</v>
      </c>
      <c r="BL435" s="19">
        <v>45943</v>
      </c>
      <c r="BM435" s="14" t="s">
        <v>2349</v>
      </c>
      <c r="BN435" s="27">
        <v>46123</v>
      </c>
      <c r="BO435" s="27">
        <v>46123</v>
      </c>
      <c r="BP435" s="27">
        <v>46123</v>
      </c>
      <c r="BQ435" s="27">
        <v>46123</v>
      </c>
      <c r="BR435" s="27">
        <v>46123</v>
      </c>
      <c r="BS435" s="28">
        <v>157</v>
      </c>
      <c r="BT435" s="29">
        <v>907</v>
      </c>
      <c r="BU435" s="29">
        <v>157</v>
      </c>
      <c r="BV435" s="29">
        <v>157</v>
      </c>
      <c r="BW435" s="29">
        <v>907</v>
      </c>
      <c r="BX435" s="8"/>
      <c r="BY435" s="8">
        <v>0</v>
      </c>
      <c r="BZ435" s="8">
        <v>5</v>
      </c>
      <c r="CA435" s="8">
        <v>0</v>
      </c>
      <c r="CB435" s="21">
        <v>45942.770833333299</v>
      </c>
      <c r="CC435" s="21">
        <v>45942.770833333299</v>
      </c>
      <c r="CD435" s="21">
        <v>45942.770833333299</v>
      </c>
      <c r="CE435" s="21">
        <v>45942.770833333299</v>
      </c>
      <c r="CF435" s="21">
        <v>45942.770833333299</v>
      </c>
      <c r="CG435" s="21">
        <v>45942.770833333299</v>
      </c>
      <c r="CH435" s="21">
        <v>45942.770833333299</v>
      </c>
      <c r="CI435" s="21">
        <v>45942.770833333299</v>
      </c>
      <c r="CJ435" s="21">
        <v>45683.770833333299</v>
      </c>
      <c r="CK435" s="22" t="s">
        <v>2959</v>
      </c>
      <c r="CL435" s="22" t="s">
        <v>2959</v>
      </c>
      <c r="CM435" s="22" t="s">
        <v>2959</v>
      </c>
      <c r="CN435" s="22" t="s">
        <v>2959</v>
      </c>
      <c r="CO435" s="22" t="s">
        <v>2959</v>
      </c>
      <c r="CP435" s="22" t="s">
        <v>2956</v>
      </c>
      <c r="CQ435" s="22" t="s">
        <v>2953</v>
      </c>
      <c r="CR435" s="22" t="s">
        <v>2956</v>
      </c>
      <c r="CS435" s="22" t="s">
        <v>2960</v>
      </c>
      <c r="CT435" s="22">
        <v>10</v>
      </c>
      <c r="CU435" s="21">
        <v>46100</v>
      </c>
      <c r="CV435" s="21">
        <v>46100</v>
      </c>
      <c r="CW435" s="21">
        <v>46100</v>
      </c>
      <c r="CX435" s="21">
        <v>46100</v>
      </c>
      <c r="CY435" s="21">
        <v>46100</v>
      </c>
      <c r="CZ435" s="21">
        <v>46200</v>
      </c>
      <c r="DA435" s="21">
        <v>46150</v>
      </c>
      <c r="DB435" s="21">
        <v>46122</v>
      </c>
      <c r="DC435" s="21">
        <v>46048</v>
      </c>
      <c r="DD435" s="8">
        <v>1</v>
      </c>
      <c r="DE435" s="8">
        <v>0</v>
      </c>
      <c r="DF435" s="8">
        <v>1</v>
      </c>
      <c r="DG435" s="8">
        <v>6</v>
      </c>
      <c r="DH435" s="8">
        <v>1</v>
      </c>
      <c r="DI435" s="8">
        <v>1</v>
      </c>
      <c r="DJ435" s="8" t="s">
        <v>2976</v>
      </c>
      <c r="DK435" s="21">
        <v>45685</v>
      </c>
      <c r="DL435" s="21">
        <v>45602.229166666664</v>
      </c>
      <c r="DM435" s="21">
        <v>46100</v>
      </c>
      <c r="DN435" s="18">
        <v>2085</v>
      </c>
      <c r="DO435" s="21">
        <v>0</v>
      </c>
      <c r="DP435" s="21">
        <v>0</v>
      </c>
      <c r="DQ435" s="21" t="s">
        <v>2955</v>
      </c>
      <c r="DR435" s="21">
        <v>45943</v>
      </c>
      <c r="DS435" s="21">
        <v>45943</v>
      </c>
      <c r="DT435" s="21">
        <v>45943</v>
      </c>
      <c r="DU435" s="21">
        <v>45943</v>
      </c>
      <c r="DV435" s="21">
        <v>45943</v>
      </c>
      <c r="DW435" s="21">
        <v>45943</v>
      </c>
      <c r="DX435" s="21">
        <v>45943</v>
      </c>
      <c r="DY435" s="21">
        <v>45943</v>
      </c>
      <c r="DZ435" s="21">
        <v>45943</v>
      </c>
      <c r="EA435" s="8">
        <v>403</v>
      </c>
      <c r="EB435" s="8">
        <v>403</v>
      </c>
      <c r="EC435" s="8">
        <v>403</v>
      </c>
      <c r="ED435" s="8">
        <v>403</v>
      </c>
      <c r="EE435" s="8">
        <v>403</v>
      </c>
      <c r="EF435" s="8">
        <v>1403</v>
      </c>
      <c r="EG435" s="8">
        <v>903</v>
      </c>
      <c r="EH435" s="8">
        <v>1403</v>
      </c>
      <c r="EI435" s="8">
        <v>2903</v>
      </c>
      <c r="EJ435" s="8">
        <v>4</v>
      </c>
      <c r="EK435" s="8" t="s">
        <v>2624</v>
      </c>
      <c r="EL435" s="8">
        <v>12</v>
      </c>
      <c r="EM435" s="8">
        <v>24</v>
      </c>
      <c r="EN435" s="8">
        <v>115</v>
      </c>
      <c r="EO435" s="8">
        <v>115</v>
      </c>
      <c r="EP435" s="8">
        <v>115</v>
      </c>
      <c r="EQ435" s="8">
        <v>115</v>
      </c>
      <c r="ER435" s="8">
        <v>115</v>
      </c>
      <c r="ES435" s="8">
        <v>1115</v>
      </c>
      <c r="ET435" s="8">
        <v>615</v>
      </c>
      <c r="EU435" s="8">
        <v>1115</v>
      </c>
      <c r="EV435" s="8">
        <v>2615</v>
      </c>
    </row>
    <row r="436" spans="1:152" x14ac:dyDescent="0.15">
      <c r="A436" s="8">
        <f>ROW([2]!tbl_DPSAC[[#This Row],[Sl. No.]])-1</f>
        <v>435</v>
      </c>
      <c r="B436" s="9" t="s">
        <v>136</v>
      </c>
      <c r="C436" s="8" t="s">
        <v>2350</v>
      </c>
      <c r="D436" s="8" t="s">
        <v>1491</v>
      </c>
      <c r="E436" s="8" t="s">
        <v>1492</v>
      </c>
      <c r="F436" s="9" t="s">
        <v>161</v>
      </c>
      <c r="G436" s="23" t="s">
        <v>1876</v>
      </c>
      <c r="H436" s="10" t="str">
        <f>_xlfn.XLOOKUP(C436,'[1]E&amp;DPSAC'!$K:$K,'[1]E&amp;DPSAC'!$E:$E,,0)</f>
        <v>BALIAPUR ROAD, DHANBAD</v>
      </c>
      <c r="I436" s="23"/>
      <c r="J436" s="10">
        <v>7004723376</v>
      </c>
      <c r="K436" s="10" t="str">
        <f>IF(_xlfn.XLOOKUP(C436,'[1]E&amp;DPSAC'!$K:$K,'[1]E&amp;DPSAC'!$G:$G,"",0)=J436,"",_xlfn.XLOOKUP(C436,'[1]E&amp;DPSAC'!$K:$K,'[1]E&amp;DPSAC'!$G:$G,"",0))</f>
        <v/>
      </c>
      <c r="L436" s="9" t="str">
        <f t="shared" ca="1" si="27"/>
        <v>Warranty</v>
      </c>
      <c r="M436" s="13">
        <v>45698</v>
      </c>
      <c r="N436" s="12">
        <v>24</v>
      </c>
      <c r="O436" s="11">
        <f t="shared" si="26"/>
        <v>46446</v>
      </c>
      <c r="P436" s="8" t="s">
        <v>213</v>
      </c>
      <c r="Q436" s="16" t="s">
        <v>2355</v>
      </c>
      <c r="R436" s="15">
        <v>46036.575810185197</v>
      </c>
      <c r="S436" s="14">
        <v>2073</v>
      </c>
      <c r="T436" s="15">
        <v>45913</v>
      </c>
      <c r="U436" s="14">
        <v>1367</v>
      </c>
      <c r="V436" s="14">
        <v>2536</v>
      </c>
      <c r="W436" s="17">
        <v>46100.5235763889</v>
      </c>
      <c r="X436" s="14" t="s">
        <v>2906</v>
      </c>
      <c r="Y436" s="14">
        <v>287</v>
      </c>
      <c r="Z436" s="14" t="s">
        <v>2692</v>
      </c>
      <c r="AA436" s="18">
        <v>76.424189814802958</v>
      </c>
      <c r="AB436" s="18" t="s">
        <v>2692</v>
      </c>
      <c r="AC436" s="8">
        <f>tbl_DPSAC[[#This Row],[Current Month Due Count]]</f>
        <v>0</v>
      </c>
      <c r="AD436" s="8">
        <f>tbl_DPSAC[[#This Row],[Next Month Due2]]</f>
        <v>0</v>
      </c>
      <c r="AE436" s="8"/>
      <c r="AF436" s="8">
        <v>3</v>
      </c>
      <c r="AG436" s="14">
        <f t="shared" ca="1" si="25"/>
        <v>2573</v>
      </c>
      <c r="AH436" s="8" t="s">
        <v>2351</v>
      </c>
      <c r="AI436" s="8" t="s">
        <v>2352</v>
      </c>
      <c r="AJ436" s="8" t="s">
        <v>2353</v>
      </c>
      <c r="AK436" s="8" t="s">
        <v>2354</v>
      </c>
      <c r="AL436" s="8"/>
      <c r="AM436" s="8"/>
      <c r="AN436" s="8"/>
      <c r="AO436" s="8"/>
      <c r="AP436" s="8"/>
      <c r="AQ436" s="8"/>
      <c r="AR436" s="8"/>
      <c r="AS436" s="8"/>
      <c r="AT436" s="8"/>
      <c r="AU436" s="8"/>
      <c r="AV436" s="8"/>
      <c r="AW436" s="8"/>
      <c r="AX436" s="8" t="s">
        <v>2007</v>
      </c>
      <c r="AY436" s="14">
        <v>2073</v>
      </c>
      <c r="AZ436" s="19">
        <v>46036</v>
      </c>
      <c r="BA436" s="14" t="s">
        <v>2355</v>
      </c>
      <c r="BB436" s="14">
        <v>2073</v>
      </c>
      <c r="BC436" s="19">
        <v>46036</v>
      </c>
      <c r="BD436" s="14" t="s">
        <v>2355</v>
      </c>
      <c r="BE436" s="14">
        <v>2073</v>
      </c>
      <c r="BF436" s="19">
        <v>46036</v>
      </c>
      <c r="BG436" s="14" t="s">
        <v>2355</v>
      </c>
      <c r="BH436" s="14">
        <v>2073</v>
      </c>
      <c r="BI436" s="19">
        <v>46036</v>
      </c>
      <c r="BJ436" s="14" t="s">
        <v>2355</v>
      </c>
      <c r="BK436" s="14">
        <v>2073</v>
      </c>
      <c r="BL436" s="19">
        <v>46036</v>
      </c>
      <c r="BM436" s="14" t="s">
        <v>2355</v>
      </c>
      <c r="BN436" s="27">
        <v>46216</v>
      </c>
      <c r="BO436" s="27">
        <v>46216</v>
      </c>
      <c r="BP436" s="27">
        <v>46216</v>
      </c>
      <c r="BQ436" s="27">
        <v>46216</v>
      </c>
      <c r="BR436" s="27">
        <v>46216</v>
      </c>
      <c r="BS436" s="28">
        <v>250</v>
      </c>
      <c r="BT436" s="29">
        <v>1000</v>
      </c>
      <c r="BU436" s="29">
        <v>250</v>
      </c>
      <c r="BV436" s="29">
        <v>250</v>
      </c>
      <c r="BW436" s="29">
        <v>1000</v>
      </c>
      <c r="BX436" s="8"/>
      <c r="BY436" s="8">
        <v>0</v>
      </c>
      <c r="BZ436" s="8">
        <v>0</v>
      </c>
      <c r="CA436" s="8">
        <v>0</v>
      </c>
      <c r="CB436" s="21">
        <v>46035.770833333299</v>
      </c>
      <c r="CC436" s="21">
        <v>46035.770833333299</v>
      </c>
      <c r="CD436" s="21">
        <v>46035.770833333299</v>
      </c>
      <c r="CE436" s="21">
        <v>46035.770833333299</v>
      </c>
      <c r="CF436" s="21">
        <v>45912.770833333299</v>
      </c>
      <c r="CG436" s="21">
        <v>46035.770833333299</v>
      </c>
      <c r="CH436" s="21">
        <v>45697.770833333299</v>
      </c>
      <c r="CI436" s="21">
        <v>46035.770833333299</v>
      </c>
      <c r="CJ436" s="21">
        <v>45697.770833333299</v>
      </c>
      <c r="CK436" s="22" t="s">
        <v>2959</v>
      </c>
      <c r="CL436" s="22" t="s">
        <v>2959</v>
      </c>
      <c r="CM436" s="22" t="s">
        <v>2959</v>
      </c>
      <c r="CN436" s="22" t="s">
        <v>2959</v>
      </c>
      <c r="CO436" s="22" t="s">
        <v>2959</v>
      </c>
      <c r="CP436" s="22" t="s">
        <v>2956</v>
      </c>
      <c r="CQ436" s="22" t="s">
        <v>2953</v>
      </c>
      <c r="CR436" s="22" t="s">
        <v>2956</v>
      </c>
      <c r="CS436" s="22" t="s">
        <v>2960</v>
      </c>
      <c r="CT436" s="22">
        <v>8</v>
      </c>
      <c r="CU436" s="21">
        <v>46139</v>
      </c>
      <c r="CV436" s="21">
        <v>46139</v>
      </c>
      <c r="CW436" s="21">
        <v>46139</v>
      </c>
      <c r="CX436" s="21">
        <v>46139</v>
      </c>
      <c r="CY436" s="21">
        <v>46092</v>
      </c>
      <c r="CZ436" s="21">
        <v>46264</v>
      </c>
      <c r="DA436" s="21">
        <v>46062</v>
      </c>
      <c r="DB436" s="21">
        <v>46215</v>
      </c>
      <c r="DC436" s="21">
        <v>46062</v>
      </c>
      <c r="DD436" s="8">
        <v>0</v>
      </c>
      <c r="DE436" s="8">
        <v>1</v>
      </c>
      <c r="DF436" s="8">
        <v>1</v>
      </c>
      <c r="DG436" s="8">
        <v>3</v>
      </c>
      <c r="DH436" s="8">
        <v>4</v>
      </c>
      <c r="DI436" s="8">
        <v>0</v>
      </c>
      <c r="DJ436" s="8" t="s">
        <v>2976</v>
      </c>
      <c r="DK436" s="21">
        <v>45698</v>
      </c>
      <c r="DL436" s="21">
        <v>45657.229166666664</v>
      </c>
      <c r="DM436" s="21">
        <v>46100</v>
      </c>
      <c r="DN436" s="18">
        <v>2536</v>
      </c>
      <c r="DO436" s="21">
        <v>0</v>
      </c>
      <c r="DP436" s="21">
        <v>0</v>
      </c>
      <c r="DQ436" s="21" t="s">
        <v>2955</v>
      </c>
      <c r="DR436" s="21">
        <v>46036</v>
      </c>
      <c r="DS436" s="21">
        <v>46036</v>
      </c>
      <c r="DT436" s="21">
        <v>46036</v>
      </c>
      <c r="DU436" s="21">
        <v>46036</v>
      </c>
      <c r="DV436" s="21">
        <v>46036</v>
      </c>
      <c r="DW436" s="21">
        <v>46036</v>
      </c>
      <c r="DX436" s="21">
        <v>46036</v>
      </c>
      <c r="DY436" s="21">
        <v>46036</v>
      </c>
      <c r="DZ436" s="21">
        <v>46036</v>
      </c>
      <c r="EA436" s="8">
        <v>439</v>
      </c>
      <c r="EB436" s="8">
        <v>439</v>
      </c>
      <c r="EC436" s="8">
        <v>439</v>
      </c>
      <c r="ED436" s="8">
        <v>439</v>
      </c>
      <c r="EE436" s="8">
        <v>439</v>
      </c>
      <c r="EF436" s="8">
        <v>1439</v>
      </c>
      <c r="EG436" s="8">
        <v>939</v>
      </c>
      <c r="EH436" s="8">
        <v>1439</v>
      </c>
      <c r="EI436" s="8">
        <v>2939</v>
      </c>
      <c r="EJ436" s="8">
        <v>4</v>
      </c>
      <c r="EK436" s="8" t="s">
        <v>2624</v>
      </c>
      <c r="EL436" s="8">
        <v>12</v>
      </c>
      <c r="EM436" s="8">
        <v>36</v>
      </c>
      <c r="EN436" s="8">
        <v>151</v>
      </c>
      <c r="EO436" s="8">
        <v>151</v>
      </c>
      <c r="EP436" s="8">
        <v>151</v>
      </c>
      <c r="EQ436" s="8">
        <v>151</v>
      </c>
      <c r="ER436" s="8">
        <v>151</v>
      </c>
      <c r="ES436" s="8">
        <v>1151</v>
      </c>
      <c r="ET436" s="8">
        <v>651</v>
      </c>
      <c r="EU436" s="8">
        <v>1151</v>
      </c>
      <c r="EV436" s="8">
        <v>2651</v>
      </c>
    </row>
    <row r="437" spans="1:152" x14ac:dyDescent="0.15">
      <c r="A437" s="8">
        <f>ROW([2]!tbl_DPSAC[[#This Row],[Sl. No.]])-1</f>
        <v>436</v>
      </c>
      <c r="B437" s="9" t="s">
        <v>136</v>
      </c>
      <c r="C437" s="8" t="s">
        <v>2356</v>
      </c>
      <c r="D437" s="8" t="s">
        <v>262</v>
      </c>
      <c r="E437" s="8" t="s">
        <v>176</v>
      </c>
      <c r="F437" s="9" t="s">
        <v>161</v>
      </c>
      <c r="G437" s="23" t="s">
        <v>2357</v>
      </c>
      <c r="H437" s="10" t="str">
        <f>_xlfn.XLOOKUP(C437,'[1]E&amp;DPSAC'!$K:$K,'[1]E&amp;DPSAC'!$E:$E,,0)</f>
        <v>SAHEBGANJ</v>
      </c>
      <c r="I437" s="23"/>
      <c r="J437" s="10">
        <v>6204854829</v>
      </c>
      <c r="K437" s="10">
        <f>IF(_xlfn.XLOOKUP(C437,'[1]E&amp;DPSAC'!$K:$K,'[1]E&amp;DPSAC'!$G:$G,"",0)=J437,"",_xlfn.XLOOKUP(C437,'[1]E&amp;DPSAC'!$K:$K,'[1]E&amp;DPSAC'!$G:$G,"",0))</f>
        <v>6204834831</v>
      </c>
      <c r="L437" s="9" t="str">
        <f t="shared" ca="1" si="27"/>
        <v>Warranty</v>
      </c>
      <c r="M437" s="13">
        <v>45671</v>
      </c>
      <c r="N437" s="12">
        <v>24</v>
      </c>
      <c r="O437" s="11">
        <f t="shared" si="26"/>
        <v>46418</v>
      </c>
      <c r="P437" s="8" t="s">
        <v>213</v>
      </c>
      <c r="Q437" s="16" t="s">
        <v>2674</v>
      </c>
      <c r="R437" s="15">
        <v>46097.564409722203</v>
      </c>
      <c r="S437" s="14">
        <v>2035</v>
      </c>
      <c r="T437" s="15">
        <v>46025</v>
      </c>
      <c r="U437" s="14">
        <v>1516</v>
      </c>
      <c r="V437" s="14">
        <v>2045</v>
      </c>
      <c r="W437" s="17">
        <v>46100.532928240696</v>
      </c>
      <c r="X437" s="14" t="s">
        <v>2907</v>
      </c>
      <c r="Y437" s="14">
        <v>740</v>
      </c>
      <c r="Z437" s="14" t="s">
        <v>2692</v>
      </c>
      <c r="AA437" s="18">
        <v>15.435590277797019</v>
      </c>
      <c r="AB437" s="18" t="s">
        <v>2692</v>
      </c>
      <c r="AC437" s="8">
        <f>tbl_DPSAC[[#This Row],[Current Month Due Count]]</f>
        <v>0</v>
      </c>
      <c r="AD437" s="8">
        <f>tbl_DPSAC[[#This Row],[Next Month Due2]]</f>
        <v>0</v>
      </c>
      <c r="AE437" s="8"/>
      <c r="AF437" s="8">
        <v>4</v>
      </c>
      <c r="AG437" s="14">
        <f t="shared" ca="1" si="25"/>
        <v>2095</v>
      </c>
      <c r="AH437" s="8" t="s">
        <v>2358</v>
      </c>
      <c r="AI437" s="8" t="s">
        <v>2359</v>
      </c>
      <c r="AJ437" s="8" t="s">
        <v>2360</v>
      </c>
      <c r="AK437" s="8" t="s">
        <v>2361</v>
      </c>
      <c r="AL437" s="8"/>
      <c r="AM437" s="8"/>
      <c r="AN437" s="8"/>
      <c r="AO437" s="8"/>
      <c r="AP437" s="8"/>
      <c r="AQ437" s="8"/>
      <c r="AR437" s="8"/>
      <c r="AS437" s="8"/>
      <c r="AT437" s="8"/>
      <c r="AU437" s="8"/>
      <c r="AV437" s="8"/>
      <c r="AW437" s="8"/>
      <c r="AX437" s="8" t="s">
        <v>2007</v>
      </c>
      <c r="AY437" s="14">
        <v>2035</v>
      </c>
      <c r="AZ437" s="19">
        <v>46097</v>
      </c>
      <c r="BA437" s="14" t="s">
        <v>2674</v>
      </c>
      <c r="BB437" s="14">
        <v>1516</v>
      </c>
      <c r="BC437" s="19">
        <v>46025</v>
      </c>
      <c r="BD437" s="14" t="s">
        <v>2362</v>
      </c>
      <c r="BE437" s="14">
        <v>2035</v>
      </c>
      <c r="BF437" s="19">
        <v>46097</v>
      </c>
      <c r="BG437" s="14" t="s">
        <v>2674</v>
      </c>
      <c r="BH437" s="14">
        <v>2035</v>
      </c>
      <c r="BI437" s="19">
        <v>46097</v>
      </c>
      <c r="BJ437" s="14" t="s">
        <v>2674</v>
      </c>
      <c r="BK437" s="14">
        <v>1516</v>
      </c>
      <c r="BL437" s="19">
        <v>46025</v>
      </c>
      <c r="BM437" s="14" t="s">
        <v>2362</v>
      </c>
      <c r="BN437" s="27">
        <v>46277</v>
      </c>
      <c r="BO437" s="27">
        <v>46205</v>
      </c>
      <c r="BP437" s="27">
        <v>46277</v>
      </c>
      <c r="BQ437" s="27">
        <v>46277</v>
      </c>
      <c r="BR437" s="27">
        <v>46390</v>
      </c>
      <c r="BS437" s="28">
        <v>690</v>
      </c>
      <c r="BT437" s="29">
        <v>921</v>
      </c>
      <c r="BU437" s="29">
        <v>690</v>
      </c>
      <c r="BV437" s="29">
        <v>690</v>
      </c>
      <c r="BW437" s="29">
        <v>921</v>
      </c>
      <c r="BX437" s="8"/>
      <c r="BY437" s="8">
        <v>0</v>
      </c>
      <c r="BZ437" s="8">
        <v>0</v>
      </c>
      <c r="CA437" s="8">
        <v>0</v>
      </c>
      <c r="CB437" s="21">
        <v>46024.770833333299</v>
      </c>
      <c r="CC437" s="21">
        <v>46024.770833333299</v>
      </c>
      <c r="CD437" s="21">
        <v>46024.770833333299</v>
      </c>
      <c r="CE437" s="21">
        <v>46024.770833333299</v>
      </c>
      <c r="CF437" s="21">
        <v>46024.770833333299</v>
      </c>
      <c r="CG437" s="21">
        <v>46024.770833333299</v>
      </c>
      <c r="CH437" s="21">
        <v>46024.770833333299</v>
      </c>
      <c r="CI437" s="21">
        <v>46024.770833333299</v>
      </c>
      <c r="CJ437" s="21">
        <v>45670.770833333299</v>
      </c>
      <c r="CK437" s="22" t="s">
        <v>2999</v>
      </c>
      <c r="CL437" s="22" t="s">
        <v>3003</v>
      </c>
      <c r="CM437" s="22" t="s">
        <v>3003</v>
      </c>
      <c r="CN437" s="22" t="s">
        <v>3003</v>
      </c>
      <c r="CO437" s="22" t="s">
        <v>3003</v>
      </c>
      <c r="CP437" s="22" t="s">
        <v>3002</v>
      </c>
      <c r="CQ437" s="22" t="s">
        <v>2953</v>
      </c>
      <c r="CR437" s="22" t="s">
        <v>3002</v>
      </c>
      <c r="CS437" s="22" t="s">
        <v>3002</v>
      </c>
      <c r="CT437" s="22">
        <v>4</v>
      </c>
      <c r="CU437" s="21">
        <v>46204</v>
      </c>
      <c r="CV437" s="21">
        <v>46204</v>
      </c>
      <c r="CW437" s="21">
        <v>46204</v>
      </c>
      <c r="CX437" s="21">
        <v>46204</v>
      </c>
      <c r="CY437" s="21">
        <v>46204</v>
      </c>
      <c r="CZ437" s="21">
        <v>46294</v>
      </c>
      <c r="DA437" s="21">
        <v>46281</v>
      </c>
      <c r="DB437" s="21">
        <v>46204</v>
      </c>
      <c r="DC437" s="21">
        <v>46035</v>
      </c>
      <c r="DD437" s="8">
        <v>1</v>
      </c>
      <c r="DE437" s="8">
        <v>0</v>
      </c>
      <c r="DF437" s="8">
        <v>0</v>
      </c>
      <c r="DG437" s="8">
        <v>1</v>
      </c>
      <c r="DH437" s="8">
        <v>0</v>
      </c>
      <c r="DI437" s="8">
        <v>0</v>
      </c>
      <c r="DJ437" s="8" t="s">
        <v>2976</v>
      </c>
      <c r="DK437" s="21">
        <v>45671</v>
      </c>
      <c r="DL437" s="21">
        <v>45650.229166666664</v>
      </c>
      <c r="DM437" s="21">
        <v>46100</v>
      </c>
      <c r="DN437" s="18">
        <v>2045</v>
      </c>
      <c r="DO437" s="21">
        <v>0</v>
      </c>
      <c r="DP437" s="21">
        <v>0</v>
      </c>
      <c r="DQ437" s="21" t="s">
        <v>2955</v>
      </c>
      <c r="DR437" s="21">
        <v>46096</v>
      </c>
      <c r="DS437" s="21">
        <v>46097</v>
      </c>
      <c r="DT437" s="21">
        <v>46097</v>
      </c>
      <c r="DU437" s="21">
        <v>46097</v>
      </c>
      <c r="DV437" s="21">
        <v>46097</v>
      </c>
      <c r="DW437" s="21">
        <v>46025</v>
      </c>
      <c r="DX437" s="21">
        <v>46025</v>
      </c>
      <c r="DY437" s="21">
        <v>46025</v>
      </c>
      <c r="DZ437" s="21">
        <v>45671</v>
      </c>
      <c r="EA437" s="8">
        <v>740</v>
      </c>
      <c r="EB437" s="8">
        <v>740</v>
      </c>
      <c r="EC437" s="8">
        <v>490</v>
      </c>
      <c r="ED437" s="8">
        <v>740</v>
      </c>
      <c r="EE437" s="8">
        <v>740</v>
      </c>
      <c r="EF437" s="8">
        <v>960</v>
      </c>
      <c r="EG437" s="8">
        <v>735</v>
      </c>
      <c r="EH437" s="8">
        <v>960</v>
      </c>
      <c r="EI437" s="8">
        <v>960</v>
      </c>
      <c r="EJ437" s="8">
        <v>4</v>
      </c>
      <c r="EK437" s="8" t="s">
        <v>2624</v>
      </c>
      <c r="EL437" s="8">
        <v>12</v>
      </c>
      <c r="EM437" s="8">
        <v>48</v>
      </c>
      <c r="EN437" s="8">
        <v>452</v>
      </c>
      <c r="EO437" s="8">
        <v>452</v>
      </c>
      <c r="EP437" s="8">
        <v>202</v>
      </c>
      <c r="EQ437" s="8">
        <v>452</v>
      </c>
      <c r="ER437" s="8">
        <v>452</v>
      </c>
      <c r="ES437" s="8">
        <v>672</v>
      </c>
      <c r="ET437" s="8">
        <v>447</v>
      </c>
      <c r="EU437" s="8">
        <v>672</v>
      </c>
      <c r="EV437" s="8">
        <v>672</v>
      </c>
    </row>
    <row r="438" spans="1:152" x14ac:dyDescent="0.15">
      <c r="A438" s="8">
        <f>ROW([2]!tbl_DPSAC[[#This Row],[Sl. No.]])-1</f>
        <v>437</v>
      </c>
      <c r="B438" s="9" t="s">
        <v>136</v>
      </c>
      <c r="C438" s="8" t="s">
        <v>2363</v>
      </c>
      <c r="D438" s="8" t="s">
        <v>333</v>
      </c>
      <c r="E438" s="8" t="s">
        <v>333</v>
      </c>
      <c r="F438" s="9" t="s">
        <v>161</v>
      </c>
      <c r="G438" s="23" t="s">
        <v>1992</v>
      </c>
      <c r="H438" s="10" t="str">
        <f>_xlfn.XLOOKUP(C438,'[1]E&amp;DPSAC'!$K:$K,'[1]E&amp;DPSAC'!$E:$E,,0)</f>
        <v>BARKAGAON, HAZARIBAGH</v>
      </c>
      <c r="I438" s="23"/>
      <c r="J438" s="10"/>
      <c r="K438" s="10">
        <f>IF(_xlfn.XLOOKUP(C438,'[1]E&amp;DPSAC'!$K:$K,'[1]E&amp;DPSAC'!$G:$G,"",0)=J438,"",_xlfn.XLOOKUP(C438,'[1]E&amp;DPSAC'!$K:$K,'[1]E&amp;DPSAC'!$G:$G,"",0))</f>
        <v>8919645238</v>
      </c>
      <c r="L438" s="9" t="str">
        <f t="shared" ca="1" si="27"/>
        <v>Non - Warranty</v>
      </c>
      <c r="M438" s="13">
        <v>45356</v>
      </c>
      <c r="N438" s="12">
        <v>24</v>
      </c>
      <c r="O438" s="11">
        <f t="shared" si="26"/>
        <v>46112</v>
      </c>
      <c r="P438" s="8" t="s">
        <v>213</v>
      </c>
      <c r="Q438" s="16" t="s">
        <v>2364</v>
      </c>
      <c r="R438" s="15">
        <v>45750.754432870403</v>
      </c>
      <c r="S438" s="14">
        <v>901</v>
      </c>
      <c r="T438" s="15">
        <v>45751</v>
      </c>
      <c r="U438" s="14">
        <v>901</v>
      </c>
      <c r="V438" s="14">
        <v>1750</v>
      </c>
      <c r="W438" s="17">
        <v>46031.633240740703</v>
      </c>
      <c r="X438" s="14" t="s">
        <v>2908</v>
      </c>
      <c r="Y438" s="14">
        <v>-99</v>
      </c>
      <c r="Z438" s="14" t="s">
        <v>2697</v>
      </c>
      <c r="AA438" s="18">
        <v>362.24556712959748</v>
      </c>
      <c r="AB438" s="18" t="s">
        <v>2697</v>
      </c>
      <c r="AC438" s="8">
        <f>tbl_DPSAC[[#This Row],[Current Month Due Count]]</f>
        <v>0</v>
      </c>
      <c r="AD438" s="8">
        <f>tbl_DPSAC[[#This Row],[Next Month Due2]]</f>
        <v>0</v>
      </c>
      <c r="AE438" s="8"/>
      <c r="AF438" s="8">
        <v>0</v>
      </c>
      <c r="AG438" s="14">
        <f t="shared" ca="1" si="25"/>
        <v>1750</v>
      </c>
      <c r="AH438" s="8"/>
      <c r="AI438" s="8"/>
      <c r="AJ438" s="8"/>
      <c r="AK438" s="8"/>
      <c r="AL438" s="8"/>
      <c r="AM438" s="8"/>
      <c r="AN438" s="8"/>
      <c r="AO438" s="8"/>
      <c r="AP438" s="8"/>
      <c r="AQ438" s="8"/>
      <c r="AR438" s="8"/>
      <c r="AS438" s="8"/>
      <c r="AT438" s="8"/>
      <c r="AU438" s="8"/>
      <c r="AV438" s="8"/>
      <c r="AW438" s="8"/>
      <c r="AX438" s="8" t="s">
        <v>2961</v>
      </c>
      <c r="AY438" s="14">
        <v>901</v>
      </c>
      <c r="AZ438" s="19">
        <v>45750</v>
      </c>
      <c r="BA438" s="14" t="s">
        <v>2364</v>
      </c>
      <c r="BB438" s="14">
        <v>1</v>
      </c>
      <c r="BC438" s="19">
        <v>45356</v>
      </c>
      <c r="BD438" s="14" t="s">
        <v>2365</v>
      </c>
      <c r="BE438" s="14">
        <v>901</v>
      </c>
      <c r="BF438" s="19">
        <v>45750</v>
      </c>
      <c r="BG438" s="14" t="s">
        <v>2364</v>
      </c>
      <c r="BH438" s="14">
        <v>1</v>
      </c>
      <c r="BI438" s="19">
        <v>45356</v>
      </c>
      <c r="BJ438" s="14" t="s">
        <v>2365</v>
      </c>
      <c r="BK438" s="14">
        <v>1</v>
      </c>
      <c r="BL438" s="19">
        <v>45356</v>
      </c>
      <c r="BM438" s="14" t="s">
        <v>2365</v>
      </c>
      <c r="BN438" s="27">
        <v>45930</v>
      </c>
      <c r="BO438" s="27">
        <v>45536</v>
      </c>
      <c r="BP438" s="27">
        <v>45930</v>
      </c>
      <c r="BQ438" s="27">
        <v>45536</v>
      </c>
      <c r="BR438" s="27">
        <v>45536</v>
      </c>
      <c r="BS438" s="28">
        <v>-99</v>
      </c>
      <c r="BT438" s="29">
        <v>-249</v>
      </c>
      <c r="BU438" s="29">
        <v>-99</v>
      </c>
      <c r="BV438" s="29">
        <v>-999</v>
      </c>
      <c r="BW438" s="29">
        <v>-249</v>
      </c>
      <c r="BX438" s="8"/>
      <c r="BY438" s="8">
        <v>5</v>
      </c>
      <c r="BZ438" s="8">
        <v>0</v>
      </c>
      <c r="CA438" s="8">
        <v>0</v>
      </c>
      <c r="CB438" s="21">
        <v>45750.770833333299</v>
      </c>
      <c r="CC438" s="21">
        <v>45750.770833333299</v>
      </c>
      <c r="CD438" s="21">
        <v>0</v>
      </c>
      <c r="CE438" s="21">
        <v>45750.770833333299</v>
      </c>
      <c r="CF438" s="21">
        <v>45750.770833333299</v>
      </c>
      <c r="CG438" s="21">
        <v>0</v>
      </c>
      <c r="CH438" s="21">
        <v>0</v>
      </c>
      <c r="CI438" s="21">
        <v>0</v>
      </c>
      <c r="CJ438" s="21">
        <v>0</v>
      </c>
      <c r="CK438" s="22" t="s">
        <v>3061</v>
      </c>
      <c r="CL438" s="22" t="s">
        <v>3061</v>
      </c>
      <c r="CM438" s="22" t="s">
        <v>3061</v>
      </c>
      <c r="CN438" s="22" t="s">
        <v>3061</v>
      </c>
      <c r="CO438" s="22" t="s">
        <v>3061</v>
      </c>
      <c r="CP438" s="22" t="s">
        <v>3061</v>
      </c>
      <c r="CQ438" s="22" t="s">
        <v>2953</v>
      </c>
      <c r="CR438" s="22" t="s">
        <v>3061</v>
      </c>
      <c r="CS438" s="22" t="s">
        <v>3061</v>
      </c>
      <c r="CT438" s="22">
        <v>0</v>
      </c>
      <c r="CU438" s="21">
        <v>0</v>
      </c>
      <c r="CV438" s="21">
        <v>0</v>
      </c>
      <c r="CW438" s="21">
        <v>0</v>
      </c>
      <c r="CX438" s="21">
        <v>0</v>
      </c>
      <c r="CY438" s="21">
        <v>0</v>
      </c>
      <c r="CZ438" s="21">
        <v>0</v>
      </c>
      <c r="DA438" s="21">
        <v>0</v>
      </c>
      <c r="DB438" s="21">
        <v>0</v>
      </c>
      <c r="DC438" s="21">
        <v>0</v>
      </c>
      <c r="DD438" s="8">
        <v>0</v>
      </c>
      <c r="DE438" s="8">
        <v>0</v>
      </c>
      <c r="DF438" s="8">
        <v>0</v>
      </c>
      <c r="DG438" s="8">
        <v>9</v>
      </c>
      <c r="DH438" s="8">
        <v>0</v>
      </c>
      <c r="DI438" s="8">
        <v>0</v>
      </c>
      <c r="DJ438" s="8" t="s">
        <v>2976</v>
      </c>
      <c r="DK438" s="21">
        <v>45356</v>
      </c>
      <c r="DL438" s="21">
        <v>45299.229166666664</v>
      </c>
      <c r="DM438" s="21">
        <v>46031</v>
      </c>
      <c r="DN438" s="18">
        <v>1750</v>
      </c>
      <c r="DO438" s="21">
        <v>0</v>
      </c>
      <c r="DP438" s="21">
        <v>0</v>
      </c>
      <c r="DQ438" s="21" t="s">
        <v>2955</v>
      </c>
      <c r="DR438" s="21">
        <v>45751</v>
      </c>
      <c r="DS438" s="21">
        <v>45751</v>
      </c>
      <c r="DT438" s="21">
        <v>0</v>
      </c>
      <c r="DU438" s="21">
        <v>45751</v>
      </c>
      <c r="DV438" s="21">
        <v>45751</v>
      </c>
      <c r="DW438" s="21">
        <v>0</v>
      </c>
      <c r="DX438" s="21">
        <v>0</v>
      </c>
      <c r="DY438" s="21">
        <v>0</v>
      </c>
      <c r="DZ438" s="21">
        <v>0</v>
      </c>
      <c r="EA438" s="8">
        <v>50</v>
      </c>
      <c r="EB438" s="8">
        <v>50</v>
      </c>
      <c r="EC438" s="8">
        <v>50</v>
      </c>
      <c r="ED438" s="8">
        <v>50</v>
      </c>
      <c r="EE438" s="8">
        <v>50</v>
      </c>
      <c r="EF438" s="8">
        <v>50</v>
      </c>
      <c r="EG438" s="8">
        <v>1000</v>
      </c>
      <c r="EH438" s="8">
        <v>50</v>
      </c>
      <c r="EI438" s="8">
        <v>50</v>
      </c>
      <c r="EJ438" s="8">
        <v>0</v>
      </c>
      <c r="EK438" s="8" t="s">
        <v>2624</v>
      </c>
      <c r="EL438" s="8">
        <v>81</v>
      </c>
      <c r="EM438" s="8">
        <v>0</v>
      </c>
      <c r="EN438" s="8">
        <v>-238</v>
      </c>
      <c r="EO438" s="8">
        <v>-238</v>
      </c>
      <c r="EP438" s="8">
        <v>-238</v>
      </c>
      <c r="EQ438" s="8">
        <v>-238</v>
      </c>
      <c r="ER438" s="8">
        <v>-238</v>
      </c>
      <c r="ES438" s="8">
        <v>-238</v>
      </c>
      <c r="ET438" s="8">
        <v>712</v>
      </c>
      <c r="EU438" s="8">
        <v>-238</v>
      </c>
      <c r="EV438" s="8">
        <v>-238</v>
      </c>
    </row>
    <row r="439" spans="1:152" x14ac:dyDescent="0.15">
      <c r="A439" s="8">
        <f>ROW([2]!tbl_DPSAC[[#This Row],[Sl. No.]])-1</f>
        <v>438</v>
      </c>
      <c r="B439" s="9" t="s">
        <v>136</v>
      </c>
      <c r="C439" s="8" t="s">
        <v>2366</v>
      </c>
      <c r="D439" s="8" t="s">
        <v>333</v>
      </c>
      <c r="E439" s="8" t="s">
        <v>333</v>
      </c>
      <c r="F439" s="9" t="s">
        <v>161</v>
      </c>
      <c r="G439" s="23" t="s">
        <v>1992</v>
      </c>
      <c r="H439" s="10" t="str">
        <f>_xlfn.XLOOKUP(C439,'[1]E&amp;DPSAC'!$K:$K,'[1]E&amp;DPSAC'!$E:$E,,0)</f>
        <v>BARKAGAON, HAZARIBAGH</v>
      </c>
      <c r="I439" s="23"/>
      <c r="J439" s="10"/>
      <c r="K439" s="10">
        <f>IF(_xlfn.XLOOKUP(C439,'[1]E&amp;DPSAC'!$K:$K,'[1]E&amp;DPSAC'!$G:$G,"",0)=J439,"",_xlfn.XLOOKUP(C439,'[1]E&amp;DPSAC'!$K:$K,'[1]E&amp;DPSAC'!$G:$G,"",0))</f>
        <v>8919645238</v>
      </c>
      <c r="L439" s="9" t="str">
        <f t="shared" ca="1" si="27"/>
        <v>Non - Warranty</v>
      </c>
      <c r="M439" s="13">
        <v>45356</v>
      </c>
      <c r="N439" s="12">
        <v>24</v>
      </c>
      <c r="O439" s="11">
        <f t="shared" si="26"/>
        <v>46112</v>
      </c>
      <c r="P439" s="8" t="s">
        <v>213</v>
      </c>
      <c r="Q439" s="16" t="s">
        <v>2367</v>
      </c>
      <c r="R439" s="15">
        <v>45750.457916666703</v>
      </c>
      <c r="S439" s="14">
        <v>885</v>
      </c>
      <c r="T439" s="15">
        <v>45751</v>
      </c>
      <c r="U439" s="14">
        <v>885</v>
      </c>
      <c r="V439" s="14">
        <v>1670</v>
      </c>
      <c r="W439" s="17">
        <v>46031.636550925898</v>
      </c>
      <c r="X439" s="14" t="s">
        <v>2909</v>
      </c>
      <c r="Y439" s="14">
        <v>-35</v>
      </c>
      <c r="Z439" s="14" t="s">
        <v>2697</v>
      </c>
      <c r="AA439" s="18">
        <v>362.54208333329734</v>
      </c>
      <c r="AB439" s="18" t="s">
        <v>2697</v>
      </c>
      <c r="AC439" s="8">
        <f>tbl_DPSAC[[#This Row],[Current Month Due Count]]</f>
        <v>0</v>
      </c>
      <c r="AD439" s="8">
        <f>tbl_DPSAC[[#This Row],[Next Month Due2]]</f>
        <v>0</v>
      </c>
      <c r="AE439" s="8"/>
      <c r="AF439" s="8">
        <v>0</v>
      </c>
      <c r="AG439" s="14">
        <f t="shared" ca="1" si="25"/>
        <v>1670</v>
      </c>
      <c r="AH439" s="8"/>
      <c r="AI439" s="8"/>
      <c r="AJ439" s="8"/>
      <c r="AK439" s="8"/>
      <c r="AL439" s="8"/>
      <c r="AM439" s="8"/>
      <c r="AN439" s="8"/>
      <c r="AO439" s="8"/>
      <c r="AP439" s="8"/>
      <c r="AQ439" s="8"/>
      <c r="AR439" s="8"/>
      <c r="AS439" s="8"/>
      <c r="AT439" s="8"/>
      <c r="AU439" s="8"/>
      <c r="AV439" s="8"/>
      <c r="AW439" s="8"/>
      <c r="AX439" s="8" t="s">
        <v>2961</v>
      </c>
      <c r="AY439" s="14">
        <v>885</v>
      </c>
      <c r="AZ439" s="19">
        <v>45750</v>
      </c>
      <c r="BA439" s="14" t="s">
        <v>2367</v>
      </c>
      <c r="BB439" s="14">
        <v>1</v>
      </c>
      <c r="BC439" s="19">
        <v>45356</v>
      </c>
      <c r="BD439" s="14" t="s">
        <v>2368</v>
      </c>
      <c r="BE439" s="14">
        <v>885</v>
      </c>
      <c r="BF439" s="19">
        <v>45750</v>
      </c>
      <c r="BG439" s="14" t="s">
        <v>2367</v>
      </c>
      <c r="BH439" s="14">
        <v>1</v>
      </c>
      <c r="BI439" s="19">
        <v>45356</v>
      </c>
      <c r="BJ439" s="14" t="s">
        <v>2368</v>
      </c>
      <c r="BK439" s="14">
        <v>1</v>
      </c>
      <c r="BL439" s="19">
        <v>45356</v>
      </c>
      <c r="BM439" s="14" t="s">
        <v>2368</v>
      </c>
      <c r="BN439" s="27">
        <v>45930</v>
      </c>
      <c r="BO439" s="27">
        <v>45536</v>
      </c>
      <c r="BP439" s="27">
        <v>45930</v>
      </c>
      <c r="BQ439" s="27">
        <v>45536</v>
      </c>
      <c r="BR439" s="27">
        <v>45536</v>
      </c>
      <c r="BS439" s="28">
        <v>-35</v>
      </c>
      <c r="BT439" s="29">
        <v>-169</v>
      </c>
      <c r="BU439" s="29">
        <v>-35</v>
      </c>
      <c r="BV439" s="29">
        <v>-919</v>
      </c>
      <c r="BW439" s="29">
        <v>-169</v>
      </c>
      <c r="BX439" s="8"/>
      <c r="BY439" s="8">
        <v>5</v>
      </c>
      <c r="BZ439" s="8">
        <v>0</v>
      </c>
      <c r="CA439" s="8">
        <v>0</v>
      </c>
      <c r="CB439" s="21">
        <v>45749.770833333299</v>
      </c>
      <c r="CC439" s="21">
        <v>45749.770833333299</v>
      </c>
      <c r="CD439" s="21">
        <v>0</v>
      </c>
      <c r="CE439" s="21">
        <v>45749.770833333299</v>
      </c>
      <c r="CF439" s="21">
        <v>45749.770833333299</v>
      </c>
      <c r="CG439" s="21">
        <v>0</v>
      </c>
      <c r="CH439" s="21">
        <v>0</v>
      </c>
      <c r="CI439" s="21">
        <v>0</v>
      </c>
      <c r="CJ439" s="21">
        <v>0</v>
      </c>
      <c r="CK439" s="22" t="s">
        <v>3188</v>
      </c>
      <c r="CL439" s="22" t="s">
        <v>3188</v>
      </c>
      <c r="CM439" s="22" t="s">
        <v>3188</v>
      </c>
      <c r="CN439" s="22" t="s">
        <v>3188</v>
      </c>
      <c r="CO439" s="22" t="s">
        <v>3188</v>
      </c>
      <c r="CP439" s="22" t="s">
        <v>3188</v>
      </c>
      <c r="CQ439" s="22" t="s">
        <v>2953</v>
      </c>
      <c r="CR439" s="22" t="s">
        <v>3188</v>
      </c>
      <c r="CS439" s="22" t="s">
        <v>3188</v>
      </c>
      <c r="CT439" s="22">
        <v>0</v>
      </c>
      <c r="CU439" s="21">
        <v>0</v>
      </c>
      <c r="CV439" s="21">
        <v>0</v>
      </c>
      <c r="CW439" s="21">
        <v>0</v>
      </c>
      <c r="CX439" s="21">
        <v>0</v>
      </c>
      <c r="CY439" s="21">
        <v>0</v>
      </c>
      <c r="CZ439" s="21">
        <v>0</v>
      </c>
      <c r="DA439" s="21">
        <v>0</v>
      </c>
      <c r="DB439" s="21">
        <v>0</v>
      </c>
      <c r="DC439" s="21">
        <v>0</v>
      </c>
      <c r="DD439" s="8">
        <v>0</v>
      </c>
      <c r="DE439" s="8">
        <v>0</v>
      </c>
      <c r="DF439" s="8">
        <v>0</v>
      </c>
      <c r="DG439" s="8">
        <v>9</v>
      </c>
      <c r="DH439" s="8">
        <v>0</v>
      </c>
      <c r="DI439" s="8">
        <v>0</v>
      </c>
      <c r="DJ439" s="8" t="s">
        <v>2976</v>
      </c>
      <c r="DK439" s="21">
        <v>45356</v>
      </c>
      <c r="DL439" s="21">
        <v>45303.229166666664</v>
      </c>
      <c r="DM439" s="21">
        <v>46031</v>
      </c>
      <c r="DN439" s="18">
        <v>1670</v>
      </c>
      <c r="DO439" s="21">
        <v>0</v>
      </c>
      <c r="DP439" s="21">
        <v>0</v>
      </c>
      <c r="DQ439" s="21" t="s">
        <v>2955</v>
      </c>
      <c r="DR439" s="21">
        <v>45750</v>
      </c>
      <c r="DS439" s="21">
        <v>45750</v>
      </c>
      <c r="DT439" s="21">
        <v>0</v>
      </c>
      <c r="DU439" s="21">
        <v>45750</v>
      </c>
      <c r="DV439" s="21">
        <v>45750</v>
      </c>
      <c r="DW439" s="21">
        <v>0</v>
      </c>
      <c r="DX439" s="21">
        <v>0</v>
      </c>
      <c r="DY439" s="21">
        <v>0</v>
      </c>
      <c r="DZ439" s="21">
        <v>0</v>
      </c>
      <c r="EA439" s="8">
        <v>35</v>
      </c>
      <c r="EB439" s="8">
        <v>35</v>
      </c>
      <c r="EC439" s="8">
        <v>35</v>
      </c>
      <c r="ED439" s="8">
        <v>35</v>
      </c>
      <c r="EE439" s="8">
        <v>35</v>
      </c>
      <c r="EF439" s="8">
        <v>35</v>
      </c>
      <c r="EG439" s="8">
        <v>1000</v>
      </c>
      <c r="EH439" s="8">
        <v>35</v>
      </c>
      <c r="EI439" s="8">
        <v>35</v>
      </c>
      <c r="EJ439" s="8">
        <v>0</v>
      </c>
      <c r="EK439" s="8" t="s">
        <v>2624</v>
      </c>
      <c r="EL439" s="8">
        <v>81</v>
      </c>
      <c r="EM439" s="8">
        <v>0</v>
      </c>
      <c r="EN439" s="8">
        <v>-253</v>
      </c>
      <c r="EO439" s="8">
        <v>-253</v>
      </c>
      <c r="EP439" s="8">
        <v>-253</v>
      </c>
      <c r="EQ439" s="8">
        <v>-253</v>
      </c>
      <c r="ER439" s="8">
        <v>-253</v>
      </c>
      <c r="ES439" s="8">
        <v>-253</v>
      </c>
      <c r="ET439" s="8">
        <v>712</v>
      </c>
      <c r="EU439" s="8">
        <v>-253</v>
      </c>
      <c r="EV439" s="8">
        <v>-253</v>
      </c>
    </row>
    <row r="440" spans="1:152" x14ac:dyDescent="0.15">
      <c r="A440" s="8">
        <f>ROW([2]!tbl_DPSAC[[#This Row],[Sl. No.]])-1</f>
        <v>439</v>
      </c>
      <c r="B440" s="9" t="s">
        <v>136</v>
      </c>
      <c r="C440" s="8" t="s">
        <v>2369</v>
      </c>
      <c r="D440" s="8" t="s">
        <v>1491</v>
      </c>
      <c r="E440" s="8" t="s">
        <v>1492</v>
      </c>
      <c r="F440" s="9" t="s">
        <v>161</v>
      </c>
      <c r="G440" s="23" t="s">
        <v>303</v>
      </c>
      <c r="H440" s="10" t="str">
        <f>_xlfn.XLOOKUP(C440,'[1]E&amp;DPSAC'!$K:$K,'[1]E&amp;DPSAC'!$E:$E,,0)</f>
        <v>JHARIA</v>
      </c>
      <c r="I440" s="23"/>
      <c r="J440" s="10"/>
      <c r="K440" s="10">
        <f>IF(_xlfn.XLOOKUP(C440,'[1]E&amp;DPSAC'!$K:$K,'[1]E&amp;DPSAC'!$G:$G,"",0)=J440,"",_xlfn.XLOOKUP(C440,'[1]E&amp;DPSAC'!$K:$K,'[1]E&amp;DPSAC'!$G:$G,"",0))</f>
        <v>7644045555</v>
      </c>
      <c r="L440" s="9" t="str">
        <f t="shared" ca="1" si="27"/>
        <v>Warranty</v>
      </c>
      <c r="M440" s="13">
        <v>45748</v>
      </c>
      <c r="N440" s="12">
        <v>24</v>
      </c>
      <c r="O440" s="11">
        <f t="shared" si="26"/>
        <v>46477</v>
      </c>
      <c r="P440" s="8" t="s">
        <v>213</v>
      </c>
      <c r="Q440" s="16" t="s">
        <v>2675</v>
      </c>
      <c r="R440" s="15">
        <v>46090.652002314797</v>
      </c>
      <c r="S440" s="14">
        <v>3883</v>
      </c>
      <c r="T440" s="15">
        <v>45979</v>
      </c>
      <c r="U440" s="14">
        <v>2744</v>
      </c>
      <c r="V440" s="14">
        <v>3912</v>
      </c>
      <c r="W440" s="17">
        <v>46100.5386574074</v>
      </c>
      <c r="X440" s="14" t="s">
        <v>2910</v>
      </c>
      <c r="Y440" s="14">
        <v>721</v>
      </c>
      <c r="Z440" s="14" t="s">
        <v>2692</v>
      </c>
      <c r="AA440" s="18">
        <v>22.347997685203154</v>
      </c>
      <c r="AB440" s="18" t="s">
        <v>2692</v>
      </c>
      <c r="AC440" s="8">
        <f>tbl_DPSAC[[#This Row],[Current Month Due Count]]</f>
        <v>0</v>
      </c>
      <c r="AD440" s="8">
        <f>tbl_DPSAC[[#This Row],[Next Month Due2]]</f>
        <v>0</v>
      </c>
      <c r="AE440" s="8"/>
      <c r="AF440" s="8">
        <v>4</v>
      </c>
      <c r="AG440" s="14">
        <f t="shared" ca="1" si="25"/>
        <v>3962</v>
      </c>
      <c r="AH440" s="8" t="s">
        <v>2370</v>
      </c>
      <c r="AI440" s="8" t="s">
        <v>1532</v>
      </c>
      <c r="AJ440" s="8" t="s">
        <v>2371</v>
      </c>
      <c r="AK440" s="8" t="s">
        <v>2372</v>
      </c>
      <c r="AL440" s="8" t="s">
        <v>2373</v>
      </c>
      <c r="AM440" s="8" t="s">
        <v>2374</v>
      </c>
      <c r="AN440" s="8" t="s">
        <v>2375</v>
      </c>
      <c r="AO440" s="8"/>
      <c r="AP440" s="8"/>
      <c r="AQ440" s="8"/>
      <c r="AR440" s="8"/>
      <c r="AS440" s="8"/>
      <c r="AT440" s="8"/>
      <c r="AU440" s="8"/>
      <c r="AV440" s="8"/>
      <c r="AW440" s="8"/>
      <c r="AX440" s="8" t="s">
        <v>2007</v>
      </c>
      <c r="AY440" s="14">
        <v>3883</v>
      </c>
      <c r="AZ440" s="19">
        <v>46100</v>
      </c>
      <c r="BA440" s="14" t="s">
        <v>2675</v>
      </c>
      <c r="BB440" s="14">
        <v>3488</v>
      </c>
      <c r="BC440" s="19">
        <v>46050</v>
      </c>
      <c r="BD440" s="14" t="s">
        <v>2376</v>
      </c>
      <c r="BE440" s="14">
        <v>3883</v>
      </c>
      <c r="BF440" s="19">
        <v>46100</v>
      </c>
      <c r="BG440" s="14" t="s">
        <v>2675</v>
      </c>
      <c r="BH440" s="14">
        <v>3883</v>
      </c>
      <c r="BI440" s="19">
        <v>46100</v>
      </c>
      <c r="BJ440" s="14" t="s">
        <v>2675</v>
      </c>
      <c r="BK440" s="14">
        <v>3488</v>
      </c>
      <c r="BL440" s="19">
        <v>46050</v>
      </c>
      <c r="BM440" s="14" t="s">
        <v>2376</v>
      </c>
      <c r="BN440" s="27">
        <v>46280</v>
      </c>
      <c r="BO440" s="27">
        <v>46230</v>
      </c>
      <c r="BP440" s="27">
        <v>46280</v>
      </c>
      <c r="BQ440" s="27">
        <v>46280</v>
      </c>
      <c r="BR440" s="27">
        <v>46230</v>
      </c>
      <c r="BS440" s="28">
        <v>671</v>
      </c>
      <c r="BT440" s="29">
        <v>1026</v>
      </c>
      <c r="BU440" s="29">
        <v>671</v>
      </c>
      <c r="BV440" s="29">
        <v>671</v>
      </c>
      <c r="BW440" s="29">
        <v>1026</v>
      </c>
      <c r="BX440" s="8"/>
      <c r="BY440" s="8">
        <v>0</v>
      </c>
      <c r="BZ440" s="8">
        <v>0</v>
      </c>
      <c r="CA440" s="8">
        <v>0</v>
      </c>
      <c r="CB440" s="21">
        <v>46048.770833333299</v>
      </c>
      <c r="CC440" s="21">
        <v>46048.770833333299</v>
      </c>
      <c r="CD440" s="21">
        <v>46048.770833333299</v>
      </c>
      <c r="CE440" s="21">
        <v>46048.770833333299</v>
      </c>
      <c r="CF440" s="21">
        <v>46048.770833333299</v>
      </c>
      <c r="CG440" s="21">
        <v>46048.770833333299</v>
      </c>
      <c r="CH440" s="21">
        <v>46048.770833333299</v>
      </c>
      <c r="CI440" s="21">
        <v>46048.770833333299</v>
      </c>
      <c r="CJ440" s="21">
        <v>46048.770833333299</v>
      </c>
      <c r="CK440" s="22" t="s">
        <v>2959</v>
      </c>
      <c r="CL440" s="22" t="s">
        <v>2959</v>
      </c>
      <c r="CM440" s="22" t="s">
        <v>2959</v>
      </c>
      <c r="CN440" s="22" t="s">
        <v>2959</v>
      </c>
      <c r="CO440" s="22" t="s">
        <v>2959</v>
      </c>
      <c r="CP440" s="22" t="s">
        <v>2956</v>
      </c>
      <c r="CQ440" s="22" t="s">
        <v>2953</v>
      </c>
      <c r="CR440" s="22" t="s">
        <v>2956</v>
      </c>
      <c r="CS440" s="22" t="s">
        <v>2960</v>
      </c>
      <c r="CT440" s="22">
        <v>10</v>
      </c>
      <c r="CU440" s="21">
        <v>46100</v>
      </c>
      <c r="CV440" s="21">
        <v>46100</v>
      </c>
      <c r="CW440" s="21">
        <v>46100</v>
      </c>
      <c r="CX440" s="21">
        <v>46100</v>
      </c>
      <c r="CY440" s="21">
        <v>46100</v>
      </c>
      <c r="CZ440" s="21">
        <v>46200</v>
      </c>
      <c r="DA440" s="21">
        <v>46150</v>
      </c>
      <c r="DB440" s="21">
        <v>46200</v>
      </c>
      <c r="DC440" s="21">
        <v>46350</v>
      </c>
      <c r="DD440" s="8">
        <v>0</v>
      </c>
      <c r="DE440" s="8">
        <v>0</v>
      </c>
      <c r="DF440" s="8">
        <v>1</v>
      </c>
      <c r="DG440" s="8">
        <v>5</v>
      </c>
      <c r="DH440" s="8">
        <v>0</v>
      </c>
      <c r="DI440" s="8">
        <v>1</v>
      </c>
      <c r="DJ440" s="8" t="s">
        <v>2976</v>
      </c>
      <c r="DK440" s="21">
        <v>45748</v>
      </c>
      <c r="DL440" s="21">
        <v>45434.229166666664</v>
      </c>
      <c r="DM440" s="21">
        <v>46100</v>
      </c>
      <c r="DN440" s="18">
        <v>3912</v>
      </c>
      <c r="DO440" s="21">
        <v>0</v>
      </c>
      <c r="DP440" s="21">
        <v>0</v>
      </c>
      <c r="DQ440" s="21" t="s">
        <v>2955</v>
      </c>
      <c r="DR440" s="21">
        <v>46090</v>
      </c>
      <c r="DS440" s="21">
        <v>46090</v>
      </c>
      <c r="DT440" s="21">
        <v>46090</v>
      </c>
      <c r="DU440" s="21">
        <v>46090</v>
      </c>
      <c r="DV440" s="21">
        <v>46090</v>
      </c>
      <c r="DW440" s="21">
        <v>46049</v>
      </c>
      <c r="DX440" s="21">
        <v>46049</v>
      </c>
      <c r="DY440" s="21">
        <v>46049</v>
      </c>
      <c r="DZ440" s="21">
        <v>46049</v>
      </c>
      <c r="EA440" s="8">
        <v>471</v>
      </c>
      <c r="EB440" s="8">
        <v>471</v>
      </c>
      <c r="EC440" s="8">
        <v>471</v>
      </c>
      <c r="ED440" s="8">
        <v>471</v>
      </c>
      <c r="EE440" s="8">
        <v>471</v>
      </c>
      <c r="EF440" s="8">
        <v>1471</v>
      </c>
      <c r="EG440" s="8">
        <v>971</v>
      </c>
      <c r="EH440" s="8">
        <v>1471</v>
      </c>
      <c r="EI440" s="8">
        <v>2971</v>
      </c>
      <c r="EJ440" s="8">
        <v>4</v>
      </c>
      <c r="EK440" s="8" t="s">
        <v>2624</v>
      </c>
      <c r="EL440" s="8">
        <v>12</v>
      </c>
      <c r="EM440" s="8">
        <v>48</v>
      </c>
      <c r="EN440" s="8">
        <v>183</v>
      </c>
      <c r="EO440" s="8">
        <v>183</v>
      </c>
      <c r="EP440" s="8">
        <v>183</v>
      </c>
      <c r="EQ440" s="8">
        <v>183</v>
      </c>
      <c r="ER440" s="8">
        <v>183</v>
      </c>
      <c r="ES440" s="8">
        <v>1183</v>
      </c>
      <c r="ET440" s="8">
        <v>683</v>
      </c>
      <c r="EU440" s="8">
        <v>1183</v>
      </c>
      <c r="EV440" s="8">
        <v>2683</v>
      </c>
    </row>
    <row r="441" spans="1:152" x14ac:dyDescent="0.15">
      <c r="A441" s="8">
        <f>ROW([2]!tbl_DPSAC[[#This Row],[Sl. No.]])-1</f>
        <v>440</v>
      </c>
      <c r="B441" s="9" t="s">
        <v>136</v>
      </c>
      <c r="C441" s="8" t="s">
        <v>2377</v>
      </c>
      <c r="D441" s="8" t="s">
        <v>1491</v>
      </c>
      <c r="E441" s="8" t="s">
        <v>1492</v>
      </c>
      <c r="F441" s="9" t="s">
        <v>161</v>
      </c>
      <c r="G441" s="23" t="s">
        <v>2378</v>
      </c>
      <c r="H441" s="10" t="str">
        <f>_xlfn.XLOOKUP(C441,'[1]E&amp;DPSAC'!$K:$K,'[1]E&amp;DPSAC'!$E:$E,,0)</f>
        <v>DHANBAD</v>
      </c>
      <c r="I441" s="23"/>
      <c r="J441" s="10"/>
      <c r="K441" s="10">
        <f>IF(_xlfn.XLOOKUP(C441,'[1]E&amp;DPSAC'!$K:$K,'[1]E&amp;DPSAC'!$G:$G,"",0)=J441,"",_xlfn.XLOOKUP(C441,'[1]E&amp;DPSAC'!$K:$K,'[1]E&amp;DPSAC'!$G:$G,"",0))</f>
        <v>9348067513</v>
      </c>
      <c r="L441" s="9" t="str">
        <f t="shared" ca="1" si="27"/>
        <v>Warranty</v>
      </c>
      <c r="M441" s="13">
        <v>45580</v>
      </c>
      <c r="N441" s="12">
        <v>24</v>
      </c>
      <c r="O441" s="11">
        <f t="shared" si="26"/>
        <v>46326</v>
      </c>
      <c r="P441" s="8" t="s">
        <v>213</v>
      </c>
      <c r="Q441" s="16" t="s">
        <v>2385</v>
      </c>
      <c r="R441" s="15">
        <v>46045.515150462998</v>
      </c>
      <c r="S441" s="14">
        <v>2671</v>
      </c>
      <c r="T441" s="15">
        <v>45860</v>
      </c>
      <c r="U441" s="14">
        <v>2010</v>
      </c>
      <c r="V441" s="14">
        <v>2828</v>
      </c>
      <c r="W441" s="17">
        <v>46100.5452546296</v>
      </c>
      <c r="X441" s="14" t="s">
        <v>2911</v>
      </c>
      <c r="Y441" s="14">
        <v>593</v>
      </c>
      <c r="Z441" s="14" t="s">
        <v>2692</v>
      </c>
      <c r="AA441" s="18">
        <v>67.484849537002447</v>
      </c>
      <c r="AB441" s="18" t="s">
        <v>2692</v>
      </c>
      <c r="AC441" s="8">
        <f>tbl_DPSAC[[#This Row],[Current Month Due Count]]</f>
        <v>0</v>
      </c>
      <c r="AD441" s="8">
        <f>tbl_DPSAC[[#This Row],[Next Month Due2]]</f>
        <v>0</v>
      </c>
      <c r="AE441" s="8"/>
      <c r="AF441" s="8">
        <v>3</v>
      </c>
      <c r="AG441" s="14">
        <f t="shared" ca="1" si="25"/>
        <v>2865</v>
      </c>
      <c r="AH441" s="8" t="s">
        <v>2379</v>
      </c>
      <c r="AI441" s="8" t="s">
        <v>2380</v>
      </c>
      <c r="AJ441" s="8" t="s">
        <v>2381</v>
      </c>
      <c r="AK441" s="8" t="s">
        <v>2382</v>
      </c>
      <c r="AL441" s="8" t="s">
        <v>2383</v>
      </c>
      <c r="AM441" s="8" t="s">
        <v>2384</v>
      </c>
      <c r="AN441" s="8"/>
      <c r="AO441" s="8"/>
      <c r="AP441" s="8"/>
      <c r="AQ441" s="8"/>
      <c r="AR441" s="8"/>
      <c r="AS441" s="8"/>
      <c r="AT441" s="8"/>
      <c r="AU441" s="8"/>
      <c r="AV441" s="8"/>
      <c r="AW441" s="8"/>
      <c r="AX441" s="8" t="s">
        <v>2007</v>
      </c>
      <c r="AY441" s="14">
        <v>2671</v>
      </c>
      <c r="AZ441" s="19">
        <v>46045</v>
      </c>
      <c r="BA441" s="14" t="s">
        <v>2385</v>
      </c>
      <c r="BB441" s="14">
        <v>1500</v>
      </c>
      <c r="BC441" s="19">
        <v>45743</v>
      </c>
      <c r="BD441" s="14" t="s">
        <v>2386</v>
      </c>
      <c r="BE441" s="14">
        <v>2671</v>
      </c>
      <c r="BF441" s="19">
        <v>46045</v>
      </c>
      <c r="BG441" s="14" t="s">
        <v>2385</v>
      </c>
      <c r="BH441" s="14">
        <v>2671</v>
      </c>
      <c r="BI441" s="19">
        <v>46045</v>
      </c>
      <c r="BJ441" s="14" t="s">
        <v>2385</v>
      </c>
      <c r="BK441" s="14">
        <v>1500</v>
      </c>
      <c r="BL441" s="19">
        <v>45743</v>
      </c>
      <c r="BM441" s="14" t="s">
        <v>2386</v>
      </c>
      <c r="BN441" s="27">
        <v>46225</v>
      </c>
      <c r="BO441" s="27">
        <v>45923</v>
      </c>
      <c r="BP441" s="27">
        <v>46225</v>
      </c>
      <c r="BQ441" s="27">
        <v>46225</v>
      </c>
      <c r="BR441" s="27">
        <v>46108</v>
      </c>
      <c r="BS441" s="28">
        <v>556</v>
      </c>
      <c r="BT441" s="29">
        <v>135</v>
      </c>
      <c r="BU441" s="29">
        <v>556</v>
      </c>
      <c r="BV441" s="29">
        <v>556</v>
      </c>
      <c r="BW441" s="29">
        <v>135</v>
      </c>
      <c r="BX441" s="8"/>
      <c r="BY441" s="8">
        <v>2</v>
      </c>
      <c r="BZ441" s="8">
        <v>0</v>
      </c>
      <c r="CA441" s="8">
        <v>0</v>
      </c>
      <c r="CB441" s="21">
        <v>46043.770833333299</v>
      </c>
      <c r="CC441" s="21">
        <v>46043.770833333299</v>
      </c>
      <c r="CD441" s="21">
        <v>46043.770833333299</v>
      </c>
      <c r="CE441" s="21">
        <v>46043.770833333299</v>
      </c>
      <c r="CF441" s="21">
        <v>46043.770833333299</v>
      </c>
      <c r="CG441" s="21">
        <v>45743.770833333299</v>
      </c>
      <c r="CH441" s="21">
        <v>0</v>
      </c>
      <c r="CI441" s="21">
        <v>45743.770833333299</v>
      </c>
      <c r="CJ441" s="21">
        <v>0</v>
      </c>
      <c r="CK441" s="22" t="s">
        <v>2959</v>
      </c>
      <c r="CL441" s="22" t="s">
        <v>2959</v>
      </c>
      <c r="CM441" s="22" t="s">
        <v>2959</v>
      </c>
      <c r="CN441" s="22" t="s">
        <v>2959</v>
      </c>
      <c r="CO441" s="22" t="s">
        <v>2959</v>
      </c>
      <c r="CP441" s="22" t="s">
        <v>2956</v>
      </c>
      <c r="CQ441" s="22" t="s">
        <v>2953</v>
      </c>
      <c r="CR441" s="22" t="s">
        <v>2956</v>
      </c>
      <c r="CS441" s="22" t="s">
        <v>2960</v>
      </c>
      <c r="CT441" s="22">
        <v>12</v>
      </c>
      <c r="CU441" s="21">
        <v>46086</v>
      </c>
      <c r="CV441" s="21">
        <v>46086</v>
      </c>
      <c r="CW441" s="21">
        <v>46086</v>
      </c>
      <c r="CX441" s="21">
        <v>46086</v>
      </c>
      <c r="CY441" s="21">
        <v>46086</v>
      </c>
      <c r="CZ441" s="21">
        <v>46013</v>
      </c>
      <c r="DA441" s="21">
        <v>46128</v>
      </c>
      <c r="DB441" s="21">
        <v>45923</v>
      </c>
      <c r="DC441" s="21">
        <v>46295</v>
      </c>
      <c r="DD441" s="8">
        <v>1</v>
      </c>
      <c r="DE441" s="8">
        <v>0</v>
      </c>
      <c r="DF441" s="8">
        <v>1</v>
      </c>
      <c r="DG441" s="8">
        <v>7</v>
      </c>
      <c r="DH441" s="8">
        <v>1</v>
      </c>
      <c r="DI441" s="8">
        <v>0</v>
      </c>
      <c r="DJ441" s="8" t="s">
        <v>2976</v>
      </c>
      <c r="DK441" s="21">
        <v>45580</v>
      </c>
      <c r="DL441" s="21">
        <v>45558.229166666664</v>
      </c>
      <c r="DM441" s="21">
        <v>46100</v>
      </c>
      <c r="DN441" s="18">
        <v>2828</v>
      </c>
      <c r="DO441" s="21">
        <v>0</v>
      </c>
      <c r="DP441" s="21">
        <v>0</v>
      </c>
      <c r="DQ441" s="21" t="s">
        <v>2955</v>
      </c>
      <c r="DR441" s="21">
        <v>46044</v>
      </c>
      <c r="DS441" s="21">
        <v>46045</v>
      </c>
      <c r="DT441" s="21">
        <v>46045</v>
      </c>
      <c r="DU441" s="21">
        <v>46045</v>
      </c>
      <c r="DV441" s="21">
        <v>46045</v>
      </c>
      <c r="DW441" s="21">
        <v>45744</v>
      </c>
      <c r="DX441" s="21">
        <v>45744</v>
      </c>
      <c r="DY441" s="21">
        <v>45744</v>
      </c>
      <c r="DZ441" s="21">
        <v>45744</v>
      </c>
      <c r="EA441" s="8">
        <v>343</v>
      </c>
      <c r="EB441" s="8">
        <v>343</v>
      </c>
      <c r="EC441" s="8">
        <v>343</v>
      </c>
      <c r="ED441" s="8">
        <v>343</v>
      </c>
      <c r="EE441" s="8">
        <v>343</v>
      </c>
      <c r="EF441" s="8">
        <v>1343</v>
      </c>
      <c r="EG441" s="8">
        <v>843</v>
      </c>
      <c r="EH441" s="8">
        <v>1343</v>
      </c>
      <c r="EI441" s="8">
        <v>1343</v>
      </c>
      <c r="EJ441" s="8">
        <v>4</v>
      </c>
      <c r="EK441" s="8" t="s">
        <v>2624</v>
      </c>
      <c r="EL441" s="8">
        <v>12</v>
      </c>
      <c r="EM441" s="8">
        <v>36</v>
      </c>
      <c r="EN441" s="8">
        <v>55</v>
      </c>
      <c r="EO441" s="8">
        <v>55</v>
      </c>
      <c r="EP441" s="8">
        <v>55</v>
      </c>
      <c r="EQ441" s="8">
        <v>55</v>
      </c>
      <c r="ER441" s="8">
        <v>55</v>
      </c>
      <c r="ES441" s="8">
        <v>1055</v>
      </c>
      <c r="ET441" s="8">
        <v>555</v>
      </c>
      <c r="EU441" s="8">
        <v>1055</v>
      </c>
      <c r="EV441" s="8">
        <v>1055</v>
      </c>
    </row>
    <row r="442" spans="1:152" x14ac:dyDescent="0.15">
      <c r="A442" s="8">
        <f>ROW([2]!tbl_DPSAC[[#This Row],[Sl. No.]])-1</f>
        <v>441</v>
      </c>
      <c r="B442" s="9" t="s">
        <v>136</v>
      </c>
      <c r="C442" s="8" t="s">
        <v>2387</v>
      </c>
      <c r="D442" s="8" t="s">
        <v>333</v>
      </c>
      <c r="E442" s="8" t="s">
        <v>333</v>
      </c>
      <c r="F442" s="9" t="s">
        <v>140</v>
      </c>
      <c r="G442" s="23" t="s">
        <v>1008</v>
      </c>
      <c r="H442" s="10" t="str">
        <f>_xlfn.XLOOKUP(C442,'[1]E&amp;DPSAC'!$K:$K,'[1]E&amp;DPSAC'!$E:$E,,0)</f>
        <v>PAKUR</v>
      </c>
      <c r="I442" s="23"/>
      <c r="J442" s="10"/>
      <c r="K442" s="10">
        <f>IF(_xlfn.XLOOKUP(C442,'[1]E&amp;DPSAC'!$K:$K,'[1]E&amp;DPSAC'!$G:$G,"",0)=J442,"",_xlfn.XLOOKUP(C442,'[1]E&amp;DPSAC'!$K:$K,'[1]E&amp;DPSAC'!$G:$G,"",0))</f>
        <v>9585918025</v>
      </c>
      <c r="L442" s="9" t="str">
        <f t="shared" ca="1" si="27"/>
        <v>Warranty</v>
      </c>
      <c r="M442" s="13">
        <v>45656</v>
      </c>
      <c r="N442" s="12">
        <v>36</v>
      </c>
      <c r="O442" s="11">
        <f t="shared" si="26"/>
        <v>46752</v>
      </c>
      <c r="P442" s="8" t="s">
        <v>213</v>
      </c>
      <c r="Q442" s="16" t="s">
        <v>2676</v>
      </c>
      <c r="R442" s="15">
        <v>46079.638935185198</v>
      </c>
      <c r="S442" s="14">
        <v>2262</v>
      </c>
      <c r="T442" s="15">
        <v>46020</v>
      </c>
      <c r="U442" s="14">
        <v>1735</v>
      </c>
      <c r="V442" s="14">
        <v>2409</v>
      </c>
      <c r="W442" s="17">
        <v>46100.554456018501</v>
      </c>
      <c r="X442" s="14" t="s">
        <v>2912</v>
      </c>
      <c r="Y442" s="14">
        <v>603</v>
      </c>
      <c r="Z442" s="14" t="s">
        <v>2692</v>
      </c>
      <c r="AA442" s="18">
        <v>33.361064814802376</v>
      </c>
      <c r="AB442" s="18" t="s">
        <v>2692</v>
      </c>
      <c r="AC442" s="8">
        <f>tbl_DPSAC[[#This Row],[Current Month Due Count]]</f>
        <v>0</v>
      </c>
      <c r="AD442" s="8">
        <f>tbl_DPSAC[[#This Row],[Next Month Due2]]</f>
        <v>0</v>
      </c>
      <c r="AE442" s="8"/>
      <c r="AF442" s="8">
        <v>8</v>
      </c>
      <c r="AG442" s="14">
        <f t="shared" ca="1" si="25"/>
        <v>2509</v>
      </c>
      <c r="AH442" s="8" t="s">
        <v>2388</v>
      </c>
      <c r="AI442" s="8" t="s">
        <v>1685</v>
      </c>
      <c r="AJ442" s="8" t="s">
        <v>2389</v>
      </c>
      <c r="AK442" s="8" t="s">
        <v>2390</v>
      </c>
      <c r="AL442" s="8" t="s">
        <v>2391</v>
      </c>
      <c r="AM442" s="8" t="s">
        <v>2392</v>
      </c>
      <c r="AN442" s="8"/>
      <c r="AO442" s="8"/>
      <c r="AP442" s="8"/>
      <c r="AQ442" s="8"/>
      <c r="AR442" s="8"/>
      <c r="AS442" s="8"/>
      <c r="AT442" s="8"/>
      <c r="AU442" s="8"/>
      <c r="AV442" s="8"/>
      <c r="AW442" s="8"/>
      <c r="AX442" s="8" t="s">
        <v>2961</v>
      </c>
      <c r="AY442" s="14">
        <v>1735</v>
      </c>
      <c r="AZ442" s="19">
        <v>46017</v>
      </c>
      <c r="BA442" s="14" t="s">
        <v>2393</v>
      </c>
      <c r="BB442" s="14">
        <v>1</v>
      </c>
      <c r="BC442" s="19">
        <v>45656</v>
      </c>
      <c r="BD442" s="14" t="s">
        <v>2394</v>
      </c>
      <c r="BE442" s="14">
        <v>1735</v>
      </c>
      <c r="BF442" s="19">
        <v>46017</v>
      </c>
      <c r="BG442" s="14" t="s">
        <v>2393</v>
      </c>
      <c r="BH442" s="14">
        <v>1735</v>
      </c>
      <c r="BI442" s="19">
        <v>46017</v>
      </c>
      <c r="BJ442" s="14" t="s">
        <v>2393</v>
      </c>
      <c r="BK442" s="14">
        <v>1</v>
      </c>
      <c r="BL442" s="19">
        <v>45656</v>
      </c>
      <c r="BM442" s="14" t="s">
        <v>2394</v>
      </c>
      <c r="BN442" s="27">
        <v>46197</v>
      </c>
      <c r="BO442" s="27">
        <v>45836</v>
      </c>
      <c r="BP442" s="27">
        <v>46197</v>
      </c>
      <c r="BQ442" s="27">
        <v>46197</v>
      </c>
      <c r="BR442" s="27">
        <v>45836</v>
      </c>
      <c r="BS442" s="28">
        <v>-24</v>
      </c>
      <c r="BT442" s="29">
        <v>-1008</v>
      </c>
      <c r="BU442" s="29">
        <v>-24</v>
      </c>
      <c r="BV442" s="29">
        <v>-24</v>
      </c>
      <c r="BW442" s="29">
        <v>-1008</v>
      </c>
      <c r="BX442" s="8"/>
      <c r="BY442" s="8">
        <v>2</v>
      </c>
      <c r="BZ442" s="8">
        <v>0</v>
      </c>
      <c r="CA442" s="8">
        <v>0</v>
      </c>
      <c r="CB442" s="21">
        <v>46016.770833333299</v>
      </c>
      <c r="CC442" s="21">
        <v>46016.770833333299</v>
      </c>
      <c r="CD442" s="21">
        <v>46016.770833333299</v>
      </c>
      <c r="CE442" s="21">
        <v>46016.770833333299</v>
      </c>
      <c r="CF442" s="21">
        <v>46016.770833333299</v>
      </c>
      <c r="CG442" s="21">
        <v>45985.770833333299</v>
      </c>
      <c r="CH442" s="21">
        <v>0</v>
      </c>
      <c r="CI442" s="21">
        <v>45986.770833333299</v>
      </c>
      <c r="CJ442" s="21">
        <v>0</v>
      </c>
      <c r="CK442" s="22" t="s">
        <v>3128</v>
      </c>
      <c r="CL442" s="22" t="s">
        <v>3128</v>
      </c>
      <c r="CM442" s="22" t="s">
        <v>3128</v>
      </c>
      <c r="CN442" s="22" t="s">
        <v>3128</v>
      </c>
      <c r="CO442" s="22" t="s">
        <v>3128</v>
      </c>
      <c r="CP442" s="22" t="s">
        <v>3128</v>
      </c>
      <c r="CQ442" s="22" t="s">
        <v>2953</v>
      </c>
      <c r="CR442" s="22" t="s">
        <v>3128</v>
      </c>
      <c r="CS442" s="22" t="s">
        <v>3128</v>
      </c>
      <c r="CT442" s="22">
        <v>5</v>
      </c>
      <c r="CU442" s="21">
        <v>46171</v>
      </c>
      <c r="CV442" s="21">
        <v>46171</v>
      </c>
      <c r="CW442" s="21">
        <v>46171</v>
      </c>
      <c r="CX442" s="21">
        <v>46171</v>
      </c>
      <c r="CY442" s="21">
        <v>46171</v>
      </c>
      <c r="CZ442" s="21">
        <v>46171</v>
      </c>
      <c r="DA442" s="21">
        <v>46124</v>
      </c>
      <c r="DB442" s="21">
        <v>46166</v>
      </c>
      <c r="DC442" s="21">
        <v>46171</v>
      </c>
      <c r="DD442" s="8">
        <v>0</v>
      </c>
      <c r="DE442" s="8">
        <v>0</v>
      </c>
      <c r="DF442" s="8">
        <v>0</v>
      </c>
      <c r="DG442" s="8">
        <v>0</v>
      </c>
      <c r="DH442" s="8">
        <v>1</v>
      </c>
      <c r="DI442" s="8">
        <v>8</v>
      </c>
      <c r="DJ442" s="8" t="s">
        <v>2976</v>
      </c>
      <c r="DK442" s="21">
        <v>45656</v>
      </c>
      <c r="DL442" s="21">
        <v>45631.229166666664</v>
      </c>
      <c r="DM442" s="21">
        <v>46100</v>
      </c>
      <c r="DN442" s="18">
        <v>2409</v>
      </c>
      <c r="DO442" s="21">
        <v>0</v>
      </c>
      <c r="DP442" s="21">
        <v>0</v>
      </c>
      <c r="DQ442" s="21" t="s">
        <v>2955</v>
      </c>
      <c r="DR442" s="21">
        <v>46079</v>
      </c>
      <c r="DS442" s="21">
        <v>46079</v>
      </c>
      <c r="DT442" s="21">
        <v>46079</v>
      </c>
      <c r="DU442" s="21">
        <v>46079</v>
      </c>
      <c r="DV442" s="21">
        <v>46079</v>
      </c>
      <c r="DW442" s="21">
        <v>45986</v>
      </c>
      <c r="DX442" s="21">
        <v>45986</v>
      </c>
      <c r="DY442" s="21">
        <v>45986</v>
      </c>
      <c r="DZ442" s="21">
        <v>45986</v>
      </c>
      <c r="EA442" s="8">
        <v>353</v>
      </c>
      <c r="EB442" s="8">
        <v>353</v>
      </c>
      <c r="EC442" s="8">
        <v>353</v>
      </c>
      <c r="ED442" s="8">
        <v>353</v>
      </c>
      <c r="EE442" s="8">
        <v>353</v>
      </c>
      <c r="EF442" s="8">
        <v>1353</v>
      </c>
      <c r="EG442" s="8">
        <v>853</v>
      </c>
      <c r="EH442" s="8">
        <v>1353</v>
      </c>
      <c r="EI442" s="8">
        <v>1353</v>
      </c>
      <c r="EJ442" s="8">
        <v>1</v>
      </c>
      <c r="EK442" s="8" t="s">
        <v>2624</v>
      </c>
      <c r="EL442" s="8">
        <v>12</v>
      </c>
      <c r="EM442" s="8">
        <v>96</v>
      </c>
      <c r="EN442" s="8">
        <v>65</v>
      </c>
      <c r="EO442" s="8">
        <v>65</v>
      </c>
      <c r="EP442" s="8">
        <v>65</v>
      </c>
      <c r="EQ442" s="8">
        <v>65</v>
      </c>
      <c r="ER442" s="8">
        <v>65</v>
      </c>
      <c r="ES442" s="8">
        <v>1065</v>
      </c>
      <c r="ET442" s="8">
        <v>565</v>
      </c>
      <c r="EU442" s="8">
        <v>1065</v>
      </c>
      <c r="EV442" s="8">
        <v>1065</v>
      </c>
    </row>
    <row r="443" spans="1:152" x14ac:dyDescent="0.15">
      <c r="A443" s="8">
        <f>ROW([2]!tbl_DPSAC[[#This Row],[Sl. No.]])-1</f>
        <v>442</v>
      </c>
      <c r="B443" s="9" t="s">
        <v>136</v>
      </c>
      <c r="C443" s="8" t="s">
        <v>2395</v>
      </c>
      <c r="D443" s="8" t="s">
        <v>1491</v>
      </c>
      <c r="E443" s="8" t="s">
        <v>1492</v>
      </c>
      <c r="F443" s="9" t="s">
        <v>161</v>
      </c>
      <c r="G443" s="23" t="s">
        <v>659</v>
      </c>
      <c r="H443" s="10" t="str">
        <f>_xlfn.XLOOKUP(C443,'[1]E&amp;DPSAC'!$K:$K,'[1]E&amp;DPSAC'!$E:$E,,0)</f>
        <v>KEDLA, BOKARO</v>
      </c>
      <c r="I443" s="23"/>
      <c r="J443" s="10"/>
      <c r="K443" s="10">
        <f>IF(_xlfn.XLOOKUP(C443,'[1]E&amp;DPSAC'!$K:$K,'[1]E&amp;DPSAC'!$G:$G,"",0)=J443,"",_xlfn.XLOOKUP(C443,'[1]E&amp;DPSAC'!$K:$K,'[1]E&amp;DPSAC'!$G:$G,"",0))</f>
        <v>7903459252</v>
      </c>
      <c r="L443" s="9" t="str">
        <f t="shared" ca="1" si="27"/>
        <v>Warranty</v>
      </c>
      <c r="M443" s="13">
        <v>45735</v>
      </c>
      <c r="N443" s="12">
        <v>24</v>
      </c>
      <c r="O443" s="11">
        <f t="shared" si="26"/>
        <v>46477</v>
      </c>
      <c r="P443" s="8" t="s">
        <v>213</v>
      </c>
      <c r="Q443" s="16" t="s">
        <v>2396</v>
      </c>
      <c r="R443" s="15">
        <v>45983.422847222202</v>
      </c>
      <c r="S443" s="14">
        <v>1106</v>
      </c>
      <c r="T443" s="15">
        <v>45982</v>
      </c>
      <c r="U443" s="14">
        <v>1106</v>
      </c>
      <c r="V443" s="14">
        <v>1450</v>
      </c>
      <c r="W443" s="17">
        <v>46100.562083333301</v>
      </c>
      <c r="X443" s="14" t="s">
        <v>2913</v>
      </c>
      <c r="Y443" s="14">
        <v>406</v>
      </c>
      <c r="Z443" s="14" t="s">
        <v>2692</v>
      </c>
      <c r="AA443" s="18">
        <v>129.57715277779789</v>
      </c>
      <c r="AB443" s="18" t="s">
        <v>2692</v>
      </c>
      <c r="AC443" s="8">
        <f>tbl_DPSAC[[#This Row],[Current Month Due Count]]</f>
        <v>0</v>
      </c>
      <c r="AD443" s="8">
        <f>tbl_DPSAC[[#This Row],[Next Month Due2]]</f>
        <v>3</v>
      </c>
      <c r="AE443" s="8"/>
      <c r="AF443" s="8">
        <v>3</v>
      </c>
      <c r="AG443" s="14">
        <f t="shared" ca="1" si="25"/>
        <v>1487</v>
      </c>
      <c r="AH443" s="8"/>
      <c r="AI443" s="8"/>
      <c r="AJ443" s="8"/>
      <c r="AK443" s="8"/>
      <c r="AL443" s="8"/>
      <c r="AM443" s="8"/>
      <c r="AN443" s="8"/>
      <c r="AO443" s="8"/>
      <c r="AP443" s="8"/>
      <c r="AQ443" s="8"/>
      <c r="AR443" s="8"/>
      <c r="AS443" s="8"/>
      <c r="AT443" s="8"/>
      <c r="AU443" s="8"/>
      <c r="AV443" s="8"/>
      <c r="AW443" s="8"/>
      <c r="AX443" s="8" t="s">
        <v>2007</v>
      </c>
      <c r="AY443" s="14">
        <v>1106</v>
      </c>
      <c r="AZ443" s="19">
        <v>45983</v>
      </c>
      <c r="BA443" s="14" t="s">
        <v>2396</v>
      </c>
      <c r="BB443" s="14">
        <v>1</v>
      </c>
      <c r="BC443" s="19">
        <v>45735</v>
      </c>
      <c r="BD443" s="14" t="s">
        <v>2397</v>
      </c>
      <c r="BE443" s="14">
        <v>1106</v>
      </c>
      <c r="BF443" s="19">
        <v>45983</v>
      </c>
      <c r="BG443" s="14" t="s">
        <v>2396</v>
      </c>
      <c r="BH443" s="14">
        <v>1106</v>
      </c>
      <c r="BI443" s="19">
        <v>45983</v>
      </c>
      <c r="BJ443" s="14" t="s">
        <v>2396</v>
      </c>
      <c r="BK443" s="14">
        <v>1</v>
      </c>
      <c r="BL443" s="19">
        <v>45735</v>
      </c>
      <c r="BM443" s="14" t="s">
        <v>2397</v>
      </c>
      <c r="BN443" s="27">
        <v>46163</v>
      </c>
      <c r="BO443" s="27">
        <v>45915</v>
      </c>
      <c r="BP443" s="27">
        <v>46163</v>
      </c>
      <c r="BQ443" s="27">
        <v>46163</v>
      </c>
      <c r="BR443" s="27">
        <v>46100</v>
      </c>
      <c r="BS443" s="28">
        <v>369</v>
      </c>
      <c r="BT443" s="29">
        <v>14</v>
      </c>
      <c r="BU443" s="29">
        <v>369</v>
      </c>
      <c r="BV443" s="29">
        <v>369</v>
      </c>
      <c r="BW443" s="29">
        <v>14</v>
      </c>
      <c r="BX443" s="8"/>
      <c r="BY443" s="8">
        <v>2</v>
      </c>
      <c r="BZ443" s="8">
        <v>0</v>
      </c>
      <c r="CA443" s="8">
        <v>3</v>
      </c>
      <c r="CB443" s="21">
        <v>45982.770833333299</v>
      </c>
      <c r="CC443" s="21">
        <v>45982.770833333299</v>
      </c>
      <c r="CD443" s="21">
        <v>45982.770833333299</v>
      </c>
      <c r="CE443" s="21">
        <v>45982.770833333299</v>
      </c>
      <c r="CF443" s="21">
        <v>45982.770833333299</v>
      </c>
      <c r="CG443" s="21">
        <v>45730.770833333299</v>
      </c>
      <c r="CH443" s="21">
        <v>45730.770833333299</v>
      </c>
      <c r="CI443" s="21">
        <v>45730.770833333299</v>
      </c>
      <c r="CJ443" s="21">
        <v>45730.770833333299</v>
      </c>
      <c r="CK443" s="22" t="s">
        <v>3069</v>
      </c>
      <c r="CL443" s="22" t="s">
        <v>3076</v>
      </c>
      <c r="CM443" s="22" t="s">
        <v>3076</v>
      </c>
      <c r="CN443" s="22" t="s">
        <v>3076</v>
      </c>
      <c r="CO443" s="22" t="s">
        <v>3076</v>
      </c>
      <c r="CP443" s="22" t="s">
        <v>3200</v>
      </c>
      <c r="CQ443" s="22" t="s">
        <v>2953</v>
      </c>
      <c r="CR443" s="22" t="s">
        <v>3200</v>
      </c>
      <c r="CS443" s="22" t="s">
        <v>3200</v>
      </c>
      <c r="CT443" s="22">
        <v>3</v>
      </c>
      <c r="CU443" s="21">
        <v>46114</v>
      </c>
      <c r="CV443" s="21">
        <v>46162</v>
      </c>
      <c r="CW443" s="21">
        <v>46162</v>
      </c>
      <c r="CX443" s="21">
        <v>46162</v>
      </c>
      <c r="CY443" s="21">
        <v>46162</v>
      </c>
      <c r="CZ443" s="21">
        <v>46000</v>
      </c>
      <c r="DA443" s="21">
        <v>46095</v>
      </c>
      <c r="DB443" s="21">
        <v>45910</v>
      </c>
      <c r="DC443" s="21">
        <v>46095</v>
      </c>
      <c r="DD443" s="8">
        <v>1</v>
      </c>
      <c r="DE443" s="8">
        <v>0</v>
      </c>
      <c r="DF443" s="8">
        <v>1</v>
      </c>
      <c r="DG443" s="8">
        <v>4</v>
      </c>
      <c r="DH443" s="8">
        <v>1</v>
      </c>
      <c r="DI443" s="8">
        <v>4</v>
      </c>
      <c r="DJ443" s="8" t="s">
        <v>2976</v>
      </c>
      <c r="DK443" s="21">
        <v>45735</v>
      </c>
      <c r="DL443" s="21">
        <v>45727.229166666664</v>
      </c>
      <c r="DM443" s="21">
        <v>46100</v>
      </c>
      <c r="DN443" s="18">
        <v>1450</v>
      </c>
      <c r="DO443" s="21">
        <v>0</v>
      </c>
      <c r="DP443" s="21">
        <v>0</v>
      </c>
      <c r="DQ443" s="21" t="s">
        <v>2955</v>
      </c>
      <c r="DR443" s="21">
        <v>45983</v>
      </c>
      <c r="DS443" s="21">
        <v>45983</v>
      </c>
      <c r="DT443" s="21">
        <v>45983</v>
      </c>
      <c r="DU443" s="21">
        <v>45983</v>
      </c>
      <c r="DV443" s="21">
        <v>45983</v>
      </c>
      <c r="DW443" s="21">
        <v>45731</v>
      </c>
      <c r="DX443" s="21">
        <v>45731</v>
      </c>
      <c r="DY443" s="21">
        <v>45731</v>
      </c>
      <c r="DZ443" s="21">
        <v>45731</v>
      </c>
      <c r="EA443" s="8">
        <v>50</v>
      </c>
      <c r="EB443" s="8">
        <v>410</v>
      </c>
      <c r="EC443" s="8">
        <v>410</v>
      </c>
      <c r="ED443" s="8">
        <v>410</v>
      </c>
      <c r="EE443" s="8">
        <v>410</v>
      </c>
      <c r="EF443" s="8">
        <v>50</v>
      </c>
      <c r="EG443" s="8">
        <v>50</v>
      </c>
      <c r="EH443" s="8">
        <v>50</v>
      </c>
      <c r="EI443" s="8">
        <v>1550</v>
      </c>
      <c r="EJ443" s="8">
        <v>4</v>
      </c>
      <c r="EK443" s="8" t="s">
        <v>2624</v>
      </c>
      <c r="EL443" s="8">
        <v>12</v>
      </c>
      <c r="EM443" s="8">
        <v>36</v>
      </c>
      <c r="EN443" s="8">
        <v>-238</v>
      </c>
      <c r="EO443" s="8">
        <v>122</v>
      </c>
      <c r="EP443" s="8">
        <v>122</v>
      </c>
      <c r="EQ443" s="8">
        <v>122</v>
      </c>
      <c r="ER443" s="8">
        <v>122</v>
      </c>
      <c r="ES443" s="8">
        <v>-238</v>
      </c>
      <c r="ET443" s="8">
        <v>-238</v>
      </c>
      <c r="EU443" s="8">
        <v>-238</v>
      </c>
      <c r="EV443" s="8">
        <v>1262</v>
      </c>
    </row>
    <row r="444" spans="1:152" x14ac:dyDescent="0.15">
      <c r="A444" s="8">
        <f>ROW([2]!tbl_DPSAC[[#This Row],[Sl. No.]])-1</f>
        <v>443</v>
      </c>
      <c r="B444" s="9" t="s">
        <v>196</v>
      </c>
      <c r="C444" s="8" t="s">
        <v>2398</v>
      </c>
      <c r="D444" s="8" t="s">
        <v>262</v>
      </c>
      <c r="E444" s="8" t="s">
        <v>176</v>
      </c>
      <c r="F444" s="9" t="s">
        <v>161</v>
      </c>
      <c r="G444" s="23" t="s">
        <v>2399</v>
      </c>
      <c r="H444" s="10" t="str">
        <f>_xlfn.XLOOKUP(C444,'[1]E&amp;DPSAC'!$K:$K,'[1]E&amp;DPSAC'!$E:$E,,0)</f>
        <v>SAHEBGANJ</v>
      </c>
      <c r="I444" s="23"/>
      <c r="J444" s="10"/>
      <c r="K444" s="10">
        <f>IF(_xlfn.XLOOKUP(C444,'[1]E&amp;DPSAC'!$K:$K,'[1]E&amp;DPSAC'!$G:$G,"",0)=J444,"",_xlfn.XLOOKUP(C444,'[1]E&amp;DPSAC'!$K:$K,'[1]E&amp;DPSAC'!$G:$G,"",0))</f>
        <v>8059000900</v>
      </c>
      <c r="L444" s="9" t="str">
        <f t="shared" ca="1" si="27"/>
        <v>Warranty</v>
      </c>
      <c r="M444" s="13">
        <v>45720</v>
      </c>
      <c r="N444" s="12">
        <v>24</v>
      </c>
      <c r="O444" s="11">
        <f t="shared" si="26"/>
        <v>46477</v>
      </c>
      <c r="P444" s="8" t="s">
        <v>213</v>
      </c>
      <c r="Q444" s="16" t="s">
        <v>2401</v>
      </c>
      <c r="R444" s="15">
        <v>46015.5316550926</v>
      </c>
      <c r="S444" s="14">
        <v>1198</v>
      </c>
      <c r="T444" s="15">
        <v>46072</v>
      </c>
      <c r="U444" s="14">
        <v>1416</v>
      </c>
      <c r="V444" s="14">
        <v>1475</v>
      </c>
      <c r="W444" s="17">
        <v>46100.657800925903</v>
      </c>
      <c r="X444" s="14" t="s">
        <v>2914</v>
      </c>
      <c r="Y444" s="14">
        <v>473</v>
      </c>
      <c r="Z444" s="14" t="s">
        <v>2692</v>
      </c>
      <c r="AA444" s="18">
        <v>97.468344907400024</v>
      </c>
      <c r="AB444" s="18" t="s">
        <v>2692</v>
      </c>
      <c r="AC444" s="8">
        <f>tbl_DPSAC[[#This Row],[Current Month Due Count]]</f>
        <v>0</v>
      </c>
      <c r="AD444" s="8">
        <f>tbl_DPSAC[[#This Row],[Next Month Due2]]</f>
        <v>0</v>
      </c>
      <c r="AE444" s="8"/>
      <c r="AF444" s="8">
        <v>4</v>
      </c>
      <c r="AG444" s="14">
        <f t="shared" ca="1" si="25"/>
        <v>1524</v>
      </c>
      <c r="AH444" s="8" t="s">
        <v>2400</v>
      </c>
      <c r="AI444" s="8" t="s">
        <v>1873</v>
      </c>
      <c r="AJ444" s="8"/>
      <c r="AK444" s="8"/>
      <c r="AL444" s="8"/>
      <c r="AM444" s="8"/>
      <c r="AN444" s="8"/>
      <c r="AO444" s="8"/>
      <c r="AP444" s="8"/>
      <c r="AQ444" s="8"/>
      <c r="AR444" s="8"/>
      <c r="AS444" s="8"/>
      <c r="AT444" s="8"/>
      <c r="AU444" s="8"/>
      <c r="AV444" s="8"/>
      <c r="AW444" s="8"/>
      <c r="AX444" s="8" t="s">
        <v>3033</v>
      </c>
      <c r="AY444" s="14">
        <v>1198</v>
      </c>
      <c r="AZ444" s="19">
        <v>46015</v>
      </c>
      <c r="BA444" s="14" t="s">
        <v>2401</v>
      </c>
      <c r="BB444" s="14">
        <v>1</v>
      </c>
      <c r="BC444" s="19">
        <v>45719</v>
      </c>
      <c r="BD444" s="14" t="s">
        <v>2402</v>
      </c>
      <c r="BE444" s="14">
        <v>1198</v>
      </c>
      <c r="BF444" s="19">
        <v>46015</v>
      </c>
      <c r="BG444" s="14" t="s">
        <v>2401</v>
      </c>
      <c r="BH444" s="14">
        <v>1198</v>
      </c>
      <c r="BI444" s="19">
        <v>46015</v>
      </c>
      <c r="BJ444" s="14" t="s">
        <v>2401</v>
      </c>
      <c r="BK444" s="14">
        <v>1</v>
      </c>
      <c r="BL444" s="19">
        <v>45719</v>
      </c>
      <c r="BM444" s="14" t="s">
        <v>2402</v>
      </c>
      <c r="BN444" s="27">
        <v>46195</v>
      </c>
      <c r="BO444" s="27">
        <v>45899</v>
      </c>
      <c r="BP444" s="27">
        <v>46195</v>
      </c>
      <c r="BQ444" s="27">
        <v>46195</v>
      </c>
      <c r="BR444" s="27">
        <v>46084</v>
      </c>
      <c r="BS444" s="28">
        <v>424</v>
      </c>
      <c r="BT444" s="29">
        <v>-23</v>
      </c>
      <c r="BU444" s="29">
        <v>424</v>
      </c>
      <c r="BV444" s="29">
        <v>424</v>
      </c>
      <c r="BW444" s="29">
        <v>-23</v>
      </c>
      <c r="BX444" s="8"/>
      <c r="BY444" s="8">
        <v>2</v>
      </c>
      <c r="BZ444" s="8">
        <v>0</v>
      </c>
      <c r="CA444" s="8">
        <v>0</v>
      </c>
      <c r="CB444" s="21">
        <v>46014.770833333299</v>
      </c>
      <c r="CC444" s="21">
        <v>46014.770833333299</v>
      </c>
      <c r="CD444" s="21">
        <v>46014.770833333299</v>
      </c>
      <c r="CE444" s="21">
        <v>46014.770833333299</v>
      </c>
      <c r="CF444" s="21">
        <v>46014.770833333299</v>
      </c>
      <c r="CG444" s="21">
        <v>45719.770833333299</v>
      </c>
      <c r="CH444" s="21">
        <v>46014.770833333299</v>
      </c>
      <c r="CI444" s="21">
        <v>45719.770833333299</v>
      </c>
      <c r="CJ444" s="21">
        <v>45719.770833333299</v>
      </c>
      <c r="CK444" s="22" t="s">
        <v>2959</v>
      </c>
      <c r="CL444" s="22" t="s">
        <v>2959</v>
      </c>
      <c r="CM444" s="22" t="s">
        <v>2959</v>
      </c>
      <c r="CN444" s="22" t="s">
        <v>2959</v>
      </c>
      <c r="CO444" s="22" t="s">
        <v>2959</v>
      </c>
      <c r="CP444" s="22" t="s">
        <v>2956</v>
      </c>
      <c r="CQ444" s="22" t="s">
        <v>2953</v>
      </c>
      <c r="CR444" s="22" t="s">
        <v>2956</v>
      </c>
      <c r="CS444" s="22" t="s">
        <v>2960</v>
      </c>
      <c r="CT444" s="22">
        <v>8</v>
      </c>
      <c r="CU444" s="21">
        <v>46134</v>
      </c>
      <c r="CV444" s="21">
        <v>46134</v>
      </c>
      <c r="CW444" s="21">
        <v>46134</v>
      </c>
      <c r="CX444" s="21">
        <v>46134</v>
      </c>
      <c r="CY444" s="21">
        <v>46134</v>
      </c>
      <c r="CZ444" s="21">
        <v>45989</v>
      </c>
      <c r="DA444" s="21">
        <v>46197</v>
      </c>
      <c r="DB444" s="21">
        <v>45899</v>
      </c>
      <c r="DC444" s="21">
        <v>46084</v>
      </c>
      <c r="DD444" s="8">
        <v>1</v>
      </c>
      <c r="DE444" s="8">
        <v>0</v>
      </c>
      <c r="DF444" s="8">
        <v>1</v>
      </c>
      <c r="DG444" s="8">
        <v>3</v>
      </c>
      <c r="DH444" s="8">
        <v>5</v>
      </c>
      <c r="DI444" s="8">
        <v>0</v>
      </c>
      <c r="DJ444" s="8" t="s">
        <v>2976</v>
      </c>
      <c r="DK444" s="21">
        <v>45720</v>
      </c>
      <c r="DL444" s="21">
        <v>45713.229166666664</v>
      </c>
      <c r="DM444" s="21">
        <v>46100</v>
      </c>
      <c r="DN444" s="18">
        <v>1475</v>
      </c>
      <c r="DO444" s="21">
        <v>0</v>
      </c>
      <c r="DP444" s="21">
        <v>0</v>
      </c>
      <c r="DQ444" s="21" t="s">
        <v>2955</v>
      </c>
      <c r="DR444" s="21">
        <v>46015</v>
      </c>
      <c r="DS444" s="21">
        <v>46015</v>
      </c>
      <c r="DT444" s="21">
        <v>46015</v>
      </c>
      <c r="DU444" s="21">
        <v>46015</v>
      </c>
      <c r="DV444" s="21">
        <v>46015</v>
      </c>
      <c r="DW444" s="21">
        <v>45720</v>
      </c>
      <c r="DX444" s="21">
        <v>46015</v>
      </c>
      <c r="DY444" s="21">
        <v>45720</v>
      </c>
      <c r="DZ444" s="21">
        <v>45720</v>
      </c>
      <c r="EA444" s="8">
        <v>391</v>
      </c>
      <c r="EB444" s="8">
        <v>440</v>
      </c>
      <c r="EC444" s="8">
        <v>440</v>
      </c>
      <c r="ED444" s="8">
        <v>440</v>
      </c>
      <c r="EE444" s="8">
        <v>440</v>
      </c>
      <c r="EF444" s="8">
        <v>1391</v>
      </c>
      <c r="EG444" s="8">
        <v>891</v>
      </c>
      <c r="EH444" s="8">
        <v>1391</v>
      </c>
      <c r="EI444" s="8">
        <v>1391</v>
      </c>
      <c r="EJ444" s="8">
        <v>1</v>
      </c>
      <c r="EK444" s="8" t="s">
        <v>2624</v>
      </c>
      <c r="EL444" s="8">
        <v>12</v>
      </c>
      <c r="EM444" s="8">
        <v>48</v>
      </c>
      <c r="EN444" s="8">
        <v>103</v>
      </c>
      <c r="EO444" s="8">
        <v>152</v>
      </c>
      <c r="EP444" s="8">
        <v>152</v>
      </c>
      <c r="EQ444" s="8">
        <v>152</v>
      </c>
      <c r="ER444" s="8">
        <v>152</v>
      </c>
      <c r="ES444" s="8">
        <v>1103</v>
      </c>
      <c r="ET444" s="8">
        <v>603</v>
      </c>
      <c r="EU444" s="8">
        <v>1103</v>
      </c>
      <c r="EV444" s="8">
        <v>1103</v>
      </c>
    </row>
    <row r="445" spans="1:152" x14ac:dyDescent="0.15">
      <c r="A445" s="8">
        <f>ROW([2]!tbl_DPSAC[[#This Row],[Sl. No.]])-1</f>
        <v>444</v>
      </c>
      <c r="B445" s="9" t="s">
        <v>136</v>
      </c>
      <c r="C445" s="8" t="s">
        <v>2403</v>
      </c>
      <c r="D445" s="8" t="s">
        <v>1491</v>
      </c>
      <c r="E445" s="8" t="s">
        <v>1492</v>
      </c>
      <c r="F445" s="9" t="s">
        <v>161</v>
      </c>
      <c r="G445" s="23" t="s">
        <v>1838</v>
      </c>
      <c r="H445" s="10" t="str">
        <f>_xlfn.XLOOKUP(C445,'[1]E&amp;DPSAC'!$K:$K,'[1]E&amp;DPSAC'!$E:$E,,0)</f>
        <v>BHOWRA</v>
      </c>
      <c r="I445" s="23"/>
      <c r="J445" s="10"/>
      <c r="K445" s="10">
        <f>IF(_xlfn.XLOOKUP(C445,'[1]E&amp;DPSAC'!$K:$K,'[1]E&amp;DPSAC'!$G:$G,"",0)=J445,"",_xlfn.XLOOKUP(C445,'[1]E&amp;DPSAC'!$K:$K,'[1]E&amp;DPSAC'!$G:$G,"",0))</f>
        <v>6207821701</v>
      </c>
      <c r="L445" s="9" t="str">
        <f t="shared" ca="1" si="27"/>
        <v>Warranty</v>
      </c>
      <c r="M445" s="13">
        <v>45728</v>
      </c>
      <c r="N445" s="12">
        <v>24</v>
      </c>
      <c r="O445" s="11">
        <f t="shared" si="26"/>
        <v>46477</v>
      </c>
      <c r="P445" s="8" t="s">
        <v>213</v>
      </c>
      <c r="Q445" s="16" t="s">
        <v>2677</v>
      </c>
      <c r="R445" s="15">
        <v>46102.737847222197</v>
      </c>
      <c r="S445" s="14">
        <v>1475</v>
      </c>
      <c r="T445" s="15">
        <v>45860</v>
      </c>
      <c r="U445" s="14">
        <v>470</v>
      </c>
      <c r="V445" s="14">
        <v>1475</v>
      </c>
      <c r="W445" s="17">
        <v>46102.737847222197</v>
      </c>
      <c r="X445" s="14" t="s">
        <v>2915</v>
      </c>
      <c r="Y445" s="14">
        <v>750</v>
      </c>
      <c r="Z445" s="14" t="s">
        <v>2692</v>
      </c>
      <c r="AA445" s="18">
        <v>10.262152777802839</v>
      </c>
      <c r="AB445" s="18" t="s">
        <v>2692</v>
      </c>
      <c r="AC445" s="8">
        <f>tbl_DPSAC[[#This Row],[Current Month Due Count]]</f>
        <v>0</v>
      </c>
      <c r="AD445" s="8">
        <f>tbl_DPSAC[[#This Row],[Next Month Due2]]</f>
        <v>0</v>
      </c>
      <c r="AE445" s="8"/>
      <c r="AF445" s="8">
        <v>22</v>
      </c>
      <c r="AG445" s="14">
        <f t="shared" ca="1" si="25"/>
        <v>1701</v>
      </c>
      <c r="AH445" s="8"/>
      <c r="AI445" s="8"/>
      <c r="AJ445" s="8"/>
      <c r="AK445" s="8"/>
      <c r="AL445" s="8"/>
      <c r="AM445" s="8"/>
      <c r="AN445" s="8"/>
      <c r="AO445" s="8"/>
      <c r="AP445" s="8"/>
      <c r="AQ445" s="8"/>
      <c r="AR445" s="8"/>
      <c r="AS445" s="8"/>
      <c r="AT445" s="8"/>
      <c r="AU445" s="8"/>
      <c r="AV445" s="8"/>
      <c r="AW445" s="8"/>
      <c r="AX445" s="8" t="s">
        <v>2980</v>
      </c>
      <c r="AY445" s="14">
        <v>1</v>
      </c>
      <c r="AZ445" s="19">
        <v>45728</v>
      </c>
      <c r="BA445" s="14" t="s">
        <v>2404</v>
      </c>
      <c r="BB445" s="14">
        <v>1</v>
      </c>
      <c r="BC445" s="19">
        <v>45728</v>
      </c>
      <c r="BD445" s="14" t="s">
        <v>2404</v>
      </c>
      <c r="BE445" s="14">
        <v>1</v>
      </c>
      <c r="BF445" s="19">
        <v>45728</v>
      </c>
      <c r="BG445" s="14" t="s">
        <v>2404</v>
      </c>
      <c r="BH445" s="14">
        <v>1</v>
      </c>
      <c r="BI445" s="19">
        <v>45728</v>
      </c>
      <c r="BJ445" s="14" t="s">
        <v>2404</v>
      </c>
      <c r="BK445" s="14">
        <v>1</v>
      </c>
      <c r="BL445" s="19">
        <v>45728</v>
      </c>
      <c r="BM445" s="14" t="s">
        <v>2404</v>
      </c>
      <c r="BN445" s="27">
        <v>45908</v>
      </c>
      <c r="BO445" s="27">
        <v>45908</v>
      </c>
      <c r="BP445" s="27">
        <v>45908</v>
      </c>
      <c r="BQ445" s="27">
        <v>45908</v>
      </c>
      <c r="BR445" s="27">
        <v>46093</v>
      </c>
      <c r="BS445" s="28">
        <v>-734</v>
      </c>
      <c r="BT445" s="29">
        <v>16</v>
      </c>
      <c r="BU445" s="29">
        <v>-734</v>
      </c>
      <c r="BV445" s="29">
        <v>-734</v>
      </c>
      <c r="BW445" s="29">
        <v>16</v>
      </c>
      <c r="BX445" s="8"/>
      <c r="BY445" s="8">
        <v>5</v>
      </c>
      <c r="BZ445" s="8">
        <v>0</v>
      </c>
      <c r="CA445" s="8">
        <v>0</v>
      </c>
      <c r="CB445" s="21">
        <v>45728.770833333299</v>
      </c>
      <c r="CC445" s="21">
        <v>45728.770833333299</v>
      </c>
      <c r="CD445" s="21">
        <v>45727.770833333299</v>
      </c>
      <c r="CE445" s="21">
        <v>45727.770833333299</v>
      </c>
      <c r="CF445" s="21">
        <v>45727.770833333299</v>
      </c>
      <c r="CG445" s="21">
        <v>45727.770833333299</v>
      </c>
      <c r="CH445" s="21">
        <v>45727.770833333299</v>
      </c>
      <c r="CI445" s="21">
        <v>45727.770833333299</v>
      </c>
      <c r="CJ445" s="21">
        <v>45727.770833333299</v>
      </c>
      <c r="CK445" s="22" t="s">
        <v>3110</v>
      </c>
      <c r="CL445" s="22" t="s">
        <v>3110</v>
      </c>
      <c r="CM445" s="22" t="s">
        <v>3110</v>
      </c>
      <c r="CN445" s="22" t="s">
        <v>3110</v>
      </c>
      <c r="CO445" s="22" t="s">
        <v>3110</v>
      </c>
      <c r="CP445" s="22" t="s">
        <v>3110</v>
      </c>
      <c r="CQ445" s="22" t="s">
        <v>2953</v>
      </c>
      <c r="CR445" s="22" t="s">
        <v>3110</v>
      </c>
      <c r="CS445" s="22" t="s">
        <v>3110</v>
      </c>
      <c r="CT445" s="22">
        <v>0</v>
      </c>
      <c r="CU445" s="21">
        <v>0</v>
      </c>
      <c r="CV445" s="21">
        <v>0</v>
      </c>
      <c r="CW445" s="21">
        <v>0</v>
      </c>
      <c r="CX445" s="21">
        <v>0</v>
      </c>
      <c r="CY445" s="21">
        <v>0</v>
      </c>
      <c r="CZ445" s="21">
        <v>0</v>
      </c>
      <c r="DA445" s="21">
        <v>0</v>
      </c>
      <c r="DB445" s="21">
        <v>0</v>
      </c>
      <c r="DC445" s="21">
        <v>0</v>
      </c>
      <c r="DD445" s="8">
        <v>0</v>
      </c>
      <c r="DE445" s="8">
        <v>0</v>
      </c>
      <c r="DF445" s="8">
        <v>0</v>
      </c>
      <c r="DG445" s="8">
        <v>9</v>
      </c>
      <c r="DH445" s="8">
        <v>0</v>
      </c>
      <c r="DI445" s="8">
        <v>0</v>
      </c>
      <c r="DJ445" s="8" t="s">
        <v>2976</v>
      </c>
      <c r="DK445" s="21">
        <v>45728</v>
      </c>
      <c r="DL445" s="21">
        <v>45449.229166666664</v>
      </c>
      <c r="DM445" s="21">
        <v>46104</v>
      </c>
      <c r="DN445" s="18">
        <v>1475</v>
      </c>
      <c r="DO445" s="21">
        <v>0</v>
      </c>
      <c r="DP445" s="21">
        <v>0</v>
      </c>
      <c r="DQ445" s="21" t="s">
        <v>3049</v>
      </c>
      <c r="DR445" s="21">
        <v>45729</v>
      </c>
      <c r="DS445" s="21">
        <v>45729</v>
      </c>
      <c r="DT445" s="21">
        <v>45729</v>
      </c>
      <c r="DU445" s="21">
        <v>45729</v>
      </c>
      <c r="DV445" s="21">
        <v>45729</v>
      </c>
      <c r="DW445" s="21">
        <v>45729</v>
      </c>
      <c r="DX445" s="21">
        <v>45729</v>
      </c>
      <c r="DY445" s="21">
        <v>45729</v>
      </c>
      <c r="DZ445" s="21">
        <v>45729</v>
      </c>
      <c r="EA445" s="8">
        <v>270</v>
      </c>
      <c r="EB445" s="8">
        <v>270</v>
      </c>
      <c r="EC445" s="8">
        <v>270</v>
      </c>
      <c r="ED445" s="8">
        <v>270</v>
      </c>
      <c r="EE445" s="8">
        <v>270</v>
      </c>
      <c r="EF445" s="8">
        <v>270</v>
      </c>
      <c r="EG445" s="8">
        <v>1000</v>
      </c>
      <c r="EH445" s="8">
        <v>270</v>
      </c>
      <c r="EI445" s="8">
        <v>270</v>
      </c>
      <c r="EJ445" s="8">
        <v>2</v>
      </c>
      <c r="EK445" s="8" t="s">
        <v>2624</v>
      </c>
      <c r="EL445" s="8">
        <v>10</v>
      </c>
      <c r="EM445" s="8">
        <v>10</v>
      </c>
      <c r="EN445" s="8">
        <v>-18</v>
      </c>
      <c r="EO445" s="8">
        <v>-18</v>
      </c>
      <c r="EP445" s="8">
        <v>-18</v>
      </c>
      <c r="EQ445" s="8">
        <v>-18</v>
      </c>
      <c r="ER445" s="8">
        <v>-18</v>
      </c>
      <c r="ES445" s="8">
        <v>-18</v>
      </c>
      <c r="ET445" s="8">
        <v>712</v>
      </c>
      <c r="EU445" s="8">
        <v>-18</v>
      </c>
      <c r="EV445" s="8">
        <v>-18</v>
      </c>
    </row>
    <row r="446" spans="1:152" x14ac:dyDescent="0.15">
      <c r="A446" s="8">
        <f>ROW([2]!tbl_DPSAC[[#This Row],[Sl. No.]])-1</f>
        <v>445</v>
      </c>
      <c r="B446" s="9" t="s">
        <v>136</v>
      </c>
      <c r="C446" s="8" t="s">
        <v>2405</v>
      </c>
      <c r="D446" s="8" t="s">
        <v>2189</v>
      </c>
      <c r="E446" s="8" t="s">
        <v>2189</v>
      </c>
      <c r="F446" s="9" t="s">
        <v>140</v>
      </c>
      <c r="G446" s="23" t="s">
        <v>2406</v>
      </c>
      <c r="H446" s="10" t="str">
        <f>_xlfn.XLOOKUP(C446,'[1]E&amp;DPSAC'!$K:$K,'[1]E&amp;DPSAC'!$E:$E,,0)</f>
        <v>DHANBAD</v>
      </c>
      <c r="I446" s="23"/>
      <c r="J446" s="10"/>
      <c r="K446" s="10">
        <f>IF(_xlfn.XLOOKUP(C446,'[1]E&amp;DPSAC'!$K:$K,'[1]E&amp;DPSAC'!$G:$G,"",0)=J446,"",_xlfn.XLOOKUP(C446,'[1]E&amp;DPSAC'!$K:$K,'[1]E&amp;DPSAC'!$G:$G,"",0))</f>
        <v>9550386894</v>
      </c>
      <c r="L446" s="9" t="str">
        <f t="shared" ca="1" si="27"/>
        <v>Warranty</v>
      </c>
      <c r="M446" s="13">
        <v>45414</v>
      </c>
      <c r="N446" s="12">
        <v>36</v>
      </c>
      <c r="O446" s="11">
        <f t="shared" si="26"/>
        <v>46538</v>
      </c>
      <c r="P446" s="8" t="s">
        <v>157</v>
      </c>
      <c r="Q446" s="16" t="s">
        <v>2407</v>
      </c>
      <c r="R446" s="15">
        <v>45720.490358796298</v>
      </c>
      <c r="S446" s="14">
        <v>1297</v>
      </c>
      <c r="T446" s="15">
        <v>45813</v>
      </c>
      <c r="U446" s="14">
        <v>1800</v>
      </c>
      <c r="V446" s="14">
        <v>1990</v>
      </c>
      <c r="W446" s="17">
        <v>45911.7</v>
      </c>
      <c r="X446" s="14" t="s">
        <v>2916</v>
      </c>
      <c r="Y446" s="14">
        <v>57</v>
      </c>
      <c r="Z446" s="14" t="s">
        <v>2692</v>
      </c>
      <c r="AA446" s="18">
        <v>392.5096412037019</v>
      </c>
      <c r="AB446" s="18" t="s">
        <v>2697</v>
      </c>
      <c r="AC446" s="8">
        <f>tbl_DPSAC[[#This Row],[Current Month Due Count]]</f>
        <v>0</v>
      </c>
      <c r="AD446" s="8">
        <f>tbl_DPSAC[[#This Row],[Next Month Due2]]</f>
        <v>0</v>
      </c>
      <c r="AE446" s="8"/>
      <c r="AF446" s="8">
        <v>0</v>
      </c>
      <c r="AG446" s="14">
        <f t="shared" ca="1" si="25"/>
        <v>1990</v>
      </c>
      <c r="AH446" s="8"/>
      <c r="AI446" s="8"/>
      <c r="AJ446" s="8"/>
      <c r="AK446" s="8"/>
      <c r="AL446" s="8"/>
      <c r="AM446" s="8"/>
      <c r="AN446" s="8"/>
      <c r="AO446" s="8"/>
      <c r="AP446" s="8"/>
      <c r="AQ446" s="8"/>
      <c r="AR446" s="8"/>
      <c r="AS446" s="8"/>
      <c r="AT446" s="8"/>
      <c r="AU446" s="8"/>
      <c r="AV446" s="8"/>
      <c r="AW446" s="8"/>
      <c r="AX446" s="8" t="s">
        <v>3033</v>
      </c>
      <c r="AY446" s="14">
        <v>1297</v>
      </c>
      <c r="AZ446" s="19">
        <v>45720</v>
      </c>
      <c r="BA446" s="14" t="s">
        <v>2407</v>
      </c>
      <c r="BB446" s="14">
        <v>1</v>
      </c>
      <c r="BC446" s="19">
        <v>45413</v>
      </c>
      <c r="BD446" s="14" t="s">
        <v>2408</v>
      </c>
      <c r="BE446" s="14">
        <v>1297</v>
      </c>
      <c r="BF446" s="19">
        <v>45720</v>
      </c>
      <c r="BG446" s="14" t="s">
        <v>2407</v>
      </c>
      <c r="BH446" s="14">
        <v>1297</v>
      </c>
      <c r="BI446" s="19">
        <v>45720</v>
      </c>
      <c r="BJ446" s="14" t="s">
        <v>2407</v>
      </c>
      <c r="BK446" s="14">
        <v>1</v>
      </c>
      <c r="BL446" s="19">
        <v>45413</v>
      </c>
      <c r="BM446" s="14" t="s">
        <v>2408</v>
      </c>
      <c r="BN446" s="27">
        <v>45900</v>
      </c>
      <c r="BO446" s="27">
        <v>45593</v>
      </c>
      <c r="BP446" s="27">
        <v>45900</v>
      </c>
      <c r="BQ446" s="27">
        <v>45900</v>
      </c>
      <c r="BR446" s="27">
        <v>45778</v>
      </c>
      <c r="BS446" s="28">
        <v>57</v>
      </c>
      <c r="BT446" s="29">
        <v>-489</v>
      </c>
      <c r="BU446" s="29">
        <v>57</v>
      </c>
      <c r="BV446" s="29">
        <v>57</v>
      </c>
      <c r="BW446" s="29">
        <v>-489</v>
      </c>
      <c r="BX446" s="8" t="s">
        <v>1016</v>
      </c>
      <c r="BY446" s="8">
        <v>5</v>
      </c>
      <c r="BZ446" s="8">
        <v>0</v>
      </c>
      <c r="CA446" s="8">
        <v>0</v>
      </c>
      <c r="CB446" s="21" t="s">
        <v>143</v>
      </c>
      <c r="CC446" s="21" t="s">
        <v>143</v>
      </c>
      <c r="CD446" s="21" t="s">
        <v>143</v>
      </c>
      <c r="CE446" s="21" t="s">
        <v>143</v>
      </c>
      <c r="CF446" s="21" t="s">
        <v>143</v>
      </c>
      <c r="CG446" s="21" t="s">
        <v>143</v>
      </c>
      <c r="CH446" s="21" t="s">
        <v>143</v>
      </c>
      <c r="CI446" s="21" t="s">
        <v>143</v>
      </c>
      <c r="CJ446" s="21" t="s">
        <v>143</v>
      </c>
      <c r="CK446" s="22" t="s">
        <v>143</v>
      </c>
      <c r="CL446" s="22" t="s">
        <v>143</v>
      </c>
      <c r="CM446" s="22" t="s">
        <v>143</v>
      </c>
      <c r="CN446" s="22" t="s">
        <v>143</v>
      </c>
      <c r="CO446" s="22" t="s">
        <v>143</v>
      </c>
      <c r="CP446" s="22" t="s">
        <v>143</v>
      </c>
      <c r="CQ446" s="22" t="s">
        <v>143</v>
      </c>
      <c r="CR446" s="22" t="s">
        <v>143</v>
      </c>
      <c r="CS446" s="22" t="s">
        <v>143</v>
      </c>
      <c r="CT446" s="22" t="s">
        <v>143</v>
      </c>
      <c r="CU446" s="21" t="s">
        <v>143</v>
      </c>
      <c r="CV446" s="21" t="s">
        <v>143</v>
      </c>
      <c r="CW446" s="21" t="s">
        <v>143</v>
      </c>
      <c r="CX446" s="21" t="s">
        <v>143</v>
      </c>
      <c r="CY446" s="21" t="s">
        <v>143</v>
      </c>
      <c r="CZ446" s="21" t="s">
        <v>143</v>
      </c>
      <c r="DA446" s="21" t="s">
        <v>143</v>
      </c>
      <c r="DB446" s="21" t="s">
        <v>143</v>
      </c>
      <c r="DC446" s="21" t="s">
        <v>143</v>
      </c>
      <c r="DD446" s="8" t="s">
        <v>143</v>
      </c>
      <c r="DE446" s="8" t="s">
        <v>143</v>
      </c>
      <c r="DF446" s="8" t="s">
        <v>143</v>
      </c>
      <c r="DG446" s="8">
        <v>0</v>
      </c>
      <c r="DH446" s="8">
        <v>0</v>
      </c>
      <c r="DI446" s="8">
        <v>0</v>
      </c>
      <c r="DJ446" s="8" t="s">
        <v>143</v>
      </c>
      <c r="DK446" s="21" t="s">
        <v>143</v>
      </c>
      <c r="DL446" s="21" t="s">
        <v>143</v>
      </c>
      <c r="DM446" s="21" t="s">
        <v>143</v>
      </c>
      <c r="DN446" s="18" t="s">
        <v>143</v>
      </c>
      <c r="DO446" s="21" t="s">
        <v>143</v>
      </c>
      <c r="DP446" s="21" t="s">
        <v>143</v>
      </c>
      <c r="DQ446" s="21" t="s">
        <v>143</v>
      </c>
      <c r="DR446" s="21" t="s">
        <v>143</v>
      </c>
      <c r="DS446" s="21" t="s">
        <v>143</v>
      </c>
      <c r="DT446" s="21" t="s">
        <v>143</v>
      </c>
      <c r="DU446" s="21" t="s">
        <v>143</v>
      </c>
      <c r="DV446" s="21" t="s">
        <v>143</v>
      </c>
      <c r="DW446" s="21" t="s">
        <v>143</v>
      </c>
      <c r="DX446" s="21" t="s">
        <v>143</v>
      </c>
      <c r="DY446" s="21" t="s">
        <v>143</v>
      </c>
      <c r="DZ446" s="21" t="s">
        <v>143</v>
      </c>
      <c r="EA446" s="8" t="s">
        <v>143</v>
      </c>
      <c r="EB446" s="8" t="s">
        <v>143</v>
      </c>
      <c r="EC446" s="8" t="s">
        <v>143</v>
      </c>
      <c r="ED446" s="8" t="s">
        <v>143</v>
      </c>
      <c r="EE446" s="8" t="s">
        <v>143</v>
      </c>
      <c r="EF446" s="8" t="s">
        <v>143</v>
      </c>
      <c r="EG446" s="8" t="s">
        <v>143</v>
      </c>
      <c r="EH446" s="8" t="s">
        <v>143</v>
      </c>
      <c r="EI446" s="8" t="s">
        <v>143</v>
      </c>
      <c r="EJ446" s="8" t="s">
        <v>143</v>
      </c>
      <c r="EK446" s="8" t="s">
        <v>157</v>
      </c>
      <c r="EL446" s="8">
        <v>201</v>
      </c>
      <c r="EM446" s="8">
        <v>0</v>
      </c>
      <c r="EN446" s="8" t="s">
        <v>143</v>
      </c>
      <c r="EO446" s="8" t="s">
        <v>143</v>
      </c>
      <c r="EP446" s="8" t="s">
        <v>143</v>
      </c>
      <c r="EQ446" s="8" t="s">
        <v>143</v>
      </c>
      <c r="ER446" s="8" t="s">
        <v>143</v>
      </c>
      <c r="ES446" s="8" t="s">
        <v>143</v>
      </c>
      <c r="ET446" s="8" t="s">
        <v>143</v>
      </c>
      <c r="EU446" s="8" t="s">
        <v>143</v>
      </c>
      <c r="EV446" s="8" t="s">
        <v>143</v>
      </c>
    </row>
    <row r="447" spans="1:152" x14ac:dyDescent="0.15">
      <c r="A447" s="8">
        <f>ROW([2]!tbl_DPSAC[[#This Row],[Sl. No.]])-1</f>
        <v>446</v>
      </c>
      <c r="B447" s="9" t="s">
        <v>136</v>
      </c>
      <c r="C447" s="8" t="s">
        <v>2409</v>
      </c>
      <c r="D447" s="8" t="s">
        <v>1491</v>
      </c>
      <c r="E447" s="8" t="s">
        <v>1492</v>
      </c>
      <c r="F447" s="9" t="s">
        <v>161</v>
      </c>
      <c r="G447" s="23" t="s">
        <v>2194</v>
      </c>
      <c r="H447" s="10" t="str">
        <f>_xlfn.XLOOKUP(C447,'[1]E&amp;DPSAC'!$K:$K,'[1]E&amp;DPSAC'!$E:$E,,0)</f>
        <v>CHATRA</v>
      </c>
      <c r="I447" s="23"/>
      <c r="J447" s="10"/>
      <c r="K447" s="10">
        <f>IF(_xlfn.XLOOKUP(C447,'[1]E&amp;DPSAC'!$K:$K,'[1]E&amp;DPSAC'!$G:$G,"",0)=J447,"",_xlfn.XLOOKUP(C447,'[1]E&amp;DPSAC'!$K:$K,'[1]E&amp;DPSAC'!$G:$G,"",0))</f>
        <v>8946096277</v>
      </c>
      <c r="L447" s="9" t="str">
        <f t="shared" ca="1" si="27"/>
        <v>Warranty</v>
      </c>
      <c r="M447" s="13">
        <v>45719</v>
      </c>
      <c r="N447" s="12">
        <v>24</v>
      </c>
      <c r="O447" s="11">
        <f t="shared" si="26"/>
        <v>46477</v>
      </c>
      <c r="P447" s="8" t="s">
        <v>213</v>
      </c>
      <c r="Q447" s="16" t="s">
        <v>2678</v>
      </c>
      <c r="R447" s="15">
        <v>45838.444988425901</v>
      </c>
      <c r="S447" s="14">
        <v>640</v>
      </c>
      <c r="T447" s="15">
        <v>45882</v>
      </c>
      <c r="U447" s="14">
        <v>726</v>
      </c>
      <c r="V447" s="14">
        <v>1550</v>
      </c>
      <c r="W447" s="17">
        <v>46100.667175925897</v>
      </c>
      <c r="X447" s="14" t="s">
        <v>2917</v>
      </c>
      <c r="Y447" s="14">
        <v>-160</v>
      </c>
      <c r="Z447" s="14" t="s">
        <v>2697</v>
      </c>
      <c r="AA447" s="18">
        <v>274.5550115740989</v>
      </c>
      <c r="AB447" s="18" t="s">
        <v>2697</v>
      </c>
      <c r="AC447" s="8">
        <f>tbl_DPSAC[[#This Row],[Current Month Due Count]]</f>
        <v>0</v>
      </c>
      <c r="AD447" s="8">
        <f>tbl_DPSAC[[#This Row],[Next Month Due2]]</f>
        <v>0</v>
      </c>
      <c r="AE447" s="8"/>
      <c r="AF447" s="8">
        <v>4</v>
      </c>
      <c r="AG447" s="14">
        <f t="shared" ca="1" si="25"/>
        <v>1599</v>
      </c>
      <c r="AH447" s="8"/>
      <c r="AI447" s="8"/>
      <c r="AJ447" s="8"/>
      <c r="AK447" s="8"/>
      <c r="AL447" s="8"/>
      <c r="AM447" s="8"/>
      <c r="AN447" s="8"/>
      <c r="AO447" s="8"/>
      <c r="AP447" s="8"/>
      <c r="AQ447" s="8"/>
      <c r="AR447" s="8"/>
      <c r="AS447" s="8"/>
      <c r="AT447" s="8"/>
      <c r="AU447" s="8"/>
      <c r="AV447" s="8"/>
      <c r="AW447" s="8"/>
      <c r="AX447" s="8" t="s">
        <v>2961</v>
      </c>
      <c r="AY447" s="14">
        <v>640</v>
      </c>
      <c r="AZ447" s="19">
        <v>45838</v>
      </c>
      <c r="BA447" s="14" t="s">
        <v>2410</v>
      </c>
      <c r="BB447" s="14">
        <v>1</v>
      </c>
      <c r="BC447" s="19">
        <v>45719</v>
      </c>
      <c r="BD447" s="14" t="s">
        <v>2411</v>
      </c>
      <c r="BE447" s="14">
        <v>640</v>
      </c>
      <c r="BF447" s="19">
        <v>45838</v>
      </c>
      <c r="BG447" s="14" t="s">
        <v>2410</v>
      </c>
      <c r="BH447" s="14">
        <v>640</v>
      </c>
      <c r="BI447" s="19">
        <v>45838</v>
      </c>
      <c r="BJ447" s="14" t="s">
        <v>2410</v>
      </c>
      <c r="BK447" s="14">
        <v>1</v>
      </c>
      <c r="BL447" s="19">
        <v>45719</v>
      </c>
      <c r="BM447" s="14" t="s">
        <v>2411</v>
      </c>
      <c r="BN447" s="27">
        <v>46018</v>
      </c>
      <c r="BO447" s="27">
        <v>45899</v>
      </c>
      <c r="BP447" s="27">
        <v>46018</v>
      </c>
      <c r="BQ447" s="27">
        <v>46018</v>
      </c>
      <c r="BR447" s="27">
        <v>46084</v>
      </c>
      <c r="BS447" s="28">
        <v>-209</v>
      </c>
      <c r="BT447" s="29">
        <v>-98</v>
      </c>
      <c r="BU447" s="29">
        <v>-209</v>
      </c>
      <c r="BV447" s="29">
        <v>-209</v>
      </c>
      <c r="BW447" s="29">
        <v>-98</v>
      </c>
      <c r="BX447" s="8"/>
      <c r="BY447" s="8">
        <v>5</v>
      </c>
      <c r="BZ447" s="8">
        <v>0</v>
      </c>
      <c r="CA447" s="8">
        <v>0</v>
      </c>
      <c r="CB447" s="21">
        <v>45718.770833333299</v>
      </c>
      <c r="CC447" s="21">
        <v>45837.770833333299</v>
      </c>
      <c r="CD447" s="21">
        <v>45837.770833333299</v>
      </c>
      <c r="CE447" s="21">
        <v>45837.770833333299</v>
      </c>
      <c r="CF447" s="21">
        <v>45837.770833333299</v>
      </c>
      <c r="CG447" s="21">
        <v>45718.770833333299</v>
      </c>
      <c r="CH447" s="21">
        <v>45881.770833333299</v>
      </c>
      <c r="CI447" s="21">
        <v>45718.770833333299</v>
      </c>
      <c r="CJ447" s="21">
        <v>45718.770833333299</v>
      </c>
      <c r="CK447" s="22" t="s">
        <v>3011</v>
      </c>
      <c r="CL447" s="22" t="s">
        <v>3011</v>
      </c>
      <c r="CM447" s="22" t="s">
        <v>3011</v>
      </c>
      <c r="CN447" s="22" t="s">
        <v>3011</v>
      </c>
      <c r="CO447" s="22" t="s">
        <v>3011</v>
      </c>
      <c r="CP447" s="22" t="s">
        <v>3011</v>
      </c>
      <c r="CQ447" s="22" t="s">
        <v>3011</v>
      </c>
      <c r="CR447" s="22" t="s">
        <v>3011</v>
      </c>
      <c r="CS447" s="22" t="s">
        <v>3011</v>
      </c>
      <c r="CT447" s="22">
        <v>6</v>
      </c>
      <c r="CU447" s="21">
        <v>45898</v>
      </c>
      <c r="CV447" s="21">
        <v>46017</v>
      </c>
      <c r="CW447" s="21">
        <v>46017</v>
      </c>
      <c r="CX447" s="21">
        <v>46017</v>
      </c>
      <c r="CY447" s="21">
        <v>46017</v>
      </c>
      <c r="CZ447" s="21">
        <v>45988</v>
      </c>
      <c r="DA447" s="21">
        <v>46088</v>
      </c>
      <c r="DB447" s="21">
        <v>45898</v>
      </c>
      <c r="DC447" s="21">
        <v>46083</v>
      </c>
      <c r="DD447" s="8">
        <v>1</v>
      </c>
      <c r="DE447" s="8">
        <v>0</v>
      </c>
      <c r="DF447" s="8">
        <v>1</v>
      </c>
      <c r="DG447" s="8">
        <v>9</v>
      </c>
      <c r="DH447" s="8">
        <v>0</v>
      </c>
      <c r="DI447" s="8">
        <v>0</v>
      </c>
      <c r="DJ447" s="8" t="s">
        <v>2976</v>
      </c>
      <c r="DK447" s="21">
        <v>45719</v>
      </c>
      <c r="DL447" s="21">
        <v>45625.229166666664</v>
      </c>
      <c r="DM447" s="21">
        <v>46100</v>
      </c>
      <c r="DN447" s="18">
        <v>1550</v>
      </c>
      <c r="DO447" s="21">
        <v>0</v>
      </c>
      <c r="DP447" s="21">
        <v>0</v>
      </c>
      <c r="DQ447" s="21" t="s">
        <v>2955</v>
      </c>
      <c r="DR447" s="21">
        <v>45719</v>
      </c>
      <c r="DS447" s="21">
        <v>45838</v>
      </c>
      <c r="DT447" s="21">
        <v>45838</v>
      </c>
      <c r="DU447" s="21">
        <v>45838</v>
      </c>
      <c r="DV447" s="21">
        <v>45838</v>
      </c>
      <c r="DW447" s="21">
        <v>45719</v>
      </c>
      <c r="DX447" s="21">
        <v>45838</v>
      </c>
      <c r="DY447" s="21">
        <v>45719</v>
      </c>
      <c r="DZ447" s="21">
        <v>45719</v>
      </c>
      <c r="EA447" s="8">
        <v>45</v>
      </c>
      <c r="EB447" s="8">
        <v>45</v>
      </c>
      <c r="EC447" s="8">
        <v>45</v>
      </c>
      <c r="ED447" s="8">
        <v>45</v>
      </c>
      <c r="EE447" s="8">
        <v>45</v>
      </c>
      <c r="EF447" s="8">
        <v>45</v>
      </c>
      <c r="EG447" s="8">
        <v>1000</v>
      </c>
      <c r="EH447" s="8">
        <v>45</v>
      </c>
      <c r="EI447" s="8">
        <v>45</v>
      </c>
      <c r="EJ447" s="8">
        <v>1</v>
      </c>
      <c r="EK447" s="8" t="s">
        <v>2624</v>
      </c>
      <c r="EL447" s="8">
        <v>12</v>
      </c>
      <c r="EM447" s="8">
        <v>48</v>
      </c>
      <c r="EN447" s="8">
        <v>-243</v>
      </c>
      <c r="EO447" s="8">
        <v>-243</v>
      </c>
      <c r="EP447" s="8">
        <v>-243</v>
      </c>
      <c r="EQ447" s="8">
        <v>-243</v>
      </c>
      <c r="ER447" s="8">
        <v>-243</v>
      </c>
      <c r="ES447" s="8">
        <v>-243</v>
      </c>
      <c r="ET447" s="8">
        <v>712</v>
      </c>
      <c r="EU447" s="8">
        <v>-243</v>
      </c>
      <c r="EV447" s="8">
        <v>-243</v>
      </c>
    </row>
    <row r="448" spans="1:152" x14ac:dyDescent="0.15">
      <c r="A448" s="8">
        <f>ROW([2]!tbl_DPSAC[[#This Row],[Sl. No.]])-1</f>
        <v>447</v>
      </c>
      <c r="B448" s="9" t="s">
        <v>196</v>
      </c>
      <c r="C448" s="8" t="s">
        <v>2412</v>
      </c>
      <c r="D448" s="8" t="s">
        <v>2413</v>
      </c>
      <c r="E448" s="8" t="s">
        <v>2414</v>
      </c>
      <c r="F448" s="9" t="s">
        <v>161</v>
      </c>
      <c r="G448" s="23" t="s">
        <v>2415</v>
      </c>
      <c r="H448" s="10" t="e">
        <f>_xlfn.XLOOKUP(C448,'[1]E&amp;DPSAC'!$K:$K,'[1]E&amp;DPSAC'!$E:$E,,0)</f>
        <v>#N/A</v>
      </c>
      <c r="I448" s="23"/>
      <c r="J448" s="10">
        <v>9933195114</v>
      </c>
      <c r="K448" s="10" t="str">
        <f>IF(_xlfn.XLOOKUP(C448,'[1]E&amp;DPSAC'!$K:$K,'[1]E&amp;DPSAC'!$G:$G,"",0)=J448,"",_xlfn.XLOOKUP(C448,'[1]E&amp;DPSAC'!$K:$K,'[1]E&amp;DPSAC'!$G:$G,"",0))</f>
        <v/>
      </c>
      <c r="L448" s="9" t="str">
        <f t="shared" ca="1" si="27"/>
        <v>Warranty</v>
      </c>
      <c r="M448" s="13">
        <v>45685</v>
      </c>
      <c r="N448" s="12">
        <v>24</v>
      </c>
      <c r="O448" s="11">
        <f t="shared" si="26"/>
        <v>46418</v>
      </c>
      <c r="P448" s="8" t="s">
        <v>213</v>
      </c>
      <c r="Q448" s="16" t="s">
        <v>143</v>
      </c>
      <c r="R448" s="15" t="s">
        <v>143</v>
      </c>
      <c r="S448" s="14" t="s">
        <v>143</v>
      </c>
      <c r="T448" s="15" t="s">
        <v>143</v>
      </c>
      <c r="U448" s="14" t="s">
        <v>143</v>
      </c>
      <c r="V448" s="14">
        <v>650</v>
      </c>
      <c r="W448" s="17">
        <v>46100.671840277799</v>
      </c>
      <c r="X448" s="14" t="s">
        <v>143</v>
      </c>
      <c r="Y448" s="14">
        <v>0</v>
      </c>
      <c r="Z448" s="14" t="s">
        <v>2692</v>
      </c>
      <c r="AA448" s="18">
        <v>428</v>
      </c>
      <c r="AB448" s="18" t="s">
        <v>2697</v>
      </c>
      <c r="AC448" s="8">
        <f>tbl_DPSAC[[#This Row],[Current Month Due Count]]</f>
        <v>0</v>
      </c>
      <c r="AD448" s="8">
        <f>tbl_DPSAC[[#This Row],[Next Month Due2]]</f>
        <v>0</v>
      </c>
      <c r="AE448" s="8"/>
      <c r="AF448" s="8">
        <v>0</v>
      </c>
      <c r="AG448" s="14">
        <f t="shared" ca="1" si="25"/>
        <v>650</v>
      </c>
      <c r="AH448" s="8"/>
      <c r="AI448" s="8"/>
      <c r="AJ448" s="8"/>
      <c r="AK448" s="8"/>
      <c r="AL448" s="8"/>
      <c r="AM448" s="8"/>
      <c r="AN448" s="8"/>
      <c r="AO448" s="8"/>
      <c r="AP448" s="8"/>
      <c r="AQ448" s="8"/>
      <c r="AR448" s="8"/>
      <c r="AS448" s="8"/>
      <c r="AT448" s="8"/>
      <c r="AU448" s="8"/>
      <c r="AV448" s="8"/>
      <c r="AW448" s="8"/>
      <c r="AX448" s="8" t="s">
        <v>2007</v>
      </c>
      <c r="AY448" s="14">
        <v>1</v>
      </c>
      <c r="AZ448" s="19">
        <v>45685</v>
      </c>
      <c r="BA448" s="14" t="s">
        <v>2416</v>
      </c>
      <c r="BB448" s="14">
        <v>1</v>
      </c>
      <c r="BC448" s="19">
        <v>45685</v>
      </c>
      <c r="BD448" s="14" t="s">
        <v>2416</v>
      </c>
      <c r="BE448" s="14">
        <v>1</v>
      </c>
      <c r="BF448" s="19">
        <v>45685</v>
      </c>
      <c r="BG448" s="14" t="s">
        <v>2416</v>
      </c>
      <c r="BH448" s="14">
        <v>1</v>
      </c>
      <c r="BI448" s="19">
        <v>45685</v>
      </c>
      <c r="BJ448" s="14" t="s">
        <v>2416</v>
      </c>
      <c r="BK448" s="14">
        <v>1</v>
      </c>
      <c r="BL448" s="19">
        <v>45685</v>
      </c>
      <c r="BM448" s="14" t="s">
        <v>2416</v>
      </c>
      <c r="BN448" s="27">
        <v>45865</v>
      </c>
      <c r="BO448" s="27">
        <v>45865</v>
      </c>
      <c r="BP448" s="27">
        <v>45865</v>
      </c>
      <c r="BQ448" s="27">
        <v>45865</v>
      </c>
      <c r="BR448" s="27">
        <v>46050</v>
      </c>
      <c r="BS448" s="28">
        <v>101</v>
      </c>
      <c r="BT448" s="29">
        <v>851</v>
      </c>
      <c r="BU448" s="29">
        <v>101</v>
      </c>
      <c r="BV448" s="29">
        <v>101</v>
      </c>
      <c r="BW448" s="29">
        <v>851</v>
      </c>
      <c r="BX448" s="8"/>
      <c r="BY448" s="8">
        <v>5</v>
      </c>
      <c r="BZ448" s="8">
        <v>0</v>
      </c>
      <c r="CA448" s="8">
        <v>0</v>
      </c>
      <c r="CB448" s="21">
        <v>45684.770833333299</v>
      </c>
      <c r="CC448" s="21">
        <v>0</v>
      </c>
      <c r="CD448" s="21">
        <v>0</v>
      </c>
      <c r="CE448" s="21">
        <v>0</v>
      </c>
      <c r="CF448" s="21">
        <v>0</v>
      </c>
      <c r="CG448" s="21">
        <v>45684.770833333299</v>
      </c>
      <c r="CH448" s="21">
        <v>45684.770833333299</v>
      </c>
      <c r="CI448" s="21">
        <v>0</v>
      </c>
      <c r="CJ448" s="21">
        <v>0</v>
      </c>
      <c r="CK448" s="22" t="s">
        <v>3083</v>
      </c>
      <c r="CL448" s="22" t="s">
        <v>3083</v>
      </c>
      <c r="CM448" s="22" t="s">
        <v>3083</v>
      </c>
      <c r="CN448" s="22" t="s">
        <v>3083</v>
      </c>
      <c r="CO448" s="22" t="s">
        <v>3083</v>
      </c>
      <c r="CP448" s="22" t="s">
        <v>3021</v>
      </c>
      <c r="CQ448" s="22" t="s">
        <v>2953</v>
      </c>
      <c r="CR448" s="22" t="s">
        <v>3021</v>
      </c>
      <c r="CS448" s="22" t="s">
        <v>3022</v>
      </c>
      <c r="CT448" s="22">
        <v>0</v>
      </c>
      <c r="CU448" s="21">
        <v>0</v>
      </c>
      <c r="CV448" s="21">
        <v>0</v>
      </c>
      <c r="CW448" s="21">
        <v>0</v>
      </c>
      <c r="CX448" s="21">
        <v>0</v>
      </c>
      <c r="CY448" s="21">
        <v>0</v>
      </c>
      <c r="CZ448" s="21">
        <v>0</v>
      </c>
      <c r="DA448" s="21">
        <v>0</v>
      </c>
      <c r="DB448" s="21">
        <v>0</v>
      </c>
      <c r="DC448" s="21">
        <v>0</v>
      </c>
      <c r="DD448" s="8">
        <v>0</v>
      </c>
      <c r="DE448" s="8">
        <v>0</v>
      </c>
      <c r="DF448" s="8">
        <v>0</v>
      </c>
      <c r="DG448" s="8">
        <v>9</v>
      </c>
      <c r="DH448" s="8">
        <v>0</v>
      </c>
      <c r="DI448" s="8">
        <v>0</v>
      </c>
      <c r="DJ448" s="8" t="s">
        <v>2976</v>
      </c>
      <c r="DK448" s="21">
        <v>45685</v>
      </c>
      <c r="DL448" s="21">
        <v>45657.229166666664</v>
      </c>
      <c r="DM448" s="21">
        <v>46100</v>
      </c>
      <c r="DN448" s="18">
        <v>650</v>
      </c>
      <c r="DO448" s="21">
        <v>0</v>
      </c>
      <c r="DP448" s="21">
        <v>0</v>
      </c>
      <c r="DQ448" s="21" t="s">
        <v>3107</v>
      </c>
      <c r="DR448" s="21">
        <v>45685</v>
      </c>
      <c r="DS448" s="21">
        <v>45685</v>
      </c>
      <c r="DT448" s="21">
        <v>45685</v>
      </c>
      <c r="DU448" s="21">
        <v>45685</v>
      </c>
      <c r="DV448" s="21">
        <v>45685</v>
      </c>
      <c r="DW448" s="21">
        <v>45685</v>
      </c>
      <c r="DX448" s="21">
        <v>45685</v>
      </c>
      <c r="DY448" s="21">
        <v>45685</v>
      </c>
      <c r="DZ448" s="21">
        <v>45685</v>
      </c>
      <c r="EA448" s="8">
        <v>100</v>
      </c>
      <c r="EB448" s="8">
        <v>100</v>
      </c>
      <c r="EC448" s="8">
        <v>100</v>
      </c>
      <c r="ED448" s="8">
        <v>100</v>
      </c>
      <c r="EE448" s="8">
        <v>100</v>
      </c>
      <c r="EF448" s="8">
        <v>1100</v>
      </c>
      <c r="EG448" s="8">
        <v>1000</v>
      </c>
      <c r="EH448" s="8">
        <v>1100</v>
      </c>
      <c r="EI448" s="8">
        <v>2600</v>
      </c>
      <c r="EJ448" s="8">
        <v>4</v>
      </c>
      <c r="EK448" s="8" t="s">
        <v>2624</v>
      </c>
      <c r="EL448" s="8">
        <v>12</v>
      </c>
      <c r="EM448" s="8">
        <v>0</v>
      </c>
      <c r="EN448" s="8">
        <v>-188</v>
      </c>
      <c r="EO448" s="8">
        <v>-188</v>
      </c>
      <c r="EP448" s="8">
        <v>-188</v>
      </c>
      <c r="EQ448" s="8">
        <v>-188</v>
      </c>
      <c r="ER448" s="8">
        <v>-188</v>
      </c>
      <c r="ES448" s="8">
        <v>812</v>
      </c>
      <c r="ET448" s="8">
        <v>712</v>
      </c>
      <c r="EU448" s="8">
        <v>812</v>
      </c>
      <c r="EV448" s="8">
        <v>2312</v>
      </c>
    </row>
    <row r="449" spans="1:152" x14ac:dyDescent="0.15">
      <c r="A449" s="8">
        <f>ROW([2]!tbl_DPSAC[[#This Row],[Sl. No.]])-1</f>
        <v>448</v>
      </c>
      <c r="B449" s="9" t="s">
        <v>196</v>
      </c>
      <c r="C449" s="8" t="s">
        <v>2417</v>
      </c>
      <c r="D449" s="8" t="s">
        <v>2418</v>
      </c>
      <c r="E449" s="8" t="s">
        <v>2419</v>
      </c>
      <c r="F449" s="9" t="s">
        <v>140</v>
      </c>
      <c r="G449" s="23" t="s">
        <v>2420</v>
      </c>
      <c r="H449" s="10" t="str">
        <f>_xlfn.XLOOKUP(C449,'[1]E&amp;DPSAC'!$K:$K,'[1]E&amp;DPSAC'!$E:$E,,0)</f>
        <v>SEMBO, RANCHI</v>
      </c>
      <c r="I449" s="23"/>
      <c r="J449" s="10">
        <v>7479436016</v>
      </c>
      <c r="K449" s="10">
        <f>IF(_xlfn.XLOOKUP(C449,'[1]E&amp;DPSAC'!$K:$K,'[1]E&amp;DPSAC'!$G:$G,"",0)=J449,"",_xlfn.XLOOKUP(C449,'[1]E&amp;DPSAC'!$K:$K,'[1]E&amp;DPSAC'!$G:$G,"",0))</f>
        <v>9470526002</v>
      </c>
      <c r="L449" s="9" t="str">
        <f t="shared" ca="1" si="27"/>
        <v>Warranty</v>
      </c>
      <c r="M449" s="13">
        <v>45750</v>
      </c>
      <c r="N449" s="12">
        <v>36</v>
      </c>
      <c r="O449" s="11">
        <f t="shared" si="26"/>
        <v>46873</v>
      </c>
      <c r="P449" s="8" t="s">
        <v>213</v>
      </c>
      <c r="Q449" s="16" t="s">
        <v>2422</v>
      </c>
      <c r="R449" s="15">
        <v>46057.582094907397</v>
      </c>
      <c r="S449" s="14">
        <v>178</v>
      </c>
      <c r="T449" s="15">
        <v>46064</v>
      </c>
      <c r="U449" s="14">
        <v>185</v>
      </c>
      <c r="V449" s="14">
        <v>178</v>
      </c>
      <c r="W449" s="17">
        <v>46100.675173611096</v>
      </c>
      <c r="X449" s="14" t="s">
        <v>2918</v>
      </c>
      <c r="Y449" s="14">
        <v>750</v>
      </c>
      <c r="Z449" s="14" t="s">
        <v>2692</v>
      </c>
      <c r="AA449" s="18">
        <v>55.417905092603178</v>
      </c>
      <c r="AB449" s="18" t="s">
        <v>2692</v>
      </c>
      <c r="AC449" s="8">
        <f>tbl_DPSAC[[#This Row],[Current Month Due Count]]</f>
        <v>0</v>
      </c>
      <c r="AD449" s="8">
        <f>tbl_DPSAC[[#This Row],[Next Month Due2]]</f>
        <v>0</v>
      </c>
      <c r="AE449" s="8"/>
      <c r="AF449" s="8">
        <v>0</v>
      </c>
      <c r="AG449" s="14">
        <f t="shared" ca="1" si="25"/>
        <v>178</v>
      </c>
      <c r="AH449" s="8" t="s">
        <v>2421</v>
      </c>
      <c r="AI449" s="8"/>
      <c r="AJ449" s="8"/>
      <c r="AK449" s="8"/>
      <c r="AL449" s="8"/>
      <c r="AM449" s="8"/>
      <c r="AN449" s="8"/>
      <c r="AO449" s="8"/>
      <c r="AP449" s="8"/>
      <c r="AQ449" s="8"/>
      <c r="AR449" s="8"/>
      <c r="AS449" s="8"/>
      <c r="AT449" s="8"/>
      <c r="AU449" s="8"/>
      <c r="AV449" s="8"/>
      <c r="AW449" s="8"/>
      <c r="AX449" s="8" t="s">
        <v>2007</v>
      </c>
      <c r="AY449" s="14">
        <v>178</v>
      </c>
      <c r="AZ449" s="19">
        <v>46057</v>
      </c>
      <c r="BA449" s="14" t="s">
        <v>2422</v>
      </c>
      <c r="BB449" s="14">
        <v>1</v>
      </c>
      <c r="BC449" s="19">
        <v>45741</v>
      </c>
      <c r="BD449" s="14" t="s">
        <v>2423</v>
      </c>
      <c r="BE449" s="14">
        <v>178</v>
      </c>
      <c r="BF449" s="19">
        <v>46057</v>
      </c>
      <c r="BG449" s="14" t="s">
        <v>2422</v>
      </c>
      <c r="BH449" s="14">
        <v>178</v>
      </c>
      <c r="BI449" s="19">
        <v>46057</v>
      </c>
      <c r="BJ449" s="14" t="s">
        <v>2422</v>
      </c>
      <c r="BK449" s="14">
        <v>1</v>
      </c>
      <c r="BL449" s="19">
        <v>45741</v>
      </c>
      <c r="BM449" s="14" t="s">
        <v>2423</v>
      </c>
      <c r="BN449" s="27">
        <v>46237</v>
      </c>
      <c r="BO449" s="27">
        <v>45921</v>
      </c>
      <c r="BP449" s="27">
        <v>46237</v>
      </c>
      <c r="BQ449" s="27">
        <v>46237</v>
      </c>
      <c r="BR449" s="27">
        <v>46106</v>
      </c>
      <c r="BS449" s="28">
        <v>750</v>
      </c>
      <c r="BT449" s="29">
        <v>1323</v>
      </c>
      <c r="BU449" s="29">
        <v>750</v>
      </c>
      <c r="BV449" s="29">
        <v>750</v>
      </c>
      <c r="BW449" s="29">
        <v>1323</v>
      </c>
      <c r="BX449" s="8"/>
      <c r="BY449" s="8">
        <v>2</v>
      </c>
      <c r="BZ449" s="8">
        <v>0</v>
      </c>
      <c r="CA449" s="8">
        <v>0</v>
      </c>
      <c r="CB449" s="21">
        <v>46057.770833333299</v>
      </c>
      <c r="CC449" s="21">
        <v>45749.770833333299</v>
      </c>
      <c r="CD449" s="21">
        <v>45749.770833333299</v>
      </c>
      <c r="CE449" s="21">
        <v>45749.770833333299</v>
      </c>
      <c r="CF449" s="21">
        <v>45749.770833333299</v>
      </c>
      <c r="CG449" s="21">
        <v>45749.770833333299</v>
      </c>
      <c r="CH449" s="21">
        <v>45749.770833333299</v>
      </c>
      <c r="CI449" s="21">
        <v>45749.770833333299</v>
      </c>
      <c r="CJ449" s="21">
        <v>45749.770833333299</v>
      </c>
      <c r="CK449" s="22" t="s">
        <v>3201</v>
      </c>
      <c r="CL449" s="22" t="s">
        <v>3202</v>
      </c>
      <c r="CM449" s="22" t="s">
        <v>3202</v>
      </c>
      <c r="CN449" s="22" t="s">
        <v>3202</v>
      </c>
      <c r="CO449" s="22" t="s">
        <v>3201</v>
      </c>
      <c r="CP449" s="22" t="s">
        <v>3203</v>
      </c>
      <c r="CQ449" s="22" t="s">
        <v>2953</v>
      </c>
      <c r="CR449" s="22" t="s">
        <v>3203</v>
      </c>
      <c r="CS449" s="22" t="s">
        <v>3204</v>
      </c>
      <c r="CT449" s="22">
        <v>4</v>
      </c>
      <c r="CU449" s="21">
        <v>46138</v>
      </c>
      <c r="CV449" s="21">
        <v>45929</v>
      </c>
      <c r="CW449" s="21">
        <v>45929</v>
      </c>
      <c r="CX449" s="21">
        <v>45929</v>
      </c>
      <c r="CY449" s="21">
        <v>45929</v>
      </c>
      <c r="CZ449" s="21">
        <v>46019</v>
      </c>
      <c r="DA449" s="21">
        <v>46114</v>
      </c>
      <c r="DB449" s="21">
        <v>45929</v>
      </c>
      <c r="DC449" s="21">
        <v>46114</v>
      </c>
      <c r="DD449" s="8">
        <v>1</v>
      </c>
      <c r="DE449" s="8">
        <v>0</v>
      </c>
      <c r="DF449" s="8">
        <v>0</v>
      </c>
      <c r="DG449" s="8">
        <v>6</v>
      </c>
      <c r="DH449" s="8">
        <v>3</v>
      </c>
      <c r="DI449" s="8">
        <v>0</v>
      </c>
      <c r="DJ449" s="8" t="s">
        <v>2976</v>
      </c>
      <c r="DK449" s="21">
        <v>45750</v>
      </c>
      <c r="DL449" s="21">
        <v>45692.229166666664</v>
      </c>
      <c r="DM449" s="21">
        <v>46100</v>
      </c>
      <c r="DN449" s="18">
        <v>178</v>
      </c>
      <c r="DO449" s="21">
        <v>0</v>
      </c>
      <c r="DP449" s="21">
        <v>0</v>
      </c>
      <c r="DQ449" s="21" t="s">
        <v>2955</v>
      </c>
      <c r="DR449" s="21">
        <v>46058</v>
      </c>
      <c r="DS449" s="21">
        <v>46057</v>
      </c>
      <c r="DT449" s="21">
        <v>46057</v>
      </c>
      <c r="DU449" s="21">
        <v>46057</v>
      </c>
      <c r="DV449" s="21">
        <v>46057</v>
      </c>
      <c r="DW449" s="21">
        <v>45750</v>
      </c>
      <c r="DX449" s="21">
        <v>45750</v>
      </c>
      <c r="DY449" s="21">
        <v>45750</v>
      </c>
      <c r="DZ449" s="21">
        <v>45750</v>
      </c>
      <c r="EA449" s="8">
        <v>322</v>
      </c>
      <c r="EB449" s="8">
        <v>322</v>
      </c>
      <c r="EC449" s="8">
        <v>322</v>
      </c>
      <c r="ED449" s="8">
        <v>322</v>
      </c>
      <c r="EE449" s="8">
        <v>322</v>
      </c>
      <c r="EF449" s="8">
        <v>1322</v>
      </c>
      <c r="EG449" s="8">
        <v>1000</v>
      </c>
      <c r="EH449" s="8">
        <v>1322</v>
      </c>
      <c r="EI449" s="8">
        <v>1322</v>
      </c>
      <c r="EJ449" s="8">
        <v>1</v>
      </c>
      <c r="EK449" s="8" t="s">
        <v>2624</v>
      </c>
      <c r="EL449" s="8">
        <v>12</v>
      </c>
      <c r="EM449" s="8">
        <v>0</v>
      </c>
      <c r="EN449" s="8">
        <v>34</v>
      </c>
      <c r="EO449" s="8">
        <v>34</v>
      </c>
      <c r="EP449" s="8">
        <v>34</v>
      </c>
      <c r="EQ449" s="8">
        <v>34</v>
      </c>
      <c r="ER449" s="8">
        <v>34</v>
      </c>
      <c r="ES449" s="8">
        <v>1034</v>
      </c>
      <c r="ET449" s="8">
        <v>712</v>
      </c>
      <c r="EU449" s="8">
        <v>1034</v>
      </c>
      <c r="EV449" s="8">
        <v>1034</v>
      </c>
    </row>
    <row r="450" spans="1:152" x14ac:dyDescent="0.15">
      <c r="A450" s="8">
        <f>ROW([2]!tbl_DPSAC[[#This Row],[Sl. No.]])-1</f>
        <v>449</v>
      </c>
      <c r="B450" s="9" t="s">
        <v>136</v>
      </c>
      <c r="C450" s="8" t="s">
        <v>2424</v>
      </c>
      <c r="D450" s="8" t="s">
        <v>2189</v>
      </c>
      <c r="E450" s="8" t="s">
        <v>2189</v>
      </c>
      <c r="F450" s="9" t="s">
        <v>140</v>
      </c>
      <c r="G450" s="23" t="s">
        <v>156</v>
      </c>
      <c r="H450" s="10" t="e">
        <f>_xlfn.XLOOKUP(C450,'[1]E&amp;DPSAC'!$K:$K,'[1]E&amp;DPSAC'!$E:$E,,0)</f>
        <v>#N/A</v>
      </c>
      <c r="I450" s="23"/>
      <c r="J450" s="10">
        <v>6380540777</v>
      </c>
      <c r="K450" s="10" t="str">
        <f>IF(_xlfn.XLOOKUP(C450,'[1]E&amp;DPSAC'!$K:$K,'[1]E&amp;DPSAC'!$G:$G,"",0)=J450,"",_xlfn.XLOOKUP(C450,'[1]E&amp;DPSAC'!$K:$K,'[1]E&amp;DPSAC'!$G:$G,"",0))</f>
        <v/>
      </c>
      <c r="L450" s="9" t="str">
        <f t="shared" ca="1" si="27"/>
        <v>Warranty</v>
      </c>
      <c r="M450" s="13">
        <v>45752</v>
      </c>
      <c r="N450" s="12">
        <v>36</v>
      </c>
      <c r="O450" s="11">
        <f t="shared" si="26"/>
        <v>46873</v>
      </c>
      <c r="P450" s="8" t="s">
        <v>213</v>
      </c>
      <c r="Q450" s="16" t="s">
        <v>2679</v>
      </c>
      <c r="R450" s="15">
        <v>46102.636990740699</v>
      </c>
      <c r="S450" s="14">
        <v>1250</v>
      </c>
      <c r="T450" s="15" t="s">
        <v>143</v>
      </c>
      <c r="U450" s="14" t="s">
        <v>143</v>
      </c>
      <c r="V450" s="14">
        <v>1250</v>
      </c>
      <c r="W450" s="17">
        <v>46102.636990740699</v>
      </c>
      <c r="X450" s="14" t="s">
        <v>2919</v>
      </c>
      <c r="Y450" s="14">
        <v>750</v>
      </c>
      <c r="Z450" s="14" t="s">
        <v>2692</v>
      </c>
      <c r="AA450" s="18">
        <v>10.36300925930118</v>
      </c>
      <c r="AB450" s="18" t="s">
        <v>2692</v>
      </c>
      <c r="AC450" s="8">
        <f>tbl_DPSAC[[#This Row],[Current Month Due Count]]</f>
        <v>1</v>
      </c>
      <c r="AD450" s="8">
        <f>tbl_DPSAC[[#This Row],[Next Month Due2]]</f>
        <v>0</v>
      </c>
      <c r="AE450" s="8"/>
      <c r="AF450" s="8">
        <v>0</v>
      </c>
      <c r="AG450" s="14">
        <f t="shared" ref="AG450:AG490" ca="1" si="28">IFERROR(IF(V450&gt;=1,ROUND(SUM(SUM(TODAY()-W450)*AF450)+V450,0),""),"")</f>
        <v>1250</v>
      </c>
      <c r="AH450" s="8"/>
      <c r="AI450" s="8"/>
      <c r="AJ450" s="8"/>
      <c r="AK450" s="8"/>
      <c r="AL450" s="8"/>
      <c r="AM450" s="8"/>
      <c r="AN450" s="8"/>
      <c r="AO450" s="8"/>
      <c r="AP450" s="8"/>
      <c r="AQ450" s="8"/>
      <c r="AR450" s="8"/>
      <c r="AS450" s="8"/>
      <c r="AT450" s="8"/>
      <c r="AU450" s="8"/>
      <c r="AV450" s="8"/>
      <c r="AW450" s="8"/>
      <c r="AX450" s="8" t="s">
        <v>2007</v>
      </c>
      <c r="AY450" s="14">
        <v>1250</v>
      </c>
      <c r="AZ450" s="19">
        <v>46102</v>
      </c>
      <c r="BA450" s="14" t="s">
        <v>2679</v>
      </c>
      <c r="BB450" s="14">
        <v>1</v>
      </c>
      <c r="BC450" s="19">
        <v>45751</v>
      </c>
      <c r="BD450" s="14" t="s">
        <v>2426</v>
      </c>
      <c r="BE450" s="14">
        <v>1250</v>
      </c>
      <c r="BF450" s="19">
        <v>46102</v>
      </c>
      <c r="BG450" s="14" t="s">
        <v>2679</v>
      </c>
      <c r="BH450" s="14">
        <v>516</v>
      </c>
      <c r="BI450" s="19">
        <v>45831</v>
      </c>
      <c r="BJ450" s="14" t="s">
        <v>2425</v>
      </c>
      <c r="BK450" s="14">
        <v>1</v>
      </c>
      <c r="BL450" s="19">
        <v>45751</v>
      </c>
      <c r="BM450" s="14" t="s">
        <v>2426</v>
      </c>
      <c r="BN450" s="27">
        <v>46282</v>
      </c>
      <c r="BO450" s="27">
        <v>45931</v>
      </c>
      <c r="BP450" s="27">
        <v>46282</v>
      </c>
      <c r="BQ450" s="27">
        <v>46011</v>
      </c>
      <c r="BR450" s="27">
        <v>46116</v>
      </c>
      <c r="BS450" s="28">
        <v>750</v>
      </c>
      <c r="BT450" s="29">
        <v>251</v>
      </c>
      <c r="BU450" s="29">
        <v>750</v>
      </c>
      <c r="BV450" s="29">
        <v>16</v>
      </c>
      <c r="BW450" s="29">
        <v>251</v>
      </c>
      <c r="BX450" s="8"/>
      <c r="BY450" s="8">
        <v>2</v>
      </c>
      <c r="BZ450" s="8">
        <v>1</v>
      </c>
      <c r="CA450" s="8">
        <v>0</v>
      </c>
      <c r="CB450" s="21">
        <v>45830.770833333299</v>
      </c>
      <c r="CC450" s="21">
        <v>45830.770833333299</v>
      </c>
      <c r="CD450" s="21">
        <v>45830.770833333299</v>
      </c>
      <c r="CE450" s="21">
        <v>45830.770833333299</v>
      </c>
      <c r="CF450" s="21">
        <v>45830.770833333299</v>
      </c>
      <c r="CG450" s="21">
        <v>45751.770833333299</v>
      </c>
      <c r="CH450" s="21">
        <v>45751.770833333299</v>
      </c>
      <c r="CI450" s="21">
        <v>45751.770833333299</v>
      </c>
      <c r="CJ450" s="21">
        <v>45751.770833333299</v>
      </c>
      <c r="CK450" s="22" t="s">
        <v>3205</v>
      </c>
      <c r="CL450" s="22" t="s">
        <v>3205</v>
      </c>
      <c r="CM450" s="22" t="s">
        <v>3205</v>
      </c>
      <c r="CN450" s="22" t="s">
        <v>3205</v>
      </c>
      <c r="CO450" s="22" t="s">
        <v>3205</v>
      </c>
      <c r="CP450" s="22" t="s">
        <v>3206</v>
      </c>
      <c r="CQ450" s="22" t="s">
        <v>2953</v>
      </c>
      <c r="CR450" s="22" t="s">
        <v>3206</v>
      </c>
      <c r="CS450" s="22" t="s">
        <v>3207</v>
      </c>
      <c r="CT450" s="22">
        <v>8</v>
      </c>
      <c r="CU450" s="21">
        <v>46010</v>
      </c>
      <c r="CV450" s="21">
        <v>46010</v>
      </c>
      <c r="CW450" s="21">
        <v>46010</v>
      </c>
      <c r="CX450" s="21">
        <v>46010</v>
      </c>
      <c r="CY450" s="21">
        <v>46010</v>
      </c>
      <c r="CZ450" s="21">
        <v>46021</v>
      </c>
      <c r="DA450" s="21">
        <v>46116</v>
      </c>
      <c r="DB450" s="21">
        <v>45931</v>
      </c>
      <c r="DC450" s="21">
        <v>46116</v>
      </c>
      <c r="DD450" s="8">
        <v>1</v>
      </c>
      <c r="DE450" s="8">
        <v>0</v>
      </c>
      <c r="DF450" s="8">
        <v>0</v>
      </c>
      <c r="DG450" s="8">
        <v>7</v>
      </c>
      <c r="DH450" s="8">
        <v>2</v>
      </c>
      <c r="DI450" s="8">
        <v>0</v>
      </c>
      <c r="DJ450" s="8" t="s">
        <v>2976</v>
      </c>
      <c r="DK450" s="21">
        <v>45752</v>
      </c>
      <c r="DL450" s="21">
        <v>45741.229166666664</v>
      </c>
      <c r="DM450" s="21">
        <v>46104</v>
      </c>
      <c r="DN450" s="18">
        <v>1250</v>
      </c>
      <c r="DO450" s="21">
        <v>0</v>
      </c>
      <c r="DP450" s="21">
        <v>0</v>
      </c>
      <c r="DQ450" s="21" t="s">
        <v>2955</v>
      </c>
      <c r="DR450" s="21">
        <v>46102</v>
      </c>
      <c r="DS450" s="21">
        <v>46102</v>
      </c>
      <c r="DT450" s="21">
        <v>45832</v>
      </c>
      <c r="DU450" s="21">
        <v>46102</v>
      </c>
      <c r="DV450" s="21">
        <v>46102</v>
      </c>
      <c r="DW450" s="21">
        <v>46102</v>
      </c>
      <c r="DX450" s="21">
        <v>45752</v>
      </c>
      <c r="DY450" s="21">
        <v>45752</v>
      </c>
      <c r="DZ450" s="21">
        <v>45752</v>
      </c>
      <c r="EA450" s="8">
        <v>750</v>
      </c>
      <c r="EB450" s="8">
        <v>750</v>
      </c>
      <c r="EC450" s="8">
        <v>500</v>
      </c>
      <c r="ED450" s="8">
        <v>750</v>
      </c>
      <c r="EE450" s="8">
        <v>750</v>
      </c>
      <c r="EF450" s="8">
        <v>750</v>
      </c>
      <c r="EG450" s="8">
        <v>1000</v>
      </c>
      <c r="EH450" s="8">
        <v>250</v>
      </c>
      <c r="EI450" s="8">
        <v>1750</v>
      </c>
      <c r="EJ450" s="8">
        <v>8</v>
      </c>
      <c r="EK450" s="8" t="s">
        <v>2624</v>
      </c>
      <c r="EL450" s="8">
        <v>10</v>
      </c>
      <c r="EM450" s="8">
        <v>0</v>
      </c>
      <c r="EN450" s="8">
        <v>462</v>
      </c>
      <c r="EO450" s="8">
        <v>462</v>
      </c>
      <c r="EP450" s="8">
        <v>212</v>
      </c>
      <c r="EQ450" s="8">
        <v>462</v>
      </c>
      <c r="ER450" s="8">
        <v>462</v>
      </c>
      <c r="ES450" s="8">
        <v>462</v>
      </c>
      <c r="ET450" s="8">
        <v>712</v>
      </c>
      <c r="EU450" s="8">
        <v>-38</v>
      </c>
      <c r="EV450" s="8">
        <v>1462</v>
      </c>
    </row>
    <row r="451" spans="1:152" x14ac:dyDescent="0.15">
      <c r="A451" s="8">
        <f>ROW([2]!tbl_DPSAC[[#This Row],[Sl. No.]])-1</f>
        <v>450</v>
      </c>
      <c r="B451" s="9" t="s">
        <v>136</v>
      </c>
      <c r="C451" s="8" t="s">
        <v>2427</v>
      </c>
      <c r="D451" s="8" t="s">
        <v>1491</v>
      </c>
      <c r="E451" s="8" t="s">
        <v>1492</v>
      </c>
      <c r="F451" s="9" t="s">
        <v>161</v>
      </c>
      <c r="G451" s="23" t="s">
        <v>1690</v>
      </c>
      <c r="H451" s="10" t="str">
        <f>_xlfn.XLOOKUP(C451,'[1]E&amp;DPSAC'!$K:$K,'[1]E&amp;DPSAC'!$E:$E,,0)</f>
        <v>KOTTADIH, WB</v>
      </c>
      <c r="I451" s="24" t="s">
        <v>253</v>
      </c>
      <c r="J451" s="10">
        <v>9263996999</v>
      </c>
      <c r="K451" s="10">
        <f>IF(_xlfn.XLOOKUP(C451,'[1]E&amp;DPSAC'!$K:$K,'[1]E&amp;DPSAC'!$G:$G,"",0)=J451,"",_xlfn.XLOOKUP(C451,'[1]E&amp;DPSAC'!$K:$K,'[1]E&amp;DPSAC'!$G:$G,"",0))</f>
        <v>6203130363</v>
      </c>
      <c r="L451" s="9" t="str">
        <f t="shared" ca="1" si="27"/>
        <v>Warranty</v>
      </c>
      <c r="M451" s="13">
        <v>45752</v>
      </c>
      <c r="N451" s="12">
        <v>24</v>
      </c>
      <c r="O451" s="11">
        <f t="shared" si="26"/>
        <v>46507</v>
      </c>
      <c r="P451" s="8" t="s">
        <v>213</v>
      </c>
      <c r="Q451" s="16" t="s">
        <v>2430</v>
      </c>
      <c r="R451" s="15">
        <v>46056.549039351798</v>
      </c>
      <c r="S451" s="14">
        <v>1279</v>
      </c>
      <c r="T451" s="15">
        <v>46056</v>
      </c>
      <c r="U451" s="14">
        <v>1279</v>
      </c>
      <c r="V451" s="14">
        <v>1320</v>
      </c>
      <c r="W451" s="17">
        <v>46100.682974536998</v>
      </c>
      <c r="X451" s="14" t="s">
        <v>2920</v>
      </c>
      <c r="Y451" s="14">
        <v>709</v>
      </c>
      <c r="Z451" s="14" t="s">
        <v>2692</v>
      </c>
      <c r="AA451" s="18">
        <v>56.450960648202454</v>
      </c>
      <c r="AB451" s="18" t="s">
        <v>2692</v>
      </c>
      <c r="AC451" s="8">
        <f>tbl_DPSAC[[#This Row],[Current Month Due Count]]</f>
        <v>1</v>
      </c>
      <c r="AD451" s="8">
        <f>tbl_DPSAC[[#This Row],[Next Month Due2]]</f>
        <v>0</v>
      </c>
      <c r="AE451" s="8"/>
      <c r="AF451" s="8">
        <v>1</v>
      </c>
      <c r="AG451" s="14">
        <f t="shared" ca="1" si="28"/>
        <v>1332</v>
      </c>
      <c r="AH451" s="8" t="s">
        <v>2428</v>
      </c>
      <c r="AI451" s="8" t="s">
        <v>2342</v>
      </c>
      <c r="AJ451" s="8" t="s">
        <v>2429</v>
      </c>
      <c r="AK451" s="8"/>
      <c r="AL451" s="8"/>
      <c r="AM451" s="8"/>
      <c r="AN451" s="8"/>
      <c r="AO451" s="8"/>
      <c r="AP451" s="8"/>
      <c r="AQ451" s="8"/>
      <c r="AR451" s="8"/>
      <c r="AS451" s="8"/>
      <c r="AT451" s="8"/>
      <c r="AU451" s="8"/>
      <c r="AV451" s="8"/>
      <c r="AW451" s="8"/>
      <c r="AX451" s="8" t="s">
        <v>2007</v>
      </c>
      <c r="AY451" s="14">
        <v>1279</v>
      </c>
      <c r="AZ451" s="19">
        <v>46056</v>
      </c>
      <c r="BA451" s="14" t="s">
        <v>2430</v>
      </c>
      <c r="BB451" s="14">
        <v>1</v>
      </c>
      <c r="BC451" s="19">
        <v>45752</v>
      </c>
      <c r="BD451" s="14" t="s">
        <v>2431</v>
      </c>
      <c r="BE451" s="14">
        <v>1279</v>
      </c>
      <c r="BF451" s="19">
        <v>46056</v>
      </c>
      <c r="BG451" s="14" t="s">
        <v>2430</v>
      </c>
      <c r="BH451" s="14">
        <v>1279</v>
      </c>
      <c r="BI451" s="19">
        <v>46056</v>
      </c>
      <c r="BJ451" s="14" t="s">
        <v>2430</v>
      </c>
      <c r="BK451" s="14">
        <v>1</v>
      </c>
      <c r="BL451" s="19">
        <v>45752</v>
      </c>
      <c r="BM451" s="14" t="s">
        <v>2431</v>
      </c>
      <c r="BN451" s="27">
        <v>46236</v>
      </c>
      <c r="BO451" s="27">
        <v>45932</v>
      </c>
      <c r="BP451" s="27">
        <v>46236</v>
      </c>
      <c r="BQ451" s="27">
        <v>46236</v>
      </c>
      <c r="BR451" s="27">
        <v>46117</v>
      </c>
      <c r="BS451" s="28">
        <v>697</v>
      </c>
      <c r="BT451" s="29">
        <v>169</v>
      </c>
      <c r="BU451" s="29">
        <v>697</v>
      </c>
      <c r="BV451" s="29">
        <v>697</v>
      </c>
      <c r="BW451" s="29">
        <v>169</v>
      </c>
      <c r="BX451" s="8"/>
      <c r="BY451" s="8">
        <v>1</v>
      </c>
      <c r="BZ451" s="8">
        <v>1</v>
      </c>
      <c r="CA451" s="8">
        <v>0</v>
      </c>
      <c r="CB451" s="21">
        <v>46055.770833333299</v>
      </c>
      <c r="CC451" s="21">
        <v>46055.770833333299</v>
      </c>
      <c r="CD451" s="21">
        <v>46055.770833333299</v>
      </c>
      <c r="CE451" s="21">
        <v>46055.770833333299</v>
      </c>
      <c r="CF451" s="21">
        <v>46055.770833333299</v>
      </c>
      <c r="CG451" s="21">
        <v>45751.770833333299</v>
      </c>
      <c r="CH451" s="21">
        <v>45881.770833333299</v>
      </c>
      <c r="CI451" s="21">
        <v>45751.770833333299</v>
      </c>
      <c r="CJ451" s="21">
        <v>45751.770833333299</v>
      </c>
      <c r="CK451" s="22" t="s">
        <v>2959</v>
      </c>
      <c r="CL451" s="22" t="s">
        <v>2959</v>
      </c>
      <c r="CM451" s="22" t="s">
        <v>2959</v>
      </c>
      <c r="CN451" s="22" t="s">
        <v>2959</v>
      </c>
      <c r="CO451" s="22" t="s">
        <v>2959</v>
      </c>
      <c r="CP451" s="22" t="s">
        <v>2956</v>
      </c>
      <c r="CQ451" s="22" t="s">
        <v>2953</v>
      </c>
      <c r="CR451" s="22" t="s">
        <v>2956</v>
      </c>
      <c r="CS451" s="22" t="s">
        <v>2960</v>
      </c>
      <c r="CT451" s="22">
        <v>10</v>
      </c>
      <c r="CU451" s="21">
        <v>46106</v>
      </c>
      <c r="CV451" s="21">
        <v>46106</v>
      </c>
      <c r="CW451" s="21">
        <v>46106</v>
      </c>
      <c r="CX451" s="21">
        <v>46106</v>
      </c>
      <c r="CY451" s="21">
        <v>46106</v>
      </c>
      <c r="CZ451" s="21">
        <v>46021</v>
      </c>
      <c r="DA451" s="21">
        <v>46156</v>
      </c>
      <c r="DB451" s="21">
        <v>45931</v>
      </c>
      <c r="DC451" s="21">
        <v>46116</v>
      </c>
      <c r="DD451" s="8">
        <v>1</v>
      </c>
      <c r="DE451" s="8">
        <v>0</v>
      </c>
      <c r="DF451" s="8">
        <v>1</v>
      </c>
      <c r="DG451" s="8">
        <v>7</v>
      </c>
      <c r="DH451" s="8">
        <v>1</v>
      </c>
      <c r="DI451" s="8">
        <v>1</v>
      </c>
      <c r="DJ451" s="8" t="s">
        <v>2976</v>
      </c>
      <c r="DK451" s="21">
        <v>45752</v>
      </c>
      <c r="DL451" s="21">
        <v>45736.229166666664</v>
      </c>
      <c r="DM451" s="21">
        <v>46100</v>
      </c>
      <c r="DN451" s="18">
        <v>1320</v>
      </c>
      <c r="DO451" s="21">
        <v>0</v>
      </c>
      <c r="DP451" s="21">
        <v>0</v>
      </c>
      <c r="DQ451" s="21" t="s">
        <v>2955</v>
      </c>
      <c r="DR451" s="21">
        <v>46056</v>
      </c>
      <c r="DS451" s="21">
        <v>46056</v>
      </c>
      <c r="DT451" s="21">
        <v>46056</v>
      </c>
      <c r="DU451" s="21">
        <v>46056</v>
      </c>
      <c r="DV451" s="21">
        <v>46056</v>
      </c>
      <c r="DW451" s="21">
        <v>45752</v>
      </c>
      <c r="DX451" s="21">
        <v>45752</v>
      </c>
      <c r="DY451" s="21">
        <v>45752</v>
      </c>
      <c r="DZ451" s="21">
        <v>45752</v>
      </c>
      <c r="EA451" s="8">
        <v>460</v>
      </c>
      <c r="EB451" s="8">
        <v>460</v>
      </c>
      <c r="EC451" s="8">
        <v>460</v>
      </c>
      <c r="ED451" s="8">
        <v>460</v>
      </c>
      <c r="EE451" s="8">
        <v>460</v>
      </c>
      <c r="EF451" s="8">
        <v>1460</v>
      </c>
      <c r="EG451" s="8">
        <v>1000</v>
      </c>
      <c r="EH451" s="8">
        <v>1460</v>
      </c>
      <c r="EI451" s="8">
        <v>2959</v>
      </c>
      <c r="EJ451" s="8">
        <v>1</v>
      </c>
      <c r="EK451" s="8" t="s">
        <v>2624</v>
      </c>
      <c r="EL451" s="8">
        <v>12</v>
      </c>
      <c r="EM451" s="8">
        <v>12</v>
      </c>
      <c r="EN451" s="8">
        <v>172</v>
      </c>
      <c r="EO451" s="8">
        <v>172</v>
      </c>
      <c r="EP451" s="8">
        <v>172</v>
      </c>
      <c r="EQ451" s="8">
        <v>172</v>
      </c>
      <c r="ER451" s="8">
        <v>172</v>
      </c>
      <c r="ES451" s="8">
        <v>1172</v>
      </c>
      <c r="ET451" s="8">
        <v>712</v>
      </c>
      <c r="EU451" s="8">
        <v>1172</v>
      </c>
      <c r="EV451" s="8">
        <v>2671</v>
      </c>
    </row>
    <row r="452" spans="1:152" x14ac:dyDescent="0.15">
      <c r="A452" s="8">
        <f>ROW([2]!tbl_DPSAC[[#This Row],[Sl. No.]])-1</f>
        <v>451</v>
      </c>
      <c r="B452" s="9" t="s">
        <v>136</v>
      </c>
      <c r="C452" s="8" t="s">
        <v>2432</v>
      </c>
      <c r="D452" s="8" t="s">
        <v>262</v>
      </c>
      <c r="E452" s="8" t="s">
        <v>176</v>
      </c>
      <c r="F452" s="9" t="s">
        <v>161</v>
      </c>
      <c r="G452" s="23" t="s">
        <v>1637</v>
      </c>
      <c r="H452" s="10" t="str">
        <f>_xlfn.XLOOKUP(C452,'[1]E&amp;DPSAC'!$K:$K,'[1]E&amp;DPSAC'!$E:$E,,0)</f>
        <v>SIKIDARI, ORMANJHI</v>
      </c>
      <c r="I452" s="24" t="s">
        <v>2433</v>
      </c>
      <c r="J452" s="10">
        <v>7675844644</v>
      </c>
      <c r="K452" s="10">
        <f>IF(_xlfn.XLOOKUP(C452,'[1]E&amp;DPSAC'!$K:$K,'[1]E&amp;DPSAC'!$G:$G,"",0)=J452,"",_xlfn.XLOOKUP(C452,'[1]E&amp;DPSAC'!$K:$K,'[1]E&amp;DPSAC'!$G:$G,"",0))</f>
        <v>9296509260</v>
      </c>
      <c r="L452" s="9" t="str">
        <f t="shared" ca="1" si="27"/>
        <v>Warranty</v>
      </c>
      <c r="M452" s="13">
        <v>45766</v>
      </c>
      <c r="N452" s="12">
        <v>24</v>
      </c>
      <c r="O452" s="11">
        <f t="shared" si="26"/>
        <v>46507</v>
      </c>
      <c r="P452" s="8" t="s">
        <v>213</v>
      </c>
      <c r="Q452" s="16" t="s">
        <v>2437</v>
      </c>
      <c r="R452" s="15">
        <v>46032.592546296299</v>
      </c>
      <c r="S452" s="14">
        <v>1508</v>
      </c>
      <c r="T452" s="15">
        <v>46009</v>
      </c>
      <c r="U452" s="14">
        <v>1315</v>
      </c>
      <c r="V452" s="14">
        <v>1798</v>
      </c>
      <c r="W452" s="17">
        <v>46105.535370370402</v>
      </c>
      <c r="X452" s="14" t="s">
        <v>2921</v>
      </c>
      <c r="Y452" s="14">
        <v>460</v>
      </c>
      <c r="Z452" s="14" t="s">
        <v>2692</v>
      </c>
      <c r="AA452" s="18">
        <v>80.407453703701322</v>
      </c>
      <c r="AB452" s="18" t="s">
        <v>2692</v>
      </c>
      <c r="AC452" s="8">
        <f>tbl_DPSAC[[#This Row],[Current Month Due Count]]</f>
        <v>0</v>
      </c>
      <c r="AD452" s="8">
        <f>tbl_DPSAC[[#This Row],[Next Month Due2]]</f>
        <v>0</v>
      </c>
      <c r="AE452" s="8"/>
      <c r="AF452" s="8">
        <v>8</v>
      </c>
      <c r="AG452" s="14">
        <f t="shared" ca="1" si="28"/>
        <v>1858</v>
      </c>
      <c r="AH452" s="8" t="s">
        <v>2434</v>
      </c>
      <c r="AI452" s="8" t="s">
        <v>1873</v>
      </c>
      <c r="AJ452" s="8" t="s">
        <v>404</v>
      </c>
      <c r="AK452" s="8" t="s">
        <v>2435</v>
      </c>
      <c r="AL452" s="8"/>
      <c r="AM452" s="8"/>
      <c r="AN452" s="8"/>
      <c r="AO452" s="8"/>
      <c r="AP452" s="8"/>
      <c r="AQ452" s="8"/>
      <c r="AR452" s="8"/>
      <c r="AS452" s="8"/>
      <c r="AT452" s="8"/>
      <c r="AU452" s="8"/>
      <c r="AV452" s="8"/>
      <c r="AW452" s="8"/>
      <c r="AX452" s="8" t="s">
        <v>2007</v>
      </c>
      <c r="AY452" s="14">
        <v>1315</v>
      </c>
      <c r="AZ452" s="19">
        <v>46009</v>
      </c>
      <c r="BA452" s="14" t="s">
        <v>2436</v>
      </c>
      <c r="BB452" s="14">
        <v>1508</v>
      </c>
      <c r="BC452" s="19">
        <v>46032</v>
      </c>
      <c r="BD452" s="14" t="s">
        <v>2437</v>
      </c>
      <c r="BE452" s="14">
        <v>1315</v>
      </c>
      <c r="BF452" s="19">
        <v>46009</v>
      </c>
      <c r="BG452" s="14" t="s">
        <v>2436</v>
      </c>
      <c r="BH452" s="14">
        <v>1315</v>
      </c>
      <c r="BI452" s="19">
        <v>46009</v>
      </c>
      <c r="BJ452" s="14" t="s">
        <v>2436</v>
      </c>
      <c r="BK452" s="14">
        <v>1508</v>
      </c>
      <c r="BL452" s="19">
        <v>46032</v>
      </c>
      <c r="BM452" s="14" t="s">
        <v>2437</v>
      </c>
      <c r="BN452" s="27">
        <v>46189</v>
      </c>
      <c r="BO452" s="27">
        <v>46212</v>
      </c>
      <c r="BP452" s="27">
        <v>46189</v>
      </c>
      <c r="BQ452" s="27">
        <v>46189</v>
      </c>
      <c r="BR452" s="27">
        <v>46397</v>
      </c>
      <c r="BS452" s="28">
        <v>237</v>
      </c>
      <c r="BT452" s="29">
        <v>1180</v>
      </c>
      <c r="BU452" s="29">
        <v>237</v>
      </c>
      <c r="BV452" s="29">
        <v>237</v>
      </c>
      <c r="BW452" s="29">
        <v>1180</v>
      </c>
      <c r="BX452" s="8"/>
      <c r="BY452" s="8">
        <v>0</v>
      </c>
      <c r="BZ452" s="8">
        <v>0</v>
      </c>
      <c r="CA452" s="8">
        <v>0</v>
      </c>
      <c r="CB452" s="21">
        <v>46008.770833333299</v>
      </c>
      <c r="CC452" s="21">
        <v>46008.770833333299</v>
      </c>
      <c r="CD452" s="21">
        <v>46008.770833333299</v>
      </c>
      <c r="CE452" s="21">
        <v>46008.770833333299</v>
      </c>
      <c r="CF452" s="21">
        <v>46008.770833333299</v>
      </c>
      <c r="CG452" s="21">
        <v>46031.770833333299</v>
      </c>
      <c r="CH452" s="21">
        <v>45765.770833333299</v>
      </c>
      <c r="CI452" s="21">
        <v>46031.770833333299</v>
      </c>
      <c r="CJ452" s="21">
        <v>45765.770833333299</v>
      </c>
      <c r="CK452" s="22" t="s">
        <v>3169</v>
      </c>
      <c r="CL452" s="22" t="s">
        <v>2959</v>
      </c>
      <c r="CM452" s="22" t="s">
        <v>2959</v>
      </c>
      <c r="CN452" s="22" t="s">
        <v>2959</v>
      </c>
      <c r="CO452" s="22" t="s">
        <v>2959</v>
      </c>
      <c r="CP452" s="22" t="s">
        <v>2956</v>
      </c>
      <c r="CQ452" s="22" t="s">
        <v>2953</v>
      </c>
      <c r="CR452" s="22" t="s">
        <v>2956</v>
      </c>
      <c r="CS452" s="22" t="s">
        <v>2956</v>
      </c>
      <c r="CT452" s="22">
        <v>10</v>
      </c>
      <c r="CU452" s="21">
        <v>46032</v>
      </c>
      <c r="CV452" s="21">
        <v>46082</v>
      </c>
      <c r="CW452" s="21">
        <v>46082</v>
      </c>
      <c r="CX452" s="21">
        <v>46082</v>
      </c>
      <c r="CY452" s="21">
        <v>46082</v>
      </c>
      <c r="CZ452" s="21">
        <v>46182</v>
      </c>
      <c r="DA452" s="21">
        <v>46130</v>
      </c>
      <c r="DB452" s="21">
        <v>46182</v>
      </c>
      <c r="DC452" s="21">
        <v>46130</v>
      </c>
      <c r="DD452" s="8">
        <v>1</v>
      </c>
      <c r="DE452" s="8">
        <v>0</v>
      </c>
      <c r="DF452" s="8">
        <v>1</v>
      </c>
      <c r="DG452" s="8">
        <v>5</v>
      </c>
      <c r="DH452" s="8">
        <v>2</v>
      </c>
      <c r="DI452" s="8">
        <v>0</v>
      </c>
      <c r="DJ452" s="8" t="s">
        <v>2976</v>
      </c>
      <c r="DK452" s="21">
        <v>45766</v>
      </c>
      <c r="DL452" s="21">
        <v>45762.229166666664</v>
      </c>
      <c r="DM452" s="21">
        <v>46105</v>
      </c>
      <c r="DN452" s="18">
        <v>1798</v>
      </c>
      <c r="DO452" s="21">
        <v>0</v>
      </c>
      <c r="DP452" s="21">
        <v>0</v>
      </c>
      <c r="DQ452" s="21" t="s">
        <v>2955</v>
      </c>
      <c r="DR452" s="21">
        <v>46009</v>
      </c>
      <c r="DS452" s="21">
        <v>46009</v>
      </c>
      <c r="DT452" s="21">
        <v>46009</v>
      </c>
      <c r="DU452" s="21">
        <v>46009</v>
      </c>
      <c r="DV452" s="21">
        <v>46009</v>
      </c>
      <c r="DW452" s="21">
        <v>46032</v>
      </c>
      <c r="DX452" s="21">
        <v>46032</v>
      </c>
      <c r="DY452" s="21">
        <v>46032</v>
      </c>
      <c r="DZ452" s="21">
        <v>46032</v>
      </c>
      <c r="EA452" s="8">
        <v>1210</v>
      </c>
      <c r="EB452" s="8">
        <v>267</v>
      </c>
      <c r="EC452" s="8">
        <v>267</v>
      </c>
      <c r="ED452" s="8">
        <v>267</v>
      </c>
      <c r="EE452" s="8">
        <v>267</v>
      </c>
      <c r="EF452" s="8">
        <v>1210</v>
      </c>
      <c r="EG452" s="8">
        <v>1000</v>
      </c>
      <c r="EH452" s="8">
        <v>1210</v>
      </c>
      <c r="EI452" s="8">
        <v>1210</v>
      </c>
      <c r="EJ452" s="8">
        <v>4</v>
      </c>
      <c r="EK452" s="8" t="s">
        <v>2624</v>
      </c>
      <c r="EL452" s="8">
        <v>7</v>
      </c>
      <c r="EM452" s="8">
        <v>28</v>
      </c>
      <c r="EN452" s="8">
        <v>922</v>
      </c>
      <c r="EO452" s="8">
        <v>-21</v>
      </c>
      <c r="EP452" s="8">
        <v>-21</v>
      </c>
      <c r="EQ452" s="8">
        <v>-21</v>
      </c>
      <c r="ER452" s="8">
        <v>-21</v>
      </c>
      <c r="ES452" s="8">
        <v>922</v>
      </c>
      <c r="ET452" s="8">
        <v>712</v>
      </c>
      <c r="EU452" s="8">
        <v>922</v>
      </c>
      <c r="EV452" s="8">
        <v>922</v>
      </c>
    </row>
    <row r="453" spans="1:152" x14ac:dyDescent="0.15">
      <c r="A453" s="8">
        <f>ROW([2]!tbl_DPSAC[[#This Row],[Sl. No.]])-1</f>
        <v>452</v>
      </c>
      <c r="B453" s="9" t="s">
        <v>136</v>
      </c>
      <c r="C453" s="8" t="s">
        <v>2438</v>
      </c>
      <c r="D453" s="8" t="s">
        <v>2439</v>
      </c>
      <c r="E453" s="8" t="s">
        <v>2440</v>
      </c>
      <c r="F453" s="9" t="s">
        <v>140</v>
      </c>
      <c r="G453" s="23" t="s">
        <v>162</v>
      </c>
      <c r="H453" s="10" t="str">
        <f>_xlfn.XLOOKUP(C453,'[1]E&amp;DPSAC'!$K:$K,'[1]E&amp;DPSAC'!$E:$E,,0)</f>
        <v>NTPC BARKAGAON</v>
      </c>
      <c r="I453" s="23"/>
      <c r="J453" s="10">
        <v>7070010940</v>
      </c>
      <c r="K453" s="10">
        <f>IF(_xlfn.XLOOKUP(C453,'[1]E&amp;DPSAC'!$K:$K,'[1]E&amp;DPSAC'!$G:$G,"",0)=J453,"",_xlfn.XLOOKUP(C453,'[1]E&amp;DPSAC'!$K:$K,'[1]E&amp;DPSAC'!$G:$G,"",0))</f>
        <v>7070010949</v>
      </c>
      <c r="L453" s="9" t="str">
        <f t="shared" ca="1" si="27"/>
        <v>Warranty</v>
      </c>
      <c r="M453" s="13">
        <v>45770</v>
      </c>
      <c r="N453" s="12">
        <v>36</v>
      </c>
      <c r="O453" s="11">
        <f t="shared" si="26"/>
        <v>46873</v>
      </c>
      <c r="P453" s="8" t="s">
        <v>213</v>
      </c>
      <c r="Q453" s="16" t="s">
        <v>2444</v>
      </c>
      <c r="R453" s="15">
        <v>46060.452372685198</v>
      </c>
      <c r="S453" s="14">
        <v>1410</v>
      </c>
      <c r="T453" s="15">
        <v>46056</v>
      </c>
      <c r="U453" s="14">
        <v>1410</v>
      </c>
      <c r="V453" s="14">
        <v>1480</v>
      </c>
      <c r="W453" s="17">
        <v>46105.542766203696</v>
      </c>
      <c r="X453" s="14" t="s">
        <v>2922</v>
      </c>
      <c r="Y453" s="14">
        <v>680</v>
      </c>
      <c r="Z453" s="14" t="s">
        <v>2692</v>
      </c>
      <c r="AA453" s="18">
        <v>52.547627314801503</v>
      </c>
      <c r="AB453" s="18" t="s">
        <v>2692</v>
      </c>
      <c r="AC453" s="8">
        <f>tbl_DPSAC[[#This Row],[Current Month Due Count]]</f>
        <v>0</v>
      </c>
      <c r="AD453" s="8">
        <f>tbl_DPSAC[[#This Row],[Next Month Due2]]</f>
        <v>0</v>
      </c>
      <c r="AE453" s="8"/>
      <c r="AF453" s="8">
        <v>5</v>
      </c>
      <c r="AG453" s="14">
        <f t="shared" ca="1" si="28"/>
        <v>1517</v>
      </c>
      <c r="AH453" s="8" t="s">
        <v>2441</v>
      </c>
      <c r="AI453" s="8" t="s">
        <v>2442</v>
      </c>
      <c r="AJ453" s="8" t="s">
        <v>2443</v>
      </c>
      <c r="AK453" s="8"/>
      <c r="AL453" s="8"/>
      <c r="AM453" s="8"/>
      <c r="AN453" s="8"/>
      <c r="AO453" s="8"/>
      <c r="AP453" s="8"/>
      <c r="AQ453" s="8"/>
      <c r="AR453" s="8"/>
      <c r="AS453" s="8"/>
      <c r="AT453" s="8"/>
      <c r="AU453" s="8"/>
      <c r="AV453" s="8"/>
      <c r="AW453" s="8"/>
      <c r="AX453" s="8" t="s">
        <v>2007</v>
      </c>
      <c r="AY453" s="14">
        <v>1410</v>
      </c>
      <c r="AZ453" s="19">
        <v>46060</v>
      </c>
      <c r="BA453" s="14" t="s">
        <v>2444</v>
      </c>
      <c r="BB453" s="14">
        <v>1410</v>
      </c>
      <c r="BC453" s="19">
        <v>46060</v>
      </c>
      <c r="BD453" s="14" t="s">
        <v>2444</v>
      </c>
      <c r="BE453" s="14">
        <v>1410</v>
      </c>
      <c r="BF453" s="19">
        <v>46060</v>
      </c>
      <c r="BG453" s="14" t="s">
        <v>2444</v>
      </c>
      <c r="BH453" s="14">
        <v>1410</v>
      </c>
      <c r="BI453" s="19">
        <v>46060</v>
      </c>
      <c r="BJ453" s="14" t="s">
        <v>2444</v>
      </c>
      <c r="BK453" s="14">
        <v>1410</v>
      </c>
      <c r="BL453" s="19">
        <v>46060</v>
      </c>
      <c r="BM453" s="14" t="s">
        <v>2444</v>
      </c>
      <c r="BN453" s="27">
        <v>46240</v>
      </c>
      <c r="BO453" s="27">
        <v>46240</v>
      </c>
      <c r="BP453" s="27">
        <v>46240</v>
      </c>
      <c r="BQ453" s="27">
        <v>46240</v>
      </c>
      <c r="BR453" s="27">
        <v>46425</v>
      </c>
      <c r="BS453" s="28">
        <v>643</v>
      </c>
      <c r="BT453" s="29">
        <v>1393</v>
      </c>
      <c r="BU453" s="29">
        <v>643</v>
      </c>
      <c r="BV453" s="29">
        <v>643</v>
      </c>
      <c r="BW453" s="29">
        <v>1393</v>
      </c>
      <c r="BX453" s="8"/>
      <c r="BY453" s="8">
        <v>0</v>
      </c>
      <c r="BZ453" s="8">
        <v>0</v>
      </c>
      <c r="CA453" s="8">
        <v>0</v>
      </c>
      <c r="CB453" s="21">
        <v>46064.770833333299</v>
      </c>
      <c r="CC453" s="21">
        <v>46064.770833333299</v>
      </c>
      <c r="CD453" s="21">
        <v>46064.770833333299</v>
      </c>
      <c r="CE453" s="21">
        <v>46064.770833333299</v>
      </c>
      <c r="CF453" s="21">
        <v>46064.770833333299</v>
      </c>
      <c r="CG453" s="21">
        <v>45769.770833333299</v>
      </c>
      <c r="CH453" s="21">
        <v>46064.770833333299</v>
      </c>
      <c r="CI453" s="21">
        <v>45769.770833333299</v>
      </c>
      <c r="CJ453" s="21">
        <v>45769.770833333299</v>
      </c>
      <c r="CK453" s="22" t="s">
        <v>2992</v>
      </c>
      <c r="CL453" s="22" t="s">
        <v>2992</v>
      </c>
      <c r="CM453" s="22" t="s">
        <v>2992</v>
      </c>
      <c r="CN453" s="22" t="s">
        <v>2992</v>
      </c>
      <c r="CO453" s="22" t="s">
        <v>2992</v>
      </c>
      <c r="CP453" s="22" t="s">
        <v>3087</v>
      </c>
      <c r="CQ453" s="22" t="s">
        <v>2953</v>
      </c>
      <c r="CR453" s="22" t="s">
        <v>3087</v>
      </c>
      <c r="CS453" s="22" t="s">
        <v>3155</v>
      </c>
      <c r="CT453" s="22">
        <v>2</v>
      </c>
      <c r="CU453" s="21">
        <v>46244</v>
      </c>
      <c r="CV453" s="21">
        <v>46244</v>
      </c>
      <c r="CW453" s="21">
        <v>46244</v>
      </c>
      <c r="CX453" s="21">
        <v>46244</v>
      </c>
      <c r="CY453" s="21">
        <v>46244</v>
      </c>
      <c r="CZ453" s="21">
        <v>46039</v>
      </c>
      <c r="DA453" s="21">
        <v>46429</v>
      </c>
      <c r="DB453" s="21">
        <v>45949</v>
      </c>
      <c r="DC453" s="21">
        <v>46134</v>
      </c>
      <c r="DD453" s="8">
        <v>1</v>
      </c>
      <c r="DE453" s="8">
        <v>0</v>
      </c>
      <c r="DF453" s="8">
        <v>0</v>
      </c>
      <c r="DG453" s="8">
        <v>2</v>
      </c>
      <c r="DH453" s="8">
        <v>1</v>
      </c>
      <c r="DI453" s="8">
        <v>0</v>
      </c>
      <c r="DJ453" s="8" t="s">
        <v>2976</v>
      </c>
      <c r="DK453" s="21">
        <v>45770</v>
      </c>
      <c r="DL453" s="21">
        <v>45737.229166666664</v>
      </c>
      <c r="DM453" s="21">
        <v>46105</v>
      </c>
      <c r="DN453" s="18">
        <v>1480</v>
      </c>
      <c r="DO453" s="21">
        <v>0</v>
      </c>
      <c r="DP453" s="21">
        <v>0</v>
      </c>
      <c r="DQ453" s="21" t="s">
        <v>2955</v>
      </c>
      <c r="DR453" s="21">
        <v>46065</v>
      </c>
      <c r="DS453" s="21">
        <v>46060</v>
      </c>
      <c r="DT453" s="21">
        <v>46060</v>
      </c>
      <c r="DU453" s="21">
        <v>46060</v>
      </c>
      <c r="DV453" s="21">
        <v>46060</v>
      </c>
      <c r="DW453" s="21">
        <v>46060</v>
      </c>
      <c r="DX453" s="21">
        <v>46060</v>
      </c>
      <c r="DY453" s="21">
        <v>46060</v>
      </c>
      <c r="DZ453" s="21">
        <v>46060</v>
      </c>
      <c r="EA453" s="8">
        <v>570</v>
      </c>
      <c r="EB453" s="8">
        <v>570</v>
      </c>
      <c r="EC453" s="8">
        <v>570</v>
      </c>
      <c r="ED453" s="8">
        <v>570</v>
      </c>
      <c r="EE453" s="8">
        <v>570</v>
      </c>
      <c r="EF453" s="8">
        <v>1470</v>
      </c>
      <c r="EG453" s="8">
        <v>1000</v>
      </c>
      <c r="EH453" s="8">
        <v>1470</v>
      </c>
      <c r="EI453" s="8">
        <v>1470</v>
      </c>
      <c r="EJ453" s="8">
        <v>3</v>
      </c>
      <c r="EK453" s="8" t="s">
        <v>2624</v>
      </c>
      <c r="EL453" s="8">
        <v>7</v>
      </c>
      <c r="EM453" s="8">
        <v>35</v>
      </c>
      <c r="EN453" s="8">
        <v>282</v>
      </c>
      <c r="EO453" s="8">
        <v>282</v>
      </c>
      <c r="EP453" s="8">
        <v>282</v>
      </c>
      <c r="EQ453" s="8">
        <v>282</v>
      </c>
      <c r="ER453" s="8">
        <v>282</v>
      </c>
      <c r="ES453" s="8">
        <v>1182</v>
      </c>
      <c r="ET453" s="8">
        <v>712</v>
      </c>
      <c r="EU453" s="8">
        <v>1182</v>
      </c>
      <c r="EV453" s="8">
        <v>1182</v>
      </c>
    </row>
    <row r="454" spans="1:152" x14ac:dyDescent="0.15">
      <c r="A454" s="8">
        <f>ROW([2]!tbl_DPSAC[[#This Row],[Sl. No.]])-1</f>
        <v>453</v>
      </c>
      <c r="B454" s="9" t="s">
        <v>136</v>
      </c>
      <c r="C454" s="8" t="s">
        <v>2445</v>
      </c>
      <c r="D454" s="8" t="s">
        <v>1491</v>
      </c>
      <c r="E454" s="8" t="s">
        <v>1492</v>
      </c>
      <c r="F454" s="9" t="s">
        <v>161</v>
      </c>
      <c r="G454" s="23" t="s">
        <v>2194</v>
      </c>
      <c r="H454" s="10" t="str">
        <f>_xlfn.XLOOKUP(C454,'[1]E&amp;DPSAC'!$K:$K,'[1]E&amp;DPSAC'!$E:$E,,0)</f>
        <v>JARANDIH</v>
      </c>
      <c r="I454" s="23"/>
      <c r="J454" s="10">
        <v>6204702966</v>
      </c>
      <c r="K454" s="10">
        <f>IF(_xlfn.XLOOKUP(C454,'[1]E&amp;DPSAC'!$K:$K,'[1]E&amp;DPSAC'!$G:$G,"",0)=J454,"",_xlfn.XLOOKUP(C454,'[1]E&amp;DPSAC'!$K:$K,'[1]E&amp;DPSAC'!$G:$G,"",0))</f>
        <v>8946096277</v>
      </c>
      <c r="L454" s="9" t="str">
        <f t="shared" ca="1" si="27"/>
        <v>Warranty</v>
      </c>
      <c r="M454" s="13">
        <v>45782</v>
      </c>
      <c r="N454" s="12">
        <v>24</v>
      </c>
      <c r="O454" s="11">
        <f t="shared" si="26"/>
        <v>46538</v>
      </c>
      <c r="P454" s="8" t="s">
        <v>213</v>
      </c>
      <c r="Q454" s="16" t="s">
        <v>143</v>
      </c>
      <c r="R454" s="15" t="s">
        <v>143</v>
      </c>
      <c r="S454" s="14" t="s">
        <v>143</v>
      </c>
      <c r="T454" s="15">
        <v>45839</v>
      </c>
      <c r="U454" s="14">
        <v>35</v>
      </c>
      <c r="V454" s="14">
        <v>490</v>
      </c>
      <c r="W454" s="17">
        <v>46105.548263888901</v>
      </c>
      <c r="X454" s="14" t="s">
        <v>143</v>
      </c>
      <c r="Y454" s="14">
        <v>0</v>
      </c>
      <c r="Z454" s="14" t="s">
        <v>2692</v>
      </c>
      <c r="AA454" s="18">
        <v>331</v>
      </c>
      <c r="AB454" s="18" t="s">
        <v>2697</v>
      </c>
      <c r="AC454" s="8">
        <f>tbl_DPSAC[[#This Row],[Current Month Due Count]]</f>
        <v>0</v>
      </c>
      <c r="AD454" s="8">
        <f>tbl_DPSAC[[#This Row],[Next Month Due2]]</f>
        <v>1</v>
      </c>
      <c r="AE454" s="8"/>
      <c r="AF454" s="8">
        <v>1</v>
      </c>
      <c r="AG454" s="14">
        <f t="shared" ca="1" si="28"/>
        <v>497</v>
      </c>
      <c r="AH454" s="8"/>
      <c r="AI454" s="8"/>
      <c r="AJ454" s="8"/>
      <c r="AK454" s="8"/>
      <c r="AL454" s="8"/>
      <c r="AM454" s="8"/>
      <c r="AN454" s="8"/>
      <c r="AO454" s="8"/>
      <c r="AP454" s="8"/>
      <c r="AQ454" s="8"/>
      <c r="AR454" s="8"/>
      <c r="AS454" s="8"/>
      <c r="AT454" s="8"/>
      <c r="AU454" s="8"/>
      <c r="AV454" s="8"/>
      <c r="AW454" s="8"/>
      <c r="AX454" s="8" t="s">
        <v>2007</v>
      </c>
      <c r="AY454" s="14">
        <v>1</v>
      </c>
      <c r="AZ454" s="19">
        <v>45782</v>
      </c>
      <c r="BA454" s="14" t="s">
        <v>2446</v>
      </c>
      <c r="BB454" s="14">
        <v>1</v>
      </c>
      <c r="BC454" s="19">
        <v>45782</v>
      </c>
      <c r="BD454" s="14" t="s">
        <v>2446</v>
      </c>
      <c r="BE454" s="14">
        <v>1</v>
      </c>
      <c r="BF454" s="19">
        <v>45782</v>
      </c>
      <c r="BG454" s="14" t="s">
        <v>2446</v>
      </c>
      <c r="BH454" s="14">
        <v>1</v>
      </c>
      <c r="BI454" s="19">
        <v>45782</v>
      </c>
      <c r="BJ454" s="14" t="s">
        <v>2446</v>
      </c>
      <c r="BK454" s="14">
        <v>1</v>
      </c>
      <c r="BL454" s="19">
        <v>45782</v>
      </c>
      <c r="BM454" s="14" t="s">
        <v>2446</v>
      </c>
      <c r="BN454" s="27">
        <v>45962</v>
      </c>
      <c r="BO454" s="27">
        <v>45962</v>
      </c>
      <c r="BP454" s="27">
        <v>45962</v>
      </c>
      <c r="BQ454" s="27">
        <v>45962</v>
      </c>
      <c r="BR454" s="27">
        <v>46147</v>
      </c>
      <c r="BS454" s="28">
        <v>254</v>
      </c>
      <c r="BT454" s="29">
        <v>1004</v>
      </c>
      <c r="BU454" s="29">
        <v>254</v>
      </c>
      <c r="BV454" s="29">
        <v>254</v>
      </c>
      <c r="BW454" s="29">
        <v>1004</v>
      </c>
      <c r="BX454" s="8"/>
      <c r="BY454" s="8">
        <v>4</v>
      </c>
      <c r="BZ454" s="8">
        <v>0</v>
      </c>
      <c r="CA454" s="8">
        <v>1</v>
      </c>
      <c r="CB454" s="21">
        <v>45781.770833333299</v>
      </c>
      <c r="CC454" s="21">
        <v>45781.770833333299</v>
      </c>
      <c r="CD454" s="21">
        <v>45781.770833333299</v>
      </c>
      <c r="CE454" s="21">
        <v>45781.770833333299</v>
      </c>
      <c r="CF454" s="21">
        <v>45781.770833333299</v>
      </c>
      <c r="CG454" s="21">
        <v>45781.770833333299</v>
      </c>
      <c r="CH454" s="21">
        <v>45781.770833333299</v>
      </c>
      <c r="CI454" s="21">
        <v>45781.770833333299</v>
      </c>
      <c r="CJ454" s="21">
        <v>45781.770833333299</v>
      </c>
      <c r="CK454" s="22" t="s">
        <v>3208</v>
      </c>
      <c r="CL454" s="22" t="s">
        <v>3208</v>
      </c>
      <c r="CM454" s="22" t="s">
        <v>3208</v>
      </c>
      <c r="CN454" s="22" t="s">
        <v>3208</v>
      </c>
      <c r="CO454" s="22" t="s">
        <v>3208</v>
      </c>
      <c r="CP454" s="22" t="s">
        <v>3190</v>
      </c>
      <c r="CQ454" s="22" t="s">
        <v>2953</v>
      </c>
      <c r="CR454" s="22" t="s">
        <v>3190</v>
      </c>
      <c r="CS454" s="22" t="s">
        <v>3209</v>
      </c>
      <c r="CT454" s="22">
        <v>1</v>
      </c>
      <c r="CU454" s="21">
        <v>45961</v>
      </c>
      <c r="CV454" s="21">
        <v>45961</v>
      </c>
      <c r="CW454" s="21">
        <v>45961</v>
      </c>
      <c r="CX454" s="21">
        <v>45961</v>
      </c>
      <c r="CY454" s="21">
        <v>45961</v>
      </c>
      <c r="CZ454" s="21">
        <v>46051</v>
      </c>
      <c r="DA454" s="21">
        <v>46146</v>
      </c>
      <c r="DB454" s="21">
        <v>45961</v>
      </c>
      <c r="DC454" s="21">
        <v>46146</v>
      </c>
      <c r="DD454" s="8">
        <v>1</v>
      </c>
      <c r="DE454" s="8">
        <v>0</v>
      </c>
      <c r="DF454" s="8">
        <v>0</v>
      </c>
      <c r="DG454" s="8">
        <v>7</v>
      </c>
      <c r="DH454" s="8">
        <v>0</v>
      </c>
      <c r="DI454" s="8">
        <v>2</v>
      </c>
      <c r="DJ454" s="8" t="s">
        <v>2976</v>
      </c>
      <c r="DK454" s="21">
        <v>45782</v>
      </c>
      <c r="DL454" s="21">
        <v>45720.229166666664</v>
      </c>
      <c r="DM454" s="21">
        <v>46105</v>
      </c>
      <c r="DN454" s="18">
        <v>490</v>
      </c>
      <c r="DO454" s="21">
        <v>0</v>
      </c>
      <c r="DP454" s="21">
        <v>0</v>
      </c>
      <c r="DQ454" s="21" t="s">
        <v>3049</v>
      </c>
      <c r="DR454" s="21">
        <v>45782</v>
      </c>
      <c r="DS454" s="21">
        <v>45782</v>
      </c>
      <c r="DT454" s="21">
        <v>45782</v>
      </c>
      <c r="DU454" s="21">
        <v>45782</v>
      </c>
      <c r="DV454" s="21">
        <v>45782</v>
      </c>
      <c r="DW454" s="21">
        <v>45782</v>
      </c>
      <c r="DX454" s="21">
        <v>45782</v>
      </c>
      <c r="DY454" s="21">
        <v>45782</v>
      </c>
      <c r="DZ454" s="21">
        <v>45782</v>
      </c>
      <c r="EA454" s="8">
        <v>10</v>
      </c>
      <c r="EB454" s="8">
        <v>10</v>
      </c>
      <c r="EC454" s="8">
        <v>10</v>
      </c>
      <c r="ED454" s="8">
        <v>10</v>
      </c>
      <c r="EE454" s="8">
        <v>10</v>
      </c>
      <c r="EF454" s="8">
        <v>1010</v>
      </c>
      <c r="EG454" s="8">
        <v>1000</v>
      </c>
      <c r="EH454" s="8">
        <v>1010</v>
      </c>
      <c r="EI454" s="8">
        <v>1010</v>
      </c>
      <c r="EJ454" s="8">
        <v>1</v>
      </c>
      <c r="EK454" s="8" t="s">
        <v>2624</v>
      </c>
      <c r="EL454" s="8">
        <v>7</v>
      </c>
      <c r="EM454" s="8">
        <v>7</v>
      </c>
      <c r="EN454" s="8">
        <v>-278</v>
      </c>
      <c r="EO454" s="8">
        <v>-278</v>
      </c>
      <c r="EP454" s="8">
        <v>-278</v>
      </c>
      <c r="EQ454" s="8">
        <v>-278</v>
      </c>
      <c r="ER454" s="8">
        <v>-278</v>
      </c>
      <c r="ES454" s="8">
        <v>722</v>
      </c>
      <c r="ET454" s="8">
        <v>712</v>
      </c>
      <c r="EU454" s="8">
        <v>722</v>
      </c>
      <c r="EV454" s="8">
        <v>722</v>
      </c>
    </row>
    <row r="455" spans="1:152" x14ac:dyDescent="0.15">
      <c r="A455" s="8">
        <f>ROW([2]!tbl_DPSAC[[#This Row],[Sl. No.]])-1</f>
        <v>454</v>
      </c>
      <c r="B455" s="9" t="s">
        <v>136</v>
      </c>
      <c r="C455" s="8" t="s">
        <v>2447</v>
      </c>
      <c r="D455" s="8" t="s">
        <v>2439</v>
      </c>
      <c r="E455" s="8" t="s">
        <v>2440</v>
      </c>
      <c r="F455" s="9" t="s">
        <v>161</v>
      </c>
      <c r="G455" s="23" t="s">
        <v>1690</v>
      </c>
      <c r="H455" s="10" t="str">
        <f>_xlfn.XLOOKUP(C455,'[1]E&amp;DPSAC'!$K:$K,'[1]E&amp;DPSAC'!$E:$E,,0)</f>
        <v>GAIGHATA, WB</v>
      </c>
      <c r="I455" s="23"/>
      <c r="J455" s="10">
        <v>9263996999</v>
      </c>
      <c r="K455" s="10">
        <f>IF(_xlfn.XLOOKUP(C455,'[1]E&amp;DPSAC'!$K:$K,'[1]E&amp;DPSAC'!$G:$G,"",0)=J455,"",_xlfn.XLOOKUP(C455,'[1]E&amp;DPSAC'!$K:$K,'[1]E&amp;DPSAC'!$G:$G,"",0))</f>
        <v>8617628112</v>
      </c>
      <c r="L455" s="9" t="str">
        <f t="shared" ca="1" si="27"/>
        <v>Warranty</v>
      </c>
      <c r="M455" s="13">
        <v>45787</v>
      </c>
      <c r="N455" s="12">
        <v>24</v>
      </c>
      <c r="O455" s="11">
        <f t="shared" si="26"/>
        <v>46538</v>
      </c>
      <c r="P455" s="8" t="s">
        <v>213</v>
      </c>
      <c r="Q455" s="16" t="s">
        <v>2680</v>
      </c>
      <c r="R455" s="15">
        <v>45936.465277777781</v>
      </c>
      <c r="S455" s="14">
        <v>1106</v>
      </c>
      <c r="T455" s="15">
        <v>46070</v>
      </c>
      <c r="U455" s="14">
        <v>2013</v>
      </c>
      <c r="V455" s="14">
        <v>2209</v>
      </c>
      <c r="W455" s="17">
        <v>46105.553310185198</v>
      </c>
      <c r="X455" s="14" t="s">
        <v>2923</v>
      </c>
      <c r="Y455" s="14">
        <v>-353</v>
      </c>
      <c r="Z455" s="14" t="s">
        <v>2697</v>
      </c>
      <c r="AA455" s="18">
        <v>176.53472222221899</v>
      </c>
      <c r="AB455" s="18" t="s">
        <v>2692</v>
      </c>
      <c r="AC455" s="8">
        <f>tbl_DPSAC[[#This Row],[Current Month Due Count]]</f>
        <v>3</v>
      </c>
      <c r="AD455" s="8">
        <f>tbl_DPSAC[[#This Row],[Next Month Due2]]</f>
        <v>1</v>
      </c>
      <c r="AE455" s="8"/>
      <c r="AF455" s="8">
        <v>5</v>
      </c>
      <c r="AG455" s="14">
        <f t="shared" ca="1" si="28"/>
        <v>2246</v>
      </c>
      <c r="AH455" s="8" t="s">
        <v>2448</v>
      </c>
      <c r="AI455" s="8" t="s">
        <v>2449</v>
      </c>
      <c r="AJ455" s="8" t="s">
        <v>2450</v>
      </c>
      <c r="AK455" s="8"/>
      <c r="AL455" s="8"/>
      <c r="AM455" s="8"/>
      <c r="AN455" s="8"/>
      <c r="AO455" s="8"/>
      <c r="AP455" s="8"/>
      <c r="AQ455" s="8"/>
      <c r="AR455" s="8"/>
      <c r="AS455" s="8"/>
      <c r="AT455" s="8"/>
      <c r="AU455" s="8"/>
      <c r="AV455" s="8"/>
      <c r="AW455" s="8"/>
      <c r="AX455" s="8" t="s">
        <v>2961</v>
      </c>
      <c r="AY455" s="14">
        <v>1106</v>
      </c>
      <c r="AZ455" s="19">
        <v>45936</v>
      </c>
      <c r="BA455" s="14" t="s">
        <v>2451</v>
      </c>
      <c r="BB455" s="14">
        <v>1</v>
      </c>
      <c r="BC455" s="19">
        <v>45787</v>
      </c>
      <c r="BD455" s="14" t="s">
        <v>2452</v>
      </c>
      <c r="BE455" s="14">
        <v>1106</v>
      </c>
      <c r="BF455" s="19">
        <v>45936</v>
      </c>
      <c r="BG455" s="14" t="s">
        <v>2451</v>
      </c>
      <c r="BH455" s="14">
        <v>1106</v>
      </c>
      <c r="BI455" s="19">
        <v>45936</v>
      </c>
      <c r="BJ455" s="14" t="s">
        <v>2451</v>
      </c>
      <c r="BK455" s="14">
        <v>1</v>
      </c>
      <c r="BL455" s="19">
        <v>45787</v>
      </c>
      <c r="BM455" s="14" t="s">
        <v>2452</v>
      </c>
      <c r="BN455" s="27">
        <v>46116</v>
      </c>
      <c r="BO455" s="27">
        <v>45967</v>
      </c>
      <c r="BP455" s="27">
        <v>46116</v>
      </c>
      <c r="BQ455" s="27">
        <v>46116</v>
      </c>
      <c r="BR455" s="27">
        <v>46152</v>
      </c>
      <c r="BS455" s="28">
        <v>-390</v>
      </c>
      <c r="BT455" s="29">
        <v>-745</v>
      </c>
      <c r="BU455" s="29">
        <v>-390</v>
      </c>
      <c r="BV455" s="29">
        <v>-390</v>
      </c>
      <c r="BW455" s="29">
        <v>-745</v>
      </c>
      <c r="BX455" s="8"/>
      <c r="BY455" s="8">
        <v>1</v>
      </c>
      <c r="BZ455" s="8">
        <v>3</v>
      </c>
      <c r="CA455" s="8">
        <v>1</v>
      </c>
      <c r="CB455" s="21">
        <v>46034.770833333299</v>
      </c>
      <c r="CC455" s="21">
        <v>46034.770833333299</v>
      </c>
      <c r="CD455" s="21">
        <v>46034.770833333299</v>
      </c>
      <c r="CE455" s="21">
        <v>46034.770833333299</v>
      </c>
      <c r="CF455" s="21">
        <v>46034.770833333299</v>
      </c>
      <c r="CG455" s="21">
        <v>46034.770833333299</v>
      </c>
      <c r="CH455" s="21">
        <v>46034.770833333299</v>
      </c>
      <c r="CI455" s="21">
        <v>46034.770833333299</v>
      </c>
      <c r="CJ455" s="21">
        <v>46034.770833333299</v>
      </c>
      <c r="CK455" s="22" t="s">
        <v>3069</v>
      </c>
      <c r="CL455" s="22" t="s">
        <v>3069</v>
      </c>
      <c r="CM455" s="22" t="s">
        <v>3069</v>
      </c>
      <c r="CN455" s="22" t="s">
        <v>3069</v>
      </c>
      <c r="CO455" s="22" t="s">
        <v>3069</v>
      </c>
      <c r="CP455" s="22" t="s">
        <v>2991</v>
      </c>
      <c r="CQ455" s="22" t="s">
        <v>2953</v>
      </c>
      <c r="CR455" s="22" t="s">
        <v>2991</v>
      </c>
      <c r="CS455" s="22" t="s">
        <v>2991</v>
      </c>
      <c r="CT455" s="22">
        <v>4</v>
      </c>
      <c r="CU455" s="21">
        <v>46136</v>
      </c>
      <c r="CV455" s="21">
        <v>46136</v>
      </c>
      <c r="CW455" s="21">
        <v>46136</v>
      </c>
      <c r="CX455" s="21">
        <v>46136</v>
      </c>
      <c r="CY455" s="21">
        <v>46136</v>
      </c>
      <c r="CZ455" s="21">
        <v>46304</v>
      </c>
      <c r="DA455" s="21">
        <v>46324</v>
      </c>
      <c r="DB455" s="21">
        <v>46214</v>
      </c>
      <c r="DC455" s="21">
        <v>46361</v>
      </c>
      <c r="DD455" s="8">
        <v>0</v>
      </c>
      <c r="DE455" s="8">
        <v>0</v>
      </c>
      <c r="DF455" s="8">
        <v>0</v>
      </c>
      <c r="DG455" s="8">
        <v>0</v>
      </c>
      <c r="DH455" s="8">
        <v>5</v>
      </c>
      <c r="DI455" s="8">
        <v>0</v>
      </c>
      <c r="DJ455" s="8" t="s">
        <v>2976</v>
      </c>
      <c r="DK455" s="21">
        <v>45787</v>
      </c>
      <c r="DL455" s="21">
        <v>45667.229166666664</v>
      </c>
      <c r="DM455" s="21">
        <v>46105</v>
      </c>
      <c r="DN455" s="18">
        <v>2209</v>
      </c>
      <c r="DO455" s="21">
        <v>0</v>
      </c>
      <c r="DP455" s="21">
        <v>0</v>
      </c>
      <c r="DQ455" s="21" t="s">
        <v>2955</v>
      </c>
      <c r="DR455" s="21">
        <v>46035</v>
      </c>
      <c r="DS455" s="21">
        <v>45936</v>
      </c>
      <c r="DT455" s="21">
        <v>45936</v>
      </c>
      <c r="DU455" s="21">
        <v>45936</v>
      </c>
      <c r="DV455" s="21">
        <v>45936</v>
      </c>
      <c r="DW455" s="21">
        <v>45936</v>
      </c>
      <c r="DX455" s="21">
        <v>45936</v>
      </c>
      <c r="DY455" s="21">
        <v>45936</v>
      </c>
      <c r="DZ455" s="21">
        <v>45936</v>
      </c>
      <c r="EA455" s="8">
        <v>300</v>
      </c>
      <c r="EB455" s="8">
        <v>300</v>
      </c>
      <c r="EC455" s="8">
        <v>300</v>
      </c>
      <c r="ED455" s="8">
        <v>300</v>
      </c>
      <c r="EE455" s="8">
        <v>300</v>
      </c>
      <c r="EF455" s="8">
        <v>1106</v>
      </c>
      <c r="EG455" s="8">
        <v>1000</v>
      </c>
      <c r="EH455" s="8">
        <v>1100</v>
      </c>
      <c r="EI455" s="8">
        <v>1100</v>
      </c>
      <c r="EJ455" s="8">
        <v>2</v>
      </c>
      <c r="EK455" s="8" t="s">
        <v>2624</v>
      </c>
      <c r="EL455" s="8">
        <v>7</v>
      </c>
      <c r="EM455" s="8">
        <v>35</v>
      </c>
      <c r="EN455" s="8">
        <v>12</v>
      </c>
      <c r="EO455" s="8">
        <v>12</v>
      </c>
      <c r="EP455" s="8">
        <v>12</v>
      </c>
      <c r="EQ455" s="8">
        <v>12</v>
      </c>
      <c r="ER455" s="8">
        <v>12</v>
      </c>
      <c r="ES455" s="8">
        <v>818</v>
      </c>
      <c r="ET455" s="8">
        <v>712</v>
      </c>
      <c r="EU455" s="8">
        <v>812</v>
      </c>
      <c r="EV455" s="8">
        <v>812</v>
      </c>
    </row>
    <row r="456" spans="1:152" x14ac:dyDescent="0.15">
      <c r="A456" s="8">
        <f>ROW([2]!tbl_DPSAC[[#This Row],[Sl. No.]])-1</f>
        <v>455</v>
      </c>
      <c r="B456" s="9" t="s">
        <v>136</v>
      </c>
      <c r="C456" s="8" t="s">
        <v>2453</v>
      </c>
      <c r="D456" s="8" t="s">
        <v>333</v>
      </c>
      <c r="E456" s="8" t="s">
        <v>333</v>
      </c>
      <c r="F456" s="9" t="s">
        <v>161</v>
      </c>
      <c r="G456" s="23" t="s">
        <v>1690</v>
      </c>
      <c r="H456" s="10" t="str">
        <f>_xlfn.XLOOKUP(C456,'[1]E&amp;DPSAC'!$K:$K,'[1]E&amp;DPSAC'!$E:$E,,0)</f>
        <v>DHANBAD</v>
      </c>
      <c r="I456" s="23"/>
      <c r="J456" s="10">
        <v>8617628112</v>
      </c>
      <c r="K456" s="10" t="str">
        <f>IF(_xlfn.XLOOKUP(C456,'[1]E&amp;DPSAC'!$K:$K,'[1]E&amp;DPSAC'!$G:$G,"",0)=J456,"",_xlfn.XLOOKUP(C456,'[1]E&amp;DPSAC'!$K:$K,'[1]E&amp;DPSAC'!$G:$G,"",0))</f>
        <v/>
      </c>
      <c r="L456" s="9" t="str">
        <f t="shared" ca="1" si="27"/>
        <v>Non - Warranty</v>
      </c>
      <c r="M456" s="13">
        <v>45289</v>
      </c>
      <c r="N456" s="12">
        <v>24</v>
      </c>
      <c r="O456" s="11">
        <f t="shared" si="26"/>
        <v>46022</v>
      </c>
      <c r="P456" s="8" t="s">
        <v>157</v>
      </c>
      <c r="Q456" s="16" t="s">
        <v>2681</v>
      </c>
      <c r="R456" s="15">
        <v>45892.581875000003</v>
      </c>
      <c r="S456" s="14">
        <v>3783</v>
      </c>
      <c r="T456" s="15">
        <v>45899</v>
      </c>
      <c r="U456" s="14">
        <v>3784</v>
      </c>
      <c r="V456" s="14">
        <v>3785</v>
      </c>
      <c r="W456" s="17">
        <v>45898.455208333296</v>
      </c>
      <c r="X456" s="14" t="s">
        <v>2924</v>
      </c>
      <c r="Y456" s="14">
        <v>748</v>
      </c>
      <c r="Z456" s="14" t="s">
        <v>2692</v>
      </c>
      <c r="AA456" s="18">
        <v>220.41812499999651</v>
      </c>
      <c r="AB456" s="18" t="s">
        <v>2697</v>
      </c>
      <c r="AC456" s="8">
        <f>tbl_DPSAC[[#This Row],[Current Month Due Count]]</f>
        <v>0</v>
      </c>
      <c r="AD456" s="8">
        <f>tbl_DPSAC[[#This Row],[Next Month Due2]]</f>
        <v>1</v>
      </c>
      <c r="AE456" s="8"/>
      <c r="AF456" s="8">
        <v>8</v>
      </c>
      <c r="AG456" s="14">
        <f t="shared" ca="1" si="28"/>
        <v>5501</v>
      </c>
      <c r="AH456" s="8" t="s">
        <v>2454</v>
      </c>
      <c r="AI456" s="8" t="s">
        <v>2455</v>
      </c>
      <c r="AJ456" s="8" t="s">
        <v>2456</v>
      </c>
      <c r="AK456" s="8" t="s">
        <v>2457</v>
      </c>
      <c r="AL456" s="8" t="s">
        <v>2458</v>
      </c>
      <c r="AM456" s="8" t="s">
        <v>2459</v>
      </c>
      <c r="AN456" s="8" t="s">
        <v>2460</v>
      </c>
      <c r="AO456" s="8"/>
      <c r="AP456" s="8"/>
      <c r="AQ456" s="8"/>
      <c r="AR456" s="8"/>
      <c r="AS456" s="8"/>
      <c r="AT456" s="8"/>
      <c r="AU456" s="8"/>
      <c r="AV456" s="8"/>
      <c r="AW456" s="8"/>
      <c r="AX456" s="8" t="s">
        <v>2961</v>
      </c>
      <c r="AY456" s="14">
        <v>3243</v>
      </c>
      <c r="AZ456" s="19">
        <v>45786</v>
      </c>
      <c r="BA456" s="14" t="s">
        <v>2461</v>
      </c>
      <c r="BB456" s="14">
        <v>3243</v>
      </c>
      <c r="BC456" s="19">
        <v>45786</v>
      </c>
      <c r="BD456" s="14" t="s">
        <v>2461</v>
      </c>
      <c r="BE456" s="14">
        <v>3243</v>
      </c>
      <c r="BF456" s="19">
        <v>45786</v>
      </c>
      <c r="BG456" s="14" t="s">
        <v>2461</v>
      </c>
      <c r="BH456" s="14">
        <v>3243</v>
      </c>
      <c r="BI456" s="19">
        <v>45786</v>
      </c>
      <c r="BJ456" s="14" t="s">
        <v>2461</v>
      </c>
      <c r="BK456" s="14">
        <v>3243</v>
      </c>
      <c r="BL456" s="19">
        <v>45786</v>
      </c>
      <c r="BM456" s="14" t="s">
        <v>2461</v>
      </c>
      <c r="BN456" s="27">
        <v>45966</v>
      </c>
      <c r="BO456" s="27">
        <v>45966</v>
      </c>
      <c r="BP456" s="27">
        <v>45966</v>
      </c>
      <c r="BQ456" s="27">
        <v>45966</v>
      </c>
      <c r="BR456" s="27">
        <v>46151</v>
      </c>
      <c r="BS456" s="28">
        <v>-1508</v>
      </c>
      <c r="BT456" s="29">
        <v>-758</v>
      </c>
      <c r="BU456" s="29">
        <v>-1508</v>
      </c>
      <c r="BV456" s="29">
        <v>-1508</v>
      </c>
      <c r="BW456" s="29">
        <v>-758</v>
      </c>
      <c r="BX456" s="30" t="s">
        <v>1547</v>
      </c>
      <c r="BY456" s="8">
        <v>4</v>
      </c>
      <c r="BZ456" s="8">
        <v>0</v>
      </c>
      <c r="CA456" s="8">
        <v>1</v>
      </c>
      <c r="CB456" s="21" t="s">
        <v>143</v>
      </c>
      <c r="CC456" s="21" t="s">
        <v>143</v>
      </c>
      <c r="CD456" s="21" t="s">
        <v>143</v>
      </c>
      <c r="CE456" s="21" t="s">
        <v>143</v>
      </c>
      <c r="CF456" s="21" t="s">
        <v>143</v>
      </c>
      <c r="CG456" s="21" t="s">
        <v>143</v>
      </c>
      <c r="CH456" s="21" t="s">
        <v>143</v>
      </c>
      <c r="CI456" s="21" t="s">
        <v>143</v>
      </c>
      <c r="CJ456" s="21" t="s">
        <v>143</v>
      </c>
      <c r="CK456" s="22" t="s">
        <v>143</v>
      </c>
      <c r="CL456" s="22" t="s">
        <v>143</v>
      </c>
      <c r="CM456" s="22" t="s">
        <v>143</v>
      </c>
      <c r="CN456" s="22" t="s">
        <v>143</v>
      </c>
      <c r="CO456" s="22" t="s">
        <v>143</v>
      </c>
      <c r="CP456" s="22" t="s">
        <v>143</v>
      </c>
      <c r="CQ456" s="22" t="s">
        <v>143</v>
      </c>
      <c r="CR456" s="22" t="s">
        <v>143</v>
      </c>
      <c r="CS456" s="22" t="s">
        <v>143</v>
      </c>
      <c r="CT456" s="22" t="s">
        <v>143</v>
      </c>
      <c r="CU456" s="21" t="s">
        <v>143</v>
      </c>
      <c r="CV456" s="21" t="s">
        <v>143</v>
      </c>
      <c r="CW456" s="21" t="s">
        <v>143</v>
      </c>
      <c r="CX456" s="21" t="s">
        <v>143</v>
      </c>
      <c r="CY456" s="21" t="s">
        <v>143</v>
      </c>
      <c r="CZ456" s="21" t="s">
        <v>143</v>
      </c>
      <c r="DA456" s="21" t="s">
        <v>143</v>
      </c>
      <c r="DB456" s="21" t="s">
        <v>143</v>
      </c>
      <c r="DC456" s="21" t="s">
        <v>143</v>
      </c>
      <c r="DD456" s="8" t="s">
        <v>143</v>
      </c>
      <c r="DE456" s="8" t="s">
        <v>143</v>
      </c>
      <c r="DF456" s="8" t="s">
        <v>143</v>
      </c>
      <c r="DG456" s="8">
        <v>0</v>
      </c>
      <c r="DH456" s="8">
        <v>0</v>
      </c>
      <c r="DI456" s="8">
        <v>0</v>
      </c>
      <c r="DJ456" s="8" t="s">
        <v>143</v>
      </c>
      <c r="DK456" s="21" t="s">
        <v>143</v>
      </c>
      <c r="DL456" s="21" t="s">
        <v>143</v>
      </c>
      <c r="DM456" s="21" t="s">
        <v>143</v>
      </c>
      <c r="DN456" s="18" t="s">
        <v>143</v>
      </c>
      <c r="DO456" s="21" t="s">
        <v>143</v>
      </c>
      <c r="DP456" s="21" t="s">
        <v>143</v>
      </c>
      <c r="DQ456" s="21" t="s">
        <v>143</v>
      </c>
      <c r="DR456" s="21" t="s">
        <v>143</v>
      </c>
      <c r="DS456" s="21" t="s">
        <v>143</v>
      </c>
      <c r="DT456" s="21" t="s">
        <v>143</v>
      </c>
      <c r="DU456" s="21" t="s">
        <v>143</v>
      </c>
      <c r="DV456" s="21" t="s">
        <v>143</v>
      </c>
      <c r="DW456" s="21" t="s">
        <v>143</v>
      </c>
      <c r="DX456" s="21" t="s">
        <v>143</v>
      </c>
      <c r="DY456" s="21" t="s">
        <v>143</v>
      </c>
      <c r="DZ456" s="21" t="s">
        <v>143</v>
      </c>
      <c r="EA456" s="8" t="s">
        <v>143</v>
      </c>
      <c r="EB456" s="8" t="s">
        <v>143</v>
      </c>
      <c r="EC456" s="8" t="s">
        <v>143</v>
      </c>
      <c r="ED456" s="8" t="s">
        <v>143</v>
      </c>
      <c r="EE456" s="8" t="s">
        <v>143</v>
      </c>
      <c r="EF456" s="8" t="s">
        <v>143</v>
      </c>
      <c r="EG456" s="8" t="s">
        <v>143</v>
      </c>
      <c r="EH456" s="8" t="s">
        <v>143</v>
      </c>
      <c r="EI456" s="8" t="s">
        <v>143</v>
      </c>
      <c r="EJ456" s="8" t="s">
        <v>143</v>
      </c>
      <c r="EK456" s="8" t="s">
        <v>157</v>
      </c>
      <c r="EL456" s="8">
        <v>215</v>
      </c>
      <c r="EM456" s="8">
        <v>1720</v>
      </c>
      <c r="EN456" s="8" t="s">
        <v>143</v>
      </c>
      <c r="EO456" s="8" t="s">
        <v>143</v>
      </c>
      <c r="EP456" s="8" t="s">
        <v>143</v>
      </c>
      <c r="EQ456" s="8" t="s">
        <v>143</v>
      </c>
      <c r="ER456" s="8" t="s">
        <v>143</v>
      </c>
      <c r="ES456" s="8" t="s">
        <v>143</v>
      </c>
      <c r="ET456" s="8" t="s">
        <v>143</v>
      </c>
      <c r="EU456" s="8" t="s">
        <v>143</v>
      </c>
      <c r="EV456" s="8" t="s">
        <v>143</v>
      </c>
    </row>
    <row r="457" spans="1:152" ht="31.5" x14ac:dyDescent="0.15">
      <c r="A457" s="8">
        <f>ROW([2]!tbl_DPSAC[[#This Row],[Sl. No.]])-1</f>
        <v>456</v>
      </c>
      <c r="B457" s="9" t="s">
        <v>136</v>
      </c>
      <c r="C457" s="8" t="s">
        <v>2462</v>
      </c>
      <c r="D457" s="8" t="s">
        <v>1491</v>
      </c>
      <c r="E457" s="8" t="s">
        <v>1492</v>
      </c>
      <c r="F457" s="9" t="s">
        <v>161</v>
      </c>
      <c r="G457" s="23" t="s">
        <v>1690</v>
      </c>
      <c r="H457" s="10" t="str">
        <f>_xlfn.XLOOKUP(C457,'[1]E&amp;DPSAC'!$K:$K,'[1]E&amp;DPSAC'!$E:$E,,0)</f>
        <v>RANIGANJ, WB</v>
      </c>
      <c r="I457" s="24" t="s">
        <v>253</v>
      </c>
      <c r="J457" s="10">
        <v>8789685581</v>
      </c>
      <c r="K457" s="10">
        <f>IF(_xlfn.XLOOKUP(C457,'[1]E&amp;DPSAC'!$K:$K,'[1]E&amp;DPSAC'!$G:$G,"",0)=J457,"",_xlfn.XLOOKUP(C457,'[1]E&amp;DPSAC'!$K:$K,'[1]E&amp;DPSAC'!$G:$G,"",0))</f>
        <v>7004686026</v>
      </c>
      <c r="L457" s="9" t="str">
        <f t="shared" ca="1" si="27"/>
        <v>Non - Warranty</v>
      </c>
      <c r="M457" s="13">
        <v>45209</v>
      </c>
      <c r="N457" s="12">
        <v>24</v>
      </c>
      <c r="O457" s="11">
        <f t="shared" si="26"/>
        <v>45961</v>
      </c>
      <c r="P457" s="8" t="s">
        <v>213</v>
      </c>
      <c r="Q457" s="16" t="s">
        <v>2472</v>
      </c>
      <c r="R457" s="15">
        <v>45789.554837962998</v>
      </c>
      <c r="S457" s="14">
        <v>5220</v>
      </c>
      <c r="T457" s="15">
        <v>45891</v>
      </c>
      <c r="U457" s="14">
        <v>5780</v>
      </c>
      <c r="V457" s="14">
        <v>5960</v>
      </c>
      <c r="W457" s="17">
        <v>45937.548611111109</v>
      </c>
      <c r="X457" s="14" t="s">
        <v>2925</v>
      </c>
      <c r="Y457" s="14">
        <v>10</v>
      </c>
      <c r="Z457" s="14" t="s">
        <v>2692</v>
      </c>
      <c r="AA457" s="18">
        <v>323.44516203700186</v>
      </c>
      <c r="AB457" s="18" t="s">
        <v>2697</v>
      </c>
      <c r="AC457" s="8">
        <f>tbl_DPSAC[[#This Row],[Current Month Due Count]]</f>
        <v>0</v>
      </c>
      <c r="AD457" s="8">
        <f>tbl_DPSAC[[#This Row],[Next Month Due2]]</f>
        <v>0</v>
      </c>
      <c r="AE457" s="8"/>
      <c r="AF457" s="8">
        <v>4</v>
      </c>
      <c r="AG457" s="14">
        <f t="shared" ca="1" si="28"/>
        <v>6662</v>
      </c>
      <c r="AH457" s="20" t="s">
        <v>2463</v>
      </c>
      <c r="AI457" s="8" t="s">
        <v>1846</v>
      </c>
      <c r="AJ457" s="20" t="s">
        <v>2464</v>
      </c>
      <c r="AK457" s="20" t="s">
        <v>2465</v>
      </c>
      <c r="AL457" s="8"/>
      <c r="AM457" s="20" t="s">
        <v>2466</v>
      </c>
      <c r="AN457" s="20" t="s">
        <v>2467</v>
      </c>
      <c r="AO457" s="20" t="s">
        <v>2468</v>
      </c>
      <c r="AP457" s="20" t="s">
        <v>2469</v>
      </c>
      <c r="AQ457" s="20" t="s">
        <v>2470</v>
      </c>
      <c r="AR457" s="20" t="s">
        <v>2471</v>
      </c>
      <c r="AS457" s="8"/>
      <c r="AT457" s="8"/>
      <c r="AU457" s="8"/>
      <c r="AV457" s="8"/>
      <c r="AW457" s="8"/>
      <c r="AX457" s="8" t="s">
        <v>2961</v>
      </c>
      <c r="AY457" s="14">
        <v>5220</v>
      </c>
      <c r="AZ457" s="19">
        <v>45789</v>
      </c>
      <c r="BA457" s="14" t="s">
        <v>2472</v>
      </c>
      <c r="BB457" s="14">
        <v>4500</v>
      </c>
      <c r="BC457" s="19">
        <v>45740</v>
      </c>
      <c r="BD457" s="14" t="s">
        <v>2473</v>
      </c>
      <c r="BE457" s="14">
        <v>5220</v>
      </c>
      <c r="BF457" s="19">
        <v>45789</v>
      </c>
      <c r="BG457" s="14" t="s">
        <v>2472</v>
      </c>
      <c r="BH457" s="14">
        <v>5220</v>
      </c>
      <c r="BI457" s="19">
        <v>45789</v>
      </c>
      <c r="BJ457" s="14" t="s">
        <v>2472</v>
      </c>
      <c r="BK457" s="14">
        <v>4500</v>
      </c>
      <c r="BL457" s="19">
        <v>45740</v>
      </c>
      <c r="BM457" s="14" t="s">
        <v>2473</v>
      </c>
      <c r="BN457" s="27">
        <v>45969</v>
      </c>
      <c r="BO457" s="27">
        <v>45920</v>
      </c>
      <c r="BP457" s="27">
        <v>45969</v>
      </c>
      <c r="BQ457" s="27">
        <v>45969</v>
      </c>
      <c r="BR457" s="27">
        <v>46105</v>
      </c>
      <c r="BS457" s="28">
        <v>-692</v>
      </c>
      <c r="BT457" s="29">
        <v>-662</v>
      </c>
      <c r="BU457" s="29">
        <v>-692</v>
      </c>
      <c r="BV457" s="29">
        <v>-692</v>
      </c>
      <c r="BW457" s="29">
        <v>-662</v>
      </c>
      <c r="BX457" s="8"/>
      <c r="BY457" s="8">
        <v>5</v>
      </c>
      <c r="BZ457" s="8">
        <v>0</v>
      </c>
      <c r="CA457" s="8">
        <v>0</v>
      </c>
      <c r="CB457" s="21" t="s">
        <v>143</v>
      </c>
      <c r="CC457" s="21" t="s">
        <v>143</v>
      </c>
      <c r="CD457" s="21" t="s">
        <v>143</v>
      </c>
      <c r="CE457" s="21" t="s">
        <v>143</v>
      </c>
      <c r="CF457" s="21" t="s">
        <v>143</v>
      </c>
      <c r="CG457" s="21" t="s">
        <v>143</v>
      </c>
      <c r="CH457" s="21" t="s">
        <v>143</v>
      </c>
      <c r="CI457" s="21" t="s">
        <v>143</v>
      </c>
      <c r="CJ457" s="21" t="s">
        <v>143</v>
      </c>
      <c r="CK457" s="22" t="s">
        <v>143</v>
      </c>
      <c r="CL457" s="22" t="s">
        <v>143</v>
      </c>
      <c r="CM457" s="22" t="s">
        <v>143</v>
      </c>
      <c r="CN457" s="22" t="s">
        <v>143</v>
      </c>
      <c r="CO457" s="22" t="s">
        <v>143</v>
      </c>
      <c r="CP457" s="22" t="s">
        <v>143</v>
      </c>
      <c r="CQ457" s="22" t="s">
        <v>143</v>
      </c>
      <c r="CR457" s="22" t="s">
        <v>143</v>
      </c>
      <c r="CS457" s="22" t="s">
        <v>143</v>
      </c>
      <c r="CT457" s="22" t="s">
        <v>143</v>
      </c>
      <c r="CU457" s="21" t="s">
        <v>143</v>
      </c>
      <c r="CV457" s="21" t="s">
        <v>143</v>
      </c>
      <c r="CW457" s="21" t="s">
        <v>143</v>
      </c>
      <c r="CX457" s="21" t="s">
        <v>143</v>
      </c>
      <c r="CY457" s="21" t="s">
        <v>143</v>
      </c>
      <c r="CZ457" s="21" t="s">
        <v>143</v>
      </c>
      <c r="DA457" s="21" t="s">
        <v>143</v>
      </c>
      <c r="DB457" s="21" t="s">
        <v>143</v>
      </c>
      <c r="DC457" s="21" t="s">
        <v>143</v>
      </c>
      <c r="DD457" s="8" t="s">
        <v>143</v>
      </c>
      <c r="DE457" s="8" t="s">
        <v>143</v>
      </c>
      <c r="DF457" s="8" t="s">
        <v>143</v>
      </c>
      <c r="DG457" s="8">
        <v>0</v>
      </c>
      <c r="DH457" s="8">
        <v>0</v>
      </c>
      <c r="DI457" s="8">
        <v>0</v>
      </c>
      <c r="DJ457" s="8" t="s">
        <v>143</v>
      </c>
      <c r="DK457" s="21" t="s">
        <v>143</v>
      </c>
      <c r="DL457" s="21" t="s">
        <v>143</v>
      </c>
      <c r="DM457" s="21" t="s">
        <v>143</v>
      </c>
      <c r="DN457" s="18" t="s">
        <v>143</v>
      </c>
      <c r="DO457" s="21" t="s">
        <v>143</v>
      </c>
      <c r="DP457" s="21" t="s">
        <v>143</v>
      </c>
      <c r="DQ457" s="21" t="s">
        <v>143</v>
      </c>
      <c r="DR457" s="21" t="s">
        <v>143</v>
      </c>
      <c r="DS457" s="21" t="s">
        <v>143</v>
      </c>
      <c r="DT457" s="21" t="s">
        <v>143</v>
      </c>
      <c r="DU457" s="21" t="s">
        <v>143</v>
      </c>
      <c r="DV457" s="21" t="s">
        <v>143</v>
      </c>
      <c r="DW457" s="21" t="s">
        <v>143</v>
      </c>
      <c r="DX457" s="21" t="s">
        <v>143</v>
      </c>
      <c r="DY457" s="21" t="s">
        <v>143</v>
      </c>
      <c r="DZ457" s="21" t="s">
        <v>143</v>
      </c>
      <c r="EA457" s="8" t="s">
        <v>143</v>
      </c>
      <c r="EB457" s="8" t="s">
        <v>143</v>
      </c>
      <c r="EC457" s="8" t="s">
        <v>143</v>
      </c>
      <c r="ED457" s="8" t="s">
        <v>143</v>
      </c>
      <c r="EE457" s="8" t="s">
        <v>143</v>
      </c>
      <c r="EF457" s="8" t="s">
        <v>143</v>
      </c>
      <c r="EG457" s="8" t="s">
        <v>143</v>
      </c>
      <c r="EH457" s="8" t="s">
        <v>143</v>
      </c>
      <c r="EI457" s="8" t="s">
        <v>143</v>
      </c>
      <c r="EJ457" s="8" t="s">
        <v>143</v>
      </c>
      <c r="EK457" s="8" t="s">
        <v>2624</v>
      </c>
      <c r="EL457" s="8">
        <v>175</v>
      </c>
      <c r="EM457" s="8">
        <v>700</v>
      </c>
      <c r="EN457" s="8" t="s">
        <v>143</v>
      </c>
      <c r="EO457" s="8" t="s">
        <v>143</v>
      </c>
      <c r="EP457" s="8" t="s">
        <v>143</v>
      </c>
      <c r="EQ457" s="8" t="s">
        <v>143</v>
      </c>
      <c r="ER457" s="8" t="s">
        <v>143</v>
      </c>
      <c r="ES457" s="8" t="s">
        <v>143</v>
      </c>
      <c r="ET457" s="8" t="s">
        <v>143</v>
      </c>
      <c r="EU457" s="8" t="s">
        <v>143</v>
      </c>
      <c r="EV457" s="8" t="s">
        <v>143</v>
      </c>
    </row>
    <row r="458" spans="1:152" x14ac:dyDescent="0.15">
      <c r="A458" s="8">
        <f>ROW([2]!tbl_DPSAC[[#This Row],[Sl. No.]])-1</f>
        <v>457</v>
      </c>
      <c r="B458" s="9" t="s">
        <v>136</v>
      </c>
      <c r="C458" s="8" t="s">
        <v>2474</v>
      </c>
      <c r="D458" s="8" t="s">
        <v>333</v>
      </c>
      <c r="E458" s="8" t="s">
        <v>333</v>
      </c>
      <c r="F458" s="9" t="s">
        <v>161</v>
      </c>
      <c r="G458" s="23" t="s">
        <v>2475</v>
      </c>
      <c r="H458" s="10" t="str">
        <f>_xlfn.XLOOKUP(C458,'[1]E&amp;DPSAC'!$K:$K,'[1]E&amp;DPSAC'!$E:$E,,0)</f>
        <v>GODDA</v>
      </c>
      <c r="I458" s="23"/>
      <c r="J458" s="10"/>
      <c r="K458" s="10">
        <f>IF(_xlfn.XLOOKUP(C458,'[1]E&amp;DPSAC'!$K:$K,'[1]E&amp;DPSAC'!$G:$G,"",0)=J458,"",_xlfn.XLOOKUP(C458,'[1]E&amp;DPSAC'!$K:$K,'[1]E&amp;DPSAC'!$G:$G,"",0))</f>
        <v>7397748887</v>
      </c>
      <c r="L458" s="9" t="str">
        <f t="shared" ca="1" si="27"/>
        <v>Warranty</v>
      </c>
      <c r="M458" s="13">
        <v>45679</v>
      </c>
      <c r="N458" s="12">
        <v>24</v>
      </c>
      <c r="O458" s="11">
        <f t="shared" si="26"/>
        <v>46418</v>
      </c>
      <c r="P458" s="8" t="s">
        <v>213</v>
      </c>
      <c r="Q458" s="16" t="s">
        <v>2682</v>
      </c>
      <c r="R458" s="15">
        <v>46095.646793981497</v>
      </c>
      <c r="S458" s="14">
        <v>2091</v>
      </c>
      <c r="T458" s="15">
        <v>46011</v>
      </c>
      <c r="U458" s="14">
        <v>1547</v>
      </c>
      <c r="V458" s="14">
        <v>2120</v>
      </c>
      <c r="W458" s="17">
        <v>46105.557256944398</v>
      </c>
      <c r="X458" s="14" t="s">
        <v>2926</v>
      </c>
      <c r="Y458" s="14">
        <v>721</v>
      </c>
      <c r="Z458" s="14" t="s">
        <v>2692</v>
      </c>
      <c r="AA458" s="18">
        <v>17.353206018502533</v>
      </c>
      <c r="AB458" s="18" t="s">
        <v>2692</v>
      </c>
      <c r="AC458" s="8">
        <f>tbl_DPSAC[[#This Row],[Current Month Due Count]]</f>
        <v>0</v>
      </c>
      <c r="AD458" s="8">
        <f>tbl_DPSAC[[#This Row],[Next Month Due2]]</f>
        <v>1</v>
      </c>
      <c r="AE458" s="8"/>
      <c r="AF458" s="8">
        <v>3</v>
      </c>
      <c r="AG458" s="14">
        <f t="shared" ca="1" si="28"/>
        <v>2142</v>
      </c>
      <c r="AH458" s="8" t="s">
        <v>2476</v>
      </c>
      <c r="AI458" s="8" t="s">
        <v>1889</v>
      </c>
      <c r="AJ458" s="8" t="s">
        <v>2477</v>
      </c>
      <c r="AK458" s="8"/>
      <c r="AL458" s="8"/>
      <c r="AM458" s="8"/>
      <c r="AN458" s="8"/>
      <c r="AO458" s="8"/>
      <c r="AP458" s="8"/>
      <c r="AQ458" s="8"/>
      <c r="AR458" s="8"/>
      <c r="AS458" s="8"/>
      <c r="AT458" s="8"/>
      <c r="AU458" s="8"/>
      <c r="AV458" s="8"/>
      <c r="AW458" s="8"/>
      <c r="AX458" s="8" t="s">
        <v>2980</v>
      </c>
      <c r="AY458" s="14">
        <v>2091</v>
      </c>
      <c r="AZ458" s="19">
        <v>46085</v>
      </c>
      <c r="BA458" s="14" t="s">
        <v>2682</v>
      </c>
      <c r="BB458" s="14">
        <v>1</v>
      </c>
      <c r="BC458" s="19">
        <v>45679</v>
      </c>
      <c r="BD458" s="14" t="s">
        <v>2479</v>
      </c>
      <c r="BE458" s="14">
        <v>2091</v>
      </c>
      <c r="BF458" s="19">
        <v>46085</v>
      </c>
      <c r="BG458" s="14" t="s">
        <v>2682</v>
      </c>
      <c r="BH458" s="14">
        <v>1344</v>
      </c>
      <c r="BI458" s="19">
        <v>45972</v>
      </c>
      <c r="BJ458" s="14" t="s">
        <v>2478</v>
      </c>
      <c r="BK458" s="14">
        <v>1</v>
      </c>
      <c r="BL458" s="19">
        <v>45679</v>
      </c>
      <c r="BM458" s="14" t="s">
        <v>2479</v>
      </c>
      <c r="BN458" s="27">
        <v>46265</v>
      </c>
      <c r="BO458" s="27">
        <v>45859</v>
      </c>
      <c r="BP458" s="27">
        <v>46265</v>
      </c>
      <c r="BQ458" s="27">
        <v>46152</v>
      </c>
      <c r="BR458" s="27">
        <v>46044</v>
      </c>
      <c r="BS458" s="28">
        <v>699</v>
      </c>
      <c r="BT458" s="29">
        <v>-641</v>
      </c>
      <c r="BU458" s="29">
        <v>699</v>
      </c>
      <c r="BV458" s="29">
        <v>-48</v>
      </c>
      <c r="BW458" s="29">
        <v>-641</v>
      </c>
      <c r="BX458" s="8"/>
      <c r="BY458" s="8">
        <v>2</v>
      </c>
      <c r="BZ458" s="8">
        <v>0</v>
      </c>
      <c r="CA458" s="8">
        <v>1</v>
      </c>
      <c r="CB458" s="21">
        <v>45971.770833333299</v>
      </c>
      <c r="CC458" s="21">
        <v>45971.770833333299</v>
      </c>
      <c r="CD458" s="21">
        <v>45782.770833333299</v>
      </c>
      <c r="CE458" s="21">
        <v>45971.770833333299</v>
      </c>
      <c r="CF458" s="21">
        <v>45971.770833333299</v>
      </c>
      <c r="CG458" s="21">
        <v>46009.770833333299</v>
      </c>
      <c r="CH458" s="21">
        <v>0</v>
      </c>
      <c r="CI458" s="21">
        <v>46009.770833333299</v>
      </c>
      <c r="CJ458" s="21">
        <v>0</v>
      </c>
      <c r="CK458" s="22" t="s">
        <v>3128</v>
      </c>
      <c r="CL458" s="22" t="s">
        <v>3084</v>
      </c>
      <c r="CM458" s="22" t="s">
        <v>3084</v>
      </c>
      <c r="CN458" s="22" t="s">
        <v>3084</v>
      </c>
      <c r="CO458" s="22" t="s">
        <v>3084</v>
      </c>
      <c r="CP458" s="22" t="s">
        <v>3084</v>
      </c>
      <c r="CQ458" s="22" t="s">
        <v>2953</v>
      </c>
      <c r="CR458" s="22" t="s">
        <v>3084</v>
      </c>
      <c r="CS458" s="22" t="s">
        <v>3084</v>
      </c>
      <c r="CT458" s="22">
        <v>2</v>
      </c>
      <c r="CU458" s="21">
        <v>46151</v>
      </c>
      <c r="CV458" s="21">
        <v>46151</v>
      </c>
      <c r="CW458" s="21">
        <v>45962</v>
      </c>
      <c r="CX458" s="21">
        <v>46151</v>
      </c>
      <c r="CY458" s="21">
        <v>46151</v>
      </c>
      <c r="CZ458" s="21">
        <v>46271</v>
      </c>
      <c r="DA458" s="21">
        <v>46129</v>
      </c>
      <c r="DB458" s="21">
        <v>46189</v>
      </c>
      <c r="DC458" s="21">
        <v>46171</v>
      </c>
      <c r="DD458" s="8">
        <v>1</v>
      </c>
      <c r="DE458" s="8">
        <v>0</v>
      </c>
      <c r="DF458" s="8">
        <v>0</v>
      </c>
      <c r="DG458" s="8">
        <v>1</v>
      </c>
      <c r="DH458" s="8">
        <v>1</v>
      </c>
      <c r="DI458" s="8">
        <v>5</v>
      </c>
      <c r="DJ458" s="8" t="s">
        <v>2976</v>
      </c>
      <c r="DK458" s="21">
        <v>45679</v>
      </c>
      <c r="DL458" s="21">
        <v>45677.229166666664</v>
      </c>
      <c r="DM458" s="21">
        <v>46105</v>
      </c>
      <c r="DN458" s="18">
        <v>2120</v>
      </c>
      <c r="DO458" s="21">
        <v>0</v>
      </c>
      <c r="DP458" s="21">
        <v>0</v>
      </c>
      <c r="DQ458" s="21" t="s">
        <v>2955</v>
      </c>
      <c r="DR458" s="21">
        <v>46095</v>
      </c>
      <c r="DS458" s="21">
        <v>46095</v>
      </c>
      <c r="DT458" s="21">
        <v>46095</v>
      </c>
      <c r="DU458" s="21">
        <v>46095</v>
      </c>
      <c r="DV458" s="21">
        <v>46067</v>
      </c>
      <c r="DW458" s="21">
        <v>45972</v>
      </c>
      <c r="DX458" s="21">
        <v>45972</v>
      </c>
      <c r="DY458" s="21">
        <v>45972</v>
      </c>
      <c r="DZ458" s="21">
        <v>45972</v>
      </c>
      <c r="EA458" s="8">
        <v>910</v>
      </c>
      <c r="EB458" s="8">
        <v>720</v>
      </c>
      <c r="EC458" s="8">
        <v>720</v>
      </c>
      <c r="ED458" s="8">
        <v>720</v>
      </c>
      <c r="EE458" s="8">
        <v>720</v>
      </c>
      <c r="EF458" s="8">
        <v>910</v>
      </c>
      <c r="EG458" s="8">
        <v>1000</v>
      </c>
      <c r="EH458" s="8">
        <v>910</v>
      </c>
      <c r="EI458" s="8">
        <v>910</v>
      </c>
      <c r="EJ458" s="8">
        <v>4</v>
      </c>
      <c r="EK458" s="8" t="s">
        <v>2624</v>
      </c>
      <c r="EL458" s="8">
        <v>7</v>
      </c>
      <c r="EM458" s="8">
        <v>21</v>
      </c>
      <c r="EN458" s="8">
        <v>622</v>
      </c>
      <c r="EO458" s="8">
        <v>432</v>
      </c>
      <c r="EP458" s="8">
        <v>432</v>
      </c>
      <c r="EQ458" s="8">
        <v>432</v>
      </c>
      <c r="ER458" s="8">
        <v>432</v>
      </c>
      <c r="ES458" s="8">
        <v>622</v>
      </c>
      <c r="ET458" s="8">
        <v>712</v>
      </c>
      <c r="EU458" s="8">
        <v>622</v>
      </c>
      <c r="EV458" s="8">
        <v>622</v>
      </c>
    </row>
    <row r="459" spans="1:152" x14ac:dyDescent="0.15">
      <c r="A459" s="8">
        <f>ROW([2]!tbl_DPSAC[[#This Row],[Sl. No.]])-1</f>
        <v>458</v>
      </c>
      <c r="B459" s="9" t="s">
        <v>136</v>
      </c>
      <c r="C459" s="8" t="s">
        <v>2480</v>
      </c>
      <c r="D459" s="8" t="s">
        <v>2481</v>
      </c>
      <c r="E459" s="8" t="s">
        <v>2482</v>
      </c>
      <c r="F459" s="9" t="s">
        <v>161</v>
      </c>
      <c r="G459" s="23" t="s">
        <v>2483</v>
      </c>
      <c r="H459" s="10"/>
      <c r="I459" s="23"/>
      <c r="J459" s="10"/>
      <c r="K459" s="10">
        <f>IF(_xlfn.XLOOKUP(C459,'[1]E&amp;DPSAC'!$K:$K,'[1]E&amp;DPSAC'!$G:$G,"",0)=J459,"",_xlfn.XLOOKUP(C459,'[1]E&amp;DPSAC'!$K:$K,'[1]E&amp;DPSAC'!$G:$G,"",0))</f>
        <v>9830340221</v>
      </c>
      <c r="L459" s="9" t="str">
        <f t="shared" ca="1" si="27"/>
        <v>Warranty</v>
      </c>
      <c r="M459" s="13">
        <v>45818</v>
      </c>
      <c r="N459" s="12">
        <v>24</v>
      </c>
      <c r="O459" s="11">
        <f t="shared" si="26"/>
        <v>46568</v>
      </c>
      <c r="P459" s="8" t="s">
        <v>157</v>
      </c>
      <c r="Q459" s="16" t="s">
        <v>143</v>
      </c>
      <c r="R459" s="15" t="s">
        <v>143</v>
      </c>
      <c r="S459" s="14" t="s">
        <v>143</v>
      </c>
      <c r="T459" s="15">
        <v>45817</v>
      </c>
      <c r="U459" s="14">
        <v>1</v>
      </c>
      <c r="V459" s="14">
        <v>2</v>
      </c>
      <c r="W459" s="17">
        <v>45817.7599305556</v>
      </c>
      <c r="X459" s="14" t="s">
        <v>143</v>
      </c>
      <c r="Y459" s="14">
        <v>0</v>
      </c>
      <c r="Z459" s="14" t="s">
        <v>2692</v>
      </c>
      <c r="AA459" s="18">
        <v>295</v>
      </c>
      <c r="AB459" s="18" t="s">
        <v>2697</v>
      </c>
      <c r="AC459" s="8">
        <f>tbl_DPSAC[[#This Row],[Current Month Due Count]]</f>
        <v>0</v>
      </c>
      <c r="AD459" s="8">
        <f>tbl_DPSAC[[#This Row],[Next Month Due2]]</f>
        <v>0</v>
      </c>
      <c r="AE459" s="8"/>
      <c r="AF459" s="8"/>
      <c r="AG459" s="14">
        <f t="shared" ca="1" si="28"/>
        <v>2</v>
      </c>
      <c r="AH459" s="8"/>
      <c r="AI459" s="8"/>
      <c r="AJ459" s="8"/>
      <c r="AK459" s="8"/>
      <c r="AL459" s="8"/>
      <c r="AM459" s="8"/>
      <c r="AN459" s="8"/>
      <c r="AO459" s="8"/>
      <c r="AP459" s="8"/>
      <c r="AQ459" s="8"/>
      <c r="AR459" s="8"/>
      <c r="AS459" s="8"/>
      <c r="AT459" s="8"/>
      <c r="AU459" s="8"/>
      <c r="AV459" s="8"/>
      <c r="AW459" s="8"/>
      <c r="AX459" s="8" t="s">
        <v>2007</v>
      </c>
      <c r="AY459" s="14">
        <v>1</v>
      </c>
      <c r="AZ459" s="19">
        <v>45817</v>
      </c>
      <c r="BA459" s="14" t="s">
        <v>2484</v>
      </c>
      <c r="BB459" s="14">
        <v>1</v>
      </c>
      <c r="BC459" s="19">
        <v>45817</v>
      </c>
      <c r="BD459" s="14" t="s">
        <v>2484</v>
      </c>
      <c r="BE459" s="14">
        <v>1</v>
      </c>
      <c r="BF459" s="19">
        <v>45817</v>
      </c>
      <c r="BG459" s="14" t="s">
        <v>2484</v>
      </c>
      <c r="BH459" s="14">
        <v>1</v>
      </c>
      <c r="BI459" s="19">
        <v>45817</v>
      </c>
      <c r="BJ459" s="14" t="s">
        <v>2484</v>
      </c>
      <c r="BK459" s="14">
        <v>1</v>
      </c>
      <c r="BL459" s="19">
        <v>45817</v>
      </c>
      <c r="BM459" s="14" t="s">
        <v>2484</v>
      </c>
      <c r="BN459" s="27">
        <v>45997</v>
      </c>
      <c r="BO459" s="27">
        <v>45997</v>
      </c>
      <c r="BP459" s="27">
        <v>45997</v>
      </c>
      <c r="BQ459" s="27">
        <v>45997</v>
      </c>
      <c r="BR459" s="27">
        <v>46182</v>
      </c>
      <c r="BS459" s="28">
        <v>749</v>
      </c>
      <c r="BT459" s="29">
        <v>1499</v>
      </c>
      <c r="BU459" s="29">
        <v>749</v>
      </c>
      <c r="BV459" s="29">
        <v>749</v>
      </c>
      <c r="BW459" s="29">
        <v>1499</v>
      </c>
      <c r="BX459" s="30" t="s">
        <v>255</v>
      </c>
      <c r="BY459" s="8">
        <v>4</v>
      </c>
      <c r="BZ459" s="8">
        <v>0</v>
      </c>
      <c r="CA459" s="8">
        <v>0</v>
      </c>
      <c r="CB459" s="21" t="s">
        <v>143</v>
      </c>
      <c r="CC459" s="21" t="s">
        <v>143</v>
      </c>
      <c r="CD459" s="21" t="s">
        <v>143</v>
      </c>
      <c r="CE459" s="21" t="s">
        <v>143</v>
      </c>
      <c r="CF459" s="21" t="s">
        <v>143</v>
      </c>
      <c r="CG459" s="21" t="s">
        <v>143</v>
      </c>
      <c r="CH459" s="21" t="s">
        <v>143</v>
      </c>
      <c r="CI459" s="21" t="s">
        <v>143</v>
      </c>
      <c r="CJ459" s="21" t="s">
        <v>143</v>
      </c>
      <c r="CK459" s="22" t="s">
        <v>143</v>
      </c>
      <c r="CL459" s="22" t="s">
        <v>143</v>
      </c>
      <c r="CM459" s="22" t="s">
        <v>143</v>
      </c>
      <c r="CN459" s="22" t="s">
        <v>143</v>
      </c>
      <c r="CO459" s="22" t="s">
        <v>143</v>
      </c>
      <c r="CP459" s="22" t="s">
        <v>143</v>
      </c>
      <c r="CQ459" s="22" t="s">
        <v>143</v>
      </c>
      <c r="CR459" s="22" t="s">
        <v>143</v>
      </c>
      <c r="CS459" s="22" t="s">
        <v>143</v>
      </c>
      <c r="CT459" s="22" t="s">
        <v>143</v>
      </c>
      <c r="CU459" s="21" t="s">
        <v>143</v>
      </c>
      <c r="CV459" s="21" t="s">
        <v>143</v>
      </c>
      <c r="CW459" s="21" t="s">
        <v>143</v>
      </c>
      <c r="CX459" s="21" t="s">
        <v>143</v>
      </c>
      <c r="CY459" s="21" t="s">
        <v>143</v>
      </c>
      <c r="CZ459" s="21" t="s">
        <v>143</v>
      </c>
      <c r="DA459" s="21" t="s">
        <v>143</v>
      </c>
      <c r="DB459" s="21" t="s">
        <v>143</v>
      </c>
      <c r="DC459" s="21" t="s">
        <v>143</v>
      </c>
      <c r="DD459" s="8" t="s">
        <v>143</v>
      </c>
      <c r="DE459" s="8" t="s">
        <v>143</v>
      </c>
      <c r="DF459" s="8" t="s">
        <v>143</v>
      </c>
      <c r="DG459" s="8">
        <v>0</v>
      </c>
      <c r="DH459" s="8">
        <v>0</v>
      </c>
      <c r="DI459" s="8">
        <v>0</v>
      </c>
      <c r="DJ459" s="8" t="s">
        <v>143</v>
      </c>
      <c r="DK459" s="21" t="s">
        <v>143</v>
      </c>
      <c r="DL459" s="21" t="s">
        <v>143</v>
      </c>
      <c r="DM459" s="21" t="s">
        <v>143</v>
      </c>
      <c r="DN459" s="18" t="s">
        <v>143</v>
      </c>
      <c r="DO459" s="21" t="s">
        <v>143</v>
      </c>
      <c r="DP459" s="21" t="s">
        <v>143</v>
      </c>
      <c r="DQ459" s="21" t="s">
        <v>143</v>
      </c>
      <c r="DR459" s="21" t="s">
        <v>143</v>
      </c>
      <c r="DS459" s="21" t="s">
        <v>143</v>
      </c>
      <c r="DT459" s="21" t="s">
        <v>143</v>
      </c>
      <c r="DU459" s="21" t="s">
        <v>143</v>
      </c>
      <c r="DV459" s="21" t="s">
        <v>143</v>
      </c>
      <c r="DW459" s="21" t="s">
        <v>143</v>
      </c>
      <c r="DX459" s="21" t="s">
        <v>143</v>
      </c>
      <c r="DY459" s="21" t="s">
        <v>143</v>
      </c>
      <c r="DZ459" s="21" t="s">
        <v>143</v>
      </c>
      <c r="EA459" s="8" t="s">
        <v>143</v>
      </c>
      <c r="EB459" s="8" t="s">
        <v>143</v>
      </c>
      <c r="EC459" s="8" t="s">
        <v>143</v>
      </c>
      <c r="ED459" s="8" t="s">
        <v>143</v>
      </c>
      <c r="EE459" s="8" t="s">
        <v>143</v>
      </c>
      <c r="EF459" s="8" t="s">
        <v>143</v>
      </c>
      <c r="EG459" s="8" t="s">
        <v>143</v>
      </c>
      <c r="EH459" s="8" t="s">
        <v>143</v>
      </c>
      <c r="EI459" s="8" t="s">
        <v>143</v>
      </c>
      <c r="EJ459" s="8" t="s">
        <v>143</v>
      </c>
      <c r="EK459" s="8" t="s">
        <v>157</v>
      </c>
      <c r="EL459" s="8">
        <v>295</v>
      </c>
      <c r="EM459" s="8">
        <v>0</v>
      </c>
      <c r="EN459" s="8" t="s">
        <v>143</v>
      </c>
      <c r="EO459" s="8" t="s">
        <v>143</v>
      </c>
      <c r="EP459" s="8" t="s">
        <v>143</v>
      </c>
      <c r="EQ459" s="8" t="s">
        <v>143</v>
      </c>
      <c r="ER459" s="8" t="s">
        <v>143</v>
      </c>
      <c r="ES459" s="8" t="s">
        <v>143</v>
      </c>
      <c r="ET459" s="8" t="s">
        <v>143</v>
      </c>
      <c r="EU459" s="8" t="s">
        <v>143</v>
      </c>
      <c r="EV459" s="8" t="s">
        <v>143</v>
      </c>
    </row>
    <row r="460" spans="1:152" x14ac:dyDescent="0.15">
      <c r="A460" s="8">
        <f>ROW([2]!tbl_DPSAC[[#This Row],[Sl. No.]])-1</f>
        <v>459</v>
      </c>
      <c r="B460" s="9" t="s">
        <v>136</v>
      </c>
      <c r="C460" s="8" t="s">
        <v>2485</v>
      </c>
      <c r="D460" s="8" t="s">
        <v>204</v>
      </c>
      <c r="E460" s="8" t="s">
        <v>205</v>
      </c>
      <c r="F460" s="9" t="s">
        <v>161</v>
      </c>
      <c r="G460" s="23" t="s">
        <v>347</v>
      </c>
      <c r="H460" s="10" t="s">
        <v>2486</v>
      </c>
      <c r="I460" s="25" t="s">
        <v>2487</v>
      </c>
      <c r="J460" s="10"/>
      <c r="K460" s="10">
        <f>IF(_xlfn.XLOOKUP(C460,'[1]E&amp;DPSAC'!$K:$K,'[1]E&amp;DPSAC'!$G:$G,"",0)=J460,"",_xlfn.XLOOKUP(C460,'[1]E&amp;DPSAC'!$K:$K,'[1]E&amp;DPSAC'!$G:$G,"",0))</f>
        <v>7718987183</v>
      </c>
      <c r="L460" s="9" t="str">
        <f t="shared" ca="1" si="27"/>
        <v>Warranty</v>
      </c>
      <c r="M460" s="13">
        <v>45845</v>
      </c>
      <c r="N460" s="12">
        <v>24</v>
      </c>
      <c r="O460" s="11">
        <f t="shared" si="26"/>
        <v>46599</v>
      </c>
      <c r="P460" s="8" t="s">
        <v>213</v>
      </c>
      <c r="Q460" s="16" t="s">
        <v>143</v>
      </c>
      <c r="R460" s="15" t="s">
        <v>143</v>
      </c>
      <c r="S460" s="14" t="s">
        <v>143</v>
      </c>
      <c r="T460" s="15">
        <v>45845</v>
      </c>
      <c r="U460" s="14">
        <v>1</v>
      </c>
      <c r="V460" s="14">
        <v>350</v>
      </c>
      <c r="W460" s="17">
        <v>46105.561539351896</v>
      </c>
      <c r="X460" s="14" t="s">
        <v>143</v>
      </c>
      <c r="Y460" s="14">
        <v>0</v>
      </c>
      <c r="Z460" s="14" t="s">
        <v>2692</v>
      </c>
      <c r="AA460" s="18">
        <v>268</v>
      </c>
      <c r="AB460" s="18" t="s">
        <v>2697</v>
      </c>
      <c r="AC460" s="8">
        <f>tbl_DPSAC[[#This Row],[Current Month Due Count]]</f>
        <v>0</v>
      </c>
      <c r="AD460" s="8">
        <f>tbl_DPSAC[[#This Row],[Next Month Due2]]</f>
        <v>0</v>
      </c>
      <c r="AE460" s="8"/>
      <c r="AF460" s="8">
        <v>2</v>
      </c>
      <c r="AG460" s="14">
        <f t="shared" ca="1" si="28"/>
        <v>365</v>
      </c>
      <c r="AH460" s="8"/>
      <c r="AI460" s="8"/>
      <c r="AJ460" s="8"/>
      <c r="AK460" s="8"/>
      <c r="AL460" s="8"/>
      <c r="AM460" s="8"/>
      <c r="AN460" s="8"/>
      <c r="AO460" s="8"/>
      <c r="AP460" s="8"/>
      <c r="AQ460" s="8"/>
      <c r="AR460" s="8"/>
      <c r="AS460" s="8"/>
      <c r="AT460" s="8"/>
      <c r="AU460" s="8"/>
      <c r="AV460" s="8"/>
      <c r="AW460" s="8"/>
      <c r="AX460" s="8" t="s">
        <v>2007</v>
      </c>
      <c r="AY460" s="14">
        <v>1</v>
      </c>
      <c r="AZ460" s="19">
        <v>45845</v>
      </c>
      <c r="BA460" s="14" t="s">
        <v>2488</v>
      </c>
      <c r="BB460" s="14">
        <v>1</v>
      </c>
      <c r="BC460" s="19">
        <v>45845</v>
      </c>
      <c r="BD460" s="14" t="s">
        <v>2488</v>
      </c>
      <c r="BE460" s="14">
        <v>1</v>
      </c>
      <c r="BF460" s="19">
        <v>45845</v>
      </c>
      <c r="BG460" s="14" t="s">
        <v>2488</v>
      </c>
      <c r="BH460" s="14">
        <v>1</v>
      </c>
      <c r="BI460" s="19">
        <v>45845</v>
      </c>
      <c r="BJ460" s="14" t="s">
        <v>2488</v>
      </c>
      <c r="BK460" s="14">
        <v>1</v>
      </c>
      <c r="BL460" s="19">
        <v>45845</v>
      </c>
      <c r="BM460" s="14" t="s">
        <v>2488</v>
      </c>
      <c r="BN460" s="27">
        <v>46025</v>
      </c>
      <c r="BO460" s="27">
        <v>46025</v>
      </c>
      <c r="BP460" s="27">
        <v>46025</v>
      </c>
      <c r="BQ460" s="27">
        <v>46025</v>
      </c>
      <c r="BR460" s="27">
        <v>46210</v>
      </c>
      <c r="BS460" s="28">
        <v>386</v>
      </c>
      <c r="BT460" s="29">
        <v>1136</v>
      </c>
      <c r="BU460" s="29">
        <v>386</v>
      </c>
      <c r="BV460" s="29">
        <v>386</v>
      </c>
      <c r="BW460" s="29">
        <v>1136</v>
      </c>
      <c r="BX460" s="8"/>
      <c r="BY460" s="8">
        <v>4</v>
      </c>
      <c r="BZ460" s="8">
        <v>0</v>
      </c>
      <c r="CA460" s="8">
        <v>0</v>
      </c>
      <c r="CB460" s="21">
        <v>45844.770833333299</v>
      </c>
      <c r="CC460" s="21">
        <v>45844.770833333299</v>
      </c>
      <c r="CD460" s="21">
        <v>45844.770833333299</v>
      </c>
      <c r="CE460" s="21">
        <v>45844.770833333299</v>
      </c>
      <c r="CF460" s="21">
        <v>45844.770833333299</v>
      </c>
      <c r="CG460" s="21">
        <v>45844.770833333299</v>
      </c>
      <c r="CH460" s="21">
        <v>45844.770833333299</v>
      </c>
      <c r="CI460" s="21">
        <v>45844.770833333299</v>
      </c>
      <c r="CJ460" s="21">
        <v>45844.770833333299</v>
      </c>
      <c r="CK460" s="22" t="s">
        <v>3097</v>
      </c>
      <c r="CL460" s="22" t="s">
        <v>3055</v>
      </c>
      <c r="CM460" s="22" t="s">
        <v>3055</v>
      </c>
      <c r="CN460" s="22" t="s">
        <v>3055</v>
      </c>
      <c r="CO460" s="22" t="s">
        <v>3055</v>
      </c>
      <c r="CP460" s="22" t="s">
        <v>3191</v>
      </c>
      <c r="CQ460" s="22" t="s">
        <v>2953</v>
      </c>
      <c r="CR460" s="22" t="s">
        <v>3191</v>
      </c>
      <c r="CS460" s="22" t="s">
        <v>3210</v>
      </c>
      <c r="CT460" s="22">
        <v>2</v>
      </c>
      <c r="CU460" s="21">
        <v>46024</v>
      </c>
      <c r="CV460" s="21">
        <v>46024</v>
      </c>
      <c r="CW460" s="21">
        <v>46024</v>
      </c>
      <c r="CX460" s="21">
        <v>46024</v>
      </c>
      <c r="CY460" s="21">
        <v>46024</v>
      </c>
      <c r="CZ460" s="21">
        <v>46114</v>
      </c>
      <c r="DA460" s="21">
        <v>46209</v>
      </c>
      <c r="DB460" s="21">
        <v>46024</v>
      </c>
      <c r="DC460" s="21">
        <v>46209</v>
      </c>
      <c r="DD460" s="8">
        <v>1</v>
      </c>
      <c r="DE460" s="8">
        <v>0</v>
      </c>
      <c r="DF460" s="8">
        <v>0</v>
      </c>
      <c r="DG460" s="8">
        <v>6</v>
      </c>
      <c r="DH460" s="8">
        <v>1</v>
      </c>
      <c r="DI460" s="8">
        <v>0</v>
      </c>
      <c r="DJ460" s="8" t="s">
        <v>2976</v>
      </c>
      <c r="DK460" s="21">
        <v>45845</v>
      </c>
      <c r="DL460" s="21">
        <v>45832.229166666664</v>
      </c>
      <c r="DM460" s="21">
        <v>46105</v>
      </c>
      <c r="DN460" s="18">
        <v>350</v>
      </c>
      <c r="DO460" s="21">
        <v>0</v>
      </c>
      <c r="DP460" s="21">
        <v>0</v>
      </c>
      <c r="DQ460" s="21" t="s">
        <v>3049</v>
      </c>
      <c r="DR460" s="21">
        <v>45845</v>
      </c>
      <c r="DS460" s="21">
        <v>45845</v>
      </c>
      <c r="DT460" s="21">
        <v>45845</v>
      </c>
      <c r="DU460" s="21">
        <v>45845</v>
      </c>
      <c r="DV460" s="21">
        <v>45845</v>
      </c>
      <c r="DW460" s="21">
        <v>45845</v>
      </c>
      <c r="DX460" s="21">
        <v>45845</v>
      </c>
      <c r="DY460" s="21">
        <v>45845</v>
      </c>
      <c r="DZ460" s="21">
        <v>45845</v>
      </c>
      <c r="EA460" s="8">
        <v>150</v>
      </c>
      <c r="EB460" s="8">
        <v>150</v>
      </c>
      <c r="EC460" s="8">
        <v>150</v>
      </c>
      <c r="ED460" s="8">
        <v>150</v>
      </c>
      <c r="EE460" s="8">
        <v>150</v>
      </c>
      <c r="EF460" s="8">
        <v>1350</v>
      </c>
      <c r="EG460" s="8">
        <v>1000</v>
      </c>
      <c r="EH460" s="8">
        <v>1350</v>
      </c>
      <c r="EI460" s="8">
        <v>2850</v>
      </c>
      <c r="EJ460" s="8">
        <v>2</v>
      </c>
      <c r="EK460" s="8" t="s">
        <v>2624</v>
      </c>
      <c r="EL460" s="8">
        <v>7</v>
      </c>
      <c r="EM460" s="8">
        <v>14</v>
      </c>
      <c r="EN460" s="8">
        <v>-138</v>
      </c>
      <c r="EO460" s="8">
        <v>-138</v>
      </c>
      <c r="EP460" s="8">
        <v>-138</v>
      </c>
      <c r="EQ460" s="8">
        <v>-138</v>
      </c>
      <c r="ER460" s="8">
        <v>-138</v>
      </c>
      <c r="ES460" s="8">
        <v>1062</v>
      </c>
      <c r="ET460" s="8">
        <v>712</v>
      </c>
      <c r="EU460" s="8">
        <v>1062</v>
      </c>
      <c r="EV460" s="8">
        <v>2562</v>
      </c>
    </row>
    <row r="461" spans="1:152" x14ac:dyDescent="0.15">
      <c r="A461" s="8">
        <f>ROW([2]!tbl_DPSAC[[#This Row],[Sl. No.]])-1</f>
        <v>460</v>
      </c>
      <c r="B461" s="9" t="s">
        <v>196</v>
      </c>
      <c r="C461" s="8" t="s">
        <v>2489</v>
      </c>
      <c r="D461" s="8" t="s">
        <v>532</v>
      </c>
      <c r="E461" s="8" t="s">
        <v>217</v>
      </c>
      <c r="F461" s="9" t="s">
        <v>161</v>
      </c>
      <c r="G461" s="23" t="s">
        <v>2490</v>
      </c>
      <c r="H461" s="10"/>
      <c r="I461" s="23"/>
      <c r="J461" s="10"/>
      <c r="K461" s="10">
        <f>IF(_xlfn.XLOOKUP(C461,'[1]E&amp;DPSAC'!$K:$K,'[1]E&amp;DPSAC'!$G:$G,"",0)=J461,"",_xlfn.XLOOKUP(C461,'[1]E&amp;DPSAC'!$K:$K,'[1]E&amp;DPSAC'!$G:$G,"",0))</f>
        <v>8797273184</v>
      </c>
      <c r="L461" s="9" t="str">
        <f t="shared" ca="1" si="27"/>
        <v>Warranty</v>
      </c>
      <c r="M461" s="13">
        <v>45883</v>
      </c>
      <c r="N461" s="12">
        <v>24</v>
      </c>
      <c r="O461" s="11">
        <f t="shared" si="26"/>
        <v>46630</v>
      </c>
      <c r="P461" s="8" t="s">
        <v>213</v>
      </c>
      <c r="Q461" s="16" t="s">
        <v>143</v>
      </c>
      <c r="R461" s="15" t="s">
        <v>143</v>
      </c>
      <c r="S461" s="14" t="s">
        <v>143</v>
      </c>
      <c r="T461" s="15">
        <v>45883</v>
      </c>
      <c r="U461" s="14">
        <v>1</v>
      </c>
      <c r="V461" s="14">
        <v>576</v>
      </c>
      <c r="W461" s="17">
        <v>46112.685694444401</v>
      </c>
      <c r="X461" s="14" t="s">
        <v>143</v>
      </c>
      <c r="Y461" s="14">
        <v>0</v>
      </c>
      <c r="Z461" s="14" t="s">
        <v>2692</v>
      </c>
      <c r="AA461" s="18">
        <v>230</v>
      </c>
      <c r="AB461" s="18" t="s">
        <v>2697</v>
      </c>
      <c r="AC461" s="8">
        <f>tbl_DPSAC[[#This Row],[Current Month Due Count]]</f>
        <v>0</v>
      </c>
      <c r="AD461" s="8">
        <f>tbl_DPSAC[[#This Row],[Next Month Due2]]</f>
        <v>0</v>
      </c>
      <c r="AE461" s="8"/>
      <c r="AF461" s="8">
        <v>5</v>
      </c>
      <c r="AG461" s="14">
        <f t="shared" ca="1" si="28"/>
        <v>578</v>
      </c>
      <c r="AH461" s="8"/>
      <c r="AI461" s="8"/>
      <c r="AJ461" s="8"/>
      <c r="AK461" s="8"/>
      <c r="AL461" s="8"/>
      <c r="AM461" s="8"/>
      <c r="AN461" s="8"/>
      <c r="AO461" s="8"/>
      <c r="AP461" s="8"/>
      <c r="AQ461" s="8"/>
      <c r="AR461" s="8"/>
      <c r="AS461" s="8"/>
      <c r="AT461" s="8"/>
      <c r="AU461" s="8"/>
      <c r="AV461" s="8"/>
      <c r="AW461" s="8"/>
      <c r="AX461" s="8" t="s">
        <v>2007</v>
      </c>
      <c r="AY461" s="14">
        <v>1</v>
      </c>
      <c r="AZ461" s="19">
        <v>45883</v>
      </c>
      <c r="BA461" s="14" t="s">
        <v>2491</v>
      </c>
      <c r="BB461" s="14">
        <v>1</v>
      </c>
      <c r="BC461" s="19">
        <v>45883</v>
      </c>
      <c r="BD461" s="14" t="s">
        <v>2491</v>
      </c>
      <c r="BE461" s="14">
        <v>1</v>
      </c>
      <c r="BF461" s="19">
        <v>45883</v>
      </c>
      <c r="BG461" s="14" t="s">
        <v>2491</v>
      </c>
      <c r="BH461" s="14">
        <v>1</v>
      </c>
      <c r="BI461" s="19">
        <v>45883</v>
      </c>
      <c r="BJ461" s="14" t="s">
        <v>2491</v>
      </c>
      <c r="BK461" s="14">
        <v>1</v>
      </c>
      <c r="BL461" s="19">
        <v>45883</v>
      </c>
      <c r="BM461" s="14" t="s">
        <v>2491</v>
      </c>
      <c r="BN461" s="27">
        <v>46063</v>
      </c>
      <c r="BO461" s="27">
        <v>46063</v>
      </c>
      <c r="BP461" s="27">
        <v>46063</v>
      </c>
      <c r="BQ461" s="27">
        <v>46063</v>
      </c>
      <c r="BR461" s="27">
        <v>46248</v>
      </c>
      <c r="BS461" s="28">
        <v>173</v>
      </c>
      <c r="BT461" s="29">
        <v>923</v>
      </c>
      <c r="BU461" s="29">
        <v>173</v>
      </c>
      <c r="BV461" s="29">
        <v>173</v>
      </c>
      <c r="BW461" s="29">
        <v>923</v>
      </c>
      <c r="BX461" s="8"/>
      <c r="BY461" s="8">
        <v>4</v>
      </c>
      <c r="BZ461" s="8">
        <v>0</v>
      </c>
      <c r="CA461" s="8">
        <v>0</v>
      </c>
      <c r="CB461" s="21">
        <v>45882.770833333299</v>
      </c>
      <c r="CC461" s="21">
        <v>45882.770833333299</v>
      </c>
      <c r="CD461" s="21">
        <v>0</v>
      </c>
      <c r="CE461" s="21">
        <v>45882.770833333299</v>
      </c>
      <c r="CF461" s="21">
        <v>45882.770833333299</v>
      </c>
      <c r="CG461" s="21">
        <v>45882.770833333299</v>
      </c>
      <c r="CH461" s="21">
        <v>45882.770833333299</v>
      </c>
      <c r="CI461" s="21">
        <v>45882.770833333299</v>
      </c>
      <c r="CJ461" s="21">
        <v>45882.770833333299</v>
      </c>
      <c r="CK461" s="22" t="s">
        <v>3211</v>
      </c>
      <c r="CL461" s="22" t="s">
        <v>3211</v>
      </c>
      <c r="CM461" s="22" t="s">
        <v>3211</v>
      </c>
      <c r="CN461" s="22" t="s">
        <v>3211</v>
      </c>
      <c r="CO461" s="22" t="s">
        <v>3211</v>
      </c>
      <c r="CP461" s="22" t="s">
        <v>3212</v>
      </c>
      <c r="CQ461" s="22" t="s">
        <v>2953</v>
      </c>
      <c r="CR461" s="22" t="s">
        <v>3212</v>
      </c>
      <c r="CS461" s="22" t="s">
        <v>3212</v>
      </c>
      <c r="CT461" s="22">
        <v>0</v>
      </c>
      <c r="CU461" s="21">
        <v>0</v>
      </c>
      <c r="CV461" s="21">
        <v>0</v>
      </c>
      <c r="CW461" s="21">
        <v>0</v>
      </c>
      <c r="CX461" s="21">
        <v>0</v>
      </c>
      <c r="CY461" s="21">
        <v>0</v>
      </c>
      <c r="CZ461" s="21">
        <v>0</v>
      </c>
      <c r="DA461" s="21">
        <v>0</v>
      </c>
      <c r="DB461" s="21">
        <v>0</v>
      </c>
      <c r="DC461" s="21">
        <v>0</v>
      </c>
      <c r="DD461" s="8">
        <v>0</v>
      </c>
      <c r="DE461" s="8">
        <v>0</v>
      </c>
      <c r="DF461" s="8">
        <v>0</v>
      </c>
      <c r="DG461" s="8">
        <v>9</v>
      </c>
      <c r="DH461" s="8">
        <v>0</v>
      </c>
      <c r="DI461" s="8">
        <v>0</v>
      </c>
      <c r="DJ461" s="8" t="s">
        <v>2976</v>
      </c>
      <c r="DK461" s="21">
        <v>45883</v>
      </c>
      <c r="DL461" s="21">
        <v>45839.229166666664</v>
      </c>
      <c r="DM461" s="21">
        <v>46112</v>
      </c>
      <c r="DN461" s="18">
        <v>576</v>
      </c>
      <c r="DO461" s="21">
        <v>315</v>
      </c>
      <c r="DP461" s="21">
        <v>0</v>
      </c>
      <c r="DQ461" s="21" t="s">
        <v>3049</v>
      </c>
      <c r="DR461" s="21">
        <v>45883</v>
      </c>
      <c r="DS461" s="21">
        <v>45883</v>
      </c>
      <c r="DT461" s="21">
        <v>45883</v>
      </c>
      <c r="DU461" s="21">
        <v>45883</v>
      </c>
      <c r="DV461" s="21">
        <v>45883</v>
      </c>
      <c r="DW461" s="21">
        <v>45883</v>
      </c>
      <c r="DX461" s="21">
        <v>45883</v>
      </c>
      <c r="DY461" s="21">
        <v>45883</v>
      </c>
      <c r="DZ461" s="21">
        <v>45883</v>
      </c>
      <c r="EA461" s="8">
        <v>200</v>
      </c>
      <c r="EB461" s="8">
        <v>200</v>
      </c>
      <c r="EC461" s="8">
        <v>150</v>
      </c>
      <c r="ED461" s="8">
        <v>200</v>
      </c>
      <c r="EE461" s="8">
        <v>200</v>
      </c>
      <c r="EF461" s="8">
        <v>1209</v>
      </c>
      <c r="EG461" s="8">
        <v>800</v>
      </c>
      <c r="EH461" s="8">
        <v>1200</v>
      </c>
      <c r="EI461" s="8">
        <v>2700</v>
      </c>
      <c r="EJ461" s="8">
        <v>2</v>
      </c>
      <c r="EK461" s="8" t="s">
        <v>2624</v>
      </c>
      <c r="EL461" s="8">
        <v>0</v>
      </c>
      <c r="EM461" s="8">
        <v>0</v>
      </c>
      <c r="EN461" s="8">
        <v>-88</v>
      </c>
      <c r="EO461" s="8">
        <v>-88</v>
      </c>
      <c r="EP461" s="8">
        <v>-138</v>
      </c>
      <c r="EQ461" s="8">
        <v>-88</v>
      </c>
      <c r="ER461" s="8">
        <v>-88</v>
      </c>
      <c r="ES461" s="8">
        <v>921</v>
      </c>
      <c r="ET461" s="8">
        <v>512</v>
      </c>
      <c r="EU461" s="8">
        <v>912</v>
      </c>
      <c r="EV461" s="8">
        <v>2412</v>
      </c>
    </row>
    <row r="462" spans="1:152" x14ac:dyDescent="0.15">
      <c r="A462" s="8">
        <f>ROW([2]!tbl_DPSAC[[#This Row],[Sl. No.]])-1</f>
        <v>461</v>
      </c>
      <c r="B462" s="9" t="s">
        <v>196</v>
      </c>
      <c r="C462" s="8" t="s">
        <v>2492</v>
      </c>
      <c r="D462" s="8" t="s">
        <v>2493</v>
      </c>
      <c r="E462" s="8" t="s">
        <v>2494</v>
      </c>
      <c r="F462" s="9" t="s">
        <v>161</v>
      </c>
      <c r="G462" s="23" t="s">
        <v>2495</v>
      </c>
      <c r="H462" s="10"/>
      <c r="I462" s="23"/>
      <c r="J462" s="10"/>
      <c r="K462" s="10">
        <f>IF(_xlfn.XLOOKUP(C462,'[1]E&amp;DPSAC'!$K:$K,'[1]E&amp;DPSAC'!$G:$G,"",0)=J462,"",_xlfn.XLOOKUP(C462,'[1]E&amp;DPSAC'!$K:$K,'[1]E&amp;DPSAC'!$G:$G,"",0))</f>
        <v>9006233597</v>
      </c>
      <c r="L462" s="9" t="str">
        <f t="shared" ca="1" si="27"/>
        <v>Warranty</v>
      </c>
      <c r="M462" s="13">
        <v>45883</v>
      </c>
      <c r="N462" s="12">
        <v>24</v>
      </c>
      <c r="O462" s="11">
        <f t="shared" si="26"/>
        <v>46630</v>
      </c>
      <c r="P462" s="8" t="s">
        <v>213</v>
      </c>
      <c r="Q462" s="16" t="s">
        <v>143</v>
      </c>
      <c r="R462" s="15" t="s">
        <v>143</v>
      </c>
      <c r="S462" s="14" t="s">
        <v>143</v>
      </c>
      <c r="T462" s="15">
        <v>45882</v>
      </c>
      <c r="U462" s="14">
        <v>1</v>
      </c>
      <c r="V462" s="14">
        <v>430</v>
      </c>
      <c r="W462" s="17">
        <v>46105.568715277797</v>
      </c>
      <c r="X462" s="14" t="s">
        <v>143</v>
      </c>
      <c r="Y462" s="14">
        <v>0</v>
      </c>
      <c r="Z462" s="14" t="s">
        <v>2692</v>
      </c>
      <c r="AA462" s="18">
        <v>230</v>
      </c>
      <c r="AB462" s="18" t="s">
        <v>2697</v>
      </c>
      <c r="AC462" s="8">
        <f>tbl_DPSAC[[#This Row],[Current Month Due Count]]</f>
        <v>0</v>
      </c>
      <c r="AD462" s="8">
        <f>tbl_DPSAC[[#This Row],[Next Month Due2]]</f>
        <v>0</v>
      </c>
      <c r="AE462" s="8"/>
      <c r="AF462" s="8">
        <v>2</v>
      </c>
      <c r="AG462" s="14">
        <f t="shared" ca="1" si="28"/>
        <v>445</v>
      </c>
      <c r="AH462" s="8"/>
      <c r="AI462" s="8"/>
      <c r="AJ462" s="8"/>
      <c r="AK462" s="8"/>
      <c r="AL462" s="8"/>
      <c r="AM462" s="8"/>
      <c r="AN462" s="8"/>
      <c r="AO462" s="8"/>
      <c r="AP462" s="8"/>
      <c r="AQ462" s="8"/>
      <c r="AR462" s="8"/>
      <c r="AS462" s="8"/>
      <c r="AT462" s="8"/>
      <c r="AU462" s="8"/>
      <c r="AV462" s="8"/>
      <c r="AW462" s="8"/>
      <c r="AX462" s="8" t="s">
        <v>2007</v>
      </c>
      <c r="AY462" s="14">
        <v>1</v>
      </c>
      <c r="AZ462" s="19">
        <v>45883</v>
      </c>
      <c r="BA462" s="14" t="s">
        <v>2496</v>
      </c>
      <c r="BB462" s="14">
        <v>1</v>
      </c>
      <c r="BC462" s="19">
        <v>45883</v>
      </c>
      <c r="BD462" s="14" t="s">
        <v>2496</v>
      </c>
      <c r="BE462" s="14">
        <v>1</v>
      </c>
      <c r="BF462" s="19">
        <v>45883</v>
      </c>
      <c r="BG462" s="14" t="s">
        <v>2496</v>
      </c>
      <c r="BH462" s="14">
        <v>1</v>
      </c>
      <c r="BI462" s="19">
        <v>45883</v>
      </c>
      <c r="BJ462" s="14" t="s">
        <v>2496</v>
      </c>
      <c r="BK462" s="14">
        <v>1</v>
      </c>
      <c r="BL462" s="19">
        <v>45883</v>
      </c>
      <c r="BM462" s="14" t="s">
        <v>2496</v>
      </c>
      <c r="BN462" s="27">
        <v>46063</v>
      </c>
      <c r="BO462" s="27">
        <v>46063</v>
      </c>
      <c r="BP462" s="27">
        <v>46063</v>
      </c>
      <c r="BQ462" s="27">
        <v>46063</v>
      </c>
      <c r="BR462" s="27">
        <v>46248</v>
      </c>
      <c r="BS462" s="28">
        <v>306</v>
      </c>
      <c r="BT462" s="29">
        <v>1056</v>
      </c>
      <c r="BU462" s="29">
        <v>306</v>
      </c>
      <c r="BV462" s="29">
        <v>306</v>
      </c>
      <c r="BW462" s="29">
        <v>1056</v>
      </c>
      <c r="BX462" s="8"/>
      <c r="BY462" s="8">
        <v>4</v>
      </c>
      <c r="BZ462" s="8">
        <v>0</v>
      </c>
      <c r="CA462" s="8">
        <v>0</v>
      </c>
      <c r="CB462" s="21">
        <v>45882.770833333299</v>
      </c>
      <c r="CC462" s="21">
        <v>45882.770833333299</v>
      </c>
      <c r="CD462" s="21">
        <v>0</v>
      </c>
      <c r="CE462" s="21">
        <v>45882.770833333299</v>
      </c>
      <c r="CF462" s="21">
        <v>45882.770833333299</v>
      </c>
      <c r="CG462" s="21">
        <v>45882.770833333299</v>
      </c>
      <c r="CH462" s="21">
        <v>45882.770833333299</v>
      </c>
      <c r="CI462" s="21">
        <v>45882.770833333299</v>
      </c>
      <c r="CJ462" s="21">
        <v>45882.770833333299</v>
      </c>
      <c r="CK462" s="22" t="s">
        <v>3019</v>
      </c>
      <c r="CL462" s="22" t="s">
        <v>3110</v>
      </c>
      <c r="CM462" s="22" t="s">
        <v>3110</v>
      </c>
      <c r="CN462" s="22" t="s">
        <v>3110</v>
      </c>
      <c r="CO462" s="22" t="s">
        <v>3110</v>
      </c>
      <c r="CP462" s="22" t="s">
        <v>3026</v>
      </c>
      <c r="CQ462" s="22" t="s">
        <v>2953</v>
      </c>
      <c r="CR462" s="22" t="s">
        <v>3026</v>
      </c>
      <c r="CS462" s="22" t="s">
        <v>3213</v>
      </c>
      <c r="CT462" s="22">
        <v>2</v>
      </c>
      <c r="CU462" s="21">
        <v>46062</v>
      </c>
      <c r="CV462" s="21">
        <v>46062</v>
      </c>
      <c r="CW462" s="21">
        <v>46136</v>
      </c>
      <c r="CX462" s="21">
        <v>46062</v>
      </c>
      <c r="CY462" s="21">
        <v>46062</v>
      </c>
      <c r="CZ462" s="21">
        <v>46152</v>
      </c>
      <c r="DA462" s="21">
        <v>46247</v>
      </c>
      <c r="DB462" s="21">
        <v>46062</v>
      </c>
      <c r="DC462" s="21">
        <v>46247</v>
      </c>
      <c r="DD462" s="8">
        <v>0</v>
      </c>
      <c r="DE462" s="8">
        <v>1</v>
      </c>
      <c r="DF462" s="8">
        <v>0</v>
      </c>
      <c r="DG462" s="8">
        <v>5</v>
      </c>
      <c r="DH462" s="8">
        <v>1</v>
      </c>
      <c r="DI462" s="8">
        <v>1</v>
      </c>
      <c r="DJ462" s="8" t="s">
        <v>2976</v>
      </c>
      <c r="DK462" s="21">
        <v>45883</v>
      </c>
      <c r="DL462" s="21">
        <v>45827.229166666664</v>
      </c>
      <c r="DM462" s="21">
        <v>46105</v>
      </c>
      <c r="DN462" s="18">
        <v>430</v>
      </c>
      <c r="DO462" s="21">
        <v>0</v>
      </c>
      <c r="DP462" s="21">
        <v>0</v>
      </c>
      <c r="DQ462" s="21" t="s">
        <v>3049</v>
      </c>
      <c r="DR462" s="21">
        <v>45883</v>
      </c>
      <c r="DS462" s="21">
        <v>45883</v>
      </c>
      <c r="DT462" s="21">
        <v>45883</v>
      </c>
      <c r="DU462" s="21">
        <v>45883</v>
      </c>
      <c r="DV462" s="21">
        <v>45883</v>
      </c>
      <c r="DW462" s="21">
        <v>45883</v>
      </c>
      <c r="DX462" s="21">
        <v>45883</v>
      </c>
      <c r="DY462" s="21">
        <v>45883</v>
      </c>
      <c r="DZ462" s="21">
        <v>45883</v>
      </c>
      <c r="EA462" s="8">
        <v>170</v>
      </c>
      <c r="EB462" s="8">
        <v>170</v>
      </c>
      <c r="EC462" s="8">
        <v>170</v>
      </c>
      <c r="ED462" s="8">
        <v>170</v>
      </c>
      <c r="EE462" s="8">
        <v>170</v>
      </c>
      <c r="EF462" s="8">
        <v>1170</v>
      </c>
      <c r="EG462" s="8">
        <v>1000</v>
      </c>
      <c r="EH462" s="8">
        <v>1170</v>
      </c>
      <c r="EI462" s="8">
        <v>1170</v>
      </c>
      <c r="EJ462" s="8">
        <v>1</v>
      </c>
      <c r="EK462" s="8" t="s">
        <v>2624</v>
      </c>
      <c r="EL462" s="8">
        <v>7</v>
      </c>
      <c r="EM462" s="8">
        <v>14</v>
      </c>
      <c r="EN462" s="8">
        <v>-118</v>
      </c>
      <c r="EO462" s="8">
        <v>-118</v>
      </c>
      <c r="EP462" s="8">
        <v>-118</v>
      </c>
      <c r="EQ462" s="8">
        <v>-118</v>
      </c>
      <c r="ER462" s="8">
        <v>-118</v>
      </c>
      <c r="ES462" s="8">
        <v>882</v>
      </c>
      <c r="ET462" s="8">
        <v>712</v>
      </c>
      <c r="EU462" s="8">
        <v>882</v>
      </c>
      <c r="EV462" s="8">
        <v>882</v>
      </c>
    </row>
    <row r="463" spans="1:152" x14ac:dyDescent="0.15">
      <c r="A463" s="8">
        <f>ROW([2]!tbl_DPSAC[[#This Row],[Sl. No.]])-1</f>
        <v>462</v>
      </c>
      <c r="B463" s="9" t="s">
        <v>136</v>
      </c>
      <c r="C463" s="8" t="s">
        <v>2497</v>
      </c>
      <c r="D463" s="8" t="s">
        <v>333</v>
      </c>
      <c r="E463" s="8" t="s">
        <v>333</v>
      </c>
      <c r="F463" s="9" t="s">
        <v>140</v>
      </c>
      <c r="G463" s="23" t="s">
        <v>2063</v>
      </c>
      <c r="H463" s="10" t="s">
        <v>2498</v>
      </c>
      <c r="I463" s="25" t="s">
        <v>2499</v>
      </c>
      <c r="J463" s="10"/>
      <c r="K463" s="10">
        <f>IF(_xlfn.XLOOKUP(C463,'[1]E&amp;DPSAC'!$K:$K,'[1]E&amp;DPSAC'!$G:$G,"",0)=J463,"",_xlfn.XLOOKUP(C463,'[1]E&amp;DPSAC'!$K:$K,'[1]E&amp;DPSAC'!$G:$G,"",0))</f>
        <v>855006735</v>
      </c>
      <c r="L463" s="9" t="str">
        <f t="shared" ca="1" si="27"/>
        <v>Warranty</v>
      </c>
      <c r="M463" s="13">
        <v>45894</v>
      </c>
      <c r="N463" s="12">
        <v>36</v>
      </c>
      <c r="O463" s="11">
        <f t="shared" si="26"/>
        <v>46996</v>
      </c>
      <c r="P463" s="8" t="s">
        <v>213</v>
      </c>
      <c r="Q463" s="16" t="s">
        <v>2502</v>
      </c>
      <c r="R463" s="15">
        <v>46062.566145833298</v>
      </c>
      <c r="S463" s="14">
        <v>947</v>
      </c>
      <c r="T463" s="15">
        <v>46056</v>
      </c>
      <c r="U463" s="14">
        <v>900</v>
      </c>
      <c r="V463" s="14">
        <v>1070</v>
      </c>
      <c r="W463" s="17">
        <v>46105.573576388902</v>
      </c>
      <c r="X463" s="14" t="s">
        <v>2837</v>
      </c>
      <c r="Y463" s="14">
        <v>627</v>
      </c>
      <c r="Z463" s="14" t="s">
        <v>2692</v>
      </c>
      <c r="AA463" s="18">
        <v>50.433854166702076</v>
      </c>
      <c r="AB463" s="18" t="s">
        <v>2692</v>
      </c>
      <c r="AC463" s="8">
        <f>tbl_DPSAC[[#This Row],[Current Month Due Count]]</f>
        <v>0</v>
      </c>
      <c r="AD463" s="8">
        <f>tbl_DPSAC[[#This Row],[Next Month Due2]]</f>
        <v>0</v>
      </c>
      <c r="AE463" s="8"/>
      <c r="AF463" s="8">
        <v>3</v>
      </c>
      <c r="AG463" s="14">
        <f t="shared" ca="1" si="28"/>
        <v>1092</v>
      </c>
      <c r="AH463" s="8" t="s">
        <v>2500</v>
      </c>
      <c r="AI463" s="8" t="s">
        <v>2501</v>
      </c>
      <c r="AJ463" s="8"/>
      <c r="AK463" s="8"/>
      <c r="AL463" s="8"/>
      <c r="AM463" s="8"/>
      <c r="AN463" s="8"/>
      <c r="AO463" s="8"/>
      <c r="AP463" s="8"/>
      <c r="AQ463" s="8"/>
      <c r="AR463" s="8"/>
      <c r="AS463" s="8"/>
      <c r="AT463" s="8"/>
      <c r="AU463" s="8"/>
      <c r="AV463" s="8"/>
      <c r="AW463" s="8"/>
      <c r="AX463" s="8" t="s">
        <v>2007</v>
      </c>
      <c r="AY463" s="14">
        <v>947</v>
      </c>
      <c r="AZ463" s="19">
        <v>46062</v>
      </c>
      <c r="BA463" s="14" t="s">
        <v>2502</v>
      </c>
      <c r="BB463" s="14">
        <v>1</v>
      </c>
      <c r="BC463" s="19">
        <v>45894</v>
      </c>
      <c r="BD463" s="14" t="s">
        <v>2503</v>
      </c>
      <c r="BE463" s="14">
        <v>947</v>
      </c>
      <c r="BF463" s="19">
        <v>46062</v>
      </c>
      <c r="BG463" s="14" t="s">
        <v>2502</v>
      </c>
      <c r="BH463" s="14">
        <v>947</v>
      </c>
      <c r="BI463" s="19">
        <v>46062</v>
      </c>
      <c r="BJ463" s="14" t="s">
        <v>2502</v>
      </c>
      <c r="BK463" s="14">
        <v>1</v>
      </c>
      <c r="BL463" s="19">
        <v>45894</v>
      </c>
      <c r="BM463" s="14" t="s">
        <v>2503</v>
      </c>
      <c r="BN463" s="27">
        <v>46242</v>
      </c>
      <c r="BO463" s="27">
        <v>46074</v>
      </c>
      <c r="BP463" s="27">
        <v>46242</v>
      </c>
      <c r="BQ463" s="27">
        <v>46242</v>
      </c>
      <c r="BR463" s="27">
        <v>46259</v>
      </c>
      <c r="BS463" s="28">
        <v>605</v>
      </c>
      <c r="BT463" s="29">
        <v>409</v>
      </c>
      <c r="BU463" s="29">
        <v>605</v>
      </c>
      <c r="BV463" s="29">
        <v>605</v>
      </c>
      <c r="BW463" s="29">
        <v>409</v>
      </c>
      <c r="BX463" s="8"/>
      <c r="BY463" s="8">
        <v>1</v>
      </c>
      <c r="BZ463" s="8">
        <v>0</v>
      </c>
      <c r="CA463" s="8">
        <v>0</v>
      </c>
      <c r="CB463" s="21">
        <v>46061.770833333299</v>
      </c>
      <c r="CC463" s="21">
        <v>46061.770833333299</v>
      </c>
      <c r="CD463" s="21">
        <v>46061.770833333299</v>
      </c>
      <c r="CE463" s="21">
        <v>46061.770833333299</v>
      </c>
      <c r="CF463" s="21">
        <v>46061.770833333299</v>
      </c>
      <c r="CG463" s="21">
        <v>46061.770833333299</v>
      </c>
      <c r="CH463" s="21">
        <v>45893.770833333299</v>
      </c>
      <c r="CI463" s="21">
        <v>45893.770833333299</v>
      </c>
      <c r="CJ463" s="21">
        <v>45893.770833333299</v>
      </c>
      <c r="CK463" s="22" t="s">
        <v>2956</v>
      </c>
      <c r="CL463" s="22" t="s">
        <v>2957</v>
      </c>
      <c r="CM463" s="22" t="s">
        <v>2959</v>
      </c>
      <c r="CN463" s="22" t="s">
        <v>2957</v>
      </c>
      <c r="CO463" s="22" t="s">
        <v>2957</v>
      </c>
      <c r="CP463" s="22" t="s">
        <v>3014</v>
      </c>
      <c r="CQ463" s="22" t="s">
        <v>2953</v>
      </c>
      <c r="CR463" s="22" t="s">
        <v>3014</v>
      </c>
      <c r="CS463" s="22" t="s">
        <v>3214</v>
      </c>
      <c r="CT463" s="22">
        <v>4</v>
      </c>
      <c r="CU463" s="21">
        <v>46241</v>
      </c>
      <c r="CV463" s="21">
        <v>46241</v>
      </c>
      <c r="CW463" s="21">
        <v>46187</v>
      </c>
      <c r="CX463" s="21">
        <v>46241</v>
      </c>
      <c r="CY463" s="21">
        <v>46241</v>
      </c>
      <c r="CZ463" s="21">
        <v>46199</v>
      </c>
      <c r="DA463" s="21">
        <v>46258</v>
      </c>
      <c r="DB463" s="21">
        <v>46073</v>
      </c>
      <c r="DC463" s="21">
        <v>46258</v>
      </c>
      <c r="DD463" s="8">
        <v>0</v>
      </c>
      <c r="DE463" s="8">
        <v>1</v>
      </c>
      <c r="DF463" s="8">
        <v>0</v>
      </c>
      <c r="DG463" s="8">
        <v>1</v>
      </c>
      <c r="DH463" s="8">
        <v>0</v>
      </c>
      <c r="DI463" s="8">
        <v>0</v>
      </c>
      <c r="DJ463" s="8" t="s">
        <v>2976</v>
      </c>
      <c r="DK463" s="21">
        <v>45894</v>
      </c>
      <c r="DL463" s="21">
        <v>45407.229166666664</v>
      </c>
      <c r="DM463" s="21">
        <v>46105</v>
      </c>
      <c r="DN463" s="18">
        <v>1070</v>
      </c>
      <c r="DO463" s="21">
        <v>0</v>
      </c>
      <c r="DP463" s="21">
        <v>0</v>
      </c>
      <c r="DQ463" s="21" t="s">
        <v>2955</v>
      </c>
      <c r="DR463" s="21">
        <v>46062</v>
      </c>
      <c r="DS463" s="21">
        <v>46062</v>
      </c>
      <c r="DT463" s="21">
        <v>46062</v>
      </c>
      <c r="DU463" s="21">
        <v>46062</v>
      </c>
      <c r="DV463" s="21">
        <v>46062</v>
      </c>
      <c r="DW463" s="21">
        <v>45894</v>
      </c>
      <c r="DX463" s="21">
        <v>45894</v>
      </c>
      <c r="DY463" s="21">
        <v>45894</v>
      </c>
      <c r="DZ463" s="21">
        <v>45894</v>
      </c>
      <c r="EA463" s="8">
        <v>430</v>
      </c>
      <c r="EB463" s="8">
        <v>430</v>
      </c>
      <c r="EC463" s="8">
        <v>430</v>
      </c>
      <c r="ED463" s="8">
        <v>430</v>
      </c>
      <c r="EE463" s="8">
        <v>430</v>
      </c>
      <c r="EF463" s="8">
        <v>1430</v>
      </c>
      <c r="EG463" s="8">
        <v>1000</v>
      </c>
      <c r="EH463" s="8">
        <v>1430</v>
      </c>
      <c r="EI463" s="8">
        <v>1430</v>
      </c>
      <c r="EJ463" s="8">
        <v>4</v>
      </c>
      <c r="EK463" s="8" t="s">
        <v>2624</v>
      </c>
      <c r="EL463" s="8">
        <v>7</v>
      </c>
      <c r="EM463" s="8">
        <v>21</v>
      </c>
      <c r="EN463" s="8">
        <v>142</v>
      </c>
      <c r="EO463" s="8">
        <v>142</v>
      </c>
      <c r="EP463" s="8">
        <v>142</v>
      </c>
      <c r="EQ463" s="8">
        <v>142</v>
      </c>
      <c r="ER463" s="8">
        <v>142</v>
      </c>
      <c r="ES463" s="8">
        <v>1142</v>
      </c>
      <c r="ET463" s="8">
        <v>712</v>
      </c>
      <c r="EU463" s="8">
        <v>1142</v>
      </c>
      <c r="EV463" s="8">
        <v>1142</v>
      </c>
    </row>
    <row r="464" spans="1:152" x14ac:dyDescent="0.15">
      <c r="A464" s="8">
        <f>ROW([2]!tbl_DPSAC[[#This Row],[Sl. No.]])-1</f>
        <v>463</v>
      </c>
      <c r="B464" s="9" t="s">
        <v>196</v>
      </c>
      <c r="C464" s="8" t="s">
        <v>2504</v>
      </c>
      <c r="D464" s="8" t="s">
        <v>2505</v>
      </c>
      <c r="E464" s="8" t="s">
        <v>2506</v>
      </c>
      <c r="F464" s="9" t="s">
        <v>161</v>
      </c>
      <c r="G464" s="23" t="s">
        <v>2507</v>
      </c>
      <c r="H464" s="10" t="s">
        <v>2508</v>
      </c>
      <c r="I464" s="23"/>
      <c r="J464" s="10">
        <v>9431029792</v>
      </c>
      <c r="K464" s="10" t="str">
        <f>IF(_xlfn.XLOOKUP(C464,'[1]E&amp;DPSAC'!$K:$K,'[1]E&amp;DPSAC'!$G:$G,"",0)=J464,"",_xlfn.XLOOKUP(C464,'[1]E&amp;DPSAC'!$K:$K,'[1]E&amp;DPSAC'!$G:$G,"",0))</f>
        <v/>
      </c>
      <c r="L464" s="9" t="str">
        <f t="shared" ca="1" si="27"/>
        <v>Warranty</v>
      </c>
      <c r="M464" s="13">
        <v>45906</v>
      </c>
      <c r="N464" s="12">
        <v>24</v>
      </c>
      <c r="O464" s="11">
        <f t="shared" si="26"/>
        <v>46660</v>
      </c>
      <c r="P464" s="8" t="s">
        <v>213</v>
      </c>
      <c r="Q464" s="16" t="s">
        <v>143</v>
      </c>
      <c r="R464" s="15" t="s">
        <v>143</v>
      </c>
      <c r="S464" s="14" t="s">
        <v>143</v>
      </c>
      <c r="T464" s="15">
        <v>45906</v>
      </c>
      <c r="U464" s="14">
        <v>1</v>
      </c>
      <c r="V464" s="14">
        <v>395</v>
      </c>
      <c r="W464" s="17">
        <v>46105.591481481497</v>
      </c>
      <c r="X464" s="14" t="s">
        <v>143</v>
      </c>
      <c r="Y464" s="14">
        <v>0</v>
      </c>
      <c r="Z464" s="14" t="s">
        <v>2692</v>
      </c>
      <c r="AA464" s="18">
        <v>207</v>
      </c>
      <c r="AB464" s="18" t="s">
        <v>2697</v>
      </c>
      <c r="AC464" s="8">
        <f>tbl_DPSAC[[#This Row],[Current Month Due Count]]</f>
        <v>0</v>
      </c>
      <c r="AD464" s="8">
        <f>tbl_DPSAC[[#This Row],[Next Month Due2]]</f>
        <v>0</v>
      </c>
      <c r="AE464" s="8"/>
      <c r="AF464" s="8">
        <v>1</v>
      </c>
      <c r="AG464" s="14">
        <f t="shared" ca="1" si="28"/>
        <v>402</v>
      </c>
      <c r="AH464" s="8"/>
      <c r="AI464" s="8"/>
      <c r="AJ464" s="8"/>
      <c r="AK464" s="8"/>
      <c r="AL464" s="8"/>
      <c r="AM464" s="8"/>
      <c r="AN464" s="8"/>
      <c r="AO464" s="8"/>
      <c r="AP464" s="8"/>
      <c r="AQ464" s="8"/>
      <c r="AR464" s="8"/>
      <c r="AS464" s="8"/>
      <c r="AT464" s="8"/>
      <c r="AU464" s="8"/>
      <c r="AV464" s="8"/>
      <c r="AW464" s="8"/>
      <c r="AX464" s="8" t="s">
        <v>2007</v>
      </c>
      <c r="AY464" s="14">
        <v>1</v>
      </c>
      <c r="AZ464" s="19">
        <v>45906</v>
      </c>
      <c r="BA464" s="14" t="s">
        <v>2509</v>
      </c>
      <c r="BB464" s="14">
        <v>1</v>
      </c>
      <c r="BC464" s="19">
        <v>45906</v>
      </c>
      <c r="BD464" s="14" t="s">
        <v>2509</v>
      </c>
      <c r="BE464" s="14">
        <v>1</v>
      </c>
      <c r="BF464" s="19">
        <v>45906</v>
      </c>
      <c r="BG464" s="14" t="s">
        <v>2509</v>
      </c>
      <c r="BH464" s="14">
        <v>1</v>
      </c>
      <c r="BI464" s="19">
        <v>45906</v>
      </c>
      <c r="BJ464" s="14" t="s">
        <v>2509</v>
      </c>
      <c r="BK464" s="14">
        <v>1</v>
      </c>
      <c r="BL464" s="19">
        <v>45906</v>
      </c>
      <c r="BM464" s="14" t="s">
        <v>2509</v>
      </c>
      <c r="BN464" s="27">
        <v>46086</v>
      </c>
      <c r="BO464" s="27">
        <v>46086</v>
      </c>
      <c r="BP464" s="27">
        <v>46086</v>
      </c>
      <c r="BQ464" s="27">
        <v>46086</v>
      </c>
      <c r="BR464" s="27">
        <v>46271</v>
      </c>
      <c r="BS464" s="28">
        <v>349</v>
      </c>
      <c r="BT464" s="29">
        <v>1099</v>
      </c>
      <c r="BU464" s="29">
        <v>349</v>
      </c>
      <c r="BV464" s="29">
        <v>349</v>
      </c>
      <c r="BW464" s="29">
        <v>1099</v>
      </c>
      <c r="BX464" s="8"/>
      <c r="BY464" s="8">
        <v>4</v>
      </c>
      <c r="BZ464" s="8">
        <v>0</v>
      </c>
      <c r="CA464" s="8">
        <v>0</v>
      </c>
      <c r="CB464" s="21">
        <v>45905.770833333299</v>
      </c>
      <c r="CC464" s="21">
        <v>45905.770833333299</v>
      </c>
      <c r="CD464" s="21">
        <v>0</v>
      </c>
      <c r="CE464" s="21">
        <v>45905.770833333299</v>
      </c>
      <c r="CF464" s="21">
        <v>45905.770833333299</v>
      </c>
      <c r="CG464" s="21">
        <v>45905.770833333299</v>
      </c>
      <c r="CH464" s="21">
        <v>45905.770833333299</v>
      </c>
      <c r="CI464" s="21">
        <v>45905.770833333299</v>
      </c>
      <c r="CJ464" s="21">
        <v>45905.770833333299</v>
      </c>
      <c r="CK464" s="22" t="s">
        <v>3041</v>
      </c>
      <c r="CL464" s="22" t="s">
        <v>3041</v>
      </c>
      <c r="CM464" s="22" t="s">
        <v>3041</v>
      </c>
      <c r="CN464" s="22" t="s">
        <v>3041</v>
      </c>
      <c r="CO464" s="22" t="s">
        <v>3041</v>
      </c>
      <c r="CP464" s="22" t="s">
        <v>3215</v>
      </c>
      <c r="CQ464" s="22" t="s">
        <v>2953</v>
      </c>
      <c r="CR464" s="22" t="s">
        <v>3215</v>
      </c>
      <c r="CS464" s="22" t="s">
        <v>3216</v>
      </c>
      <c r="CT464" s="22">
        <v>2</v>
      </c>
      <c r="CU464" s="21">
        <v>46085</v>
      </c>
      <c r="CV464" s="21">
        <v>46085</v>
      </c>
      <c r="CW464" s="21">
        <v>46089</v>
      </c>
      <c r="CX464" s="21">
        <v>46085</v>
      </c>
      <c r="CY464" s="21">
        <v>46085</v>
      </c>
      <c r="CZ464" s="21">
        <v>46175</v>
      </c>
      <c r="DA464" s="21">
        <v>46270</v>
      </c>
      <c r="DB464" s="21">
        <v>46085</v>
      </c>
      <c r="DC464" s="21">
        <v>46270</v>
      </c>
      <c r="DD464" s="8">
        <v>0</v>
      </c>
      <c r="DE464" s="8">
        <v>0</v>
      </c>
      <c r="DF464" s="8">
        <v>1</v>
      </c>
      <c r="DG464" s="8">
        <v>6</v>
      </c>
      <c r="DH464" s="8">
        <v>0</v>
      </c>
      <c r="DI464" s="8">
        <v>0</v>
      </c>
      <c r="DJ464" s="8" t="s">
        <v>2976</v>
      </c>
      <c r="DK464" s="21">
        <v>45906</v>
      </c>
      <c r="DL464" s="21">
        <v>45890.229166666664</v>
      </c>
      <c r="DM464" s="21">
        <v>46105</v>
      </c>
      <c r="DN464" s="18">
        <v>395</v>
      </c>
      <c r="DO464" s="21">
        <v>0</v>
      </c>
      <c r="DP464" s="21">
        <v>0</v>
      </c>
      <c r="DQ464" s="21" t="s">
        <v>3049</v>
      </c>
      <c r="DR464" s="21">
        <v>45906</v>
      </c>
      <c r="DS464" s="21">
        <v>45906</v>
      </c>
      <c r="DT464" s="21">
        <v>45906</v>
      </c>
      <c r="DU464" s="21">
        <v>45906</v>
      </c>
      <c r="DV464" s="21">
        <v>45906</v>
      </c>
      <c r="DW464" s="21">
        <v>45906</v>
      </c>
      <c r="DX464" s="21">
        <v>45906</v>
      </c>
      <c r="DY464" s="21">
        <v>45906</v>
      </c>
      <c r="DZ464" s="21">
        <v>45906</v>
      </c>
      <c r="EA464" s="8">
        <v>105</v>
      </c>
      <c r="EB464" s="8">
        <v>105</v>
      </c>
      <c r="EC464" s="8">
        <v>105</v>
      </c>
      <c r="ED464" s="8">
        <v>105</v>
      </c>
      <c r="EE464" s="8">
        <v>105</v>
      </c>
      <c r="EF464" s="8">
        <v>1105</v>
      </c>
      <c r="EG464" s="8">
        <v>1000</v>
      </c>
      <c r="EH464" s="8">
        <v>1106</v>
      </c>
      <c r="EI464" s="8">
        <v>1106</v>
      </c>
      <c r="EJ464" s="8">
        <v>1</v>
      </c>
      <c r="EK464" s="8" t="s">
        <v>2624</v>
      </c>
      <c r="EL464" s="8">
        <v>7</v>
      </c>
      <c r="EM464" s="8">
        <v>7</v>
      </c>
      <c r="EN464" s="8">
        <v>-183</v>
      </c>
      <c r="EO464" s="8">
        <v>-183</v>
      </c>
      <c r="EP464" s="8">
        <v>-183</v>
      </c>
      <c r="EQ464" s="8">
        <v>-183</v>
      </c>
      <c r="ER464" s="8">
        <v>-183</v>
      </c>
      <c r="ES464" s="8">
        <v>817</v>
      </c>
      <c r="ET464" s="8">
        <v>712</v>
      </c>
      <c r="EU464" s="8">
        <v>818</v>
      </c>
      <c r="EV464" s="8">
        <v>818</v>
      </c>
    </row>
    <row r="465" spans="1:152" x14ac:dyDescent="0.15">
      <c r="A465" s="8">
        <f>ROW([2]!tbl_DPSAC[[#This Row],[Sl. No.]])-1</f>
        <v>464</v>
      </c>
      <c r="B465" s="9" t="s">
        <v>196</v>
      </c>
      <c r="C465" s="8" t="s">
        <v>2510</v>
      </c>
      <c r="D465" s="8" t="s">
        <v>1426</v>
      </c>
      <c r="E465" s="8" t="s">
        <v>1707</v>
      </c>
      <c r="F465" s="9" t="s">
        <v>161</v>
      </c>
      <c r="G465" s="23" t="s">
        <v>2511</v>
      </c>
      <c r="H465" s="10" t="s">
        <v>2512</v>
      </c>
      <c r="I465" s="23"/>
      <c r="J465" s="10">
        <v>7050924205</v>
      </c>
      <c r="K465" s="10">
        <f>IF(_xlfn.XLOOKUP(C465,'[1]E&amp;DPSAC'!$K:$K,'[1]E&amp;DPSAC'!$G:$G,"",0)=J465,"",_xlfn.XLOOKUP(C465,'[1]E&amp;DPSAC'!$K:$K,'[1]E&amp;DPSAC'!$G:$G,"",0))</f>
        <v>7903542753</v>
      </c>
      <c r="L465" s="9" t="str">
        <f t="shared" ca="1" si="27"/>
        <v>Non - Warranty</v>
      </c>
      <c r="M465" s="13">
        <v>45209</v>
      </c>
      <c r="N465" s="12">
        <v>24</v>
      </c>
      <c r="O465" s="11">
        <f t="shared" si="26"/>
        <v>45961</v>
      </c>
      <c r="P465" s="8" t="s">
        <v>157</v>
      </c>
      <c r="Q465" s="16" t="s">
        <v>2515</v>
      </c>
      <c r="R465" s="15">
        <v>45715.712997685201</v>
      </c>
      <c r="S465" s="14">
        <v>1088</v>
      </c>
      <c r="T465" s="15">
        <v>45716</v>
      </c>
      <c r="U465" s="14">
        <v>1088</v>
      </c>
      <c r="V465" s="14">
        <v>1088</v>
      </c>
      <c r="W465" s="17">
        <v>45715.712997685201</v>
      </c>
      <c r="X465" s="14" t="s">
        <v>2927</v>
      </c>
      <c r="Y465" s="14">
        <v>750</v>
      </c>
      <c r="Z465" s="14" t="s">
        <v>2692</v>
      </c>
      <c r="AA465" s="18">
        <v>397.28700231479888</v>
      </c>
      <c r="AB465" s="18" t="s">
        <v>2697</v>
      </c>
      <c r="AC465" s="8">
        <f>tbl_DPSAC[[#This Row],[Current Month Due Count]]</f>
        <v>0</v>
      </c>
      <c r="AD465" s="8">
        <f>tbl_DPSAC[[#This Row],[Next Month Due2]]</f>
        <v>0</v>
      </c>
      <c r="AE465" s="8"/>
      <c r="AF465" s="8">
        <v>0</v>
      </c>
      <c r="AG465" s="14">
        <f t="shared" ca="1" si="28"/>
        <v>1088</v>
      </c>
      <c r="AH465" s="8" t="s">
        <v>2513</v>
      </c>
      <c r="AI465" s="8" t="s">
        <v>1625</v>
      </c>
      <c r="AJ465" s="8" t="s">
        <v>2514</v>
      </c>
      <c r="AK465" s="8"/>
      <c r="AL465" s="8"/>
      <c r="AM465" s="8"/>
      <c r="AN465" s="8"/>
      <c r="AO465" s="8"/>
      <c r="AP465" s="8"/>
      <c r="AQ465" s="8"/>
      <c r="AR465" s="8"/>
      <c r="AS465" s="8"/>
      <c r="AT465" s="8"/>
      <c r="AU465" s="8"/>
      <c r="AV465" s="8"/>
      <c r="AW465" s="8"/>
      <c r="AX465" s="8" t="s">
        <v>2007</v>
      </c>
      <c r="AY465" s="14">
        <v>1088</v>
      </c>
      <c r="AZ465" s="19">
        <v>45715</v>
      </c>
      <c r="BA465" s="14" t="s">
        <v>2515</v>
      </c>
      <c r="BB465" s="14">
        <v>1</v>
      </c>
      <c r="BC465" s="19">
        <v>45209</v>
      </c>
      <c r="BD465" s="14" t="s">
        <v>2516</v>
      </c>
      <c r="BE465" s="14">
        <v>1088</v>
      </c>
      <c r="BF465" s="19">
        <v>45715</v>
      </c>
      <c r="BG465" s="14" t="s">
        <v>2515</v>
      </c>
      <c r="BH465" s="14">
        <v>1088</v>
      </c>
      <c r="BI465" s="19">
        <v>45715</v>
      </c>
      <c r="BJ465" s="14" t="s">
        <v>2515</v>
      </c>
      <c r="BK465" s="14">
        <v>1</v>
      </c>
      <c r="BL465" s="19">
        <v>45209</v>
      </c>
      <c r="BM465" s="14" t="s">
        <v>2516</v>
      </c>
      <c r="BN465" s="27">
        <v>45895</v>
      </c>
      <c r="BO465" s="27">
        <v>45389</v>
      </c>
      <c r="BP465" s="27">
        <v>45895</v>
      </c>
      <c r="BQ465" s="27">
        <v>45895</v>
      </c>
      <c r="BR465" s="27">
        <v>45574</v>
      </c>
      <c r="BS465" s="28">
        <v>750</v>
      </c>
      <c r="BT465" s="29">
        <v>413</v>
      </c>
      <c r="BU465" s="29">
        <v>750</v>
      </c>
      <c r="BV465" s="29">
        <v>750</v>
      </c>
      <c r="BW465" s="29">
        <v>413</v>
      </c>
      <c r="BX465" s="30" t="s">
        <v>2517</v>
      </c>
      <c r="BY465" s="8">
        <v>5</v>
      </c>
      <c r="BZ465" s="8">
        <v>0</v>
      </c>
      <c r="CA465" s="8">
        <v>0</v>
      </c>
      <c r="CB465" s="21" t="s">
        <v>143</v>
      </c>
      <c r="CC465" s="21" t="s">
        <v>143</v>
      </c>
      <c r="CD465" s="21" t="s">
        <v>143</v>
      </c>
      <c r="CE465" s="21" t="s">
        <v>143</v>
      </c>
      <c r="CF465" s="21" t="s">
        <v>143</v>
      </c>
      <c r="CG465" s="21" t="s">
        <v>143</v>
      </c>
      <c r="CH465" s="21" t="s">
        <v>143</v>
      </c>
      <c r="CI465" s="21" t="s">
        <v>143</v>
      </c>
      <c r="CJ465" s="21" t="s">
        <v>143</v>
      </c>
      <c r="CK465" s="22" t="s">
        <v>143</v>
      </c>
      <c r="CL465" s="22" t="s">
        <v>143</v>
      </c>
      <c r="CM465" s="22" t="s">
        <v>143</v>
      </c>
      <c r="CN465" s="22" t="s">
        <v>143</v>
      </c>
      <c r="CO465" s="22" t="s">
        <v>143</v>
      </c>
      <c r="CP465" s="22" t="s">
        <v>143</v>
      </c>
      <c r="CQ465" s="22" t="s">
        <v>143</v>
      </c>
      <c r="CR465" s="22" t="s">
        <v>143</v>
      </c>
      <c r="CS465" s="22" t="s">
        <v>143</v>
      </c>
      <c r="CT465" s="22" t="s">
        <v>143</v>
      </c>
      <c r="CU465" s="21" t="s">
        <v>143</v>
      </c>
      <c r="CV465" s="21" t="s">
        <v>143</v>
      </c>
      <c r="CW465" s="21" t="s">
        <v>143</v>
      </c>
      <c r="CX465" s="21" t="s">
        <v>143</v>
      </c>
      <c r="CY465" s="21" t="s">
        <v>143</v>
      </c>
      <c r="CZ465" s="21" t="s">
        <v>143</v>
      </c>
      <c r="DA465" s="21" t="s">
        <v>143</v>
      </c>
      <c r="DB465" s="21" t="s">
        <v>143</v>
      </c>
      <c r="DC465" s="21" t="s">
        <v>143</v>
      </c>
      <c r="DD465" s="8" t="s">
        <v>143</v>
      </c>
      <c r="DE465" s="8" t="s">
        <v>143</v>
      </c>
      <c r="DF465" s="8" t="s">
        <v>143</v>
      </c>
      <c r="DG465" s="8">
        <v>0</v>
      </c>
      <c r="DH465" s="8">
        <v>0</v>
      </c>
      <c r="DI465" s="8">
        <v>0</v>
      </c>
      <c r="DJ465" s="8" t="s">
        <v>143</v>
      </c>
      <c r="DK465" s="21" t="s">
        <v>143</v>
      </c>
      <c r="DL465" s="21" t="s">
        <v>143</v>
      </c>
      <c r="DM465" s="21" t="s">
        <v>143</v>
      </c>
      <c r="DN465" s="18" t="s">
        <v>143</v>
      </c>
      <c r="DO465" s="21" t="s">
        <v>143</v>
      </c>
      <c r="DP465" s="21" t="s">
        <v>143</v>
      </c>
      <c r="DQ465" s="21" t="s">
        <v>143</v>
      </c>
      <c r="DR465" s="21" t="s">
        <v>143</v>
      </c>
      <c r="DS465" s="21" t="s">
        <v>143</v>
      </c>
      <c r="DT465" s="21" t="s">
        <v>143</v>
      </c>
      <c r="DU465" s="21" t="s">
        <v>143</v>
      </c>
      <c r="DV465" s="21" t="s">
        <v>143</v>
      </c>
      <c r="DW465" s="21" t="s">
        <v>143</v>
      </c>
      <c r="DX465" s="21" t="s">
        <v>143</v>
      </c>
      <c r="DY465" s="21" t="s">
        <v>143</v>
      </c>
      <c r="DZ465" s="21" t="s">
        <v>143</v>
      </c>
      <c r="EA465" s="8" t="s">
        <v>143</v>
      </c>
      <c r="EB465" s="8" t="s">
        <v>143</v>
      </c>
      <c r="EC465" s="8" t="s">
        <v>143</v>
      </c>
      <c r="ED465" s="8" t="s">
        <v>143</v>
      </c>
      <c r="EE465" s="8" t="s">
        <v>143</v>
      </c>
      <c r="EF465" s="8" t="s">
        <v>143</v>
      </c>
      <c r="EG465" s="8" t="s">
        <v>143</v>
      </c>
      <c r="EH465" s="8" t="s">
        <v>143</v>
      </c>
      <c r="EI465" s="8" t="s">
        <v>143</v>
      </c>
      <c r="EJ465" s="8" t="s">
        <v>143</v>
      </c>
      <c r="EK465" s="8" t="s">
        <v>157</v>
      </c>
      <c r="EL465" s="8">
        <v>397</v>
      </c>
      <c r="EM465" s="8">
        <v>0</v>
      </c>
      <c r="EN465" s="8" t="s">
        <v>143</v>
      </c>
      <c r="EO465" s="8" t="s">
        <v>143</v>
      </c>
      <c r="EP465" s="8" t="s">
        <v>143</v>
      </c>
      <c r="EQ465" s="8" t="s">
        <v>143</v>
      </c>
      <c r="ER465" s="8" t="s">
        <v>143</v>
      </c>
      <c r="ES465" s="8" t="s">
        <v>143</v>
      </c>
      <c r="ET465" s="8" t="s">
        <v>143</v>
      </c>
      <c r="EU465" s="8" t="s">
        <v>143</v>
      </c>
      <c r="EV465" s="8" t="s">
        <v>143</v>
      </c>
    </row>
    <row r="466" spans="1:152" ht="31.5" x14ac:dyDescent="0.15">
      <c r="A466" s="8">
        <f>ROW([2]!tbl_DPSAC[[#This Row],[Sl. No.]])-1</f>
        <v>465</v>
      </c>
      <c r="B466" s="9" t="s">
        <v>136</v>
      </c>
      <c r="C466" s="8" t="s">
        <v>2518</v>
      </c>
      <c r="D466" s="8" t="s">
        <v>1491</v>
      </c>
      <c r="E466" s="8" t="s">
        <v>1492</v>
      </c>
      <c r="F466" s="9" t="s">
        <v>161</v>
      </c>
      <c r="G466" s="23" t="s">
        <v>1690</v>
      </c>
      <c r="H466" s="10"/>
      <c r="I466" s="23"/>
      <c r="J466" s="10"/>
      <c r="K466" s="10">
        <f>_xlfn.XLOOKUP(C466,'[1]E&amp;DPSAC'!$K:$K,'[1]E&amp;DPSAC'!$G:$G,"",0)</f>
        <v>7004686026</v>
      </c>
      <c r="L466" s="9" t="str">
        <f t="shared" ca="1" si="27"/>
        <v>Non - Warranty</v>
      </c>
      <c r="M466" s="13">
        <v>44888</v>
      </c>
      <c r="N466" s="12">
        <v>24</v>
      </c>
      <c r="O466" s="11">
        <f t="shared" si="26"/>
        <v>45626</v>
      </c>
      <c r="P466" s="8" t="s">
        <v>142</v>
      </c>
      <c r="Q466" s="16" t="s">
        <v>2527</v>
      </c>
      <c r="R466" s="15">
        <v>45882.60833333333</v>
      </c>
      <c r="S466" s="14">
        <v>3500</v>
      </c>
      <c r="T466" s="15">
        <v>45882</v>
      </c>
      <c r="U466" s="14">
        <v>3500</v>
      </c>
      <c r="V466" s="14">
        <v>3970</v>
      </c>
      <c r="W466" s="17">
        <v>45941.56527777778</v>
      </c>
      <c r="X466" s="14" t="s">
        <v>2928</v>
      </c>
      <c r="Y466" s="14">
        <v>280</v>
      </c>
      <c r="Z466" s="14" t="s">
        <v>2692</v>
      </c>
      <c r="AA466" s="18">
        <v>230.39166666667006</v>
      </c>
      <c r="AB466" s="18" t="s">
        <v>2697</v>
      </c>
      <c r="AC466" s="8">
        <f>tbl_DPSAC[[#This Row],[Current Month Due Count]]</f>
        <v>0</v>
      </c>
      <c r="AD466" s="8">
        <f>tbl_DPSAC[[#This Row],[Next Month Due2]]</f>
        <v>0</v>
      </c>
      <c r="AE466" s="8"/>
      <c r="AF466" s="8">
        <v>8</v>
      </c>
      <c r="AG466" s="14">
        <f t="shared" ca="1" si="28"/>
        <v>5341</v>
      </c>
      <c r="AH466" s="20" t="s">
        <v>2519</v>
      </c>
      <c r="AI466" s="8" t="s">
        <v>2520</v>
      </c>
      <c r="AJ466" s="20" t="s">
        <v>2521</v>
      </c>
      <c r="AK466" s="20" t="s">
        <v>2522</v>
      </c>
      <c r="AL466" s="20" t="s">
        <v>2523</v>
      </c>
      <c r="AM466" s="20" t="s">
        <v>2524</v>
      </c>
      <c r="AN466" s="20" t="s">
        <v>2525</v>
      </c>
      <c r="AO466" s="20" t="s">
        <v>2526</v>
      </c>
      <c r="AP466" s="8"/>
      <c r="AQ466" s="8"/>
      <c r="AR466" s="8"/>
      <c r="AS466" s="8"/>
      <c r="AT466" s="8"/>
      <c r="AU466" s="8"/>
      <c r="AV466" s="8"/>
      <c r="AW466" s="8"/>
      <c r="AX466" s="8" t="s">
        <v>2961</v>
      </c>
      <c r="AY466" s="14">
        <v>3500</v>
      </c>
      <c r="AZ466" s="19">
        <v>45882</v>
      </c>
      <c r="BA466" s="14" t="s">
        <v>2527</v>
      </c>
      <c r="BB466" s="14">
        <v>3137</v>
      </c>
      <c r="BC466" s="19">
        <v>45516</v>
      </c>
      <c r="BD466" s="14" t="s">
        <v>2528</v>
      </c>
      <c r="BE466" s="14">
        <v>3500</v>
      </c>
      <c r="BF466" s="19">
        <v>45882</v>
      </c>
      <c r="BG466" s="14" t="s">
        <v>2527</v>
      </c>
      <c r="BH466" s="14">
        <v>3500</v>
      </c>
      <c r="BI466" s="19">
        <v>45882</v>
      </c>
      <c r="BJ466" s="14" t="s">
        <v>2527</v>
      </c>
      <c r="BK466" s="14">
        <v>3137</v>
      </c>
      <c r="BL466" s="19">
        <v>45516</v>
      </c>
      <c r="BM466" s="14" t="s">
        <v>2528</v>
      </c>
      <c r="BN466" s="27">
        <v>46062</v>
      </c>
      <c r="BO466" s="27">
        <v>45696</v>
      </c>
      <c r="BP466" s="27">
        <v>46062</v>
      </c>
      <c r="BQ466" s="27">
        <v>46062</v>
      </c>
      <c r="BR466" s="27">
        <v>45881</v>
      </c>
      <c r="BS466" s="28">
        <v>-1091</v>
      </c>
      <c r="BT466" s="29">
        <v>-704</v>
      </c>
      <c r="BU466" s="29">
        <v>-1091</v>
      </c>
      <c r="BV466" s="29">
        <v>-1091</v>
      </c>
      <c r="BW466" s="29">
        <v>-704</v>
      </c>
      <c r="BX466" s="8"/>
      <c r="BY466" s="8">
        <v>5</v>
      </c>
      <c r="BZ466" s="8">
        <v>0</v>
      </c>
      <c r="CA466" s="8">
        <v>0</v>
      </c>
      <c r="CB466" s="21">
        <v>45881.770833333299</v>
      </c>
      <c r="CC466" s="21">
        <v>45881.770833333299</v>
      </c>
      <c r="CD466" s="21">
        <v>45881.770833333299</v>
      </c>
      <c r="CE466" s="21">
        <v>45881.770833333299</v>
      </c>
      <c r="CF466" s="21">
        <v>45881.770833333299</v>
      </c>
      <c r="CG466" s="21">
        <v>45515.770833333299</v>
      </c>
      <c r="CH466" s="21">
        <v>45881.770833333299</v>
      </c>
      <c r="CI466" s="21">
        <v>45515.770833333299</v>
      </c>
      <c r="CJ466" s="21">
        <v>45515.770833333299</v>
      </c>
      <c r="CK466" s="22" t="s">
        <v>3008</v>
      </c>
      <c r="CL466" s="22" t="s">
        <v>3008</v>
      </c>
      <c r="CM466" s="22" t="s">
        <v>3008</v>
      </c>
      <c r="CN466" s="22" t="s">
        <v>3008</v>
      </c>
      <c r="CO466" s="22" t="s">
        <v>3008</v>
      </c>
      <c r="CP466" s="22" t="s">
        <v>3068</v>
      </c>
      <c r="CQ466" s="22" t="s">
        <v>2953</v>
      </c>
      <c r="CR466" s="22" t="s">
        <v>3068</v>
      </c>
      <c r="CS466" s="22" t="s">
        <v>3068</v>
      </c>
      <c r="CT466" s="22">
        <v>6</v>
      </c>
      <c r="CU466" s="21">
        <v>45988</v>
      </c>
      <c r="CV466" s="21">
        <v>45988</v>
      </c>
      <c r="CW466" s="21">
        <v>45988</v>
      </c>
      <c r="CX466" s="21">
        <v>45988</v>
      </c>
      <c r="CY466" s="21">
        <v>45988</v>
      </c>
      <c r="CZ466" s="21">
        <v>45785</v>
      </c>
      <c r="DA466" s="21">
        <v>46107</v>
      </c>
      <c r="DB466" s="21">
        <v>45695</v>
      </c>
      <c r="DC466" s="21">
        <v>45880</v>
      </c>
      <c r="DD466" s="8">
        <v>1</v>
      </c>
      <c r="DE466" s="8">
        <v>0</v>
      </c>
      <c r="DF466" s="8">
        <v>1</v>
      </c>
      <c r="DG466" s="8">
        <v>9</v>
      </c>
      <c r="DH466" s="8">
        <v>0</v>
      </c>
      <c r="DI466" s="8">
        <v>0</v>
      </c>
      <c r="DJ466" s="8" t="s">
        <v>2954</v>
      </c>
      <c r="DK466" s="21">
        <v>44888</v>
      </c>
      <c r="DL466" s="21">
        <v>44827.229166666664</v>
      </c>
      <c r="DM466" s="21">
        <v>45941</v>
      </c>
      <c r="DN466" s="18">
        <v>3970</v>
      </c>
      <c r="DO466" s="21">
        <v>0</v>
      </c>
      <c r="DP466" s="21">
        <v>0</v>
      </c>
      <c r="DQ466" s="21" t="s">
        <v>2955</v>
      </c>
      <c r="DR466" s="21">
        <v>45882</v>
      </c>
      <c r="DS466" s="21">
        <v>45882</v>
      </c>
      <c r="DT466" s="21">
        <v>45882</v>
      </c>
      <c r="DU466" s="21">
        <v>45882</v>
      </c>
      <c r="DV466" s="21">
        <v>45882</v>
      </c>
      <c r="DW466" s="21">
        <v>45516</v>
      </c>
      <c r="DX466" s="21">
        <v>45882</v>
      </c>
      <c r="DY466" s="21">
        <v>45516</v>
      </c>
      <c r="DZ466" s="21">
        <v>45516</v>
      </c>
      <c r="EA466" s="8">
        <v>285</v>
      </c>
      <c r="EB466" s="8">
        <v>285</v>
      </c>
      <c r="EC466" s="8">
        <v>285</v>
      </c>
      <c r="ED466" s="8">
        <v>285</v>
      </c>
      <c r="EE466" s="8">
        <v>285</v>
      </c>
      <c r="EF466" s="8">
        <v>670</v>
      </c>
      <c r="EG466" s="8">
        <v>1000</v>
      </c>
      <c r="EH466" s="8">
        <v>670</v>
      </c>
      <c r="EI466" s="8">
        <v>670</v>
      </c>
      <c r="EJ466" s="8">
        <v>6</v>
      </c>
      <c r="EK466" s="8" t="s">
        <v>2624</v>
      </c>
      <c r="EL466" s="8">
        <v>171</v>
      </c>
      <c r="EM466" s="8">
        <v>1368</v>
      </c>
      <c r="EN466" s="8">
        <v>-3</v>
      </c>
      <c r="EO466" s="8">
        <v>-3</v>
      </c>
      <c r="EP466" s="8">
        <v>-3</v>
      </c>
      <c r="EQ466" s="8">
        <v>-3</v>
      </c>
      <c r="ER466" s="8">
        <v>-3</v>
      </c>
      <c r="ES466" s="8">
        <v>382</v>
      </c>
      <c r="ET466" s="8">
        <v>712</v>
      </c>
      <c r="EU466" s="8">
        <v>382</v>
      </c>
      <c r="EV466" s="8">
        <v>382</v>
      </c>
    </row>
    <row r="467" spans="1:152" x14ac:dyDescent="0.15">
      <c r="A467" s="8">
        <f>ROW([2]!tbl_DPSAC[[#This Row],[Sl. No.]])-1</f>
        <v>466</v>
      </c>
      <c r="B467" s="9" t="s">
        <v>136</v>
      </c>
      <c r="C467" s="8" t="s">
        <v>2529</v>
      </c>
      <c r="D467" s="8" t="s">
        <v>1491</v>
      </c>
      <c r="E467" s="8" t="s">
        <v>1492</v>
      </c>
      <c r="F467" s="9" t="s">
        <v>161</v>
      </c>
      <c r="G467" s="23" t="s">
        <v>2183</v>
      </c>
      <c r="H467" s="10" t="s">
        <v>2498</v>
      </c>
      <c r="I467" s="23"/>
      <c r="J467" s="10"/>
      <c r="K467" s="10">
        <f>IF(_xlfn.XLOOKUP(C467,'[1]E&amp;DPSAC'!$K:$K,'[1]E&amp;DPSAC'!$G:$G,"",0)=J467,"",_xlfn.XLOOKUP(C467,'[1]E&amp;DPSAC'!$K:$K,'[1]E&amp;DPSAC'!$G:$G,"",0))</f>
        <v>9333505126</v>
      </c>
      <c r="L467" s="9" t="str">
        <f t="shared" ca="1" si="27"/>
        <v>Warranty</v>
      </c>
      <c r="M467" s="13">
        <v>45579</v>
      </c>
      <c r="N467" s="12">
        <v>24</v>
      </c>
      <c r="O467" s="11">
        <f t="shared" si="26"/>
        <v>46326</v>
      </c>
      <c r="P467" s="8" t="s">
        <v>157</v>
      </c>
      <c r="Q467" s="16" t="s">
        <v>2533</v>
      </c>
      <c r="R467" s="15">
        <v>45913.496817129599</v>
      </c>
      <c r="S467" s="14">
        <v>1485</v>
      </c>
      <c r="T467" s="15">
        <v>45913</v>
      </c>
      <c r="U467" s="14">
        <v>1485</v>
      </c>
      <c r="V467" s="14">
        <v>1485</v>
      </c>
      <c r="W467" s="17">
        <v>45913.496527777781</v>
      </c>
      <c r="X467" s="14" t="s">
        <v>2929</v>
      </c>
      <c r="Y467" s="14">
        <v>750</v>
      </c>
      <c r="Z467" s="14" t="s">
        <v>2692</v>
      </c>
      <c r="AA467" s="18">
        <v>199.50318287040136</v>
      </c>
      <c r="AB467" s="18" t="s">
        <v>2697</v>
      </c>
      <c r="AC467" s="8">
        <f>tbl_DPSAC[[#This Row],[Current Month Due Count]]</f>
        <v>0</v>
      </c>
      <c r="AD467" s="8">
        <f>tbl_DPSAC[[#This Row],[Next Month Due2]]</f>
        <v>0</v>
      </c>
      <c r="AE467" s="8"/>
      <c r="AF467" s="8">
        <v>8</v>
      </c>
      <c r="AG467" s="14">
        <f t="shared" ca="1" si="28"/>
        <v>3081</v>
      </c>
      <c r="AH467" s="8" t="s">
        <v>2530</v>
      </c>
      <c r="AI467" s="8" t="s">
        <v>2531</v>
      </c>
      <c r="AJ467" s="8"/>
      <c r="AK467" s="8" t="s">
        <v>2532</v>
      </c>
      <c r="AL467" s="8"/>
      <c r="AM467" s="8"/>
      <c r="AN467" s="8"/>
      <c r="AO467" s="8"/>
      <c r="AP467" s="8"/>
      <c r="AQ467" s="8"/>
      <c r="AR467" s="8"/>
      <c r="AS467" s="8"/>
      <c r="AT467" s="8"/>
      <c r="AU467" s="8"/>
      <c r="AV467" s="8"/>
      <c r="AW467" s="8"/>
      <c r="AX467" s="8" t="s">
        <v>2961</v>
      </c>
      <c r="AY467" s="14">
        <v>1485</v>
      </c>
      <c r="AZ467" s="19">
        <v>45913</v>
      </c>
      <c r="BA467" s="14" t="s">
        <v>2533</v>
      </c>
      <c r="BB467" s="14">
        <v>1485</v>
      </c>
      <c r="BC467" s="19">
        <v>45913</v>
      </c>
      <c r="BD467" s="14" t="s">
        <v>2533</v>
      </c>
      <c r="BE467" s="14">
        <v>1485</v>
      </c>
      <c r="BF467" s="19">
        <v>45913</v>
      </c>
      <c r="BG467" s="14" t="s">
        <v>2533</v>
      </c>
      <c r="BH467" s="14">
        <v>1485</v>
      </c>
      <c r="BI467" s="19">
        <v>45913</v>
      </c>
      <c r="BJ467" s="14" t="s">
        <v>2533</v>
      </c>
      <c r="BK467" s="14">
        <v>1485</v>
      </c>
      <c r="BL467" s="19">
        <v>45913</v>
      </c>
      <c r="BM467" s="14" t="s">
        <v>2533</v>
      </c>
      <c r="BN467" s="27">
        <v>46093</v>
      </c>
      <c r="BO467" s="27">
        <v>46093</v>
      </c>
      <c r="BP467" s="27">
        <v>46093</v>
      </c>
      <c r="BQ467" s="27">
        <v>46093</v>
      </c>
      <c r="BR467" s="27">
        <v>46278</v>
      </c>
      <c r="BS467" s="28">
        <v>-846</v>
      </c>
      <c r="BT467" s="29">
        <v>-96</v>
      </c>
      <c r="BU467" s="29">
        <v>-846</v>
      </c>
      <c r="BV467" s="29">
        <v>-846</v>
      </c>
      <c r="BW467" s="29">
        <v>-96</v>
      </c>
      <c r="BX467" s="30" t="s">
        <v>1547</v>
      </c>
      <c r="BY467" s="8">
        <v>4</v>
      </c>
      <c r="BZ467" s="8">
        <v>0</v>
      </c>
      <c r="CA467" s="8">
        <v>0</v>
      </c>
      <c r="CB467" s="21" t="s">
        <v>143</v>
      </c>
      <c r="CC467" s="21" t="s">
        <v>143</v>
      </c>
      <c r="CD467" s="21" t="s">
        <v>143</v>
      </c>
      <c r="CE467" s="21" t="s">
        <v>143</v>
      </c>
      <c r="CF467" s="21" t="s">
        <v>143</v>
      </c>
      <c r="CG467" s="21" t="s">
        <v>143</v>
      </c>
      <c r="CH467" s="21" t="s">
        <v>143</v>
      </c>
      <c r="CI467" s="21" t="s">
        <v>143</v>
      </c>
      <c r="CJ467" s="21" t="s">
        <v>143</v>
      </c>
      <c r="CK467" s="22" t="s">
        <v>143</v>
      </c>
      <c r="CL467" s="22" t="s">
        <v>143</v>
      </c>
      <c r="CM467" s="22" t="s">
        <v>143</v>
      </c>
      <c r="CN467" s="22" t="s">
        <v>143</v>
      </c>
      <c r="CO467" s="22" t="s">
        <v>143</v>
      </c>
      <c r="CP467" s="22" t="s">
        <v>143</v>
      </c>
      <c r="CQ467" s="22" t="s">
        <v>143</v>
      </c>
      <c r="CR467" s="22" t="s">
        <v>143</v>
      </c>
      <c r="CS467" s="22" t="s">
        <v>143</v>
      </c>
      <c r="CT467" s="22" t="s">
        <v>143</v>
      </c>
      <c r="CU467" s="21" t="s">
        <v>143</v>
      </c>
      <c r="CV467" s="21" t="s">
        <v>143</v>
      </c>
      <c r="CW467" s="21" t="s">
        <v>143</v>
      </c>
      <c r="CX467" s="21" t="s">
        <v>143</v>
      </c>
      <c r="CY467" s="21" t="s">
        <v>143</v>
      </c>
      <c r="CZ467" s="21" t="s">
        <v>143</v>
      </c>
      <c r="DA467" s="21" t="s">
        <v>143</v>
      </c>
      <c r="DB467" s="21" t="s">
        <v>143</v>
      </c>
      <c r="DC467" s="21" t="s">
        <v>143</v>
      </c>
      <c r="DD467" s="8" t="s">
        <v>143</v>
      </c>
      <c r="DE467" s="8" t="s">
        <v>143</v>
      </c>
      <c r="DF467" s="8" t="s">
        <v>143</v>
      </c>
      <c r="DG467" s="8">
        <v>0</v>
      </c>
      <c r="DH467" s="8">
        <v>0</v>
      </c>
      <c r="DI467" s="8">
        <v>0</v>
      </c>
      <c r="DJ467" s="8" t="s">
        <v>143</v>
      </c>
      <c r="DK467" s="21" t="s">
        <v>143</v>
      </c>
      <c r="DL467" s="21" t="s">
        <v>143</v>
      </c>
      <c r="DM467" s="21" t="s">
        <v>143</v>
      </c>
      <c r="DN467" s="18" t="s">
        <v>143</v>
      </c>
      <c r="DO467" s="21" t="s">
        <v>143</v>
      </c>
      <c r="DP467" s="21" t="s">
        <v>143</v>
      </c>
      <c r="DQ467" s="21" t="s">
        <v>143</v>
      </c>
      <c r="DR467" s="21" t="s">
        <v>143</v>
      </c>
      <c r="DS467" s="21" t="s">
        <v>143</v>
      </c>
      <c r="DT467" s="21" t="s">
        <v>143</v>
      </c>
      <c r="DU467" s="21" t="s">
        <v>143</v>
      </c>
      <c r="DV467" s="21" t="s">
        <v>143</v>
      </c>
      <c r="DW467" s="21" t="s">
        <v>143</v>
      </c>
      <c r="DX467" s="21" t="s">
        <v>143</v>
      </c>
      <c r="DY467" s="21" t="s">
        <v>143</v>
      </c>
      <c r="DZ467" s="21" t="s">
        <v>143</v>
      </c>
      <c r="EA467" s="8" t="s">
        <v>143</v>
      </c>
      <c r="EB467" s="8" t="s">
        <v>143</v>
      </c>
      <c r="EC467" s="8" t="s">
        <v>143</v>
      </c>
      <c r="ED467" s="8" t="s">
        <v>143</v>
      </c>
      <c r="EE467" s="8" t="s">
        <v>143</v>
      </c>
      <c r="EF467" s="8" t="s">
        <v>143</v>
      </c>
      <c r="EG467" s="8" t="s">
        <v>143</v>
      </c>
      <c r="EH467" s="8" t="s">
        <v>143</v>
      </c>
      <c r="EI467" s="8" t="s">
        <v>143</v>
      </c>
      <c r="EJ467" s="8" t="s">
        <v>143</v>
      </c>
      <c r="EK467" s="8" t="s">
        <v>157</v>
      </c>
      <c r="EL467" s="8">
        <v>200</v>
      </c>
      <c r="EM467" s="8">
        <v>1600</v>
      </c>
      <c r="EN467" s="8" t="s">
        <v>143</v>
      </c>
      <c r="EO467" s="8" t="s">
        <v>143</v>
      </c>
      <c r="EP467" s="8" t="s">
        <v>143</v>
      </c>
      <c r="EQ467" s="8" t="s">
        <v>143</v>
      </c>
      <c r="ER467" s="8" t="s">
        <v>143</v>
      </c>
      <c r="ES467" s="8" t="s">
        <v>143</v>
      </c>
      <c r="ET467" s="8" t="s">
        <v>143</v>
      </c>
      <c r="EU467" s="8" t="s">
        <v>143</v>
      </c>
      <c r="EV467" s="8" t="s">
        <v>143</v>
      </c>
    </row>
    <row r="468" spans="1:152" x14ac:dyDescent="0.15">
      <c r="A468" s="8">
        <f>ROW([2]!tbl_DPSAC[[#This Row],[Sl. No.]])-1</f>
        <v>467</v>
      </c>
      <c r="B468" s="9" t="s">
        <v>136</v>
      </c>
      <c r="C468" s="8" t="s">
        <v>2534</v>
      </c>
      <c r="D468" s="8" t="s">
        <v>262</v>
      </c>
      <c r="E468" s="8" t="s">
        <v>199</v>
      </c>
      <c r="F468" s="9" t="s">
        <v>161</v>
      </c>
      <c r="G468" s="23" t="s">
        <v>2535</v>
      </c>
      <c r="H468" s="10" t="s">
        <v>2536</v>
      </c>
      <c r="I468" s="25" t="s">
        <v>2537</v>
      </c>
      <c r="J468" s="10" t="s">
        <v>2538</v>
      </c>
      <c r="K468" s="10">
        <f>IF(_xlfn.XLOOKUP(C468,'[1]E&amp;DPSAC'!$K:$K,'[1]E&amp;DPSAC'!$G:$G,"",0)=J468,"",_xlfn.XLOOKUP(C468,'[1]E&amp;DPSAC'!$K:$K,'[1]E&amp;DPSAC'!$G:$G,"",0))</f>
        <v>7970949373</v>
      </c>
      <c r="L468" s="9" t="str">
        <f t="shared" ca="1" si="27"/>
        <v>Warranty</v>
      </c>
      <c r="M468" s="13">
        <v>45915</v>
      </c>
      <c r="N468" s="12">
        <v>24</v>
      </c>
      <c r="O468" s="11">
        <f t="shared" si="26"/>
        <v>46660</v>
      </c>
      <c r="P468" s="8" t="s">
        <v>213</v>
      </c>
      <c r="Q468" s="16" t="s">
        <v>2683</v>
      </c>
      <c r="R468" s="15">
        <v>46107.737152777801</v>
      </c>
      <c r="S468" s="14">
        <v>1134</v>
      </c>
      <c r="T468" s="15">
        <v>45989</v>
      </c>
      <c r="U468" s="14">
        <v>332</v>
      </c>
      <c r="V468" s="14">
        <v>1134</v>
      </c>
      <c r="W468" s="17">
        <v>46107.737152777801</v>
      </c>
      <c r="X468" s="14" t="s">
        <v>2930</v>
      </c>
      <c r="Y468" s="14">
        <v>750</v>
      </c>
      <c r="Z468" s="14" t="s">
        <v>2692</v>
      </c>
      <c r="AA468" s="18">
        <v>5.2628472221986158</v>
      </c>
      <c r="AB468" s="18" t="s">
        <v>2692</v>
      </c>
      <c r="AC468" s="8">
        <f>tbl_DPSAC[[#This Row],[Current Month Due Count]]</f>
        <v>0</v>
      </c>
      <c r="AD468" s="8">
        <f>tbl_DPSAC[[#This Row],[Next Month Due2]]</f>
        <v>0</v>
      </c>
      <c r="AE468" s="8"/>
      <c r="AF468" s="8">
        <v>8</v>
      </c>
      <c r="AG468" s="14">
        <f t="shared" ca="1" si="28"/>
        <v>1176</v>
      </c>
      <c r="AH468" s="8" t="s">
        <v>2539</v>
      </c>
      <c r="AI468" s="8" t="s">
        <v>2540</v>
      </c>
      <c r="AJ468" s="8"/>
      <c r="AK468" s="8"/>
      <c r="AL468" s="8"/>
      <c r="AM468" s="8"/>
      <c r="AN468" s="8"/>
      <c r="AO468" s="8"/>
      <c r="AP468" s="8"/>
      <c r="AQ468" s="8"/>
      <c r="AR468" s="8"/>
      <c r="AS468" s="8"/>
      <c r="AT468" s="8"/>
      <c r="AU468" s="8"/>
      <c r="AV468" s="8"/>
      <c r="AW468" s="8"/>
      <c r="AX468" s="8" t="s">
        <v>2007</v>
      </c>
      <c r="AY468" s="14">
        <v>1134</v>
      </c>
      <c r="AZ468" s="19">
        <v>46107</v>
      </c>
      <c r="BA468" s="14" t="s">
        <v>2683</v>
      </c>
      <c r="BB468" s="14">
        <v>1</v>
      </c>
      <c r="BC468" s="19">
        <v>45915</v>
      </c>
      <c r="BD468" s="14" t="s">
        <v>2541</v>
      </c>
      <c r="BE468" s="14">
        <v>1134</v>
      </c>
      <c r="BF468" s="19">
        <v>46107</v>
      </c>
      <c r="BG468" s="14" t="s">
        <v>2683</v>
      </c>
      <c r="BH468" s="14">
        <v>1134</v>
      </c>
      <c r="BI468" s="19">
        <v>46107</v>
      </c>
      <c r="BJ468" s="14" t="s">
        <v>2683</v>
      </c>
      <c r="BK468" s="14">
        <v>1</v>
      </c>
      <c r="BL468" s="19">
        <v>45915</v>
      </c>
      <c r="BM468" s="14" t="s">
        <v>2541</v>
      </c>
      <c r="BN468" s="27">
        <v>46287</v>
      </c>
      <c r="BO468" s="27">
        <v>46095</v>
      </c>
      <c r="BP468" s="27">
        <v>46287</v>
      </c>
      <c r="BQ468" s="27">
        <v>46287</v>
      </c>
      <c r="BR468" s="27">
        <v>46280</v>
      </c>
      <c r="BS468" s="28">
        <v>708</v>
      </c>
      <c r="BT468" s="29">
        <v>325</v>
      </c>
      <c r="BU468" s="29">
        <v>708</v>
      </c>
      <c r="BV468" s="29">
        <v>708</v>
      </c>
      <c r="BW468" s="29">
        <v>325</v>
      </c>
      <c r="BX468" s="8"/>
      <c r="BY468" s="8">
        <v>1</v>
      </c>
      <c r="BZ468" s="8">
        <v>0</v>
      </c>
      <c r="CA468" s="8">
        <v>0</v>
      </c>
      <c r="CB468" s="21">
        <v>46041.770833333299</v>
      </c>
      <c r="CC468" s="21">
        <v>46041.770833333299</v>
      </c>
      <c r="CD468" s="21">
        <v>46041.770833333299</v>
      </c>
      <c r="CE468" s="21">
        <v>46041.770833333299</v>
      </c>
      <c r="CF468" s="21">
        <v>46041.770833333299</v>
      </c>
      <c r="CG468" s="21">
        <v>45914.770833333299</v>
      </c>
      <c r="CH468" s="21">
        <v>46041.770833333299</v>
      </c>
      <c r="CI468" s="21">
        <v>45914.770833333299</v>
      </c>
      <c r="CJ468" s="21">
        <v>45914.770833333299</v>
      </c>
      <c r="CK468" s="22" t="s">
        <v>2956</v>
      </c>
      <c r="CL468" s="22" t="s">
        <v>2957</v>
      </c>
      <c r="CM468" s="22" t="s">
        <v>2959</v>
      </c>
      <c r="CN468" s="22" t="s">
        <v>2957</v>
      </c>
      <c r="CO468" s="22" t="s">
        <v>2957</v>
      </c>
      <c r="CP468" s="22" t="s">
        <v>3176</v>
      </c>
      <c r="CQ468" s="22" t="s">
        <v>2953</v>
      </c>
      <c r="CR468" s="22" t="s">
        <v>3176</v>
      </c>
      <c r="CS468" s="22" t="s">
        <v>3217</v>
      </c>
      <c r="CT468" s="22">
        <v>12</v>
      </c>
      <c r="CU468" s="21">
        <v>46167</v>
      </c>
      <c r="CV468" s="21">
        <v>46104</v>
      </c>
      <c r="CW468" s="21">
        <v>46083</v>
      </c>
      <c r="CX468" s="21">
        <v>46104</v>
      </c>
      <c r="CY468" s="21">
        <v>46104</v>
      </c>
      <c r="CZ468" s="21">
        <v>46124</v>
      </c>
      <c r="DA468" s="21">
        <v>46125</v>
      </c>
      <c r="DB468" s="21">
        <v>46094</v>
      </c>
      <c r="DC468" s="21">
        <v>46249</v>
      </c>
      <c r="DD468" s="8">
        <v>0</v>
      </c>
      <c r="DE468" s="8">
        <v>0</v>
      </c>
      <c r="DF468" s="8">
        <v>1</v>
      </c>
      <c r="DG468" s="8">
        <v>5</v>
      </c>
      <c r="DH468" s="8">
        <v>2</v>
      </c>
      <c r="DI468" s="8">
        <v>1</v>
      </c>
      <c r="DJ468" s="8" t="s">
        <v>2976</v>
      </c>
      <c r="DK468" s="21">
        <v>45915</v>
      </c>
      <c r="DL468" s="21">
        <v>45899.229166666664</v>
      </c>
      <c r="DM468" s="21">
        <v>46108</v>
      </c>
      <c r="DN468" s="18">
        <v>1134</v>
      </c>
      <c r="DO468" s="21">
        <v>0</v>
      </c>
      <c r="DP468" s="21">
        <v>0</v>
      </c>
      <c r="DQ468" s="21" t="s">
        <v>2955</v>
      </c>
      <c r="DR468" s="21">
        <v>46107</v>
      </c>
      <c r="DS468" s="21">
        <v>46107</v>
      </c>
      <c r="DT468" s="21">
        <v>46107</v>
      </c>
      <c r="DU468" s="21">
        <v>46107</v>
      </c>
      <c r="DV468" s="21">
        <v>46107</v>
      </c>
      <c r="DW468" s="21">
        <v>45914</v>
      </c>
      <c r="DX468" s="21">
        <v>45914</v>
      </c>
      <c r="DY468" s="21">
        <v>45914</v>
      </c>
      <c r="DZ468" s="21">
        <v>45914</v>
      </c>
      <c r="EA468" s="8">
        <v>500</v>
      </c>
      <c r="EB468" s="8">
        <v>500</v>
      </c>
      <c r="EC468" s="8">
        <v>500</v>
      </c>
      <c r="ED468" s="8">
        <v>500</v>
      </c>
      <c r="EE468" s="8">
        <v>500</v>
      </c>
      <c r="EF468" s="8">
        <v>1500</v>
      </c>
      <c r="EG468" s="8">
        <v>1000</v>
      </c>
      <c r="EH468" s="8">
        <v>1500</v>
      </c>
      <c r="EI468" s="8">
        <v>3000</v>
      </c>
      <c r="EJ468" s="8">
        <v>12</v>
      </c>
      <c r="EK468" s="8" t="s">
        <v>2624</v>
      </c>
      <c r="EL468" s="8">
        <v>5</v>
      </c>
      <c r="EM468" s="8">
        <v>40</v>
      </c>
      <c r="EN468" s="8">
        <v>212</v>
      </c>
      <c r="EO468" s="8">
        <v>212</v>
      </c>
      <c r="EP468" s="8">
        <v>212</v>
      </c>
      <c r="EQ468" s="8">
        <v>212</v>
      </c>
      <c r="ER468" s="8">
        <v>212</v>
      </c>
      <c r="ES468" s="8">
        <v>1212</v>
      </c>
      <c r="ET468" s="8">
        <v>712</v>
      </c>
      <c r="EU468" s="8">
        <v>1212</v>
      </c>
      <c r="EV468" s="8">
        <v>2712</v>
      </c>
    </row>
    <row r="469" spans="1:152" x14ac:dyDescent="0.15">
      <c r="A469" s="8">
        <f>ROW([2]!tbl_DPSAC[[#This Row],[Sl. No.]])-1</f>
        <v>468</v>
      </c>
      <c r="B469" s="9" t="s">
        <v>136</v>
      </c>
      <c r="C469" s="8" t="s">
        <v>2542</v>
      </c>
      <c r="D469" s="8" t="s">
        <v>333</v>
      </c>
      <c r="E469" s="8" t="s">
        <v>333</v>
      </c>
      <c r="F469" s="9" t="s">
        <v>161</v>
      </c>
      <c r="G469" s="23" t="s">
        <v>2543</v>
      </c>
      <c r="H469" s="10" t="s">
        <v>2544</v>
      </c>
      <c r="I469" s="23"/>
      <c r="J469" s="10"/>
      <c r="K469" s="10" t="str">
        <f>IF(_xlfn.XLOOKUP(C469,'[1]E&amp;DPSAC'!$K:$K,'[1]E&amp;DPSAC'!$G:$G,"",0)=J469,"",_xlfn.XLOOKUP(C469,'[1]E&amp;DPSAC'!$K:$K,'[1]E&amp;DPSAC'!$G:$G,"",0))</f>
        <v/>
      </c>
      <c r="L469" s="9" t="str">
        <f t="shared" ca="1" si="27"/>
        <v>Warranty</v>
      </c>
      <c r="M469" s="13">
        <v>45750</v>
      </c>
      <c r="N469" s="12">
        <v>24</v>
      </c>
      <c r="O469" s="11">
        <f t="shared" si="26"/>
        <v>46507</v>
      </c>
      <c r="P469" s="8" t="s">
        <v>213</v>
      </c>
      <c r="Q469" s="16" t="s">
        <v>2684</v>
      </c>
      <c r="R469" s="15">
        <v>46088.625196759298</v>
      </c>
      <c r="S469" s="14">
        <v>2091</v>
      </c>
      <c r="T469" s="15" t="s">
        <v>143</v>
      </c>
      <c r="U469" s="14" t="s">
        <v>143</v>
      </c>
      <c r="V469" s="14">
        <v>2170</v>
      </c>
      <c r="W469" s="17">
        <v>46107.4671759259</v>
      </c>
      <c r="X469" s="14" t="s">
        <v>2931</v>
      </c>
      <c r="Y469" s="14">
        <v>671</v>
      </c>
      <c r="Z469" s="14" t="s">
        <v>2692</v>
      </c>
      <c r="AA469" s="18">
        <v>24.374803240702022</v>
      </c>
      <c r="AB469" s="18" t="s">
        <v>2692</v>
      </c>
      <c r="AC469" s="8">
        <f>tbl_DPSAC[[#This Row],[Current Month Due Count]]</f>
        <v>0</v>
      </c>
      <c r="AD469" s="8">
        <f>tbl_DPSAC[[#This Row],[Next Month Due2]]</f>
        <v>0</v>
      </c>
      <c r="AE469" s="8"/>
      <c r="AF469" s="8">
        <v>2</v>
      </c>
      <c r="AG469" s="14">
        <f t="shared" ca="1" si="28"/>
        <v>2181</v>
      </c>
      <c r="AH469" s="8" t="s">
        <v>2545</v>
      </c>
      <c r="AI469" s="8" t="s">
        <v>2342</v>
      </c>
      <c r="AJ469" s="8"/>
      <c r="AK469" s="8"/>
      <c r="AL469" s="8"/>
      <c r="AM469" s="8"/>
      <c r="AN469" s="8"/>
      <c r="AO469" s="8"/>
      <c r="AP469" s="8"/>
      <c r="AQ469" s="8"/>
      <c r="AR469" s="8"/>
      <c r="AS469" s="8"/>
      <c r="AT469" s="8"/>
      <c r="AU469" s="8"/>
      <c r="AV469" s="8"/>
      <c r="AW469" s="8"/>
      <c r="AX469" s="8" t="s">
        <v>2007</v>
      </c>
      <c r="AY469" s="14">
        <v>2091</v>
      </c>
      <c r="AZ469" s="19">
        <v>46088</v>
      </c>
      <c r="BA469" s="14" t="s">
        <v>2684</v>
      </c>
      <c r="BB469" s="14">
        <v>2091</v>
      </c>
      <c r="BC469" s="19">
        <v>46088</v>
      </c>
      <c r="BD469" s="14" t="s">
        <v>2684</v>
      </c>
      <c r="BE469" s="14">
        <v>2091</v>
      </c>
      <c r="BF469" s="19">
        <v>46088</v>
      </c>
      <c r="BG469" s="14" t="s">
        <v>2684</v>
      </c>
      <c r="BH469" s="14">
        <v>2091</v>
      </c>
      <c r="BI469" s="19">
        <v>46088</v>
      </c>
      <c r="BJ469" s="14" t="s">
        <v>2684</v>
      </c>
      <c r="BK469" s="14">
        <v>2091</v>
      </c>
      <c r="BL469" s="19">
        <v>46088</v>
      </c>
      <c r="BM469" s="14" t="s">
        <v>2684</v>
      </c>
      <c r="BN469" s="27">
        <v>46268</v>
      </c>
      <c r="BO469" s="27">
        <v>46268</v>
      </c>
      <c r="BP469" s="27">
        <v>46268</v>
      </c>
      <c r="BQ469" s="27">
        <v>46268</v>
      </c>
      <c r="BR469" s="27">
        <v>46453</v>
      </c>
      <c r="BS469" s="28">
        <v>660</v>
      </c>
      <c r="BT469" s="29">
        <v>1410</v>
      </c>
      <c r="BU469" s="29">
        <v>660</v>
      </c>
      <c r="BV469" s="29">
        <v>660</v>
      </c>
      <c r="BW469" s="29">
        <v>1410</v>
      </c>
      <c r="BX469" s="8"/>
      <c r="BY469" s="8">
        <v>0</v>
      </c>
      <c r="BZ469" s="8">
        <v>0</v>
      </c>
      <c r="CA469" s="8">
        <v>0</v>
      </c>
      <c r="CB469" s="21">
        <v>45980.770833333299</v>
      </c>
      <c r="CC469" s="21">
        <v>45980.770833333299</v>
      </c>
      <c r="CD469" s="21">
        <v>45980.770833333299</v>
      </c>
      <c r="CE469" s="21">
        <v>45980.770833333299</v>
      </c>
      <c r="CF469" s="21">
        <v>45980.770833333299</v>
      </c>
      <c r="CG469" s="21">
        <v>45980.770833333299</v>
      </c>
      <c r="CH469" s="21">
        <v>0</v>
      </c>
      <c r="CI469" s="21">
        <v>0</v>
      </c>
      <c r="CJ469" s="21">
        <v>0</v>
      </c>
      <c r="CK469" s="22" t="s">
        <v>3131</v>
      </c>
      <c r="CL469" s="22" t="s">
        <v>2982</v>
      </c>
      <c r="CM469" s="22" t="s">
        <v>2982</v>
      </c>
      <c r="CN469" s="22" t="s">
        <v>2982</v>
      </c>
      <c r="CO469" s="22" t="s">
        <v>2982</v>
      </c>
      <c r="CP469" s="22" t="s">
        <v>2982</v>
      </c>
      <c r="CQ469" s="22" t="s">
        <v>2953</v>
      </c>
      <c r="CR469" s="22" t="s">
        <v>2982</v>
      </c>
      <c r="CS469" s="22" t="s">
        <v>3218</v>
      </c>
      <c r="CT469" s="22">
        <v>3</v>
      </c>
      <c r="CU469" s="21">
        <v>46160</v>
      </c>
      <c r="CV469" s="21">
        <v>46057</v>
      </c>
      <c r="CW469" s="21">
        <v>46057</v>
      </c>
      <c r="CX469" s="21">
        <v>46057</v>
      </c>
      <c r="CY469" s="21">
        <v>46057</v>
      </c>
      <c r="CZ469" s="21">
        <v>46057</v>
      </c>
      <c r="DA469" s="21">
        <v>46130</v>
      </c>
      <c r="DB469" s="21">
        <v>46057</v>
      </c>
      <c r="DC469" s="21">
        <v>46272</v>
      </c>
      <c r="DD469" s="8">
        <v>0</v>
      </c>
      <c r="DE469" s="8">
        <v>1</v>
      </c>
      <c r="DF469" s="8">
        <v>0</v>
      </c>
      <c r="DG469" s="8">
        <v>6</v>
      </c>
      <c r="DH469" s="8">
        <v>1</v>
      </c>
      <c r="DI469" s="8">
        <v>1</v>
      </c>
      <c r="DJ469" s="8" t="s">
        <v>2976</v>
      </c>
      <c r="DK469" s="21">
        <v>45750</v>
      </c>
      <c r="DL469" s="21">
        <v>45744.229166666664</v>
      </c>
      <c r="DM469" s="21">
        <v>46107</v>
      </c>
      <c r="DN469" s="18">
        <v>2170</v>
      </c>
      <c r="DO469" s="21">
        <v>0</v>
      </c>
      <c r="DP469" s="21">
        <v>0</v>
      </c>
      <c r="DQ469" s="21" t="s">
        <v>2955</v>
      </c>
      <c r="DR469" s="21">
        <v>46088</v>
      </c>
      <c r="DS469" s="21">
        <v>46088</v>
      </c>
      <c r="DT469" s="21">
        <v>46088</v>
      </c>
      <c r="DU469" s="21">
        <v>46088</v>
      </c>
      <c r="DV469" s="21">
        <v>46088</v>
      </c>
      <c r="DW469" s="21">
        <v>46083</v>
      </c>
      <c r="DX469" s="21">
        <v>46088</v>
      </c>
      <c r="DY469" s="21">
        <v>46083</v>
      </c>
      <c r="DZ469" s="21">
        <v>45981</v>
      </c>
      <c r="EA469" s="8">
        <v>670</v>
      </c>
      <c r="EB469" s="8">
        <v>670</v>
      </c>
      <c r="EC469" s="8">
        <v>670</v>
      </c>
      <c r="ED469" s="8">
        <v>670</v>
      </c>
      <c r="EE469" s="8">
        <v>670</v>
      </c>
      <c r="EF469" s="8">
        <v>990</v>
      </c>
      <c r="EG469" s="8">
        <v>1000</v>
      </c>
      <c r="EH469" s="8">
        <v>990</v>
      </c>
      <c r="EI469" s="8">
        <v>990</v>
      </c>
      <c r="EJ469" s="8">
        <v>4</v>
      </c>
      <c r="EK469" s="8" t="s">
        <v>2624</v>
      </c>
      <c r="EL469" s="8">
        <v>6</v>
      </c>
      <c r="EM469" s="8">
        <v>12</v>
      </c>
      <c r="EN469" s="8">
        <v>382</v>
      </c>
      <c r="EO469" s="8">
        <v>382</v>
      </c>
      <c r="EP469" s="8">
        <v>382</v>
      </c>
      <c r="EQ469" s="8">
        <v>382</v>
      </c>
      <c r="ER469" s="8">
        <v>382</v>
      </c>
      <c r="ES469" s="8">
        <v>702</v>
      </c>
      <c r="ET469" s="8">
        <v>712</v>
      </c>
      <c r="EU469" s="8">
        <v>702</v>
      </c>
      <c r="EV469" s="8">
        <v>702</v>
      </c>
    </row>
    <row r="470" spans="1:152" x14ac:dyDescent="0.15">
      <c r="A470" s="8">
        <f>ROW([2]!tbl_DPSAC[[#This Row],[Sl. No.]])-1</f>
        <v>469</v>
      </c>
      <c r="B470" s="9" t="s">
        <v>196</v>
      </c>
      <c r="C470" s="8" t="s">
        <v>2546</v>
      </c>
      <c r="D470" s="8" t="s">
        <v>273</v>
      </c>
      <c r="E470" s="8" t="s">
        <v>274</v>
      </c>
      <c r="F470" s="9" t="s">
        <v>161</v>
      </c>
      <c r="G470" s="23" t="s">
        <v>2547</v>
      </c>
      <c r="H470" s="10" t="s">
        <v>2548</v>
      </c>
      <c r="I470" s="23"/>
      <c r="J470" s="10">
        <v>6302014360</v>
      </c>
      <c r="K470" s="10">
        <f>_xlfn.XLOOKUP(C470,'[1]E&amp;DPSAC'!$K:$K,'[1]E&amp;DPSAC'!$G:$G,"",0)</f>
        <v>6302014360</v>
      </c>
      <c r="L470" s="9" t="str">
        <f t="shared" ca="1" si="27"/>
        <v>Warranty</v>
      </c>
      <c r="M470" s="13">
        <v>45948</v>
      </c>
      <c r="N470" s="12">
        <v>24</v>
      </c>
      <c r="O470" s="11">
        <f t="shared" si="26"/>
        <v>46691</v>
      </c>
      <c r="P470" s="8" t="s">
        <v>213</v>
      </c>
      <c r="Q470" s="16" t="s">
        <v>143</v>
      </c>
      <c r="R470" s="15" t="s">
        <v>143</v>
      </c>
      <c r="S470" s="14" t="s">
        <v>143</v>
      </c>
      <c r="T470" s="15">
        <v>45948</v>
      </c>
      <c r="U470" s="14">
        <v>1</v>
      </c>
      <c r="V470" s="14">
        <v>170</v>
      </c>
      <c r="W470" s="17">
        <v>46107.473101851901</v>
      </c>
      <c r="X470" s="14" t="s">
        <v>143</v>
      </c>
      <c r="Y470" s="14">
        <v>0</v>
      </c>
      <c r="Z470" s="14" t="s">
        <v>2692</v>
      </c>
      <c r="AA470" s="18">
        <v>165</v>
      </c>
      <c r="AB470" s="18" t="s">
        <v>2692</v>
      </c>
      <c r="AC470" s="8">
        <f>tbl_DPSAC[[#This Row],[Current Month Due Count]]</f>
        <v>4</v>
      </c>
      <c r="AD470" s="8">
        <f>tbl_DPSAC[[#This Row],[Next Month Due2]]</f>
        <v>0</v>
      </c>
      <c r="AE470" s="8"/>
      <c r="AF470" s="8">
        <v>1</v>
      </c>
      <c r="AG470" s="14">
        <f t="shared" ca="1" si="28"/>
        <v>176</v>
      </c>
      <c r="AH470" s="8"/>
      <c r="AI470" s="8"/>
      <c r="AJ470" s="8"/>
      <c r="AK470" s="8"/>
      <c r="AL470" s="8"/>
      <c r="AM470" s="8"/>
      <c r="AN470" s="8"/>
      <c r="AO470" s="8"/>
      <c r="AP470" s="8"/>
      <c r="AQ470" s="8"/>
      <c r="AR470" s="8"/>
      <c r="AS470" s="8"/>
      <c r="AT470" s="8"/>
      <c r="AU470" s="8"/>
      <c r="AV470" s="8"/>
      <c r="AW470" s="8"/>
      <c r="AX470" s="8" t="s">
        <v>2007</v>
      </c>
      <c r="AY470" s="14">
        <v>1</v>
      </c>
      <c r="AZ470" s="19">
        <v>45952</v>
      </c>
      <c r="BA470" s="14" t="s">
        <v>2549</v>
      </c>
      <c r="BB470" s="14">
        <v>1</v>
      </c>
      <c r="BC470" s="19">
        <v>45952</v>
      </c>
      <c r="BD470" s="14" t="s">
        <v>2549</v>
      </c>
      <c r="BE470" s="14">
        <v>1</v>
      </c>
      <c r="BF470" s="19">
        <v>45952</v>
      </c>
      <c r="BG470" s="14" t="s">
        <v>2549</v>
      </c>
      <c r="BH470" s="14">
        <v>1</v>
      </c>
      <c r="BI470" s="19">
        <v>45952</v>
      </c>
      <c r="BJ470" s="14" t="s">
        <v>2549</v>
      </c>
      <c r="BK470" s="14">
        <v>1</v>
      </c>
      <c r="BL470" s="19">
        <v>45952</v>
      </c>
      <c r="BM470" s="14" t="s">
        <v>2549</v>
      </c>
      <c r="BN470" s="27">
        <v>46132</v>
      </c>
      <c r="BO470" s="27">
        <v>46132</v>
      </c>
      <c r="BP470" s="27">
        <v>46132</v>
      </c>
      <c r="BQ470" s="27">
        <v>46132</v>
      </c>
      <c r="BR470" s="27">
        <v>46317</v>
      </c>
      <c r="BS470" s="28">
        <v>575</v>
      </c>
      <c r="BT470" s="29">
        <v>1325</v>
      </c>
      <c r="BU470" s="29">
        <v>575</v>
      </c>
      <c r="BV470" s="29">
        <v>575</v>
      </c>
      <c r="BW470" s="29">
        <v>1325</v>
      </c>
      <c r="BX470" s="8"/>
      <c r="BY470" s="8">
        <v>0</v>
      </c>
      <c r="BZ470" s="8">
        <v>4</v>
      </c>
      <c r="CA470" s="8">
        <v>0</v>
      </c>
      <c r="CB470" s="21">
        <v>45947.770833333299</v>
      </c>
      <c r="CC470" s="21">
        <v>45947.770833333299</v>
      </c>
      <c r="CD470" s="21">
        <v>45947.770833333299</v>
      </c>
      <c r="CE470" s="21">
        <v>45947.770833333299</v>
      </c>
      <c r="CF470" s="21">
        <v>45947.770833333299</v>
      </c>
      <c r="CG470" s="21">
        <v>45947.770833333299</v>
      </c>
      <c r="CH470" s="21">
        <v>45947.770833333299</v>
      </c>
      <c r="CI470" s="21">
        <v>45947.770833333299</v>
      </c>
      <c r="CJ470" s="21">
        <v>45947.770833333299</v>
      </c>
      <c r="CK470" s="22" t="s">
        <v>3113</v>
      </c>
      <c r="CL470" s="22" t="s">
        <v>3113</v>
      </c>
      <c r="CM470" s="22" t="s">
        <v>3113</v>
      </c>
      <c r="CN470" s="22" t="s">
        <v>3113</v>
      </c>
      <c r="CO470" s="22" t="s">
        <v>3113</v>
      </c>
      <c r="CP470" s="22" t="s">
        <v>3192</v>
      </c>
      <c r="CQ470" s="22" t="s">
        <v>2953</v>
      </c>
      <c r="CR470" s="22" t="s">
        <v>3192</v>
      </c>
      <c r="CS470" s="22" t="s">
        <v>3219</v>
      </c>
      <c r="CT470" s="22">
        <v>2</v>
      </c>
      <c r="CU470" s="21">
        <v>46127</v>
      </c>
      <c r="CV470" s="21">
        <v>46127</v>
      </c>
      <c r="CW470" s="21">
        <v>46127</v>
      </c>
      <c r="CX470" s="21">
        <v>46127</v>
      </c>
      <c r="CY470" s="21">
        <v>46127</v>
      </c>
      <c r="CZ470" s="21">
        <v>46217</v>
      </c>
      <c r="DA470" s="21">
        <v>46312</v>
      </c>
      <c r="DB470" s="21">
        <v>46127</v>
      </c>
      <c r="DC470" s="21">
        <v>46312</v>
      </c>
      <c r="DD470" s="8">
        <v>0</v>
      </c>
      <c r="DE470" s="8">
        <v>0</v>
      </c>
      <c r="DF470" s="8">
        <v>0</v>
      </c>
      <c r="DG470" s="8">
        <v>0</v>
      </c>
      <c r="DH470" s="8">
        <v>6</v>
      </c>
      <c r="DI470" s="8">
        <v>0</v>
      </c>
      <c r="DJ470" s="8" t="s">
        <v>2976</v>
      </c>
      <c r="DK470" s="21">
        <v>45948</v>
      </c>
      <c r="DL470" s="21">
        <v>45938.229166666664</v>
      </c>
      <c r="DM470" s="21">
        <v>46107</v>
      </c>
      <c r="DN470" s="18">
        <v>170</v>
      </c>
      <c r="DO470" s="21">
        <v>0</v>
      </c>
      <c r="DP470" s="21">
        <v>0</v>
      </c>
      <c r="DQ470" s="21" t="s">
        <v>3049</v>
      </c>
      <c r="DR470" s="21">
        <v>45948</v>
      </c>
      <c r="DS470" s="21">
        <v>45948</v>
      </c>
      <c r="DT470" s="21">
        <v>45948</v>
      </c>
      <c r="DU470" s="21">
        <v>45948</v>
      </c>
      <c r="DV470" s="21">
        <v>45948</v>
      </c>
      <c r="DW470" s="21">
        <v>45948</v>
      </c>
      <c r="DX470" s="21">
        <v>45948</v>
      </c>
      <c r="DY470" s="21">
        <v>45948</v>
      </c>
      <c r="DZ470" s="21">
        <v>45948</v>
      </c>
      <c r="EA470" s="8">
        <v>330</v>
      </c>
      <c r="EB470" s="8">
        <v>330</v>
      </c>
      <c r="EC470" s="8">
        <v>330</v>
      </c>
      <c r="ED470" s="8">
        <v>330</v>
      </c>
      <c r="EE470" s="8">
        <v>330</v>
      </c>
      <c r="EF470" s="8">
        <v>1330</v>
      </c>
      <c r="EG470" s="8">
        <v>830</v>
      </c>
      <c r="EH470" s="8">
        <v>1330</v>
      </c>
      <c r="EI470" s="8">
        <v>2830</v>
      </c>
      <c r="EJ470" s="8">
        <v>4</v>
      </c>
      <c r="EK470" s="8" t="s">
        <v>2624</v>
      </c>
      <c r="EL470" s="8">
        <v>6</v>
      </c>
      <c r="EM470" s="8">
        <v>6</v>
      </c>
      <c r="EN470" s="8">
        <v>42</v>
      </c>
      <c r="EO470" s="8">
        <v>42</v>
      </c>
      <c r="EP470" s="8">
        <v>42</v>
      </c>
      <c r="EQ470" s="8">
        <v>42</v>
      </c>
      <c r="ER470" s="8">
        <v>42</v>
      </c>
      <c r="ES470" s="8">
        <v>1042</v>
      </c>
      <c r="ET470" s="8">
        <v>542</v>
      </c>
      <c r="EU470" s="8">
        <v>1042</v>
      </c>
      <c r="EV470" s="8">
        <v>2542</v>
      </c>
    </row>
    <row r="471" spans="1:152" x14ac:dyDescent="0.15">
      <c r="A471" s="8">
        <f>ROW([2]!tbl_DPSAC[[#This Row],[Sl. No.]])-1</f>
        <v>470</v>
      </c>
      <c r="B471" s="9" t="s">
        <v>136</v>
      </c>
      <c r="C471" s="8" t="s">
        <v>2550</v>
      </c>
      <c r="D471" s="8" t="s">
        <v>262</v>
      </c>
      <c r="E471" s="8" t="s">
        <v>176</v>
      </c>
      <c r="F471" s="9" t="s">
        <v>161</v>
      </c>
      <c r="G471" s="23" t="s">
        <v>2551</v>
      </c>
      <c r="H471" s="10" t="s">
        <v>2552</v>
      </c>
      <c r="I471" s="23"/>
      <c r="J471" s="10"/>
      <c r="K471" s="10">
        <f>_xlfn.XLOOKUP(C471,'[1]E&amp;DPSAC'!$K:$K,'[1]E&amp;DPSAC'!$G:$G,"",0)</f>
        <v>9825940815</v>
      </c>
      <c r="L471" s="9" t="str">
        <f t="shared" ca="1" si="27"/>
        <v>Warranty</v>
      </c>
      <c r="M471" s="13">
        <v>45939</v>
      </c>
      <c r="N471" s="12">
        <v>24</v>
      </c>
      <c r="O471" s="11">
        <f t="shared" si="26"/>
        <v>46691</v>
      </c>
      <c r="P471" s="8" t="s">
        <v>213</v>
      </c>
      <c r="Q471" s="16" t="s">
        <v>143</v>
      </c>
      <c r="R471" s="15" t="s">
        <v>143</v>
      </c>
      <c r="S471" s="14" t="s">
        <v>143</v>
      </c>
      <c r="T471" s="15">
        <v>45939</v>
      </c>
      <c r="U471" s="14">
        <v>1</v>
      </c>
      <c r="V471" s="14">
        <v>1</v>
      </c>
      <c r="W471" s="17">
        <v>45939.527083333334</v>
      </c>
      <c r="X471" s="14" t="s">
        <v>143</v>
      </c>
      <c r="Y471" s="14">
        <v>0</v>
      </c>
      <c r="Z471" s="14" t="s">
        <v>2692</v>
      </c>
      <c r="AA471" s="18">
        <v>174</v>
      </c>
      <c r="AB471" s="18" t="s">
        <v>2692</v>
      </c>
      <c r="AC471" s="8">
        <f>tbl_DPSAC[[#This Row],[Current Month Due Count]]</f>
        <v>4</v>
      </c>
      <c r="AD471" s="8">
        <f>tbl_DPSAC[[#This Row],[Next Month Due2]]</f>
        <v>0</v>
      </c>
      <c r="AE471" s="8"/>
      <c r="AF471" s="8">
        <v>6</v>
      </c>
      <c r="AG471" s="14">
        <f t="shared" ca="1" si="28"/>
        <v>1042</v>
      </c>
      <c r="AH471" s="8"/>
      <c r="AI471" s="8"/>
      <c r="AJ471" s="8"/>
      <c r="AK471" s="8"/>
      <c r="AL471" s="8"/>
      <c r="AM471" s="8"/>
      <c r="AN471" s="8"/>
      <c r="AO471" s="8"/>
      <c r="AP471" s="8"/>
      <c r="AQ471" s="8"/>
      <c r="AR471" s="8"/>
      <c r="AS471" s="8"/>
      <c r="AT471" s="8"/>
      <c r="AU471" s="8"/>
      <c r="AV471" s="8"/>
      <c r="AW471" s="8"/>
      <c r="AX471" s="8" t="s">
        <v>2980</v>
      </c>
      <c r="AY471" s="14">
        <v>1</v>
      </c>
      <c r="AZ471" s="19">
        <v>45939</v>
      </c>
      <c r="BA471" s="14" t="s">
        <v>2553</v>
      </c>
      <c r="BB471" s="14">
        <v>1</v>
      </c>
      <c r="BC471" s="19">
        <v>45939</v>
      </c>
      <c r="BD471" s="14" t="s">
        <v>2553</v>
      </c>
      <c r="BE471" s="14">
        <v>1</v>
      </c>
      <c r="BF471" s="19">
        <v>45939</v>
      </c>
      <c r="BG471" s="14" t="s">
        <v>2553</v>
      </c>
      <c r="BH471" s="14">
        <v>1</v>
      </c>
      <c r="BI471" s="19">
        <v>45939</v>
      </c>
      <c r="BJ471" s="14" t="s">
        <v>2553</v>
      </c>
      <c r="BK471" s="14">
        <v>1</v>
      </c>
      <c r="BL471" s="19">
        <v>45939</v>
      </c>
      <c r="BM471" s="14" t="s">
        <v>2553</v>
      </c>
      <c r="BN471" s="27">
        <v>46119</v>
      </c>
      <c r="BO471" s="27">
        <v>46119</v>
      </c>
      <c r="BP471" s="27">
        <v>46119</v>
      </c>
      <c r="BQ471" s="27">
        <v>46119</v>
      </c>
      <c r="BR471" s="27">
        <v>46304</v>
      </c>
      <c r="BS471" s="28">
        <v>-291</v>
      </c>
      <c r="BT471" s="29">
        <v>459</v>
      </c>
      <c r="BU471" s="29">
        <v>-291</v>
      </c>
      <c r="BV471" s="29">
        <v>-291</v>
      </c>
      <c r="BW471" s="29">
        <v>459</v>
      </c>
      <c r="BX471" s="8"/>
      <c r="BY471" s="8">
        <v>0</v>
      </c>
      <c r="BZ471" s="8">
        <v>4</v>
      </c>
      <c r="CA471" s="8">
        <v>0</v>
      </c>
      <c r="CB471" s="21">
        <v>45938.770833333299</v>
      </c>
      <c r="CC471" s="21">
        <v>45938.770833333299</v>
      </c>
      <c r="CD471" s="21">
        <v>45938.770833333299</v>
      </c>
      <c r="CE471" s="21">
        <v>45938.770833333299</v>
      </c>
      <c r="CF471" s="21">
        <v>45938.770833333299</v>
      </c>
      <c r="CG471" s="21">
        <v>45938.770833333299</v>
      </c>
      <c r="CH471" s="21">
        <v>45938.770833333299</v>
      </c>
      <c r="CI471" s="21">
        <v>45938.770833333299</v>
      </c>
      <c r="CJ471" s="21">
        <v>45938.770833333299</v>
      </c>
      <c r="CK471" s="22" t="s">
        <v>2959</v>
      </c>
      <c r="CL471" s="22" t="s">
        <v>2959</v>
      </c>
      <c r="CM471" s="22" t="s">
        <v>2959</v>
      </c>
      <c r="CN471" s="22" t="s">
        <v>2959</v>
      </c>
      <c r="CO471" s="22" t="s">
        <v>2959</v>
      </c>
      <c r="CP471" s="22" t="s">
        <v>2956</v>
      </c>
      <c r="CQ471" s="22" t="s">
        <v>2953</v>
      </c>
      <c r="CR471" s="22" t="s">
        <v>2956</v>
      </c>
      <c r="CS471" s="22" t="s">
        <v>2960</v>
      </c>
      <c r="CT471" s="22">
        <v>4</v>
      </c>
      <c r="CU471" s="21">
        <v>46064</v>
      </c>
      <c r="CV471" s="21">
        <v>46064</v>
      </c>
      <c r="CW471" s="21">
        <v>46064</v>
      </c>
      <c r="CX471" s="21">
        <v>46064</v>
      </c>
      <c r="CY471" s="21">
        <v>46064</v>
      </c>
      <c r="CZ471" s="21">
        <v>46208</v>
      </c>
      <c r="DA471" s="21">
        <v>46189</v>
      </c>
      <c r="DB471" s="21">
        <v>46118</v>
      </c>
      <c r="DC471" s="21">
        <v>46303</v>
      </c>
      <c r="DD471" s="8">
        <v>0</v>
      </c>
      <c r="DE471" s="8">
        <v>1</v>
      </c>
      <c r="DF471" s="8">
        <v>0</v>
      </c>
      <c r="DG471" s="8">
        <v>5</v>
      </c>
      <c r="DH471" s="8">
        <v>1</v>
      </c>
      <c r="DI471" s="8">
        <v>0</v>
      </c>
      <c r="DJ471" s="8" t="s">
        <v>2976</v>
      </c>
      <c r="DK471" s="21">
        <v>45939</v>
      </c>
      <c r="DL471" s="21">
        <v>45929.229166666664</v>
      </c>
      <c r="DM471" s="21">
        <v>45939</v>
      </c>
      <c r="DN471" s="18">
        <v>1</v>
      </c>
      <c r="DO471" s="21">
        <v>0</v>
      </c>
      <c r="DP471" s="21">
        <v>0</v>
      </c>
      <c r="DQ471" s="21" t="s">
        <v>3049</v>
      </c>
      <c r="DR471" s="21">
        <v>45939</v>
      </c>
      <c r="DS471" s="21">
        <v>45939</v>
      </c>
      <c r="DT471" s="21">
        <v>45939</v>
      </c>
      <c r="DU471" s="21">
        <v>45939</v>
      </c>
      <c r="DV471" s="21">
        <v>45939</v>
      </c>
      <c r="DW471" s="21">
        <v>45939</v>
      </c>
      <c r="DX471" s="21">
        <v>45939</v>
      </c>
      <c r="DY471" s="21">
        <v>45939</v>
      </c>
      <c r="DZ471" s="21">
        <v>45939</v>
      </c>
      <c r="EA471" s="8">
        <v>500</v>
      </c>
      <c r="EB471" s="8">
        <v>500</v>
      </c>
      <c r="EC471" s="8">
        <v>500</v>
      </c>
      <c r="ED471" s="8">
        <v>500</v>
      </c>
      <c r="EE471" s="8">
        <v>500</v>
      </c>
      <c r="EF471" s="8">
        <v>1500</v>
      </c>
      <c r="EG471" s="8">
        <v>1000</v>
      </c>
      <c r="EH471" s="8">
        <v>1500</v>
      </c>
      <c r="EI471" s="8">
        <v>3000</v>
      </c>
      <c r="EJ471" s="8">
        <v>4</v>
      </c>
      <c r="EK471" s="8" t="s">
        <v>2624</v>
      </c>
      <c r="EL471" s="8">
        <v>173</v>
      </c>
      <c r="EM471" s="8">
        <v>1038</v>
      </c>
      <c r="EN471" s="8">
        <v>212</v>
      </c>
      <c r="EO471" s="8">
        <v>212</v>
      </c>
      <c r="EP471" s="8">
        <v>212</v>
      </c>
      <c r="EQ471" s="8">
        <v>212</v>
      </c>
      <c r="ER471" s="8">
        <v>212</v>
      </c>
      <c r="ES471" s="8">
        <v>1212</v>
      </c>
      <c r="ET471" s="8">
        <v>712</v>
      </c>
      <c r="EU471" s="8">
        <v>1212</v>
      </c>
      <c r="EV471" s="8">
        <v>2712</v>
      </c>
    </row>
    <row r="472" spans="1:152" x14ac:dyDescent="0.15">
      <c r="A472" s="8">
        <f>ROW([2]!tbl_DPSAC[[#This Row],[Sl. No.]])-1</f>
        <v>471</v>
      </c>
      <c r="B472" s="9" t="s">
        <v>136</v>
      </c>
      <c r="C472" s="8" t="s">
        <v>2554</v>
      </c>
      <c r="D472" s="8" t="s">
        <v>262</v>
      </c>
      <c r="E472" s="8" t="s">
        <v>176</v>
      </c>
      <c r="F472" s="9" t="s">
        <v>161</v>
      </c>
      <c r="G472" s="23" t="s">
        <v>2535</v>
      </c>
      <c r="H472" s="10" t="s">
        <v>2536</v>
      </c>
      <c r="I472" s="25" t="s">
        <v>2537</v>
      </c>
      <c r="J472" s="10" t="s">
        <v>2538</v>
      </c>
      <c r="K472" s="10">
        <f>_xlfn.XLOOKUP(C472,'[1]E&amp;DPSAC'!$K:$K,'[1]E&amp;DPSAC'!$G:$G,"",0)</f>
        <v>7970949373</v>
      </c>
      <c r="L472" s="9" t="str">
        <f t="shared" ca="1" si="27"/>
        <v>Warranty</v>
      </c>
      <c r="M472" s="13">
        <v>45960</v>
      </c>
      <c r="N472" s="12">
        <v>24</v>
      </c>
      <c r="O472" s="11">
        <f t="shared" si="26"/>
        <v>46691</v>
      </c>
      <c r="P472" s="8" t="s">
        <v>213</v>
      </c>
      <c r="Q472" s="16" t="s">
        <v>143</v>
      </c>
      <c r="R472" s="15" t="s">
        <v>143</v>
      </c>
      <c r="S472" s="14" t="s">
        <v>143</v>
      </c>
      <c r="T472" s="15">
        <v>45960</v>
      </c>
      <c r="U472" s="14">
        <v>1</v>
      </c>
      <c r="V472" s="14">
        <v>260</v>
      </c>
      <c r="W472" s="17">
        <v>46107.547604166699</v>
      </c>
      <c r="X472" s="14" t="s">
        <v>143</v>
      </c>
      <c r="Y472" s="14">
        <v>0</v>
      </c>
      <c r="Z472" s="14" t="s">
        <v>2692</v>
      </c>
      <c r="AA472" s="18">
        <v>153</v>
      </c>
      <c r="AB472" s="18" t="s">
        <v>2692</v>
      </c>
      <c r="AC472" s="8">
        <f>tbl_DPSAC[[#This Row],[Current Month Due Count]]</f>
        <v>4</v>
      </c>
      <c r="AD472" s="8">
        <f>tbl_DPSAC[[#This Row],[Next Month Due2]]</f>
        <v>0</v>
      </c>
      <c r="AE472" s="8"/>
      <c r="AF472" s="8">
        <v>2</v>
      </c>
      <c r="AG472" s="14">
        <f t="shared" ca="1" si="28"/>
        <v>271</v>
      </c>
      <c r="AH472" s="8"/>
      <c r="AI472" s="8"/>
      <c r="AJ472" s="8"/>
      <c r="AK472" s="8"/>
      <c r="AL472" s="8"/>
      <c r="AM472" s="8"/>
      <c r="AN472" s="8"/>
      <c r="AO472" s="8"/>
      <c r="AP472" s="8"/>
      <c r="AQ472" s="8"/>
      <c r="AR472" s="8"/>
      <c r="AS472" s="8"/>
      <c r="AT472" s="8"/>
      <c r="AU472" s="8"/>
      <c r="AV472" s="8"/>
      <c r="AW472" s="8"/>
      <c r="AX472" s="8" t="s">
        <v>2007</v>
      </c>
      <c r="AY472" s="14">
        <v>1</v>
      </c>
      <c r="AZ472" s="19">
        <v>45960</v>
      </c>
      <c r="BA472" s="14" t="s">
        <v>2555</v>
      </c>
      <c r="BB472" s="14">
        <v>1</v>
      </c>
      <c r="BC472" s="19">
        <v>45960</v>
      </c>
      <c r="BD472" s="14" t="s">
        <v>2555</v>
      </c>
      <c r="BE472" s="14">
        <v>1</v>
      </c>
      <c r="BF472" s="19">
        <v>45960</v>
      </c>
      <c r="BG472" s="14" t="s">
        <v>2555</v>
      </c>
      <c r="BH472" s="14">
        <v>1</v>
      </c>
      <c r="BI472" s="19">
        <v>45960</v>
      </c>
      <c r="BJ472" s="14" t="s">
        <v>2555</v>
      </c>
      <c r="BK472" s="14">
        <v>1</v>
      </c>
      <c r="BL472" s="19">
        <v>45960</v>
      </c>
      <c r="BM472" s="14" t="s">
        <v>2555</v>
      </c>
      <c r="BN472" s="27">
        <v>46140</v>
      </c>
      <c r="BO472" s="27">
        <v>46140</v>
      </c>
      <c r="BP472" s="27">
        <v>46140</v>
      </c>
      <c r="BQ472" s="27">
        <v>46140</v>
      </c>
      <c r="BR472" s="27">
        <v>46325</v>
      </c>
      <c r="BS472" s="28">
        <v>480</v>
      </c>
      <c r="BT472" s="29">
        <v>1230</v>
      </c>
      <c r="BU472" s="29">
        <v>480</v>
      </c>
      <c r="BV472" s="29">
        <v>480</v>
      </c>
      <c r="BW472" s="29">
        <v>1230</v>
      </c>
      <c r="BX472" s="8"/>
      <c r="BY472" s="8">
        <v>0</v>
      </c>
      <c r="BZ472" s="8">
        <v>4</v>
      </c>
      <c r="CA472" s="8">
        <v>0</v>
      </c>
      <c r="CB472" s="21">
        <v>45959.770833333299</v>
      </c>
      <c r="CC472" s="21">
        <v>45959.770833333299</v>
      </c>
      <c r="CD472" s="21">
        <v>45959.770833333299</v>
      </c>
      <c r="CE472" s="21">
        <v>45959.770833333299</v>
      </c>
      <c r="CF472" s="21">
        <v>45959.770833333299</v>
      </c>
      <c r="CG472" s="21">
        <v>45959.770833333299</v>
      </c>
      <c r="CH472" s="21">
        <v>45959.770833333299</v>
      </c>
      <c r="CI472" s="21">
        <v>45959.770833333299</v>
      </c>
      <c r="CJ472" s="21">
        <v>45959.770833333299</v>
      </c>
      <c r="CK472" s="22" t="s">
        <v>2972</v>
      </c>
      <c r="CL472" s="22" t="s">
        <v>2972</v>
      </c>
      <c r="CM472" s="22" t="s">
        <v>2972</v>
      </c>
      <c r="CN472" s="22" t="s">
        <v>2972</v>
      </c>
      <c r="CO472" s="22" t="s">
        <v>2972</v>
      </c>
      <c r="CP472" s="22" t="s">
        <v>2973</v>
      </c>
      <c r="CQ472" s="22" t="s">
        <v>2953</v>
      </c>
      <c r="CR472" s="22" t="s">
        <v>2973</v>
      </c>
      <c r="CS472" s="22" t="s">
        <v>3220</v>
      </c>
      <c r="CT472" s="22">
        <v>2</v>
      </c>
      <c r="CU472" s="21">
        <v>46139</v>
      </c>
      <c r="CV472" s="21">
        <v>46139</v>
      </c>
      <c r="CW472" s="21">
        <v>46139</v>
      </c>
      <c r="CX472" s="21">
        <v>46139</v>
      </c>
      <c r="CY472" s="21">
        <v>46139</v>
      </c>
      <c r="CZ472" s="21">
        <v>46229</v>
      </c>
      <c r="DA472" s="21">
        <v>46324</v>
      </c>
      <c r="DB472" s="21">
        <v>46139</v>
      </c>
      <c r="DC472" s="21">
        <v>46324</v>
      </c>
      <c r="DD472" s="8">
        <v>0</v>
      </c>
      <c r="DE472" s="8">
        <v>0</v>
      </c>
      <c r="DF472" s="8">
        <v>0</v>
      </c>
      <c r="DG472" s="8">
        <v>0</v>
      </c>
      <c r="DH472" s="8">
        <v>6</v>
      </c>
      <c r="DI472" s="8">
        <v>0</v>
      </c>
      <c r="DJ472" s="8" t="s">
        <v>2976</v>
      </c>
      <c r="DK472" s="21">
        <v>45960</v>
      </c>
      <c r="DL472" s="21">
        <v>45929.229166666664</v>
      </c>
      <c r="DM472" s="21">
        <v>46107</v>
      </c>
      <c r="DN472" s="18">
        <v>260</v>
      </c>
      <c r="DO472" s="21">
        <v>0</v>
      </c>
      <c r="DP472" s="21">
        <v>0</v>
      </c>
      <c r="DQ472" s="21" t="s">
        <v>3049</v>
      </c>
      <c r="DR472" s="21">
        <v>45960</v>
      </c>
      <c r="DS472" s="21">
        <v>45960</v>
      </c>
      <c r="DT472" s="21">
        <v>45960</v>
      </c>
      <c r="DU472" s="21">
        <v>45960</v>
      </c>
      <c r="DV472" s="21">
        <v>45960</v>
      </c>
      <c r="DW472" s="21">
        <v>45960</v>
      </c>
      <c r="DX472" s="21">
        <v>45960</v>
      </c>
      <c r="DY472" s="21">
        <v>45960</v>
      </c>
      <c r="DZ472" s="21">
        <v>45960</v>
      </c>
      <c r="EA472" s="8">
        <v>240</v>
      </c>
      <c r="EB472" s="8">
        <v>240</v>
      </c>
      <c r="EC472" s="8">
        <v>240</v>
      </c>
      <c r="ED472" s="8">
        <v>240</v>
      </c>
      <c r="EE472" s="8">
        <v>240</v>
      </c>
      <c r="EF472" s="8">
        <v>1240</v>
      </c>
      <c r="EG472" s="8">
        <v>1000</v>
      </c>
      <c r="EH472" s="8">
        <v>1240</v>
      </c>
      <c r="EI472" s="8">
        <v>2740</v>
      </c>
      <c r="EJ472" s="8">
        <v>2</v>
      </c>
      <c r="EK472" s="8" t="s">
        <v>2624</v>
      </c>
      <c r="EL472" s="8">
        <v>5</v>
      </c>
      <c r="EM472" s="8">
        <v>10</v>
      </c>
      <c r="EN472" s="8">
        <v>-48</v>
      </c>
      <c r="EO472" s="8">
        <v>-48</v>
      </c>
      <c r="EP472" s="8">
        <v>-48</v>
      </c>
      <c r="EQ472" s="8">
        <v>-48</v>
      </c>
      <c r="ER472" s="8">
        <v>-48</v>
      </c>
      <c r="ES472" s="8">
        <v>952</v>
      </c>
      <c r="ET472" s="8">
        <v>712</v>
      </c>
      <c r="EU472" s="8">
        <v>952</v>
      </c>
      <c r="EV472" s="8">
        <v>2452</v>
      </c>
    </row>
    <row r="473" spans="1:152" x14ac:dyDescent="0.15">
      <c r="A473" s="8">
        <f>ROW([2]!tbl_DPSAC[[#This Row],[Sl. No.]])-1</f>
        <v>472</v>
      </c>
      <c r="B473" s="9" t="s">
        <v>136</v>
      </c>
      <c r="C473" s="8" t="s">
        <v>2556</v>
      </c>
      <c r="D473" s="8" t="s">
        <v>333</v>
      </c>
      <c r="E473" s="8" t="s">
        <v>333</v>
      </c>
      <c r="F473" s="9" t="s">
        <v>140</v>
      </c>
      <c r="G473" s="23" t="s">
        <v>162</v>
      </c>
      <c r="H473" s="10" t="s">
        <v>2557</v>
      </c>
      <c r="I473" s="23"/>
      <c r="J473" s="10"/>
      <c r="K473" s="10">
        <f>_xlfn.XLOOKUP(C473,'[1]E&amp;DPSAC'!$K:$K,'[1]E&amp;DPSAC'!$G:$G,"",0)</f>
        <v>90066179909</v>
      </c>
      <c r="L473" s="9" t="str">
        <f t="shared" ca="1" si="27"/>
        <v>Warranty</v>
      </c>
      <c r="M473" s="13">
        <v>45955</v>
      </c>
      <c r="N473" s="12">
        <v>36</v>
      </c>
      <c r="O473" s="11">
        <f t="shared" si="26"/>
        <v>47057</v>
      </c>
      <c r="P473" s="8" t="s">
        <v>213</v>
      </c>
      <c r="Q473" s="16" t="s">
        <v>2685</v>
      </c>
      <c r="R473" s="15">
        <v>46093.661400463003</v>
      </c>
      <c r="S473" s="14">
        <v>1502</v>
      </c>
      <c r="T473" s="15">
        <v>46072</v>
      </c>
      <c r="U473" s="14">
        <v>1279</v>
      </c>
      <c r="V473" s="14">
        <v>1582</v>
      </c>
      <c r="W473" s="17">
        <v>46107.551840277803</v>
      </c>
      <c r="X473" s="14" t="s">
        <v>2932</v>
      </c>
      <c r="Y473" s="14">
        <v>670</v>
      </c>
      <c r="Z473" s="14" t="s">
        <v>2692</v>
      </c>
      <c r="AA473" s="18">
        <v>19.338599536997208</v>
      </c>
      <c r="AB473" s="18" t="s">
        <v>2692</v>
      </c>
      <c r="AC473" s="8">
        <f>tbl_DPSAC[[#This Row],[Current Month Due Count]]</f>
        <v>0</v>
      </c>
      <c r="AD473" s="8">
        <f>tbl_DPSAC[[#This Row],[Next Month Due2]]</f>
        <v>0</v>
      </c>
      <c r="AE473" s="8"/>
      <c r="AF473" s="8">
        <v>6</v>
      </c>
      <c r="AG473" s="14">
        <f t="shared" ca="1" si="28"/>
        <v>1615</v>
      </c>
      <c r="AH473" s="8" t="s">
        <v>2558</v>
      </c>
      <c r="AI473" s="8" t="s">
        <v>2559</v>
      </c>
      <c r="AJ473" s="8" t="s">
        <v>2560</v>
      </c>
      <c r="AK473" s="8"/>
      <c r="AL473" s="8"/>
      <c r="AM473" s="8"/>
      <c r="AN473" s="8"/>
      <c r="AO473" s="8"/>
      <c r="AP473" s="8"/>
      <c r="AQ473" s="8"/>
      <c r="AR473" s="8"/>
      <c r="AS473" s="8"/>
      <c r="AT473" s="8"/>
      <c r="AU473" s="8"/>
      <c r="AV473" s="8"/>
      <c r="AW473" s="8"/>
      <c r="AX473" s="8" t="s">
        <v>2007</v>
      </c>
      <c r="AY473" s="14">
        <v>1502</v>
      </c>
      <c r="AZ473" s="19">
        <v>46093</v>
      </c>
      <c r="BA473" s="14" t="s">
        <v>2685</v>
      </c>
      <c r="BB473" s="14">
        <v>1502</v>
      </c>
      <c r="BC473" s="19">
        <v>46093</v>
      </c>
      <c r="BD473" s="14" t="s">
        <v>2685</v>
      </c>
      <c r="BE473" s="14">
        <v>1502</v>
      </c>
      <c r="BF473" s="19">
        <v>46093</v>
      </c>
      <c r="BG473" s="14" t="s">
        <v>2685</v>
      </c>
      <c r="BH473" s="14">
        <v>1502</v>
      </c>
      <c r="BI473" s="19">
        <v>46093</v>
      </c>
      <c r="BJ473" s="14" t="s">
        <v>2685</v>
      </c>
      <c r="BK473" s="14">
        <v>1502</v>
      </c>
      <c r="BL473" s="19">
        <v>46093</v>
      </c>
      <c r="BM473" s="14" t="s">
        <v>2685</v>
      </c>
      <c r="BN473" s="27">
        <v>46273</v>
      </c>
      <c r="BO473" s="27">
        <v>46273</v>
      </c>
      <c r="BP473" s="27">
        <v>46273</v>
      </c>
      <c r="BQ473" s="27">
        <v>46273</v>
      </c>
      <c r="BR473" s="27">
        <v>46458</v>
      </c>
      <c r="BS473" s="28">
        <v>637</v>
      </c>
      <c r="BT473" s="29">
        <v>1387</v>
      </c>
      <c r="BU473" s="29">
        <v>637</v>
      </c>
      <c r="BV473" s="29">
        <v>637</v>
      </c>
      <c r="BW473" s="29">
        <v>1387</v>
      </c>
      <c r="BX473" s="8"/>
      <c r="BY473" s="8">
        <v>0</v>
      </c>
      <c r="BZ473" s="8">
        <v>0</v>
      </c>
      <c r="CA473" s="8">
        <v>0</v>
      </c>
      <c r="CB473" s="21">
        <v>46071.770833333299</v>
      </c>
      <c r="CC473" s="21">
        <v>46071.770833333299</v>
      </c>
      <c r="CD473" s="21">
        <v>46071.770833333299</v>
      </c>
      <c r="CE473" s="21">
        <v>46071.770833333299</v>
      </c>
      <c r="CF473" s="21">
        <v>46071.770833333299</v>
      </c>
      <c r="CG473" s="21">
        <v>45954.770833333299</v>
      </c>
      <c r="CH473" s="21">
        <v>46054.770833333299</v>
      </c>
      <c r="CI473" s="21">
        <v>45954.770833333299</v>
      </c>
      <c r="CJ473" s="21">
        <v>45954.770833333299</v>
      </c>
      <c r="CK473" s="22" t="s">
        <v>2959</v>
      </c>
      <c r="CL473" s="22" t="s">
        <v>2959</v>
      </c>
      <c r="CM473" s="22" t="s">
        <v>2959</v>
      </c>
      <c r="CN473" s="22" t="s">
        <v>2959</v>
      </c>
      <c r="CO473" s="22" t="s">
        <v>2959</v>
      </c>
      <c r="CP473" s="22" t="s">
        <v>2956</v>
      </c>
      <c r="CQ473" s="22" t="s">
        <v>2953</v>
      </c>
      <c r="CR473" s="22" t="s">
        <v>2956</v>
      </c>
      <c r="CS473" s="22" t="s">
        <v>2960</v>
      </c>
      <c r="CT473" s="22">
        <v>10</v>
      </c>
      <c r="CU473" s="21">
        <v>46122</v>
      </c>
      <c r="CV473" s="21">
        <v>46122</v>
      </c>
      <c r="CW473" s="21">
        <v>46122</v>
      </c>
      <c r="CX473" s="21">
        <v>46122</v>
      </c>
      <c r="CY473" s="21">
        <v>46122</v>
      </c>
      <c r="CZ473" s="21">
        <v>46222</v>
      </c>
      <c r="DA473" s="21">
        <v>46172</v>
      </c>
      <c r="DB473" s="21">
        <v>46134</v>
      </c>
      <c r="DC473" s="21">
        <v>46319</v>
      </c>
      <c r="DD473" s="8">
        <v>0</v>
      </c>
      <c r="DE473" s="8">
        <v>0</v>
      </c>
      <c r="DF473" s="8">
        <v>0</v>
      </c>
      <c r="DG473" s="8">
        <v>0</v>
      </c>
      <c r="DH473" s="8">
        <v>6</v>
      </c>
      <c r="DI473" s="8">
        <v>1</v>
      </c>
      <c r="DJ473" s="8" t="s">
        <v>2976</v>
      </c>
      <c r="DK473" s="21">
        <v>45955</v>
      </c>
      <c r="DL473" s="21">
        <v>45929.229166666664</v>
      </c>
      <c r="DM473" s="21">
        <v>46107</v>
      </c>
      <c r="DN473" s="18">
        <v>1582</v>
      </c>
      <c r="DO473" s="21">
        <v>0</v>
      </c>
      <c r="DP473" s="21">
        <v>0</v>
      </c>
      <c r="DQ473" s="21" t="s">
        <v>2955</v>
      </c>
      <c r="DR473" s="21">
        <v>46093</v>
      </c>
      <c r="DS473" s="21">
        <v>46093</v>
      </c>
      <c r="DT473" s="21">
        <v>46093</v>
      </c>
      <c r="DU473" s="21">
        <v>46093</v>
      </c>
      <c r="DV473" s="21">
        <v>46093</v>
      </c>
      <c r="DW473" s="21">
        <v>46093</v>
      </c>
      <c r="DX473" s="21">
        <v>46093</v>
      </c>
      <c r="DY473" s="21">
        <v>46093</v>
      </c>
      <c r="DZ473" s="21">
        <v>45955</v>
      </c>
      <c r="EA473" s="8">
        <v>1420</v>
      </c>
      <c r="EB473" s="8">
        <v>670</v>
      </c>
      <c r="EC473" s="8">
        <v>670</v>
      </c>
      <c r="ED473" s="8">
        <v>670</v>
      </c>
      <c r="EE473" s="8">
        <v>670</v>
      </c>
      <c r="EF473" s="8">
        <v>1420</v>
      </c>
      <c r="EG473" s="8">
        <v>920</v>
      </c>
      <c r="EH473" s="8">
        <v>1420</v>
      </c>
      <c r="EI473" s="8">
        <v>1420</v>
      </c>
      <c r="EJ473" s="8">
        <v>4</v>
      </c>
      <c r="EK473" s="8" t="s">
        <v>2624</v>
      </c>
      <c r="EL473" s="8">
        <v>5</v>
      </c>
      <c r="EM473" s="8">
        <v>30</v>
      </c>
      <c r="EN473" s="8">
        <v>1132</v>
      </c>
      <c r="EO473" s="8">
        <v>382</v>
      </c>
      <c r="EP473" s="8">
        <v>382</v>
      </c>
      <c r="EQ473" s="8">
        <v>382</v>
      </c>
      <c r="ER473" s="8">
        <v>382</v>
      </c>
      <c r="ES473" s="8">
        <v>1132</v>
      </c>
      <c r="ET473" s="8">
        <v>632</v>
      </c>
      <c r="EU473" s="8">
        <v>1132</v>
      </c>
      <c r="EV473" s="8">
        <v>1132</v>
      </c>
    </row>
    <row r="474" spans="1:152" x14ac:dyDescent="0.15">
      <c r="A474" s="8">
        <f>ROW([2]!tbl_DPSAC[[#This Row],[Sl. No.]])-1</f>
        <v>473</v>
      </c>
      <c r="B474" s="9" t="s">
        <v>136</v>
      </c>
      <c r="C474" s="8" t="s">
        <v>2561</v>
      </c>
      <c r="D474" s="8" t="s">
        <v>1491</v>
      </c>
      <c r="E474" s="8" t="s">
        <v>1492</v>
      </c>
      <c r="F474" s="9" t="s">
        <v>161</v>
      </c>
      <c r="G474" s="23" t="s">
        <v>2562</v>
      </c>
      <c r="H474" s="10" t="s">
        <v>2536</v>
      </c>
      <c r="I474" s="23"/>
      <c r="J474" s="10"/>
      <c r="K474" s="10">
        <f>_xlfn.XLOOKUP(C474,'[1]E&amp;DPSAC'!$K:$K,'[1]E&amp;DPSAC'!$G:$G,"",0)</f>
        <v>954495885</v>
      </c>
      <c r="L474" s="9" t="str">
        <f t="shared" ca="1" si="27"/>
        <v>Warranty</v>
      </c>
      <c r="M474" s="13">
        <v>45960</v>
      </c>
      <c r="N474" s="12">
        <v>24</v>
      </c>
      <c r="O474" s="11">
        <f t="shared" si="26"/>
        <v>46691</v>
      </c>
      <c r="P474" s="8" t="s">
        <v>213</v>
      </c>
      <c r="Q474" s="16" t="s">
        <v>143</v>
      </c>
      <c r="R474" s="15" t="s">
        <v>143</v>
      </c>
      <c r="S474" s="14" t="s">
        <v>143</v>
      </c>
      <c r="T474" s="15">
        <v>45960</v>
      </c>
      <c r="U474" s="14">
        <v>1</v>
      </c>
      <c r="V474" s="14">
        <v>1</v>
      </c>
      <c r="W474" s="17">
        <v>45953.565636574102</v>
      </c>
      <c r="X474" s="14" t="s">
        <v>143</v>
      </c>
      <c r="Y474" s="14">
        <v>0</v>
      </c>
      <c r="Z474" s="14" t="s">
        <v>2692</v>
      </c>
      <c r="AA474" s="18">
        <v>153</v>
      </c>
      <c r="AB474" s="18" t="s">
        <v>2692</v>
      </c>
      <c r="AC474" s="8">
        <f>tbl_DPSAC[[#This Row],[Current Month Due Count]]</f>
        <v>4</v>
      </c>
      <c r="AD474" s="8">
        <f>tbl_DPSAC[[#This Row],[Next Month Due2]]</f>
        <v>0</v>
      </c>
      <c r="AE474" s="8"/>
      <c r="AF474" s="8">
        <v>6</v>
      </c>
      <c r="AG474" s="14">
        <f t="shared" ca="1" si="28"/>
        <v>958</v>
      </c>
      <c r="AH474" s="8"/>
      <c r="AI474" s="8"/>
      <c r="AJ474" s="8"/>
      <c r="AK474" s="8"/>
      <c r="AL474" s="8"/>
      <c r="AM474" s="8"/>
      <c r="AN474" s="8"/>
      <c r="AO474" s="8"/>
      <c r="AP474" s="8"/>
      <c r="AQ474" s="8"/>
      <c r="AR474" s="8"/>
      <c r="AS474" s="8"/>
      <c r="AT474" s="8"/>
      <c r="AU474" s="8"/>
      <c r="AV474" s="8"/>
      <c r="AW474" s="8"/>
      <c r="AX474" s="8" t="s">
        <v>2980</v>
      </c>
      <c r="AY474" s="14">
        <v>1</v>
      </c>
      <c r="AZ474" s="19">
        <v>45953</v>
      </c>
      <c r="BA474" s="14" t="s">
        <v>2563</v>
      </c>
      <c r="BB474" s="14">
        <v>1</v>
      </c>
      <c r="BC474" s="19">
        <v>45953</v>
      </c>
      <c r="BD474" s="14" t="s">
        <v>2563</v>
      </c>
      <c r="BE474" s="14">
        <v>1</v>
      </c>
      <c r="BF474" s="19">
        <v>45953</v>
      </c>
      <c r="BG474" s="14" t="s">
        <v>2563</v>
      </c>
      <c r="BH474" s="14">
        <v>1</v>
      </c>
      <c r="BI474" s="19">
        <v>45953</v>
      </c>
      <c r="BJ474" s="14" t="s">
        <v>2563</v>
      </c>
      <c r="BK474" s="14">
        <v>1</v>
      </c>
      <c r="BL474" s="19">
        <v>45953</v>
      </c>
      <c r="BM474" s="14" t="s">
        <v>2563</v>
      </c>
      <c r="BN474" s="27">
        <v>46133</v>
      </c>
      <c r="BO474" s="27">
        <v>46133</v>
      </c>
      <c r="BP474" s="27">
        <v>46133</v>
      </c>
      <c r="BQ474" s="27">
        <v>46133</v>
      </c>
      <c r="BR474" s="27">
        <v>46318</v>
      </c>
      <c r="BS474" s="28">
        <v>-207</v>
      </c>
      <c r="BT474" s="29">
        <v>543</v>
      </c>
      <c r="BU474" s="29">
        <v>-207</v>
      </c>
      <c r="BV474" s="29">
        <v>-207</v>
      </c>
      <c r="BW474" s="29">
        <v>543</v>
      </c>
      <c r="BX474" s="8"/>
      <c r="BY474" s="8">
        <v>0</v>
      </c>
      <c r="BZ474" s="8">
        <v>4</v>
      </c>
      <c r="CA474" s="8">
        <v>0</v>
      </c>
      <c r="CB474" s="21">
        <v>45959.770833333299</v>
      </c>
      <c r="CC474" s="21">
        <v>45959.770833333299</v>
      </c>
      <c r="CD474" s="21">
        <v>45959.770833333299</v>
      </c>
      <c r="CE474" s="21">
        <v>45959.770833333299</v>
      </c>
      <c r="CF474" s="21">
        <v>45959.770833333299</v>
      </c>
      <c r="CG474" s="21">
        <v>45959.770833333299</v>
      </c>
      <c r="CH474" s="21">
        <v>45959.770833333299</v>
      </c>
      <c r="CI474" s="21">
        <v>45959.770833333299</v>
      </c>
      <c r="CJ474" s="21">
        <v>45959.770833333299</v>
      </c>
      <c r="CK474" s="22" t="s">
        <v>2959</v>
      </c>
      <c r="CL474" s="22" t="s">
        <v>2959</v>
      </c>
      <c r="CM474" s="22" t="s">
        <v>2959</v>
      </c>
      <c r="CN474" s="22" t="s">
        <v>2959</v>
      </c>
      <c r="CO474" s="22" t="s">
        <v>2959</v>
      </c>
      <c r="CP474" s="22" t="s">
        <v>2956</v>
      </c>
      <c r="CQ474" s="22" t="s">
        <v>2953</v>
      </c>
      <c r="CR474" s="22" t="s">
        <v>2956</v>
      </c>
      <c r="CS474" s="22" t="s">
        <v>2960</v>
      </c>
      <c r="CT474" s="22">
        <v>6</v>
      </c>
      <c r="CU474" s="21">
        <v>46043</v>
      </c>
      <c r="CV474" s="21">
        <v>46043</v>
      </c>
      <c r="CW474" s="21">
        <v>46043</v>
      </c>
      <c r="CX474" s="21">
        <v>46043</v>
      </c>
      <c r="CY474" s="21">
        <v>46043</v>
      </c>
      <c r="CZ474" s="21">
        <v>46210</v>
      </c>
      <c r="DA474" s="21">
        <v>46126</v>
      </c>
      <c r="DB474" s="21">
        <v>46139</v>
      </c>
      <c r="DC474" s="21">
        <v>46324</v>
      </c>
      <c r="DD474" s="8">
        <v>1</v>
      </c>
      <c r="DE474" s="8">
        <v>0</v>
      </c>
      <c r="DF474" s="8">
        <v>0</v>
      </c>
      <c r="DG474" s="8">
        <v>5</v>
      </c>
      <c r="DH474" s="8">
        <v>2</v>
      </c>
      <c r="DI474" s="8">
        <v>0</v>
      </c>
      <c r="DJ474" s="8" t="s">
        <v>2976</v>
      </c>
      <c r="DK474" s="21">
        <v>45960</v>
      </c>
      <c r="DL474" s="21">
        <v>45911.229166666664</v>
      </c>
      <c r="DM474" s="21">
        <v>45960</v>
      </c>
      <c r="DN474" s="18">
        <v>1</v>
      </c>
      <c r="DO474" s="21">
        <v>0</v>
      </c>
      <c r="DP474" s="21">
        <v>0</v>
      </c>
      <c r="DQ474" s="21" t="s">
        <v>3049</v>
      </c>
      <c r="DR474" s="21">
        <v>45960</v>
      </c>
      <c r="DS474" s="21">
        <v>45960</v>
      </c>
      <c r="DT474" s="21">
        <v>45960</v>
      </c>
      <c r="DU474" s="21">
        <v>45960</v>
      </c>
      <c r="DV474" s="21">
        <v>45960</v>
      </c>
      <c r="DW474" s="21">
        <v>45960</v>
      </c>
      <c r="DX474" s="21">
        <v>45960</v>
      </c>
      <c r="DY474" s="21">
        <v>45960</v>
      </c>
      <c r="DZ474" s="21">
        <v>45960</v>
      </c>
      <c r="EA474" s="8">
        <v>500</v>
      </c>
      <c r="EB474" s="8">
        <v>500</v>
      </c>
      <c r="EC474" s="8">
        <v>500</v>
      </c>
      <c r="ED474" s="8">
        <v>500</v>
      </c>
      <c r="EE474" s="8">
        <v>500</v>
      </c>
      <c r="EF474" s="8">
        <v>1500</v>
      </c>
      <c r="EG474" s="8">
        <v>1000</v>
      </c>
      <c r="EH474" s="8">
        <v>1500</v>
      </c>
      <c r="EI474" s="8">
        <v>3000</v>
      </c>
      <c r="EJ474" s="8">
        <v>6</v>
      </c>
      <c r="EK474" s="8" t="s">
        <v>2624</v>
      </c>
      <c r="EL474" s="8">
        <v>159</v>
      </c>
      <c r="EM474" s="8">
        <v>954</v>
      </c>
      <c r="EN474" s="8">
        <v>212</v>
      </c>
      <c r="EO474" s="8">
        <v>212</v>
      </c>
      <c r="EP474" s="8">
        <v>212</v>
      </c>
      <c r="EQ474" s="8">
        <v>212</v>
      </c>
      <c r="ER474" s="8">
        <v>212</v>
      </c>
      <c r="ES474" s="8">
        <v>1212</v>
      </c>
      <c r="ET474" s="8">
        <v>712</v>
      </c>
      <c r="EU474" s="8">
        <v>1212</v>
      </c>
      <c r="EV474" s="8">
        <v>2712</v>
      </c>
    </row>
    <row r="475" spans="1:152" x14ac:dyDescent="0.15">
      <c r="A475" s="8">
        <f>ROW([2]!tbl_DPSAC[[#This Row],[Sl. No.]])-1</f>
        <v>474</v>
      </c>
      <c r="B475" s="9" t="s">
        <v>136</v>
      </c>
      <c r="C475" s="8" t="s">
        <v>2564</v>
      </c>
      <c r="D475" s="8" t="s">
        <v>262</v>
      </c>
      <c r="E475" s="8" t="s">
        <v>176</v>
      </c>
      <c r="F475" s="9" t="s">
        <v>161</v>
      </c>
      <c r="G475" s="26" t="s">
        <v>2551</v>
      </c>
      <c r="H475" s="10"/>
      <c r="I475" s="14"/>
      <c r="J475" s="10">
        <v>9828761045</v>
      </c>
      <c r="K475" s="10"/>
      <c r="L475" s="9" t="str">
        <f t="shared" ca="1" si="27"/>
        <v>Warranty</v>
      </c>
      <c r="M475" s="13">
        <v>45992</v>
      </c>
      <c r="N475" s="12">
        <v>24</v>
      </c>
      <c r="O475" s="11">
        <v>46721</v>
      </c>
      <c r="P475" s="8" t="s">
        <v>213</v>
      </c>
      <c r="Q475" s="16" t="s">
        <v>143</v>
      </c>
      <c r="R475" s="15" t="s">
        <v>143</v>
      </c>
      <c r="S475" s="14" t="s">
        <v>143</v>
      </c>
      <c r="T475" s="15">
        <v>45989</v>
      </c>
      <c r="U475" s="14">
        <v>1</v>
      </c>
      <c r="V475" s="14">
        <v>1</v>
      </c>
      <c r="W475" s="17">
        <v>45989.481053240699</v>
      </c>
      <c r="X475" s="14" t="s">
        <v>143</v>
      </c>
      <c r="Y475" s="14">
        <v>0</v>
      </c>
      <c r="Z475" s="14" t="s">
        <v>2692</v>
      </c>
      <c r="AA475" s="18">
        <v>121</v>
      </c>
      <c r="AB475" s="18" t="s">
        <v>2692</v>
      </c>
      <c r="AC475" s="8">
        <f>tbl_DPSAC[[#This Row],[Current Month Due Count]]</f>
        <v>0</v>
      </c>
      <c r="AD475" s="8">
        <f>tbl_DPSAC[[#This Row],[Next Month Due2]]</f>
        <v>4</v>
      </c>
      <c r="AE475" s="8"/>
      <c r="AF475" s="8">
        <v>3</v>
      </c>
      <c r="AG475" s="14">
        <f t="shared" ca="1" si="28"/>
        <v>372</v>
      </c>
      <c r="AH475" s="8"/>
      <c r="AI475" s="8"/>
      <c r="AJ475" s="8"/>
      <c r="AK475" s="8"/>
      <c r="AL475" s="8"/>
      <c r="AM475" s="8"/>
      <c r="AN475" s="8"/>
      <c r="AO475" s="8"/>
      <c r="AP475" s="8"/>
      <c r="AQ475" s="8"/>
      <c r="AR475" s="8"/>
      <c r="AS475" s="8"/>
      <c r="AT475" s="8"/>
      <c r="AU475" s="8"/>
      <c r="AV475" s="8"/>
      <c r="AW475" s="8"/>
      <c r="AX475" s="8" t="s">
        <v>2007</v>
      </c>
      <c r="AY475" s="14">
        <v>1</v>
      </c>
      <c r="AZ475" s="19">
        <v>45989</v>
      </c>
      <c r="BA475" s="14" t="s">
        <v>2565</v>
      </c>
      <c r="BB475" s="14">
        <v>1</v>
      </c>
      <c r="BC475" s="19">
        <v>45989</v>
      </c>
      <c r="BD475" s="14" t="s">
        <v>2565</v>
      </c>
      <c r="BE475" s="14">
        <v>1</v>
      </c>
      <c r="BF475" s="19">
        <v>45989</v>
      </c>
      <c r="BG475" s="14" t="s">
        <v>2565</v>
      </c>
      <c r="BH475" s="14">
        <v>1</v>
      </c>
      <c r="BI475" s="19">
        <v>45989</v>
      </c>
      <c r="BJ475" s="14" t="s">
        <v>2565</v>
      </c>
      <c r="BK475" s="14">
        <v>1</v>
      </c>
      <c r="BL475" s="19">
        <v>45989</v>
      </c>
      <c r="BM475" s="14" t="s">
        <v>2565</v>
      </c>
      <c r="BN475" s="27">
        <v>46169</v>
      </c>
      <c r="BO475" s="27">
        <v>46169</v>
      </c>
      <c r="BP475" s="27">
        <v>46169</v>
      </c>
      <c r="BQ475" s="27">
        <v>46169</v>
      </c>
      <c r="BR475" s="27">
        <v>46354</v>
      </c>
      <c r="BS475" s="28">
        <v>379</v>
      </c>
      <c r="BT475" s="29">
        <v>1129</v>
      </c>
      <c r="BU475" s="29">
        <v>379</v>
      </c>
      <c r="BV475" s="29">
        <v>379</v>
      </c>
      <c r="BW475" s="29">
        <v>1129</v>
      </c>
      <c r="BX475" s="8"/>
      <c r="BY475" s="8">
        <v>0</v>
      </c>
      <c r="BZ475" s="8">
        <v>0</v>
      </c>
      <c r="CA475" s="8">
        <v>4</v>
      </c>
      <c r="CB475" s="21">
        <v>45991.770833333299</v>
      </c>
      <c r="CC475" s="21">
        <v>45991.770833333299</v>
      </c>
      <c r="CD475" s="21">
        <v>45991.770833333299</v>
      </c>
      <c r="CE475" s="21">
        <v>45991.770833333299</v>
      </c>
      <c r="CF475" s="21">
        <v>45991.770833333299</v>
      </c>
      <c r="CG475" s="21">
        <v>45991.770833333299</v>
      </c>
      <c r="CH475" s="21">
        <v>45991.770833333299</v>
      </c>
      <c r="CI475" s="21">
        <v>45991.770833333299</v>
      </c>
      <c r="CJ475" s="21">
        <v>45991.770833333299</v>
      </c>
      <c r="CK475" s="22" t="s">
        <v>2959</v>
      </c>
      <c r="CL475" s="22" t="s">
        <v>2959</v>
      </c>
      <c r="CM475" s="22" t="s">
        <v>2959</v>
      </c>
      <c r="CN475" s="22" t="s">
        <v>2959</v>
      </c>
      <c r="CO475" s="22" t="s">
        <v>2959</v>
      </c>
      <c r="CP475" s="22" t="s">
        <v>2956</v>
      </c>
      <c r="CQ475" s="22" t="s">
        <v>2953</v>
      </c>
      <c r="CR475" s="22" t="s">
        <v>2956</v>
      </c>
      <c r="CS475" s="22" t="s">
        <v>2960</v>
      </c>
      <c r="CT475" s="22">
        <v>8</v>
      </c>
      <c r="CU475" s="21">
        <v>46054</v>
      </c>
      <c r="CV475" s="21">
        <v>46054</v>
      </c>
      <c r="CW475" s="21">
        <v>46054</v>
      </c>
      <c r="CX475" s="21">
        <v>46054</v>
      </c>
      <c r="CY475" s="21">
        <v>46054</v>
      </c>
      <c r="CZ475" s="21">
        <v>46179</v>
      </c>
      <c r="DA475" s="21">
        <v>46117</v>
      </c>
      <c r="DB475" s="21">
        <v>46171</v>
      </c>
      <c r="DC475" s="21">
        <v>46356</v>
      </c>
      <c r="DD475" s="8">
        <v>0</v>
      </c>
      <c r="DE475" s="8">
        <v>1</v>
      </c>
      <c r="DF475" s="8">
        <v>0</v>
      </c>
      <c r="DG475" s="8">
        <v>5</v>
      </c>
      <c r="DH475" s="8">
        <v>1</v>
      </c>
      <c r="DI475" s="8">
        <v>1</v>
      </c>
      <c r="DJ475" s="8" t="s">
        <v>2976</v>
      </c>
      <c r="DK475" s="21">
        <v>45992</v>
      </c>
      <c r="DL475" s="21">
        <v>45982.229166666664</v>
      </c>
      <c r="DM475" s="21">
        <v>45992</v>
      </c>
      <c r="DN475" s="18">
        <v>1</v>
      </c>
      <c r="DO475" s="21">
        <v>0</v>
      </c>
      <c r="DP475" s="21">
        <v>0</v>
      </c>
      <c r="DQ475" s="21" t="s">
        <v>3049</v>
      </c>
      <c r="DR475" s="21">
        <v>45992</v>
      </c>
      <c r="DS475" s="21">
        <v>45992</v>
      </c>
      <c r="DT475" s="21">
        <v>45992</v>
      </c>
      <c r="DU475" s="21">
        <v>45992</v>
      </c>
      <c r="DV475" s="21">
        <v>45992</v>
      </c>
      <c r="DW475" s="21">
        <v>45992</v>
      </c>
      <c r="DX475" s="21">
        <v>45992</v>
      </c>
      <c r="DY475" s="21">
        <v>45992</v>
      </c>
      <c r="DZ475" s="21">
        <v>45992</v>
      </c>
      <c r="EA475" s="8">
        <v>500</v>
      </c>
      <c r="EB475" s="8">
        <v>500</v>
      </c>
      <c r="EC475" s="8">
        <v>500</v>
      </c>
      <c r="ED475" s="8">
        <v>500</v>
      </c>
      <c r="EE475" s="8">
        <v>500</v>
      </c>
      <c r="EF475" s="8">
        <v>1500</v>
      </c>
      <c r="EG475" s="8">
        <v>1000</v>
      </c>
      <c r="EH475" s="8">
        <v>1500</v>
      </c>
      <c r="EI475" s="8">
        <v>3000</v>
      </c>
      <c r="EJ475" s="8">
        <v>8</v>
      </c>
      <c r="EK475" s="8" t="s">
        <v>2624</v>
      </c>
      <c r="EL475" s="8">
        <v>124</v>
      </c>
      <c r="EM475" s="8">
        <v>372</v>
      </c>
      <c r="EN475" s="8">
        <v>212</v>
      </c>
      <c r="EO475" s="8">
        <v>212</v>
      </c>
      <c r="EP475" s="8">
        <v>212</v>
      </c>
      <c r="EQ475" s="8">
        <v>212</v>
      </c>
      <c r="ER475" s="8">
        <v>212</v>
      </c>
      <c r="ES475" s="8">
        <v>1212</v>
      </c>
      <c r="ET475" s="8">
        <v>712</v>
      </c>
      <c r="EU475" s="8">
        <v>1212</v>
      </c>
      <c r="EV475" s="8">
        <v>2712</v>
      </c>
    </row>
    <row r="476" spans="1:152" ht="21" x14ac:dyDescent="0.15">
      <c r="A476" s="8">
        <f>ROW([2]!tbl_DPSAC[[#This Row],[Sl. No.]])-1</f>
        <v>475</v>
      </c>
      <c r="B476" s="9" t="s">
        <v>136</v>
      </c>
      <c r="C476" s="8" t="s">
        <v>2566</v>
      </c>
      <c r="D476" s="8" t="s">
        <v>1491</v>
      </c>
      <c r="E476" s="8" t="s">
        <v>1492</v>
      </c>
      <c r="F476" s="9" t="s">
        <v>161</v>
      </c>
      <c r="G476" s="26" t="s">
        <v>2567</v>
      </c>
      <c r="H476" s="10"/>
      <c r="I476" s="14"/>
      <c r="J476" s="10">
        <v>8340617969</v>
      </c>
      <c r="K476" s="10"/>
      <c r="L476" s="9" t="str">
        <f t="shared" ca="1" si="27"/>
        <v>Warranty</v>
      </c>
      <c r="M476" s="13">
        <v>45861</v>
      </c>
      <c r="N476" s="12">
        <v>24</v>
      </c>
      <c r="O476" s="11">
        <v>46590</v>
      </c>
      <c r="P476" s="8" t="s">
        <v>213</v>
      </c>
      <c r="Q476" s="16" t="s">
        <v>2568</v>
      </c>
      <c r="R476" s="15">
        <v>45978.704155092601</v>
      </c>
      <c r="S476" s="14">
        <v>439</v>
      </c>
      <c r="T476" s="15">
        <v>45979</v>
      </c>
      <c r="U476" s="14">
        <v>439</v>
      </c>
      <c r="V476" s="14">
        <v>700</v>
      </c>
      <c r="W476" s="17">
        <v>46107.567974537</v>
      </c>
      <c r="X476" s="14" t="s">
        <v>2913</v>
      </c>
      <c r="Y476" s="14">
        <v>489</v>
      </c>
      <c r="Z476" s="14" t="s">
        <v>2692</v>
      </c>
      <c r="AA476" s="18">
        <v>134.29584490739944</v>
      </c>
      <c r="AB476" s="18" t="s">
        <v>2692</v>
      </c>
      <c r="AC476" s="8">
        <f>tbl_DPSAC[[#This Row],[Current Month Due Count]]</f>
        <v>0</v>
      </c>
      <c r="AD476" s="8">
        <f>tbl_DPSAC[[#This Row],[Next Month Due2]]</f>
        <v>3</v>
      </c>
      <c r="AE476" s="8"/>
      <c r="AF476" s="8">
        <v>2</v>
      </c>
      <c r="AG476" s="14">
        <f t="shared" ca="1" si="28"/>
        <v>711</v>
      </c>
      <c r="AH476" s="8"/>
      <c r="AI476" s="8"/>
      <c r="AJ476" s="8"/>
      <c r="AK476" s="8"/>
      <c r="AL476" s="8"/>
      <c r="AM476" s="8"/>
      <c r="AN476" s="8"/>
      <c r="AO476" s="8"/>
      <c r="AP476" s="8"/>
      <c r="AQ476" s="8"/>
      <c r="AR476" s="8"/>
      <c r="AS476" s="8"/>
      <c r="AT476" s="8"/>
      <c r="AU476" s="8"/>
      <c r="AV476" s="8"/>
      <c r="AW476" s="8"/>
      <c r="AX476" s="8" t="s">
        <v>2007</v>
      </c>
      <c r="AY476" s="14">
        <v>439</v>
      </c>
      <c r="AZ476" s="19">
        <v>45978</v>
      </c>
      <c r="BA476" s="14" t="s">
        <v>2568</v>
      </c>
      <c r="BB476" s="14">
        <v>1</v>
      </c>
      <c r="BC476" s="19">
        <v>45861</v>
      </c>
      <c r="BD476" s="14" t="s">
        <v>2569</v>
      </c>
      <c r="BE476" s="14">
        <v>439</v>
      </c>
      <c r="BF476" s="19">
        <v>45978</v>
      </c>
      <c r="BG476" s="14" t="s">
        <v>2568</v>
      </c>
      <c r="BH476" s="14">
        <v>439</v>
      </c>
      <c r="BI476" s="19">
        <v>45978</v>
      </c>
      <c r="BJ476" s="14" t="s">
        <v>2568</v>
      </c>
      <c r="BK476" s="14">
        <v>1</v>
      </c>
      <c r="BL476" s="19">
        <v>45861</v>
      </c>
      <c r="BM476" s="14" t="s">
        <v>2569</v>
      </c>
      <c r="BN476" s="27">
        <v>46158</v>
      </c>
      <c r="BO476" s="27">
        <v>46041</v>
      </c>
      <c r="BP476" s="27">
        <v>46158</v>
      </c>
      <c r="BQ476" s="27">
        <v>46158</v>
      </c>
      <c r="BR476" s="27">
        <v>46226</v>
      </c>
      <c r="BS476" s="28">
        <v>478</v>
      </c>
      <c r="BT476" s="29">
        <v>790</v>
      </c>
      <c r="BU476" s="29">
        <v>478</v>
      </c>
      <c r="BV476" s="29">
        <v>478</v>
      </c>
      <c r="BW476" s="29">
        <v>790</v>
      </c>
      <c r="BX476" s="8"/>
      <c r="BY476" s="8">
        <v>1</v>
      </c>
      <c r="BZ476" s="8">
        <v>0</v>
      </c>
      <c r="CA476" s="8">
        <v>3</v>
      </c>
      <c r="CB476" s="21">
        <v>45977.770833333299</v>
      </c>
      <c r="CC476" s="21">
        <v>45978.770833333299</v>
      </c>
      <c r="CD476" s="21">
        <v>45977.770833333299</v>
      </c>
      <c r="CE476" s="21">
        <v>45977.770833333299</v>
      </c>
      <c r="CF476" s="21">
        <v>45977.770833333299</v>
      </c>
      <c r="CG476" s="21">
        <v>45860.770833333299</v>
      </c>
      <c r="CH476" s="21">
        <v>45860.770833333299</v>
      </c>
      <c r="CI476" s="21">
        <v>45860.770833333299</v>
      </c>
      <c r="CJ476" s="21">
        <v>45860.770833333299</v>
      </c>
      <c r="CK476" s="22" t="s">
        <v>3020</v>
      </c>
      <c r="CL476" s="22" t="s">
        <v>3020</v>
      </c>
      <c r="CM476" s="22" t="s">
        <v>3020</v>
      </c>
      <c r="CN476" s="22" t="s">
        <v>3020</v>
      </c>
      <c r="CO476" s="22" t="s">
        <v>3020</v>
      </c>
      <c r="CP476" s="22" t="s">
        <v>3021</v>
      </c>
      <c r="CQ476" s="22" t="s">
        <v>2953</v>
      </c>
      <c r="CR476" s="22" t="s">
        <v>3021</v>
      </c>
      <c r="CS476" s="22" t="s">
        <v>3022</v>
      </c>
      <c r="CT476" s="22">
        <v>2</v>
      </c>
      <c r="CU476" s="21">
        <v>46157</v>
      </c>
      <c r="CV476" s="21">
        <v>46158</v>
      </c>
      <c r="CW476" s="21">
        <v>46157</v>
      </c>
      <c r="CX476" s="21">
        <v>46157</v>
      </c>
      <c r="CY476" s="21">
        <v>46157</v>
      </c>
      <c r="CZ476" s="21">
        <v>46130</v>
      </c>
      <c r="DA476" s="21">
        <v>46225</v>
      </c>
      <c r="DB476" s="21">
        <v>46040</v>
      </c>
      <c r="DC476" s="21">
        <v>46225</v>
      </c>
      <c r="DD476" s="8">
        <v>1</v>
      </c>
      <c r="DE476" s="8">
        <v>0</v>
      </c>
      <c r="DF476" s="8">
        <v>0</v>
      </c>
      <c r="DG476" s="8">
        <v>1</v>
      </c>
      <c r="DH476" s="8">
        <v>1</v>
      </c>
      <c r="DI476" s="8">
        <v>5</v>
      </c>
      <c r="DJ476" s="8" t="s">
        <v>2976</v>
      </c>
      <c r="DK476" s="21">
        <v>45861</v>
      </c>
      <c r="DL476" s="21">
        <v>45828.229166666664</v>
      </c>
      <c r="DM476" s="21">
        <v>46107</v>
      </c>
      <c r="DN476" s="18">
        <v>700</v>
      </c>
      <c r="DO476" s="21">
        <v>0</v>
      </c>
      <c r="DP476" s="21">
        <v>0</v>
      </c>
      <c r="DQ476" s="21" t="s">
        <v>2955</v>
      </c>
      <c r="DR476" s="21">
        <v>45978</v>
      </c>
      <c r="DS476" s="21">
        <v>45978</v>
      </c>
      <c r="DT476" s="21">
        <v>45978</v>
      </c>
      <c r="DU476" s="21">
        <v>45978</v>
      </c>
      <c r="DV476" s="21">
        <v>45978</v>
      </c>
      <c r="DW476" s="21">
        <v>45861</v>
      </c>
      <c r="DX476" s="21">
        <v>45861</v>
      </c>
      <c r="DY476" s="21">
        <v>45861</v>
      </c>
      <c r="DZ476" s="21">
        <v>45861</v>
      </c>
      <c r="EA476" s="8">
        <v>489</v>
      </c>
      <c r="EB476" s="8">
        <v>489</v>
      </c>
      <c r="EC476" s="8">
        <v>489</v>
      </c>
      <c r="ED476" s="8">
        <v>489</v>
      </c>
      <c r="EE476" s="8">
        <v>489</v>
      </c>
      <c r="EF476" s="8">
        <v>805</v>
      </c>
      <c r="EG476" s="8">
        <v>1000</v>
      </c>
      <c r="EH476" s="8">
        <v>805</v>
      </c>
      <c r="EI476" s="8">
        <v>2305</v>
      </c>
      <c r="EJ476" s="8">
        <v>4</v>
      </c>
      <c r="EK476" s="8" t="s">
        <v>2624</v>
      </c>
      <c r="EL476" s="8">
        <v>5</v>
      </c>
      <c r="EM476" s="8">
        <v>10</v>
      </c>
      <c r="EN476" s="8">
        <v>201</v>
      </c>
      <c r="EO476" s="8">
        <v>201</v>
      </c>
      <c r="EP476" s="8">
        <v>201</v>
      </c>
      <c r="EQ476" s="8">
        <v>201</v>
      </c>
      <c r="ER476" s="8">
        <v>201</v>
      </c>
      <c r="ES476" s="8">
        <v>517</v>
      </c>
      <c r="ET476" s="8">
        <v>712</v>
      </c>
      <c r="EU476" s="8">
        <v>517</v>
      </c>
      <c r="EV476" s="8">
        <v>2017</v>
      </c>
    </row>
    <row r="477" spans="1:152" ht="21" x14ac:dyDescent="0.15">
      <c r="A477" s="8">
        <f>ROW([2]!tbl_DPSAC[[#This Row],[Sl. No.]])-1</f>
        <v>476</v>
      </c>
      <c r="B477" s="9" t="s">
        <v>136</v>
      </c>
      <c r="C477" s="8" t="s">
        <v>2570</v>
      </c>
      <c r="D477" s="8" t="s">
        <v>1491</v>
      </c>
      <c r="E477" s="8" t="s">
        <v>1492</v>
      </c>
      <c r="F477" s="9" t="s">
        <v>161</v>
      </c>
      <c r="G477" s="26" t="s">
        <v>2571</v>
      </c>
      <c r="H477" s="10"/>
      <c r="I477" s="14"/>
      <c r="J477" s="10">
        <v>9931519400</v>
      </c>
      <c r="K477" s="10"/>
      <c r="L477" s="9" t="str">
        <f t="shared" ca="1" si="27"/>
        <v>Warranty</v>
      </c>
      <c r="M477" s="13">
        <v>45976</v>
      </c>
      <c r="N477" s="12">
        <v>24</v>
      </c>
      <c r="O477" s="11">
        <v>46705</v>
      </c>
      <c r="P477" s="8" t="s">
        <v>213</v>
      </c>
      <c r="Q477" s="16" t="s">
        <v>2574</v>
      </c>
      <c r="R477" s="15">
        <v>46043.627581018503</v>
      </c>
      <c r="S477" s="14">
        <v>533</v>
      </c>
      <c r="T477" s="15">
        <v>46029</v>
      </c>
      <c r="U477" s="14">
        <v>311</v>
      </c>
      <c r="V477" s="14">
        <v>783</v>
      </c>
      <c r="W477" s="17">
        <v>46107.564247685201</v>
      </c>
      <c r="X477" s="14" t="s">
        <v>2933</v>
      </c>
      <c r="Y477" s="14">
        <v>500</v>
      </c>
      <c r="Z477" s="14" t="s">
        <v>2692</v>
      </c>
      <c r="AA477" s="18">
        <v>69.372418981496594</v>
      </c>
      <c r="AB477" s="18" t="s">
        <v>2692</v>
      </c>
      <c r="AC477" s="8">
        <f>tbl_DPSAC[[#This Row],[Current Month Due Count]]</f>
        <v>0</v>
      </c>
      <c r="AD477" s="8">
        <f>tbl_DPSAC[[#This Row],[Next Month Due2]]</f>
        <v>1</v>
      </c>
      <c r="AE477" s="8"/>
      <c r="AF477" s="8">
        <v>4</v>
      </c>
      <c r="AG477" s="14">
        <f t="shared" ca="1" si="28"/>
        <v>805</v>
      </c>
      <c r="AH477" s="8" t="s">
        <v>2572</v>
      </c>
      <c r="AI477" s="8" t="s">
        <v>2573</v>
      </c>
      <c r="AJ477" s="8"/>
      <c r="AK477" s="8"/>
      <c r="AL477" s="8"/>
      <c r="AM477" s="8"/>
      <c r="AN477" s="8"/>
      <c r="AO477" s="8"/>
      <c r="AP477" s="8"/>
      <c r="AQ477" s="8"/>
      <c r="AR477" s="8"/>
      <c r="AS477" s="8"/>
      <c r="AT477" s="8"/>
      <c r="AU477" s="8"/>
      <c r="AV477" s="8"/>
      <c r="AW477" s="8"/>
      <c r="AX477" s="8" t="s">
        <v>2007</v>
      </c>
      <c r="AY477" s="14">
        <v>533</v>
      </c>
      <c r="AZ477" s="19">
        <v>46043</v>
      </c>
      <c r="BA477" s="14" t="s">
        <v>2574</v>
      </c>
      <c r="BB477" s="14">
        <v>1</v>
      </c>
      <c r="BC477" s="19">
        <v>45976</v>
      </c>
      <c r="BD477" s="14" t="s">
        <v>2575</v>
      </c>
      <c r="BE477" s="14">
        <v>533</v>
      </c>
      <c r="BF477" s="19">
        <v>46043</v>
      </c>
      <c r="BG477" s="14" t="s">
        <v>2574</v>
      </c>
      <c r="BH477" s="14">
        <v>533</v>
      </c>
      <c r="BI477" s="19">
        <v>46043</v>
      </c>
      <c r="BJ477" s="14" t="s">
        <v>2574</v>
      </c>
      <c r="BK477" s="14">
        <v>1</v>
      </c>
      <c r="BL477" s="19">
        <v>45976</v>
      </c>
      <c r="BM477" s="14" t="s">
        <v>2575</v>
      </c>
      <c r="BN477" s="27">
        <v>46223</v>
      </c>
      <c r="BO477" s="27">
        <v>46156</v>
      </c>
      <c r="BP477" s="27">
        <v>46223</v>
      </c>
      <c r="BQ477" s="27">
        <v>46223</v>
      </c>
      <c r="BR477" s="27">
        <v>46341</v>
      </c>
      <c r="BS477" s="28">
        <v>478</v>
      </c>
      <c r="BT477" s="29">
        <v>696</v>
      </c>
      <c r="BU477" s="29">
        <v>478</v>
      </c>
      <c r="BV477" s="29">
        <v>478</v>
      </c>
      <c r="BW477" s="29">
        <v>696</v>
      </c>
      <c r="BX477" s="8"/>
      <c r="BY477" s="8">
        <v>0</v>
      </c>
      <c r="BZ477" s="8">
        <v>0</v>
      </c>
      <c r="CA477" s="8">
        <v>1</v>
      </c>
      <c r="CB477" s="21">
        <v>46042.770833333299</v>
      </c>
      <c r="CC477" s="21">
        <v>46042.770833333299</v>
      </c>
      <c r="CD477" s="21">
        <v>46042.770833333299</v>
      </c>
      <c r="CE477" s="21">
        <v>46042.770833333299</v>
      </c>
      <c r="CF477" s="21">
        <v>45975.770833333299</v>
      </c>
      <c r="CG477" s="21">
        <v>45975.770833333299</v>
      </c>
      <c r="CH477" s="21">
        <v>45975.770833333299</v>
      </c>
      <c r="CI477" s="21">
        <v>45975.770833333299</v>
      </c>
      <c r="CJ477" s="21">
        <v>45975.770833333299</v>
      </c>
      <c r="CK477" s="22" t="s">
        <v>2959</v>
      </c>
      <c r="CL477" s="22" t="s">
        <v>2959</v>
      </c>
      <c r="CM477" s="22" t="s">
        <v>2959</v>
      </c>
      <c r="CN477" s="22" t="s">
        <v>2959</v>
      </c>
      <c r="CO477" s="22" t="s">
        <v>2959</v>
      </c>
      <c r="CP477" s="22" t="s">
        <v>2956</v>
      </c>
      <c r="CQ477" s="22" t="s">
        <v>2953</v>
      </c>
      <c r="CR477" s="22" t="s">
        <v>2956</v>
      </c>
      <c r="CS477" s="22" t="s">
        <v>2960</v>
      </c>
      <c r="CT477" s="22">
        <v>10</v>
      </c>
      <c r="CU477" s="21">
        <v>46093</v>
      </c>
      <c r="CV477" s="21">
        <v>46093</v>
      </c>
      <c r="CW477" s="21">
        <v>46093</v>
      </c>
      <c r="CX477" s="21">
        <v>46093</v>
      </c>
      <c r="CY477" s="21">
        <v>46093</v>
      </c>
      <c r="CZ477" s="21">
        <v>46193</v>
      </c>
      <c r="DA477" s="21">
        <v>46143</v>
      </c>
      <c r="DB477" s="21">
        <v>46155</v>
      </c>
      <c r="DC477" s="21">
        <v>46340</v>
      </c>
      <c r="DD477" s="8">
        <v>0</v>
      </c>
      <c r="DE477" s="8">
        <v>0</v>
      </c>
      <c r="DF477" s="8">
        <v>1</v>
      </c>
      <c r="DG477" s="8">
        <v>5</v>
      </c>
      <c r="DH477" s="8">
        <v>0</v>
      </c>
      <c r="DI477" s="8">
        <v>2</v>
      </c>
      <c r="DJ477" s="8" t="s">
        <v>2976</v>
      </c>
      <c r="DK477" s="21">
        <v>45976</v>
      </c>
      <c r="DL477" s="21">
        <v>45957.229166666664</v>
      </c>
      <c r="DM477" s="21">
        <v>46107</v>
      </c>
      <c r="DN477" s="18">
        <v>783</v>
      </c>
      <c r="DO477" s="21">
        <v>0</v>
      </c>
      <c r="DP477" s="21">
        <v>0</v>
      </c>
      <c r="DQ477" s="21" t="s">
        <v>2955</v>
      </c>
      <c r="DR477" s="21">
        <v>46043</v>
      </c>
      <c r="DS477" s="21">
        <v>46043</v>
      </c>
      <c r="DT477" s="21">
        <v>46043</v>
      </c>
      <c r="DU477" s="21">
        <v>46043</v>
      </c>
      <c r="DV477" s="21">
        <v>45976</v>
      </c>
      <c r="DW477" s="21">
        <v>45976</v>
      </c>
      <c r="DX477" s="21">
        <v>45976</v>
      </c>
      <c r="DY477" s="21">
        <v>45976</v>
      </c>
      <c r="DZ477" s="21">
        <v>45976</v>
      </c>
      <c r="EA477" s="8">
        <v>500</v>
      </c>
      <c r="EB477" s="8">
        <v>500</v>
      </c>
      <c r="EC477" s="8">
        <v>500</v>
      </c>
      <c r="ED477" s="8">
        <v>500</v>
      </c>
      <c r="EE477" s="8">
        <v>720</v>
      </c>
      <c r="EF477" s="8">
        <v>720</v>
      </c>
      <c r="EG477" s="8">
        <v>1000</v>
      </c>
      <c r="EH477" s="8">
        <v>720</v>
      </c>
      <c r="EI477" s="8">
        <v>2220</v>
      </c>
      <c r="EJ477" s="8">
        <v>2</v>
      </c>
      <c r="EK477" s="8" t="s">
        <v>2624</v>
      </c>
      <c r="EL477" s="8">
        <v>5</v>
      </c>
      <c r="EM477" s="8">
        <v>20</v>
      </c>
      <c r="EN477" s="8">
        <v>212</v>
      </c>
      <c r="EO477" s="8">
        <v>212</v>
      </c>
      <c r="EP477" s="8">
        <v>212</v>
      </c>
      <c r="EQ477" s="8">
        <v>212</v>
      </c>
      <c r="ER477" s="8">
        <v>432</v>
      </c>
      <c r="ES477" s="8">
        <v>432</v>
      </c>
      <c r="ET477" s="8">
        <v>712</v>
      </c>
      <c r="EU477" s="8">
        <v>432</v>
      </c>
      <c r="EV477" s="8">
        <v>1932</v>
      </c>
    </row>
    <row r="478" spans="1:152" x14ac:dyDescent="0.15">
      <c r="A478" s="8">
        <f>ROW([2]!tbl_DPSAC[[#This Row],[Sl. No.]])-1</f>
        <v>477</v>
      </c>
      <c r="B478" s="9" t="s">
        <v>136</v>
      </c>
      <c r="C478" s="8" t="s">
        <v>2576</v>
      </c>
      <c r="D478" s="8" t="s">
        <v>2439</v>
      </c>
      <c r="E478" s="8" t="s">
        <v>2440</v>
      </c>
      <c r="F478" s="9" t="s">
        <v>161</v>
      </c>
      <c r="G478" s="26" t="s">
        <v>2577</v>
      </c>
      <c r="H478" s="10"/>
      <c r="I478" s="14"/>
      <c r="J478" s="10">
        <v>9225530583</v>
      </c>
      <c r="K478" s="10"/>
      <c r="L478" s="9" t="str">
        <f t="shared" ca="1" si="27"/>
        <v>Warranty</v>
      </c>
      <c r="M478" s="13">
        <v>45978</v>
      </c>
      <c r="N478" s="12">
        <v>24</v>
      </c>
      <c r="O478" s="11">
        <v>46707</v>
      </c>
      <c r="P478" s="8" t="s">
        <v>213</v>
      </c>
      <c r="Q478" s="16" t="s">
        <v>143</v>
      </c>
      <c r="R478" s="15" t="s">
        <v>143</v>
      </c>
      <c r="S478" s="14" t="s">
        <v>143</v>
      </c>
      <c r="T478" s="15">
        <v>46021</v>
      </c>
      <c r="U478" s="14">
        <v>135</v>
      </c>
      <c r="V478" s="14">
        <v>330</v>
      </c>
      <c r="W478" s="17">
        <v>46107.573680555601</v>
      </c>
      <c r="X478" s="14" t="s">
        <v>143</v>
      </c>
      <c r="Y478" s="14">
        <v>0</v>
      </c>
      <c r="Z478" s="14" t="s">
        <v>2692</v>
      </c>
      <c r="AA478" s="18">
        <v>135</v>
      </c>
      <c r="AB478" s="18" t="s">
        <v>2692</v>
      </c>
      <c r="AC478" s="8">
        <f>tbl_DPSAC[[#This Row],[Current Month Due Count]]</f>
        <v>0</v>
      </c>
      <c r="AD478" s="8">
        <f>tbl_DPSAC[[#This Row],[Next Month Due2]]</f>
        <v>4</v>
      </c>
      <c r="AE478" s="8"/>
      <c r="AF478" s="8">
        <v>1</v>
      </c>
      <c r="AG478" s="14">
        <f t="shared" ca="1" si="28"/>
        <v>335</v>
      </c>
      <c r="AH478" s="8"/>
      <c r="AI478" s="8"/>
      <c r="AJ478" s="8"/>
      <c r="AK478" s="8"/>
      <c r="AL478" s="8"/>
      <c r="AM478" s="8"/>
      <c r="AN478" s="8"/>
      <c r="AO478" s="8"/>
      <c r="AP478" s="8"/>
      <c r="AQ478" s="8"/>
      <c r="AR478" s="8"/>
      <c r="AS478" s="8"/>
      <c r="AT478" s="8"/>
      <c r="AU478" s="8"/>
      <c r="AV478" s="8"/>
      <c r="AW478" s="8"/>
      <c r="AX478" s="8" t="s">
        <v>2007</v>
      </c>
      <c r="AY478" s="14">
        <v>1</v>
      </c>
      <c r="AZ478" s="19">
        <v>45975</v>
      </c>
      <c r="BA478" s="14" t="s">
        <v>2578</v>
      </c>
      <c r="BB478" s="14">
        <v>1</v>
      </c>
      <c r="BC478" s="19">
        <v>45975</v>
      </c>
      <c r="BD478" s="14" t="s">
        <v>2578</v>
      </c>
      <c r="BE478" s="14">
        <v>1</v>
      </c>
      <c r="BF478" s="19">
        <v>45975</v>
      </c>
      <c r="BG478" s="14" t="s">
        <v>2578</v>
      </c>
      <c r="BH478" s="14">
        <v>1</v>
      </c>
      <c r="BI478" s="19">
        <v>45975</v>
      </c>
      <c r="BJ478" s="14" t="s">
        <v>2578</v>
      </c>
      <c r="BK478" s="14">
        <v>1</v>
      </c>
      <c r="BL478" s="19">
        <v>45975</v>
      </c>
      <c r="BM478" s="14" t="s">
        <v>2578</v>
      </c>
      <c r="BN478" s="27">
        <v>46155</v>
      </c>
      <c r="BO478" s="27">
        <v>46155</v>
      </c>
      <c r="BP478" s="27">
        <v>46155</v>
      </c>
      <c r="BQ478" s="27">
        <v>46155</v>
      </c>
      <c r="BR478" s="27">
        <v>46340</v>
      </c>
      <c r="BS478" s="28">
        <v>416</v>
      </c>
      <c r="BT478" s="29">
        <v>1166</v>
      </c>
      <c r="BU478" s="29">
        <v>416</v>
      </c>
      <c r="BV478" s="29">
        <v>416</v>
      </c>
      <c r="BW478" s="29">
        <v>1166</v>
      </c>
      <c r="BX478" s="8"/>
      <c r="BY478" s="8">
        <v>0</v>
      </c>
      <c r="BZ478" s="8">
        <v>0</v>
      </c>
      <c r="CA478" s="8">
        <v>4</v>
      </c>
      <c r="CB478" s="21">
        <v>45977.770833333299</v>
      </c>
      <c r="CC478" s="21">
        <v>45977.770833333299</v>
      </c>
      <c r="CD478" s="21">
        <v>45977.770833333299</v>
      </c>
      <c r="CE478" s="21">
        <v>45977.770833333299</v>
      </c>
      <c r="CF478" s="21">
        <v>45977.770833333299</v>
      </c>
      <c r="CG478" s="21">
        <v>45977.770833333299</v>
      </c>
      <c r="CH478" s="21">
        <v>45977.770833333299</v>
      </c>
      <c r="CI478" s="21">
        <v>45977.770833333299</v>
      </c>
      <c r="CJ478" s="21">
        <v>45977.770833333299</v>
      </c>
      <c r="CK478" s="22" t="s">
        <v>3184</v>
      </c>
      <c r="CL478" s="22" t="s">
        <v>3184</v>
      </c>
      <c r="CM478" s="22" t="s">
        <v>3184</v>
      </c>
      <c r="CN478" s="22" t="s">
        <v>3184</v>
      </c>
      <c r="CO478" s="22" t="s">
        <v>3184</v>
      </c>
      <c r="CP478" s="22" t="s">
        <v>3221</v>
      </c>
      <c r="CQ478" s="22" t="s">
        <v>2953</v>
      </c>
      <c r="CR478" s="22" t="s">
        <v>3221</v>
      </c>
      <c r="CS478" s="22" t="s">
        <v>3222</v>
      </c>
      <c r="CT478" s="22">
        <v>3</v>
      </c>
      <c r="CU478" s="21">
        <v>46140</v>
      </c>
      <c r="CV478" s="21">
        <v>46140</v>
      </c>
      <c r="CW478" s="21">
        <v>46140</v>
      </c>
      <c r="CX478" s="21">
        <v>46140</v>
      </c>
      <c r="CY478" s="21">
        <v>46140</v>
      </c>
      <c r="CZ478" s="21">
        <v>46247</v>
      </c>
      <c r="DA478" s="21">
        <v>46342</v>
      </c>
      <c r="DB478" s="21">
        <v>46157</v>
      </c>
      <c r="DC478" s="21">
        <v>46342</v>
      </c>
      <c r="DD478" s="8">
        <v>0</v>
      </c>
      <c r="DE478" s="8">
        <v>0</v>
      </c>
      <c r="DF478" s="8">
        <v>0</v>
      </c>
      <c r="DG478" s="8">
        <v>0</v>
      </c>
      <c r="DH478" s="8">
        <v>5</v>
      </c>
      <c r="DI478" s="8">
        <v>1</v>
      </c>
      <c r="DJ478" s="8" t="s">
        <v>2976</v>
      </c>
      <c r="DK478" s="21">
        <v>45978</v>
      </c>
      <c r="DL478" s="21">
        <v>45899.229166666664</v>
      </c>
      <c r="DM478" s="21">
        <v>46107</v>
      </c>
      <c r="DN478" s="18">
        <v>330</v>
      </c>
      <c r="DO478" s="21">
        <v>0</v>
      </c>
      <c r="DP478" s="21">
        <v>0</v>
      </c>
      <c r="DQ478" s="21" t="s">
        <v>3049</v>
      </c>
      <c r="DR478" s="21">
        <v>45978</v>
      </c>
      <c r="DS478" s="21">
        <v>45975</v>
      </c>
      <c r="DT478" s="21">
        <v>45975</v>
      </c>
      <c r="DU478" s="21">
        <v>45975</v>
      </c>
      <c r="DV478" s="21">
        <v>45975</v>
      </c>
      <c r="DW478" s="21">
        <v>45975</v>
      </c>
      <c r="DX478" s="21">
        <v>45975</v>
      </c>
      <c r="DY478" s="21">
        <v>45975</v>
      </c>
      <c r="DZ478" s="21">
        <v>45975</v>
      </c>
      <c r="EA478" s="8">
        <v>170</v>
      </c>
      <c r="EB478" s="8">
        <v>170</v>
      </c>
      <c r="EC478" s="8">
        <v>170</v>
      </c>
      <c r="ED478" s="8">
        <v>170</v>
      </c>
      <c r="EE478" s="8">
        <v>170</v>
      </c>
      <c r="EF478" s="8">
        <v>1170</v>
      </c>
      <c r="EG478" s="8">
        <v>770</v>
      </c>
      <c r="EH478" s="8">
        <v>1170</v>
      </c>
      <c r="EI478" s="8">
        <v>2670</v>
      </c>
      <c r="EJ478" s="8">
        <v>4</v>
      </c>
      <c r="EK478" s="8" t="s">
        <v>2624</v>
      </c>
      <c r="EL478" s="8">
        <v>5</v>
      </c>
      <c r="EM478" s="8">
        <v>5</v>
      </c>
      <c r="EN478" s="8">
        <v>-118</v>
      </c>
      <c r="EO478" s="8">
        <v>-118</v>
      </c>
      <c r="EP478" s="8">
        <v>-118</v>
      </c>
      <c r="EQ478" s="8">
        <v>-118</v>
      </c>
      <c r="ER478" s="8">
        <v>-118</v>
      </c>
      <c r="ES478" s="8">
        <v>882</v>
      </c>
      <c r="ET478" s="8">
        <v>482</v>
      </c>
      <c r="EU478" s="8">
        <v>882</v>
      </c>
      <c r="EV478" s="8">
        <v>2382</v>
      </c>
    </row>
    <row r="479" spans="1:152" x14ac:dyDescent="0.15">
      <c r="A479" s="8">
        <f>ROW([2]!tbl_DPSAC[[#This Row],[Sl. No.]])-1</f>
        <v>478</v>
      </c>
      <c r="B479" s="9" t="s">
        <v>136</v>
      </c>
      <c r="C479" s="8" t="s">
        <v>2579</v>
      </c>
      <c r="D479" s="8" t="s">
        <v>1491</v>
      </c>
      <c r="E479" s="8" t="s">
        <v>1492</v>
      </c>
      <c r="F479" s="9" t="s">
        <v>161</v>
      </c>
      <c r="G479" s="26" t="s">
        <v>2580</v>
      </c>
      <c r="H479" s="10"/>
      <c r="I479" s="14"/>
      <c r="J479" s="10">
        <v>7033267093</v>
      </c>
      <c r="K479" s="10"/>
      <c r="L479" s="9" t="str">
        <f t="shared" ca="1" si="27"/>
        <v>Warranty</v>
      </c>
      <c r="M479" s="13">
        <v>45896</v>
      </c>
      <c r="N479" s="12">
        <v>24</v>
      </c>
      <c r="O479" s="11">
        <v>46625</v>
      </c>
      <c r="P479" s="8" t="s">
        <v>213</v>
      </c>
      <c r="Q479" s="16" t="s">
        <v>2686</v>
      </c>
      <c r="R479" s="15">
        <v>46083.468680555598</v>
      </c>
      <c r="S479" s="14">
        <v>516</v>
      </c>
      <c r="T479" s="15">
        <v>46029</v>
      </c>
      <c r="U479" s="14">
        <v>383</v>
      </c>
      <c r="V479" s="14">
        <v>706</v>
      </c>
      <c r="W479" s="17">
        <v>46107.577118055597</v>
      </c>
      <c r="X479" s="14" t="s">
        <v>2934</v>
      </c>
      <c r="Y479" s="14">
        <v>560</v>
      </c>
      <c r="Z479" s="14" t="s">
        <v>2692</v>
      </c>
      <c r="AA479" s="18">
        <v>29.53131944440247</v>
      </c>
      <c r="AB479" s="18" t="s">
        <v>2692</v>
      </c>
      <c r="AC479" s="8">
        <f>tbl_DPSAC[[#This Row],[Current Month Due Count]]</f>
        <v>0</v>
      </c>
      <c r="AD479" s="8">
        <f>tbl_DPSAC[[#This Row],[Next Month Due2]]</f>
        <v>0</v>
      </c>
      <c r="AE479" s="8"/>
      <c r="AF479" s="8">
        <v>8</v>
      </c>
      <c r="AG479" s="14">
        <f t="shared" ca="1" si="28"/>
        <v>749</v>
      </c>
      <c r="AH479" s="8"/>
      <c r="AI479" s="8"/>
      <c r="AJ479" s="8"/>
      <c r="AK479" s="8"/>
      <c r="AL479" s="8"/>
      <c r="AM479" s="8"/>
      <c r="AN479" s="8"/>
      <c r="AO479" s="8"/>
      <c r="AP479" s="8"/>
      <c r="AQ479" s="8"/>
      <c r="AR479" s="8"/>
      <c r="AS479" s="8"/>
      <c r="AT479" s="8"/>
      <c r="AU479" s="8"/>
      <c r="AV479" s="8"/>
      <c r="AW479" s="8"/>
      <c r="AX479" s="8" t="s">
        <v>2007</v>
      </c>
      <c r="AY479" s="14">
        <v>516</v>
      </c>
      <c r="AZ479" s="19">
        <v>46083</v>
      </c>
      <c r="BA479" s="14" t="s">
        <v>2686</v>
      </c>
      <c r="BB479" s="14">
        <v>1</v>
      </c>
      <c r="BC479" s="19">
        <v>45896</v>
      </c>
      <c r="BD479" s="14" t="s">
        <v>2581</v>
      </c>
      <c r="BE479" s="14">
        <v>516</v>
      </c>
      <c r="BF479" s="19">
        <v>46083</v>
      </c>
      <c r="BG479" s="14" t="s">
        <v>2686</v>
      </c>
      <c r="BH479" s="14">
        <v>516</v>
      </c>
      <c r="BI479" s="19">
        <v>46083</v>
      </c>
      <c r="BJ479" s="14" t="s">
        <v>2686</v>
      </c>
      <c r="BK479" s="14">
        <v>1</v>
      </c>
      <c r="BL479" s="19">
        <v>45896</v>
      </c>
      <c r="BM479" s="14" t="s">
        <v>2581</v>
      </c>
      <c r="BN479" s="27">
        <v>46263</v>
      </c>
      <c r="BO479" s="27">
        <v>46076</v>
      </c>
      <c r="BP479" s="27">
        <v>46263</v>
      </c>
      <c r="BQ479" s="27">
        <v>46263</v>
      </c>
      <c r="BR479" s="27">
        <v>46261</v>
      </c>
      <c r="BS479" s="28">
        <v>517</v>
      </c>
      <c r="BT479" s="29">
        <v>752</v>
      </c>
      <c r="BU479" s="29">
        <v>517</v>
      </c>
      <c r="BV479" s="29">
        <v>517</v>
      </c>
      <c r="BW479" s="29">
        <v>752</v>
      </c>
      <c r="BX479" s="8"/>
      <c r="BY479" s="8">
        <v>1</v>
      </c>
      <c r="BZ479" s="8">
        <v>0</v>
      </c>
      <c r="CA479" s="8">
        <v>0</v>
      </c>
      <c r="CB479" s="21">
        <v>0</v>
      </c>
      <c r="CC479" s="21">
        <v>0</v>
      </c>
      <c r="CD479" s="21">
        <v>0</v>
      </c>
      <c r="CE479" s="21">
        <v>0</v>
      </c>
      <c r="CF479" s="21">
        <v>0</v>
      </c>
      <c r="CG479" s="21">
        <v>0</v>
      </c>
      <c r="CH479" s="21">
        <v>0</v>
      </c>
      <c r="CI479" s="21">
        <v>0</v>
      </c>
      <c r="CJ479" s="21">
        <v>0</v>
      </c>
      <c r="CK479" s="22" t="s">
        <v>3118</v>
      </c>
      <c r="CL479" s="22" t="s">
        <v>3118</v>
      </c>
      <c r="CM479" s="22" t="s">
        <v>3118</v>
      </c>
      <c r="CN479" s="22" t="s">
        <v>3118</v>
      </c>
      <c r="CO479" s="22" t="s">
        <v>3118</v>
      </c>
      <c r="CP479" s="22" t="s">
        <v>3077</v>
      </c>
      <c r="CQ479" s="22" t="s">
        <v>2953</v>
      </c>
      <c r="CR479" s="22" t="s">
        <v>3077</v>
      </c>
      <c r="CS479" s="22" t="s">
        <v>3077</v>
      </c>
      <c r="CT479" s="22">
        <v>3</v>
      </c>
      <c r="CU479" s="21">
        <v>46073</v>
      </c>
      <c r="CV479" s="21">
        <v>46073</v>
      </c>
      <c r="CW479" s="21">
        <v>46073</v>
      </c>
      <c r="CX479" s="21">
        <v>46073</v>
      </c>
      <c r="CY479" s="21">
        <v>46073</v>
      </c>
      <c r="CZ479" s="21">
        <v>46272</v>
      </c>
      <c r="DA479" s="21">
        <v>46130</v>
      </c>
      <c r="DB479" s="21">
        <v>46182</v>
      </c>
      <c r="DC479" s="21">
        <v>46231</v>
      </c>
      <c r="DD479" s="8">
        <v>0</v>
      </c>
      <c r="DE479" s="8">
        <v>1</v>
      </c>
      <c r="DF479" s="8">
        <v>0</v>
      </c>
      <c r="DG479" s="8">
        <v>5</v>
      </c>
      <c r="DH479" s="8">
        <v>1</v>
      </c>
      <c r="DI479" s="8">
        <v>0</v>
      </c>
      <c r="DJ479" s="8" t="s">
        <v>2976</v>
      </c>
      <c r="DK479" s="21">
        <v>45896</v>
      </c>
      <c r="DL479" s="21">
        <v>45733.229166666664</v>
      </c>
      <c r="DM479" s="21">
        <v>46107</v>
      </c>
      <c r="DN479" s="18">
        <v>706</v>
      </c>
      <c r="DO479" s="21">
        <v>0</v>
      </c>
      <c r="DP479" s="21">
        <v>0</v>
      </c>
      <c r="DQ479" s="21" t="s">
        <v>2955</v>
      </c>
      <c r="DR479" s="21">
        <v>46083</v>
      </c>
      <c r="DS479" s="21">
        <v>46083</v>
      </c>
      <c r="DT479" s="21">
        <v>46083</v>
      </c>
      <c r="DU479" s="21">
        <v>46083</v>
      </c>
      <c r="DV479" s="21">
        <v>46083</v>
      </c>
      <c r="DW479" s="21">
        <v>45896</v>
      </c>
      <c r="DX479" s="21">
        <v>45896</v>
      </c>
      <c r="DY479" s="21">
        <v>45896</v>
      </c>
      <c r="DZ479" s="21">
        <v>45896</v>
      </c>
      <c r="EA479" s="8">
        <v>560</v>
      </c>
      <c r="EB479" s="8">
        <v>560</v>
      </c>
      <c r="EC479" s="8">
        <v>560</v>
      </c>
      <c r="ED479" s="8">
        <v>560</v>
      </c>
      <c r="EE479" s="8">
        <v>560</v>
      </c>
      <c r="EF479" s="8">
        <v>800</v>
      </c>
      <c r="EG479" s="8">
        <v>1000</v>
      </c>
      <c r="EH479" s="8">
        <v>800</v>
      </c>
      <c r="EI479" s="8">
        <v>800</v>
      </c>
      <c r="EJ479" s="8">
        <v>4</v>
      </c>
      <c r="EK479" s="8" t="s">
        <v>2624</v>
      </c>
      <c r="EL479" s="8">
        <v>5</v>
      </c>
      <c r="EM479" s="8">
        <v>40</v>
      </c>
      <c r="EN479" s="8">
        <v>272</v>
      </c>
      <c r="EO479" s="8">
        <v>272</v>
      </c>
      <c r="EP479" s="8">
        <v>272</v>
      </c>
      <c r="EQ479" s="8">
        <v>272</v>
      </c>
      <c r="ER479" s="8">
        <v>272</v>
      </c>
      <c r="ES479" s="8">
        <v>512</v>
      </c>
      <c r="ET479" s="8">
        <v>712</v>
      </c>
      <c r="EU479" s="8">
        <v>512</v>
      </c>
      <c r="EV479" s="8">
        <v>512</v>
      </c>
    </row>
    <row r="480" spans="1:152" x14ac:dyDescent="0.15">
      <c r="A480" s="8">
        <f>ROW([2]!tbl_DPSAC[[#This Row],[Sl. No.]])-1</f>
        <v>479</v>
      </c>
      <c r="B480" s="9" t="s">
        <v>136</v>
      </c>
      <c r="C480" s="8" t="s">
        <v>2582</v>
      </c>
      <c r="D480" s="8" t="s">
        <v>333</v>
      </c>
      <c r="E480" s="8" t="s">
        <v>333</v>
      </c>
      <c r="F480" s="9" t="s">
        <v>161</v>
      </c>
      <c r="G480" s="23" t="s">
        <v>162</v>
      </c>
      <c r="H480" s="10" t="s">
        <v>2583</v>
      </c>
      <c r="I480" s="23"/>
      <c r="J480" s="10"/>
      <c r="K480" s="10">
        <f>_xlfn.XLOOKUP(C480,'[1]E&amp;DPSAC'!$K:$K,'[1]E&amp;DPSAC'!$G:$G,"",0)</f>
        <v>7070010949</v>
      </c>
      <c r="L480" s="9" t="str">
        <f t="shared" ca="1" si="27"/>
        <v>Warranty</v>
      </c>
      <c r="M480" s="13">
        <v>46000</v>
      </c>
      <c r="N480" s="12">
        <v>24</v>
      </c>
      <c r="O480" s="11">
        <f t="shared" ref="O480:O485" si="29">EOMONTH(DATE(YEAR(M480)+SUM(N480/12),MONTH(M480),DAY(M480))-1,0)</f>
        <v>46752</v>
      </c>
      <c r="P480" s="8" t="s">
        <v>213</v>
      </c>
      <c r="Q480" s="16" t="s">
        <v>143</v>
      </c>
      <c r="R480" s="15" t="s">
        <v>143</v>
      </c>
      <c r="S480" s="14" t="s">
        <v>143</v>
      </c>
      <c r="T480" s="15">
        <v>46000</v>
      </c>
      <c r="U480" s="14">
        <v>1</v>
      </c>
      <c r="V480" s="14">
        <v>300</v>
      </c>
      <c r="W480" s="17">
        <v>46107.5839583333</v>
      </c>
      <c r="X480" s="14" t="s">
        <v>143</v>
      </c>
      <c r="Y480" s="14">
        <v>0</v>
      </c>
      <c r="Z480" s="14" t="s">
        <v>2692</v>
      </c>
      <c r="AA480" s="18">
        <v>113</v>
      </c>
      <c r="AB480" s="18" t="s">
        <v>2692</v>
      </c>
      <c r="AC480" s="8">
        <f>tbl_DPSAC[[#This Row],[Current Month Due Count]]</f>
        <v>0</v>
      </c>
      <c r="AD480" s="8">
        <f>tbl_DPSAC[[#This Row],[Next Month Due2]]</f>
        <v>0</v>
      </c>
      <c r="AE480" s="8"/>
      <c r="AF480" s="8">
        <v>4</v>
      </c>
      <c r="AG480" s="14">
        <f t="shared" ca="1" si="28"/>
        <v>322</v>
      </c>
      <c r="AH480" s="8"/>
      <c r="AI480" s="8"/>
      <c r="AJ480" s="8"/>
      <c r="AK480" s="8"/>
      <c r="AL480" s="8"/>
      <c r="AM480" s="8"/>
      <c r="AN480" s="8"/>
      <c r="AO480" s="8"/>
      <c r="AP480" s="8"/>
      <c r="AQ480" s="8"/>
      <c r="AR480" s="8"/>
      <c r="AS480" s="8"/>
      <c r="AT480" s="8"/>
      <c r="AU480" s="8"/>
      <c r="AV480" s="8"/>
      <c r="AW480" s="8"/>
      <c r="AX480" s="8" t="s">
        <v>2007</v>
      </c>
      <c r="AY480" s="14">
        <v>1</v>
      </c>
      <c r="AZ480" s="19">
        <v>46000</v>
      </c>
      <c r="BA480" s="14" t="s">
        <v>2584</v>
      </c>
      <c r="BB480" s="14">
        <v>1</v>
      </c>
      <c r="BC480" s="19">
        <v>46000</v>
      </c>
      <c r="BD480" s="14" t="s">
        <v>2584</v>
      </c>
      <c r="BE480" s="14">
        <v>1</v>
      </c>
      <c r="BF480" s="19">
        <v>46000</v>
      </c>
      <c r="BG480" s="14" t="s">
        <v>2584</v>
      </c>
      <c r="BH480" s="14">
        <v>1</v>
      </c>
      <c r="BI480" s="19">
        <v>46000</v>
      </c>
      <c r="BJ480" s="14" t="s">
        <v>2584</v>
      </c>
      <c r="BK480" s="14">
        <v>1</v>
      </c>
      <c r="BL480" s="19">
        <v>46000</v>
      </c>
      <c r="BM480" s="14" t="s">
        <v>2584</v>
      </c>
      <c r="BN480" s="27">
        <v>46180</v>
      </c>
      <c r="BO480" s="27">
        <v>46180</v>
      </c>
      <c r="BP480" s="27">
        <v>46180</v>
      </c>
      <c r="BQ480" s="27">
        <v>46180</v>
      </c>
      <c r="BR480" s="27">
        <v>46365</v>
      </c>
      <c r="BS480" s="28">
        <v>429</v>
      </c>
      <c r="BT480" s="29">
        <v>1179</v>
      </c>
      <c r="BU480" s="29">
        <v>429</v>
      </c>
      <c r="BV480" s="29">
        <v>429</v>
      </c>
      <c r="BW480" s="29">
        <v>1179</v>
      </c>
      <c r="BX480" s="8"/>
      <c r="BY480" s="8">
        <v>0</v>
      </c>
      <c r="BZ480" s="8">
        <v>0</v>
      </c>
      <c r="CA480" s="8">
        <v>0</v>
      </c>
      <c r="CB480" s="21">
        <v>45999.770833333299</v>
      </c>
      <c r="CC480" s="21">
        <v>45999.770833333299</v>
      </c>
      <c r="CD480" s="21">
        <v>45999.770833333299</v>
      </c>
      <c r="CE480" s="21">
        <v>45999.770833333299</v>
      </c>
      <c r="CF480" s="21">
        <v>45999.770833333299</v>
      </c>
      <c r="CG480" s="21">
        <v>45999.770833333299</v>
      </c>
      <c r="CH480" s="21">
        <v>45999.770833333299</v>
      </c>
      <c r="CI480" s="21">
        <v>45999.770833333299</v>
      </c>
      <c r="CJ480" s="21">
        <v>45999.770833333299</v>
      </c>
      <c r="CK480" s="22" t="s">
        <v>2978</v>
      </c>
      <c r="CL480" s="22" t="s">
        <v>2978</v>
      </c>
      <c r="CM480" s="22" t="s">
        <v>2978</v>
      </c>
      <c r="CN480" s="22" t="s">
        <v>2978</v>
      </c>
      <c r="CO480" s="22" t="s">
        <v>2978</v>
      </c>
      <c r="CP480" s="22" t="s">
        <v>3223</v>
      </c>
      <c r="CQ480" s="22" t="s">
        <v>2953</v>
      </c>
      <c r="CR480" s="22" t="s">
        <v>3223</v>
      </c>
      <c r="CS480" s="22" t="s">
        <v>3220</v>
      </c>
      <c r="CT480" s="22">
        <v>2</v>
      </c>
      <c r="CU480" s="21">
        <v>46179</v>
      </c>
      <c r="CV480" s="21">
        <v>46179</v>
      </c>
      <c r="CW480" s="21">
        <v>46179</v>
      </c>
      <c r="CX480" s="21">
        <v>46179</v>
      </c>
      <c r="CY480" s="21">
        <v>46179</v>
      </c>
      <c r="CZ480" s="21">
        <v>46269</v>
      </c>
      <c r="DA480" s="21">
        <v>46364</v>
      </c>
      <c r="DB480" s="21">
        <v>46179</v>
      </c>
      <c r="DC480" s="21">
        <v>46364</v>
      </c>
      <c r="DD480" s="8">
        <v>0</v>
      </c>
      <c r="DE480" s="8">
        <v>0</v>
      </c>
      <c r="DF480" s="8">
        <v>0</v>
      </c>
      <c r="DG480" s="8">
        <v>0</v>
      </c>
      <c r="DH480" s="8">
        <v>0</v>
      </c>
      <c r="DI480" s="8">
        <v>0</v>
      </c>
      <c r="DJ480" s="8" t="s">
        <v>2976</v>
      </c>
      <c r="DK480" s="21">
        <v>46000</v>
      </c>
      <c r="DL480" s="21">
        <v>45979.229166666664</v>
      </c>
      <c r="DM480" s="21">
        <v>46107</v>
      </c>
      <c r="DN480" s="18">
        <v>300</v>
      </c>
      <c r="DO480" s="21">
        <v>0</v>
      </c>
      <c r="DP480" s="21">
        <v>0</v>
      </c>
      <c r="DQ480" s="21" t="s">
        <v>3049</v>
      </c>
      <c r="DR480" s="21">
        <v>46000</v>
      </c>
      <c r="DS480" s="21">
        <v>46000</v>
      </c>
      <c r="DT480" s="21">
        <v>46000</v>
      </c>
      <c r="DU480" s="21">
        <v>46000</v>
      </c>
      <c r="DV480" s="21">
        <v>46000</v>
      </c>
      <c r="DW480" s="21">
        <v>46000</v>
      </c>
      <c r="DX480" s="21">
        <v>46000</v>
      </c>
      <c r="DY480" s="21">
        <v>46000</v>
      </c>
      <c r="DZ480" s="21">
        <v>46000</v>
      </c>
      <c r="EA480" s="8">
        <v>300</v>
      </c>
      <c r="EB480" s="8">
        <v>200</v>
      </c>
      <c r="EC480" s="8">
        <v>200</v>
      </c>
      <c r="ED480" s="8">
        <v>200</v>
      </c>
      <c r="EE480" s="8">
        <v>200</v>
      </c>
      <c r="EF480" s="8">
        <v>1200</v>
      </c>
      <c r="EG480" s="8">
        <v>700</v>
      </c>
      <c r="EH480" s="8">
        <v>1200</v>
      </c>
      <c r="EI480" s="8">
        <v>2700</v>
      </c>
      <c r="EJ480" s="8">
        <v>4</v>
      </c>
      <c r="EK480" s="8" t="s">
        <v>2624</v>
      </c>
      <c r="EL480" s="8">
        <v>5</v>
      </c>
      <c r="EM480" s="8">
        <v>20</v>
      </c>
      <c r="EN480" s="8">
        <v>12</v>
      </c>
      <c r="EO480" s="8">
        <v>-88</v>
      </c>
      <c r="EP480" s="8">
        <v>-88</v>
      </c>
      <c r="EQ480" s="8">
        <v>-88</v>
      </c>
      <c r="ER480" s="8">
        <v>-88</v>
      </c>
      <c r="ES480" s="8">
        <v>912</v>
      </c>
      <c r="ET480" s="8">
        <v>412</v>
      </c>
      <c r="EU480" s="8">
        <v>912</v>
      </c>
      <c r="EV480" s="8">
        <v>2412</v>
      </c>
    </row>
    <row r="481" spans="1:152" x14ac:dyDescent="0.15">
      <c r="A481" s="8">
        <f>ROW([2]!tbl_DPSAC[[#This Row],[Sl. No.]])-1</f>
        <v>480</v>
      </c>
      <c r="B481" s="9" t="s">
        <v>136</v>
      </c>
      <c r="C481" s="8" t="s">
        <v>2585</v>
      </c>
      <c r="D481" s="8" t="s">
        <v>1491</v>
      </c>
      <c r="E481" s="8" t="s">
        <v>1492</v>
      </c>
      <c r="F481" s="9" t="s">
        <v>161</v>
      </c>
      <c r="G481" s="23" t="s">
        <v>2322</v>
      </c>
      <c r="H481" s="10" t="s">
        <v>2586</v>
      </c>
      <c r="I481" s="23"/>
      <c r="J481" s="10"/>
      <c r="K481" s="10">
        <f>_xlfn.XLOOKUP(C481,'[1]E&amp;DPSAC'!$K:$K,'[1]E&amp;DPSAC'!$G:$G,"",0)</f>
        <v>6263452330</v>
      </c>
      <c r="L481" s="9" t="str">
        <f t="shared" ca="1" si="27"/>
        <v>Warranty</v>
      </c>
      <c r="M481" s="13">
        <v>46002</v>
      </c>
      <c r="N481" s="12">
        <v>24</v>
      </c>
      <c r="O481" s="11">
        <f t="shared" si="29"/>
        <v>46752</v>
      </c>
      <c r="P481" s="8" t="s">
        <v>213</v>
      </c>
      <c r="Q481" s="16" t="s">
        <v>2687</v>
      </c>
      <c r="R481" s="15">
        <v>46077.6890740741</v>
      </c>
      <c r="S481" s="14">
        <v>525</v>
      </c>
      <c r="T481" s="15">
        <v>45912</v>
      </c>
      <c r="U481" s="14">
        <v>1</v>
      </c>
      <c r="V481" s="14">
        <v>720</v>
      </c>
      <c r="W481" s="17">
        <v>46107.588402777801</v>
      </c>
      <c r="X481" s="14" t="s">
        <v>2935</v>
      </c>
      <c r="Y481" s="14">
        <v>555</v>
      </c>
      <c r="Z481" s="14" t="s">
        <v>2692</v>
      </c>
      <c r="AA481" s="18">
        <v>35.310925925899937</v>
      </c>
      <c r="AB481" s="18" t="s">
        <v>2692</v>
      </c>
      <c r="AC481" s="8">
        <f>tbl_DPSAC[[#This Row],[Current Month Due Count]]</f>
        <v>0</v>
      </c>
      <c r="AD481" s="8">
        <f>tbl_DPSAC[[#This Row],[Next Month Due2]]</f>
        <v>0</v>
      </c>
      <c r="AE481" s="8"/>
      <c r="AF481" s="8">
        <v>12</v>
      </c>
      <c r="AG481" s="14">
        <f t="shared" ca="1" si="28"/>
        <v>785</v>
      </c>
      <c r="AH481" s="8" t="s">
        <v>2587</v>
      </c>
      <c r="AI481" s="8" t="s">
        <v>2588</v>
      </c>
      <c r="AJ481" s="8"/>
      <c r="AK481" s="8"/>
      <c r="AL481" s="8"/>
      <c r="AM481" s="8"/>
      <c r="AN481" s="8"/>
      <c r="AO481" s="8"/>
      <c r="AP481" s="8"/>
      <c r="AQ481" s="8"/>
      <c r="AR481" s="8"/>
      <c r="AS481" s="8"/>
      <c r="AT481" s="8"/>
      <c r="AU481" s="8"/>
      <c r="AV481" s="8"/>
      <c r="AW481" s="8"/>
      <c r="AX481" s="8" t="s">
        <v>2007</v>
      </c>
      <c r="AY481" s="14">
        <v>525</v>
      </c>
      <c r="AZ481" s="19">
        <v>46077</v>
      </c>
      <c r="BA481" s="14" t="s">
        <v>2589</v>
      </c>
      <c r="BB481" s="14">
        <v>1</v>
      </c>
      <c r="BC481" s="19">
        <v>46002</v>
      </c>
      <c r="BD481" s="14" t="s">
        <v>2590</v>
      </c>
      <c r="BE481" s="14">
        <v>525</v>
      </c>
      <c r="BF481" s="19">
        <v>46077</v>
      </c>
      <c r="BG481" s="14" t="s">
        <v>2589</v>
      </c>
      <c r="BH481" s="14">
        <v>525</v>
      </c>
      <c r="BI481" s="19">
        <v>46077</v>
      </c>
      <c r="BJ481" s="14" t="s">
        <v>2589</v>
      </c>
      <c r="BK481" s="14">
        <v>1</v>
      </c>
      <c r="BL481" s="19">
        <v>46002</v>
      </c>
      <c r="BM481" s="14" t="s">
        <v>2590</v>
      </c>
      <c r="BN481" s="27">
        <v>46257</v>
      </c>
      <c r="BO481" s="27">
        <v>46182</v>
      </c>
      <c r="BP481" s="27">
        <v>46257</v>
      </c>
      <c r="BQ481" s="27">
        <v>46257</v>
      </c>
      <c r="BR481" s="27">
        <v>46367</v>
      </c>
      <c r="BS481" s="28">
        <v>490</v>
      </c>
      <c r="BT481" s="29">
        <v>716</v>
      </c>
      <c r="BU481" s="29">
        <v>490</v>
      </c>
      <c r="BV481" s="29">
        <v>490</v>
      </c>
      <c r="BW481" s="29">
        <v>716</v>
      </c>
      <c r="BX481" s="8"/>
      <c r="BY481" s="8">
        <v>0</v>
      </c>
      <c r="BZ481" s="8">
        <v>0</v>
      </c>
      <c r="CA481" s="8">
        <v>0</v>
      </c>
      <c r="CB481" s="21">
        <v>46077.770833333299</v>
      </c>
      <c r="CC481" s="21">
        <v>46076.770833333299</v>
      </c>
      <c r="CD481" s="21">
        <v>46076.770833333299</v>
      </c>
      <c r="CE481" s="21">
        <v>46076.770833333299</v>
      </c>
      <c r="CF481" s="21">
        <v>46076.770833333299</v>
      </c>
      <c r="CG481" s="21">
        <v>45972.770833333299</v>
      </c>
      <c r="CH481" s="21">
        <v>45972.770833333299</v>
      </c>
      <c r="CI481" s="21">
        <v>45972.770833333299</v>
      </c>
      <c r="CJ481" s="21">
        <v>45972.770833333299</v>
      </c>
      <c r="CK481" s="22" t="s">
        <v>2956</v>
      </c>
      <c r="CL481" s="22" t="s">
        <v>2957</v>
      </c>
      <c r="CM481" s="22" t="s">
        <v>2959</v>
      </c>
      <c r="CN481" s="22" t="s">
        <v>2957</v>
      </c>
      <c r="CO481" s="22" t="s">
        <v>2957</v>
      </c>
      <c r="CP481" s="22" t="s">
        <v>3224</v>
      </c>
      <c r="CQ481" s="22" t="s">
        <v>3225</v>
      </c>
      <c r="CR481" s="22" t="s">
        <v>3224</v>
      </c>
      <c r="CS481" s="22" t="s">
        <v>3226</v>
      </c>
      <c r="CT481" s="22">
        <v>12</v>
      </c>
      <c r="CU481" s="21">
        <v>46203</v>
      </c>
      <c r="CV481" s="21">
        <v>46140</v>
      </c>
      <c r="CW481" s="21">
        <v>46119</v>
      </c>
      <c r="CX481" s="21">
        <v>46140</v>
      </c>
      <c r="CY481" s="21">
        <v>46140</v>
      </c>
      <c r="CZ481" s="21">
        <v>46159</v>
      </c>
      <c r="DA481" s="21">
        <v>46117</v>
      </c>
      <c r="DB481" s="21">
        <v>46152</v>
      </c>
      <c r="DC481" s="21">
        <v>46284</v>
      </c>
      <c r="DD481" s="8">
        <v>0</v>
      </c>
      <c r="DE481" s="8">
        <v>0</v>
      </c>
      <c r="DF481" s="8">
        <v>0</v>
      </c>
      <c r="DG481" s="8">
        <v>0</v>
      </c>
      <c r="DH481" s="8">
        <v>5</v>
      </c>
      <c r="DI481" s="8">
        <v>2</v>
      </c>
      <c r="DJ481" s="8" t="s">
        <v>2976</v>
      </c>
      <c r="DK481" s="21">
        <v>46002</v>
      </c>
      <c r="DL481" s="21">
        <v>45972.229166666664</v>
      </c>
      <c r="DM481" s="21">
        <v>46107</v>
      </c>
      <c r="DN481" s="18">
        <v>720</v>
      </c>
      <c r="DO481" s="21">
        <v>0</v>
      </c>
      <c r="DP481" s="21">
        <v>0</v>
      </c>
      <c r="DQ481" s="21" t="s">
        <v>2955</v>
      </c>
      <c r="DR481" s="21">
        <v>46078</v>
      </c>
      <c r="DS481" s="21">
        <v>46078</v>
      </c>
      <c r="DT481" s="21">
        <v>46079</v>
      </c>
      <c r="DU481" s="21">
        <v>46078</v>
      </c>
      <c r="DV481" s="21">
        <v>46078</v>
      </c>
      <c r="DW481" s="21">
        <v>46002</v>
      </c>
      <c r="DX481" s="21">
        <v>46002</v>
      </c>
      <c r="DY481" s="21">
        <v>46002</v>
      </c>
      <c r="DZ481" s="21">
        <v>46002</v>
      </c>
      <c r="EA481" s="8">
        <v>505</v>
      </c>
      <c r="EB481" s="8">
        <v>505</v>
      </c>
      <c r="EC481" s="8">
        <v>505</v>
      </c>
      <c r="ED481" s="8">
        <v>505</v>
      </c>
      <c r="EE481" s="8">
        <v>505</v>
      </c>
      <c r="EF481" s="8">
        <v>795</v>
      </c>
      <c r="EG481" s="8">
        <v>195</v>
      </c>
      <c r="EH481" s="8">
        <v>795</v>
      </c>
      <c r="EI481" s="8">
        <v>796</v>
      </c>
      <c r="EJ481" s="8">
        <v>8</v>
      </c>
      <c r="EK481" s="8" t="s">
        <v>2624</v>
      </c>
      <c r="EL481" s="8">
        <v>5</v>
      </c>
      <c r="EM481" s="8">
        <v>60</v>
      </c>
      <c r="EN481" s="8">
        <v>217</v>
      </c>
      <c r="EO481" s="8">
        <v>217</v>
      </c>
      <c r="EP481" s="8">
        <v>217</v>
      </c>
      <c r="EQ481" s="8">
        <v>217</v>
      </c>
      <c r="ER481" s="8">
        <v>217</v>
      </c>
      <c r="ES481" s="8">
        <v>507</v>
      </c>
      <c r="ET481" s="8">
        <v>-93</v>
      </c>
      <c r="EU481" s="8">
        <v>507</v>
      </c>
      <c r="EV481" s="8">
        <v>508</v>
      </c>
    </row>
    <row r="482" spans="1:152" x14ac:dyDescent="0.15">
      <c r="A482" s="8">
        <f>ROW([2]!tbl_DPSAC[[#This Row],[Sl. No.]])-1</f>
        <v>481</v>
      </c>
      <c r="B482" s="9" t="s">
        <v>136</v>
      </c>
      <c r="C482" s="8" t="s">
        <v>2591</v>
      </c>
      <c r="D482" s="8" t="s">
        <v>262</v>
      </c>
      <c r="E482" s="8" t="s">
        <v>176</v>
      </c>
      <c r="F482" s="9" t="s">
        <v>161</v>
      </c>
      <c r="G482" s="23" t="s">
        <v>2592</v>
      </c>
      <c r="H482" s="10" t="s">
        <v>2593</v>
      </c>
      <c r="I482" s="23"/>
      <c r="J482" s="10"/>
      <c r="K482" s="10">
        <f>_xlfn.XLOOKUP(C482,'[1]E&amp;DPSAC'!$K:$K,'[1]E&amp;DPSAC'!$G:$G,"",0)</f>
        <v>8059000900</v>
      </c>
      <c r="L482" s="9" t="str">
        <f t="shared" ca="1" si="27"/>
        <v>Warranty</v>
      </c>
      <c r="M482" s="13">
        <v>46005</v>
      </c>
      <c r="N482" s="12">
        <v>24</v>
      </c>
      <c r="O482" s="11">
        <f t="shared" si="29"/>
        <v>46752</v>
      </c>
      <c r="P482" s="8" t="s">
        <v>213</v>
      </c>
      <c r="Q482" s="16" t="s">
        <v>2596</v>
      </c>
      <c r="R482" s="15">
        <v>46078.737534722197</v>
      </c>
      <c r="S482" s="14">
        <v>515</v>
      </c>
      <c r="T482" s="15">
        <v>46005</v>
      </c>
      <c r="U482" s="14">
        <v>1</v>
      </c>
      <c r="V482" s="14">
        <v>630</v>
      </c>
      <c r="W482" s="17">
        <v>46107.5922685185</v>
      </c>
      <c r="X482" s="14" t="s">
        <v>2936</v>
      </c>
      <c r="Y482" s="14">
        <v>635</v>
      </c>
      <c r="Z482" s="14" t="s">
        <v>2692</v>
      </c>
      <c r="AA482" s="18">
        <v>34.26246527780313</v>
      </c>
      <c r="AB482" s="18" t="s">
        <v>2692</v>
      </c>
      <c r="AC482" s="8">
        <f>tbl_DPSAC[[#This Row],[Current Month Due Count]]</f>
        <v>0</v>
      </c>
      <c r="AD482" s="8">
        <f>tbl_DPSAC[[#This Row],[Next Month Due2]]</f>
        <v>0</v>
      </c>
      <c r="AE482" s="8"/>
      <c r="AF482" s="8">
        <v>4</v>
      </c>
      <c r="AG482" s="14">
        <f t="shared" ca="1" si="28"/>
        <v>652</v>
      </c>
      <c r="AH482" s="8" t="s">
        <v>2594</v>
      </c>
      <c r="AI482" s="8" t="s">
        <v>2595</v>
      </c>
      <c r="AJ482" s="8"/>
      <c r="AK482" s="8"/>
      <c r="AL482" s="8"/>
      <c r="AM482" s="8"/>
      <c r="AN482" s="8"/>
      <c r="AO482" s="8"/>
      <c r="AP482" s="8"/>
      <c r="AQ482" s="8"/>
      <c r="AR482" s="8"/>
      <c r="AS482" s="8"/>
      <c r="AT482" s="8"/>
      <c r="AU482" s="8"/>
      <c r="AV482" s="8"/>
      <c r="AW482" s="8"/>
      <c r="AX482" s="8" t="s">
        <v>2007</v>
      </c>
      <c r="AY482" s="14">
        <v>515</v>
      </c>
      <c r="AZ482" s="19">
        <v>46078</v>
      </c>
      <c r="BA482" s="14" t="s">
        <v>2596</v>
      </c>
      <c r="BB482" s="14">
        <v>1</v>
      </c>
      <c r="BC482" s="19">
        <v>46005</v>
      </c>
      <c r="BD482" s="14" t="s">
        <v>2597</v>
      </c>
      <c r="BE482" s="14">
        <v>515</v>
      </c>
      <c r="BF482" s="19">
        <v>46078</v>
      </c>
      <c r="BG482" s="14" t="s">
        <v>2596</v>
      </c>
      <c r="BH482" s="14">
        <v>515</v>
      </c>
      <c r="BI482" s="19">
        <v>46078</v>
      </c>
      <c r="BJ482" s="14" t="s">
        <v>2596</v>
      </c>
      <c r="BK482" s="14">
        <v>1</v>
      </c>
      <c r="BL482" s="19">
        <v>46005</v>
      </c>
      <c r="BM482" s="14" t="s">
        <v>2597</v>
      </c>
      <c r="BN482" s="27">
        <v>46258</v>
      </c>
      <c r="BO482" s="27">
        <v>46185</v>
      </c>
      <c r="BP482" s="27">
        <v>46258</v>
      </c>
      <c r="BQ482" s="27">
        <v>46258</v>
      </c>
      <c r="BR482" s="27">
        <v>46370</v>
      </c>
      <c r="BS482" s="28">
        <v>613</v>
      </c>
      <c r="BT482" s="29">
        <v>849</v>
      </c>
      <c r="BU482" s="29">
        <v>613</v>
      </c>
      <c r="BV482" s="29">
        <v>613</v>
      </c>
      <c r="BW482" s="29">
        <v>849</v>
      </c>
      <c r="BX482" s="8"/>
      <c r="BY482" s="8">
        <v>0</v>
      </c>
      <c r="BZ482" s="8">
        <v>0</v>
      </c>
      <c r="CA482" s="8">
        <v>0</v>
      </c>
      <c r="CB482" s="21">
        <v>46077.770833333299</v>
      </c>
      <c r="CC482" s="21">
        <v>46077.770833333299</v>
      </c>
      <c r="CD482" s="21">
        <v>46077.770833333299</v>
      </c>
      <c r="CE482" s="21">
        <v>46077.770833333299</v>
      </c>
      <c r="CF482" s="21">
        <v>46077.770833333299</v>
      </c>
      <c r="CG482" s="21">
        <v>46004.770833333299</v>
      </c>
      <c r="CH482" s="21">
        <v>46004.770833333299</v>
      </c>
      <c r="CI482" s="21">
        <v>46004.770833333299</v>
      </c>
      <c r="CJ482" s="21">
        <v>46004.770833333299</v>
      </c>
      <c r="CK482" s="22" t="s">
        <v>2959</v>
      </c>
      <c r="CL482" s="22" t="s">
        <v>2959</v>
      </c>
      <c r="CM482" s="22" t="s">
        <v>2959</v>
      </c>
      <c r="CN482" s="22" t="s">
        <v>2959</v>
      </c>
      <c r="CO482" s="22" t="s">
        <v>2959</v>
      </c>
      <c r="CP482" s="22" t="s">
        <v>2956</v>
      </c>
      <c r="CQ482" s="22" t="s">
        <v>2953</v>
      </c>
      <c r="CR482" s="22" t="s">
        <v>2956</v>
      </c>
      <c r="CS482" s="22" t="s">
        <v>2960</v>
      </c>
      <c r="CT482" s="22">
        <v>8</v>
      </c>
      <c r="CU482" s="21">
        <v>46140</v>
      </c>
      <c r="CV482" s="21">
        <v>46140</v>
      </c>
      <c r="CW482" s="21">
        <v>46140</v>
      </c>
      <c r="CX482" s="21">
        <v>46140</v>
      </c>
      <c r="CY482" s="21">
        <v>46140</v>
      </c>
      <c r="CZ482" s="21">
        <v>46265</v>
      </c>
      <c r="DA482" s="21">
        <v>46203</v>
      </c>
      <c r="DB482" s="21">
        <v>46184</v>
      </c>
      <c r="DC482" s="21">
        <v>46369</v>
      </c>
      <c r="DD482" s="8">
        <v>0</v>
      </c>
      <c r="DE482" s="8">
        <v>0</v>
      </c>
      <c r="DF482" s="8">
        <v>0</v>
      </c>
      <c r="DG482" s="8">
        <v>0</v>
      </c>
      <c r="DH482" s="8">
        <v>5</v>
      </c>
      <c r="DI482" s="8">
        <v>0</v>
      </c>
      <c r="DJ482" s="8" t="s">
        <v>2976</v>
      </c>
      <c r="DK482" s="21">
        <v>46005</v>
      </c>
      <c r="DL482" s="21">
        <v>45989.229166666664</v>
      </c>
      <c r="DM482" s="21">
        <v>46107</v>
      </c>
      <c r="DN482" s="18">
        <v>630</v>
      </c>
      <c r="DO482" s="21">
        <v>0</v>
      </c>
      <c r="DP482" s="21">
        <v>0</v>
      </c>
      <c r="DQ482" s="21" t="s">
        <v>2955</v>
      </c>
      <c r="DR482" s="21">
        <v>46078</v>
      </c>
      <c r="DS482" s="21">
        <v>46078</v>
      </c>
      <c r="DT482" s="21">
        <v>46078</v>
      </c>
      <c r="DU482" s="21">
        <v>46078</v>
      </c>
      <c r="DV482" s="21">
        <v>46078</v>
      </c>
      <c r="DW482" s="21">
        <v>46005</v>
      </c>
      <c r="DX482" s="21">
        <v>46005</v>
      </c>
      <c r="DY482" s="21">
        <v>46005</v>
      </c>
      <c r="DZ482" s="21">
        <v>46005</v>
      </c>
      <c r="EA482" s="8">
        <v>635</v>
      </c>
      <c r="EB482" s="8">
        <v>635</v>
      </c>
      <c r="EC482" s="8">
        <v>635</v>
      </c>
      <c r="ED482" s="8">
        <v>635</v>
      </c>
      <c r="EE482" s="8">
        <v>635</v>
      </c>
      <c r="EF482" s="8">
        <v>870</v>
      </c>
      <c r="EG482" s="8">
        <v>370</v>
      </c>
      <c r="EH482" s="8">
        <v>870</v>
      </c>
      <c r="EI482" s="8">
        <v>870</v>
      </c>
      <c r="EJ482" s="8">
        <v>4</v>
      </c>
      <c r="EK482" s="8" t="s">
        <v>2624</v>
      </c>
      <c r="EL482" s="8">
        <v>5</v>
      </c>
      <c r="EM482" s="8">
        <v>20</v>
      </c>
      <c r="EN482" s="8">
        <v>347</v>
      </c>
      <c r="EO482" s="8">
        <v>347</v>
      </c>
      <c r="EP482" s="8">
        <v>347</v>
      </c>
      <c r="EQ482" s="8">
        <v>347</v>
      </c>
      <c r="ER482" s="8">
        <v>347</v>
      </c>
      <c r="ES482" s="8">
        <v>582</v>
      </c>
      <c r="ET482" s="8">
        <v>82</v>
      </c>
      <c r="EU482" s="8">
        <v>582</v>
      </c>
      <c r="EV482" s="8">
        <v>582</v>
      </c>
    </row>
    <row r="483" spans="1:152" x14ac:dyDescent="0.15">
      <c r="A483" s="8">
        <f>ROW([2]!tbl_DPSAC[[#This Row],[Sl. No.]])-1</f>
        <v>482</v>
      </c>
      <c r="B483" s="9" t="s">
        <v>136</v>
      </c>
      <c r="C483" s="8" t="s">
        <v>2598</v>
      </c>
      <c r="D483" s="8" t="s">
        <v>1491</v>
      </c>
      <c r="E483" s="8" t="s">
        <v>1492</v>
      </c>
      <c r="F483" s="9" t="s">
        <v>161</v>
      </c>
      <c r="G483" s="23" t="s">
        <v>2599</v>
      </c>
      <c r="H483" s="10" t="s">
        <v>2600</v>
      </c>
      <c r="I483" s="23"/>
      <c r="J483" s="10">
        <v>9386696420</v>
      </c>
      <c r="K483" s="10" t="str">
        <f>_xlfn.XLOOKUP(C483,'[1]E&amp;DPSAC'!$K:$K,'[1]E&amp;DPSAC'!$G:$G,"",0)</f>
        <v/>
      </c>
      <c r="L483" s="9" t="str">
        <f t="shared" ca="1" si="27"/>
        <v>Warranty</v>
      </c>
      <c r="M483" s="13">
        <v>46017</v>
      </c>
      <c r="N483" s="12">
        <v>24</v>
      </c>
      <c r="O483" s="11">
        <f t="shared" si="29"/>
        <v>46752</v>
      </c>
      <c r="P483" s="8" t="s">
        <v>213</v>
      </c>
      <c r="Q483" s="16" t="s">
        <v>2688</v>
      </c>
      <c r="R483" s="15">
        <v>46088.549664351798</v>
      </c>
      <c r="S483" s="14">
        <v>502</v>
      </c>
      <c r="T483" s="15" t="s">
        <v>143</v>
      </c>
      <c r="U483" s="14" t="s">
        <v>143</v>
      </c>
      <c r="V483" s="14">
        <v>555</v>
      </c>
      <c r="W483" s="17">
        <v>46107.597384259301</v>
      </c>
      <c r="X483" s="14" t="s">
        <v>2937</v>
      </c>
      <c r="Y483" s="14">
        <v>697</v>
      </c>
      <c r="Z483" s="14" t="s">
        <v>2692</v>
      </c>
      <c r="AA483" s="18">
        <v>24.450335648201872</v>
      </c>
      <c r="AB483" s="18" t="s">
        <v>2692</v>
      </c>
      <c r="AC483" s="8">
        <f>tbl_DPSAC[[#This Row],[Current Month Due Count]]</f>
        <v>0</v>
      </c>
      <c r="AD483" s="8">
        <f>tbl_DPSAC[[#This Row],[Next Month Due2]]</f>
        <v>0</v>
      </c>
      <c r="AE483" s="8"/>
      <c r="AF483" s="8">
        <v>4</v>
      </c>
      <c r="AG483" s="14">
        <f t="shared" ca="1" si="28"/>
        <v>577</v>
      </c>
      <c r="AH483" s="8"/>
      <c r="AI483" s="8"/>
      <c r="AJ483" s="8"/>
      <c r="AK483" s="8"/>
      <c r="AL483" s="8"/>
      <c r="AM483" s="8"/>
      <c r="AN483" s="8"/>
      <c r="AO483" s="8"/>
      <c r="AP483" s="8"/>
      <c r="AQ483" s="8"/>
      <c r="AR483" s="8"/>
      <c r="AS483" s="8"/>
      <c r="AT483" s="8"/>
      <c r="AU483" s="8"/>
      <c r="AV483" s="8"/>
      <c r="AW483" s="8"/>
      <c r="AX483" s="8" t="s">
        <v>2007</v>
      </c>
      <c r="AY483" s="14">
        <v>502</v>
      </c>
      <c r="AZ483" s="19">
        <v>46088</v>
      </c>
      <c r="BA483" s="14" t="s">
        <v>2688</v>
      </c>
      <c r="BB483" s="14">
        <v>1</v>
      </c>
      <c r="BC483" s="19">
        <v>46017</v>
      </c>
      <c r="BD483" s="14" t="s">
        <v>2601</v>
      </c>
      <c r="BE483" s="14">
        <v>502</v>
      </c>
      <c r="BF483" s="19">
        <v>46088</v>
      </c>
      <c r="BG483" s="14" t="s">
        <v>2601</v>
      </c>
      <c r="BH483" s="14">
        <v>502</v>
      </c>
      <c r="BI483" s="19">
        <v>46088</v>
      </c>
      <c r="BJ483" s="14" t="s">
        <v>2601</v>
      </c>
      <c r="BK483" s="14">
        <v>1</v>
      </c>
      <c r="BL483" s="19">
        <v>46017</v>
      </c>
      <c r="BM483" s="14" t="s">
        <v>2601</v>
      </c>
      <c r="BN483" s="27">
        <v>46268</v>
      </c>
      <c r="BO483" s="27">
        <v>46197</v>
      </c>
      <c r="BP483" s="27">
        <v>46268</v>
      </c>
      <c r="BQ483" s="27">
        <v>46268</v>
      </c>
      <c r="BR483" s="27">
        <v>46382</v>
      </c>
      <c r="BS483" s="28">
        <v>675</v>
      </c>
      <c r="BT483" s="29">
        <v>924</v>
      </c>
      <c r="BU483" s="29">
        <v>675</v>
      </c>
      <c r="BV483" s="29">
        <v>675</v>
      </c>
      <c r="BW483" s="29">
        <v>924</v>
      </c>
      <c r="BX483" s="8"/>
      <c r="BY483" s="8">
        <v>0</v>
      </c>
      <c r="BZ483" s="8">
        <v>0</v>
      </c>
      <c r="CA483" s="8">
        <v>0</v>
      </c>
      <c r="CB483" s="21">
        <v>46016.770833333299</v>
      </c>
      <c r="CC483" s="21">
        <v>46016.770833333299</v>
      </c>
      <c r="CD483" s="21">
        <v>46016.770833333299</v>
      </c>
      <c r="CE483" s="21">
        <v>46016.770833333299</v>
      </c>
      <c r="CF483" s="21">
        <v>46016.770833333299</v>
      </c>
      <c r="CG483" s="21">
        <v>46016.770833333299</v>
      </c>
      <c r="CH483" s="21">
        <v>46016.770833333299</v>
      </c>
      <c r="CI483" s="21">
        <v>46016.770833333299</v>
      </c>
      <c r="CJ483" s="21">
        <v>46016.770833333299</v>
      </c>
      <c r="CK483" s="22" t="s">
        <v>3180</v>
      </c>
      <c r="CL483" s="22" t="s">
        <v>3180</v>
      </c>
      <c r="CM483" s="22" t="s">
        <v>3180</v>
      </c>
      <c r="CN483" s="22" t="s">
        <v>3180</v>
      </c>
      <c r="CO483" s="22" t="s">
        <v>3180</v>
      </c>
      <c r="CP483" s="22" t="s">
        <v>3024</v>
      </c>
      <c r="CQ483" s="22" t="s">
        <v>2953</v>
      </c>
      <c r="CR483" s="22" t="s">
        <v>3024</v>
      </c>
      <c r="CS483" s="22" t="s">
        <v>3227</v>
      </c>
      <c r="CT483" s="22">
        <v>4</v>
      </c>
      <c r="CU483" s="21">
        <v>46158</v>
      </c>
      <c r="CV483" s="21">
        <v>46158</v>
      </c>
      <c r="CW483" s="21">
        <v>46158</v>
      </c>
      <c r="CX483" s="21">
        <v>46158</v>
      </c>
      <c r="CY483" s="21">
        <v>46158</v>
      </c>
      <c r="CZ483" s="21">
        <v>46286</v>
      </c>
      <c r="DA483" s="21">
        <v>46287</v>
      </c>
      <c r="DB483" s="21">
        <v>46196</v>
      </c>
      <c r="DC483" s="21">
        <v>46381</v>
      </c>
      <c r="DD483" s="8">
        <v>0</v>
      </c>
      <c r="DE483" s="8">
        <v>0</v>
      </c>
      <c r="DF483" s="8">
        <v>0</v>
      </c>
      <c r="DG483" s="8">
        <v>0</v>
      </c>
      <c r="DH483" s="8">
        <v>0</v>
      </c>
      <c r="DI483" s="8">
        <v>5</v>
      </c>
      <c r="DJ483" s="8" t="s">
        <v>2976</v>
      </c>
      <c r="DK483" s="21">
        <v>46017</v>
      </c>
      <c r="DL483" s="21">
        <v>46008.229166666664</v>
      </c>
      <c r="DM483" s="21">
        <v>46107</v>
      </c>
      <c r="DN483" s="18">
        <v>555</v>
      </c>
      <c r="DO483" s="21">
        <v>0</v>
      </c>
      <c r="DP483" s="21">
        <v>0</v>
      </c>
      <c r="DQ483" s="21" t="s">
        <v>2955</v>
      </c>
      <c r="DR483" s="21">
        <v>46088</v>
      </c>
      <c r="DS483" s="21">
        <v>46095</v>
      </c>
      <c r="DT483" s="21">
        <v>46095</v>
      </c>
      <c r="DU483" s="21">
        <v>46095</v>
      </c>
      <c r="DV483" s="21">
        <v>46095</v>
      </c>
      <c r="DW483" s="21">
        <v>46017</v>
      </c>
      <c r="DX483" s="21">
        <v>46017</v>
      </c>
      <c r="DY483" s="21">
        <v>46017</v>
      </c>
      <c r="DZ483" s="21">
        <v>46017</v>
      </c>
      <c r="EA483" s="8">
        <v>697</v>
      </c>
      <c r="EB483" s="8">
        <v>697</v>
      </c>
      <c r="EC483" s="8">
        <v>697</v>
      </c>
      <c r="ED483" s="8">
        <v>697</v>
      </c>
      <c r="EE483" s="8">
        <v>697</v>
      </c>
      <c r="EF483" s="8">
        <v>945</v>
      </c>
      <c r="EG483" s="8">
        <v>445</v>
      </c>
      <c r="EH483" s="8">
        <v>945</v>
      </c>
      <c r="EI483" s="8">
        <v>945</v>
      </c>
      <c r="EJ483" s="8">
        <v>4</v>
      </c>
      <c r="EK483" s="8" t="s">
        <v>2624</v>
      </c>
      <c r="EL483" s="8">
        <v>5</v>
      </c>
      <c r="EM483" s="8">
        <v>20</v>
      </c>
      <c r="EN483" s="8">
        <v>409</v>
      </c>
      <c r="EO483" s="8">
        <v>409</v>
      </c>
      <c r="EP483" s="8">
        <v>409</v>
      </c>
      <c r="EQ483" s="8">
        <v>409</v>
      </c>
      <c r="ER483" s="8">
        <v>409</v>
      </c>
      <c r="ES483" s="8">
        <v>657</v>
      </c>
      <c r="ET483" s="8">
        <v>157</v>
      </c>
      <c r="EU483" s="8">
        <v>657</v>
      </c>
      <c r="EV483" s="8">
        <v>657</v>
      </c>
    </row>
    <row r="484" spans="1:152" x14ac:dyDescent="0.15">
      <c r="A484" s="8">
        <f>ROW([2]!tbl_DPSAC[[#This Row],[Sl. No.]])-1</f>
        <v>483</v>
      </c>
      <c r="B484" s="9" t="s">
        <v>136</v>
      </c>
      <c r="C484" s="8" t="s">
        <v>2602</v>
      </c>
      <c r="D484" s="8" t="s">
        <v>2439</v>
      </c>
      <c r="E484" s="8" t="s">
        <v>2440</v>
      </c>
      <c r="F484" s="9" t="s">
        <v>161</v>
      </c>
      <c r="G484" s="23" t="s">
        <v>2603</v>
      </c>
      <c r="H484" s="10" t="s">
        <v>2604</v>
      </c>
      <c r="I484" s="23"/>
      <c r="J484" s="10">
        <v>8765754628</v>
      </c>
      <c r="K484" s="10">
        <f>_xlfn.XLOOKUP(C484,'[1]E&amp;DPSAC'!$K:$K,'[1]E&amp;DPSAC'!$G:$G,"",0)</f>
        <v>8765754628</v>
      </c>
      <c r="L484" s="9" t="str">
        <f t="shared" ca="1" si="27"/>
        <v>Warranty</v>
      </c>
      <c r="M484" s="13">
        <v>45995</v>
      </c>
      <c r="N484" s="12">
        <v>24</v>
      </c>
      <c r="O484" s="11">
        <f t="shared" si="29"/>
        <v>46752</v>
      </c>
      <c r="P484" s="8" t="s">
        <v>213</v>
      </c>
      <c r="Q484" s="16" t="s">
        <v>2689</v>
      </c>
      <c r="R484" s="15">
        <v>46097.736076388901</v>
      </c>
      <c r="S484" s="14">
        <v>588</v>
      </c>
      <c r="T484" s="15">
        <v>46029</v>
      </c>
      <c r="U484" s="14">
        <v>66</v>
      </c>
      <c r="V484" s="14">
        <v>625</v>
      </c>
      <c r="W484" s="17">
        <v>46107.601909722202</v>
      </c>
      <c r="X484" s="14" t="s">
        <v>2938</v>
      </c>
      <c r="Y484" s="14">
        <v>713</v>
      </c>
      <c r="Z484" s="14" t="s">
        <v>2692</v>
      </c>
      <c r="AA484" s="18">
        <v>15.263923611099017</v>
      </c>
      <c r="AB484" s="18" t="s">
        <v>2692</v>
      </c>
      <c r="AC484" s="8">
        <f>tbl_DPSAC[[#This Row],[Current Month Due Count]]</f>
        <v>0</v>
      </c>
      <c r="AD484" s="8">
        <f>tbl_DPSAC[[#This Row],[Next Month Due2]]</f>
        <v>0</v>
      </c>
      <c r="AE484" s="8"/>
      <c r="AF484" s="8">
        <v>4</v>
      </c>
      <c r="AG484" s="14">
        <f t="shared" ca="1" si="28"/>
        <v>647</v>
      </c>
      <c r="AH484" s="8"/>
      <c r="AI484" s="8"/>
      <c r="AJ484" s="8"/>
      <c r="AK484" s="8"/>
      <c r="AL484" s="8"/>
      <c r="AM484" s="8"/>
      <c r="AN484" s="8"/>
      <c r="AO484" s="8"/>
      <c r="AP484" s="8"/>
      <c r="AQ484" s="8"/>
      <c r="AR484" s="8"/>
      <c r="AS484" s="8"/>
      <c r="AT484" s="8"/>
      <c r="AU484" s="8"/>
      <c r="AV484" s="8"/>
      <c r="AW484" s="8"/>
      <c r="AX484" s="8" t="s">
        <v>2007</v>
      </c>
      <c r="AY484" s="14">
        <v>588</v>
      </c>
      <c r="AZ484" s="19">
        <v>46097</v>
      </c>
      <c r="BA484" s="14" t="s">
        <v>2689</v>
      </c>
      <c r="BB484" s="14">
        <v>1</v>
      </c>
      <c r="BC484" s="19">
        <v>45995</v>
      </c>
      <c r="BD484" s="14" t="s">
        <v>2605</v>
      </c>
      <c r="BE484" s="14">
        <v>588</v>
      </c>
      <c r="BF484" s="19">
        <v>46097</v>
      </c>
      <c r="BG484" s="14" t="s">
        <v>2689</v>
      </c>
      <c r="BH484" s="14">
        <v>1</v>
      </c>
      <c r="BI484" s="19">
        <v>45995</v>
      </c>
      <c r="BJ484" s="14" t="s">
        <v>2605</v>
      </c>
      <c r="BK484" s="14">
        <v>1</v>
      </c>
      <c r="BL484" s="19">
        <v>45995</v>
      </c>
      <c r="BM484" s="14" t="s">
        <v>2605</v>
      </c>
      <c r="BN484" s="27">
        <v>46277</v>
      </c>
      <c r="BO484" s="27">
        <v>46175</v>
      </c>
      <c r="BP484" s="27">
        <v>46277</v>
      </c>
      <c r="BQ484" s="27">
        <v>46175</v>
      </c>
      <c r="BR484" s="27">
        <v>46360</v>
      </c>
      <c r="BS484" s="28">
        <v>691</v>
      </c>
      <c r="BT484" s="29">
        <v>854</v>
      </c>
      <c r="BU484" s="29">
        <v>691</v>
      </c>
      <c r="BV484" s="29">
        <v>104</v>
      </c>
      <c r="BW484" s="29">
        <v>854</v>
      </c>
      <c r="BX484" s="8"/>
      <c r="BY484" s="8">
        <v>0</v>
      </c>
      <c r="BZ484" s="8">
        <v>0</v>
      </c>
      <c r="CA484" s="8">
        <v>0</v>
      </c>
      <c r="CB484" s="21">
        <v>45994.770833333299</v>
      </c>
      <c r="CC484" s="21">
        <v>45994.770833333299</v>
      </c>
      <c r="CD484" s="21">
        <v>45994.770833333299</v>
      </c>
      <c r="CE484" s="21">
        <v>45994.770833333299</v>
      </c>
      <c r="CF484" s="21">
        <v>45994.770833333299</v>
      </c>
      <c r="CG484" s="21">
        <v>45994.770833333299</v>
      </c>
      <c r="CH484" s="21">
        <v>45994.770833333299</v>
      </c>
      <c r="CI484" s="21">
        <v>45994.770833333299</v>
      </c>
      <c r="CJ484" s="21">
        <v>45994.770833333299</v>
      </c>
      <c r="CK484" s="22" t="s">
        <v>3228</v>
      </c>
      <c r="CL484" s="22" t="s">
        <v>3180</v>
      </c>
      <c r="CM484" s="22" t="s">
        <v>3180</v>
      </c>
      <c r="CN484" s="22" t="s">
        <v>3180</v>
      </c>
      <c r="CO484" s="22" t="s">
        <v>3180</v>
      </c>
      <c r="CP484" s="22" t="s">
        <v>3024</v>
      </c>
      <c r="CQ484" s="22" t="s">
        <v>2953</v>
      </c>
      <c r="CR484" s="22" t="s">
        <v>3024</v>
      </c>
      <c r="CS484" s="22" t="s">
        <v>3227</v>
      </c>
      <c r="CT484" s="22">
        <v>2</v>
      </c>
      <c r="CU484" s="21">
        <v>46174</v>
      </c>
      <c r="CV484" s="21">
        <v>46174</v>
      </c>
      <c r="CW484" s="21">
        <v>46174</v>
      </c>
      <c r="CX484" s="21">
        <v>46174</v>
      </c>
      <c r="CY484" s="21">
        <v>46174</v>
      </c>
      <c r="CZ484" s="21">
        <v>46264</v>
      </c>
      <c r="DA484" s="21">
        <v>46359</v>
      </c>
      <c r="DB484" s="21">
        <v>46174</v>
      </c>
      <c r="DC484" s="21">
        <v>46359</v>
      </c>
      <c r="DD484" s="8">
        <v>0</v>
      </c>
      <c r="DE484" s="8">
        <v>0</v>
      </c>
      <c r="DF484" s="8">
        <v>0</v>
      </c>
      <c r="DG484" s="8">
        <v>0</v>
      </c>
      <c r="DH484" s="8">
        <v>0</v>
      </c>
      <c r="DI484" s="8">
        <v>0</v>
      </c>
      <c r="DJ484" s="8" t="s">
        <v>2976</v>
      </c>
      <c r="DK484" s="21">
        <v>45995</v>
      </c>
      <c r="DL484" s="21">
        <v>45967.229166666664</v>
      </c>
      <c r="DM484" s="21">
        <v>46107</v>
      </c>
      <c r="DN484" s="18">
        <v>625</v>
      </c>
      <c r="DO484" s="21">
        <v>0</v>
      </c>
      <c r="DP484" s="21">
        <v>0</v>
      </c>
      <c r="DQ484" s="21" t="s">
        <v>2955</v>
      </c>
      <c r="DR484" s="21">
        <v>46098</v>
      </c>
      <c r="DS484" s="21">
        <v>46098</v>
      </c>
      <c r="DT484" s="21">
        <v>46098</v>
      </c>
      <c r="DU484" s="21">
        <v>46098</v>
      </c>
      <c r="DV484" s="21">
        <v>46098</v>
      </c>
      <c r="DW484" s="21">
        <v>45995</v>
      </c>
      <c r="DX484" s="21">
        <v>45995</v>
      </c>
      <c r="DY484" s="21">
        <v>45995</v>
      </c>
      <c r="DZ484" s="21">
        <v>45995</v>
      </c>
      <c r="EA484" s="8">
        <v>713</v>
      </c>
      <c r="EB484" s="8">
        <v>713</v>
      </c>
      <c r="EC484" s="8">
        <v>713</v>
      </c>
      <c r="ED484" s="8">
        <v>713</v>
      </c>
      <c r="EE484" s="8">
        <v>713</v>
      </c>
      <c r="EF484" s="8">
        <v>875</v>
      </c>
      <c r="EG484" s="8">
        <v>325</v>
      </c>
      <c r="EH484" s="8">
        <v>875</v>
      </c>
      <c r="EI484" s="8">
        <v>875</v>
      </c>
      <c r="EJ484" s="8">
        <v>4</v>
      </c>
      <c r="EK484" s="8" t="s">
        <v>2624</v>
      </c>
      <c r="EL484" s="8">
        <v>5</v>
      </c>
      <c r="EM484" s="8">
        <v>20</v>
      </c>
      <c r="EN484" s="8">
        <v>425</v>
      </c>
      <c r="EO484" s="8">
        <v>425</v>
      </c>
      <c r="EP484" s="8">
        <v>425</v>
      </c>
      <c r="EQ484" s="8">
        <v>425</v>
      </c>
      <c r="ER484" s="8">
        <v>425</v>
      </c>
      <c r="ES484" s="8">
        <v>587</v>
      </c>
      <c r="ET484" s="8">
        <v>37</v>
      </c>
      <c r="EU484" s="8">
        <v>587</v>
      </c>
      <c r="EV484" s="8">
        <v>587</v>
      </c>
    </row>
    <row r="485" spans="1:152" x14ac:dyDescent="0.15">
      <c r="A485" s="8">
        <f>ROW([2]!tbl_DPSAC[[#This Row],[Sl. No.]])-1</f>
        <v>484</v>
      </c>
      <c r="B485" s="9" t="s">
        <v>136</v>
      </c>
      <c r="C485" s="8" t="s">
        <v>2606</v>
      </c>
      <c r="D485" s="8" t="s">
        <v>2439</v>
      </c>
      <c r="E485" s="8" t="s">
        <v>2440</v>
      </c>
      <c r="F485" s="9" t="s">
        <v>161</v>
      </c>
      <c r="G485" s="23" t="s">
        <v>2603</v>
      </c>
      <c r="H485" s="10" t="s">
        <v>2604</v>
      </c>
      <c r="I485" s="23"/>
      <c r="J485" s="10">
        <v>8765754628</v>
      </c>
      <c r="K485" s="10" t="str">
        <f>_xlfn.XLOOKUP(C485,'[1]E&amp;DPSAC'!$K:$K,'[1]E&amp;DPSAC'!$G:$G,"",0)</f>
        <v/>
      </c>
      <c r="L485" s="9" t="str">
        <f t="shared" ca="1" si="27"/>
        <v>Warranty</v>
      </c>
      <c r="M485" s="13">
        <v>45877</v>
      </c>
      <c r="N485" s="12">
        <v>24</v>
      </c>
      <c r="O485" s="11">
        <f t="shared" si="29"/>
        <v>46630</v>
      </c>
      <c r="P485" s="8" t="s">
        <v>213</v>
      </c>
      <c r="Q485" s="16" t="s">
        <v>143</v>
      </c>
      <c r="R485" s="15" t="s">
        <v>143</v>
      </c>
      <c r="S485" s="14" t="s">
        <v>143</v>
      </c>
      <c r="T485" s="15" t="s">
        <v>143</v>
      </c>
      <c r="U485" s="14" t="s">
        <v>143</v>
      </c>
      <c r="V485" s="14">
        <v>680</v>
      </c>
      <c r="W485" s="17">
        <v>46107.607557870397</v>
      </c>
      <c r="X485" s="14" t="s">
        <v>143</v>
      </c>
      <c r="Y485" s="14">
        <v>0</v>
      </c>
      <c r="Z485" s="14" t="s">
        <v>2692</v>
      </c>
      <c r="AA485" s="18">
        <v>236</v>
      </c>
      <c r="AB485" s="18" t="s">
        <v>2697</v>
      </c>
      <c r="AC485" s="8">
        <f>tbl_DPSAC[[#This Row],[Current Month Due Count]]</f>
        <v>0</v>
      </c>
      <c r="AD485" s="8">
        <f>tbl_DPSAC[[#This Row],[Next Month Due2]]</f>
        <v>3</v>
      </c>
      <c r="AE485" s="8"/>
      <c r="AF485" s="8">
        <v>8</v>
      </c>
      <c r="AG485" s="14">
        <f t="shared" ca="1" si="28"/>
        <v>723</v>
      </c>
      <c r="AH485" s="8" t="s">
        <v>2607</v>
      </c>
      <c r="AI485" s="8"/>
      <c r="AJ485" s="8"/>
      <c r="AK485" s="8"/>
      <c r="AL485" s="8"/>
      <c r="AM485" s="8"/>
      <c r="AN485" s="8"/>
      <c r="AO485" s="8"/>
      <c r="AP485" s="8"/>
      <c r="AQ485" s="8"/>
      <c r="AR485" s="8"/>
      <c r="AS485" s="8"/>
      <c r="AT485" s="8"/>
      <c r="AU485" s="8"/>
      <c r="AV485" s="8"/>
      <c r="AW485" s="8"/>
      <c r="AX485" s="8" t="s">
        <v>2007</v>
      </c>
      <c r="AY485" s="14">
        <v>500</v>
      </c>
      <c r="AZ485" s="19">
        <v>45981</v>
      </c>
      <c r="BA485" s="14" t="s">
        <v>2608</v>
      </c>
      <c r="BB485" s="14">
        <v>1</v>
      </c>
      <c r="BC485" s="19">
        <v>45874</v>
      </c>
      <c r="BD485" s="14" t="s">
        <v>2609</v>
      </c>
      <c r="BE485" s="14">
        <v>500</v>
      </c>
      <c r="BF485" s="19">
        <v>45981</v>
      </c>
      <c r="BG485" s="14" t="s">
        <v>2608</v>
      </c>
      <c r="BH485" s="14">
        <v>500</v>
      </c>
      <c r="BI485" s="19">
        <v>45981</v>
      </c>
      <c r="BJ485" s="14" t="s">
        <v>2608</v>
      </c>
      <c r="BK485" s="14">
        <v>1</v>
      </c>
      <c r="BL485" s="19">
        <v>45874</v>
      </c>
      <c r="BM485" s="14" t="s">
        <v>2609</v>
      </c>
      <c r="BN485" s="27">
        <v>46161</v>
      </c>
      <c r="BO485" s="27">
        <v>46054</v>
      </c>
      <c r="BP485" s="27">
        <v>46161</v>
      </c>
      <c r="BQ485" s="27">
        <v>46161</v>
      </c>
      <c r="BR485" s="27">
        <v>46239</v>
      </c>
      <c r="BS485" s="28">
        <v>527</v>
      </c>
      <c r="BT485" s="29">
        <v>778</v>
      </c>
      <c r="BU485" s="29">
        <v>527</v>
      </c>
      <c r="BV485" s="29">
        <v>527</v>
      </c>
      <c r="BW485" s="29">
        <v>778</v>
      </c>
      <c r="BX485" s="8"/>
      <c r="BY485" s="8">
        <v>1</v>
      </c>
      <c r="BZ485" s="8">
        <v>0</v>
      </c>
      <c r="CA485" s="8">
        <v>3</v>
      </c>
      <c r="CB485" s="21">
        <v>45979.770833333299</v>
      </c>
      <c r="CC485" s="21">
        <v>45980.770833333299</v>
      </c>
      <c r="CD485" s="21">
        <v>45980.770833333299</v>
      </c>
      <c r="CE485" s="21">
        <v>45980.770833333299</v>
      </c>
      <c r="CF485" s="21">
        <v>45980.770833333299</v>
      </c>
      <c r="CG485" s="21">
        <v>45876.770833333299</v>
      </c>
      <c r="CH485" s="21">
        <v>45876.770833333299</v>
      </c>
      <c r="CI485" s="21">
        <v>45876.770833333299</v>
      </c>
      <c r="CJ485" s="21">
        <v>45876.770833333299</v>
      </c>
      <c r="CK485" s="22" t="s">
        <v>2956</v>
      </c>
      <c r="CL485" s="22" t="s">
        <v>2957</v>
      </c>
      <c r="CM485" s="22" t="s">
        <v>2957</v>
      </c>
      <c r="CN485" s="22" t="s">
        <v>2957</v>
      </c>
      <c r="CO485" s="22" t="s">
        <v>2957</v>
      </c>
      <c r="CP485" s="22" t="s">
        <v>2953</v>
      </c>
      <c r="CQ485" s="22" t="s">
        <v>2953</v>
      </c>
      <c r="CR485" s="22" t="s">
        <v>2953</v>
      </c>
      <c r="CS485" s="22" t="s">
        <v>3149</v>
      </c>
      <c r="CT485" s="22">
        <v>2</v>
      </c>
      <c r="CU485" s="21">
        <v>46159</v>
      </c>
      <c r="CV485" s="21">
        <v>46160</v>
      </c>
      <c r="CW485" s="21">
        <v>46160</v>
      </c>
      <c r="CX485" s="21">
        <v>46160</v>
      </c>
      <c r="CY485" s="21">
        <v>46160</v>
      </c>
      <c r="CZ485" s="21">
        <v>46146</v>
      </c>
      <c r="DA485" s="21">
        <v>46241</v>
      </c>
      <c r="DB485" s="21">
        <v>46056</v>
      </c>
      <c r="DC485" s="21">
        <v>46241</v>
      </c>
      <c r="DD485" s="8">
        <v>0</v>
      </c>
      <c r="DE485" s="8">
        <v>1</v>
      </c>
      <c r="DF485" s="8">
        <v>0</v>
      </c>
      <c r="DG485" s="8">
        <v>1</v>
      </c>
      <c r="DH485" s="8">
        <v>0</v>
      </c>
      <c r="DI485" s="8">
        <v>6</v>
      </c>
      <c r="DJ485" s="8" t="s">
        <v>143</v>
      </c>
      <c r="DK485" s="21" t="s">
        <v>143</v>
      </c>
      <c r="DL485" s="21" t="s">
        <v>143</v>
      </c>
      <c r="DM485" s="21" t="s">
        <v>143</v>
      </c>
      <c r="DN485" s="18" t="s">
        <v>143</v>
      </c>
      <c r="DO485" s="21" t="s">
        <v>143</v>
      </c>
      <c r="DP485" s="21" t="s">
        <v>143</v>
      </c>
      <c r="DQ485" s="21" t="s">
        <v>143</v>
      </c>
      <c r="DR485" s="21" t="s">
        <v>143</v>
      </c>
      <c r="DS485" s="21" t="s">
        <v>143</v>
      </c>
      <c r="DT485" s="21" t="s">
        <v>143</v>
      </c>
      <c r="DU485" s="21" t="s">
        <v>143</v>
      </c>
      <c r="DV485" s="21" t="s">
        <v>143</v>
      </c>
      <c r="DW485" s="21" t="s">
        <v>143</v>
      </c>
      <c r="DX485" s="21" t="s">
        <v>143</v>
      </c>
      <c r="DY485" s="21" t="s">
        <v>143</v>
      </c>
      <c r="DZ485" s="21" t="s">
        <v>143</v>
      </c>
      <c r="EA485" s="8" t="s">
        <v>143</v>
      </c>
      <c r="EB485" s="8" t="s">
        <v>143</v>
      </c>
      <c r="EC485" s="8" t="s">
        <v>143</v>
      </c>
      <c r="ED485" s="8" t="s">
        <v>143</v>
      </c>
      <c r="EE485" s="8" t="s">
        <v>143</v>
      </c>
      <c r="EF485" s="8" t="s">
        <v>143</v>
      </c>
      <c r="EG485" s="8" t="s">
        <v>143</v>
      </c>
      <c r="EH485" s="8" t="s">
        <v>143</v>
      </c>
      <c r="EI485" s="8" t="s">
        <v>143</v>
      </c>
      <c r="EJ485" s="8" t="s">
        <v>143</v>
      </c>
      <c r="EK485" s="8" t="s">
        <v>2624</v>
      </c>
      <c r="EL485" s="8">
        <v>5</v>
      </c>
      <c r="EM485" s="8">
        <v>40</v>
      </c>
      <c r="EN485" s="8" t="s">
        <v>143</v>
      </c>
      <c r="EO485" s="8" t="s">
        <v>143</v>
      </c>
      <c r="EP485" s="8" t="s">
        <v>143</v>
      </c>
      <c r="EQ485" s="8" t="s">
        <v>143</v>
      </c>
      <c r="ER485" s="8" t="s">
        <v>143</v>
      </c>
      <c r="ES485" s="8" t="s">
        <v>143</v>
      </c>
      <c r="ET485" s="8" t="s">
        <v>143</v>
      </c>
      <c r="EU485" s="8" t="s">
        <v>143</v>
      </c>
      <c r="EV485" s="8" t="s">
        <v>143</v>
      </c>
    </row>
    <row r="486" spans="1:152" x14ac:dyDescent="0.15">
      <c r="A486" s="8">
        <f>ROW([2]!tbl_DPSAC[[#This Row],[Sl. No.]])-1</f>
        <v>485</v>
      </c>
      <c r="B486" s="9" t="s">
        <v>136</v>
      </c>
      <c r="C486" s="8" t="s">
        <v>2610</v>
      </c>
      <c r="D486" s="8" t="s">
        <v>1491</v>
      </c>
      <c r="E486" s="8" t="s">
        <v>1492</v>
      </c>
      <c r="F486" s="9" t="s">
        <v>161</v>
      </c>
      <c r="G486" s="23" t="s">
        <v>1690</v>
      </c>
      <c r="H486" s="10" t="s">
        <v>2611</v>
      </c>
      <c r="I486" s="23"/>
      <c r="J486" s="10">
        <v>92639969999</v>
      </c>
      <c r="K486" s="10" t="str">
        <f>_xlfn.XLOOKUP(C486,'[1]E&amp;DPSAC'!$K:$K,'[1]E&amp;DPSAC'!$G:$G,"",0)</f>
        <v/>
      </c>
      <c r="L486" s="9" t="str">
        <f ca="1">IF(O486&gt;=TODAY(),"Warranty","Non - Warranty")</f>
        <v>Warranty</v>
      </c>
      <c r="M486" s="13">
        <v>46081</v>
      </c>
      <c r="N486" s="12">
        <v>24</v>
      </c>
      <c r="O486" s="11">
        <f>EOMONTH(DATE(YEAR(M486)+SUM(N486/12),MONTH(M486),DAY(M486))-1,0)</f>
        <v>46812</v>
      </c>
      <c r="P486" s="8" t="s">
        <v>213</v>
      </c>
      <c r="Q486" s="16" t="s">
        <v>143</v>
      </c>
      <c r="R486" s="15" t="s">
        <v>143</v>
      </c>
      <c r="S486" s="14" t="s">
        <v>143</v>
      </c>
      <c r="T486" s="15" t="s">
        <v>143</v>
      </c>
      <c r="U486" s="14" t="s">
        <v>143</v>
      </c>
      <c r="V486" s="14">
        <v>150</v>
      </c>
      <c r="W486" s="17">
        <v>46107.612905092603</v>
      </c>
      <c r="X486" s="14" t="s">
        <v>143</v>
      </c>
      <c r="Y486" s="14">
        <v>0</v>
      </c>
      <c r="Z486" s="14" t="s">
        <v>2692</v>
      </c>
      <c r="AA486" s="18">
        <v>32</v>
      </c>
      <c r="AB486" s="18" t="s">
        <v>2692</v>
      </c>
      <c r="AC486" s="8"/>
      <c r="AD486" s="8">
        <f>IF(Z486="Due",1,0)</f>
        <v>0</v>
      </c>
      <c r="AE486" s="8"/>
      <c r="AF486" s="8">
        <v>6</v>
      </c>
      <c r="AG486" s="14">
        <f t="shared" ca="1" si="28"/>
        <v>182</v>
      </c>
      <c r="AH486" s="8"/>
      <c r="AI486" s="8"/>
      <c r="AJ486" s="8"/>
      <c r="AK486" s="8"/>
      <c r="AL486" s="8"/>
      <c r="AM486" s="8"/>
      <c r="AN486" s="8"/>
      <c r="AO486" s="8"/>
      <c r="AP486" s="8"/>
      <c r="AQ486" s="8"/>
      <c r="AR486" s="8"/>
      <c r="AS486" s="8"/>
      <c r="AT486" s="8"/>
      <c r="AU486" s="8"/>
      <c r="AV486" s="8"/>
      <c r="AW486" s="8"/>
      <c r="AX486" s="8" t="s">
        <v>2007</v>
      </c>
      <c r="AY486" s="14">
        <v>1</v>
      </c>
      <c r="AZ486" s="19">
        <v>46081</v>
      </c>
      <c r="BA486" s="14" t="s">
        <v>2612</v>
      </c>
      <c r="BB486" s="14">
        <v>1</v>
      </c>
      <c r="BC486" s="19">
        <v>46081</v>
      </c>
      <c r="BD486" s="14" t="s">
        <v>2612</v>
      </c>
      <c r="BE486" s="14">
        <v>1</v>
      </c>
      <c r="BF486" s="19">
        <v>46081</v>
      </c>
      <c r="BG486" s="14" t="s">
        <v>2612</v>
      </c>
      <c r="BH486" s="14">
        <v>1</v>
      </c>
      <c r="BI486" s="19">
        <v>46081</v>
      </c>
      <c r="BJ486" s="14" t="s">
        <v>2612</v>
      </c>
      <c r="BK486" s="14">
        <v>1</v>
      </c>
      <c r="BL486" s="19">
        <v>46081</v>
      </c>
      <c r="BM486" s="14" t="s">
        <v>2612</v>
      </c>
      <c r="BN486" s="27">
        <v>46261</v>
      </c>
      <c r="BO486" s="27">
        <v>46261</v>
      </c>
      <c r="BP486" s="27">
        <v>46261</v>
      </c>
      <c r="BQ486" s="27">
        <v>46261</v>
      </c>
      <c r="BR486" s="27">
        <v>46446</v>
      </c>
      <c r="BS486" s="28">
        <v>569</v>
      </c>
      <c r="BT486" s="29">
        <v>1319</v>
      </c>
      <c r="BU486" s="29">
        <v>569</v>
      </c>
      <c r="BV486" s="29">
        <v>569</v>
      </c>
      <c r="BW486" s="29">
        <v>1319</v>
      </c>
      <c r="BX486" s="8"/>
      <c r="BY486" s="8">
        <v>0</v>
      </c>
      <c r="BZ486" s="8">
        <v>0</v>
      </c>
      <c r="CA486" s="8">
        <v>0</v>
      </c>
      <c r="CB486" s="8" t="s">
        <v>143</v>
      </c>
      <c r="CC486" s="8" t="s">
        <v>143</v>
      </c>
      <c r="CD486" s="8" t="s">
        <v>143</v>
      </c>
      <c r="CE486" s="8" t="s">
        <v>143</v>
      </c>
      <c r="CF486" s="8" t="s">
        <v>143</v>
      </c>
      <c r="CG486" s="8" t="s">
        <v>143</v>
      </c>
      <c r="CH486" s="8" t="s">
        <v>143</v>
      </c>
      <c r="CI486" s="8" t="s">
        <v>143</v>
      </c>
      <c r="CJ486" s="8" t="s">
        <v>143</v>
      </c>
      <c r="CK486" s="8" t="s">
        <v>143</v>
      </c>
      <c r="CL486" s="8" t="s">
        <v>143</v>
      </c>
      <c r="CM486" s="8" t="s">
        <v>143</v>
      </c>
      <c r="CN486" s="8" t="s">
        <v>143</v>
      </c>
      <c r="CO486" s="8" t="s">
        <v>143</v>
      </c>
      <c r="CP486" s="8" t="s">
        <v>143</v>
      </c>
      <c r="CQ486" s="8" t="s">
        <v>143</v>
      </c>
      <c r="CR486" s="8" t="s">
        <v>143</v>
      </c>
      <c r="CS486" s="8" t="s">
        <v>143</v>
      </c>
      <c r="CT486" s="8" t="s">
        <v>143</v>
      </c>
      <c r="CU486" s="8" t="s">
        <v>143</v>
      </c>
      <c r="CV486" s="8" t="s">
        <v>143</v>
      </c>
      <c r="CW486" s="8" t="s">
        <v>143</v>
      </c>
      <c r="CX486" s="8" t="s">
        <v>143</v>
      </c>
      <c r="CY486" s="8" t="s">
        <v>143</v>
      </c>
      <c r="CZ486" s="8" t="s">
        <v>143</v>
      </c>
      <c r="DA486" s="8" t="s">
        <v>143</v>
      </c>
      <c r="DB486" s="8" t="s">
        <v>143</v>
      </c>
      <c r="DC486" s="8" t="s">
        <v>143</v>
      </c>
      <c r="DD486" s="8" t="s">
        <v>143</v>
      </c>
      <c r="DE486" s="8" t="s">
        <v>143</v>
      </c>
      <c r="DF486" s="8" t="s">
        <v>143</v>
      </c>
      <c r="DG486" s="8">
        <v>0</v>
      </c>
      <c r="DH486" s="8">
        <v>0</v>
      </c>
      <c r="DI486" s="8">
        <v>0</v>
      </c>
      <c r="DJ486" s="8" t="s">
        <v>2976</v>
      </c>
      <c r="DK486" s="21">
        <v>46081</v>
      </c>
      <c r="DL486" s="21">
        <v>46036.229166666664</v>
      </c>
      <c r="DM486" s="21">
        <v>46107</v>
      </c>
      <c r="DN486" s="18">
        <v>150</v>
      </c>
      <c r="DO486" s="21">
        <v>0</v>
      </c>
      <c r="DP486" s="21">
        <v>0</v>
      </c>
      <c r="DQ486" s="21" t="s">
        <v>3049</v>
      </c>
      <c r="DR486" s="21">
        <v>46081</v>
      </c>
      <c r="DS486" s="21">
        <v>46081</v>
      </c>
      <c r="DT486" s="21">
        <v>46081</v>
      </c>
      <c r="DU486" s="21">
        <v>46081</v>
      </c>
      <c r="DV486" s="21">
        <v>46081</v>
      </c>
      <c r="DW486" s="21">
        <v>46081</v>
      </c>
      <c r="DX486" s="21">
        <v>46081</v>
      </c>
      <c r="DY486" s="21">
        <v>46081</v>
      </c>
      <c r="DZ486" s="21">
        <v>46081</v>
      </c>
      <c r="EA486" s="8">
        <v>350</v>
      </c>
      <c r="EB486" s="8">
        <v>350</v>
      </c>
      <c r="EC486" s="8">
        <v>350</v>
      </c>
      <c r="ED486" s="8">
        <v>350</v>
      </c>
      <c r="EE486" s="8">
        <v>350</v>
      </c>
      <c r="EF486" s="8">
        <v>1350</v>
      </c>
      <c r="EG486" s="8">
        <v>850</v>
      </c>
      <c r="EH486" s="8">
        <v>1350</v>
      </c>
      <c r="EI486" s="8">
        <v>2850</v>
      </c>
      <c r="EJ486" s="8">
        <v>6</v>
      </c>
      <c r="EK486" s="8" t="s">
        <v>2624</v>
      </c>
      <c r="EL486" s="8">
        <v>5</v>
      </c>
      <c r="EM486" s="8">
        <v>30</v>
      </c>
      <c r="EN486" s="8">
        <v>62</v>
      </c>
      <c r="EO486" s="8">
        <v>62</v>
      </c>
      <c r="EP486" s="8">
        <v>62</v>
      </c>
      <c r="EQ486" s="8">
        <v>62</v>
      </c>
      <c r="ER486" s="8">
        <v>62</v>
      </c>
      <c r="ES486" s="8">
        <v>1062</v>
      </c>
      <c r="ET486" s="8">
        <v>562</v>
      </c>
      <c r="EU486" s="8">
        <v>1062</v>
      </c>
      <c r="EV486" s="8">
        <v>2562</v>
      </c>
    </row>
    <row r="487" spans="1:152" x14ac:dyDescent="0.15">
      <c r="A487" s="8">
        <f>ROW([2]!tbl_DPSAC[[#This Row],[Sl. No.]])-1</f>
        <v>486</v>
      </c>
      <c r="B487" s="9" t="s">
        <v>136</v>
      </c>
      <c r="C487" s="8" t="s">
        <v>2613</v>
      </c>
      <c r="D487" s="8" t="s">
        <v>2439</v>
      </c>
      <c r="E487" s="8" t="s">
        <v>2440</v>
      </c>
      <c r="F487" s="9" t="s">
        <v>161</v>
      </c>
      <c r="G487" s="23" t="s">
        <v>2603</v>
      </c>
      <c r="H487" s="10" t="s">
        <v>2604</v>
      </c>
      <c r="I487" s="23"/>
      <c r="J487" s="10">
        <v>8765754628</v>
      </c>
      <c r="K487" s="10" t="str">
        <f>_xlfn.XLOOKUP(C487,'[1]E&amp;DPSAC'!$K:$K,'[1]E&amp;DPSAC'!$G:$G,"",0)</f>
        <v/>
      </c>
      <c r="L487" s="9" t="str">
        <f t="shared" ref="L487:L488" ca="1" si="30">IF(O487&gt;=TODAY(),"Warranty","Non - Warranty")</f>
        <v>Warranty</v>
      </c>
      <c r="M487" s="13">
        <v>46004</v>
      </c>
      <c r="N487" s="12">
        <v>24</v>
      </c>
      <c r="O487" s="11">
        <f t="shared" ref="O487:O488" si="31">EOMONTH(DATE(YEAR(M487)+SUM(N487/12),MONTH(M487),DAY(M487))-1,0)</f>
        <v>46752</v>
      </c>
      <c r="P487" s="8" t="s">
        <v>213</v>
      </c>
      <c r="Q487" s="16" t="s">
        <v>2690</v>
      </c>
      <c r="R487" s="15">
        <v>46097.737106481502</v>
      </c>
      <c r="S487" s="14">
        <v>620</v>
      </c>
      <c r="T487" s="15" t="s">
        <v>143</v>
      </c>
      <c r="U487" s="14" t="s">
        <v>143</v>
      </c>
      <c r="V487" s="14">
        <v>640</v>
      </c>
      <c r="W487" s="17">
        <v>46107.617361111101</v>
      </c>
      <c r="X487" s="14" t="s">
        <v>2939</v>
      </c>
      <c r="Y487" s="14">
        <v>730</v>
      </c>
      <c r="Z487" s="14" t="s">
        <v>2692</v>
      </c>
      <c r="AA487" s="18">
        <v>15.262893518498458</v>
      </c>
      <c r="AB487" s="18" t="s">
        <v>2692</v>
      </c>
      <c r="AC487" s="8">
        <f>tbl_DPSAC[[#This Row],[Current Month Due Count]]</f>
        <v>0</v>
      </c>
      <c r="AD487" s="8">
        <f>tbl_DPSAC[[#This Row],[Next Month Due2]]</f>
        <v>0</v>
      </c>
      <c r="AE487" s="8"/>
      <c r="AF487" s="8">
        <v>4</v>
      </c>
      <c r="AG487" s="14">
        <f t="shared" ca="1" si="28"/>
        <v>662</v>
      </c>
      <c r="AH487" s="8"/>
      <c r="AI487" s="8"/>
      <c r="AJ487" s="8"/>
      <c r="AK487" s="8"/>
      <c r="AL487" s="8"/>
      <c r="AM487" s="8"/>
      <c r="AN487" s="8"/>
      <c r="AO487" s="8"/>
      <c r="AP487" s="8"/>
      <c r="AQ487" s="8"/>
      <c r="AR487" s="8"/>
      <c r="AS487" s="8"/>
      <c r="AT487" s="8"/>
      <c r="AU487" s="8"/>
      <c r="AV487" s="8"/>
      <c r="AW487" s="8"/>
      <c r="AX487" s="8" t="s">
        <v>2007</v>
      </c>
      <c r="AY487" s="14">
        <v>620</v>
      </c>
      <c r="AZ487" s="19">
        <v>46097</v>
      </c>
      <c r="BA487" s="14" t="s">
        <v>2690</v>
      </c>
      <c r="BB487" s="14">
        <v>1</v>
      </c>
      <c r="BC487" s="19">
        <v>46004</v>
      </c>
      <c r="BD487" s="14" t="s">
        <v>2614</v>
      </c>
      <c r="BE487" s="14">
        <v>620</v>
      </c>
      <c r="BF487" s="19">
        <v>46097</v>
      </c>
      <c r="BG487" s="14" t="s">
        <v>2690</v>
      </c>
      <c r="BH487" s="14">
        <v>1</v>
      </c>
      <c r="BI487" s="19">
        <v>46004</v>
      </c>
      <c r="BJ487" s="14" t="s">
        <v>2614</v>
      </c>
      <c r="BK487" s="14">
        <v>1</v>
      </c>
      <c r="BL487" s="19">
        <v>46004</v>
      </c>
      <c r="BM487" s="14" t="s">
        <v>2614</v>
      </c>
      <c r="BN487" s="27">
        <v>46277</v>
      </c>
      <c r="BO487" s="27">
        <v>46184</v>
      </c>
      <c r="BP487" s="27">
        <v>46277</v>
      </c>
      <c r="BQ487" s="27">
        <v>46184</v>
      </c>
      <c r="BR487" s="27">
        <v>46369</v>
      </c>
      <c r="BS487" s="28">
        <v>708</v>
      </c>
      <c r="BT487" s="29">
        <v>839</v>
      </c>
      <c r="BU487" s="29">
        <v>708</v>
      </c>
      <c r="BV487" s="29">
        <v>89</v>
      </c>
      <c r="BW487" s="29">
        <v>839</v>
      </c>
      <c r="BX487" s="8"/>
      <c r="BY487" s="8">
        <v>0</v>
      </c>
      <c r="BZ487" s="8">
        <v>0</v>
      </c>
      <c r="CA487" s="8">
        <v>0</v>
      </c>
      <c r="CB487" s="21" t="s">
        <v>143</v>
      </c>
      <c r="CC487" s="21" t="s">
        <v>143</v>
      </c>
      <c r="CD487" s="21" t="s">
        <v>143</v>
      </c>
      <c r="CE487" s="21" t="s">
        <v>143</v>
      </c>
      <c r="CF487" s="21" t="s">
        <v>143</v>
      </c>
      <c r="CG487" s="21" t="s">
        <v>143</v>
      </c>
      <c r="CH487" s="21" t="s">
        <v>143</v>
      </c>
      <c r="CI487" s="21" t="s">
        <v>143</v>
      </c>
      <c r="CJ487" s="21" t="s">
        <v>143</v>
      </c>
      <c r="CK487" s="22" t="s">
        <v>143</v>
      </c>
      <c r="CL487" s="22" t="s">
        <v>143</v>
      </c>
      <c r="CM487" s="22" t="s">
        <v>143</v>
      </c>
      <c r="CN487" s="22" t="s">
        <v>143</v>
      </c>
      <c r="CO487" s="22" t="s">
        <v>143</v>
      </c>
      <c r="CP487" s="22" t="s">
        <v>143</v>
      </c>
      <c r="CQ487" s="22" t="s">
        <v>143</v>
      </c>
      <c r="CR487" s="22" t="s">
        <v>143</v>
      </c>
      <c r="CS487" s="22" t="s">
        <v>143</v>
      </c>
      <c r="CT487" s="22" t="s">
        <v>143</v>
      </c>
      <c r="CU487" s="21" t="s">
        <v>143</v>
      </c>
      <c r="CV487" s="21" t="s">
        <v>143</v>
      </c>
      <c r="CW487" s="21" t="s">
        <v>143</v>
      </c>
      <c r="CX487" s="21" t="s">
        <v>143</v>
      </c>
      <c r="CY487" s="21" t="s">
        <v>143</v>
      </c>
      <c r="CZ487" s="21" t="s">
        <v>143</v>
      </c>
      <c r="DA487" s="21" t="s">
        <v>143</v>
      </c>
      <c r="DB487" s="21" t="s">
        <v>143</v>
      </c>
      <c r="DC487" s="21" t="s">
        <v>143</v>
      </c>
      <c r="DD487" s="8" t="s">
        <v>143</v>
      </c>
      <c r="DE487" s="8" t="s">
        <v>143</v>
      </c>
      <c r="DF487" s="8" t="s">
        <v>143</v>
      </c>
      <c r="DG487" s="8">
        <v>0</v>
      </c>
      <c r="DH487" s="8">
        <v>0</v>
      </c>
      <c r="DI487" s="8">
        <v>0</v>
      </c>
      <c r="DJ487" s="8" t="s">
        <v>2976</v>
      </c>
      <c r="DK487" s="21">
        <v>46004</v>
      </c>
      <c r="DL487" s="21">
        <v>45989.229166666664</v>
      </c>
      <c r="DM487" s="21">
        <v>46111</v>
      </c>
      <c r="DN487" s="18">
        <v>680</v>
      </c>
      <c r="DO487" s="21">
        <v>0</v>
      </c>
      <c r="DP487" s="21">
        <v>0</v>
      </c>
      <c r="DQ487" s="21" t="s">
        <v>2955</v>
      </c>
      <c r="DR487" s="21">
        <v>46097</v>
      </c>
      <c r="DS487" s="21">
        <v>46097</v>
      </c>
      <c r="DT487" s="21">
        <v>46097</v>
      </c>
      <c r="DU487" s="21">
        <v>46097</v>
      </c>
      <c r="DV487" s="21">
        <v>46004</v>
      </c>
      <c r="DW487" s="21">
        <v>46004</v>
      </c>
      <c r="DX487" s="21">
        <v>46004</v>
      </c>
      <c r="DY487" s="21">
        <v>46004</v>
      </c>
      <c r="DZ487" s="21">
        <v>46004</v>
      </c>
      <c r="EA487" s="8">
        <v>180</v>
      </c>
      <c r="EB487" s="8">
        <v>730</v>
      </c>
      <c r="EC487" s="8">
        <v>730</v>
      </c>
      <c r="ED487" s="8">
        <v>730</v>
      </c>
      <c r="EE487" s="8">
        <v>1360</v>
      </c>
      <c r="EF487" s="8">
        <v>1360</v>
      </c>
      <c r="EG487" s="8">
        <v>1000</v>
      </c>
      <c r="EH487" s="8">
        <v>1360</v>
      </c>
      <c r="EI487" s="8">
        <v>1360</v>
      </c>
      <c r="EJ487" s="8">
        <v>4</v>
      </c>
      <c r="EK487" s="8" t="s">
        <v>2624</v>
      </c>
      <c r="EL487" s="8">
        <v>5</v>
      </c>
      <c r="EM487" s="8">
        <v>20</v>
      </c>
      <c r="EN487" s="8">
        <v>-108</v>
      </c>
      <c r="EO487" s="8">
        <v>442</v>
      </c>
      <c r="EP487" s="8">
        <v>442</v>
      </c>
      <c r="EQ487" s="8">
        <v>442</v>
      </c>
      <c r="ER487" s="8">
        <v>1072</v>
      </c>
      <c r="ES487" s="8">
        <v>1072</v>
      </c>
      <c r="ET487" s="8">
        <v>712</v>
      </c>
      <c r="EU487" s="8">
        <v>1072</v>
      </c>
      <c r="EV487" s="8">
        <v>1072</v>
      </c>
    </row>
    <row r="488" spans="1:152" x14ac:dyDescent="0.15">
      <c r="A488" s="8">
        <f>ROW([2]!tbl_DPSAC[[#This Row],[Sl. No.]])-1</f>
        <v>487</v>
      </c>
      <c r="B488" s="9" t="s">
        <v>136</v>
      </c>
      <c r="C488" s="8" t="s">
        <v>2615</v>
      </c>
      <c r="D488" s="8" t="s">
        <v>2439</v>
      </c>
      <c r="E488" s="8" t="s">
        <v>2440</v>
      </c>
      <c r="F488" s="9" t="s">
        <v>161</v>
      </c>
      <c r="G488" s="23" t="s">
        <v>2603</v>
      </c>
      <c r="H488" s="10" t="s">
        <v>2604</v>
      </c>
      <c r="I488" s="23"/>
      <c r="J488" s="10">
        <v>8765754628</v>
      </c>
      <c r="K488" s="10" t="str">
        <f>_xlfn.XLOOKUP(C488,'[1]E&amp;DPSAC'!$K:$K,'[1]E&amp;DPSAC'!$G:$G,"",0)</f>
        <v/>
      </c>
      <c r="L488" s="9" t="str">
        <f t="shared" ca="1" si="30"/>
        <v>Warranty</v>
      </c>
      <c r="M488" s="13">
        <v>45995</v>
      </c>
      <c r="N488" s="12">
        <v>24</v>
      </c>
      <c r="O488" s="11">
        <f t="shared" si="31"/>
        <v>46752</v>
      </c>
      <c r="P488" s="8" t="s">
        <v>213</v>
      </c>
      <c r="Q488" s="16" t="s">
        <v>143</v>
      </c>
      <c r="R488" s="15" t="s">
        <v>143</v>
      </c>
      <c r="S488" s="14" t="s">
        <v>143</v>
      </c>
      <c r="T488" s="15" t="s">
        <v>143</v>
      </c>
      <c r="U488" s="14" t="s">
        <v>143</v>
      </c>
      <c r="V488" s="14">
        <v>0</v>
      </c>
      <c r="W488" s="17">
        <v>46087.607870370397</v>
      </c>
      <c r="X488" s="14" t="s">
        <v>143</v>
      </c>
      <c r="Y488" s="14">
        <v>0</v>
      </c>
      <c r="Z488" s="14" t="s">
        <v>2692</v>
      </c>
      <c r="AA488" s="18">
        <v>118</v>
      </c>
      <c r="AB488" s="18" t="s">
        <v>2692</v>
      </c>
      <c r="AC488" s="8">
        <f>tbl_DPSAC[[#This Row],[Current Month Due Count]]</f>
        <v>0</v>
      </c>
      <c r="AD488" s="8">
        <f>tbl_DPSAC[[#This Row],[Next Month Due2]]</f>
        <v>0</v>
      </c>
      <c r="AE488" s="8"/>
      <c r="AF488" s="8">
        <v>4</v>
      </c>
      <c r="AG488" s="14" t="str">
        <f t="shared" ca="1" si="28"/>
        <v/>
      </c>
      <c r="AH488" s="8"/>
      <c r="AI488" s="8"/>
      <c r="AJ488" s="8"/>
      <c r="AK488" s="8"/>
      <c r="AL488" s="8"/>
      <c r="AM488" s="8"/>
      <c r="AN488" s="8"/>
      <c r="AO488" s="8"/>
      <c r="AP488" s="8"/>
      <c r="AQ488" s="8"/>
      <c r="AR488" s="8"/>
      <c r="AS488" s="8"/>
      <c r="AT488" s="8"/>
      <c r="AU488" s="8"/>
      <c r="AV488" s="8"/>
      <c r="AW488" s="8"/>
      <c r="AX488" s="8" t="s">
        <v>2007</v>
      </c>
      <c r="AY488" s="14">
        <v>1</v>
      </c>
      <c r="AZ488" s="19">
        <v>46029</v>
      </c>
      <c r="BA488" s="14" t="s">
        <v>2616</v>
      </c>
      <c r="BB488" s="14">
        <v>1</v>
      </c>
      <c r="BC488" s="19">
        <v>46029</v>
      </c>
      <c r="BD488" s="14" t="s">
        <v>2616</v>
      </c>
      <c r="BE488" s="14">
        <v>1</v>
      </c>
      <c r="BF488" s="19">
        <v>46029</v>
      </c>
      <c r="BG488" s="14" t="s">
        <v>2616</v>
      </c>
      <c r="BH488" s="14">
        <v>1</v>
      </c>
      <c r="BI488" s="19">
        <v>46029</v>
      </c>
      <c r="BJ488" s="14" t="s">
        <v>2616</v>
      </c>
      <c r="BK488" s="14">
        <v>1</v>
      </c>
      <c r="BL488" s="19">
        <v>46029</v>
      </c>
      <c r="BM488" s="14" t="s">
        <v>2616</v>
      </c>
      <c r="BN488" s="27">
        <v>46209</v>
      </c>
      <c r="BO488" s="27">
        <v>46209</v>
      </c>
      <c r="BP488" s="27">
        <v>46209</v>
      </c>
      <c r="BQ488" s="27">
        <v>46209</v>
      </c>
      <c r="BR488" s="27">
        <v>46394</v>
      </c>
      <c r="BS488" s="28" t="s">
        <v>143</v>
      </c>
      <c r="BT488" s="29" t="s">
        <v>143</v>
      </c>
      <c r="BU488" s="29" t="s">
        <v>143</v>
      </c>
      <c r="BV488" s="29" t="s">
        <v>143</v>
      </c>
      <c r="BW488" s="29" t="s">
        <v>143</v>
      </c>
      <c r="BX488" s="8"/>
      <c r="BY488" s="8">
        <v>0</v>
      </c>
      <c r="BZ488" s="8">
        <v>0</v>
      </c>
      <c r="CA488" s="8">
        <v>0</v>
      </c>
      <c r="CB488" s="21" t="s">
        <v>143</v>
      </c>
      <c r="CC488" s="21" t="s">
        <v>143</v>
      </c>
      <c r="CD488" s="21" t="s">
        <v>143</v>
      </c>
      <c r="CE488" s="21" t="s">
        <v>143</v>
      </c>
      <c r="CF488" s="21" t="s">
        <v>143</v>
      </c>
      <c r="CG488" s="21" t="s">
        <v>143</v>
      </c>
      <c r="CH488" s="21" t="s">
        <v>143</v>
      </c>
      <c r="CI488" s="21" t="s">
        <v>143</v>
      </c>
      <c r="CJ488" s="21" t="s">
        <v>143</v>
      </c>
      <c r="CK488" s="22" t="s">
        <v>143</v>
      </c>
      <c r="CL488" s="22" t="s">
        <v>143</v>
      </c>
      <c r="CM488" s="22" t="s">
        <v>143</v>
      </c>
      <c r="CN488" s="22" t="s">
        <v>143</v>
      </c>
      <c r="CO488" s="22" t="s">
        <v>143</v>
      </c>
      <c r="CP488" s="22" t="s">
        <v>143</v>
      </c>
      <c r="CQ488" s="22" t="s">
        <v>143</v>
      </c>
      <c r="CR488" s="22" t="s">
        <v>143</v>
      </c>
      <c r="CS488" s="22" t="s">
        <v>143</v>
      </c>
      <c r="CT488" s="22" t="s">
        <v>143</v>
      </c>
      <c r="CU488" s="21" t="s">
        <v>143</v>
      </c>
      <c r="CV488" s="21" t="s">
        <v>143</v>
      </c>
      <c r="CW488" s="21" t="s">
        <v>143</v>
      </c>
      <c r="CX488" s="21" t="s">
        <v>143</v>
      </c>
      <c r="CY488" s="21" t="s">
        <v>143</v>
      </c>
      <c r="CZ488" s="21" t="s">
        <v>143</v>
      </c>
      <c r="DA488" s="21" t="s">
        <v>143</v>
      </c>
      <c r="DB488" s="21" t="s">
        <v>143</v>
      </c>
      <c r="DC488" s="21" t="s">
        <v>143</v>
      </c>
      <c r="DD488" s="8" t="s">
        <v>143</v>
      </c>
      <c r="DE488" s="8" t="s">
        <v>143</v>
      </c>
      <c r="DF488" s="8" t="s">
        <v>143</v>
      </c>
      <c r="DG488" s="8">
        <v>0</v>
      </c>
      <c r="DH488" s="8">
        <v>0</v>
      </c>
      <c r="DI488" s="8">
        <v>0</v>
      </c>
      <c r="DJ488" s="8" t="s">
        <v>2976</v>
      </c>
      <c r="DK488" s="21">
        <v>46029</v>
      </c>
      <c r="DL488" s="21">
        <v>46021.229166666664</v>
      </c>
      <c r="DM488" s="21">
        <v>46087</v>
      </c>
      <c r="DN488" s="18">
        <v>75</v>
      </c>
      <c r="DO488" s="21">
        <v>0</v>
      </c>
      <c r="DP488" s="21">
        <v>0</v>
      </c>
      <c r="DQ488" s="21" t="s">
        <v>3049</v>
      </c>
      <c r="DR488" s="21">
        <v>46029</v>
      </c>
      <c r="DS488" s="21">
        <v>46029</v>
      </c>
      <c r="DT488" s="21">
        <v>46029</v>
      </c>
      <c r="DU488" s="21">
        <v>46029</v>
      </c>
      <c r="DV488" s="21">
        <v>46029</v>
      </c>
      <c r="DW488" s="21">
        <v>46029</v>
      </c>
      <c r="DX488" s="21">
        <v>46029</v>
      </c>
      <c r="DY488" s="21">
        <v>46029</v>
      </c>
      <c r="DZ488" s="21">
        <v>46029</v>
      </c>
      <c r="EA488" s="8">
        <v>425</v>
      </c>
      <c r="EB488" s="8">
        <v>425</v>
      </c>
      <c r="EC488" s="8">
        <v>425</v>
      </c>
      <c r="ED488" s="8">
        <v>425</v>
      </c>
      <c r="EE488" s="8">
        <v>425</v>
      </c>
      <c r="EF488" s="8">
        <v>1425</v>
      </c>
      <c r="EG488" s="8">
        <v>957</v>
      </c>
      <c r="EH488" s="8">
        <v>1425</v>
      </c>
      <c r="EI488" s="8">
        <v>2925</v>
      </c>
      <c r="EJ488" s="8">
        <v>4</v>
      </c>
      <c r="EK488" s="8" t="s">
        <v>2624</v>
      </c>
      <c r="EL488" s="8">
        <v>25</v>
      </c>
      <c r="EM488" s="8">
        <v>100</v>
      </c>
      <c r="EN488" s="8">
        <v>137</v>
      </c>
      <c r="EO488" s="8">
        <v>137</v>
      </c>
      <c r="EP488" s="8">
        <v>137</v>
      </c>
      <c r="EQ488" s="8">
        <v>137</v>
      </c>
      <c r="ER488" s="8">
        <v>137</v>
      </c>
      <c r="ES488" s="8">
        <v>1137</v>
      </c>
      <c r="ET488" s="8">
        <v>669</v>
      </c>
      <c r="EU488" s="8">
        <v>1137</v>
      </c>
      <c r="EV488" s="8">
        <v>2637</v>
      </c>
    </row>
    <row r="489" spans="1:152" x14ac:dyDescent="0.15">
      <c r="A489" s="8">
        <f>ROW([2]!tbl_DPSAC[[#This Row],[Sl. No.]])-1</f>
        <v>488</v>
      </c>
      <c r="B489" s="9" t="s">
        <v>136</v>
      </c>
      <c r="C489" s="8" t="s">
        <v>2617</v>
      </c>
      <c r="D489" s="8" t="s">
        <v>1491</v>
      </c>
      <c r="E489" s="8" t="s">
        <v>1492</v>
      </c>
      <c r="F489" s="9" t="s">
        <v>161</v>
      </c>
      <c r="G489" s="23" t="s">
        <v>1690</v>
      </c>
      <c r="H489" s="10" t="s">
        <v>2611</v>
      </c>
      <c r="I489" s="23"/>
      <c r="J489" s="10">
        <v>92639969999</v>
      </c>
      <c r="K489" s="10" t="str">
        <f>_xlfn.XLOOKUP(C489,'[1]E&amp;DPSAC'!$K:$K,'[1]E&amp;DPSAC'!$G:$G,"",0)</f>
        <v/>
      </c>
      <c r="L489" s="9" t="str">
        <f ca="1">IF(O489&gt;=TODAY(),"Warranty","Non - Warranty")</f>
        <v>Warranty</v>
      </c>
      <c r="M489" s="13">
        <v>46087</v>
      </c>
      <c r="N489" s="12">
        <v>24</v>
      </c>
      <c r="O489" s="11">
        <f>EOMONTH(DATE(YEAR(M489)+SUM(N489/12),MONTH(M489),DAY(M489))-1,0)</f>
        <v>46843</v>
      </c>
      <c r="P489" s="8" t="s">
        <v>213</v>
      </c>
      <c r="Q489" s="16" t="s">
        <v>143</v>
      </c>
      <c r="R489" s="15" t="s">
        <v>143</v>
      </c>
      <c r="S489" s="14" t="s">
        <v>143</v>
      </c>
      <c r="T489" s="15" t="s">
        <v>143</v>
      </c>
      <c r="U489" s="14" t="s">
        <v>143</v>
      </c>
      <c r="V489" s="14">
        <v>80</v>
      </c>
      <c r="W489" s="17">
        <v>46107.621886574103</v>
      </c>
      <c r="X489" s="14" t="s">
        <v>143</v>
      </c>
      <c r="Y489" s="14">
        <v>0</v>
      </c>
      <c r="Z489" s="14" t="s">
        <v>2692</v>
      </c>
      <c r="AA489" s="18">
        <v>26</v>
      </c>
      <c r="AB489" s="18" t="s">
        <v>2692</v>
      </c>
      <c r="AC489" s="8"/>
      <c r="AD489" s="8">
        <f>IF(Z489="Due",1,0)</f>
        <v>0</v>
      </c>
      <c r="AE489" s="8"/>
      <c r="AF489" s="8">
        <v>6</v>
      </c>
      <c r="AG489" s="14">
        <f t="shared" ca="1" si="28"/>
        <v>112</v>
      </c>
      <c r="AH489" s="8"/>
      <c r="AI489" s="8"/>
      <c r="AJ489" s="8"/>
      <c r="AK489" s="8"/>
      <c r="AL489" s="8"/>
      <c r="AM489" s="8"/>
      <c r="AN489" s="8"/>
      <c r="AO489" s="8"/>
      <c r="AP489" s="8"/>
      <c r="AQ489" s="8"/>
      <c r="AR489" s="8"/>
      <c r="AS489" s="8"/>
      <c r="AT489" s="8"/>
      <c r="AU489" s="8"/>
      <c r="AV489" s="8"/>
      <c r="AW489" s="8"/>
      <c r="AX489" s="8" t="s">
        <v>2007</v>
      </c>
      <c r="AY489" s="14">
        <v>1</v>
      </c>
      <c r="AZ489" s="19">
        <v>46087</v>
      </c>
      <c r="BA489" s="14" t="s">
        <v>2618</v>
      </c>
      <c r="BB489" s="14">
        <v>1</v>
      </c>
      <c r="BC489" s="19">
        <v>46087</v>
      </c>
      <c r="BD489" s="14" t="s">
        <v>2618</v>
      </c>
      <c r="BE489" s="14">
        <v>1</v>
      </c>
      <c r="BF489" s="19">
        <v>46087</v>
      </c>
      <c r="BG489" s="14" t="s">
        <v>2618</v>
      </c>
      <c r="BH489" s="14">
        <v>1</v>
      </c>
      <c r="BI489" s="19">
        <v>46087</v>
      </c>
      <c r="BJ489" s="14" t="s">
        <v>2618</v>
      </c>
      <c r="BK489" s="14">
        <v>1</v>
      </c>
      <c r="BL489" s="19">
        <v>46087</v>
      </c>
      <c r="BM489" s="14" t="s">
        <v>2618</v>
      </c>
      <c r="BN489" s="27">
        <v>46267</v>
      </c>
      <c r="BO489" s="27">
        <v>46267</v>
      </c>
      <c r="BP489" s="27">
        <v>46267</v>
      </c>
      <c r="BQ489" s="27">
        <v>46267</v>
      </c>
      <c r="BR489" s="27">
        <v>46452</v>
      </c>
      <c r="BS489" s="28">
        <v>639</v>
      </c>
      <c r="BT489" s="29">
        <v>1389</v>
      </c>
      <c r="BU489" s="29">
        <v>639</v>
      </c>
      <c r="BV489" s="29">
        <v>639</v>
      </c>
      <c r="BW489" s="29">
        <v>1389</v>
      </c>
      <c r="BX489" s="8"/>
      <c r="BY489" s="8">
        <v>0</v>
      </c>
      <c r="BZ489" s="8">
        <v>0</v>
      </c>
      <c r="CA489" s="8">
        <v>0</v>
      </c>
      <c r="CB489" s="8" t="s">
        <v>143</v>
      </c>
      <c r="CC489" s="8" t="s">
        <v>143</v>
      </c>
      <c r="CD489" s="8" t="s">
        <v>143</v>
      </c>
      <c r="CE489" s="8" t="s">
        <v>143</v>
      </c>
      <c r="CF489" s="8" t="s">
        <v>143</v>
      </c>
      <c r="CG489" s="8" t="s">
        <v>143</v>
      </c>
      <c r="CH489" s="8" t="s">
        <v>143</v>
      </c>
      <c r="CI489" s="8" t="s">
        <v>143</v>
      </c>
      <c r="CJ489" s="8" t="s">
        <v>143</v>
      </c>
      <c r="CK489" s="8" t="s">
        <v>143</v>
      </c>
      <c r="CL489" s="8" t="s">
        <v>143</v>
      </c>
      <c r="CM489" s="8" t="s">
        <v>143</v>
      </c>
      <c r="CN489" s="8" t="s">
        <v>143</v>
      </c>
      <c r="CO489" s="8" t="s">
        <v>143</v>
      </c>
      <c r="CP489" s="8" t="s">
        <v>143</v>
      </c>
      <c r="CQ489" s="8" t="s">
        <v>143</v>
      </c>
      <c r="CR489" s="8" t="s">
        <v>143</v>
      </c>
      <c r="CS489" s="8" t="s">
        <v>143</v>
      </c>
      <c r="CT489" s="8" t="s">
        <v>143</v>
      </c>
      <c r="CU489" s="8" t="s">
        <v>143</v>
      </c>
      <c r="CV489" s="8" t="s">
        <v>143</v>
      </c>
      <c r="CW489" s="8" t="s">
        <v>143</v>
      </c>
      <c r="CX489" s="8" t="s">
        <v>143</v>
      </c>
      <c r="CY489" s="8" t="s">
        <v>143</v>
      </c>
      <c r="CZ489" s="8" t="s">
        <v>143</v>
      </c>
      <c r="DA489" s="8" t="s">
        <v>143</v>
      </c>
      <c r="DB489" s="8" t="s">
        <v>143</v>
      </c>
      <c r="DC489" s="8" t="s">
        <v>143</v>
      </c>
      <c r="DD489" s="8" t="s">
        <v>143</v>
      </c>
      <c r="DE489" s="8" t="s">
        <v>143</v>
      </c>
      <c r="DF489" s="8" t="s">
        <v>143</v>
      </c>
      <c r="DG489" s="8">
        <v>0</v>
      </c>
      <c r="DH489" s="8">
        <v>0</v>
      </c>
      <c r="DI489" s="8">
        <v>0</v>
      </c>
      <c r="DJ489" s="8" t="s">
        <v>2976</v>
      </c>
      <c r="DK489" s="21">
        <v>46087</v>
      </c>
      <c r="DL489" s="21">
        <v>46053.229166666664</v>
      </c>
      <c r="DM489" s="21">
        <v>46107</v>
      </c>
      <c r="DN489" s="18">
        <v>80</v>
      </c>
      <c r="DO489" s="21">
        <v>0</v>
      </c>
      <c r="DP489" s="21">
        <v>0</v>
      </c>
      <c r="DQ489" s="21" t="s">
        <v>3049</v>
      </c>
      <c r="DR489" s="21">
        <v>46087</v>
      </c>
      <c r="DS489" s="21">
        <v>46087</v>
      </c>
      <c r="DT489" s="21">
        <v>46087</v>
      </c>
      <c r="DU489" s="21">
        <v>46087</v>
      </c>
      <c r="DV489" s="21">
        <v>46087</v>
      </c>
      <c r="DW489" s="21">
        <v>46087</v>
      </c>
      <c r="DX489" s="21">
        <v>46087</v>
      </c>
      <c r="DY489" s="21">
        <v>46087</v>
      </c>
      <c r="DZ489" s="21">
        <v>46087</v>
      </c>
      <c r="EA489" s="8">
        <v>420</v>
      </c>
      <c r="EB489" s="8">
        <v>420</v>
      </c>
      <c r="EC489" s="8">
        <v>420</v>
      </c>
      <c r="ED489" s="8">
        <v>420</v>
      </c>
      <c r="EE489" s="8">
        <v>420</v>
      </c>
      <c r="EF489" s="8">
        <v>1420</v>
      </c>
      <c r="EG489" s="8">
        <v>920</v>
      </c>
      <c r="EH489" s="8">
        <v>1420</v>
      </c>
      <c r="EI489" s="8">
        <v>2920</v>
      </c>
      <c r="EJ489" s="8">
        <v>4</v>
      </c>
      <c r="EK489" s="8" t="s">
        <v>2624</v>
      </c>
      <c r="EL489" s="8">
        <v>5</v>
      </c>
      <c r="EM489" s="8">
        <v>30</v>
      </c>
      <c r="EN489" s="8">
        <v>132</v>
      </c>
      <c r="EO489" s="8">
        <v>132</v>
      </c>
      <c r="EP489" s="8">
        <v>132</v>
      </c>
      <c r="EQ489" s="8">
        <v>132</v>
      </c>
      <c r="ER489" s="8">
        <v>132</v>
      </c>
      <c r="ES489" s="8">
        <v>1132</v>
      </c>
      <c r="ET489" s="8">
        <v>632</v>
      </c>
      <c r="EU489" s="8">
        <v>1132</v>
      </c>
      <c r="EV489" s="8">
        <v>2632</v>
      </c>
    </row>
    <row r="490" spans="1:152" x14ac:dyDescent="0.15">
      <c r="A490" s="8">
        <f>ROW([2]!tbl_DPSAC[[#This Row],[Sl. No.]])-1</f>
        <v>489</v>
      </c>
      <c r="B490" s="9" t="s">
        <v>136</v>
      </c>
      <c r="C490" s="8" t="s">
        <v>2619</v>
      </c>
      <c r="D490" s="8" t="s">
        <v>1491</v>
      </c>
      <c r="E490" s="8" t="s">
        <v>1492</v>
      </c>
      <c r="F490" s="9" t="s">
        <v>161</v>
      </c>
      <c r="G490" s="23" t="s">
        <v>2620</v>
      </c>
      <c r="H490" s="10" t="s">
        <v>2621</v>
      </c>
      <c r="I490" s="23"/>
      <c r="J490" s="10">
        <v>9542195885</v>
      </c>
      <c r="K490" s="10" t="str">
        <f>_xlfn.XLOOKUP(C490,'[1]E&amp;DPSAC'!$K:$K,'[1]E&amp;DPSAC'!$G:$G,"",0)</f>
        <v/>
      </c>
      <c r="L490" s="9" t="str">
        <f ca="1">IF(O490&gt;=TODAY(),"Warranty","Non - Warranty")</f>
        <v>Warranty</v>
      </c>
      <c r="M490" s="13">
        <v>46093</v>
      </c>
      <c r="N490" s="12">
        <v>24</v>
      </c>
      <c r="O490" s="11">
        <f>EOMONTH(DATE(YEAR(M490)+SUM(N490/12),MONTH(M490),DAY(M490))-1,0)</f>
        <v>46843</v>
      </c>
      <c r="P490" s="8" t="s">
        <v>213</v>
      </c>
      <c r="Q490" s="16" t="s">
        <v>143</v>
      </c>
      <c r="R490" s="15" t="s">
        <v>143</v>
      </c>
      <c r="S490" s="14" t="s">
        <v>143</v>
      </c>
      <c r="T490" s="15" t="s">
        <v>143</v>
      </c>
      <c r="U490" s="14" t="s">
        <v>143</v>
      </c>
      <c r="V490" s="14">
        <v>40</v>
      </c>
      <c r="W490" s="17">
        <v>46107.626273148097</v>
      </c>
      <c r="X490" s="14" t="s">
        <v>143</v>
      </c>
      <c r="Y490" s="14">
        <v>0</v>
      </c>
      <c r="Z490" s="14" t="s">
        <v>2692</v>
      </c>
      <c r="AA490" s="18">
        <v>20</v>
      </c>
      <c r="AB490" s="18" t="s">
        <v>2692</v>
      </c>
      <c r="AC490" s="8"/>
      <c r="AD490" s="8">
        <f>IF(Z490="Due",1,0)</f>
        <v>0</v>
      </c>
      <c r="AE490" s="8"/>
      <c r="AF490" s="8">
        <v>6</v>
      </c>
      <c r="AG490" s="14">
        <f t="shared" ca="1" si="28"/>
        <v>72</v>
      </c>
      <c r="AH490" s="8"/>
      <c r="AI490" s="8"/>
      <c r="AJ490" s="8"/>
      <c r="AK490" s="8"/>
      <c r="AL490" s="8"/>
      <c r="AM490" s="8"/>
      <c r="AN490" s="8"/>
      <c r="AO490" s="8"/>
      <c r="AP490" s="8"/>
      <c r="AQ490" s="8"/>
      <c r="AR490" s="8"/>
      <c r="AS490" s="8"/>
      <c r="AT490" s="8"/>
      <c r="AU490" s="8"/>
      <c r="AV490" s="8"/>
      <c r="AW490" s="8"/>
      <c r="AX490" s="8" t="s">
        <v>2007</v>
      </c>
      <c r="AY490" s="14">
        <v>1</v>
      </c>
      <c r="AZ490" s="19">
        <v>46093</v>
      </c>
      <c r="BA490" s="14" t="s">
        <v>2622</v>
      </c>
      <c r="BB490" s="14">
        <v>1</v>
      </c>
      <c r="BC490" s="19">
        <v>46093</v>
      </c>
      <c r="BD490" s="14" t="s">
        <v>2622</v>
      </c>
      <c r="BE490" s="14">
        <v>1</v>
      </c>
      <c r="BF490" s="19">
        <v>46093</v>
      </c>
      <c r="BG490" s="14" t="s">
        <v>2622</v>
      </c>
      <c r="BH490" s="14">
        <v>1</v>
      </c>
      <c r="BI490" s="19">
        <v>46093</v>
      </c>
      <c r="BJ490" s="14" t="s">
        <v>2622</v>
      </c>
      <c r="BK490" s="14">
        <v>1</v>
      </c>
      <c r="BL490" s="19">
        <v>46093</v>
      </c>
      <c r="BM490" s="14" t="s">
        <v>2622</v>
      </c>
      <c r="BN490" s="27">
        <v>46273</v>
      </c>
      <c r="BO490" s="27">
        <v>46273</v>
      </c>
      <c r="BP490" s="27">
        <v>46273</v>
      </c>
      <c r="BQ490" s="27">
        <v>46273</v>
      </c>
      <c r="BR490" s="27">
        <v>46458</v>
      </c>
      <c r="BS490" s="28">
        <v>679</v>
      </c>
      <c r="BT490" s="29">
        <v>1429</v>
      </c>
      <c r="BU490" s="29">
        <v>679</v>
      </c>
      <c r="BV490" s="29">
        <v>679</v>
      </c>
      <c r="BW490" s="29">
        <v>1429</v>
      </c>
      <c r="BX490" s="8"/>
      <c r="BY490" s="8">
        <v>0</v>
      </c>
      <c r="BZ490" s="8">
        <v>0</v>
      </c>
      <c r="CA490" s="8">
        <v>0</v>
      </c>
      <c r="CB490" s="8" t="s">
        <v>143</v>
      </c>
      <c r="CC490" s="8" t="s">
        <v>143</v>
      </c>
      <c r="CD490" s="8" t="s">
        <v>143</v>
      </c>
      <c r="CE490" s="8" t="s">
        <v>143</v>
      </c>
      <c r="CF490" s="8" t="s">
        <v>143</v>
      </c>
      <c r="CG490" s="8" t="s">
        <v>143</v>
      </c>
      <c r="CH490" s="8" t="s">
        <v>143</v>
      </c>
      <c r="CI490" s="8" t="s">
        <v>143</v>
      </c>
      <c r="CJ490" s="8" t="s">
        <v>143</v>
      </c>
      <c r="CK490" s="8" t="s">
        <v>143</v>
      </c>
      <c r="CL490" s="8" t="s">
        <v>143</v>
      </c>
      <c r="CM490" s="8" t="s">
        <v>143</v>
      </c>
      <c r="CN490" s="8" t="s">
        <v>143</v>
      </c>
      <c r="CO490" s="8" t="s">
        <v>143</v>
      </c>
      <c r="CP490" s="8" t="s">
        <v>143</v>
      </c>
      <c r="CQ490" s="8" t="s">
        <v>143</v>
      </c>
      <c r="CR490" s="8" t="s">
        <v>143</v>
      </c>
      <c r="CS490" s="8" t="s">
        <v>143</v>
      </c>
      <c r="CT490" s="8" t="s">
        <v>143</v>
      </c>
      <c r="CU490" s="8" t="s">
        <v>143</v>
      </c>
      <c r="CV490" s="8" t="s">
        <v>143</v>
      </c>
      <c r="CW490" s="8" t="s">
        <v>143</v>
      </c>
      <c r="CX490" s="8" t="s">
        <v>143</v>
      </c>
      <c r="CY490" s="8" t="s">
        <v>143</v>
      </c>
      <c r="CZ490" s="8" t="s">
        <v>143</v>
      </c>
      <c r="DA490" s="8" t="s">
        <v>143</v>
      </c>
      <c r="DB490" s="8" t="s">
        <v>143</v>
      </c>
      <c r="DC490" s="8" t="s">
        <v>143</v>
      </c>
      <c r="DD490" s="8" t="s">
        <v>143</v>
      </c>
      <c r="DE490" s="8" t="s">
        <v>143</v>
      </c>
      <c r="DF490" s="8" t="s">
        <v>143</v>
      </c>
      <c r="DG490" s="8">
        <v>0</v>
      </c>
      <c r="DH490" s="8">
        <v>0</v>
      </c>
      <c r="DI490" s="8">
        <v>0</v>
      </c>
      <c r="DJ490" s="8" t="s">
        <v>2976</v>
      </c>
      <c r="DK490" s="21">
        <v>46093</v>
      </c>
      <c r="DL490" s="21">
        <v>45961.229166666664</v>
      </c>
      <c r="DM490" s="21">
        <v>46107</v>
      </c>
      <c r="DN490" s="18">
        <v>40</v>
      </c>
      <c r="DO490" s="8">
        <v>0</v>
      </c>
      <c r="DP490" s="8">
        <v>0</v>
      </c>
      <c r="DQ490" s="8" t="s">
        <v>3049</v>
      </c>
      <c r="DR490" s="21">
        <v>46093</v>
      </c>
      <c r="DS490" s="21">
        <v>46093</v>
      </c>
      <c r="DT490" s="21">
        <v>46093</v>
      </c>
      <c r="DU490" s="21">
        <v>46093</v>
      </c>
      <c r="DV490" s="21">
        <v>46093</v>
      </c>
      <c r="DW490" s="21">
        <v>46093</v>
      </c>
      <c r="DX490" s="21">
        <v>46093</v>
      </c>
      <c r="DY490" s="21">
        <v>46093</v>
      </c>
      <c r="DZ490" s="21">
        <v>46093</v>
      </c>
      <c r="EA490" s="8">
        <v>460</v>
      </c>
      <c r="EB490" s="8">
        <v>460</v>
      </c>
      <c r="EC490" s="8">
        <v>460</v>
      </c>
      <c r="ED490" s="8">
        <v>460</v>
      </c>
      <c r="EE490" s="8">
        <v>460</v>
      </c>
      <c r="EF490" s="8">
        <v>1460</v>
      </c>
      <c r="EG490" s="8">
        <v>960</v>
      </c>
      <c r="EH490" s="8">
        <v>1460</v>
      </c>
      <c r="EI490" s="8">
        <v>2960</v>
      </c>
      <c r="EJ490" s="8">
        <v>4</v>
      </c>
      <c r="EK490" s="8" t="s">
        <v>2624</v>
      </c>
      <c r="EL490" s="8">
        <v>5</v>
      </c>
      <c r="EM490" s="8">
        <v>30</v>
      </c>
      <c r="EN490" s="8">
        <v>172</v>
      </c>
      <c r="EO490" s="8">
        <v>172</v>
      </c>
      <c r="EP490" s="8">
        <v>172</v>
      </c>
      <c r="EQ490" s="8">
        <v>172</v>
      </c>
      <c r="ER490" s="8">
        <v>172</v>
      </c>
      <c r="ES490" s="8">
        <v>1172</v>
      </c>
      <c r="ET490" s="8">
        <v>672</v>
      </c>
      <c r="EU490" s="8">
        <v>1172</v>
      </c>
      <c r="EV490" s="8">
        <v>2672</v>
      </c>
    </row>
  </sheetData>
  <protectedRanges>
    <protectedRange sqref="BA1 BD1 BG1 BJ1 BN1:BW1" name="Range2_3_1"/>
  </protectedRanges>
  <conditionalFormatting sqref="C491:C1048576">
    <cfRule type="duplicateValues" dxfId="810" priority="366"/>
  </conditionalFormatting>
  <conditionalFormatting sqref="AC2:AW422 AH423:AW425 AC427:AW427 AI428:AK428 AC430:AW430 AC434:AG434 AJ434 AL434:AW434 AC446:AW446 AC456:AW456 AC459:AW459 AC465:AW465 AC467:AW467">
    <cfRule type="expression" dxfId="809" priority="1054">
      <formula>IF($P2="Shifted",TRUE,FALSE)</formula>
    </cfRule>
    <cfRule type="expression" dxfId="808" priority="1042">
      <formula>IF($P2="Closed","TRUE","FALSE")</formula>
    </cfRule>
    <cfRule type="expression" dxfId="807" priority="1043">
      <formula>IF($P2="Sold","TRUE","FALSE")</formula>
    </cfRule>
    <cfRule type="expression" dxfId="806" priority="1044">
      <formula>IF($P2="Scraped","TRUE","FALSE")</formula>
    </cfRule>
    <cfRule type="containsText" dxfId="805" priority="1050" operator="containsText" text="Due">
      <formula>NOT(ISERROR(SEARCH("Due",AC2)))</formula>
    </cfRule>
    <cfRule type="expression" dxfId="804" priority="1053">
      <formula>IF($P2="Scrap",TRUE,FALSE)</formula>
    </cfRule>
  </conditionalFormatting>
  <conditionalFormatting sqref="AH426">
    <cfRule type="expression" dxfId="803" priority="959">
      <formula>IF($P426="Closed","TRUE","FALSE")</formula>
    </cfRule>
    <cfRule type="expression" dxfId="802" priority="963">
      <formula>IF($P426="Scrap",TRUE,FALSE)</formula>
    </cfRule>
    <cfRule type="expression" dxfId="801" priority="964">
      <formula>IF($P426="Shifted",TRUE,FALSE)</formula>
    </cfRule>
    <cfRule type="containsText" dxfId="800" priority="962" operator="containsText" text="Due">
      <formula>NOT(ISERROR(SEARCH("Due",AH426)))</formula>
    </cfRule>
    <cfRule type="expression" dxfId="799" priority="961">
      <formula>IF($P426="Scraped","TRUE","FALSE")</formula>
    </cfRule>
    <cfRule type="expression" dxfId="798" priority="960">
      <formula>IF($P426="Sold","TRUE","FALSE")</formula>
    </cfRule>
  </conditionalFormatting>
  <conditionalFormatting sqref="AH428:AH429">
    <cfRule type="expression" dxfId="797" priority="393">
      <formula>IF($P428="Closed","TRUE","FALSE")</formula>
    </cfRule>
    <cfRule type="expression" dxfId="796" priority="394">
      <formula>IF($P428="Sold","TRUE","FALSE")</formula>
    </cfRule>
    <cfRule type="expression" dxfId="795" priority="395">
      <formula>IF($P428="Scraped","TRUE","FALSE")</formula>
    </cfRule>
    <cfRule type="containsText" dxfId="794" priority="396" operator="containsText" text="Due">
      <formula>NOT(ISERROR(SEARCH("Due",AH428)))</formula>
    </cfRule>
    <cfRule type="expression" dxfId="793" priority="397">
      <formula>IF($P428="Scrap",TRUE,FALSE)</formula>
    </cfRule>
    <cfRule type="expression" dxfId="792" priority="398">
      <formula>IF($P428="Shifted",TRUE,FALSE)</formula>
    </cfRule>
  </conditionalFormatting>
  <conditionalFormatting sqref="AH434:AH437">
    <cfRule type="expression" dxfId="791" priority="846">
      <formula>IF($P434="Sold","TRUE","FALSE")</formula>
    </cfRule>
    <cfRule type="containsText" dxfId="790" priority="848" operator="containsText" text="Due">
      <formula>NOT(ISERROR(SEARCH("Due",AH434)))</formula>
    </cfRule>
    <cfRule type="expression" dxfId="789" priority="849">
      <formula>IF($P434="Scrap",TRUE,FALSE)</formula>
    </cfRule>
    <cfRule type="expression" dxfId="788" priority="850">
      <formula>IF($P434="Shifted",TRUE,FALSE)</formula>
    </cfRule>
    <cfRule type="expression" dxfId="787" priority="845">
      <formula>IF($P434="Closed","TRUE","FALSE")</formula>
    </cfRule>
    <cfRule type="expression" dxfId="786" priority="847">
      <formula>IF($P434="Scraped","TRUE","FALSE")</formula>
    </cfRule>
  </conditionalFormatting>
  <conditionalFormatting sqref="AH440:AH442">
    <cfRule type="expression" dxfId="785" priority="951">
      <formula>IF($P440="Scrap",TRUE,FALSE)</formula>
    </cfRule>
    <cfRule type="containsText" dxfId="784" priority="950" operator="containsText" text="Due">
      <formula>NOT(ISERROR(SEARCH("Due",AH440)))</formula>
    </cfRule>
    <cfRule type="expression" dxfId="783" priority="949">
      <formula>IF($P440="Scraped","TRUE","FALSE")</formula>
    </cfRule>
    <cfRule type="expression" dxfId="782" priority="952">
      <formula>IF($P440="Shifted",TRUE,FALSE)</formula>
    </cfRule>
    <cfRule type="expression" dxfId="781" priority="947">
      <formula>IF($P440="Closed","TRUE","FALSE")</formula>
    </cfRule>
    <cfRule type="expression" dxfId="780" priority="948">
      <formula>IF($P440="Sold","TRUE","FALSE")</formula>
    </cfRule>
  </conditionalFormatting>
  <conditionalFormatting sqref="AH444">
    <cfRule type="expression" dxfId="779" priority="934">
      <formula>IF($P444="Shifted",TRUE,FALSE)</formula>
    </cfRule>
    <cfRule type="expression" dxfId="778" priority="933">
      <formula>IF($P444="Scrap",TRUE,FALSE)</formula>
    </cfRule>
    <cfRule type="containsText" dxfId="777" priority="932" operator="containsText" text="Due">
      <formula>NOT(ISERROR(SEARCH("Due",AH444)))</formula>
    </cfRule>
    <cfRule type="expression" dxfId="776" priority="931">
      <formula>IF($P444="Scraped","TRUE","FALSE")</formula>
    </cfRule>
    <cfRule type="expression" dxfId="775" priority="930">
      <formula>IF($P444="Sold","TRUE","FALSE")</formula>
    </cfRule>
    <cfRule type="expression" dxfId="774" priority="929">
      <formula>IF($P444="Closed","TRUE","FALSE")</formula>
    </cfRule>
  </conditionalFormatting>
  <conditionalFormatting sqref="AH449">
    <cfRule type="expression" dxfId="773" priority="423">
      <formula>IF($P449="Closed","TRUE","FALSE")</formula>
    </cfRule>
    <cfRule type="containsText" dxfId="772" priority="426" operator="containsText" text="Due">
      <formula>NOT(ISERROR(SEARCH("Due",AH449)))</formula>
    </cfRule>
    <cfRule type="expression" dxfId="771" priority="427">
      <formula>IF($P449="Scrap",TRUE,FALSE)</formula>
    </cfRule>
    <cfRule type="expression" dxfId="770" priority="428">
      <formula>IF($P449="Shifted",TRUE,FALSE)</formula>
    </cfRule>
    <cfRule type="expression" dxfId="769" priority="424">
      <formula>IF($P449="Sold","TRUE","FALSE")</formula>
    </cfRule>
    <cfRule type="expression" dxfId="768" priority="425">
      <formula>IF($P449="Scraped","TRUE","FALSE")</formula>
    </cfRule>
  </conditionalFormatting>
  <conditionalFormatting sqref="AH451:AH453">
    <cfRule type="expression" dxfId="767" priority="445">
      <formula>IF($P451="Scrap",TRUE,FALSE)</formula>
    </cfRule>
    <cfRule type="expression" dxfId="766" priority="446">
      <formula>IF($P451="Shifted",TRUE,FALSE)</formula>
    </cfRule>
    <cfRule type="expression" dxfId="765" priority="441">
      <formula>IF($P451="Closed","TRUE","FALSE")</formula>
    </cfRule>
    <cfRule type="expression" dxfId="764" priority="442">
      <formula>IF($P451="Sold","TRUE","FALSE")</formula>
    </cfRule>
    <cfRule type="expression" dxfId="763" priority="443">
      <formula>IF($P451="Scraped","TRUE","FALSE")</formula>
    </cfRule>
    <cfRule type="containsText" dxfId="762" priority="444" operator="containsText" text="Due">
      <formula>NOT(ISERROR(SEARCH("Due",AH451)))</formula>
    </cfRule>
  </conditionalFormatting>
  <conditionalFormatting sqref="AH455">
    <cfRule type="expression" dxfId="761" priority="976">
      <formula>IF($P455="Shifted",TRUE,FALSE)</formula>
    </cfRule>
    <cfRule type="expression" dxfId="760" priority="975">
      <formula>IF($P455="Scrap",TRUE,FALSE)</formula>
    </cfRule>
    <cfRule type="containsText" dxfId="759" priority="974" operator="containsText" text="Due">
      <formula>NOT(ISERROR(SEARCH("Due",AH455)))</formula>
    </cfRule>
    <cfRule type="expression" dxfId="758" priority="973">
      <formula>IF($P455="Scraped","TRUE","FALSE")</formula>
    </cfRule>
    <cfRule type="expression" dxfId="757" priority="972">
      <formula>IF($P455="Sold","TRUE","FALSE")</formula>
    </cfRule>
    <cfRule type="expression" dxfId="756" priority="971">
      <formula>IF($P455="Closed","TRUE","FALSE")</formula>
    </cfRule>
  </conditionalFormatting>
  <conditionalFormatting sqref="AH457:AH458">
    <cfRule type="expression" dxfId="755" priority="1034">
      <formula>IF($P457="Scraped","TRUE","FALSE")</formula>
    </cfRule>
    <cfRule type="expression" dxfId="754" priority="1032">
      <formula>IF($P457="Closed","TRUE","FALSE")</formula>
    </cfRule>
    <cfRule type="expression" dxfId="753" priority="1037">
      <formula>IF($P457="Shifted",TRUE,FALSE)</formula>
    </cfRule>
    <cfRule type="containsText" dxfId="752" priority="1035" operator="containsText" text="Due">
      <formula>NOT(ISERROR(SEARCH("Due",AH457)))</formula>
    </cfRule>
    <cfRule type="expression" dxfId="751" priority="1036">
      <formula>IF($P457="Scrap",TRUE,FALSE)</formula>
    </cfRule>
    <cfRule type="expression" dxfId="750" priority="1033">
      <formula>IF($P457="Sold","TRUE","FALSE")</formula>
    </cfRule>
  </conditionalFormatting>
  <conditionalFormatting sqref="AH463">
    <cfRule type="expression" dxfId="749" priority="453">
      <formula>IF($P463="Closed","TRUE","FALSE")</formula>
    </cfRule>
    <cfRule type="expression" dxfId="748" priority="454">
      <formula>IF($P463="Sold","TRUE","FALSE")</formula>
    </cfRule>
    <cfRule type="expression" dxfId="747" priority="455">
      <formula>IF($P463="Scraped","TRUE","FALSE")</formula>
    </cfRule>
    <cfRule type="containsText" dxfId="746" priority="456" operator="containsText" text="Due">
      <formula>NOT(ISERROR(SEARCH("Due",AH463)))</formula>
    </cfRule>
    <cfRule type="expression" dxfId="745" priority="458">
      <formula>IF($P463="Shifted",TRUE,FALSE)</formula>
    </cfRule>
    <cfRule type="expression" dxfId="744" priority="457">
      <formula>IF($P463="Scrap",TRUE,FALSE)</formula>
    </cfRule>
  </conditionalFormatting>
  <conditionalFormatting sqref="AH466">
    <cfRule type="expression" dxfId="743" priority="922">
      <formula>IF($P466="Shifted",TRUE,FALSE)</formula>
    </cfRule>
    <cfRule type="expression" dxfId="742" priority="921">
      <formula>IF($P466="Scrap",TRUE,FALSE)</formula>
    </cfRule>
    <cfRule type="containsText" dxfId="741" priority="920" operator="containsText" text="Due">
      <formula>NOT(ISERROR(SEARCH("Due",AH466)))</formula>
    </cfRule>
    <cfRule type="expression" dxfId="740" priority="919">
      <formula>IF($P466="Scraped","TRUE","FALSE")</formula>
    </cfRule>
    <cfRule type="expression" dxfId="739" priority="918">
      <formula>IF($P466="Sold","TRUE","FALSE")</formula>
    </cfRule>
    <cfRule type="expression" dxfId="738" priority="917">
      <formula>IF($P466="Closed","TRUE","FALSE")</formula>
    </cfRule>
  </conditionalFormatting>
  <conditionalFormatting sqref="AH468:AH469">
    <cfRule type="expression" dxfId="737" priority="459">
      <formula>IF($P468="Closed","TRUE","FALSE")</formula>
    </cfRule>
    <cfRule type="expression" dxfId="736" priority="461">
      <formula>IF($P468="Scraped","TRUE","FALSE")</formula>
    </cfRule>
    <cfRule type="containsText" dxfId="735" priority="462" operator="containsText" text="Due">
      <formula>NOT(ISERROR(SEARCH("Due",AH468)))</formula>
    </cfRule>
    <cfRule type="expression" dxfId="734" priority="463">
      <formula>IF($P468="Scrap",TRUE,FALSE)</formula>
    </cfRule>
    <cfRule type="expression" dxfId="733" priority="464">
      <formula>IF($P468="Shifted",TRUE,FALSE)</formula>
    </cfRule>
    <cfRule type="expression" dxfId="732" priority="460">
      <formula>IF($P468="Sold","TRUE","FALSE")</formula>
    </cfRule>
  </conditionalFormatting>
  <conditionalFormatting sqref="AH473">
    <cfRule type="expression" dxfId="731" priority="475">
      <formula>IF($P473="Scrap",TRUE,FALSE)</formula>
    </cfRule>
    <cfRule type="expression" dxfId="730" priority="476">
      <formula>IF($P473="Shifted",TRUE,FALSE)</formula>
    </cfRule>
    <cfRule type="expression" dxfId="729" priority="472">
      <formula>IF($P473="Sold","TRUE","FALSE")</formula>
    </cfRule>
    <cfRule type="containsText" dxfId="728" priority="474" operator="containsText" text="Due">
      <formula>NOT(ISERROR(SEARCH("Due",AH473)))</formula>
    </cfRule>
    <cfRule type="expression" dxfId="727" priority="473">
      <formula>IF($P473="Scraped","TRUE","FALSE")</formula>
    </cfRule>
    <cfRule type="expression" dxfId="726" priority="471">
      <formula>IF($P473="Closed","TRUE","FALSE")</formula>
    </cfRule>
  </conditionalFormatting>
  <conditionalFormatting sqref="AH477">
    <cfRule type="expression" dxfId="725" priority="479">
      <formula>IF($P477="Scraped","TRUE","FALSE")</formula>
    </cfRule>
    <cfRule type="expression" dxfId="724" priority="481">
      <formula>IF($P477="Scrap",TRUE,FALSE)</formula>
    </cfRule>
    <cfRule type="expression" dxfId="723" priority="482">
      <formula>IF($P477="Shifted",TRUE,FALSE)</formula>
    </cfRule>
    <cfRule type="containsText" dxfId="722" priority="480" operator="containsText" text="Due">
      <formula>NOT(ISERROR(SEARCH("Due",AH477)))</formula>
    </cfRule>
    <cfRule type="expression" dxfId="721" priority="477">
      <formula>IF($P477="Closed","TRUE","FALSE")</formula>
    </cfRule>
    <cfRule type="expression" dxfId="720" priority="478">
      <formula>IF($P477="Sold","TRUE","FALSE")</formula>
    </cfRule>
  </conditionalFormatting>
  <conditionalFormatting sqref="AH481:AH482">
    <cfRule type="expression" dxfId="719" priority="488">
      <formula>IF($P481="Shifted",TRUE,FALSE)</formula>
    </cfRule>
    <cfRule type="expression" dxfId="718" priority="487">
      <formula>IF($P481="Scrap",TRUE,FALSE)</formula>
    </cfRule>
    <cfRule type="expression" dxfId="717" priority="483">
      <formula>IF($P481="Closed","TRUE","FALSE")</formula>
    </cfRule>
    <cfRule type="expression" dxfId="716" priority="484">
      <formula>IF($P481="Sold","TRUE","FALSE")</formula>
    </cfRule>
    <cfRule type="expression" dxfId="715" priority="485">
      <formula>IF($P481="Scraped","TRUE","FALSE")</formula>
    </cfRule>
    <cfRule type="containsText" dxfId="714" priority="486" operator="containsText" text="Due">
      <formula>NOT(ISERROR(SEARCH("Due",AH481)))</formula>
    </cfRule>
  </conditionalFormatting>
  <conditionalFormatting sqref="AH485">
    <cfRule type="containsText" dxfId="713" priority="498" operator="containsText" text="Due">
      <formula>NOT(ISERROR(SEARCH("Due",AH485)))</formula>
    </cfRule>
    <cfRule type="expression" dxfId="712" priority="495">
      <formula>IF($P485="Closed","TRUE","FALSE")</formula>
    </cfRule>
    <cfRule type="expression" dxfId="711" priority="499">
      <formula>IF($P485="Scrap",TRUE,FALSE)</formula>
    </cfRule>
    <cfRule type="expression" dxfId="710" priority="500">
      <formula>IF($P485="Shifted",TRUE,FALSE)</formula>
    </cfRule>
    <cfRule type="expression" dxfId="709" priority="496">
      <formula>IF($P485="Sold","TRUE","FALSE")</formula>
    </cfRule>
    <cfRule type="expression" dxfId="708" priority="497">
      <formula>IF($P485="Scraped","TRUE","FALSE")</formula>
    </cfRule>
  </conditionalFormatting>
  <conditionalFormatting sqref="AI426">
    <cfRule type="containsText" dxfId="707" priority="956" operator="containsText" text="Due">
      <formula>NOT(ISERROR(SEARCH("Due",AI426)))</formula>
    </cfRule>
    <cfRule type="expression" dxfId="706" priority="955">
      <formula>IF($P426="Scraped","TRUE","FALSE")</formula>
    </cfRule>
    <cfRule type="expression" dxfId="705" priority="954">
      <formula>IF($P426="Sold","TRUE","FALSE")</formula>
    </cfRule>
    <cfRule type="expression" dxfId="704" priority="953">
      <formula>IF($P426="Closed","TRUE","FALSE")</formula>
    </cfRule>
    <cfRule type="expression" dxfId="703" priority="957">
      <formula>IF($P426="Scrap",TRUE,FALSE)</formula>
    </cfRule>
    <cfRule type="expression" dxfId="702" priority="958">
      <formula>IF($P426="Shifted",TRUE,FALSE)</formula>
    </cfRule>
  </conditionalFormatting>
  <conditionalFormatting sqref="AI429">
    <cfRule type="expression" dxfId="701" priority="812">
      <formula>IF($P429="Closed","TRUE","FALSE")</formula>
    </cfRule>
    <cfRule type="expression" dxfId="700" priority="813">
      <formula>IF($P429="Sold","TRUE","FALSE")</formula>
    </cfRule>
    <cfRule type="expression" dxfId="699" priority="814">
      <formula>IF($P429="Scraped","TRUE","FALSE")</formula>
    </cfRule>
    <cfRule type="containsText" dxfId="698" priority="815" operator="containsText" text="Due">
      <formula>NOT(ISERROR(SEARCH("Due",AI429)))</formula>
    </cfRule>
    <cfRule type="expression" dxfId="697" priority="816">
      <formula>IF($P429="Scrap",TRUE,FALSE)</formula>
    </cfRule>
    <cfRule type="expression" dxfId="696" priority="817">
      <formula>IF($P429="Shifted",TRUE,FALSE)</formula>
    </cfRule>
  </conditionalFormatting>
  <conditionalFormatting sqref="AI434:AI437">
    <cfRule type="containsText" dxfId="695" priority="842" operator="containsText" text="Due">
      <formula>NOT(ISERROR(SEARCH("Due",AI434)))</formula>
    </cfRule>
    <cfRule type="expression" dxfId="694" priority="841">
      <formula>IF($P434="Scraped","TRUE","FALSE")</formula>
    </cfRule>
    <cfRule type="expression" dxfId="693" priority="840">
      <formula>IF($P434="Sold","TRUE","FALSE")</formula>
    </cfRule>
    <cfRule type="expression" dxfId="692" priority="843">
      <formula>IF($P434="Scrap",TRUE,FALSE)</formula>
    </cfRule>
    <cfRule type="expression" dxfId="691" priority="839">
      <formula>IF($P434="Closed","TRUE","FALSE")</formula>
    </cfRule>
    <cfRule type="expression" dxfId="690" priority="844">
      <formula>IF($P434="Shifted",TRUE,FALSE)</formula>
    </cfRule>
  </conditionalFormatting>
  <conditionalFormatting sqref="AI440:AI442">
    <cfRule type="expression" dxfId="689" priority="941">
      <formula>IF($P440="Closed","TRUE","FALSE")</formula>
    </cfRule>
    <cfRule type="expression" dxfId="688" priority="946">
      <formula>IF($P440="Shifted",TRUE,FALSE)</formula>
    </cfRule>
    <cfRule type="expression" dxfId="687" priority="945">
      <formula>IF($P440="Scrap",TRUE,FALSE)</formula>
    </cfRule>
    <cfRule type="containsText" dxfId="686" priority="944" operator="containsText" text="Due">
      <formula>NOT(ISERROR(SEARCH("Due",AI440)))</formula>
    </cfRule>
    <cfRule type="expression" dxfId="685" priority="943">
      <formula>IF($P440="Scraped","TRUE","FALSE")</formula>
    </cfRule>
    <cfRule type="expression" dxfId="684" priority="942">
      <formula>IF($P440="Sold","TRUE","FALSE")</formula>
    </cfRule>
  </conditionalFormatting>
  <conditionalFormatting sqref="AI444">
    <cfRule type="expression" dxfId="683" priority="928">
      <formula>IF($P444="Shifted",TRUE,FALSE)</formula>
    </cfRule>
    <cfRule type="expression" dxfId="682" priority="927">
      <formula>IF($P444="Scrap",TRUE,FALSE)</formula>
    </cfRule>
    <cfRule type="containsText" dxfId="681" priority="926" operator="containsText" text="Due">
      <formula>NOT(ISERROR(SEARCH("Due",AI444)))</formula>
    </cfRule>
    <cfRule type="expression" dxfId="680" priority="925">
      <formula>IF($P444="Scraped","TRUE","FALSE")</formula>
    </cfRule>
    <cfRule type="expression" dxfId="679" priority="924">
      <formula>IF($P444="Sold","TRUE","FALSE")</formula>
    </cfRule>
    <cfRule type="expression" dxfId="678" priority="923">
      <formula>IF($P444="Closed","TRUE","FALSE")</formula>
    </cfRule>
  </conditionalFormatting>
  <conditionalFormatting sqref="AI451:AI453">
    <cfRule type="expression" dxfId="677" priority="875">
      <formula>IF($P451="Closed","TRUE","FALSE")</formula>
    </cfRule>
    <cfRule type="expression" dxfId="676" priority="880">
      <formula>IF($P451="Shifted",TRUE,FALSE)</formula>
    </cfRule>
    <cfRule type="expression" dxfId="675" priority="879">
      <formula>IF($P451="Scrap",TRUE,FALSE)</formula>
    </cfRule>
    <cfRule type="containsText" dxfId="674" priority="878" operator="containsText" text="Due">
      <formula>NOT(ISERROR(SEARCH("Due",AI451)))</formula>
    </cfRule>
    <cfRule type="expression" dxfId="673" priority="876">
      <formula>IF($P451="Sold","TRUE","FALSE")</formula>
    </cfRule>
    <cfRule type="expression" dxfId="672" priority="877">
      <formula>IF($P451="Scraped","TRUE","FALSE")</formula>
    </cfRule>
  </conditionalFormatting>
  <conditionalFormatting sqref="AI455">
    <cfRule type="containsText" dxfId="671" priority="968" operator="containsText" text="Due">
      <formula>NOT(ISERROR(SEARCH("Due",AI455)))</formula>
    </cfRule>
    <cfRule type="expression" dxfId="670" priority="970">
      <formula>IF($P455="Shifted",TRUE,FALSE)</formula>
    </cfRule>
    <cfRule type="expression" dxfId="669" priority="966">
      <formula>IF($P455="Sold","TRUE","FALSE")</formula>
    </cfRule>
    <cfRule type="expression" dxfId="668" priority="967">
      <formula>IF($P455="Scraped","TRUE","FALSE")</formula>
    </cfRule>
    <cfRule type="expression" dxfId="667" priority="969">
      <formula>IF($P455="Scrap",TRUE,FALSE)</formula>
    </cfRule>
    <cfRule type="expression" dxfId="666" priority="965">
      <formula>IF($P455="Closed","TRUE","FALSE")</formula>
    </cfRule>
  </conditionalFormatting>
  <conditionalFormatting sqref="AI457:AI458">
    <cfRule type="expression" dxfId="665" priority="1031">
      <formula>IF($P457="Shifted",TRUE,FALSE)</formula>
    </cfRule>
    <cfRule type="expression" dxfId="664" priority="1027">
      <formula>IF($P457="Sold","TRUE","FALSE")</formula>
    </cfRule>
    <cfRule type="expression" dxfId="663" priority="1028">
      <formula>IF($P457="Scraped","TRUE","FALSE")</formula>
    </cfRule>
    <cfRule type="expression" dxfId="662" priority="1026">
      <formula>IF($P457="Closed","TRUE","FALSE")</formula>
    </cfRule>
    <cfRule type="containsText" dxfId="661" priority="1029" operator="containsText" text="Due">
      <formula>NOT(ISERROR(SEARCH("Due",AI457)))</formula>
    </cfRule>
    <cfRule type="expression" dxfId="660" priority="1030">
      <formula>IF($P457="Scrap",TRUE,FALSE)</formula>
    </cfRule>
  </conditionalFormatting>
  <conditionalFormatting sqref="AI466">
    <cfRule type="containsText" dxfId="659" priority="914" operator="containsText" text="Due">
      <formula>NOT(ISERROR(SEARCH("Due",AI466)))</formula>
    </cfRule>
    <cfRule type="expression" dxfId="658" priority="911">
      <formula>IF($P466="Closed","TRUE","FALSE")</formula>
    </cfRule>
    <cfRule type="expression" dxfId="657" priority="912">
      <formula>IF($P466="Sold","TRUE","FALSE")</formula>
    </cfRule>
    <cfRule type="expression" dxfId="656" priority="913">
      <formula>IF($P466="Scraped","TRUE","FALSE")</formula>
    </cfRule>
    <cfRule type="expression" dxfId="655" priority="915">
      <formula>IF($P466="Scrap",TRUE,FALSE)</formula>
    </cfRule>
    <cfRule type="expression" dxfId="654" priority="916">
      <formula>IF($P466="Shifted",TRUE,FALSE)</formula>
    </cfRule>
  </conditionalFormatting>
  <conditionalFormatting sqref="AI469">
    <cfRule type="expression" dxfId="653" priority="889">
      <formula>IF($P469="Scraped","TRUE","FALSE")</formula>
    </cfRule>
    <cfRule type="expression" dxfId="652" priority="888">
      <formula>IF($P469="Sold","TRUE","FALSE")</formula>
    </cfRule>
    <cfRule type="expression" dxfId="651" priority="887">
      <formula>IF($P469="Closed","TRUE","FALSE")</formula>
    </cfRule>
    <cfRule type="expression" dxfId="650" priority="892">
      <formula>IF($P469="Shifted",TRUE,FALSE)</formula>
    </cfRule>
    <cfRule type="expression" dxfId="649" priority="891">
      <formula>IF($P469="Scrap",TRUE,FALSE)</formula>
    </cfRule>
    <cfRule type="containsText" dxfId="648" priority="890" operator="containsText" text="Due">
      <formula>NOT(ISERROR(SEARCH("Due",AI469)))</formula>
    </cfRule>
  </conditionalFormatting>
  <conditionalFormatting sqref="AJ429">
    <cfRule type="expression" dxfId="647" priority="804">
      <formula>IF($P429="Scrap",TRUE,FALSE)</formula>
    </cfRule>
    <cfRule type="expression" dxfId="646" priority="805">
      <formula>IF($P429="Shifted",TRUE,FALSE)</formula>
    </cfRule>
    <cfRule type="expression" dxfId="645" priority="801">
      <formula>IF($P429="Sold","TRUE","FALSE")</formula>
    </cfRule>
    <cfRule type="expression" dxfId="644" priority="800">
      <formula>IF($P429="Closed","TRUE","FALSE")</formula>
    </cfRule>
    <cfRule type="expression" dxfId="643" priority="802">
      <formula>IF($P429="Scraped","TRUE","FALSE")</formula>
    </cfRule>
    <cfRule type="containsText" dxfId="642" priority="803" operator="containsText" text="Due">
      <formula>NOT(ISERROR(SEARCH("Due",AJ429)))</formula>
    </cfRule>
  </conditionalFormatting>
  <conditionalFormatting sqref="AJ436:AJ437">
    <cfRule type="expression" dxfId="641" priority="871">
      <formula>IF($P436="Scraped","TRUE","FALSE")</formula>
    </cfRule>
    <cfRule type="containsText" dxfId="640" priority="872" operator="containsText" text="Due">
      <formula>NOT(ISERROR(SEARCH("Due",AJ436)))</formula>
    </cfRule>
    <cfRule type="expression" dxfId="639" priority="873">
      <formula>IF($P436="Scrap",TRUE,FALSE)</formula>
    </cfRule>
    <cfRule type="expression" dxfId="638" priority="874">
      <formula>IF($P436="Shifted",TRUE,FALSE)</formula>
    </cfRule>
    <cfRule type="expression" dxfId="637" priority="869">
      <formula>IF($P436="Closed","TRUE","FALSE")</formula>
    </cfRule>
    <cfRule type="expression" dxfId="636" priority="870">
      <formula>IF($P436="Sold","TRUE","FALSE")</formula>
    </cfRule>
  </conditionalFormatting>
  <conditionalFormatting sqref="AJ440">
    <cfRule type="expression" dxfId="635" priority="1006">
      <formula>IF($P440="Shifted",TRUE,FALSE)</formula>
    </cfRule>
    <cfRule type="expression" dxfId="634" priority="1005">
      <formula>IF($P440="Scrap",TRUE,FALSE)</formula>
    </cfRule>
    <cfRule type="containsText" dxfId="633" priority="1004" operator="containsText" text="Due">
      <formula>NOT(ISERROR(SEARCH("Due",AJ440)))</formula>
    </cfRule>
    <cfRule type="expression" dxfId="632" priority="1001">
      <formula>IF($P440="Closed","TRUE","FALSE")</formula>
    </cfRule>
    <cfRule type="expression" dxfId="631" priority="1002">
      <formula>IF($P440="Sold","TRUE","FALSE")</formula>
    </cfRule>
    <cfRule type="expression" dxfId="630" priority="1003">
      <formula>IF($P440="Scraped","TRUE","FALSE")</formula>
    </cfRule>
  </conditionalFormatting>
  <conditionalFormatting sqref="AJ442">
    <cfRule type="expression" dxfId="629" priority="994">
      <formula>IF($P442="Shifted",TRUE,FALSE)</formula>
    </cfRule>
    <cfRule type="expression" dxfId="628" priority="989">
      <formula>IF($P442="Closed","TRUE","FALSE")</formula>
    </cfRule>
    <cfRule type="expression" dxfId="627" priority="990">
      <formula>IF($P442="Sold","TRUE","FALSE")</formula>
    </cfRule>
    <cfRule type="expression" dxfId="626" priority="991">
      <formula>IF($P442="Scraped","TRUE","FALSE")</formula>
    </cfRule>
    <cfRule type="expression" dxfId="625" priority="993">
      <formula>IF($P442="Scrap",TRUE,FALSE)</formula>
    </cfRule>
    <cfRule type="containsText" dxfId="624" priority="992" operator="containsText" text="Due">
      <formula>NOT(ISERROR(SEARCH("Due",AJ442)))</formula>
    </cfRule>
  </conditionalFormatting>
  <conditionalFormatting sqref="AJ451">
    <cfRule type="expression" dxfId="623" priority="433">
      <formula>IF($P451="Scrap",TRUE,FALSE)</formula>
    </cfRule>
    <cfRule type="expression" dxfId="622" priority="434">
      <formula>IF($P451="Shifted",TRUE,FALSE)</formula>
    </cfRule>
    <cfRule type="expression" dxfId="621" priority="429">
      <formula>IF($P451="Closed","TRUE","FALSE")</formula>
    </cfRule>
    <cfRule type="expression" dxfId="620" priority="430">
      <formula>IF($P451="Sold","TRUE","FALSE")</formula>
    </cfRule>
    <cfRule type="expression" dxfId="619" priority="431">
      <formula>IF($P451="Scraped","TRUE","FALSE")</formula>
    </cfRule>
    <cfRule type="containsText" dxfId="618" priority="432" operator="containsText" text="Due">
      <formula>NOT(ISERROR(SEARCH("Due",AJ451)))</formula>
    </cfRule>
  </conditionalFormatting>
  <conditionalFormatting sqref="AJ453">
    <cfRule type="expression" dxfId="617" priority="452">
      <formula>IF($P453="Shifted",TRUE,FALSE)</formula>
    </cfRule>
    <cfRule type="expression" dxfId="616" priority="451">
      <formula>IF($P453="Scrap",TRUE,FALSE)</formula>
    </cfRule>
    <cfRule type="containsText" dxfId="615" priority="450" operator="containsText" text="Due">
      <formula>NOT(ISERROR(SEARCH("Due",AJ453)))</formula>
    </cfRule>
    <cfRule type="expression" dxfId="614" priority="449">
      <formula>IF($P453="Scraped","TRUE","FALSE")</formula>
    </cfRule>
    <cfRule type="expression" dxfId="613" priority="448">
      <formula>IF($P453="Sold","TRUE","FALSE")</formula>
    </cfRule>
    <cfRule type="expression" dxfId="612" priority="447">
      <formula>IF($P453="Closed","TRUE","FALSE")</formula>
    </cfRule>
  </conditionalFormatting>
  <conditionalFormatting sqref="AJ455">
    <cfRule type="containsText" dxfId="611" priority="830" operator="containsText" text="Due">
      <formula>NOT(ISERROR(SEARCH("Due",AJ455)))</formula>
    </cfRule>
    <cfRule type="expression" dxfId="610" priority="829">
      <formula>IF($P455="Scraped","TRUE","FALSE")</formula>
    </cfRule>
    <cfRule type="expression" dxfId="609" priority="832">
      <formula>IF($P455="Shifted",TRUE,FALSE)</formula>
    </cfRule>
    <cfRule type="expression" dxfId="608" priority="828">
      <formula>IF($P455="Sold","TRUE","FALSE")</formula>
    </cfRule>
    <cfRule type="expression" dxfId="607" priority="827">
      <formula>IF($P455="Closed","TRUE","FALSE")</formula>
    </cfRule>
    <cfRule type="expression" dxfId="606" priority="831">
      <formula>IF($P455="Scrap",TRUE,FALSE)</formula>
    </cfRule>
  </conditionalFormatting>
  <conditionalFormatting sqref="AJ458">
    <cfRule type="expression" dxfId="605" priority="794">
      <formula>IF($P458="Closed","TRUE","FALSE")</formula>
    </cfRule>
    <cfRule type="containsText" dxfId="604" priority="797" operator="containsText" text="Due">
      <formula>NOT(ISERROR(SEARCH("Due",AJ458)))</formula>
    </cfRule>
    <cfRule type="expression" dxfId="603" priority="796">
      <formula>IF($P458="Scraped","TRUE","FALSE")</formula>
    </cfRule>
    <cfRule type="expression" dxfId="602" priority="795">
      <formula>IF($P458="Sold","TRUE","FALSE")</formula>
    </cfRule>
    <cfRule type="expression" dxfId="601" priority="798">
      <formula>IF($P458="Scrap",TRUE,FALSE)</formula>
    </cfRule>
    <cfRule type="expression" dxfId="600" priority="799">
      <formula>IF($P458="Shifted",TRUE,FALSE)</formula>
    </cfRule>
  </conditionalFormatting>
  <conditionalFormatting sqref="AJ466">
    <cfRule type="expression" dxfId="599" priority="907">
      <formula>IF($P466="Scraped","TRUE","FALSE")</formula>
    </cfRule>
    <cfRule type="expression" dxfId="598" priority="910">
      <formula>IF($P466="Shifted",TRUE,FALSE)</formula>
    </cfRule>
    <cfRule type="expression" dxfId="597" priority="909">
      <formula>IF($P466="Scrap",TRUE,FALSE)</formula>
    </cfRule>
    <cfRule type="containsText" dxfId="596" priority="908" operator="containsText" text="Due">
      <formula>NOT(ISERROR(SEARCH("Due",AJ466)))</formula>
    </cfRule>
    <cfRule type="expression" dxfId="595" priority="905">
      <formula>IF($P466="Closed","TRUE","FALSE")</formula>
    </cfRule>
    <cfRule type="expression" dxfId="594" priority="906">
      <formula>IF($P466="Sold","TRUE","FALSE")</formula>
    </cfRule>
  </conditionalFormatting>
  <conditionalFormatting sqref="AJ473">
    <cfRule type="expression" dxfId="593" priority="469">
      <formula>IF($P473="Scrap",TRUE,FALSE)</formula>
    </cfRule>
    <cfRule type="expression" dxfId="592" priority="470">
      <formula>IF($P473="Shifted",TRUE,FALSE)</formula>
    </cfRule>
    <cfRule type="expression" dxfId="591" priority="465">
      <formula>IF($P473="Closed","TRUE","FALSE")</formula>
    </cfRule>
    <cfRule type="expression" dxfId="590" priority="466">
      <formula>IF($P473="Sold","TRUE","FALSE")</formula>
    </cfRule>
    <cfRule type="expression" dxfId="589" priority="467">
      <formula>IF($P473="Scraped","TRUE","FALSE")</formula>
    </cfRule>
    <cfRule type="containsText" dxfId="588" priority="468" operator="containsText" text="Due">
      <formula>NOT(ISERROR(SEARCH("Due",AJ473)))</formula>
    </cfRule>
  </conditionalFormatting>
  <conditionalFormatting sqref="AJ457:AK457">
    <cfRule type="expression" dxfId="587" priority="1025">
      <formula>IF($P457="Shifted",TRUE,FALSE)</formula>
    </cfRule>
    <cfRule type="expression" dxfId="586" priority="1024">
      <formula>IF($P457="Scrap",TRUE,FALSE)</formula>
    </cfRule>
    <cfRule type="containsText" dxfId="585" priority="1023" operator="containsText" text="Due">
      <formula>NOT(ISERROR(SEARCH("Due",AJ457)))</formula>
    </cfRule>
    <cfRule type="expression" dxfId="584" priority="1022">
      <formula>IF($P457="Scraped","TRUE","FALSE")</formula>
    </cfRule>
    <cfRule type="expression" dxfId="583" priority="1021">
      <formula>IF($P457="Sold","TRUE","FALSE")</formula>
    </cfRule>
    <cfRule type="expression" dxfId="582" priority="1020">
      <formula>IF($P457="Closed","TRUE","FALSE")</formula>
    </cfRule>
  </conditionalFormatting>
  <conditionalFormatting sqref="AJ441:AM441">
    <cfRule type="expression" dxfId="581" priority="935">
      <formula>IF($P441="Closed","TRUE","FALSE")</formula>
    </cfRule>
    <cfRule type="expression" dxfId="580" priority="936">
      <formula>IF($P441="Sold","TRUE","FALSE")</formula>
    </cfRule>
    <cfRule type="expression" dxfId="579" priority="937">
      <formula>IF($P441="Scraped","TRUE","FALSE")</formula>
    </cfRule>
    <cfRule type="containsText" dxfId="578" priority="938" operator="containsText" text="Due">
      <formula>NOT(ISERROR(SEARCH("Due",AJ441)))</formula>
    </cfRule>
    <cfRule type="expression" dxfId="577" priority="939">
      <formula>IF($P441="Scrap",TRUE,FALSE)</formula>
    </cfRule>
    <cfRule type="expression" dxfId="576" priority="940">
      <formula>IF($P441="Shifted",TRUE,FALSE)</formula>
    </cfRule>
  </conditionalFormatting>
  <conditionalFormatting sqref="AK434:AK437">
    <cfRule type="containsText" dxfId="575" priority="402" operator="containsText" text="Due">
      <formula>NOT(ISERROR(SEARCH("Due",AK434)))</formula>
    </cfRule>
    <cfRule type="expression" dxfId="574" priority="401">
      <formula>IF($P434="Scraped","TRUE","FALSE")</formula>
    </cfRule>
    <cfRule type="expression" dxfId="573" priority="400">
      <formula>IF($P434="Sold","TRUE","FALSE")</formula>
    </cfRule>
    <cfRule type="expression" dxfId="572" priority="399">
      <formula>IF($P434="Closed","TRUE","FALSE")</formula>
    </cfRule>
    <cfRule type="expression" dxfId="571" priority="404">
      <formula>IF($P434="Shifted",TRUE,FALSE)</formula>
    </cfRule>
    <cfRule type="expression" dxfId="570" priority="403">
      <formula>IF($P434="Scrap",TRUE,FALSE)</formula>
    </cfRule>
  </conditionalFormatting>
  <conditionalFormatting sqref="AK440">
    <cfRule type="expression" dxfId="569" priority="996">
      <formula>IF($P440="Sold","TRUE","FALSE")</formula>
    </cfRule>
    <cfRule type="expression" dxfId="568" priority="995">
      <formula>IF($P440="Closed","TRUE","FALSE")</formula>
    </cfRule>
    <cfRule type="expression" dxfId="567" priority="1000">
      <formula>IF($P440="Shifted",TRUE,FALSE)</formula>
    </cfRule>
    <cfRule type="expression" dxfId="566" priority="999">
      <formula>IF($P440="Scrap",TRUE,FALSE)</formula>
    </cfRule>
    <cfRule type="containsText" dxfId="565" priority="998" operator="containsText" text="Due">
      <formula>NOT(ISERROR(SEARCH("Due",AK440)))</formula>
    </cfRule>
    <cfRule type="expression" dxfId="564" priority="997">
      <formula>IF($P440="Scraped","TRUE","FALSE")</formula>
    </cfRule>
  </conditionalFormatting>
  <conditionalFormatting sqref="AK452">
    <cfRule type="expression" dxfId="563" priority="435">
      <formula>IF($P452="Closed","TRUE","FALSE")</formula>
    </cfRule>
    <cfRule type="containsText" dxfId="562" priority="438" operator="containsText" text="Due">
      <formula>NOT(ISERROR(SEARCH("Due",AK452)))</formula>
    </cfRule>
    <cfRule type="expression" dxfId="561" priority="437">
      <formula>IF($P452="Scraped","TRUE","FALSE")</formula>
    </cfRule>
    <cfRule type="expression" dxfId="560" priority="436">
      <formula>IF($P452="Sold","TRUE","FALSE")</formula>
    </cfRule>
    <cfRule type="expression" dxfId="559" priority="439">
      <formula>IF($P452="Scrap",TRUE,FALSE)</formula>
    </cfRule>
    <cfRule type="expression" dxfId="558" priority="440">
      <formula>IF($P452="Shifted",TRUE,FALSE)</formula>
    </cfRule>
  </conditionalFormatting>
  <conditionalFormatting sqref="AK429:AL429">
    <cfRule type="expression" dxfId="557" priority="810">
      <formula>IF($P429="Scrap",TRUE,FALSE)</formula>
    </cfRule>
    <cfRule type="expression" dxfId="556" priority="808">
      <formula>IF($P429="Scraped","TRUE","FALSE")</formula>
    </cfRule>
    <cfRule type="expression" dxfId="555" priority="811">
      <formula>IF($P429="Shifted",TRUE,FALSE)</formula>
    </cfRule>
    <cfRule type="containsText" dxfId="554" priority="809" operator="containsText" text="Due">
      <formula>NOT(ISERROR(SEARCH("Due",AK429)))</formula>
    </cfRule>
    <cfRule type="expression" dxfId="553" priority="807">
      <formula>IF($P429="Sold","TRUE","FALSE")</formula>
    </cfRule>
    <cfRule type="expression" dxfId="552" priority="806">
      <formula>IF($P429="Closed","TRUE","FALSE")</formula>
    </cfRule>
  </conditionalFormatting>
  <conditionalFormatting sqref="AK442:AM442">
    <cfRule type="expression" dxfId="551" priority="419">
      <formula>IF($P442="Scraped","TRUE","FALSE")</formula>
    </cfRule>
    <cfRule type="expression" dxfId="550" priority="417">
      <formula>IF($P442="Closed","TRUE","FALSE")</formula>
    </cfRule>
    <cfRule type="expression" dxfId="549" priority="418">
      <formula>IF($P442="Sold","TRUE","FALSE")</formula>
    </cfRule>
    <cfRule type="expression" dxfId="548" priority="421">
      <formula>IF($P442="Scrap",TRUE,FALSE)</formula>
    </cfRule>
    <cfRule type="expression" dxfId="547" priority="422">
      <formula>IF($P442="Shifted",TRUE,FALSE)</formula>
    </cfRule>
    <cfRule type="containsText" dxfId="546" priority="420" operator="containsText" text="Due">
      <formula>NOT(ISERROR(SEARCH("Due",AK442)))</formula>
    </cfRule>
  </conditionalFormatting>
  <conditionalFormatting sqref="AK466:AO466">
    <cfRule type="expression" dxfId="545" priority="900">
      <formula>IF($P466="Sold","TRUE","FALSE")</formula>
    </cfRule>
    <cfRule type="expression" dxfId="544" priority="899">
      <formula>IF($P466="Closed","TRUE","FALSE")</formula>
    </cfRule>
    <cfRule type="expression" dxfId="543" priority="904">
      <formula>IF($P466="Shifted",TRUE,FALSE)</formula>
    </cfRule>
    <cfRule type="expression" dxfId="542" priority="903">
      <formula>IF($P466="Scrap",TRUE,FALSE)</formula>
    </cfRule>
    <cfRule type="containsText" dxfId="541" priority="902" operator="containsText" text="Due">
      <formula>NOT(ISERROR(SEARCH("Due",AK466)))</formula>
    </cfRule>
    <cfRule type="expression" dxfId="540" priority="901">
      <formula>IF($P466="Scraped","TRUE","FALSE")</formula>
    </cfRule>
  </conditionalFormatting>
  <conditionalFormatting sqref="AL440:AN440">
    <cfRule type="expression" dxfId="539" priority="865">
      <formula>IF($P440="Scraped","TRUE","FALSE")</formula>
    </cfRule>
    <cfRule type="containsText" dxfId="538" priority="866" operator="containsText" text="Due">
      <formula>NOT(ISERROR(SEARCH("Due",AL440)))</formula>
    </cfRule>
    <cfRule type="expression" dxfId="537" priority="867">
      <formula>IF($P440="Scrap",TRUE,FALSE)</formula>
    </cfRule>
    <cfRule type="expression" dxfId="536" priority="868">
      <formula>IF($P440="Shifted",TRUE,FALSE)</formula>
    </cfRule>
    <cfRule type="expression" dxfId="535" priority="863">
      <formula>IF($P440="Closed","TRUE","FALSE")</formula>
    </cfRule>
    <cfRule type="expression" dxfId="534" priority="864">
      <formula>IF($P440="Sold","TRUE","FALSE")</formula>
    </cfRule>
  </conditionalFormatting>
  <conditionalFormatting sqref="AM457:AN457">
    <cfRule type="expression" dxfId="533" priority="1015">
      <formula>IF($P457="Sold","TRUE","FALSE")</formula>
    </cfRule>
    <cfRule type="expression" dxfId="532" priority="1019">
      <formula>IF($P457="Shifted",TRUE,FALSE)</formula>
    </cfRule>
    <cfRule type="expression" dxfId="531" priority="1016">
      <formula>IF($P457="Scraped","TRUE","FALSE")</formula>
    </cfRule>
    <cfRule type="expression" dxfId="530" priority="1018">
      <formula>IF($P457="Scrap",TRUE,FALSE)</formula>
    </cfRule>
    <cfRule type="containsText" dxfId="529" priority="1017" operator="containsText" text="Due">
      <formula>NOT(ISERROR(SEARCH("Due",AM457)))</formula>
    </cfRule>
    <cfRule type="expression" dxfId="528" priority="1014">
      <formula>IF($P457="Closed","TRUE","FALSE")</formula>
    </cfRule>
  </conditionalFormatting>
  <conditionalFormatting sqref="AO457:AR457">
    <cfRule type="containsText" dxfId="527" priority="1011" operator="containsText" text="Due">
      <formula>NOT(ISERROR(SEARCH("Due",AO457)))</formula>
    </cfRule>
    <cfRule type="expression" dxfId="526" priority="1012">
      <formula>IF($P457="Scrap",TRUE,FALSE)</formula>
    </cfRule>
    <cfRule type="expression" dxfId="525" priority="1013">
      <formula>IF($P457="Shifted",TRUE,FALSE)</formula>
    </cfRule>
    <cfRule type="expression" dxfId="524" priority="1008">
      <formula>IF($P457="Closed","TRUE","FALSE")</formula>
    </cfRule>
    <cfRule type="expression" dxfId="523" priority="1009">
      <formula>IF($P457="Sold","TRUE","FALSE")</formula>
    </cfRule>
    <cfRule type="expression" dxfId="522" priority="1010">
      <formula>IF($P457="Scraped","TRUE","FALSE")</formula>
    </cfRule>
  </conditionalFormatting>
  <conditionalFormatting sqref="A2:A490">
    <cfRule type="expression" dxfId="474" priority="350">
      <formula>IF($L2="Non - Warranty",TRUE,FALSE)</formula>
    </cfRule>
    <cfRule type="expression" dxfId="473" priority="351">
      <formula>IF($L2="Warranty",TRUE,FALSE)</formula>
    </cfRule>
  </conditionalFormatting>
  <conditionalFormatting sqref="B422:P422 K423:K426 P423:P426 B427:P427 K428:K429 P428:P429 B430:P430 K431:K433 P431:P433 B434:P434 K435:K445 P435:P445 B446:P446 B456:P456 K457:K458 B459:P459 B465:P465 B467:P467 P447 K447:K455 A2:P421">
    <cfRule type="expression" dxfId="472" priority="353">
      <formula>IF($P2="Scrap",TRUE,FALSE)</formula>
    </cfRule>
    <cfRule type="expression" dxfId="471" priority="354">
      <formula>IF($P2="Shifted",TRUE,FALSE)</formula>
    </cfRule>
  </conditionalFormatting>
  <conditionalFormatting sqref="B422:P422 K423:K426 P423:P426 B427:P427 K428:K429 P428:P429 B430:P430 K431:K433 P431:P433 B434:P434 K435:K445 P435:P445 B446:P446 P447 B456:P456 K457:K458 B459:P459 B465:P465 B467:P467 K447:K455 A2:P421">
    <cfRule type="containsText" dxfId="470" priority="352" operator="containsText" text="Due">
      <formula>NOT(ISERROR(SEARCH("Due",A2)))</formula>
    </cfRule>
  </conditionalFormatting>
  <conditionalFormatting sqref="B427:P427 B430:P430 B434:P434 B446:P446 B456:P456 B459:P459 B465:P465 B467:P467 K423:K426 P423:P426 K428:K429 P428:P429 K431:K433 P431:P433 K435:K445 P435:P445 K457:K458 P447 K447:K455 B2:P422">
    <cfRule type="expression" dxfId="469" priority="347">
      <formula>IF($P2="Closed","TRUE","FALSE")</formula>
    </cfRule>
    <cfRule type="expression" dxfId="468" priority="348">
      <formula>IF($P2="Sold","TRUE","FALSE")</formula>
    </cfRule>
  </conditionalFormatting>
  <conditionalFormatting sqref="K423:K426 P423:P426 B427:P427 K428:K429 P428:P429 B430:P430 K431:K433 P431:P433 B434:P434 K435:K445 P435:P445 B446:P446 B456:P456 K457:K458 B459:P459 B465:P465 B467:P467 P447 K447:K455 B2:P422">
    <cfRule type="expression" dxfId="467" priority="349">
      <formula>IF($P2="Scraped","TRUE","FALSE")</formula>
    </cfRule>
  </conditionalFormatting>
  <conditionalFormatting sqref="C1:C490">
    <cfRule type="duplicateValues" dxfId="466" priority="346"/>
  </conditionalFormatting>
  <conditionalFormatting sqref="C466 C468">
    <cfRule type="duplicateValues" dxfId="465" priority="355"/>
  </conditionalFormatting>
  <conditionalFormatting sqref="Q427:W427 Q430:W430 Q434:W434 Q446:W446 Q456:W456 Q459:W459 Q465:W465 Q467:W467 Q2:W422">
    <cfRule type="expression" dxfId="448" priority="344">
      <formula>IF($P2="Scrap",TRUE,FALSE)</formula>
    </cfRule>
    <cfRule type="expression" dxfId="447" priority="345">
      <formula>IF($P2="Shifted",TRUE,FALSE)</formula>
    </cfRule>
  </conditionalFormatting>
  <conditionalFormatting sqref="Q427:W427 Q430:W430 Q434:W434 Q446:W446 Q456:W456 Q459:W459 Q465:W465 Q467:W467 Q2:W422">
    <cfRule type="containsText" dxfId="446" priority="343" operator="containsText" text="Due">
      <formula>NOT(ISERROR(SEARCH("Due",Q2)))</formula>
    </cfRule>
  </conditionalFormatting>
  <conditionalFormatting sqref="Q427:W427 Q430:W430 Q434:W434 Q446:W446 Q456:W456 Q459:W459 Q465:W465 Q467:W467 Q2:W422">
    <cfRule type="expression" dxfId="445" priority="340">
      <formula>IF($P2="Closed","TRUE","FALSE")</formula>
    </cfRule>
    <cfRule type="expression" dxfId="444" priority="341">
      <formula>IF($P2="Sold","TRUE","FALSE")</formula>
    </cfRule>
  </conditionalFormatting>
  <conditionalFormatting sqref="Q427:W427 Q430:W430 Q434:W434 Q446:W446 Q456:W456 Q459:W459 Q465:W465 Q467:W467 Q2:W422">
    <cfRule type="expression" dxfId="443" priority="342">
      <formula>IF($P2="Scraped","TRUE","FALSE")</formula>
    </cfRule>
  </conditionalFormatting>
  <conditionalFormatting sqref="X427:AB427 X430:AB430 X434:AB434 X446:AB446 X456:AB456 X459:AB459 X465:AB465 X467:AB467 X2:AB422">
    <cfRule type="expression" dxfId="435" priority="338">
      <formula>IF($P2="Scrap",TRUE,FALSE)</formula>
    </cfRule>
    <cfRule type="expression" dxfId="434" priority="339">
      <formula>IF($P2="Shifted",TRUE,FALSE)</formula>
    </cfRule>
  </conditionalFormatting>
  <conditionalFormatting sqref="X427:AB427 X430:AB430 X434:AB434 X446:AB446 X456:AB456 X459:AB459 X465:AB465 X467:AB467 X2:AB422">
    <cfRule type="containsText" dxfId="433" priority="337" operator="containsText" text="Due">
      <formula>NOT(ISERROR(SEARCH("Due",X2)))</formula>
    </cfRule>
  </conditionalFormatting>
  <conditionalFormatting sqref="X427:AB427 X430:AB430 X434:AB434 X446:AB446 X456:AB456 X459:AB459 X465:AB465 X467:AB467 X2:AB422">
    <cfRule type="expression" dxfId="432" priority="334">
      <formula>IF($P2="Closed","TRUE","FALSE")</formula>
    </cfRule>
    <cfRule type="expression" dxfId="431" priority="335">
      <formula>IF($P2="Sold","TRUE","FALSE")</formula>
    </cfRule>
  </conditionalFormatting>
  <conditionalFormatting sqref="X427:AB427 X430:AB430 X434:AB434 X446:AB446 X456:AB456 X459:AB459 X465:AB465 X467:AB467 X2:AB422">
    <cfRule type="expression" dxfId="430" priority="336">
      <formula>IF($P2="Scraped","TRUE","FALSE")</formula>
    </cfRule>
  </conditionalFormatting>
  <conditionalFormatting sqref="BK2:BL47 BK49:BL181 BK183:BL281 BB485:BC486 BE485:BF486 BH485:BI486 AY2:AZ490 BB489:BC490 BE489:BF490 BH489:BI490 BK489:BL490 BB434:BC474 BE434:BF451 BH434:BI451 BK283:BL486">
    <cfRule type="cellIs" dxfId="424" priority="327" operator="greaterThan">
      <formula>0</formula>
    </cfRule>
  </conditionalFormatting>
  <conditionalFormatting sqref="CA315 BA2:BW298 BM485:BW486 BA485:BA490 BD485:BD487 BJ485:BJ487 BG485:BG487 BA483:BD484 BG484:BW484 BG483 BJ483:BW483 BA480:BW482 BA479:BD479 BG479 BJ479:BW479 BA474:BW478 BA473 BD473 BG473 BJ473 BM473:BW473 BA470:BW472 BA469 BD469 BJ469 BM469:BW469 BA468:BD468 BG468:BG469 BJ468:BW468 BA459:BW467 BA458:BD458 BG458:BW458 BA451:BW457 BA450:BD450 BG450:BW450 BA441:BW449 BA440:BD440 BG440 BJ440:BW440 BA438:BW439 BA437:BD437 BG437 BJ437:BW437 BA434:BW436 BA433:BD433 BG433 BJ433:BW433 BA425:BW432 BA424 BD424 BG424 BJ424 BM424:BW424 BA419:BW423 BA418:BD418 BG418 BJ418:BW418 BA404:BW417 BA403:BD403 BG403 BJ403:BW403 BA381:BW402 BA380 BD380 BG380 BJ380 BM380:BW380 BA300:BW379 BA299 BD299 BG299 BJ299 BM299:BW299">
    <cfRule type="cellIs" dxfId="423" priority="326" operator="greaterThan">
      <formula>0</formula>
    </cfRule>
  </conditionalFormatting>
  <conditionalFormatting sqref="BN2:BR490">
    <cfRule type="cellIs" dxfId="422" priority="329" operator="lessThan">
      <formula>TODAY()</formula>
    </cfRule>
  </conditionalFormatting>
  <conditionalFormatting sqref="BN2:BR490">
    <cfRule type="expression" dxfId="421" priority="325">
      <formula>IF($FO2&lt;=TODAY(),TRUE,FALSE)</formula>
    </cfRule>
  </conditionalFormatting>
  <conditionalFormatting sqref="CA315 BS2:BW490">
    <cfRule type="cellIs" dxfId="420" priority="328" operator="lessThan">
      <formula>1</formula>
    </cfRule>
  </conditionalFormatting>
  <conditionalFormatting sqref="BB3:BC3 BB279:BC281 BB54:BC60 BB69:BC72 BB144:BC157 BB159:BC181 BB270:BC271 BB337:BC338 BB341:BC343 BB430:BC431 BB260:BC260 BB321:BC327 BB357:BC358 BB360:BC365 BB107:BC107 BB401:BC411 BB6:BC7 BB9:BC10 BB12:BC15 BB21:BC22 BB24:BC26 BB35:BC47 BB62:BC62 BB81:BC103 BB196:BC196 BB199:BC207 BB355:BC355 BB381:BC392 BB423:BC423 BB17:BC19 BB29:BC33 BB193:BC193 BB219:BC222 BB238:BC240 BB273:BC274 BB276:BC276 BB345:BC345 BB413:BC420 BB64:BC64 BB66:BC66 BB74:BC77 BB183:BC191 BB250:BC257 BB262:BC268 BB284:BC288 BB290:BC298 BB310:BC319 BB347:BC352 BB367:BC368 BB370:BC379 BB394:BC399 BB49:BC52 BB110:BC110 BB116:BC116 BB124:BC142 BB209:BC217 BB242:BC246 BB331:BC333 BB113:BC114 BB118:BC118 BB224:BC236 BB329:BC329 BB425:BC427 BB300:BC308">
    <cfRule type="cellIs" dxfId="419" priority="320" operator="greaterThan">
      <formula>0</formula>
    </cfRule>
  </conditionalFormatting>
  <conditionalFormatting sqref="BO412:BR416">
    <cfRule type="expression" dxfId="418" priority="324">
      <formula>IF($FO412&lt;=TODAY(),TRUE,FALSE)</formula>
    </cfRule>
  </conditionalFormatting>
  <conditionalFormatting sqref="BE6:BF7 BE54:BF60 BE69:BF72 BE144:BF157 BE159:BF181 BE270:BF271 BE280:BF281 BE337:BF337 BE342:BF343 BE389:BF392 BE415:BF417 BE426:BF427 BE430:BF431 BE260:BF260 BE321:BF327 BE357:BF358 BE360:BF365 BE454:BF457 BE107:BF107 BE401:BF402 BE9:BF10 BE12:BF15 BE21:BF22 BE24:BF26 BE35:BF52 BE62:BF62 BE81:BF103 BE196:BF196 BE199:BF207 BE355:BF355 BE381:BF386 BE423:BF423 BE470:BF472 BE17:BF19 BE29:BF33 BE193:BF193 BE219:BF222 BE238:BF240 BE273:BF274 BE276:BF276 BE345:BF345 BE372:BF379 BE413:BF413 BE474:BF474 BE64:BF64 BE66:BF66 BE74:BF77 BE183:BF191 BE250:BF257 BE262:BF268 BE284:BF288 BE290:BF298 BE310:BF310 BE312:BF319 BE347:BF352 BE367:BF368 BE370:BF370 BE394:BF399 BE464:BF467 BE110:BF110 BE116:BF116 BE124:BF142 BE209:BF217 BE242:BF246 BE331:BF333 BE113:BF114 BE118:BF118 BE224:BF236 BE329:BF329 BE459:BF462 BE419:BF420 BE404:BF411 BE300:BF308">
    <cfRule type="cellIs" dxfId="417" priority="319" operator="greaterThan">
      <formula>0</formula>
    </cfRule>
  </conditionalFormatting>
  <conditionalFormatting sqref="BP412:BR416">
    <cfRule type="expression" dxfId="416" priority="323">
      <formula>IF($FO412&lt;=TODAY(),TRUE,FALSE)</formula>
    </cfRule>
  </conditionalFormatting>
  <conditionalFormatting sqref="BH6:BI7 BH54:BI60 BH69:BI72 BH144:BI157 BH159:BI181 BH270:BI271 BH280:BI281 BH337:BI338 BH342:BI343 BH389:BI392 BH415:BI417 BH426:BI427 BH430:BI431 BH260:BI260 BH321:BI327 BH357:BI358 BH360:BI365 BH454:BI462 BH107:BI107 BH401:BI402 BH9:BI10 BH12:BI15 BH21:BI22 BH24:BI26 BH35:BI47 BH62:BI62 BH81:BI103 BH196:BI196 BH199:BI207 BH355:BI355 BH381:BI386 BH423:BI423 BH470:BI472 BH17:BI19 BH29:BI33 BH193:BI193 BH219:BI222 BH238:BI240 BH273:BI274 BH276:BI276 BH345:BI345 BH372:BI379 BH474:BI474 BH64:BI64 BH66:BI66 BH74:BI77 BH183:BI191 BH250:BI257 BH262:BI268 BH284:BI288 BH290:BI298 BH310:BI319 BH347:BI352 BH367:BI368 BH370:BI370 BH394:BI399 BH464:BI467 BH49:BI52 BH110:BI110 BH116:BI116 BH124:BI142 BH209:BI217 BH242:BI246 BH331:BI333 BH113:BI114 BH118:BI118 BH224:BI236 BH329:BI329 BH419:BI420 BH404:BI413 BH300:BI308">
    <cfRule type="cellIs" dxfId="415" priority="318" operator="greaterThan">
      <formula>0</formula>
    </cfRule>
  </conditionalFormatting>
  <conditionalFormatting sqref="BQ412:BR416">
    <cfRule type="expression" dxfId="414" priority="322">
      <formula>IF($FO412&lt;=TODAY(),TRUE,FALSE)</formula>
    </cfRule>
  </conditionalFormatting>
  <conditionalFormatting sqref="BR412:BR416">
    <cfRule type="expression" dxfId="413" priority="321">
      <formula>IF($FO412&lt;=TODAY(),TRUE,FALSE)</formula>
    </cfRule>
  </conditionalFormatting>
  <conditionalFormatting sqref="BB475:BC475">
    <cfRule type="cellIs" dxfId="412" priority="317" operator="greaterThan">
      <formula>0</formula>
    </cfRule>
  </conditionalFormatting>
  <conditionalFormatting sqref="BE475:BF475">
    <cfRule type="cellIs" dxfId="411" priority="316" operator="greaterThan">
      <formula>0</formula>
    </cfRule>
  </conditionalFormatting>
  <conditionalFormatting sqref="BH475:BI475">
    <cfRule type="cellIs" dxfId="410" priority="315" operator="greaterThan">
      <formula>0</formula>
    </cfRule>
  </conditionalFormatting>
  <conditionalFormatting sqref="BB476:BC476">
    <cfRule type="cellIs" dxfId="409" priority="314" operator="greaterThan">
      <formula>0</formula>
    </cfRule>
  </conditionalFormatting>
  <conditionalFormatting sqref="BE476:BF476">
    <cfRule type="cellIs" dxfId="408" priority="313" operator="greaterThan">
      <formula>0</formula>
    </cfRule>
  </conditionalFormatting>
  <conditionalFormatting sqref="BH476:BI476">
    <cfRule type="cellIs" dxfId="407" priority="312" operator="greaterThan">
      <formula>0</formula>
    </cfRule>
  </conditionalFormatting>
  <conditionalFormatting sqref="BB477:BC477">
    <cfRule type="cellIs" dxfId="406" priority="311" operator="greaterThan">
      <formula>0</formula>
    </cfRule>
  </conditionalFormatting>
  <conditionalFormatting sqref="BB478:BC478">
    <cfRule type="cellIs" dxfId="405" priority="310" operator="greaterThan">
      <formula>0</formula>
    </cfRule>
  </conditionalFormatting>
  <conditionalFormatting sqref="BE478:BF478">
    <cfRule type="cellIs" dxfId="404" priority="309" operator="greaterThan">
      <formula>0</formula>
    </cfRule>
  </conditionalFormatting>
  <conditionalFormatting sqref="BH478:BI478">
    <cfRule type="cellIs" dxfId="403" priority="308" operator="greaterThan">
      <formula>0</formula>
    </cfRule>
  </conditionalFormatting>
  <conditionalFormatting sqref="BB479:BC479">
    <cfRule type="cellIs" dxfId="402" priority="307" operator="greaterThan">
      <formula>0</formula>
    </cfRule>
  </conditionalFormatting>
  <conditionalFormatting sqref="BB480:BC480">
    <cfRule type="cellIs" dxfId="401" priority="306" operator="greaterThan">
      <formula>0</formula>
    </cfRule>
  </conditionalFormatting>
  <conditionalFormatting sqref="BE480:BF480">
    <cfRule type="cellIs" dxfId="400" priority="305" operator="greaterThan">
      <formula>0</formula>
    </cfRule>
  </conditionalFormatting>
  <conditionalFormatting sqref="BH480:BI480">
    <cfRule type="cellIs" dxfId="399" priority="304" operator="greaterThan">
      <formula>0</formula>
    </cfRule>
  </conditionalFormatting>
  <conditionalFormatting sqref="BB481:BC481">
    <cfRule type="cellIs" dxfId="398" priority="303" operator="greaterThan">
      <formula>0</formula>
    </cfRule>
  </conditionalFormatting>
  <conditionalFormatting sqref="BB277:BC277">
    <cfRule type="cellIs" dxfId="397" priority="302" operator="greaterThan">
      <formula>0</formula>
    </cfRule>
  </conditionalFormatting>
  <conditionalFormatting sqref="BB2:BC2">
    <cfRule type="cellIs" dxfId="396" priority="301" operator="greaterThan">
      <formula>0</formula>
    </cfRule>
  </conditionalFormatting>
  <conditionalFormatting sqref="BE2:BF2">
    <cfRule type="cellIs" dxfId="395" priority="300" operator="greaterThan">
      <formula>0</formula>
    </cfRule>
  </conditionalFormatting>
  <conditionalFormatting sqref="BH2:BI2">
    <cfRule type="cellIs" dxfId="394" priority="299" operator="greaterThan">
      <formula>0</formula>
    </cfRule>
  </conditionalFormatting>
  <conditionalFormatting sqref="BB53:BC53">
    <cfRule type="cellIs" dxfId="393" priority="298" operator="greaterThan">
      <formula>0</formula>
    </cfRule>
  </conditionalFormatting>
  <conditionalFormatting sqref="BE53:BF53">
    <cfRule type="cellIs" dxfId="392" priority="297" operator="greaterThan">
      <formula>0</formula>
    </cfRule>
  </conditionalFormatting>
  <conditionalFormatting sqref="BH53:BI53">
    <cfRule type="cellIs" dxfId="391" priority="296" operator="greaterThan">
      <formula>0</formula>
    </cfRule>
  </conditionalFormatting>
  <conditionalFormatting sqref="BB67:BC67">
    <cfRule type="cellIs" dxfId="390" priority="295" operator="greaterThan">
      <formula>0</formula>
    </cfRule>
  </conditionalFormatting>
  <conditionalFormatting sqref="BE67:BF67">
    <cfRule type="cellIs" dxfId="389" priority="294" operator="greaterThan">
      <formula>0</formula>
    </cfRule>
  </conditionalFormatting>
  <conditionalFormatting sqref="BH67:BI67">
    <cfRule type="cellIs" dxfId="388" priority="293" operator="greaterThan">
      <formula>0</formula>
    </cfRule>
  </conditionalFormatting>
  <conditionalFormatting sqref="BB143:BC143">
    <cfRule type="cellIs" dxfId="387" priority="292" operator="greaterThan">
      <formula>0</formula>
    </cfRule>
  </conditionalFormatting>
  <conditionalFormatting sqref="BE143:BF143">
    <cfRule type="cellIs" dxfId="386" priority="291" operator="greaterThan">
      <formula>0</formula>
    </cfRule>
  </conditionalFormatting>
  <conditionalFormatting sqref="BH143:BI143">
    <cfRule type="cellIs" dxfId="385" priority="290" operator="greaterThan">
      <formula>0</formula>
    </cfRule>
  </conditionalFormatting>
  <conditionalFormatting sqref="BB158:BC158">
    <cfRule type="cellIs" dxfId="384" priority="289" operator="greaterThan">
      <formula>0</formula>
    </cfRule>
  </conditionalFormatting>
  <conditionalFormatting sqref="BE158:BF158">
    <cfRule type="cellIs" dxfId="383" priority="288" operator="greaterThan">
      <formula>0</formula>
    </cfRule>
  </conditionalFormatting>
  <conditionalFormatting sqref="BH158:BI158">
    <cfRule type="cellIs" dxfId="382" priority="287" operator="greaterThan">
      <formula>0</formula>
    </cfRule>
  </conditionalFormatting>
  <conditionalFormatting sqref="BB269:BC269">
    <cfRule type="cellIs" dxfId="381" priority="286" operator="greaterThan">
      <formula>0</formula>
    </cfRule>
  </conditionalFormatting>
  <conditionalFormatting sqref="BE269:BF269">
    <cfRule type="cellIs" dxfId="380" priority="285" operator="greaterThan">
      <formula>0</formula>
    </cfRule>
  </conditionalFormatting>
  <conditionalFormatting sqref="BH269:BI269">
    <cfRule type="cellIs" dxfId="379" priority="284" operator="greaterThan">
      <formula>0</formula>
    </cfRule>
  </conditionalFormatting>
  <conditionalFormatting sqref="BE277:BF277">
    <cfRule type="cellIs" dxfId="378" priority="283" operator="greaterThan">
      <formula>0</formula>
    </cfRule>
  </conditionalFormatting>
  <conditionalFormatting sqref="BH277:BI277">
    <cfRule type="cellIs" dxfId="377" priority="282" operator="greaterThan">
      <formula>0</formula>
    </cfRule>
  </conditionalFormatting>
  <conditionalFormatting sqref="BB278:BC278">
    <cfRule type="cellIs" dxfId="376" priority="281" operator="greaterThan">
      <formula>0</formula>
    </cfRule>
  </conditionalFormatting>
  <conditionalFormatting sqref="BE278:BF278">
    <cfRule type="cellIs" dxfId="375" priority="280" operator="greaterThan">
      <formula>0</formula>
    </cfRule>
  </conditionalFormatting>
  <conditionalFormatting sqref="BH278:BI278">
    <cfRule type="cellIs" dxfId="374" priority="279" operator="greaterThan">
      <formula>0</formula>
    </cfRule>
  </conditionalFormatting>
  <conditionalFormatting sqref="BB335:BC335">
    <cfRule type="cellIs" dxfId="373" priority="278" operator="greaterThan">
      <formula>0</formula>
    </cfRule>
  </conditionalFormatting>
  <conditionalFormatting sqref="BE335:BF335">
    <cfRule type="cellIs" dxfId="372" priority="277" operator="greaterThan">
      <formula>0</formula>
    </cfRule>
  </conditionalFormatting>
  <conditionalFormatting sqref="BH335:BI335">
    <cfRule type="cellIs" dxfId="371" priority="276" operator="greaterThan">
      <formula>0</formula>
    </cfRule>
  </conditionalFormatting>
  <conditionalFormatting sqref="BB339:BC339">
    <cfRule type="cellIs" dxfId="370" priority="275" operator="greaterThan">
      <formula>0</formula>
    </cfRule>
  </conditionalFormatting>
  <conditionalFormatting sqref="BE339:BF339">
    <cfRule type="cellIs" dxfId="369" priority="274" operator="greaterThan">
      <formula>0</formula>
    </cfRule>
  </conditionalFormatting>
  <conditionalFormatting sqref="BH339:BI339">
    <cfRule type="cellIs" dxfId="368" priority="273" operator="greaterThan">
      <formula>0</formula>
    </cfRule>
  </conditionalFormatting>
  <conditionalFormatting sqref="BB340:BC340">
    <cfRule type="cellIs" dxfId="367" priority="272" operator="greaterThan">
      <formula>0</formula>
    </cfRule>
  </conditionalFormatting>
  <conditionalFormatting sqref="BE340:BF340">
    <cfRule type="cellIs" dxfId="366" priority="271" operator="greaterThan">
      <formula>0</formula>
    </cfRule>
  </conditionalFormatting>
  <conditionalFormatting sqref="BH340:BI340">
    <cfRule type="cellIs" dxfId="365" priority="270" operator="greaterThan">
      <formula>0</formula>
    </cfRule>
  </conditionalFormatting>
  <conditionalFormatting sqref="BE387:BF387">
    <cfRule type="cellIs" dxfId="364" priority="269" operator="greaterThan">
      <formula>0</formula>
    </cfRule>
  </conditionalFormatting>
  <conditionalFormatting sqref="BH387:BI387">
    <cfRule type="cellIs" dxfId="363" priority="268" operator="greaterThan">
      <formula>0</formula>
    </cfRule>
  </conditionalFormatting>
  <conditionalFormatting sqref="BE414:BF414">
    <cfRule type="cellIs" dxfId="362" priority="267" operator="greaterThan">
      <formula>0</formula>
    </cfRule>
  </conditionalFormatting>
  <conditionalFormatting sqref="BH414:BI414">
    <cfRule type="cellIs" dxfId="361" priority="266" operator="greaterThan">
      <formula>0</formula>
    </cfRule>
  </conditionalFormatting>
  <conditionalFormatting sqref="BB429:BC429">
    <cfRule type="cellIs" dxfId="360" priority="265" operator="greaterThan">
      <formula>0</formula>
    </cfRule>
  </conditionalFormatting>
  <conditionalFormatting sqref="BH429:BI429">
    <cfRule type="cellIs" dxfId="359" priority="264" operator="greaterThan">
      <formula>0</formula>
    </cfRule>
  </conditionalFormatting>
  <conditionalFormatting sqref="BB433:BC433">
    <cfRule type="cellIs" dxfId="358" priority="263" operator="greaterThan">
      <formula>0</formula>
    </cfRule>
  </conditionalFormatting>
  <conditionalFormatting sqref="BB482:BC482">
    <cfRule type="cellIs" dxfId="357" priority="262" operator="greaterThan">
      <formula>0</formula>
    </cfRule>
  </conditionalFormatting>
  <conditionalFormatting sqref="BB258:BC258">
    <cfRule type="cellIs" dxfId="356" priority="261" operator="greaterThan">
      <formula>0</formula>
    </cfRule>
  </conditionalFormatting>
  <conditionalFormatting sqref="BE258:BF258">
    <cfRule type="cellIs" dxfId="355" priority="260" operator="greaterThan">
      <formula>0</formula>
    </cfRule>
  </conditionalFormatting>
  <conditionalFormatting sqref="BH258:BI258">
    <cfRule type="cellIs" dxfId="354" priority="259" operator="greaterThan">
      <formula>0</formula>
    </cfRule>
  </conditionalFormatting>
  <conditionalFormatting sqref="BB320:BC320">
    <cfRule type="cellIs" dxfId="353" priority="258" operator="greaterThan">
      <formula>0</formula>
    </cfRule>
  </conditionalFormatting>
  <conditionalFormatting sqref="BE320:BF320">
    <cfRule type="cellIs" dxfId="352" priority="257" operator="greaterThan">
      <formula>0</formula>
    </cfRule>
  </conditionalFormatting>
  <conditionalFormatting sqref="BH320:BI320">
    <cfRule type="cellIs" dxfId="351" priority="256" operator="greaterThan">
      <formula>0</formula>
    </cfRule>
  </conditionalFormatting>
  <conditionalFormatting sqref="BB334:BC334">
    <cfRule type="cellIs" dxfId="350" priority="255" operator="greaterThan">
      <formula>0</formula>
    </cfRule>
  </conditionalFormatting>
  <conditionalFormatting sqref="BE334:BF334">
    <cfRule type="cellIs" dxfId="349" priority="254" operator="greaterThan">
      <formula>0</formula>
    </cfRule>
  </conditionalFormatting>
  <conditionalFormatting sqref="BH334:BI334">
    <cfRule type="cellIs" dxfId="348" priority="253" operator="greaterThan">
      <formula>0</formula>
    </cfRule>
  </conditionalFormatting>
  <conditionalFormatting sqref="BB356:BC356">
    <cfRule type="cellIs" dxfId="347" priority="252" operator="greaterThan">
      <formula>0</formula>
    </cfRule>
  </conditionalFormatting>
  <conditionalFormatting sqref="BE356:BF356">
    <cfRule type="cellIs" dxfId="346" priority="251" operator="greaterThan">
      <formula>0</formula>
    </cfRule>
  </conditionalFormatting>
  <conditionalFormatting sqref="BH356:BI356">
    <cfRule type="cellIs" dxfId="345" priority="250" operator="greaterThan">
      <formula>0</formula>
    </cfRule>
  </conditionalFormatting>
  <conditionalFormatting sqref="BB359:BC359">
    <cfRule type="cellIs" dxfId="344" priority="249" operator="greaterThan">
      <formula>0</formula>
    </cfRule>
  </conditionalFormatting>
  <conditionalFormatting sqref="BE359:BF359">
    <cfRule type="cellIs" dxfId="343" priority="248" operator="greaterThan">
      <formula>0</formula>
    </cfRule>
  </conditionalFormatting>
  <conditionalFormatting sqref="BH359:BI359">
    <cfRule type="cellIs" dxfId="342" priority="247" operator="greaterThan">
      <formula>0</formula>
    </cfRule>
  </conditionalFormatting>
  <conditionalFormatting sqref="BB432:BC432">
    <cfRule type="cellIs" dxfId="341" priority="246" operator="greaterThan">
      <formula>0</formula>
    </cfRule>
  </conditionalFormatting>
  <conditionalFormatting sqref="BE432:BF432">
    <cfRule type="cellIs" dxfId="340" priority="245" operator="greaterThan">
      <formula>0</formula>
    </cfRule>
  </conditionalFormatting>
  <conditionalFormatting sqref="BH432:BI432">
    <cfRule type="cellIs" dxfId="339" priority="244" operator="greaterThan">
      <formula>0</formula>
    </cfRule>
  </conditionalFormatting>
  <conditionalFormatting sqref="BE452:BF452">
    <cfRule type="cellIs" dxfId="338" priority="243" operator="greaterThan">
      <formula>0</formula>
    </cfRule>
  </conditionalFormatting>
  <conditionalFormatting sqref="BH452:BI452">
    <cfRule type="cellIs" dxfId="337" priority="242" operator="greaterThan">
      <formula>0</formula>
    </cfRule>
  </conditionalFormatting>
  <conditionalFormatting sqref="BB483:BC483">
    <cfRule type="cellIs" dxfId="336" priority="241" operator="greaterThan">
      <formula>0</formula>
    </cfRule>
  </conditionalFormatting>
  <conditionalFormatting sqref="BB484:BC484">
    <cfRule type="cellIs" dxfId="335" priority="240" operator="greaterThan">
      <formula>0</formula>
    </cfRule>
  </conditionalFormatting>
  <conditionalFormatting sqref="BH484:BI484">
    <cfRule type="cellIs" dxfId="334" priority="239" operator="greaterThan">
      <formula>0</formula>
    </cfRule>
  </conditionalFormatting>
  <conditionalFormatting sqref="BB104:BC106">
    <cfRule type="cellIs" dxfId="333" priority="238" operator="greaterThan">
      <formula>0</formula>
    </cfRule>
  </conditionalFormatting>
  <conditionalFormatting sqref="BE104:BF106">
    <cfRule type="cellIs" dxfId="332" priority="237" operator="greaterThan">
      <formula>0</formula>
    </cfRule>
  </conditionalFormatting>
  <conditionalFormatting sqref="BH104:BI106">
    <cfRule type="cellIs" dxfId="331" priority="236" operator="greaterThan">
      <formula>0</formula>
    </cfRule>
  </conditionalFormatting>
  <conditionalFormatting sqref="BE341:BF341">
    <cfRule type="cellIs" dxfId="330" priority="235" operator="greaterThan">
      <formula>0</formula>
    </cfRule>
  </conditionalFormatting>
  <conditionalFormatting sqref="BH341:BI341">
    <cfRule type="cellIs" dxfId="329" priority="234" operator="greaterThan">
      <formula>0</formula>
    </cfRule>
  </conditionalFormatting>
  <conditionalFormatting sqref="BB400:BC400">
    <cfRule type="cellIs" dxfId="328" priority="233" operator="greaterThan">
      <formula>0</formula>
    </cfRule>
  </conditionalFormatting>
  <conditionalFormatting sqref="BE400:BF400">
    <cfRule type="cellIs" dxfId="327" priority="232" operator="greaterThan">
      <formula>0</formula>
    </cfRule>
  </conditionalFormatting>
  <conditionalFormatting sqref="BH400:BI400">
    <cfRule type="cellIs" dxfId="326" priority="231" operator="greaterThan">
      <formula>0</formula>
    </cfRule>
  </conditionalFormatting>
  <conditionalFormatting sqref="BE3:BF3">
    <cfRule type="cellIs" dxfId="325" priority="230" operator="greaterThan">
      <formula>0</formula>
    </cfRule>
  </conditionalFormatting>
  <conditionalFormatting sqref="BH3:BI3">
    <cfRule type="cellIs" dxfId="324" priority="229" operator="greaterThan">
      <formula>0</formula>
    </cfRule>
  </conditionalFormatting>
  <conditionalFormatting sqref="BB4:BC4">
    <cfRule type="cellIs" dxfId="323" priority="228" operator="greaterThan">
      <formula>0</formula>
    </cfRule>
  </conditionalFormatting>
  <conditionalFormatting sqref="BE4:BF4">
    <cfRule type="cellIs" dxfId="322" priority="227" operator="greaterThan">
      <formula>0</formula>
    </cfRule>
  </conditionalFormatting>
  <conditionalFormatting sqref="BH4:BI4">
    <cfRule type="cellIs" dxfId="321" priority="226" operator="greaterThan">
      <formula>0</formula>
    </cfRule>
  </conditionalFormatting>
  <conditionalFormatting sqref="BB8:BC8">
    <cfRule type="cellIs" dxfId="320" priority="225" operator="greaterThan">
      <formula>0</formula>
    </cfRule>
  </conditionalFormatting>
  <conditionalFormatting sqref="BE8:BF8">
    <cfRule type="cellIs" dxfId="319" priority="224" operator="greaterThan">
      <formula>0</formula>
    </cfRule>
  </conditionalFormatting>
  <conditionalFormatting sqref="BH8:BI8">
    <cfRule type="cellIs" dxfId="318" priority="223" operator="greaterThan">
      <formula>0</formula>
    </cfRule>
  </conditionalFormatting>
  <conditionalFormatting sqref="BB11:BC11">
    <cfRule type="cellIs" dxfId="317" priority="222" operator="greaterThan">
      <formula>0</formula>
    </cfRule>
  </conditionalFormatting>
  <conditionalFormatting sqref="BE11:BF11">
    <cfRule type="cellIs" dxfId="316" priority="221" operator="greaterThan">
      <formula>0</formula>
    </cfRule>
  </conditionalFormatting>
  <conditionalFormatting sqref="BH11:BI11">
    <cfRule type="cellIs" dxfId="315" priority="220" operator="greaterThan">
      <formula>0</formula>
    </cfRule>
  </conditionalFormatting>
  <conditionalFormatting sqref="BB20:BC20">
    <cfRule type="cellIs" dxfId="314" priority="219" operator="greaterThan">
      <formula>0</formula>
    </cfRule>
  </conditionalFormatting>
  <conditionalFormatting sqref="BE20:BF20">
    <cfRule type="cellIs" dxfId="313" priority="218" operator="greaterThan">
      <formula>0</formula>
    </cfRule>
  </conditionalFormatting>
  <conditionalFormatting sqref="BH20:BI20">
    <cfRule type="cellIs" dxfId="312" priority="217" operator="greaterThan">
      <formula>0</formula>
    </cfRule>
  </conditionalFormatting>
  <conditionalFormatting sqref="BB23:BC23">
    <cfRule type="cellIs" dxfId="311" priority="216" operator="greaterThan">
      <formula>0</formula>
    </cfRule>
  </conditionalFormatting>
  <conditionalFormatting sqref="BE23:BF23">
    <cfRule type="cellIs" dxfId="310" priority="215" operator="greaterThan">
      <formula>0</formula>
    </cfRule>
  </conditionalFormatting>
  <conditionalFormatting sqref="BH23:BI23">
    <cfRule type="cellIs" dxfId="309" priority="214" operator="greaterThan">
      <formula>0</formula>
    </cfRule>
  </conditionalFormatting>
  <conditionalFormatting sqref="BB34:BC34">
    <cfRule type="cellIs" dxfId="308" priority="213" operator="greaterThan">
      <formula>0</formula>
    </cfRule>
  </conditionalFormatting>
  <conditionalFormatting sqref="BE34:BF34">
    <cfRule type="cellIs" dxfId="307" priority="212" operator="greaterThan">
      <formula>0</formula>
    </cfRule>
  </conditionalFormatting>
  <conditionalFormatting sqref="BH34:BI34">
    <cfRule type="cellIs" dxfId="306" priority="211" operator="greaterThan">
      <formula>0</formula>
    </cfRule>
  </conditionalFormatting>
  <conditionalFormatting sqref="BB61:BC61">
    <cfRule type="cellIs" dxfId="305" priority="210" operator="greaterThan">
      <formula>0</formula>
    </cfRule>
  </conditionalFormatting>
  <conditionalFormatting sqref="BE61:BF61">
    <cfRule type="cellIs" dxfId="304" priority="209" operator="greaterThan">
      <formula>0</formula>
    </cfRule>
  </conditionalFormatting>
  <conditionalFormatting sqref="BH61:BI61">
    <cfRule type="cellIs" dxfId="303" priority="208" operator="greaterThan">
      <formula>0</formula>
    </cfRule>
  </conditionalFormatting>
  <conditionalFormatting sqref="BB78:BC78">
    <cfRule type="cellIs" dxfId="302" priority="207" operator="greaterThan">
      <formula>0</formula>
    </cfRule>
  </conditionalFormatting>
  <conditionalFormatting sqref="BE78:BF78">
    <cfRule type="cellIs" dxfId="301" priority="206" operator="greaterThan">
      <formula>0</formula>
    </cfRule>
  </conditionalFormatting>
  <conditionalFormatting sqref="BH78:BI78">
    <cfRule type="cellIs" dxfId="300" priority="205" operator="greaterThan">
      <formula>0</formula>
    </cfRule>
  </conditionalFormatting>
  <conditionalFormatting sqref="BB79:BC79">
    <cfRule type="cellIs" dxfId="299" priority="204" operator="greaterThan">
      <formula>0</formula>
    </cfRule>
  </conditionalFormatting>
  <conditionalFormatting sqref="BE79:BF79">
    <cfRule type="cellIs" dxfId="298" priority="203" operator="greaterThan">
      <formula>0</formula>
    </cfRule>
  </conditionalFormatting>
  <conditionalFormatting sqref="BH79:BI79">
    <cfRule type="cellIs" dxfId="297" priority="202" operator="greaterThan">
      <formula>0</formula>
    </cfRule>
  </conditionalFormatting>
  <conditionalFormatting sqref="BB80:BC80">
    <cfRule type="cellIs" dxfId="296" priority="201" operator="greaterThan">
      <formula>0</formula>
    </cfRule>
  </conditionalFormatting>
  <conditionalFormatting sqref="BE80:BF80">
    <cfRule type="cellIs" dxfId="295" priority="200" operator="greaterThan">
      <formula>0</formula>
    </cfRule>
  </conditionalFormatting>
  <conditionalFormatting sqref="BH80:BI80">
    <cfRule type="cellIs" dxfId="294" priority="199" operator="greaterThan">
      <formula>0</formula>
    </cfRule>
  </conditionalFormatting>
  <conditionalFormatting sqref="BB194:BC194">
    <cfRule type="cellIs" dxfId="293" priority="198" operator="greaterThan">
      <formula>0</formula>
    </cfRule>
  </conditionalFormatting>
  <conditionalFormatting sqref="BE194:BF194">
    <cfRule type="cellIs" dxfId="292" priority="197" operator="greaterThan">
      <formula>0</formula>
    </cfRule>
  </conditionalFormatting>
  <conditionalFormatting sqref="BH194:BI194">
    <cfRule type="cellIs" dxfId="291" priority="196" operator="greaterThan">
      <formula>0</formula>
    </cfRule>
  </conditionalFormatting>
  <conditionalFormatting sqref="BB195:BC195">
    <cfRule type="cellIs" dxfId="290" priority="195" operator="greaterThan">
      <formula>0</formula>
    </cfRule>
  </conditionalFormatting>
  <conditionalFormatting sqref="BE195:BF195">
    <cfRule type="cellIs" dxfId="289" priority="194" operator="greaterThan">
      <formula>0</formula>
    </cfRule>
  </conditionalFormatting>
  <conditionalFormatting sqref="BH195:BI195">
    <cfRule type="cellIs" dxfId="288" priority="193" operator="greaterThan">
      <formula>0</formula>
    </cfRule>
  </conditionalFormatting>
  <conditionalFormatting sqref="BB197:BC197">
    <cfRule type="cellIs" dxfId="287" priority="192" operator="greaterThan">
      <formula>0</formula>
    </cfRule>
  </conditionalFormatting>
  <conditionalFormatting sqref="BE197:BF197">
    <cfRule type="cellIs" dxfId="286" priority="191" operator="greaterThan">
      <formula>0</formula>
    </cfRule>
  </conditionalFormatting>
  <conditionalFormatting sqref="BH197:BI197">
    <cfRule type="cellIs" dxfId="285" priority="190" operator="greaterThan">
      <formula>0</formula>
    </cfRule>
  </conditionalFormatting>
  <conditionalFormatting sqref="BE279:BF279">
    <cfRule type="cellIs" dxfId="284" priority="189" operator="greaterThan">
      <formula>0</formula>
    </cfRule>
  </conditionalFormatting>
  <conditionalFormatting sqref="BH279:BI279">
    <cfRule type="cellIs" dxfId="283" priority="188" operator="greaterThan">
      <formula>0</formula>
    </cfRule>
  </conditionalFormatting>
  <conditionalFormatting sqref="BB353:BC353">
    <cfRule type="cellIs" dxfId="282" priority="187" operator="greaterThan">
      <formula>0</formula>
    </cfRule>
  </conditionalFormatting>
  <conditionalFormatting sqref="BE353:BF353">
    <cfRule type="cellIs" dxfId="281" priority="186" operator="greaterThan">
      <formula>0</formula>
    </cfRule>
  </conditionalFormatting>
  <conditionalFormatting sqref="BH353:BI353">
    <cfRule type="cellIs" dxfId="280" priority="185" operator="greaterThan">
      <formula>0</formula>
    </cfRule>
  </conditionalFormatting>
  <conditionalFormatting sqref="BB354:BC354">
    <cfRule type="cellIs" dxfId="279" priority="184" operator="greaterThan">
      <formula>0</formula>
    </cfRule>
  </conditionalFormatting>
  <conditionalFormatting sqref="BE354:BF354">
    <cfRule type="cellIs" dxfId="278" priority="183" operator="greaterThan">
      <formula>0</formula>
    </cfRule>
  </conditionalFormatting>
  <conditionalFormatting sqref="BH354:BI354">
    <cfRule type="cellIs" dxfId="277" priority="182" operator="greaterThan">
      <formula>0</formula>
    </cfRule>
  </conditionalFormatting>
  <conditionalFormatting sqref="BE422:BF422">
    <cfRule type="cellIs" dxfId="276" priority="181" operator="greaterThan">
      <formula>0</formula>
    </cfRule>
  </conditionalFormatting>
  <conditionalFormatting sqref="BH422:BI422">
    <cfRule type="cellIs" dxfId="275" priority="180" operator="greaterThan">
      <formula>0</formula>
    </cfRule>
  </conditionalFormatting>
  <conditionalFormatting sqref="BE477:BF477">
    <cfRule type="cellIs" dxfId="274" priority="179" operator="greaterThan">
      <formula>0</formula>
    </cfRule>
  </conditionalFormatting>
  <conditionalFormatting sqref="BH477:BI477">
    <cfRule type="cellIs" dxfId="273" priority="178" operator="greaterThan">
      <formula>0</formula>
    </cfRule>
  </conditionalFormatting>
  <conditionalFormatting sqref="BB421:BC421">
    <cfRule type="cellIs" dxfId="272" priority="177" operator="greaterThan">
      <formula>0</formula>
    </cfRule>
  </conditionalFormatting>
  <conditionalFormatting sqref="BE421:BF421">
    <cfRule type="cellIs" dxfId="271" priority="176" operator="greaterThan">
      <formula>0</formula>
    </cfRule>
  </conditionalFormatting>
  <conditionalFormatting sqref="BH421:BI421">
    <cfRule type="cellIs" dxfId="270" priority="175" operator="greaterThan">
      <formula>0</formula>
    </cfRule>
  </conditionalFormatting>
  <conditionalFormatting sqref="BB422:BC422">
    <cfRule type="cellIs" dxfId="269" priority="174" operator="greaterThan">
      <formula>0</formula>
    </cfRule>
  </conditionalFormatting>
  <conditionalFormatting sqref="BB16:BC16">
    <cfRule type="cellIs" dxfId="268" priority="173" operator="greaterThan">
      <formula>0</formula>
    </cfRule>
  </conditionalFormatting>
  <conditionalFormatting sqref="BE16:BF16">
    <cfRule type="cellIs" dxfId="267" priority="172" operator="greaterThan">
      <formula>0</formula>
    </cfRule>
  </conditionalFormatting>
  <conditionalFormatting sqref="BH16:BI16">
    <cfRule type="cellIs" dxfId="266" priority="171" operator="greaterThan">
      <formula>0</formula>
    </cfRule>
  </conditionalFormatting>
  <conditionalFormatting sqref="BB27:BC27">
    <cfRule type="cellIs" dxfId="265" priority="170" operator="greaterThan">
      <formula>0</formula>
    </cfRule>
  </conditionalFormatting>
  <conditionalFormatting sqref="BE27:BF27">
    <cfRule type="cellIs" dxfId="264" priority="169" operator="greaterThan">
      <formula>0</formula>
    </cfRule>
  </conditionalFormatting>
  <conditionalFormatting sqref="BH27:BI27">
    <cfRule type="cellIs" dxfId="263" priority="168" operator="greaterThan">
      <formula>0</formula>
    </cfRule>
  </conditionalFormatting>
  <conditionalFormatting sqref="BB192:BC192">
    <cfRule type="cellIs" dxfId="262" priority="167" operator="greaterThan">
      <formula>0</formula>
    </cfRule>
  </conditionalFormatting>
  <conditionalFormatting sqref="BE192:BF192">
    <cfRule type="cellIs" dxfId="261" priority="166" operator="greaterThan">
      <formula>0</formula>
    </cfRule>
  </conditionalFormatting>
  <conditionalFormatting sqref="BH192:BI192">
    <cfRule type="cellIs" dxfId="260" priority="165" operator="greaterThan">
      <formula>0</formula>
    </cfRule>
  </conditionalFormatting>
  <conditionalFormatting sqref="BB218:BC218">
    <cfRule type="cellIs" dxfId="259" priority="164" operator="greaterThan">
      <formula>0</formula>
    </cfRule>
  </conditionalFormatting>
  <conditionalFormatting sqref="BE218:BF218">
    <cfRule type="cellIs" dxfId="258" priority="163" operator="greaterThan">
      <formula>0</formula>
    </cfRule>
  </conditionalFormatting>
  <conditionalFormatting sqref="BH218:BI218">
    <cfRule type="cellIs" dxfId="257" priority="162" operator="greaterThan">
      <formula>0</formula>
    </cfRule>
  </conditionalFormatting>
  <conditionalFormatting sqref="BB237:BC237">
    <cfRule type="cellIs" dxfId="256" priority="161" operator="greaterThan">
      <formula>0</formula>
    </cfRule>
  </conditionalFormatting>
  <conditionalFormatting sqref="BE237:BF237">
    <cfRule type="cellIs" dxfId="255" priority="160" operator="greaterThan">
      <formula>0</formula>
    </cfRule>
  </conditionalFormatting>
  <conditionalFormatting sqref="BH237:BI237">
    <cfRule type="cellIs" dxfId="254" priority="159" operator="greaterThan">
      <formula>0</formula>
    </cfRule>
  </conditionalFormatting>
  <conditionalFormatting sqref="BB272:BC272">
    <cfRule type="cellIs" dxfId="253" priority="158" operator="greaterThan">
      <formula>0</formula>
    </cfRule>
  </conditionalFormatting>
  <conditionalFormatting sqref="BE272:BF272">
    <cfRule type="cellIs" dxfId="252" priority="157" operator="greaterThan">
      <formula>0</formula>
    </cfRule>
  </conditionalFormatting>
  <conditionalFormatting sqref="BH272:BI272">
    <cfRule type="cellIs" dxfId="251" priority="156" operator="greaterThan">
      <formula>0</formula>
    </cfRule>
  </conditionalFormatting>
  <conditionalFormatting sqref="BB275:BC275">
    <cfRule type="cellIs" dxfId="250" priority="155" operator="greaterThan">
      <formula>0</formula>
    </cfRule>
  </conditionalFormatting>
  <conditionalFormatting sqref="BE275:BF275">
    <cfRule type="cellIs" dxfId="249" priority="154" operator="greaterThan">
      <formula>0</formula>
    </cfRule>
  </conditionalFormatting>
  <conditionalFormatting sqref="BH275:BI275">
    <cfRule type="cellIs" dxfId="248" priority="153" operator="greaterThan">
      <formula>0</formula>
    </cfRule>
  </conditionalFormatting>
  <conditionalFormatting sqref="BB344:BC344">
    <cfRule type="cellIs" dxfId="247" priority="152" operator="greaterThan">
      <formula>0</formula>
    </cfRule>
  </conditionalFormatting>
  <conditionalFormatting sqref="BE344:BF344">
    <cfRule type="cellIs" dxfId="246" priority="151" operator="greaterThan">
      <formula>0</formula>
    </cfRule>
  </conditionalFormatting>
  <conditionalFormatting sqref="BH344:BI344">
    <cfRule type="cellIs" dxfId="245" priority="150" operator="greaterThan">
      <formula>0</formula>
    </cfRule>
  </conditionalFormatting>
  <conditionalFormatting sqref="BE371:BF371">
    <cfRule type="cellIs" dxfId="244" priority="149" operator="greaterThan">
      <formula>0</formula>
    </cfRule>
  </conditionalFormatting>
  <conditionalFormatting sqref="BH371:BI371">
    <cfRule type="cellIs" dxfId="243" priority="148" operator="greaterThan">
      <formula>0</formula>
    </cfRule>
  </conditionalFormatting>
  <conditionalFormatting sqref="BB412:BC412">
    <cfRule type="cellIs" dxfId="242" priority="147" operator="greaterThan">
      <formula>0</formula>
    </cfRule>
  </conditionalFormatting>
  <conditionalFormatting sqref="BE412:BF412">
    <cfRule type="cellIs" dxfId="241" priority="146" operator="greaterThan">
      <formula>0</formula>
    </cfRule>
  </conditionalFormatting>
  <conditionalFormatting sqref="BB5:BC5">
    <cfRule type="cellIs" dxfId="240" priority="145" operator="greaterThan">
      <formula>0</formula>
    </cfRule>
  </conditionalFormatting>
  <conditionalFormatting sqref="BE5:BF5">
    <cfRule type="cellIs" dxfId="239" priority="144" operator="greaterThan">
      <formula>0</formula>
    </cfRule>
  </conditionalFormatting>
  <conditionalFormatting sqref="BH5:BI5">
    <cfRule type="cellIs" dxfId="238" priority="143" operator="greaterThan">
      <formula>0</formula>
    </cfRule>
  </conditionalFormatting>
  <conditionalFormatting sqref="BB63:BC63">
    <cfRule type="cellIs" dxfId="237" priority="142" operator="greaterThan">
      <formula>0</formula>
    </cfRule>
  </conditionalFormatting>
  <conditionalFormatting sqref="BE63:BF63">
    <cfRule type="cellIs" dxfId="236" priority="141" operator="greaterThan">
      <formula>0</formula>
    </cfRule>
  </conditionalFormatting>
  <conditionalFormatting sqref="BH63:BI63">
    <cfRule type="cellIs" dxfId="235" priority="140" operator="greaterThan">
      <formula>0</formula>
    </cfRule>
  </conditionalFormatting>
  <conditionalFormatting sqref="BB65:BC65">
    <cfRule type="cellIs" dxfId="234" priority="139" operator="greaterThan">
      <formula>0</formula>
    </cfRule>
  </conditionalFormatting>
  <conditionalFormatting sqref="BE65:BF65">
    <cfRule type="cellIs" dxfId="233" priority="138" operator="greaterThan">
      <formula>0</formula>
    </cfRule>
  </conditionalFormatting>
  <conditionalFormatting sqref="BH65:BI65">
    <cfRule type="cellIs" dxfId="232" priority="137" operator="greaterThan">
      <formula>0</formula>
    </cfRule>
  </conditionalFormatting>
  <conditionalFormatting sqref="BB68:BC68">
    <cfRule type="cellIs" dxfId="231" priority="136" operator="greaterThan">
      <formula>0</formula>
    </cfRule>
  </conditionalFormatting>
  <conditionalFormatting sqref="BE68:BF68">
    <cfRule type="cellIs" dxfId="230" priority="135" operator="greaterThan">
      <formula>0</formula>
    </cfRule>
  </conditionalFormatting>
  <conditionalFormatting sqref="BH68:BI68">
    <cfRule type="cellIs" dxfId="229" priority="134" operator="greaterThan">
      <formula>0</formula>
    </cfRule>
  </conditionalFormatting>
  <conditionalFormatting sqref="BB73:BC73">
    <cfRule type="cellIs" dxfId="228" priority="133" operator="greaterThan">
      <formula>0</formula>
    </cfRule>
  </conditionalFormatting>
  <conditionalFormatting sqref="BE73:BF73">
    <cfRule type="cellIs" dxfId="227" priority="132" operator="greaterThan">
      <formula>0</formula>
    </cfRule>
  </conditionalFormatting>
  <conditionalFormatting sqref="BH73:BI73">
    <cfRule type="cellIs" dxfId="226" priority="131" operator="greaterThan">
      <formula>0</formula>
    </cfRule>
  </conditionalFormatting>
  <conditionalFormatting sqref="BB182:BC182">
    <cfRule type="cellIs" dxfId="225" priority="130" operator="greaterThan">
      <formula>0</formula>
    </cfRule>
  </conditionalFormatting>
  <conditionalFormatting sqref="BE182:BF182">
    <cfRule type="cellIs" dxfId="224" priority="129" operator="greaterThan">
      <formula>0</formula>
    </cfRule>
  </conditionalFormatting>
  <conditionalFormatting sqref="BH182:BI182">
    <cfRule type="cellIs" dxfId="223" priority="128" operator="greaterThan">
      <formula>0</formula>
    </cfRule>
  </conditionalFormatting>
  <conditionalFormatting sqref="BB247:BC247">
    <cfRule type="cellIs" dxfId="222" priority="127" operator="greaterThan">
      <formula>0</formula>
    </cfRule>
  </conditionalFormatting>
  <conditionalFormatting sqref="BE247:BF247">
    <cfRule type="cellIs" dxfId="221" priority="126" operator="greaterThan">
      <formula>0</formula>
    </cfRule>
  </conditionalFormatting>
  <conditionalFormatting sqref="BH247:BI247">
    <cfRule type="cellIs" dxfId="220" priority="125" operator="greaterThan">
      <formula>0</formula>
    </cfRule>
  </conditionalFormatting>
  <conditionalFormatting sqref="BK182:BL182">
    <cfRule type="cellIs" dxfId="219" priority="124" operator="greaterThan">
      <formula>0</formula>
    </cfRule>
  </conditionalFormatting>
  <conditionalFormatting sqref="BB248:BC248">
    <cfRule type="cellIs" dxfId="218" priority="123" operator="greaterThan">
      <formula>0</formula>
    </cfRule>
  </conditionalFormatting>
  <conditionalFormatting sqref="BE248:BF248">
    <cfRule type="cellIs" dxfId="217" priority="122" operator="greaterThan">
      <formula>0</formula>
    </cfRule>
  </conditionalFormatting>
  <conditionalFormatting sqref="BH248:BI248">
    <cfRule type="cellIs" dxfId="216" priority="121" operator="greaterThan">
      <formula>0</formula>
    </cfRule>
  </conditionalFormatting>
  <conditionalFormatting sqref="BB249:BC249">
    <cfRule type="cellIs" dxfId="215" priority="120" operator="greaterThan">
      <formula>0</formula>
    </cfRule>
  </conditionalFormatting>
  <conditionalFormatting sqref="BE249:BF249">
    <cfRule type="cellIs" dxfId="214" priority="119" operator="greaterThan">
      <formula>0</formula>
    </cfRule>
  </conditionalFormatting>
  <conditionalFormatting sqref="BH249:BI249">
    <cfRule type="cellIs" dxfId="213" priority="118" operator="greaterThan">
      <formula>0</formula>
    </cfRule>
  </conditionalFormatting>
  <conditionalFormatting sqref="BB261:BC261">
    <cfRule type="cellIs" dxfId="212" priority="117" operator="greaterThan">
      <formula>0</formula>
    </cfRule>
  </conditionalFormatting>
  <conditionalFormatting sqref="BE261:BF261">
    <cfRule type="cellIs" dxfId="211" priority="116" operator="greaterThan">
      <formula>0</formula>
    </cfRule>
  </conditionalFormatting>
  <conditionalFormatting sqref="BH261:BI261">
    <cfRule type="cellIs" dxfId="210" priority="115" operator="greaterThan">
      <formula>0</formula>
    </cfRule>
  </conditionalFormatting>
  <conditionalFormatting sqref="BB282:BC282">
    <cfRule type="cellIs" dxfId="209" priority="114" operator="greaterThan">
      <formula>0</formula>
    </cfRule>
  </conditionalFormatting>
  <conditionalFormatting sqref="BE282:BF282">
    <cfRule type="cellIs" dxfId="208" priority="113" operator="greaterThan">
      <formula>0</formula>
    </cfRule>
  </conditionalFormatting>
  <conditionalFormatting sqref="BH282:BI282">
    <cfRule type="cellIs" dxfId="207" priority="112" operator="greaterThan">
      <formula>0</formula>
    </cfRule>
  </conditionalFormatting>
  <conditionalFormatting sqref="BB283:BC283">
    <cfRule type="cellIs" dxfId="206" priority="111" operator="greaterThan">
      <formula>0</formula>
    </cfRule>
  </conditionalFormatting>
  <conditionalFormatting sqref="BE283:BF283">
    <cfRule type="cellIs" dxfId="205" priority="110" operator="greaterThan">
      <formula>0</formula>
    </cfRule>
  </conditionalFormatting>
  <conditionalFormatting sqref="BH283:BI283">
    <cfRule type="cellIs" dxfId="204" priority="109" operator="greaterThan">
      <formula>0</formula>
    </cfRule>
  </conditionalFormatting>
  <conditionalFormatting sqref="BK282:BL282">
    <cfRule type="cellIs" dxfId="203" priority="108" operator="greaterThan">
      <formula>0</formula>
    </cfRule>
  </conditionalFormatting>
  <conditionalFormatting sqref="BB289:BC289">
    <cfRule type="cellIs" dxfId="202" priority="107" operator="greaterThan">
      <formula>0</formula>
    </cfRule>
  </conditionalFormatting>
  <conditionalFormatting sqref="BE289:BF289">
    <cfRule type="cellIs" dxfId="201" priority="106" operator="greaterThan">
      <formula>0</formula>
    </cfRule>
  </conditionalFormatting>
  <conditionalFormatting sqref="BH289:BI289">
    <cfRule type="cellIs" dxfId="200" priority="105" operator="greaterThan">
      <formula>0</formula>
    </cfRule>
  </conditionalFormatting>
  <conditionalFormatting sqref="BB309:BC309">
    <cfRule type="cellIs" dxfId="199" priority="104" operator="greaterThan">
      <formula>0</formula>
    </cfRule>
  </conditionalFormatting>
  <conditionalFormatting sqref="BE309:BF309">
    <cfRule type="cellIs" dxfId="198" priority="103" operator="greaterThan">
      <formula>0</formula>
    </cfRule>
  </conditionalFormatting>
  <conditionalFormatting sqref="BH309:BI309">
    <cfRule type="cellIs" dxfId="197" priority="102" operator="greaterThan">
      <formula>0</formula>
    </cfRule>
  </conditionalFormatting>
  <conditionalFormatting sqref="BE311:BF311">
    <cfRule type="cellIs" dxfId="196" priority="101" operator="greaterThan">
      <formula>0</formula>
    </cfRule>
  </conditionalFormatting>
  <conditionalFormatting sqref="BB336:BC336">
    <cfRule type="cellIs" dxfId="195" priority="100" operator="greaterThan">
      <formula>0</formula>
    </cfRule>
  </conditionalFormatting>
  <conditionalFormatting sqref="BE336:BF336">
    <cfRule type="cellIs" dxfId="194" priority="99" operator="greaterThan">
      <formula>0</formula>
    </cfRule>
  </conditionalFormatting>
  <conditionalFormatting sqref="BH336:BI336">
    <cfRule type="cellIs" dxfId="193" priority="98" operator="greaterThan">
      <formula>0</formula>
    </cfRule>
  </conditionalFormatting>
  <conditionalFormatting sqref="BE338:BF338">
    <cfRule type="cellIs" dxfId="192" priority="97" operator="greaterThan">
      <formula>0</formula>
    </cfRule>
  </conditionalFormatting>
  <conditionalFormatting sqref="BB346:BC346">
    <cfRule type="cellIs" dxfId="191" priority="96" operator="greaterThan">
      <formula>0</formula>
    </cfRule>
  </conditionalFormatting>
  <conditionalFormatting sqref="BE346:BF346">
    <cfRule type="cellIs" dxfId="190" priority="95" operator="greaterThan">
      <formula>0</formula>
    </cfRule>
  </conditionalFormatting>
  <conditionalFormatting sqref="BH346:BI346">
    <cfRule type="cellIs" dxfId="189" priority="94" operator="greaterThan">
      <formula>0</formula>
    </cfRule>
  </conditionalFormatting>
  <conditionalFormatting sqref="BB366:BC366">
    <cfRule type="cellIs" dxfId="188" priority="93" operator="greaterThan">
      <formula>0</formula>
    </cfRule>
  </conditionalFormatting>
  <conditionalFormatting sqref="BE366:BF366">
    <cfRule type="cellIs" dxfId="187" priority="92" operator="greaterThan">
      <formula>0</formula>
    </cfRule>
  </conditionalFormatting>
  <conditionalFormatting sqref="BH366:BI366">
    <cfRule type="cellIs" dxfId="186" priority="91" operator="greaterThan">
      <formula>0</formula>
    </cfRule>
  </conditionalFormatting>
  <conditionalFormatting sqref="BB369:BC369">
    <cfRule type="cellIs" dxfId="185" priority="90" operator="greaterThan">
      <formula>0</formula>
    </cfRule>
  </conditionalFormatting>
  <conditionalFormatting sqref="BE369:BF369">
    <cfRule type="cellIs" dxfId="184" priority="89" operator="greaterThan">
      <formula>0</formula>
    </cfRule>
  </conditionalFormatting>
  <conditionalFormatting sqref="BH369:BI369">
    <cfRule type="cellIs" dxfId="183" priority="88" operator="greaterThan">
      <formula>0</formula>
    </cfRule>
  </conditionalFormatting>
  <conditionalFormatting sqref="BE388:BF388">
    <cfRule type="cellIs" dxfId="182" priority="87" operator="greaterThan">
      <formula>0</formula>
    </cfRule>
  </conditionalFormatting>
  <conditionalFormatting sqref="BB393:BC393">
    <cfRule type="cellIs" dxfId="181" priority="86" operator="greaterThan">
      <formula>0</formula>
    </cfRule>
  </conditionalFormatting>
  <conditionalFormatting sqref="BE393:BF393">
    <cfRule type="cellIs" dxfId="180" priority="85" operator="greaterThan">
      <formula>0</formula>
    </cfRule>
  </conditionalFormatting>
  <conditionalFormatting sqref="BH393:BI393">
    <cfRule type="cellIs" dxfId="179" priority="84" operator="greaterThan">
      <formula>0</formula>
    </cfRule>
  </conditionalFormatting>
  <conditionalFormatting sqref="BH388:BI388">
    <cfRule type="cellIs" dxfId="178" priority="83" operator="greaterThan">
      <formula>0</formula>
    </cfRule>
  </conditionalFormatting>
  <conditionalFormatting sqref="BE425:BF425">
    <cfRule type="cellIs" dxfId="177" priority="82" operator="greaterThan">
      <formula>0</formula>
    </cfRule>
  </conditionalFormatting>
  <conditionalFormatting sqref="BH425:BI425">
    <cfRule type="cellIs" dxfId="176" priority="81" operator="greaterThan">
      <formula>0</formula>
    </cfRule>
  </conditionalFormatting>
  <conditionalFormatting sqref="BB428:BC428">
    <cfRule type="cellIs" dxfId="175" priority="80" operator="greaterThan">
      <formula>0</formula>
    </cfRule>
  </conditionalFormatting>
  <conditionalFormatting sqref="BE428:BF428">
    <cfRule type="cellIs" dxfId="174" priority="79" operator="greaterThan">
      <formula>0</formula>
    </cfRule>
  </conditionalFormatting>
  <conditionalFormatting sqref="BH428:BI428">
    <cfRule type="cellIs" dxfId="173" priority="78" operator="greaterThan">
      <formula>0</formula>
    </cfRule>
  </conditionalFormatting>
  <conditionalFormatting sqref="BE453:BF453">
    <cfRule type="cellIs" dxfId="172" priority="77" operator="greaterThan">
      <formula>0</formula>
    </cfRule>
  </conditionalFormatting>
  <conditionalFormatting sqref="BH453:BI453">
    <cfRule type="cellIs" dxfId="171" priority="76" operator="greaterThan">
      <formula>0</formula>
    </cfRule>
  </conditionalFormatting>
  <conditionalFormatting sqref="BE463:BF463">
    <cfRule type="cellIs" dxfId="170" priority="75" operator="greaterThan">
      <formula>0</formula>
    </cfRule>
  </conditionalFormatting>
  <conditionalFormatting sqref="BH463:BI463">
    <cfRule type="cellIs" dxfId="169" priority="74" operator="greaterThan">
      <formula>0</formula>
    </cfRule>
  </conditionalFormatting>
  <conditionalFormatting sqref="BE48:BM48">
    <cfRule type="cellIs" dxfId="168" priority="73" operator="greaterThan">
      <formula>0</formula>
    </cfRule>
  </conditionalFormatting>
  <conditionalFormatting sqref="BB48:BC48">
    <cfRule type="cellIs" dxfId="167" priority="72" operator="greaterThan">
      <formula>0</formula>
    </cfRule>
  </conditionalFormatting>
  <conditionalFormatting sqref="BD48:BM48">
    <cfRule type="cellIs" dxfId="166" priority="71" operator="greaterThan">
      <formula>0</formula>
    </cfRule>
  </conditionalFormatting>
  <conditionalFormatting sqref="BG48:BM48">
    <cfRule type="cellIs" dxfId="165" priority="70" operator="greaterThan">
      <formula>0</formula>
    </cfRule>
  </conditionalFormatting>
  <conditionalFormatting sqref="BK48:BL48 BH48:BI48">
    <cfRule type="cellIs" dxfId="164" priority="69" operator="greaterThan">
      <formula>0</formula>
    </cfRule>
  </conditionalFormatting>
  <conditionalFormatting sqref="BH48:BM48">
    <cfRule type="cellIs" dxfId="163" priority="68" operator="greaterThan">
      <formula>0</formula>
    </cfRule>
  </conditionalFormatting>
  <conditionalFormatting sqref="BJ48:BM48">
    <cfRule type="cellIs" dxfId="162" priority="67" operator="greaterThan">
      <formula>0</formula>
    </cfRule>
  </conditionalFormatting>
  <conditionalFormatting sqref="BH108:BI108 BE108:BF108 BB108:BC108">
    <cfRule type="cellIs" dxfId="161" priority="66" operator="greaterThan">
      <formula>0</formula>
    </cfRule>
  </conditionalFormatting>
  <conditionalFormatting sqref="BH109:BI109 BE109:BF109 BB109:BC109">
    <cfRule type="cellIs" dxfId="160" priority="65" operator="greaterThan">
      <formula>0</formula>
    </cfRule>
  </conditionalFormatting>
  <conditionalFormatting sqref="BH115:BI115 BE115:BF115 BB115:BC115">
    <cfRule type="cellIs" dxfId="159" priority="64" operator="greaterThan">
      <formula>0</formula>
    </cfRule>
  </conditionalFormatting>
  <conditionalFormatting sqref="BH121:BI121 BE121:BF121 BB121:BC121">
    <cfRule type="cellIs" dxfId="158" priority="63" operator="greaterThan">
      <formula>0</formula>
    </cfRule>
  </conditionalFormatting>
  <conditionalFormatting sqref="BH122:BI122 BE122:BF122 BB122:BC122">
    <cfRule type="cellIs" dxfId="157" priority="62" operator="greaterThan">
      <formula>0</formula>
    </cfRule>
  </conditionalFormatting>
  <conditionalFormatting sqref="BH123:BI123 BE123:BF123 BB123:BC123">
    <cfRule type="cellIs" dxfId="156" priority="61" operator="greaterThan">
      <formula>0</formula>
    </cfRule>
  </conditionalFormatting>
  <conditionalFormatting sqref="BH198:BI198 BE198:BF198 BB198:BC198">
    <cfRule type="cellIs" dxfId="155" priority="60" operator="greaterThan">
      <formula>0</formula>
    </cfRule>
  </conditionalFormatting>
  <conditionalFormatting sqref="BH208:BI208 BE208:BF208 BB208:BC208">
    <cfRule type="cellIs" dxfId="154" priority="59" operator="greaterThan">
      <formula>0</formula>
    </cfRule>
  </conditionalFormatting>
  <conditionalFormatting sqref="BH241:BI241 BE241:BF241 BB241:BC241">
    <cfRule type="cellIs" dxfId="153" priority="58" operator="greaterThan">
      <formula>0</formula>
    </cfRule>
  </conditionalFormatting>
  <conditionalFormatting sqref="BH330:BI330 BE330:BF330 BB330:BC330">
    <cfRule type="cellIs" dxfId="152" priority="57" operator="greaterThan">
      <formula>0</formula>
    </cfRule>
  </conditionalFormatting>
  <conditionalFormatting sqref="BH28:BI28 BE28:BF28 BB28:BC28">
    <cfRule type="cellIs" dxfId="151" priority="56" operator="greaterThan">
      <formula>0</formula>
    </cfRule>
  </conditionalFormatting>
  <conditionalFormatting sqref="BH111:BI111 BE111:BF111 BB111:BC111">
    <cfRule type="cellIs" dxfId="150" priority="55" operator="greaterThan">
      <formula>0</formula>
    </cfRule>
  </conditionalFormatting>
  <conditionalFormatting sqref="BH112:BI112 BE112:BF112 BB112:BC112">
    <cfRule type="cellIs" dxfId="149" priority="54" operator="greaterThan">
      <formula>0</formula>
    </cfRule>
  </conditionalFormatting>
  <conditionalFormatting sqref="BH117:BI117 BE117:BF117 BB117:BC117">
    <cfRule type="cellIs" dxfId="148" priority="53" operator="greaterThan">
      <formula>0</formula>
    </cfRule>
  </conditionalFormatting>
  <conditionalFormatting sqref="BH119:BI119 BE119:BF119 BB119:BC119">
    <cfRule type="cellIs" dxfId="147" priority="52" operator="greaterThan">
      <formula>0</formula>
    </cfRule>
  </conditionalFormatting>
  <conditionalFormatting sqref="BH120:BI120 BE120:BF120 BB120:BC120">
    <cfRule type="cellIs" dxfId="146" priority="51" operator="greaterThan">
      <formula>0</formula>
    </cfRule>
  </conditionalFormatting>
  <conditionalFormatting sqref="BH223:BI223 BE223:BF223 BB223:BC223">
    <cfRule type="cellIs" dxfId="145" priority="50" operator="greaterThan">
      <formula>0</formula>
    </cfRule>
  </conditionalFormatting>
  <conditionalFormatting sqref="BH259:BI259 BE259:BF259 BB259:BC259">
    <cfRule type="cellIs" dxfId="144" priority="49" operator="greaterThan">
      <formula>0</formula>
    </cfRule>
  </conditionalFormatting>
  <conditionalFormatting sqref="BH328:BI328 BE328:BF328 BB328:BC328">
    <cfRule type="cellIs" dxfId="143" priority="48" operator="greaterThan">
      <formula>0</formula>
    </cfRule>
  </conditionalFormatting>
  <conditionalFormatting sqref="BE429:BF429">
    <cfRule type="cellIs" dxfId="142" priority="47" operator="greaterThan">
      <formula>0</formula>
    </cfRule>
  </conditionalFormatting>
  <conditionalFormatting sqref="BH481:BI481 BE481:BF481">
    <cfRule type="cellIs" dxfId="141" priority="46" operator="greaterThan">
      <formula>0</formula>
    </cfRule>
  </conditionalFormatting>
  <conditionalFormatting sqref="BH482:BI482 BE482:BF482">
    <cfRule type="cellIs" dxfId="140" priority="45" operator="greaterThan">
      <formula>0</formula>
    </cfRule>
  </conditionalFormatting>
  <conditionalFormatting sqref="BK2:BL298 BK474:BL484 BK470:BL472 BK425:BL468 BK381:BL423 BK300:BL379">
    <cfRule type="cellIs" dxfId="139" priority="44" operator="greaterThan">
      <formula>0</formula>
    </cfRule>
  </conditionalFormatting>
  <conditionalFormatting sqref="BO2:BR411 BO417:BR417 BO433:BR433 BO437:BR437 BO441:BR441 BO443:BR486">
    <cfRule type="expression" dxfId="138" priority="330">
      <formula>IF($FP2&lt;=TODAY(),TRUE,FALSE)</formula>
    </cfRule>
  </conditionalFormatting>
  <conditionalFormatting sqref="BP2:BR411 BP417:BR417 BP433:BR433 BP437:BR437 BP441:BR441 BP443:BR486">
    <cfRule type="expression" dxfId="137" priority="331">
      <formula>IF($FQ2&lt;=TODAY(),TRUE,FALSE)</formula>
    </cfRule>
  </conditionalFormatting>
  <conditionalFormatting sqref="BQ2:BR411 BQ417:BR417 BQ433:BR433 BQ437:BR437 BQ441:BR441 BQ443:BR486">
    <cfRule type="expression" dxfId="136" priority="332">
      <formula>IF($FR2&lt;=TODAY(),TRUE,FALSE)</formula>
    </cfRule>
  </conditionalFormatting>
  <conditionalFormatting sqref="BR2:BR411 BR417 BR433 BR437 BR441 BR443:BR490">
    <cfRule type="expression" dxfId="135" priority="333">
      <formula>IF($FS2&lt;=TODAY(),TRUE,FALSE)</formula>
    </cfRule>
  </conditionalFormatting>
  <conditionalFormatting sqref="BY2:BY490">
    <cfRule type="cellIs" dxfId="134" priority="43" operator="greaterThan">
      <formula>0</formula>
    </cfRule>
  </conditionalFormatting>
  <conditionalFormatting sqref="BZ2:BZ490">
    <cfRule type="cellIs" dxfId="133" priority="42" operator="greaterThan">
      <formula>0</formula>
    </cfRule>
  </conditionalFormatting>
  <conditionalFormatting sqref="CA2:CA490">
    <cfRule type="cellIs" dxfId="132" priority="41" operator="greaterThan">
      <formula>0</formula>
    </cfRule>
  </conditionalFormatting>
  <conditionalFormatting sqref="DG2:DG490">
    <cfRule type="cellIs" dxfId="131" priority="40" operator="greaterThan">
      <formula>0</formula>
    </cfRule>
  </conditionalFormatting>
  <conditionalFormatting sqref="DH2:DH490">
    <cfRule type="cellIs" dxfId="130" priority="39" operator="greaterThan">
      <formula>0</formula>
    </cfRule>
  </conditionalFormatting>
  <conditionalFormatting sqref="DI2:DI490">
    <cfRule type="cellIs" dxfId="129" priority="38" operator="greaterThan">
      <formula>0</formula>
    </cfRule>
  </conditionalFormatting>
  <conditionalFormatting sqref="DF2:DF490">
    <cfRule type="cellIs" dxfId="128" priority="37" operator="greaterThan">
      <formula>0</formula>
    </cfRule>
  </conditionalFormatting>
  <conditionalFormatting sqref="DE2:DE490">
    <cfRule type="cellIs" dxfId="127" priority="36" operator="greaterThan">
      <formula>0</formula>
    </cfRule>
  </conditionalFormatting>
  <conditionalFormatting sqref="DD2:DD490">
    <cfRule type="cellIs" dxfId="126" priority="35" operator="greaterThan">
      <formula>0</formula>
    </cfRule>
  </conditionalFormatting>
  <conditionalFormatting sqref="BN487:BW488">
    <cfRule type="cellIs" dxfId="125" priority="29" operator="greaterThan">
      <formula>0</formula>
    </cfRule>
  </conditionalFormatting>
  <conditionalFormatting sqref="BN487:BR488">
    <cfRule type="cellIs" dxfId="124" priority="31" operator="lessThan">
      <formula>TODAY()</formula>
    </cfRule>
  </conditionalFormatting>
  <conditionalFormatting sqref="BN487:BR488">
    <cfRule type="expression" dxfId="123" priority="28">
      <formula>IF($FO487&lt;=TODAY(),TRUE,FALSE)</formula>
    </cfRule>
  </conditionalFormatting>
  <conditionalFormatting sqref="BS487:BW488">
    <cfRule type="cellIs" dxfId="122" priority="30" operator="lessThan">
      <formula>1</formula>
    </cfRule>
  </conditionalFormatting>
  <conditionalFormatting sqref="BO487:BR488">
    <cfRule type="expression" dxfId="121" priority="32">
      <formula>IF($FP487&lt;=TODAY(),TRUE,FALSE)</formula>
    </cfRule>
  </conditionalFormatting>
  <conditionalFormatting sqref="BP487:BR488">
    <cfRule type="expression" dxfId="120" priority="33">
      <formula>IF($FQ487&lt;=TODAY(),TRUE,FALSE)</formula>
    </cfRule>
  </conditionalFormatting>
  <conditionalFormatting sqref="BQ487:BR488">
    <cfRule type="expression" dxfId="119" priority="34">
      <formula>IF($FR487&lt;=TODAY(),TRUE,FALSE)</formula>
    </cfRule>
  </conditionalFormatting>
  <conditionalFormatting sqref="BN489:BW490">
    <cfRule type="cellIs" dxfId="118" priority="24" operator="greaterThan">
      <formula>0</formula>
    </cfRule>
  </conditionalFormatting>
  <conditionalFormatting sqref="BO489:BR490">
    <cfRule type="expression" dxfId="117" priority="25">
      <formula>IF($FP489&lt;=TODAY(),TRUE,FALSE)</formula>
    </cfRule>
  </conditionalFormatting>
  <conditionalFormatting sqref="BP489:BR490">
    <cfRule type="expression" dxfId="116" priority="26">
      <formula>IF($FQ489&lt;=TODAY(),TRUE,FALSE)</formula>
    </cfRule>
  </conditionalFormatting>
  <conditionalFormatting sqref="BQ489:BR490">
    <cfRule type="expression" dxfId="115" priority="27">
      <formula>IF($FR489&lt;=TODAY(),TRUE,FALSE)</formula>
    </cfRule>
  </conditionalFormatting>
  <conditionalFormatting sqref="BD490">
    <cfRule type="cellIs" dxfId="114" priority="23" operator="greaterThan">
      <formula>0</formula>
    </cfRule>
  </conditionalFormatting>
  <conditionalFormatting sqref="BG490">
    <cfRule type="cellIs" dxfId="113" priority="22" operator="greaterThan">
      <formula>0</formula>
    </cfRule>
  </conditionalFormatting>
  <conditionalFormatting sqref="BJ490">
    <cfRule type="cellIs" dxfId="112" priority="21" operator="greaterThan">
      <formula>0</formula>
    </cfRule>
  </conditionalFormatting>
  <conditionalFormatting sqref="BM490">
    <cfRule type="cellIs" dxfId="111" priority="20" operator="greaterThan">
      <formula>0</formula>
    </cfRule>
  </conditionalFormatting>
  <conditionalFormatting sqref="BM489 BJ489 BG489 BD489">
    <cfRule type="cellIs" dxfId="110" priority="19" operator="greaterThan">
      <formula>0</formula>
    </cfRule>
  </conditionalFormatting>
  <conditionalFormatting sqref="BK488:BL488 BH488:BI488 BE488:BF488 BB488:BC488">
    <cfRule type="cellIs" dxfId="109" priority="18" operator="greaterThan">
      <formula>0</formula>
    </cfRule>
  </conditionalFormatting>
  <conditionalFormatting sqref="BM488 BJ488 BG488 BD488">
    <cfRule type="cellIs" dxfId="108" priority="17" operator="greaterThan">
      <formula>0</formula>
    </cfRule>
  </conditionalFormatting>
  <conditionalFormatting sqref="BK487:BL487 BH487:BI487 BB487:BC487">
    <cfRule type="cellIs" dxfId="107" priority="16" operator="greaterThan">
      <formula>0</formula>
    </cfRule>
  </conditionalFormatting>
  <conditionalFormatting sqref="BM487">
    <cfRule type="cellIs" dxfId="106" priority="15" operator="greaterThan">
      <formula>0</formula>
    </cfRule>
  </conditionalFormatting>
  <conditionalFormatting sqref="BE487:BF487">
    <cfRule type="cellIs" dxfId="105" priority="14" operator="greaterThan">
      <formula>0</formula>
    </cfRule>
  </conditionalFormatting>
  <conditionalFormatting sqref="BE484:BF484">
    <cfRule type="cellIs" dxfId="104" priority="13" operator="greaterThan">
      <formula>0</formula>
    </cfRule>
  </conditionalFormatting>
  <conditionalFormatting sqref="BH483:BI483 BE483:BF483">
    <cfRule type="cellIs" dxfId="103" priority="12" operator="greaterThan">
      <formula>0</formula>
    </cfRule>
  </conditionalFormatting>
  <conditionalFormatting sqref="BH479:BI479 BE479:BF479">
    <cfRule type="cellIs" dxfId="102" priority="11" operator="greaterThan">
      <formula>0</formula>
    </cfRule>
  </conditionalFormatting>
  <conditionalFormatting sqref="BH473:BI473 BE473:BF473">
    <cfRule type="cellIs" dxfId="101" priority="10" operator="greaterThan">
      <formula>0</formula>
    </cfRule>
  </conditionalFormatting>
  <conditionalFormatting sqref="BH469:BI469 BE469:BF469">
    <cfRule type="cellIs" dxfId="100" priority="9" operator="greaterThan">
      <formula>0</formula>
    </cfRule>
  </conditionalFormatting>
  <conditionalFormatting sqref="BH468:BI468 BE468:BF468">
    <cfRule type="cellIs" dxfId="99" priority="8" operator="greaterThan">
      <formula>0</formula>
    </cfRule>
  </conditionalFormatting>
  <conditionalFormatting sqref="BE458:BF458">
    <cfRule type="cellIs" dxfId="98" priority="7" operator="greaterThan">
      <formula>0</formula>
    </cfRule>
  </conditionalFormatting>
  <conditionalFormatting sqref="BH433:BI433 BE433:BF433">
    <cfRule type="cellIs" dxfId="97" priority="6" operator="greaterThan">
      <formula>0</formula>
    </cfRule>
  </conditionalFormatting>
  <conditionalFormatting sqref="BH424:BI424 BE424:BF424 BB424:BC424">
    <cfRule type="cellIs" dxfId="96" priority="5" operator="greaterThan">
      <formula>0</formula>
    </cfRule>
  </conditionalFormatting>
  <conditionalFormatting sqref="BH418:BI418 BE418:BF418">
    <cfRule type="cellIs" dxfId="95" priority="4" operator="greaterThan">
      <formula>0</formula>
    </cfRule>
  </conditionalFormatting>
  <conditionalFormatting sqref="BH403:BI403 BE403:BF403">
    <cfRule type="cellIs" dxfId="94" priority="3" operator="greaterThan">
      <formula>0</formula>
    </cfRule>
  </conditionalFormatting>
  <conditionalFormatting sqref="BH380:BI380 BE380:BF380 BB380:BC380">
    <cfRule type="cellIs" dxfId="93" priority="2" operator="greaterThan">
      <formula>0</formula>
    </cfRule>
  </conditionalFormatting>
  <conditionalFormatting sqref="BH299:BI299 BE299:BF299 BB299:BC299">
    <cfRule type="cellIs" dxfId="92" priority="1" operator="greaterThan">
      <formula>0</formula>
    </cfRule>
  </conditionalFormatting>
  <dataValidations count="1">
    <dataValidation type="custom" operator="equal" allowBlank="1" showInputMessage="1" showErrorMessage="1" errorTitle="Kutools for Excel" error="Please enter a valid E-mail address" sqref="I2:I3" xr:uid="{96C3B266-489C-4BC6-B9D6-9032042A8778}">
      <formula1>AND(ISNUMBER(MATCH("*@*?*.*?*",I2,0)),NOT(ISNUMBER(FIND(CHAR(10),I2))))</formula1>
    </dataValidation>
  </dataValidations>
  <hyperlinks>
    <hyperlink ref="I250" r:id="rId1" xr:uid="{1CDD3701-A1AA-463A-A7C3-A72297FC27AD}"/>
    <hyperlink ref="I26" r:id="rId2" xr:uid="{55C0B604-D5F4-45EF-BE2F-888B5DA98FCE}"/>
    <hyperlink ref="I85" r:id="rId3" xr:uid="{35492CE3-23A3-476F-8215-54032D3EE658}"/>
    <hyperlink ref="I225" r:id="rId4" xr:uid="{88F0A3D4-0168-4895-87AF-C9C303DACC7C}"/>
    <hyperlink ref="I67" r:id="rId5" xr:uid="{D592E541-1387-4CB5-AD4C-EAB82B5B9DC9}"/>
    <hyperlink ref="I158" r:id="rId6" xr:uid="{608E92EE-2052-41F8-8C00-CBD607A7C258}"/>
    <hyperlink ref="I9" r:id="rId7" xr:uid="{49D7783F-AA00-46D1-897C-AC8EDB86F3A1}"/>
    <hyperlink ref="I76" r:id="rId8" xr:uid="{AB7C5793-CBFE-49C0-B3F0-A2ADBAAB2A3B}"/>
    <hyperlink ref="I267" r:id="rId9" xr:uid="{358A1BAC-C827-4C5C-A076-6B0C9AC8BD8C}"/>
    <hyperlink ref="I5" r:id="rId10" xr:uid="{A2C891A3-79EB-47D1-8360-A0309A9B3C98}"/>
    <hyperlink ref="I11" r:id="rId11" xr:uid="{F4021651-3B29-4330-94C0-1DE9E42734EF}"/>
    <hyperlink ref="I78" r:id="rId12" xr:uid="{271A410E-9121-47CE-8421-7FA3CA2948D7}"/>
    <hyperlink ref="I79" r:id="rId13" xr:uid="{78DC6407-E6FE-4941-960B-9BDCF69BE4AD}"/>
    <hyperlink ref="I80" r:id="rId14" xr:uid="{4EFBD871-65F2-4995-864C-71EA38D0BC4D}"/>
    <hyperlink ref="I231" r:id="rId15" xr:uid="{109C2D8F-7580-4AD2-9B28-CB71F1436ED5}"/>
    <hyperlink ref="I237" r:id="rId16" xr:uid="{24221ADD-81F6-4336-A1CF-B012BF58D833}"/>
    <hyperlink ref="I256" r:id="rId17" xr:uid="{B9648114-6E7E-4D53-B8AD-71A83CBE7071}"/>
    <hyperlink ref="I275" r:id="rId18" xr:uid="{C8488BC4-20A3-4834-81B7-E7D3E992167C}"/>
    <hyperlink ref="I58" r:id="rId19" xr:uid="{9A603352-42F3-4BF5-BF8D-1196CD3A19EA}"/>
    <hyperlink ref="I60" r:id="rId20" xr:uid="{544149C2-01F9-44FE-BBA9-B552BC3ED22A}"/>
    <hyperlink ref="I68" r:id="rId21" xr:uid="{EAE32D95-1967-4B97-A4D1-FF72296C7826}"/>
    <hyperlink ref="I43" r:id="rId22" xr:uid="{D92B888F-49D2-4C61-9198-50B2DB2A1D70}"/>
    <hyperlink ref="I254" r:id="rId23" xr:uid="{9006091F-CDC2-46DF-B724-44B2EE2F2ECD}"/>
    <hyperlink ref="I255" r:id="rId24" xr:uid="{B500393A-589F-46BA-97F3-AC1A8386A5C3}"/>
    <hyperlink ref="I37" r:id="rId25" xr:uid="{79E89D74-CFC7-4564-AD1C-D1EE6240F350}"/>
    <hyperlink ref="I38" r:id="rId26" xr:uid="{36E4631F-1561-4F62-9B9B-6192310D92A8}"/>
    <hyperlink ref="I3" r:id="rId27" xr:uid="{0A9E6C1F-C52F-4294-B7E5-D829CD69D9AD}"/>
    <hyperlink ref="I14" r:id="rId28" xr:uid="{ABC43BFE-4730-43A8-A12E-3E14228DFBE9}"/>
    <hyperlink ref="I15" r:id="rId29" xr:uid="{285B134C-3426-4BBC-908E-C886C3A209FA}"/>
    <hyperlink ref="I17" r:id="rId30" xr:uid="{C5CB8BBB-AA99-4BF9-ACEE-925058FC88D9}"/>
    <hyperlink ref="I21" r:id="rId31" xr:uid="{D3A7CF7F-F835-43F8-9FB3-8A26C5C14053}"/>
    <hyperlink ref="I30" r:id="rId32" xr:uid="{FDD98483-517A-46C9-946C-A62B9328C8D9}"/>
    <hyperlink ref="I31" r:id="rId33" xr:uid="{87DA643A-1137-49E9-9B18-CA007DB16239}"/>
    <hyperlink ref="I39" r:id="rId34" xr:uid="{0D4954D1-5BCC-465A-BF6A-63C773596EC7}"/>
    <hyperlink ref="I41" r:id="rId35" xr:uid="{C1CF6106-B5AE-4ED1-A401-C9FFF8C1B817}"/>
    <hyperlink ref="I45" r:id="rId36" xr:uid="{12235F71-1125-4E43-A743-549294BE4E14}"/>
    <hyperlink ref="I46" r:id="rId37" xr:uid="{326C5BCA-757B-45BF-91BC-3C905F61CEE5}"/>
    <hyperlink ref="I51" r:id="rId38" xr:uid="{AC6924E7-D257-4E31-8476-7F28B20A4426}"/>
    <hyperlink ref="I54" r:id="rId39" xr:uid="{81AE3F86-83A9-494E-9681-756DDEEC26AA}"/>
    <hyperlink ref="I55" r:id="rId40" xr:uid="{F8200B7A-4C4F-4D33-80EE-5C919BD1340A}"/>
    <hyperlink ref="I69" r:id="rId41" xr:uid="{37C09EA1-4A98-491E-AD7B-13F4DEC94A08}"/>
    <hyperlink ref="I74" r:id="rId42" xr:uid="{E87E8505-688F-4996-904B-6E3E69981B96}"/>
    <hyperlink ref="I87" r:id="rId43" xr:uid="{DAACD1CA-1DA3-4FDF-971E-1A3430A996B0}"/>
    <hyperlink ref="I91" r:id="rId44" xr:uid="{610CE692-103E-495F-9610-81316F90AA02}"/>
    <hyperlink ref="I97" r:id="rId45" xr:uid="{2ECD1B7E-F685-4B2D-97C9-5A114D68E0F3}"/>
    <hyperlink ref="I100" r:id="rId46" xr:uid="{E98318DE-72D8-4363-A2F3-524A02FC3744}"/>
    <hyperlink ref="I103" r:id="rId47" xr:uid="{F44935A7-F416-4335-9F20-826D629E948C}"/>
    <hyperlink ref="I104" r:id="rId48" xr:uid="{7BB2E919-1BBF-4F83-9879-27EECC628431}"/>
    <hyperlink ref="I105" r:id="rId49" xr:uid="{AFF11F50-B18B-4D2E-A8DD-E33176C2637D}"/>
    <hyperlink ref="I106" r:id="rId50" xr:uid="{F54DD326-4278-46D7-9011-62E6719221FA}"/>
    <hyperlink ref="I128" r:id="rId51" xr:uid="{D691E75F-4733-489A-8AA5-E9DE941870D2}"/>
    <hyperlink ref="I129" r:id="rId52" xr:uid="{C38AC746-AC4E-469E-B5A6-E8B1FFEC8BA1}"/>
    <hyperlink ref="I130" r:id="rId53" xr:uid="{91D69120-B6E7-4CA1-8719-676BA84BB419}"/>
    <hyperlink ref="I131" r:id="rId54" xr:uid="{1B16E659-95D1-4AA5-9D7D-FA5BEEB8BB50}"/>
    <hyperlink ref="I132" r:id="rId55" xr:uid="{D2721648-FF61-4EF6-AA4D-C1C7239A70D7}"/>
    <hyperlink ref="I133" r:id="rId56" xr:uid="{163F3A04-E81A-460A-BDAD-8FB467477069}"/>
    <hyperlink ref="I134" r:id="rId57" xr:uid="{6C284C72-D613-44C9-9809-9E78455F5147}"/>
    <hyperlink ref="I136" r:id="rId58" xr:uid="{6EE449F1-81B7-4859-BBDD-27F2F783832D}"/>
    <hyperlink ref="I139" r:id="rId59" xr:uid="{F96932DB-674E-4122-8645-DBCDE27AC00B}"/>
    <hyperlink ref="I140" r:id="rId60" xr:uid="{19EAC660-5AF2-4C73-9C21-5749C0545E62}"/>
    <hyperlink ref="I151" r:id="rId61" xr:uid="{80477847-7780-4A2A-8D8A-CD958294E361}"/>
    <hyperlink ref="I160" r:id="rId62" xr:uid="{7246F41E-7083-4E82-B162-4F2DF2658B15}"/>
    <hyperlink ref="I161" r:id="rId63" xr:uid="{03BDD165-286E-4F2D-AFAC-33E3EB836A0F}"/>
    <hyperlink ref="I166" r:id="rId64" xr:uid="{7D5802F8-E3FE-4FB0-BC10-434D5BAFD520}"/>
    <hyperlink ref="I182" r:id="rId65" xr:uid="{D123180D-1969-417E-A73C-06DE8C42F1B8}"/>
    <hyperlink ref="I183" r:id="rId66" xr:uid="{21272A61-3B23-4338-9850-8444FBE30449}"/>
    <hyperlink ref="I206" r:id="rId67" xr:uid="{2CC82A64-E0CF-4194-9515-B3202B38D9E5}"/>
    <hyperlink ref="I209" r:id="rId68" xr:uid="{7034342B-E51A-4C71-B5E3-10FD511D121C}"/>
    <hyperlink ref="I210" r:id="rId69" xr:uid="{2AE2BC51-97B6-4F80-9FFE-484F44384696}"/>
    <hyperlink ref="I228" r:id="rId70" xr:uid="{82281428-006A-470E-A7AF-9929442D9031}"/>
    <hyperlink ref="I232" r:id="rId71" xr:uid="{80CC3CB9-889C-4913-A8F2-158CE6943A0B}"/>
    <hyperlink ref="I233" r:id="rId72" xr:uid="{EC65AB88-0956-482F-AF8E-8FE4CFA0C5C0}"/>
    <hyperlink ref="I234" r:id="rId73" xr:uid="{22D58CB7-02CA-40D1-B327-3C8CB08CF808}"/>
    <hyperlink ref="I235" r:id="rId74" xr:uid="{425130F9-FA12-4A50-A5EB-3DE166D022BB}"/>
    <hyperlink ref="I236" r:id="rId75" xr:uid="{70361AE6-F38E-4F62-9B36-AB481630D4A9}"/>
    <hyperlink ref="I257" r:id="rId76" xr:uid="{10BDB937-81B7-47C8-8233-DB1577413324}"/>
    <hyperlink ref="I269" r:id="rId77" xr:uid="{276DD1A9-000B-4896-8BA0-39BFBC8AE35A}"/>
    <hyperlink ref="I272" r:id="rId78" xr:uid="{9FF12D8A-76D8-4A0A-987C-A9EE440975FE}"/>
    <hyperlink ref="I274" r:id="rId79" xr:uid="{000E67C6-6A5F-4045-A917-AB0238A157E0}"/>
    <hyperlink ref="I280" r:id="rId80" xr:uid="{6F4B6DAA-E359-4473-963A-ACB606286679}"/>
    <hyperlink ref="I281" r:id="rId81" xr:uid="{AB9E3A35-5064-4A3E-B5C4-503865B0D341}"/>
    <hyperlink ref="I265" r:id="rId82" xr:uid="{D58791B7-9F04-4EE1-889E-522D41EF48DB}"/>
    <hyperlink ref="I18" r:id="rId83" xr:uid="{2D9851B8-B5D8-4628-B905-679314E2A52D}"/>
    <hyperlink ref="I71" r:id="rId84" xr:uid="{4E7D310A-4AEC-4E96-9F40-4ECB668E17D6}"/>
    <hyperlink ref="I282" r:id="rId85" xr:uid="{1CB5CAAA-810E-4C30-9AE2-AE4018CB4FED}"/>
    <hyperlink ref="I138" r:id="rId86" xr:uid="{54C14BD7-A830-4E2A-A07D-1AEC7785A0A3}"/>
    <hyperlink ref="I260" r:id="rId87" xr:uid="{CEF00B69-9528-4823-B7C0-4C90FA98CB83}"/>
    <hyperlink ref="I36" r:id="rId88" xr:uid="{A717A9D6-6A09-4A2F-9F27-4668D1CD8EBB}"/>
    <hyperlink ref="I270" r:id="rId89" xr:uid="{66362A40-ECE3-400D-992E-BD6616BF67FA}"/>
    <hyperlink ref="I63" r:id="rId90" xr:uid="{C732B402-D8FD-4997-AB00-AC5D25144A70}"/>
    <hyperlink ref="I309" r:id="rId91" xr:uid="{9F21C1DA-C87B-4F53-9D2C-ABA1D204CBB2}"/>
    <hyperlink ref="I263" r:id="rId92" xr:uid="{7582F178-93EE-4A99-9B25-41A10833E2EC}"/>
    <hyperlink ref="I340" r:id="rId93" xr:uid="{70703078-A4F7-46D6-967F-6041EBA03D77}"/>
    <hyperlink ref="I342" r:id="rId94" xr:uid="{D990D6AF-83C2-44C3-860B-16585AF29C57}"/>
    <hyperlink ref="I343" r:id="rId95" xr:uid="{6526C0E1-48B6-48C6-9A50-7C0F45FAEF39}"/>
    <hyperlink ref="I468" r:id="rId96" xr:uid="{86958370-83FB-43DC-98F7-AB3BA28DA266}"/>
    <hyperlink ref="I460" r:id="rId97" xr:uid="{439EB067-8D18-481C-B676-EC2681B3CC42}"/>
    <hyperlink ref="I463" r:id="rId98" xr:uid="{0FEF0C2C-E41D-4CA4-A76C-6BA455C1A278}"/>
    <hyperlink ref="I457" r:id="rId99" xr:uid="{C5EFCB9E-C4FB-4633-B00A-0748B8BF7568}"/>
    <hyperlink ref="I452" r:id="rId100" xr:uid="{A09B73BE-8132-4391-85A4-31F091667BF0}"/>
    <hyperlink ref="I451" r:id="rId101" xr:uid="{D5367824-585C-4F55-B1C8-F0EA23DEF6D7}"/>
    <hyperlink ref="I472" r:id="rId102" xr:uid="{34745608-F0E6-4A4D-9A68-4355A2FE1B33}"/>
  </hyperlinks>
  <printOptions gridLines="1"/>
  <pageMargins left="0.15748031496062992" right="0.23622047244094491" top="0.35433070866141736" bottom="0.35433070866141736" header="0.31496062992125984" footer="0.31496062992125984"/>
  <pageSetup scale="85" orientation="landscape" r:id="rId103"/>
  <tableParts count="1">
    <tablePart r:id="rId10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Master_Data</vt:lpstr>
      <vt:lpstr>Master_Data!Print_Area</vt:lpstr>
      <vt:lpstr>Master_Data!Print_Titles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Ranjeet Kumar Singh</dc:creator>
  <cp:lastModifiedBy>Ranjeet Kumar Singh</cp:lastModifiedBy>
  <cp:lastPrinted>2026-03-19T09:55:30Z</cp:lastPrinted>
  <dcterms:created xsi:type="dcterms:W3CDTF">2026-03-17T07:04:49Z</dcterms:created>
  <dcterms:modified xsi:type="dcterms:W3CDTF">2026-04-01T09:15:03Z</dcterms:modified>
</cp:coreProperties>
</file>