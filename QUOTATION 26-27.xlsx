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3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35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 firstSheet="34" activeTab="39"/>
  </bookViews>
  <sheets>
    <sheet name="AJAY KUMAR MAHTO (4)" sheetId="1" r:id="rId1"/>
    <sheet name="SHIV MINING DRILLING" sheetId="2" r:id="rId2"/>
    <sheet name="SHIV MINING DRILLING (2)" sheetId="3" r:id="rId3"/>
    <sheet name="SHIV MINING DRILLING (3)" sheetId="4" r:id="rId4"/>
    <sheet name="SRI INFRA" sheetId="5" r:id="rId5"/>
    <sheet name="KRITHNA ENTERPRISES" sheetId="6" r:id="rId6"/>
    <sheet name="SRI RAM BOREWELL" sheetId="7" r:id="rId7"/>
    <sheet name="JITENDRA YADAV" sheetId="8" r:id="rId8"/>
    <sheet name="AMBIKA SAW" sheetId="9" r:id="rId9"/>
    <sheet name="ANIL YADAV" sheetId="10" r:id="rId10"/>
    <sheet name="svs" sheetId="11" r:id="rId11"/>
    <sheet name="SRI RAM BOREWELL (2)" sheetId="12" r:id="rId12"/>
    <sheet name="Ankit Accessories" sheetId="13" r:id="rId13"/>
    <sheet name="VEERAPAN SPAN" sheetId="14" r:id="rId14"/>
    <sheet name="V.R.R (5)" sheetId="15" r:id="rId15"/>
    <sheet name="broshan india (2)" sheetId="16" r:id="rId16"/>
    <sheet name="svs (2)" sheetId="17" r:id="rId17"/>
    <sheet name="JRR PROJECT (2)" sheetId="18" r:id="rId18"/>
    <sheet name="broshan india (4)" sheetId="21" r:id="rId19"/>
    <sheet name="SRI INFRA (2)" sheetId="22" r:id="rId20"/>
    <sheet name="POWER BOREWELL" sheetId="23" r:id="rId21"/>
    <sheet name="PRATAP TREDING" sheetId="24" r:id="rId22"/>
    <sheet name="UNIVERSAL MINING  (4)" sheetId="25" r:id="rId23"/>
    <sheet name="TRIVENI ENGICONS" sheetId="26" r:id="rId24"/>
    <sheet name="SIDDESHWARA BOREWELLS" sheetId="27" r:id="rId25"/>
    <sheet name="broshan india (3)" sheetId="29" r:id="rId26"/>
    <sheet name="broshan india (5)" sheetId="30" r:id="rId27"/>
    <sheet name="broshan india (6)" sheetId="31" r:id="rId28"/>
    <sheet name="JRL" sheetId="32" r:id="rId29"/>
    <sheet name="INDU EARTH MOVERS " sheetId="33" r:id="rId30"/>
    <sheet name="INDU EARTH MOVERS  (2)" sheetId="34" r:id="rId31"/>
    <sheet name="UNIVERSAL MINING  (5)" sheetId="35" r:id="rId32"/>
    <sheet name="PURVI AGGREGATE" sheetId="36" r:id="rId33"/>
    <sheet name="INDU EARTH MOVERS  (3)" sheetId="38" r:id="rId34"/>
    <sheet name="JRL (2)" sheetId="39" r:id="rId35"/>
    <sheet name="LAXMI ENTERPRISES (2)" sheetId="40" r:id="rId36"/>
    <sheet name="VPR MINING (3)" sheetId="41" r:id="rId37"/>
    <sheet name="INDU EARTH MOVERS  (4)" sheetId="42" r:id="rId38"/>
    <sheet name="DINESH STONE WORK" sheetId="43" r:id="rId39"/>
    <sheet name="INDU EARTH MOVERS  (6)" sheetId="44" r:id="rId40"/>
  </sheets>
  <definedNames>
    <definedName name="_xlnm.Print_Area" localSheetId="0">'AJAY KUMAR MAHTO (4)'!$A$1:$I$29</definedName>
    <definedName name="_xlnm.Print_Area" localSheetId="8">'AMBIKA SAW'!$A$1:$I$31</definedName>
    <definedName name="_xlnm.Print_Area" localSheetId="9">'ANIL YADAV'!$A$1:$I$31</definedName>
    <definedName name="_xlnm.Print_Area" localSheetId="12">'Ankit Accessories'!$A$1:$I$28</definedName>
    <definedName name="_xlnm.Print_Area" localSheetId="15">'broshan india (2)'!$A$1:$J$33</definedName>
    <definedName name="_xlnm.Print_Area" localSheetId="25">'broshan india (3)'!$A$1:$I$33</definedName>
    <definedName name="_xlnm.Print_Area" localSheetId="18">'broshan india (4)'!$A$1:$I$29</definedName>
    <definedName name="_xlnm.Print_Area" localSheetId="26">'broshan india (5)'!$A$1:$I$35</definedName>
    <definedName name="_xlnm.Print_Area" localSheetId="27">'broshan india (6)'!$A$1:$J$27</definedName>
    <definedName name="_xlnm.Print_Area" localSheetId="38">'DINESH STONE WORK'!$A$1:$I$30</definedName>
    <definedName name="_xlnm.Print_Area" localSheetId="29">'INDU EARTH MOVERS '!$A$1:$I$33</definedName>
    <definedName name="_xlnm.Print_Area" localSheetId="30">'INDU EARTH MOVERS  (2)'!$A$1:$J$30</definedName>
    <definedName name="_xlnm.Print_Area" localSheetId="33">'INDU EARTH MOVERS  (3)'!$A$1:$I$29</definedName>
    <definedName name="_xlnm.Print_Area" localSheetId="37">'INDU EARTH MOVERS  (4)'!$A$1:$J$30</definedName>
    <definedName name="_xlnm.Print_Area" localSheetId="39">'INDU EARTH MOVERS  (6)'!$A$1:$I$32</definedName>
    <definedName name="_xlnm.Print_Area" localSheetId="7">'JITENDRA YADAV'!$A$1:$I$31</definedName>
    <definedName name="_xlnm.Print_Area" localSheetId="28">JRL!$A$1:$I$37</definedName>
    <definedName name="_xlnm.Print_Area" localSheetId="34">'JRL (2)'!$A$1:$I$37</definedName>
    <definedName name="_xlnm.Print_Area" localSheetId="17">'JRR PROJECT (2)'!$A$1:$J$29</definedName>
    <definedName name="_xlnm.Print_Area" localSheetId="5">'KRITHNA ENTERPRISES'!$A$1:$I$30</definedName>
    <definedName name="_xlnm.Print_Area" localSheetId="35">'LAXMI ENTERPRISES (2)'!$A$1:$I$42</definedName>
    <definedName name="_xlnm.Print_Area" localSheetId="20">'POWER BOREWELL'!$A$1:$I$29</definedName>
    <definedName name="_xlnm.Print_Area" localSheetId="21">'PRATAP TREDING'!$A$1:$I$31</definedName>
    <definedName name="_xlnm.Print_Area" localSheetId="32">'PURVI AGGREGATE'!$A$1:$I$31</definedName>
    <definedName name="_xlnm.Print_Area" localSheetId="1">'SHIV MINING DRILLING'!$A$1:$I$31</definedName>
    <definedName name="_xlnm.Print_Area" localSheetId="2">'SHIV MINING DRILLING (2)'!$A$1:$I$33</definedName>
    <definedName name="_xlnm.Print_Area" localSheetId="3">'SHIV MINING DRILLING (3)'!$A$1:$I$32</definedName>
    <definedName name="_xlnm.Print_Area" localSheetId="24">'SIDDESHWARA BOREWELLS'!$A$1:$I$29</definedName>
    <definedName name="_xlnm.Print_Area" localSheetId="4">'SRI INFRA'!$A$1:$I$31</definedName>
    <definedName name="_xlnm.Print_Area" localSheetId="19">'SRI INFRA (2)'!$A$1:$I$31</definedName>
    <definedName name="_xlnm.Print_Area" localSheetId="6">'SRI RAM BOREWELL'!$A$1:$I$30</definedName>
    <definedName name="_xlnm.Print_Area" localSheetId="11">'SRI RAM BOREWELL (2)'!$A$1:$I$31</definedName>
    <definedName name="_xlnm.Print_Area" localSheetId="10">svs!$A$1:$I$29</definedName>
    <definedName name="_xlnm.Print_Area" localSheetId="16">'svs (2)'!$A$1:$I$31</definedName>
    <definedName name="_xlnm.Print_Area" localSheetId="23">'TRIVENI ENGICONS'!$A$1:$I$32</definedName>
    <definedName name="_xlnm.Print_Area" localSheetId="22">'UNIVERSAL MINING  (4)'!$A$1:$J$30</definedName>
    <definedName name="_xlnm.Print_Area" localSheetId="31">'UNIVERSAL MINING  (5)'!$A$1:$J$34</definedName>
    <definedName name="_xlnm.Print_Area" localSheetId="14">'V.R.R (5)'!$A$1:$J$30</definedName>
    <definedName name="_xlnm.Print_Area" localSheetId="13">'VEERAPAN SPAN'!$A$1:$I$30</definedName>
    <definedName name="_xlnm.Print_Area" localSheetId="36">'VPR MINING (3)'!$A$1:$I$29</definedName>
  </definedNames>
  <calcPr calcId="124519"/>
</workbook>
</file>

<file path=xl/calcChain.xml><?xml version="1.0" encoding="utf-8"?>
<calcChain xmlns="http://schemas.openxmlformats.org/spreadsheetml/2006/main">
  <c r="F16" i="43"/>
  <c r="F20" i="44" l="1"/>
  <c r="H20" s="1"/>
  <c r="I20" s="1"/>
  <c r="I19"/>
  <c r="H19"/>
  <c r="F19"/>
  <c r="I18"/>
  <c r="H18"/>
  <c r="F18"/>
  <c r="F17"/>
  <c r="F16"/>
  <c r="H16" s="1"/>
  <c r="F18" i="43"/>
  <c r="H18" s="1"/>
  <c r="I18" s="1"/>
  <c r="F17"/>
  <c r="H16"/>
  <c r="I16" s="1"/>
  <c r="I18" i="42"/>
  <c r="J18" s="1"/>
  <c r="G18"/>
  <c r="G17"/>
  <c r="G16"/>
  <c r="H20" i="33"/>
  <c r="I20"/>
  <c r="F20"/>
  <c r="F17" i="41"/>
  <c r="H17" s="1"/>
  <c r="I17" s="1"/>
  <c r="F16"/>
  <c r="F19" i="43" l="1"/>
  <c r="H17" i="44"/>
  <c r="I17" s="1"/>
  <c r="I16"/>
  <c r="F21"/>
  <c r="I17" i="43"/>
  <c r="I19" s="1"/>
  <c r="I20" s="1"/>
  <c r="H17"/>
  <c r="H19" s="1"/>
  <c r="G19" i="42"/>
  <c r="I17"/>
  <c r="J17" s="1"/>
  <c r="I16"/>
  <c r="F18" i="41"/>
  <c r="H16"/>
  <c r="H21" i="44" l="1"/>
  <c r="I21"/>
  <c r="I22" s="1"/>
  <c r="I19" i="42"/>
  <c r="J16"/>
  <c r="J19" s="1"/>
  <c r="J20" s="1"/>
  <c r="H18" i="41"/>
  <c r="I16"/>
  <c r="I18" s="1"/>
  <c r="I19" s="1"/>
  <c r="H18" i="40" l="1"/>
  <c r="I18"/>
  <c r="F18"/>
  <c r="H21"/>
  <c r="I21" s="1"/>
  <c r="H25"/>
  <c r="I25" s="1"/>
  <c r="H26"/>
  <c r="I26" s="1"/>
  <c r="H29"/>
  <c r="I29" s="1"/>
  <c r="F20"/>
  <c r="H20" s="1"/>
  <c r="I20" s="1"/>
  <c r="F21"/>
  <c r="F22"/>
  <c r="H22" s="1"/>
  <c r="I22" s="1"/>
  <c r="F23"/>
  <c r="H23" s="1"/>
  <c r="I23" s="1"/>
  <c r="F24"/>
  <c r="H24" s="1"/>
  <c r="I24" s="1"/>
  <c r="F25"/>
  <c r="F26"/>
  <c r="F27"/>
  <c r="H27" s="1"/>
  <c r="I27" s="1"/>
  <c r="F28"/>
  <c r="H28" s="1"/>
  <c r="I28" s="1"/>
  <c r="F29"/>
  <c r="F30"/>
  <c r="F31" l="1"/>
  <c r="H31" s="1"/>
  <c r="I31" s="1"/>
  <c r="H30"/>
  <c r="I30" s="1"/>
  <c r="F19"/>
  <c r="H19" s="1"/>
  <c r="I19" s="1"/>
  <c r="F17"/>
  <c r="H17" s="1"/>
  <c r="I17" s="1"/>
  <c r="F16"/>
  <c r="F32" l="1"/>
  <c r="H16"/>
  <c r="H32" l="1"/>
  <c r="I16"/>
  <c r="I32" s="1"/>
  <c r="I33" s="1"/>
  <c r="F16" i="39" l="1"/>
  <c r="H16" s="1"/>
  <c r="I16" s="1"/>
  <c r="F17"/>
  <c r="H17" s="1"/>
  <c r="I17" s="1"/>
  <c r="E27"/>
  <c r="F26"/>
  <c r="H26" s="1"/>
  <c r="I26" s="1"/>
  <c r="F25"/>
  <c r="H25" s="1"/>
  <c r="I25" s="1"/>
  <c r="F24"/>
  <c r="H24" s="1"/>
  <c r="I24" s="1"/>
  <c r="F23"/>
  <c r="H23" s="1"/>
  <c r="I23" s="1"/>
  <c r="F22"/>
  <c r="H22" s="1"/>
  <c r="I22" s="1"/>
  <c r="F21"/>
  <c r="H21" s="1"/>
  <c r="I21" s="1"/>
  <c r="F20"/>
  <c r="H20" s="1"/>
  <c r="I20" s="1"/>
  <c r="F19"/>
  <c r="H19" s="1"/>
  <c r="I19" s="1"/>
  <c r="F18"/>
  <c r="H18" s="1"/>
  <c r="I18" s="1"/>
  <c r="J15" i="38"/>
  <c r="F27" i="39" l="1"/>
  <c r="F17" i="38"/>
  <c r="H17" s="1"/>
  <c r="I17" s="1"/>
  <c r="F16"/>
  <c r="H27" i="39" l="1"/>
  <c r="I27"/>
  <c r="I28" s="1"/>
  <c r="F18" i="38"/>
  <c r="H16"/>
  <c r="I16" s="1"/>
  <c r="H18" l="1"/>
  <c r="I18"/>
  <c r="I19" s="1"/>
  <c r="I20" i="36"/>
  <c r="H19"/>
  <c r="I19"/>
  <c r="F19"/>
  <c r="E20"/>
  <c r="H17"/>
  <c r="I17"/>
  <c r="F17"/>
  <c r="I18" l="1"/>
  <c r="H18"/>
  <c r="F18"/>
  <c r="H16"/>
  <c r="H20" s="1"/>
  <c r="F16"/>
  <c r="F20" s="1"/>
  <c r="I16" l="1"/>
  <c r="I21" s="1"/>
  <c r="I17" i="35" l="1"/>
  <c r="J17"/>
  <c r="I18"/>
  <c r="J18" s="1"/>
  <c r="I19"/>
  <c r="J19"/>
  <c r="I20"/>
  <c r="J20" s="1"/>
  <c r="G17"/>
  <c r="G18"/>
  <c r="G19"/>
  <c r="G20"/>
  <c r="I21" l="1"/>
  <c r="J21" s="1"/>
  <c r="G21"/>
  <c r="G16"/>
  <c r="I16" s="1"/>
  <c r="G16" i="34"/>
  <c r="I16" s="1"/>
  <c r="J16" s="1"/>
  <c r="G18"/>
  <c r="I18" s="1"/>
  <c r="J18" s="1"/>
  <c r="G17"/>
  <c r="I17" s="1"/>
  <c r="F21" i="33"/>
  <c r="H21" s="1"/>
  <c r="I21" s="1"/>
  <c r="F19"/>
  <c r="H19" s="1"/>
  <c r="I19" s="1"/>
  <c r="H18"/>
  <c r="I18" s="1"/>
  <c r="F18"/>
  <c r="H17"/>
  <c r="F17"/>
  <c r="F16"/>
  <c r="E27" i="32"/>
  <c r="H26"/>
  <c r="I26" s="1"/>
  <c r="F26"/>
  <c r="F25"/>
  <c r="H25" s="1"/>
  <c r="I25" s="1"/>
  <c r="F24"/>
  <c r="H24" s="1"/>
  <c r="I24" s="1"/>
  <c r="H23"/>
  <c r="I23" s="1"/>
  <c r="F23"/>
  <c r="F22"/>
  <c r="H22" s="1"/>
  <c r="I22" s="1"/>
  <c r="F21"/>
  <c r="H21" s="1"/>
  <c r="I21" s="1"/>
  <c r="H20"/>
  <c r="I20" s="1"/>
  <c r="F20"/>
  <c r="F19"/>
  <c r="H19" s="1"/>
  <c r="I19" s="1"/>
  <c r="F18"/>
  <c r="H18" s="1"/>
  <c r="I18" s="1"/>
  <c r="F17"/>
  <c r="H17" s="1"/>
  <c r="I17" s="1"/>
  <c r="F16"/>
  <c r="J16" i="35" l="1"/>
  <c r="J22" s="1"/>
  <c r="J23" s="1"/>
  <c r="I22"/>
  <c r="G22"/>
  <c r="J17" i="34"/>
  <c r="J19" s="1"/>
  <c r="J20" s="1"/>
  <c r="I19"/>
  <c r="G19"/>
  <c r="I17" i="33"/>
  <c r="F22"/>
  <c r="H16"/>
  <c r="H22" s="1"/>
  <c r="F27" i="32"/>
  <c r="H16"/>
  <c r="I16" i="33" l="1"/>
  <c r="I22" s="1"/>
  <c r="I23" s="1"/>
  <c r="H27" i="32"/>
  <c r="I16"/>
  <c r="I27" s="1"/>
  <c r="I28" s="1"/>
  <c r="G16" i="31" l="1"/>
  <c r="F25" i="30"/>
  <c r="H25"/>
  <c r="I25"/>
  <c r="G17" i="31" l="1"/>
  <c r="I16"/>
  <c r="J16" s="1"/>
  <c r="J17" s="1"/>
  <c r="J18" s="1"/>
  <c r="F23" i="30"/>
  <c r="H23" s="1"/>
  <c r="I23" s="1"/>
  <c r="F24"/>
  <c r="H24" s="1"/>
  <c r="I24" s="1"/>
  <c r="I17" i="31" l="1"/>
  <c r="F22" i="30" l="1"/>
  <c r="H22" s="1"/>
  <c r="I22" s="1"/>
  <c r="F21"/>
  <c r="H21" s="1"/>
  <c r="I21" s="1"/>
  <c r="F20"/>
  <c r="H20" s="1"/>
  <c r="I20" s="1"/>
  <c r="F19"/>
  <c r="H19" s="1"/>
  <c r="I19" s="1"/>
  <c r="H18"/>
  <c r="I18" s="1"/>
  <c r="F18"/>
  <c r="F17"/>
  <c r="H17" s="1"/>
  <c r="I17" s="1"/>
  <c r="I16"/>
  <c r="H16"/>
  <c r="F16"/>
  <c r="F23" i="29"/>
  <c r="H23"/>
  <c r="I23"/>
  <c r="F16"/>
  <c r="F17"/>
  <c r="F18"/>
  <c r="H18" s="1"/>
  <c r="I18" s="1"/>
  <c r="F22"/>
  <c r="H22" s="1"/>
  <c r="I22" s="1"/>
  <c r="I21"/>
  <c r="H21"/>
  <c r="F21"/>
  <c r="I20"/>
  <c r="H20"/>
  <c r="F20"/>
  <c r="H19"/>
  <c r="I19" s="1"/>
  <c r="F19"/>
  <c r="H17"/>
  <c r="H16"/>
  <c r="I16" s="1"/>
  <c r="E18" i="27"/>
  <c r="I26" i="30" l="1"/>
  <c r="I17" i="29"/>
  <c r="I24" s="1"/>
  <c r="F17" i="27" l="1"/>
  <c r="H17" s="1"/>
  <c r="F16"/>
  <c r="H16" s="1"/>
  <c r="F19" i="26"/>
  <c r="H19" s="1"/>
  <c r="I19" s="1"/>
  <c r="F20"/>
  <c r="H20" s="1"/>
  <c r="I20" s="1"/>
  <c r="H18"/>
  <c r="I18" s="1"/>
  <c r="F18"/>
  <c r="F17"/>
  <c r="H17" s="1"/>
  <c r="I17" s="1"/>
  <c r="F16"/>
  <c r="G18" i="25"/>
  <c r="I18"/>
  <c r="J18"/>
  <c r="G17"/>
  <c r="I17"/>
  <c r="J17" s="1"/>
  <c r="I16" i="27" l="1"/>
  <c r="H18"/>
  <c r="F18"/>
  <c r="I17"/>
  <c r="F21" i="26"/>
  <c r="H16"/>
  <c r="G16" i="25"/>
  <c r="I18" i="27" l="1"/>
  <c r="I19" s="1"/>
  <c r="H21" i="26"/>
  <c r="I16"/>
  <c r="I21" s="1"/>
  <c r="I22" s="1"/>
  <c r="I16" i="25"/>
  <c r="J16" l="1"/>
  <c r="J19" s="1"/>
  <c r="E20" i="24" l="1"/>
  <c r="I19"/>
  <c r="H19"/>
  <c r="F19"/>
  <c r="F18"/>
  <c r="H18" s="1"/>
  <c r="I18" s="1"/>
  <c r="F17"/>
  <c r="H17" s="1"/>
  <c r="F16"/>
  <c r="H16" s="1"/>
  <c r="I16" s="1"/>
  <c r="I17" l="1"/>
  <c r="I20" s="1"/>
  <c r="I21" s="1"/>
  <c r="H20"/>
  <c r="F20"/>
  <c r="E18" i="23"/>
  <c r="H17"/>
  <c r="I17"/>
  <c r="F17"/>
  <c r="F16" l="1"/>
  <c r="F18" s="1"/>
  <c r="H20" i="22"/>
  <c r="I20" s="1"/>
  <c r="F20"/>
  <c r="F19"/>
  <c r="H19" s="1"/>
  <c r="I19" s="1"/>
  <c r="F18"/>
  <c r="H18" s="1"/>
  <c r="I18" s="1"/>
  <c r="F17"/>
  <c r="H17" s="1"/>
  <c r="I17" s="1"/>
  <c r="F16"/>
  <c r="F18" i="21"/>
  <c r="H18" s="1"/>
  <c r="I18" s="1"/>
  <c r="F17"/>
  <c r="H17" s="1"/>
  <c r="F16"/>
  <c r="H16" s="1"/>
  <c r="I16" s="1"/>
  <c r="H16" i="23" l="1"/>
  <c r="F21" i="22"/>
  <c r="H16"/>
  <c r="I16" s="1"/>
  <c r="I21" s="1"/>
  <c r="I22" s="1"/>
  <c r="I17" i="21"/>
  <c r="I19" s="1"/>
  <c r="I20" s="1"/>
  <c r="H19"/>
  <c r="F19"/>
  <c r="H18" i="23" l="1"/>
  <c r="I16"/>
  <c r="H21" i="22"/>
  <c r="G16" i="18"/>
  <c r="I16" s="1"/>
  <c r="G17"/>
  <c r="I17" s="1"/>
  <c r="J17" s="1"/>
  <c r="E18"/>
  <c r="I19" i="23" l="1"/>
  <c r="I18"/>
  <c r="G18" i="18"/>
  <c r="I18"/>
  <c r="J16"/>
  <c r="J18" s="1"/>
  <c r="J19" s="1"/>
  <c r="H18" i="17"/>
  <c r="I18"/>
  <c r="F18"/>
  <c r="H17"/>
  <c r="I17" s="1"/>
  <c r="F17"/>
  <c r="F19"/>
  <c r="H19" s="1"/>
  <c r="I19" s="1"/>
  <c r="F16"/>
  <c r="G21" i="16"/>
  <c r="I21" s="1"/>
  <c r="J21" s="1"/>
  <c r="I19"/>
  <c r="J19"/>
  <c r="G19"/>
  <c r="G20"/>
  <c r="I20" s="1"/>
  <c r="J20" s="1"/>
  <c r="F20" i="17" l="1"/>
  <c r="H16"/>
  <c r="G22" i="16"/>
  <c r="I22" s="1"/>
  <c r="J22" s="1"/>
  <c r="G18"/>
  <c r="I18" s="1"/>
  <c r="J18" s="1"/>
  <c r="G17"/>
  <c r="I17" s="1"/>
  <c r="J17" s="1"/>
  <c r="G16"/>
  <c r="I16" s="1"/>
  <c r="J16" s="1"/>
  <c r="I16" i="17" l="1"/>
  <c r="I20" s="1"/>
  <c r="I21" s="1"/>
  <c r="H20"/>
  <c r="J23" i="16"/>
  <c r="J24" s="1"/>
  <c r="G23"/>
  <c r="I23"/>
  <c r="G16" i="15" l="1"/>
  <c r="E19"/>
  <c r="I18"/>
  <c r="J18" s="1"/>
  <c r="G18"/>
  <c r="J17"/>
  <c r="I17"/>
  <c r="G17"/>
  <c r="G19"/>
  <c r="I16" l="1"/>
  <c r="J16" s="1"/>
  <c r="J19" s="1"/>
  <c r="J20" s="1"/>
  <c r="I19" l="1"/>
  <c r="F18" i="14" l="1"/>
  <c r="H18" s="1"/>
  <c r="I18" s="1"/>
  <c r="F20" l="1"/>
  <c r="H20" s="1"/>
  <c r="I20" s="1"/>
  <c r="F19"/>
  <c r="F17"/>
  <c r="H17" s="1"/>
  <c r="I17" s="1"/>
  <c r="F16"/>
  <c r="H16" s="1"/>
  <c r="I16" s="1"/>
  <c r="F21" l="1"/>
  <c r="H21"/>
  <c r="H19"/>
  <c r="I19" s="1"/>
  <c r="I21" s="1"/>
  <c r="I22" s="1"/>
  <c r="E17" i="13" l="1"/>
  <c r="I16"/>
  <c r="H16"/>
  <c r="F16"/>
  <c r="I17" l="1"/>
  <c r="I18" s="1"/>
  <c r="H17"/>
  <c r="F17"/>
  <c r="H18" i="12" l="1"/>
  <c r="I18" s="1"/>
  <c r="F18"/>
  <c r="E20"/>
  <c r="I19"/>
  <c r="H19"/>
  <c r="F19"/>
  <c r="H17"/>
  <c r="I17" s="1"/>
  <c r="F17"/>
  <c r="F16"/>
  <c r="H16" s="1"/>
  <c r="K15" i="11"/>
  <c r="F17"/>
  <c r="H17" s="1"/>
  <c r="I17" s="1"/>
  <c r="H16"/>
  <c r="F16"/>
  <c r="H19" i="10"/>
  <c r="I19" s="1"/>
  <c r="F19"/>
  <c r="F18"/>
  <c r="H18" s="1"/>
  <c r="I18" s="1"/>
  <c r="F17"/>
  <c r="H17" s="1"/>
  <c r="I17" s="1"/>
  <c r="F16"/>
  <c r="F20" i="9"/>
  <c r="H20"/>
  <c r="I20"/>
  <c r="H19"/>
  <c r="I19" s="1"/>
  <c r="F19"/>
  <c r="E17"/>
  <c r="E16"/>
  <c r="H20" i="12" l="1"/>
  <c r="I16"/>
  <c r="I20" s="1"/>
  <c r="I21" s="1"/>
  <c r="F20"/>
  <c r="F18" i="11"/>
  <c r="H18"/>
  <c r="I16"/>
  <c r="I18" s="1"/>
  <c r="I19" s="1"/>
  <c r="F20" i="10"/>
  <c r="H16"/>
  <c r="F18" i="9"/>
  <c r="H18" s="1"/>
  <c r="I18" s="1"/>
  <c r="F17"/>
  <c r="F16"/>
  <c r="H16" s="1"/>
  <c r="I16" s="1"/>
  <c r="H20" i="10" l="1"/>
  <c r="I16"/>
  <c r="I20" s="1"/>
  <c r="I21" s="1"/>
  <c r="H17" i="9"/>
  <c r="I17" l="1"/>
  <c r="I21" s="1"/>
  <c r="I18" i="8" l="1"/>
  <c r="H18"/>
  <c r="F18"/>
  <c r="E20"/>
  <c r="F19"/>
  <c r="H19" s="1"/>
  <c r="I19" s="1"/>
  <c r="H17"/>
  <c r="I17" s="1"/>
  <c r="F17"/>
  <c r="F16"/>
  <c r="H16" s="1"/>
  <c r="E17" i="1"/>
  <c r="E18"/>
  <c r="F18" i="7"/>
  <c r="H18" s="1"/>
  <c r="I18" s="1"/>
  <c r="F17"/>
  <c r="H17" s="1"/>
  <c r="I17" s="1"/>
  <c r="F16"/>
  <c r="E19" i="6"/>
  <c r="F19"/>
  <c r="H19"/>
  <c r="I19"/>
  <c r="F18"/>
  <c r="H18"/>
  <c r="I18" s="1"/>
  <c r="E17"/>
  <c r="E16"/>
  <c r="I16" i="8" l="1"/>
  <c r="I20" s="1"/>
  <c r="I21" s="1"/>
  <c r="H20"/>
  <c r="F20"/>
  <c r="H16" i="7"/>
  <c r="F19"/>
  <c r="E19"/>
  <c r="H19" l="1"/>
  <c r="I16"/>
  <c r="I19" s="1"/>
  <c r="I20" s="1"/>
  <c r="F17" i="6" l="1"/>
  <c r="H17" s="1"/>
  <c r="I17" s="1"/>
  <c r="F16"/>
  <c r="F20" i="5"/>
  <c r="H20" s="1"/>
  <c r="I20" s="1"/>
  <c r="H19"/>
  <c r="I19" s="1"/>
  <c r="F19"/>
  <c r="F18"/>
  <c r="H18" s="1"/>
  <c r="I18" s="1"/>
  <c r="H17"/>
  <c r="I17" s="1"/>
  <c r="F17"/>
  <c r="F16"/>
  <c r="H16" i="6" l="1"/>
  <c r="F21" i="5"/>
  <c r="H16"/>
  <c r="I16" i="6" l="1"/>
  <c r="I20" s="1"/>
  <c r="I16" i="5"/>
  <c r="I21" s="1"/>
  <c r="I22" s="1"/>
  <c r="H21"/>
  <c r="H17" i="4" l="1"/>
  <c r="I17" s="1"/>
  <c r="F17"/>
  <c r="F16" i="2"/>
  <c r="H16"/>
  <c r="I16" s="1"/>
  <c r="E21" i="4"/>
  <c r="F20"/>
  <c r="H20" s="1"/>
  <c r="I20" s="1"/>
  <c r="H19"/>
  <c r="I19" s="1"/>
  <c r="F19"/>
  <c r="F18"/>
  <c r="H18" s="1"/>
  <c r="I18" s="1"/>
  <c r="F16"/>
  <c r="H16" s="1"/>
  <c r="I16" s="1"/>
  <c r="F16" i="3"/>
  <c r="H16" s="1"/>
  <c r="I16" s="1"/>
  <c r="F21"/>
  <c r="E22"/>
  <c r="F20"/>
  <c r="H20" s="1"/>
  <c r="I20" s="1"/>
  <c r="F19"/>
  <c r="H19" s="1"/>
  <c r="I19" s="1"/>
  <c r="F18"/>
  <c r="H18" s="1"/>
  <c r="I18" s="1"/>
  <c r="F17"/>
  <c r="F22" s="1"/>
  <c r="F17" i="2"/>
  <c r="H17" s="1"/>
  <c r="I17" s="1"/>
  <c r="F18"/>
  <c r="F19"/>
  <c r="H19" s="1"/>
  <c r="I19" s="1"/>
  <c r="F16" i="1"/>
  <c r="F17"/>
  <c r="H16" l="1"/>
  <c r="H18" s="1"/>
  <c r="F18"/>
  <c r="I21" i="4"/>
  <c r="I22" s="1"/>
  <c r="F21"/>
  <c r="I22" i="3"/>
  <c r="I23" s="1"/>
  <c r="H17"/>
  <c r="I17" s="1"/>
  <c r="F20" i="2"/>
  <c r="H21" i="4"/>
  <c r="H22" i="3"/>
  <c r="H18" i="2"/>
  <c r="I18" s="1"/>
  <c r="I20" s="1"/>
  <c r="I21" s="1"/>
  <c r="E20"/>
  <c r="H17" i="1"/>
  <c r="I17" s="1"/>
  <c r="I16" l="1"/>
  <c r="I18" s="1"/>
  <c r="I19" s="1"/>
  <c r="H20" i="2"/>
</calcChain>
</file>

<file path=xl/sharedStrings.xml><?xml version="1.0" encoding="utf-8"?>
<sst xmlns="http://schemas.openxmlformats.org/spreadsheetml/2006/main" count="2299" uniqueCount="327">
  <si>
    <t>Authorized Signatory</t>
  </si>
  <si>
    <t>Account Name: Prime Power, A/No.: 50200057768861 IFSC Code:  HDFC0002519
Bank : HDFC, Ashokanagar, Ranchi - 834 002 (Jharkhand).</t>
  </si>
  <si>
    <t>Bank Details</t>
  </si>
  <si>
    <t>Sd/-</t>
  </si>
  <si>
    <t>15 days only.</t>
  </si>
  <si>
    <t>Validity</t>
  </si>
  <si>
    <t>Extra as per distance.</t>
  </si>
  <si>
    <t>Freight Charges</t>
  </si>
  <si>
    <t>for Prime Power</t>
  </si>
  <si>
    <t>100 % against delivery</t>
  </si>
  <si>
    <t>Payment Terms</t>
  </si>
  <si>
    <t>Ex-stock available subject to prior sale.</t>
  </si>
  <si>
    <t>Delivery Period</t>
  </si>
  <si>
    <t>Ex-works Dhanbad.</t>
  </si>
  <si>
    <t>Place of Delivery</t>
  </si>
  <si>
    <t>TERMS &amp; CONDITIONS:-</t>
  </si>
  <si>
    <t>E &amp; O E</t>
  </si>
  <si>
    <t xml:space="preserve">   </t>
  </si>
  <si>
    <t>( Rupees…TWENTY EIGHT THOUSEND FOUR HUNDRED THIRTY TWO ONLY )</t>
  </si>
  <si>
    <t>SAY AS : Rs.</t>
  </si>
  <si>
    <t>Total :</t>
  </si>
  <si>
    <t>OIL FILTER 90 LPM</t>
  </si>
  <si>
    <t>B009504620001</t>
  </si>
  <si>
    <t>ELGI MAKE AIR LUBE PLUS - 20LTR.</t>
  </si>
  <si>
    <t>000998114</t>
  </si>
  <si>
    <t>Total</t>
  </si>
  <si>
    <t>GST Amount</t>
  </si>
  <si>
    <t>GST %</t>
  </si>
  <si>
    <t>Taxable Amount</t>
  </si>
  <si>
    <t>Unit Rate</t>
  </si>
  <si>
    <t>Qty.</t>
  </si>
  <si>
    <t>Description</t>
  </si>
  <si>
    <t>Part Number</t>
  </si>
  <si>
    <t>Sl. No.</t>
  </si>
  <si>
    <t>MODEL NO:-PG575-225</t>
  </si>
  <si>
    <t>HMR:-2500</t>
  </si>
  <si>
    <t>FAB NO-</t>
  </si>
  <si>
    <t>FABRICATION NO. :</t>
  </si>
  <si>
    <t>PG 500 - 175</t>
  </si>
  <si>
    <t>EQUIPMENT MODEL :</t>
  </si>
  <si>
    <t>With reference telephonic discussions / queries, we are pleased to submit our offer for the following.  You are kindly requested to place your valuable order alongwith payment, as per the payment terms, at the earliest.</t>
  </si>
  <si>
    <t>:</t>
  </si>
  <si>
    <t>Dear Sir,</t>
  </si>
  <si>
    <t>AJAY KUMAR MAHTO
MAHUDA MORE, P.O RAMNAGARH,
P.S MAHUDA, DHANBAD, JHARKHAND - 828305.
GSTIN/UIN : 20AUPPM0355D1Z1
State Name : Jharkhand, Code : 20
Contact : 6204702963</t>
  </si>
  <si>
    <t>To,</t>
  </si>
  <si>
    <t>Date :</t>
  </si>
  <si>
    <t>GSTIN: 20HGSPS1697J1ZM</t>
  </si>
  <si>
    <t>Tel.: 0651-2240147, 9308995990, 9431580795.     e-mail:- primepower.13@gmail.com</t>
  </si>
  <si>
    <t>House No. L-18, Near Shiv Mandir, Argora Housing Colony, Behind Argora Maidan, Ranchi - 834 002 (Jharkhand)</t>
  </si>
  <si>
    <t>Sales &amp; Service for Pneumatic Tools, Hand Grease Pump, Oil Pumps,  Service Station Equipments, Air Compressors etc.</t>
  </si>
  <si>
    <t>Authorised Dealer : ELGi EQUIPMENTS LTD. &amp; ATS ELGI LTD.</t>
  </si>
  <si>
    <t>PRIME POWER</t>
  </si>
  <si>
    <t>QUOTATION</t>
  </si>
  <si>
    <t>FAB NO-BVCD163165</t>
  </si>
  <si>
    <t>HMR:</t>
  </si>
  <si>
    <t>MODEL NO:-PG550-200</t>
  </si>
  <si>
    <t>B002000210001</t>
  </si>
  <si>
    <t>038400020</t>
  </si>
  <si>
    <t>B002005840004</t>
  </si>
  <si>
    <t>GAUGE, TEMPERATURE TRIP 120</t>
  </si>
  <si>
    <t>038300002</t>
  </si>
  <si>
    <t>PG 500-175 SKID WIRE HARNESS</t>
  </si>
  <si>
    <t>L.O.P.</t>
  </si>
  <si>
    <t>ELEC. TEMPERATURE GAUGE,24V</t>
  </si>
  <si>
    <t>Pricol Temperature Switch 98C</t>
  </si>
  <si>
    <t>FAB NO-BULD162559</t>
  </si>
  <si>
    <t>RPM METER</t>
  </si>
  <si>
    <t>B002100210001</t>
  </si>
  <si>
    <t>ELEC. PRESSURE GAUGE, 24V</t>
  </si>
  <si>
    <t>( Rupees…FORTY TWO THOUSEND ELEVEN ONLY )</t>
  </si>
  <si>
    <t>( Rupees…FORTY THREE THOUSEND THIRTY ONLY )</t>
  </si>
  <si>
    <t>038360042</t>
  </si>
  <si>
    <t>CRYSTAL LAMP 24V DC GREEN</t>
  </si>
  <si>
    <t>FAB NO-BXKD164206</t>
  </si>
  <si>
    <t>( Rupees…TWENTY FIVE THOUSEND FOUR HUNDRED SIXTEEN ONLY )</t>
  </si>
  <si>
    <t>SHIV MINING DRILLING
SHEETLA PRASAD SINGH, MISHRA
PADA, NEAR DURGA MANDIR,
JHARIA, DHANBAD - 828 111, JHARKHAND. GSTIN/UIN : 20CZGPS9026K1Z3 State Name : Jharkhand, Code : 20
Contact person: MR. SHEETLA PRASAD SINGH
Contact : 7644045555</t>
  </si>
  <si>
    <t>Quotation No.:PP/DHN/26-27/001</t>
  </si>
  <si>
    <t>Quotation No.:PP/DHN/26-27/002</t>
  </si>
  <si>
    <t>Quotation No.:PP/DHN/26-27/003</t>
  </si>
  <si>
    <t>Quotation No.:PP/DHN/26-27/004</t>
  </si>
  <si>
    <t>HMR:-500</t>
  </si>
  <si>
    <t>MODEL NO:-PG850-290</t>
  </si>
  <si>
    <t>032400319</t>
  </si>
  <si>
    <t>A/F KIT PG 825S-250S</t>
  </si>
  <si>
    <t>X017503</t>
  </si>
  <si>
    <t>OIL FILTER ELEMENT</t>
  </si>
  <si>
    <t>B004800770001</t>
  </si>
  <si>
    <t>OIL FILTER ELEMENT-75 LPM</t>
  </si>
  <si>
    <t>ELGI AIR LUBE PLUS 20 LTR</t>
  </si>
  <si>
    <t>000998115</t>
  </si>
  <si>
    <t>ELGI AIR LUBE PLUS 50 LTR</t>
  </si>
  <si>
    <t>TOTAL</t>
  </si>
  <si>
    <t>Ex-works Ranchi.</t>
  </si>
  <si>
    <t>Extra at actual / As mentioned above.</t>
  </si>
  <si>
    <t>FAB NO-BYCD201765</t>
  </si>
  <si>
    <t>( Rupees…SEVENTY SEVEN THOUDEND SEVEN HUNDRED NINTY THREE ONLY )</t>
  </si>
  <si>
    <t>SRI INFRA             ADD:- DHANBAD</t>
  </si>
  <si>
    <t>Quotation No.:PP/DHN/26-27/005</t>
  </si>
  <si>
    <t>KRITHNA ENTERPRISES      ADD:-TANDAWA,BARKAGAW MO.NO:- 6202856098</t>
  </si>
  <si>
    <t>032400959</t>
  </si>
  <si>
    <t>SERVICE KIT1500HRS-PG 575-225S</t>
  </si>
  <si>
    <t>OIL FILTER 90LPM-25BAR</t>
  </si>
  <si>
    <t>TRANSPORTING CHARGE</t>
  </si>
  <si>
    <t>( Rupees…SEVENTY THOUSEND SIX HUNDRED THIRTY SEVEN ONLY )</t>
  </si>
  <si>
    <t>Quotation No.:PP/DHN/26-27/006</t>
  </si>
  <si>
    <t>SPARE KIT,1000-1250 HRS</t>
  </si>
  <si>
    <t>MODEL NO:-PG500-175</t>
  </si>
  <si>
    <t>( Rupees…FORTY SIX THOUSEND ONE HUNDRED NINTY FIVE ONLY )</t>
  </si>
  <si>
    <t>Quotation No.:PP/DHN/26-27/007</t>
  </si>
  <si>
    <t>SRI RAM BOREWELL       ADD:-GAYA                         MO.NO.:-9973483380</t>
  </si>
  <si>
    <t>JITENDRA YADAV    ADD:-GAYA                         MO.NO.:-9973483380</t>
  </si>
  <si>
    <t>032401239</t>
  </si>
  <si>
    <t>SPARE KIT, 1500 HRS</t>
  </si>
  <si>
    <t>( Rupees…ONE LAKH THREE THOUSEND SIX HUNDRED THIRTEEN ONLY )</t>
  </si>
  <si>
    <t>HMR:-</t>
  </si>
  <si>
    <t>Quotation No.:PP/DHN/26-27/008</t>
  </si>
  <si>
    <t>032401249</t>
  </si>
  <si>
    <t>ELGI MAKE AIR LUBE PLUS - 50LTR.</t>
  </si>
  <si>
    <t>SPARE KIT, 3000 HRS</t>
  </si>
  <si>
    <t>Quotation No.:PP/DHN/26-27/009</t>
  </si>
  <si>
    <t>AMBIKA SAW         ADD:-GAYA                         MO.NO.:-</t>
  </si>
  <si>
    <t>SERVIC CHARGE</t>
  </si>
  <si>
    <t>( Rupees…ONE LAKH THIRTY ONE THOUSEND EIGHT HUNDRED EIGHTY SEVEN ONLY )</t>
  </si>
  <si>
    <t>032401259</t>
  </si>
  <si>
    <t>ANIL YADAV        ADD:-GAYA                         MO.NO.:-</t>
  </si>
  <si>
    <t>Quotation No.:PP/DHN/26-27/010</t>
  </si>
  <si>
    <t>010452205</t>
  </si>
  <si>
    <t>ELEMENT SEPERATOR 400 CFM</t>
  </si>
  <si>
    <t>( Rupees…SIXTY TWO THOUSEND TWO HUNDRED FIFTY TWO ONLY )</t>
  </si>
  <si>
    <t>S.V.S. BOREWELL        ADD:-NONIHAT                        MO.NO.:-7373135666</t>
  </si>
  <si>
    <t>Quotation No.:PP/DHN/26-27/011</t>
  </si>
  <si>
    <t>( Rupees…ELEVEN THOUSEND FIFTY THREE ONLY )</t>
  </si>
  <si>
    <t>OIL FILTER 75LPM</t>
  </si>
  <si>
    <t>Quotation No.:PP/DHN/26-27/012</t>
  </si>
  <si>
    <t>( Rupees…FIFTY ONE THOUSEND FIVE HUNDRED SIXTY SIX ONLY )</t>
  </si>
  <si>
    <t>032401229</t>
  </si>
  <si>
    <t>Ankit Accessories,     Deograh                         Contact Person-Akshay Sadu                          Mobile No.- 7908283874</t>
  </si>
  <si>
    <t>Quotation No.:PP/DHN/26-27/013</t>
  </si>
  <si>
    <t>( Rupees…FIVE THOUSEND NINE HUNDRED ONLY )</t>
  </si>
  <si>
    <t>INSPECTION SERVICE CHARGE</t>
  </si>
  <si>
    <t>VEERAPPAN SPRS                      ADD:- GOVINDPUR</t>
  </si>
  <si>
    <t xml:space="preserve">                                                                                                 </t>
  </si>
  <si>
    <t>FAB NO-BXAD231957</t>
  </si>
  <si>
    <t>MODEL NO:-PG1250</t>
  </si>
  <si>
    <t>B679102</t>
  </si>
  <si>
    <t>SPIN ON FILTER ELEMENT 378.5 M</t>
  </si>
  <si>
    <t>Ex-works DHANBAD.</t>
  </si>
  <si>
    <t>Extra As per distance.</t>
  </si>
  <si>
    <t>B005700730003</t>
  </si>
  <si>
    <t>AIR FILTER KIT 1390 CFM</t>
  </si>
  <si>
    <t>Quotation No.:PP/DHN/26-27/014</t>
  </si>
  <si>
    <t>( Rupees…ONE LAKH THIRTEEN THOUSEND SEVEN HUNDRED SEVENTY FOUR ONLY )</t>
  </si>
  <si>
    <t>HMR:= 2000</t>
  </si>
  <si>
    <t>V.R.R ENTERPRISES
ADD:-PADHYADIH,
BHAGA,DHANBAD
GSTIN:-20AKYPB9115F2ZA
MO.NO-9386596420</t>
  </si>
  <si>
    <t>HMR:= 500</t>
  </si>
  <si>
    <t>DIS</t>
  </si>
  <si>
    <t>ELGI AIR LUBE PLUSE</t>
  </si>
  <si>
    <t>B574602</t>
  </si>
  <si>
    <t>AIR FILTER</t>
  </si>
  <si>
    <t xml:space="preserve"> </t>
  </si>
  <si>
    <t>Quotation No.:PP/DHN/26-27/015</t>
  </si>
  <si>
    <t>( Rupees… FIFTY ONE THOUSEND TWO HUNDRED FIFTY NINE ONLY )</t>
  </si>
  <si>
    <t>BROSHAN INDIA PRIVATE LIMITED
BHUDA, BARMASIA, DHANBAD
GSTIN/UIN : 20AAICB3553A1ZF
State Name :Jharkhand,Code:20
Contact person : Mr. Shankar Kumar
Contact : 9263996999
E-Mail : shankar@broshanindia.com</t>
  </si>
  <si>
    <t>HMR:-1500</t>
  </si>
  <si>
    <t>B006700460004</t>
  </si>
  <si>
    <t>SEPARATOR ELEMENT 750 CFM</t>
  </si>
  <si>
    <t>220322920</t>
  </si>
  <si>
    <t>ELEMENT THERMAL VALVE 155 DEG</t>
  </si>
  <si>
    <t>220310329</t>
  </si>
  <si>
    <t>KIT,VALVE,OIL STOP VALVE11/2"NPT</t>
  </si>
  <si>
    <t>B012805340057</t>
  </si>
  <si>
    <t>OIL FILTER 75 LPM</t>
  </si>
  <si>
    <t>220460459</t>
  </si>
  <si>
    <t>BDV (SHUT DOWN) 2 STAGE</t>
  </si>
  <si>
    <t>VALVE, PR RELIEF 1INCH 20BAR</t>
  </si>
  <si>
    <t>000998116</t>
  </si>
  <si>
    <t>ELGI AIR LUBE 210 LTR</t>
  </si>
  <si>
    <t>( Rupees…ONE LAKH NINTY ONE THOUDEND FIVE HUNDRED TWENTY THREE  ONLY )</t>
  </si>
  <si>
    <t>Quotation No.:PP/DHN/26-27/016</t>
  </si>
  <si>
    <t>Quotation No.:PP/DHN/26-27/017</t>
  </si>
  <si>
    <t>972300220</t>
  </si>
  <si>
    <t>DCV3 ASSY KIT</t>
  </si>
  <si>
    <t>( Rupees…FORTY ONE THOUSEND SIX HUNDRED FIFTY SIX ONLY )</t>
  </si>
  <si>
    <t>JRR Project's LLP
Kalpana Enclave Flat No.501Huda
Sainagar, Road No.8,
Vanasthalipuram, Ranga Reddy, Mob. No.9666638899, 9948134225
GSTIN/UIN : 36AAMFJ1749F1Z8
State Name : Telangana, Code : 36
Contact person: JANGAREDDY</t>
  </si>
  <si>
    <t>HMR:=</t>
  </si>
  <si>
    <t>Ex-works RANCHI.</t>
  </si>
  <si>
    <t>220446090</t>
  </si>
  <si>
    <t>CABLE; STOPPER; ENGINE; ALU370</t>
  </si>
  <si>
    <t>DIS%</t>
  </si>
  <si>
    <t>( Rupees… FORTY EIGHT THOUSAND NINE HUNDRED TWENTY EIGHT ONLY )</t>
  </si>
  <si>
    <t>Quotation No.:PP/DHN/26-27/018</t>
  </si>
  <si>
    <t>( Rupees…FORTY EIGHT THOUDEND FIVE HUNDRED TWELVE  ONLY )</t>
  </si>
  <si>
    <t>Quotation No.:PP/DHN/26-27/020</t>
  </si>
  <si>
    <t>( Rupees…EIGHTY FOUR THOUDEND SEVEN HUNDRED SEVENTY ONE ONLY )</t>
  </si>
  <si>
    <t>Quotation No.:PP/DHN/26-27/021</t>
  </si>
  <si>
    <t>PROFORMA INVOICE</t>
  </si>
  <si>
    <t>POWER BOREWELL    ADD:- PAKURIA</t>
  </si>
  <si>
    <t>A030006</t>
  </si>
  <si>
    <t>ACTUATOR ASSY, SINGLE ACTING</t>
  </si>
  <si>
    <t>( Rupees…FORTEEN THOUSEND NINE HUNDRED FORTY ONLY )</t>
  </si>
  <si>
    <t>Quotation No.:PP/DHN/26-27/022</t>
  </si>
  <si>
    <t xml:space="preserve">PRATAP TREDING </t>
  </si>
  <si>
    <t>Quotation No.:PP/DHN/26-27/023</t>
  </si>
  <si>
    <t>( Rupees…ONE LAKH FIFTEEN THOUSEND THREE HUNDRED FIFTY SEVEN ONLY )</t>
  </si>
  <si>
    <t>UNIVERSAL MINING SOLUTIONS LLP
SURYA AUTO CAMPUS, JHARIA
ROAD, DHANSAR, DHANBAD - 826106., JHARKHAND
GSTIN/UIN : 20AAGFU7270G1ZA
State Name : Jharkhand, Code : 20</t>
  </si>
  <si>
    <t xml:space="preserve">FAB NO- </t>
  </si>
  <si>
    <t xml:space="preserve">HMR:= </t>
  </si>
  <si>
    <t>OIL FILTER 75LPM-25BAR</t>
  </si>
  <si>
    <t>( Rupees…ONE LAKH ONE THOUSAND FIVE HUNDRED TWENTY NINE ONLY )</t>
  </si>
  <si>
    <t>Quotation No.:PP/DHN/26-27/024</t>
  </si>
  <si>
    <t xml:space="preserve"> M/S TRIVENI ENGICONS PVT. LTD.
PAN:AABCT4589R
Address:JHARKHAND
Pincode: 831001
BISTUPUR</t>
  </si>
  <si>
    <t>Elgi air lube plus 50ltr</t>
  </si>
  <si>
    <t>032400909</t>
  </si>
  <si>
    <t>Consumable kit 1000-1250 hr</t>
  </si>
  <si>
    <t>B006700770007</t>
  </si>
  <si>
    <t>SEPARATOR ELEMENT E75</t>
  </si>
  <si>
    <t>SERVICE CHARGE</t>
  </si>
  <si>
    <t>Quotation No.:PP/DHN/26-27/025</t>
  </si>
  <si>
    <t>( Rupees…ONE LAKH SIXTEEN THOUSEND SIX HUNDRED THIRTY NINE ONLY )</t>
  </si>
  <si>
    <t>SIDDESHWARA BOREWELLS
D. NO. 42-17, CHANDABAGH,
BESIDE HAPPY HOMES, S.P.
NAGAR, MOULA ALI, HYDERABAD - 500 040 (TELANGANA
GSTIN/UIN : 36AUHPG2210R1ZJ
State Name : Telangana, Code : 36
Contact person : MR. SURENDAR GADWALA
Contact : 9000090047</t>
  </si>
  <si>
    <t>Quotation No.:PP/DHN/26-27/026</t>
  </si>
  <si>
    <t>( Rupees…FIFTY TWO THOUSEND THREE HUNDRED NINE  ONLY )</t>
  </si>
  <si>
    <t>220271909</t>
  </si>
  <si>
    <t>KIT;ACTUATOR;SINGLE ACTING</t>
  </si>
  <si>
    <t>032401509</t>
  </si>
  <si>
    <t>SPARE KIT, PRESSURE REGULATOR</t>
  </si>
  <si>
    <t>0324000149</t>
  </si>
  <si>
    <t>SPARE KIT - ARV</t>
  </si>
  <si>
    <t>E75 AIR OIL SEPARATOR</t>
  </si>
  <si>
    <t>Quotation No.:PP/DHN/26-27/027</t>
  </si>
  <si>
    <t>Quotation No.:PP/DHN/26-27/028</t>
  </si>
  <si>
    <t>HMR:-3000</t>
  </si>
  <si>
    <t>B009301070024</t>
  </si>
  <si>
    <t>MPV KIT - PG 850S-290</t>
  </si>
  <si>
    <t>972300210</t>
  </si>
  <si>
    <t>DCV3 KIT</t>
  </si>
  <si>
    <t>KIT,VALVE,OIL STOP VALVE11/2"N</t>
  </si>
  <si>
    <t>220371089</t>
  </si>
  <si>
    <t>BLOW DOWN VALVE KIT</t>
  </si>
  <si>
    <t>( Rupees…ONE LAKH TWENTY FOUR THOUDEND SIX HUNDRED SIXTEEN  ONLY  )</t>
  </si>
  <si>
    <t>( Rupees…NINTY FOUR THOUDEND NINE HUNDRED SIXTEEN  ONLY )</t>
  </si>
  <si>
    <t>ELGI AIR LUBE 210LTR</t>
  </si>
  <si>
    <t>Quotation No.:PP/DHN/26-27/029</t>
  </si>
  <si>
    <t>( Rupees…NINTY SIX THOUDEND SIX HUNDRED NINTY FIVE  ONLY )</t>
  </si>
  <si>
    <t>FAB NO-BXID201595</t>
  </si>
  <si>
    <t>FAB NO-BYBD201738</t>
  </si>
  <si>
    <t>JRL ENGICON PVT LTD ADD:MOUZA KUSMADANGA, PLOT NO-74, MAHESHPUR,PAKUR JHARKHAND 816106                                      M.NO-7549334611                 GSTIN NO:-2OAAECJ4286A1Z3</t>
  </si>
  <si>
    <t>MODEL NO:-PG600-100</t>
  </si>
  <si>
    <t>ELGI AIR LUBE PLUS 50LTR</t>
  </si>
  <si>
    <t>B006700770009</t>
  </si>
  <si>
    <t>600CFM AOS</t>
  </si>
  <si>
    <t>032401499</t>
  </si>
  <si>
    <t>220371399</t>
  </si>
  <si>
    <t>MPV KIT</t>
  </si>
  <si>
    <t>TRANSPORTINF CHARGE</t>
  </si>
  <si>
    <t>Quotation No.:PP/DHN/26-27/030</t>
  </si>
  <si>
    <t>( Rupees…ONE LAKH EIGHT THOUSAND FOUR HUNDRED THIRTY FOUR ONLY )</t>
  </si>
  <si>
    <t>INDU EARTH MOVERS                           3RD FLOOR, FLAT NO.-3A, SRI KRISHNA APARTMENT, BALIHAR ROAD, NEAR DR. A. K. VERMA, MORABADI, RANCHI - 834008 (JHARKHAND) GSTIN/UIN : 20AAOPI9239F1ZQ
State Name : Jharkhand, Code : 20 Contact person: MR. DEEPA CHAKRAVORTY Contact : 8555006735 E-Mail : indumovers1972@gmail.com</t>
  </si>
  <si>
    <t>MODEL:-PG1100</t>
  </si>
  <si>
    <t>032401309</t>
  </si>
  <si>
    <t>CONSUM KIT-1000-1250-PG 1250</t>
  </si>
  <si>
    <t>032401319</t>
  </si>
  <si>
    <t>CONSUM KIT-1500 HRS-PG 1250</t>
  </si>
  <si>
    <t>ELGI AIR LUBE PLUS 20 lt</t>
  </si>
  <si>
    <t>ELGI AIR LUBE PLUS 50 lt</t>
  </si>
  <si>
    <t>Quotation No.:PP/DHN/26-27/031</t>
  </si>
  <si>
    <t>HMR:=1500</t>
  </si>
  <si>
    <t>Quotation No.:PP/DHN/26-27/032</t>
  </si>
  <si>
    <t>( Rupees… THREE LAKH  TWENTY THREE THOUSAND FIFTY THREE ONLY )</t>
  </si>
  <si>
    <t>MODEL:-PG575-225</t>
  </si>
  <si>
    <t>BDV KIT</t>
  </si>
  <si>
    <t>ARV KIT</t>
  </si>
  <si>
    <t>OIL STOP VALVE KIT</t>
  </si>
  <si>
    <t>ACTUATOR ASSY</t>
  </si>
  <si>
    <t>KIT PRESSURE REG</t>
  </si>
  <si>
    <t>Quotation No.:PP/DHN/26-27/033</t>
  </si>
  <si>
    <t>( Rupees…TWENTY EIGHT THOUSAND FOUR HUNDRED FIFTEEN ONLY )</t>
  </si>
  <si>
    <t>032401299</t>
  </si>
  <si>
    <t>PURVI AGGREGATE SOLUTIONS PVT LTD       ADD:- KODERMA</t>
  </si>
  <si>
    <t>Quotation No.:PP/DHN/26-27/034</t>
  </si>
  <si>
    <t>( Rupees…ONE LAKH SEVENTEEN THOUSEND NINE HUNDRED FORTY NINE  ONLY )</t>
  </si>
  <si>
    <t>MODEL NO:-PG500-185</t>
  </si>
  <si>
    <t>FAB NO-BYFD165254</t>
  </si>
  <si>
    <t>Quotation No.:PP/DHN/26-27/036</t>
  </si>
  <si>
    <t>B012805340019</t>
  </si>
  <si>
    <t>PR RELIEF VALVE 1 INCH SEETRU</t>
  </si>
  <si>
    <t>( Rupees… SIXTY THOUSAND TWO HUNDRED FORTY FOUR ONLY )</t>
  </si>
  <si>
    <t>Quotation No.:PP/DHN/26-27/037</t>
  </si>
  <si>
    <t>220210470</t>
  </si>
  <si>
    <t>VALVE ASSY, BUTTERFLY, 4"</t>
  </si>
  <si>
    <t>B185104</t>
  </si>
  <si>
    <t>PR.SWITCH 8-32 BAR;060-1171</t>
  </si>
  <si>
    <t>R.K CONSTRUCTION                   ADD:-BARMA MINS, JAMSHEDPUR MO.NO:-9123472589</t>
  </si>
  <si>
    <t>FAB NO-BDKD120025</t>
  </si>
  <si>
    <t>HMR:= 4965.7</t>
  </si>
  <si>
    <t>MODEL NO:-DT300-100</t>
  </si>
  <si>
    <t>( Rupees…SEVENTY THOUSAND FIVE HUNDRED THIRTY TWO ONLY )</t>
  </si>
  <si>
    <t>NOTE</t>
  </si>
  <si>
    <t>Dismantel time other problem also customer arrange.</t>
  </si>
  <si>
    <t>M/S. LAXMI ENTERPRISES         ADD:- PAKURIA</t>
  </si>
  <si>
    <t>MODEL NO:-PG1100</t>
  </si>
  <si>
    <t>HMR:= 3000HR</t>
  </si>
  <si>
    <t>B009300800007</t>
  </si>
  <si>
    <t>MPV KIT-2</t>
  </si>
  <si>
    <t>B006700770033</t>
  </si>
  <si>
    <t>AIR OIL SEPARATOR ELMT_1500400</t>
  </si>
  <si>
    <t>DUE AMOUNT</t>
  </si>
  <si>
    <t>( Rupees…TWO LAKH THIRTY THOUSEND SEVEN HUNDRED TWENTY TWO ONLY )</t>
  </si>
  <si>
    <t>Quotation No.:PP/DHN/26-27/038</t>
  </si>
  <si>
    <t xml:space="preserve">VPR MINING INFRASTRUCTURE PVT LTD                                         ADD:- BRANCH :PACHHWARA CENTRAL, DBL PACHHWARA COAL MINES, AMIRJOLA CAMP,NEAR BLOCK OFFICE, P.O &amp; P.S, AMRAPARA. DIST: PAKUR -814111 (JHARKHAND)              PIN :- 814111                        CONTACT:- MR. RAMESH              MO.NO:-9959134215                GSTIN:-20AACCV6733A3ZV                </t>
  </si>
  <si>
    <t>MODEL NO:-</t>
  </si>
  <si>
    <t>Quotation No.:PP/DHN/26-27/039</t>
  </si>
  <si>
    <t>( Rupees…SEVENTY EIGHT THOUSEND EIGHT HUNDRED FOUR ONLY )</t>
  </si>
  <si>
    <t>( Rupees… TWO LAKH  FOUR THOUSAND EIGHT HUNDRED TWENTY TWO ONLY )</t>
  </si>
  <si>
    <t>Quotation No.:PP/DHN/26-27/040</t>
  </si>
  <si>
    <t>( Rupees… ONE LAKH  NINE THOUSAND EIGHTY FIVE ONLY )</t>
  </si>
  <si>
    <t>( Rupees…ONE LAKH NINTY SIX THOUSAND NINE HUNDRED SIXTEEN ONLY )</t>
  </si>
  <si>
    <t>Quotation No.:PP/DHN/26-27/041</t>
  </si>
  <si>
    <t>Quotation No.:PP/DHN/26-27/042</t>
  </si>
  <si>
    <t>B010306260001</t>
  </si>
  <si>
    <t>B002106840003</t>
  </si>
  <si>
    <t>DIA150 SUCTIONHOSE WIT ENDCUFF</t>
  </si>
  <si>
    <t>PRESSURE GAUGE 0-16 Kg/cm2</t>
  </si>
  <si>
    <t>( Rupees… SEVENTEEN THOUSAND SIX HUNDRED TWENTY THREE ONLY )</t>
  </si>
  <si>
    <t>DINESH STONE WORK        ADD:-PAKURIA                      MO.NO:-8114509044</t>
  </si>
  <si>
    <t>FAB NO-BWID231694</t>
  </si>
  <si>
    <t>HMR:=2080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</si>
</sst>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[$-409]d\-mmm\-yy;@"/>
    <numFmt numFmtId="167" formatCode="#,##0.00;[Red]#,##0.00"/>
    <numFmt numFmtId="168" formatCode="[$$-409]#,##0.0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10"/>
      <color rgb="FF000000"/>
      <name val="Verdana"/>
      <family val="2"/>
    </font>
    <font>
      <b/>
      <sz val="18"/>
      <color theme="9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sz val="12"/>
      <name val="新細明體"/>
      <family val="1"/>
      <charset val="136"/>
    </font>
    <font>
      <sz val="11"/>
      <color theme="1"/>
      <name val="Calibri"/>
      <family val="2"/>
      <charset val="134"/>
      <scheme val="minor"/>
    </font>
    <font>
      <sz val="9"/>
      <name val="宋体"/>
      <family val="3"/>
      <charset val="134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6"/>
      <color rgb="FFFF0000"/>
      <name val="Verdana"/>
      <family val="2"/>
    </font>
    <font>
      <i/>
      <sz val="10"/>
      <color theme="1"/>
      <name val="Verdana"/>
      <family val="2"/>
    </font>
    <font>
      <b/>
      <sz val="12"/>
      <color theme="1"/>
      <name val="Calibri"/>
      <family val="2"/>
      <scheme val="minor"/>
    </font>
    <font>
      <b/>
      <u/>
      <sz val="9"/>
      <color theme="1"/>
      <name val="Verdana"/>
      <family val="2"/>
    </font>
    <font>
      <sz val="11"/>
      <color theme="1"/>
      <name val="Calibri"/>
      <family val="2"/>
    </font>
    <font>
      <sz val="11"/>
      <color theme="1"/>
      <name val="Aptos Narrow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9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3" fillId="0" borderId="0"/>
    <xf numFmtId="0" fontId="14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7" fillId="0" borderId="0"/>
    <xf numFmtId="0" fontId="13" fillId="0" borderId="0"/>
    <xf numFmtId="0" fontId="14" fillId="0" borderId="0"/>
    <xf numFmtId="0" fontId="13" fillId="4" borderId="6" applyNumberFormat="0" applyFont="0" applyAlignment="0" applyProtection="0"/>
    <xf numFmtId="0" fontId="13" fillId="4" borderId="6" applyNumberFormat="0" applyFont="0" applyAlignment="0" applyProtection="0"/>
    <xf numFmtId="0" fontId="13" fillId="4" borderId="6" applyNumberFormat="0" applyFont="0" applyAlignment="0" applyProtection="0"/>
    <xf numFmtId="0" fontId="13" fillId="4" borderId="6" applyNumberFormat="0" applyFont="0" applyAlignment="0" applyProtection="0"/>
    <xf numFmtId="0" fontId="13" fillId="4" borderId="6" applyNumberFormat="0" applyFont="0" applyAlignment="0" applyProtection="0"/>
    <xf numFmtId="0" fontId="13" fillId="4" borderId="6" applyNumberFormat="0" applyFont="0" applyAlignment="0" applyProtection="0"/>
    <xf numFmtId="9" fontId="13" fillId="0" borderId="0" applyFill="0" applyBorder="0" applyAlignment="0" applyProtection="0"/>
    <xf numFmtId="0" fontId="18" fillId="0" borderId="0">
      <alignment vertical="top"/>
    </xf>
    <xf numFmtId="0" fontId="18" fillId="0" borderId="0">
      <alignment vertical="top"/>
    </xf>
    <xf numFmtId="0" fontId="14" fillId="0" borderId="0"/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168" fontId="18" fillId="0" borderId="0">
      <alignment vertical="top"/>
    </xf>
  </cellStyleXfs>
  <cellXfs count="364">
    <xf numFmtId="0" fontId="0" fillId="0" borderId="0" xfId="0"/>
    <xf numFmtId="164" fontId="1" fillId="0" borderId="0" xfId="2" applyNumberFormat="1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/>
    <xf numFmtId="0" fontId="3" fillId="0" borderId="0" xfId="0" applyFont="1" applyAlignment="1">
      <alignment vertical="top"/>
    </xf>
    <xf numFmtId="0" fontId="3" fillId="0" borderId="0" xfId="0" applyFont="1" applyBorder="1"/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Fill="1" applyAlignment="1">
      <alignment vertical="center"/>
    </xf>
    <xf numFmtId="164" fontId="4" fillId="0" borderId="0" xfId="0" applyNumberFormat="1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Fill="1" applyAlignment="1">
      <alignment vertical="center"/>
    </xf>
    <xf numFmtId="164" fontId="5" fillId="0" borderId="0" xfId="0" applyNumberFormat="1" applyFont="1" applyFill="1" applyAlignment="1">
      <alignment vertical="center"/>
    </xf>
    <xf numFmtId="164" fontId="6" fillId="0" borderId="3" xfId="2" applyFont="1" applyFill="1" applyBorder="1" applyAlignment="1">
      <alignment horizontal="right" vertical="center"/>
    </xf>
    <xf numFmtId="2" fontId="5" fillId="0" borderId="0" xfId="0" applyNumberFormat="1" applyFont="1" applyFill="1" applyAlignment="1">
      <alignment vertical="center"/>
    </xf>
    <xf numFmtId="164" fontId="6" fillId="0" borderId="3" xfId="2" applyFont="1" applyFill="1" applyBorder="1" applyAlignment="1">
      <alignment vertical="center"/>
    </xf>
    <xf numFmtId="164" fontId="6" fillId="0" borderId="3" xfId="2" applyNumberFormat="1" applyFont="1" applyFill="1" applyBorder="1" applyAlignment="1">
      <alignment horizontal="right" vertical="center"/>
    </xf>
    <xf numFmtId="165" fontId="6" fillId="0" borderId="3" xfId="0" applyNumberFormat="1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 wrapText="1"/>
    </xf>
    <xf numFmtId="2" fontId="7" fillId="0" borderId="0" xfId="0" applyNumberFormat="1" applyFont="1" applyFill="1" applyAlignment="1">
      <alignment horizontal="center" vertical="center" wrapText="1"/>
    </xf>
    <xf numFmtId="2" fontId="3" fillId="0" borderId="3" xfId="2" applyNumberFormat="1" applyFont="1" applyFill="1" applyBorder="1" applyAlignment="1">
      <alignment horizontal="right" vertical="center" wrapText="1"/>
    </xf>
    <xf numFmtId="164" fontId="3" fillId="0" borderId="3" xfId="2" applyFont="1" applyFill="1" applyBorder="1" applyAlignment="1">
      <alignment horizontal="right" vertical="center" wrapText="1"/>
    </xf>
    <xf numFmtId="9" fontId="3" fillId="0" borderId="3" xfId="1" applyFon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right"/>
    </xf>
    <xf numFmtId="165" fontId="4" fillId="0" borderId="3" xfId="2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2" fontId="3" fillId="0" borderId="0" xfId="0" applyNumberFormat="1" applyFont="1" applyFill="1" applyAlignment="1">
      <alignment vertical="center" wrapText="1"/>
    </xf>
    <xf numFmtId="2" fontId="0" fillId="0" borderId="4" xfId="0" applyNumberFormat="1" applyBorder="1" applyAlignment="1">
      <alignment horizontal="right"/>
    </xf>
    <xf numFmtId="0" fontId="4" fillId="0" borderId="3" xfId="0" applyFont="1" applyBorder="1" applyAlignment="1">
      <alignment horizontal="left" vertical="center"/>
    </xf>
    <xf numFmtId="0" fontId="4" fillId="0" borderId="3" xfId="0" quotePrefix="1" applyFont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8" fillId="0" borderId="0" xfId="0" applyFont="1" applyAlignment="1">
      <alignment horizontal="justify"/>
    </xf>
    <xf numFmtId="0" fontId="8" fillId="0" borderId="0" xfId="0" applyFont="1"/>
    <xf numFmtId="0" fontId="8" fillId="0" borderId="0" xfId="0" applyFont="1" applyBorder="1"/>
    <xf numFmtId="0" fontId="7" fillId="0" borderId="0" xfId="0" applyFont="1"/>
    <xf numFmtId="0" fontId="9" fillId="0" borderId="0" xfId="0" applyNumberFormat="1" applyFont="1" applyBorder="1"/>
    <xf numFmtId="0" fontId="7" fillId="0" borderId="0" xfId="0" applyFont="1" applyAlignment="1">
      <alignment horizontal="right"/>
    </xf>
    <xf numFmtId="0" fontId="10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top"/>
    </xf>
    <xf numFmtId="0" fontId="0" fillId="0" borderId="0" xfId="0" applyAlignment="1">
      <alignment vertical="center"/>
    </xf>
    <xf numFmtId="0" fontId="7" fillId="0" borderId="3" xfId="0" quotePrefix="1" applyFont="1" applyFill="1" applyBorder="1" applyAlignment="1">
      <alignment horizontal="left" vertical="center" wrapText="1"/>
    </xf>
    <xf numFmtId="0" fontId="0" fillId="0" borderId="3" xfId="0" applyFill="1" applyBorder="1" applyAlignment="1">
      <alignment vertical="top"/>
    </xf>
    <xf numFmtId="0" fontId="0" fillId="0" borderId="3" xfId="0" applyFill="1" applyBorder="1" applyAlignment="1">
      <alignment vertical="center"/>
    </xf>
    <xf numFmtId="0" fontId="22" fillId="0" borderId="3" xfId="0" quotePrefix="1" applyFont="1" applyFill="1" applyBorder="1" applyAlignment="1">
      <alignment vertical="center"/>
    </xf>
    <xf numFmtId="0" fontId="23" fillId="0" borderId="3" xfId="0" quotePrefix="1" applyFont="1" applyFill="1" applyBorder="1" applyAlignment="1">
      <alignment horizontal="left" vertical="center"/>
    </xf>
    <xf numFmtId="0" fontId="22" fillId="0" borderId="2" xfId="0" quotePrefix="1" applyFont="1" applyFill="1" applyBorder="1" applyAlignment="1">
      <alignment vertical="center"/>
    </xf>
    <xf numFmtId="0" fontId="23" fillId="0" borderId="1" xfId="0" applyFont="1" applyFill="1" applyBorder="1" applyAlignment="1">
      <alignment horizontal="left" vertical="center"/>
    </xf>
    <xf numFmtId="0" fontId="23" fillId="0" borderId="3" xfId="0" applyFont="1" applyFill="1" applyBorder="1" applyAlignment="1">
      <alignment horizontal="left" vertical="center"/>
    </xf>
    <xf numFmtId="43" fontId="5" fillId="0" borderId="0" xfId="0" applyNumberFormat="1" applyFont="1" applyFill="1" applyAlignment="1">
      <alignment vertical="center"/>
    </xf>
    <xf numFmtId="0" fontId="7" fillId="3" borderId="4" xfId="0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164" fontId="7" fillId="0" borderId="3" xfId="42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vertical="center"/>
    </xf>
    <xf numFmtId="0" fontId="7" fillId="5" borderId="3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164" fontId="7" fillId="5" borderId="1" xfId="42" applyNumberFormat="1" applyFont="1" applyFill="1" applyBorder="1" applyAlignment="1">
      <alignment horizontal="left" vertical="center" wrapText="1"/>
    </xf>
    <xf numFmtId="0" fontId="24" fillId="0" borderId="3" xfId="0" quotePrefix="1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4" fillId="0" borderId="3" xfId="0" applyFont="1" applyBorder="1" applyAlignment="1">
      <alignment horizontal="center" vertical="center"/>
    </xf>
    <xf numFmtId="164" fontId="3" fillId="0" borderId="3" xfId="2" applyFont="1" applyFill="1" applyBorder="1" applyAlignment="1">
      <alignment vertical="center"/>
    </xf>
    <xf numFmtId="2" fontId="3" fillId="0" borderId="3" xfId="0" applyNumberFormat="1" applyFont="1" applyFill="1" applyBorder="1" applyAlignment="1">
      <alignment horizontal="right" vertical="center"/>
    </xf>
    <xf numFmtId="9" fontId="3" fillId="0" borderId="3" xfId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quotePrefix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164" fontId="4" fillId="0" borderId="3" xfId="2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164" fontId="1" fillId="0" borderId="0" xfId="42" applyNumberFormat="1" applyFont="1"/>
    <xf numFmtId="0" fontId="3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0" fontId="7" fillId="0" borderId="2" xfId="0" quotePrefix="1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8" xfId="0" quotePrefix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7" fillId="0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166" fontId="7" fillId="0" borderId="0" xfId="0" applyNumberFormat="1" applyFont="1" applyBorder="1" applyAlignment="1">
      <alignment horizontal="left" vertical="center"/>
    </xf>
    <xf numFmtId="166" fontId="7" fillId="0" borderId="0" xfId="0" applyNumberFormat="1" applyFont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2" fillId="0" borderId="3" xfId="0" applyFont="1" applyFill="1" applyBorder="1" applyAlignment="1">
      <alignment vertical="center"/>
    </xf>
    <xf numFmtId="0" fontId="8" fillId="0" borderId="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164" fontId="7" fillId="0" borderId="9" xfId="1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0" fontId="26" fillId="0" borderId="3" xfId="0" applyFont="1" applyBorder="1" applyAlignment="1">
      <alignment horizontal="center" vertical="center"/>
    </xf>
    <xf numFmtId="2" fontId="4" fillId="0" borderId="3" xfId="16" applyNumberFormat="1" applyFont="1" applyBorder="1" applyAlignment="1">
      <alignment horizontal="right" vertical="center"/>
    </xf>
    <xf numFmtId="2" fontId="3" fillId="0" borderId="3" xfId="16" applyNumberFormat="1" applyFont="1" applyFill="1" applyBorder="1" applyAlignment="1">
      <alignment horizontal="right" vertical="center" wrapText="1"/>
    </xf>
    <xf numFmtId="164" fontId="3" fillId="0" borderId="3" xfId="16" applyNumberFormat="1" applyFont="1" applyFill="1" applyBorder="1" applyAlignment="1">
      <alignment horizontal="right" vertical="center" wrapText="1"/>
    </xf>
    <xf numFmtId="0" fontId="25" fillId="0" borderId="3" xfId="0" quotePrefix="1" applyFont="1" applyBorder="1" applyAlignment="1">
      <alignment vertical="center"/>
    </xf>
    <xf numFmtId="0" fontId="26" fillId="0" borderId="3" xfId="0" applyFont="1" applyFill="1" applyBorder="1" applyAlignment="1">
      <alignment horizontal="left" vertical="center"/>
    </xf>
    <xf numFmtId="0" fontId="26" fillId="0" borderId="3" xfId="0" applyFont="1" applyFill="1" applyBorder="1" applyAlignment="1">
      <alignment horizontal="center" vertical="center"/>
    </xf>
    <xf numFmtId="164" fontId="6" fillId="0" borderId="3" xfId="16" applyNumberFormat="1" applyFont="1" applyFill="1" applyBorder="1" applyAlignment="1">
      <alignment vertical="center"/>
    </xf>
    <xf numFmtId="164" fontId="6" fillId="0" borderId="3" xfId="16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164" fontId="1" fillId="0" borderId="0" xfId="16" applyNumberFormat="1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 wrapText="1"/>
    </xf>
    <xf numFmtId="0" fontId="4" fillId="0" borderId="0" xfId="0" quotePrefix="1" applyFont="1" applyBorder="1" applyAlignment="1">
      <alignment horizontal="left" vertical="center"/>
    </xf>
    <xf numFmtId="0" fontId="28" fillId="0" borderId="0" xfId="0" applyFont="1"/>
    <xf numFmtId="164" fontId="7" fillId="3" borderId="7" xfId="30" applyNumberFormat="1" applyFont="1" applyFill="1" applyBorder="1" applyAlignment="1">
      <alignment horizontal="left" vertical="center" wrapText="1"/>
    </xf>
    <xf numFmtId="164" fontId="7" fillId="0" borderId="3" xfId="30" applyNumberFormat="1" applyFont="1" applyFill="1" applyBorder="1" applyAlignment="1">
      <alignment horizontal="center" vertical="center" wrapText="1"/>
    </xf>
    <xf numFmtId="0" fontId="4" fillId="0" borderId="3" xfId="0" quotePrefix="1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164" fontId="4" fillId="0" borderId="3" xfId="2" applyFont="1" applyFill="1" applyBorder="1" applyAlignment="1">
      <alignment vertical="center" wrapText="1"/>
    </xf>
    <xf numFmtId="9" fontId="4" fillId="0" borderId="3" xfId="1" applyFont="1" applyFill="1" applyBorder="1" applyAlignment="1">
      <alignment vertical="center" wrapText="1"/>
    </xf>
    <xf numFmtId="9" fontId="7" fillId="0" borderId="3" xfId="1" applyFont="1" applyFill="1" applyBorder="1" applyAlignment="1">
      <alignment horizontal="center" vertical="center" wrapText="1"/>
    </xf>
    <xf numFmtId="9" fontId="4" fillId="0" borderId="3" xfId="1" applyNumberFormat="1" applyFont="1" applyFill="1" applyBorder="1" applyAlignment="1">
      <alignment vertical="center" wrapText="1"/>
    </xf>
    <xf numFmtId="43" fontId="7" fillId="0" borderId="0" xfId="0" applyNumberFormat="1" applyFont="1" applyFill="1" applyAlignment="1">
      <alignment horizontal="center" vertical="center" wrapText="1"/>
    </xf>
    <xf numFmtId="164" fontId="6" fillId="0" borderId="3" xfId="3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4" fontId="1" fillId="0" borderId="0" xfId="3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1" fillId="0" borderId="0" xfId="30" applyNumberFormat="1" applyFont="1"/>
    <xf numFmtId="0" fontId="7" fillId="3" borderId="4" xfId="0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164" fontId="7" fillId="5" borderId="7" xfId="42" applyNumberFormat="1" applyFont="1" applyFill="1" applyBorder="1" applyAlignment="1">
      <alignment horizontal="left" vertical="center" wrapText="1"/>
    </xf>
    <xf numFmtId="0" fontId="22" fillId="0" borderId="3" xfId="0" applyFont="1" applyFill="1" applyBorder="1"/>
    <xf numFmtId="9" fontId="3" fillId="0" borderId="3" xfId="1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166" fontId="7" fillId="0" borderId="0" xfId="0" applyNumberFormat="1" applyFont="1" applyBorder="1" applyAlignment="1">
      <alignment horizontal="left" vertical="center"/>
    </xf>
    <xf numFmtId="0" fontId="4" fillId="0" borderId="2" xfId="0" quotePrefix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164" fontId="7" fillId="0" borderId="3" xfId="29" applyNumberFormat="1" applyFont="1" applyFill="1" applyBorder="1" applyAlignment="1">
      <alignment horizontal="center" vertical="center" wrapText="1"/>
    </xf>
    <xf numFmtId="2" fontId="3" fillId="0" borderId="4" xfId="2" applyNumberFormat="1" applyFont="1" applyBorder="1" applyAlignment="1">
      <alignment horizontal="right" vertical="center"/>
    </xf>
    <xf numFmtId="164" fontId="6" fillId="0" borderId="3" xfId="29" applyNumberFormat="1" applyFont="1" applyFill="1" applyBorder="1" applyAlignment="1">
      <alignment horizontal="right" vertical="center"/>
    </xf>
    <xf numFmtId="164" fontId="1" fillId="0" borderId="0" xfId="29" applyNumberFormat="1" applyFont="1" applyAlignment="1">
      <alignment vertical="center"/>
    </xf>
    <xf numFmtId="164" fontId="1" fillId="0" borderId="0" xfId="29" applyNumberFormat="1" applyFont="1"/>
    <xf numFmtId="9" fontId="3" fillId="0" borderId="4" xfId="1" applyFont="1" applyBorder="1" applyAlignment="1">
      <alignment horizontal="right" vertical="center"/>
    </xf>
    <xf numFmtId="0" fontId="3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49" fontId="31" fillId="0" borderId="3" xfId="0" applyNumberFormat="1" applyFont="1" applyBorder="1"/>
    <xf numFmtId="49" fontId="31" fillId="0" borderId="2" xfId="0" applyNumberFormat="1" applyFont="1" applyBorder="1"/>
    <xf numFmtId="49" fontId="31" fillId="0" borderId="7" xfId="0" applyNumberFormat="1" applyFont="1" applyBorder="1"/>
    <xf numFmtId="166" fontId="7" fillId="0" borderId="0" xfId="0" applyNumberFormat="1" applyFont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164" fontId="7" fillId="3" borderId="7" xfId="42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164" fontId="7" fillId="0" borderId="3" xfId="3" applyNumberFormat="1" applyFont="1" applyFill="1" applyBorder="1" applyAlignment="1">
      <alignment horizontal="center" vertical="center" wrapText="1"/>
    </xf>
    <xf numFmtId="49" fontId="32" fillId="0" borderId="3" xfId="0" applyNumberFormat="1" applyFont="1" applyFill="1" applyBorder="1"/>
    <xf numFmtId="9" fontId="0" fillId="0" borderId="3" xfId="1" applyFont="1" applyBorder="1" applyAlignment="1">
      <alignment horizontal="right"/>
    </xf>
    <xf numFmtId="164" fontId="6" fillId="0" borderId="3" xfId="3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1" fillId="0" borderId="0" xfId="3" applyNumberFormat="1" applyFont="1"/>
    <xf numFmtId="49" fontId="32" fillId="0" borderId="7" xfId="0" applyNumberFormat="1" applyFont="1" applyFill="1" applyBorder="1"/>
    <xf numFmtId="49" fontId="32" fillId="0" borderId="2" xfId="0" quotePrefix="1" applyNumberFormat="1" applyFont="1" applyFill="1" applyBorder="1"/>
    <xf numFmtId="0" fontId="7" fillId="3" borderId="4" xfId="0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8" fillId="0" borderId="4" xfId="0" applyFont="1" applyFill="1" applyBorder="1" applyAlignment="1">
      <alignment horizontal="center" vertical="center" wrapText="1"/>
    </xf>
    <xf numFmtId="164" fontId="6" fillId="0" borderId="3" xfId="42" applyNumberFormat="1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166" fontId="7" fillId="0" borderId="0" xfId="0" applyNumberFormat="1" applyFont="1" applyBorder="1" applyAlignment="1">
      <alignment horizontal="left" vertical="center"/>
    </xf>
    <xf numFmtId="166" fontId="7" fillId="0" borderId="0" xfId="0" applyNumberFormat="1" applyFont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164" fontId="7" fillId="0" borderId="3" xfId="15" applyNumberFormat="1" applyFont="1" applyFill="1" applyBorder="1" applyAlignment="1">
      <alignment horizontal="center" vertical="center" wrapText="1"/>
    </xf>
    <xf numFmtId="49" fontId="31" fillId="0" borderId="3" xfId="0" quotePrefix="1" applyNumberFormat="1" applyFont="1" applyBorder="1"/>
    <xf numFmtId="164" fontId="6" fillId="0" borderId="3" xfId="15" applyNumberFormat="1" applyFont="1" applyFill="1" applyBorder="1" applyAlignment="1">
      <alignment horizontal="right" vertical="center"/>
    </xf>
    <xf numFmtId="164" fontId="1" fillId="0" borderId="0" xfId="15" applyNumberFormat="1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 wrapText="1"/>
    </xf>
    <xf numFmtId="166" fontId="7" fillId="0" borderId="0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justify" vertical="center" wrapText="1"/>
    </xf>
    <xf numFmtId="165" fontId="4" fillId="0" borderId="3" xfId="2" applyNumberFormat="1" applyFont="1" applyFill="1" applyBorder="1" applyAlignment="1">
      <alignment vertical="center"/>
    </xf>
    <xf numFmtId="2" fontId="0" fillId="0" borderId="3" xfId="0" applyNumberFormat="1" applyBorder="1" applyAlignment="1">
      <alignment vertical="center"/>
    </xf>
    <xf numFmtId="9" fontId="3" fillId="0" borderId="3" xfId="1" applyFont="1" applyFill="1" applyBorder="1" applyAlignment="1">
      <alignment vertical="center" wrapText="1"/>
    </xf>
    <xf numFmtId="164" fontId="3" fillId="0" borderId="13" xfId="2" applyFont="1" applyFill="1" applyBorder="1" applyAlignment="1">
      <alignment vertical="center" wrapText="1"/>
    </xf>
    <xf numFmtId="2" fontId="3" fillId="0" borderId="13" xfId="2" applyNumberFormat="1" applyFont="1" applyFill="1" applyBorder="1" applyAlignment="1">
      <alignment vertical="center" wrapText="1"/>
    </xf>
    <xf numFmtId="2" fontId="0" fillId="0" borderId="4" xfId="0" applyNumberFormat="1" applyBorder="1" applyAlignment="1">
      <alignment vertical="center"/>
    </xf>
    <xf numFmtId="166" fontId="7" fillId="0" borderId="0" xfId="0" applyNumberFormat="1" applyFont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0" fillId="0" borderId="4" xfId="1" applyFont="1" applyBorder="1" applyAlignment="1">
      <alignment vertical="center"/>
    </xf>
    <xf numFmtId="0" fontId="3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49" fontId="32" fillId="0" borderId="3" xfId="0" quotePrefix="1" applyNumberFormat="1" applyFont="1" applyFill="1" applyBorder="1"/>
    <xf numFmtId="0" fontId="24" fillId="0" borderId="2" xfId="0" quotePrefix="1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 wrapText="1"/>
    </xf>
    <xf numFmtId="166" fontId="7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166" fontId="7" fillId="0" borderId="0" xfId="0" applyNumberFormat="1" applyFont="1" applyBorder="1" applyAlignment="1">
      <alignment horizontal="left" vertical="center"/>
    </xf>
    <xf numFmtId="166" fontId="7" fillId="0" borderId="0" xfId="0" applyNumberFormat="1" applyFont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49" fontId="3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4" fillId="0" borderId="0" xfId="0" applyFont="1" applyAlignment="1">
      <alignment vertical="center" wrapText="1"/>
    </xf>
    <xf numFmtId="166" fontId="7" fillId="0" borderId="0" xfId="0" applyNumberFormat="1" applyFont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164" fontId="7" fillId="3" borderId="7" xfId="29" applyNumberFormat="1" applyFont="1" applyFill="1" applyBorder="1" applyAlignment="1">
      <alignment horizontal="left" vertical="center" wrapText="1"/>
    </xf>
    <xf numFmtId="0" fontId="33" fillId="0" borderId="3" xfId="0" applyFont="1" applyBorder="1" applyAlignment="1">
      <alignment vertical="center"/>
    </xf>
    <xf numFmtId="166" fontId="7" fillId="0" borderId="0" xfId="0" applyNumberFormat="1" applyFont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 wrapText="1"/>
    </xf>
    <xf numFmtId="166" fontId="7" fillId="0" borderId="0" xfId="0" applyNumberFormat="1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justify" vertical="top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164" fontId="7" fillId="3" borderId="4" xfId="2" applyNumberFormat="1" applyFont="1" applyFill="1" applyBorder="1" applyAlignment="1">
      <alignment horizontal="left" vertical="center" wrapText="1"/>
    </xf>
    <xf numFmtId="164" fontId="7" fillId="3" borderId="2" xfId="2" applyNumberFormat="1" applyFont="1" applyFill="1" applyBorder="1" applyAlignment="1">
      <alignment horizontal="left" vertical="center" wrapText="1"/>
    </xf>
    <xf numFmtId="164" fontId="7" fillId="3" borderId="1" xfId="2" applyNumberFormat="1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164" fontId="7" fillId="3" borderId="4" xfId="42" applyNumberFormat="1" applyFont="1" applyFill="1" applyBorder="1" applyAlignment="1">
      <alignment horizontal="left" vertical="center" wrapText="1"/>
    </xf>
    <xf numFmtId="164" fontId="7" fillId="3" borderId="2" xfId="42" applyNumberFormat="1" applyFont="1" applyFill="1" applyBorder="1" applyAlignment="1">
      <alignment horizontal="left" vertical="center" wrapText="1"/>
    </xf>
    <xf numFmtId="164" fontId="7" fillId="3" borderId="1" xfId="42" applyNumberFormat="1" applyFont="1" applyFill="1" applyBorder="1" applyAlignment="1">
      <alignment horizontal="left" vertical="center" wrapText="1"/>
    </xf>
    <xf numFmtId="164" fontId="7" fillId="5" borderId="4" xfId="42" applyNumberFormat="1" applyFont="1" applyFill="1" applyBorder="1" applyAlignment="1">
      <alignment horizontal="left" vertical="center" wrapText="1"/>
    </xf>
    <xf numFmtId="164" fontId="7" fillId="5" borderId="2" xfId="42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top" wrapText="1"/>
    </xf>
    <xf numFmtId="164" fontId="7" fillId="3" borderId="4" xfId="16" applyNumberFormat="1" applyFont="1" applyFill="1" applyBorder="1" applyAlignment="1">
      <alignment horizontal="left" vertical="center" wrapText="1"/>
    </xf>
    <xf numFmtId="164" fontId="7" fillId="3" borderId="2" xfId="16" applyNumberFormat="1" applyFont="1" applyFill="1" applyBorder="1" applyAlignment="1">
      <alignment horizontal="left" vertical="center" wrapText="1"/>
    </xf>
    <xf numFmtId="164" fontId="7" fillId="3" borderId="3" xfId="16" applyNumberFormat="1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right" vertical="center"/>
    </xf>
    <xf numFmtId="164" fontId="7" fillId="3" borderId="4" xfId="30" applyNumberFormat="1" applyFont="1" applyFill="1" applyBorder="1" applyAlignment="1">
      <alignment horizontal="left" vertical="center" wrapText="1"/>
    </xf>
    <xf numFmtId="164" fontId="7" fillId="3" borderId="2" xfId="30" applyNumberFormat="1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/>
    </xf>
    <xf numFmtId="0" fontId="27" fillId="0" borderId="0" xfId="0" quotePrefix="1" applyFont="1" applyBorder="1" applyAlignment="1">
      <alignment horizontal="center" vertical="center"/>
    </xf>
    <xf numFmtId="164" fontId="7" fillId="3" borderId="7" xfId="42" applyNumberFormat="1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64" fontId="7" fillId="3" borderId="4" xfId="29" applyNumberFormat="1" applyFont="1" applyFill="1" applyBorder="1" applyAlignment="1">
      <alignment horizontal="left" vertical="center" wrapText="1"/>
    </xf>
    <xf numFmtId="164" fontId="7" fillId="3" borderId="2" xfId="29" applyNumberFormat="1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164" fontId="7" fillId="3" borderId="7" xfId="29" applyNumberFormat="1" applyFont="1" applyFill="1" applyBorder="1" applyAlignment="1">
      <alignment horizontal="left" vertical="center" wrapText="1"/>
    </xf>
    <xf numFmtId="0" fontId="30" fillId="2" borderId="4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center"/>
    </xf>
    <xf numFmtId="164" fontId="7" fillId="3" borderId="4" xfId="3" applyNumberFormat="1" applyFont="1" applyFill="1" applyBorder="1" applyAlignment="1">
      <alignment horizontal="left" vertical="center" wrapText="1"/>
    </xf>
    <xf numFmtId="164" fontId="7" fillId="3" borderId="2" xfId="3" applyNumberFormat="1" applyFont="1" applyFill="1" applyBorder="1" applyAlignment="1">
      <alignment horizontal="left" vertical="center" wrapText="1"/>
    </xf>
    <xf numFmtId="164" fontId="7" fillId="3" borderId="3" xfId="3" applyNumberFormat="1" applyFont="1" applyFill="1" applyBorder="1" applyAlignment="1">
      <alignment horizontal="left" vertical="center" wrapText="1"/>
    </xf>
    <xf numFmtId="164" fontId="7" fillId="3" borderId="4" xfId="15" applyNumberFormat="1" applyFont="1" applyFill="1" applyBorder="1" applyAlignment="1">
      <alignment horizontal="left" vertical="center" wrapText="1"/>
    </xf>
    <xf numFmtId="164" fontId="7" fillId="3" borderId="2" xfId="15" applyNumberFormat="1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center" vertical="center"/>
    </xf>
    <xf numFmtId="164" fontId="7" fillId="3" borderId="3" xfId="15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wrapText="1"/>
    </xf>
  </cellXfs>
  <cellStyles count="129">
    <cellStyle name="Comma 2" xfId="3"/>
    <cellStyle name="Comma 2 10" xfId="4"/>
    <cellStyle name="Comma 2 11" xfId="5"/>
    <cellStyle name="Comma 2 12" xfId="6"/>
    <cellStyle name="Comma 2 13" xfId="7"/>
    <cellStyle name="Comma 2 14" xfId="8"/>
    <cellStyle name="Comma 2 15" xfId="9"/>
    <cellStyle name="Comma 2 16" xfId="10"/>
    <cellStyle name="Comma 2 17" xfId="11"/>
    <cellStyle name="Comma 2 18" xfId="12"/>
    <cellStyle name="Comma 2 19" xfId="13"/>
    <cellStyle name="Comma 2 2" xfId="14"/>
    <cellStyle name="Comma 2 20" xfId="15"/>
    <cellStyle name="Comma 2 20 2" xfId="16"/>
    <cellStyle name="Comma 2 21" xfId="17"/>
    <cellStyle name="Comma 2 22" xfId="18"/>
    <cellStyle name="Comma 2 23" xfId="19"/>
    <cellStyle name="Comma 2 24" xfId="20"/>
    <cellStyle name="Comma 2 25" xfId="21"/>
    <cellStyle name="Comma 2 26" xfId="22"/>
    <cellStyle name="Comma 2 27" xfId="23"/>
    <cellStyle name="Comma 2 28" xfId="24"/>
    <cellStyle name="Comma 2 29" xfId="25"/>
    <cellStyle name="Comma 2 3" xfId="26"/>
    <cellStyle name="Comma 2 30" xfId="27"/>
    <cellStyle name="Comma 2 31" xfId="28"/>
    <cellStyle name="Comma 2 32" xfId="29"/>
    <cellStyle name="Comma 2 32 2" xfId="30"/>
    <cellStyle name="Comma 2 32 2 2" xfId="31"/>
    <cellStyle name="Comma 2 33" xfId="32"/>
    <cellStyle name="Comma 2 34" xfId="33"/>
    <cellStyle name="Comma 2 35" xfId="34"/>
    <cellStyle name="Comma 2 36" xfId="35"/>
    <cellStyle name="Comma 2 4" xfId="36"/>
    <cellStyle name="Comma 2 5" xfId="37"/>
    <cellStyle name="Comma 2 6" xfId="38"/>
    <cellStyle name="Comma 2 6 2" xfId="39"/>
    <cellStyle name="Comma 2 7" xfId="40"/>
    <cellStyle name="Comma 2 8" xfId="41"/>
    <cellStyle name="Comma 2 9" xfId="2"/>
    <cellStyle name="Comma 2 9 2" xfId="42"/>
    <cellStyle name="Comma 2 9 2 2" xfId="43"/>
    <cellStyle name="Comma 2 9 2 3" xfId="44"/>
    <cellStyle name="Comma 2 9 3" xfId="45"/>
    <cellStyle name="Comma 2 9 4" xfId="46"/>
    <cellStyle name="Comma 2 9 5" xfId="47"/>
    <cellStyle name="Comma 3" xfId="48"/>
    <cellStyle name="Comma 3 10" xfId="49"/>
    <cellStyle name="Comma 3 2" xfId="50"/>
    <cellStyle name="Comma 3 3" xfId="51"/>
    <cellStyle name="Comma 3 4" xfId="52"/>
    <cellStyle name="Comma 3 5" xfId="53"/>
    <cellStyle name="Comma 3 6" xfId="54"/>
    <cellStyle name="Comma 3 7" xfId="55"/>
    <cellStyle name="Comma 3 8" xfId="56"/>
    <cellStyle name="Comma 3 9" xfId="57"/>
    <cellStyle name="Comma 4" xfId="58"/>
    <cellStyle name="Comma 5" xfId="59"/>
    <cellStyle name="Comma 6" xfId="60"/>
    <cellStyle name="Comma 7" xfId="61"/>
    <cellStyle name="Normal" xfId="0" builtinId="0"/>
    <cellStyle name="Normal 19" xfId="62"/>
    <cellStyle name="Normal 2" xfId="63"/>
    <cellStyle name="Normal 2 14" xfId="64"/>
    <cellStyle name="Normal 2 2" xfId="65"/>
    <cellStyle name="Normal 2 3" xfId="66"/>
    <cellStyle name="Normal 2_Sheet1" xfId="67"/>
    <cellStyle name="Normal 3" xfId="68"/>
    <cellStyle name="Normal 4" xfId="69"/>
    <cellStyle name="Normal 4 10" xfId="70"/>
    <cellStyle name="Normal 4 11" xfId="71"/>
    <cellStyle name="Normal 4 12" xfId="72"/>
    <cellStyle name="Normal 4 13" xfId="73"/>
    <cellStyle name="Normal 4 14" xfId="74"/>
    <cellStyle name="Normal 4 15" xfId="75"/>
    <cellStyle name="Normal 4 16" xfId="76"/>
    <cellStyle name="Normal 4 17" xfId="77"/>
    <cellStyle name="Normal 4 18" xfId="78"/>
    <cellStyle name="Normal 4 19" xfId="79"/>
    <cellStyle name="Normal 4 2" xfId="80"/>
    <cellStyle name="Normal 4 20" xfId="81"/>
    <cellStyle name="Normal 4 21" xfId="82"/>
    <cellStyle name="Normal 4 22" xfId="83"/>
    <cellStyle name="Normal 4 23" xfId="84"/>
    <cellStyle name="Normal 4 24" xfId="85"/>
    <cellStyle name="Normal 4 3" xfId="86"/>
    <cellStyle name="Normal 4 4" xfId="87"/>
    <cellStyle name="Normal 4 5" xfId="88"/>
    <cellStyle name="Normal 4 6" xfId="89"/>
    <cellStyle name="Normal 4 7" xfId="90"/>
    <cellStyle name="Normal 4 8" xfId="91"/>
    <cellStyle name="Normal 4 9" xfId="92"/>
    <cellStyle name="Normal 5" xfId="93"/>
    <cellStyle name="Normal 5 10" xfId="94"/>
    <cellStyle name="Normal 5 11" xfId="95"/>
    <cellStyle name="Normal 5 12" xfId="96"/>
    <cellStyle name="Normal 5 12 2" xfId="97"/>
    <cellStyle name="Normal 5 13" xfId="98"/>
    <cellStyle name="Normal 5 14" xfId="99"/>
    <cellStyle name="Normal 5 15" xfId="100"/>
    <cellStyle name="Normal 5 16" xfId="101"/>
    <cellStyle name="Normal 5 2" xfId="102"/>
    <cellStyle name="Normal 5 3" xfId="103"/>
    <cellStyle name="Normal 5 4" xfId="104"/>
    <cellStyle name="Normal 5 4 2" xfId="105"/>
    <cellStyle name="Normal 5 5" xfId="106"/>
    <cellStyle name="Normal 5 6" xfId="107"/>
    <cellStyle name="Normal 5 7" xfId="108"/>
    <cellStyle name="Normal 5 8" xfId="109"/>
    <cellStyle name="Normal 5 9" xfId="110"/>
    <cellStyle name="Normal 6" xfId="111"/>
    <cellStyle name="Normal 64" xfId="112"/>
    <cellStyle name="Normal 7" xfId="113"/>
    <cellStyle name="Normal 8" xfId="114"/>
    <cellStyle name="Note 2" xfId="115"/>
    <cellStyle name="Note 3" xfId="116"/>
    <cellStyle name="Note 4" xfId="117"/>
    <cellStyle name="Note 5" xfId="118"/>
    <cellStyle name="Note 6" xfId="119"/>
    <cellStyle name="Note 7" xfId="120"/>
    <cellStyle name="Percent" xfId="1" builtinId="5"/>
    <cellStyle name="Percent 2" xfId="121"/>
    <cellStyle name="Style 1" xfId="122"/>
    <cellStyle name="Style 1 2" xfId="123"/>
    <cellStyle name="Style 1 2 2" xfId="124"/>
    <cellStyle name="一般_1800-說明書(English)0960042-01_180-說明書(English)0960042-01" xfId="125"/>
    <cellStyle name="常规 2" xfId="126"/>
    <cellStyle name="常规_0_57" xfId="127"/>
    <cellStyle name="样式 1" xfId="128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24375" y="85725"/>
          <a:ext cx="962584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190624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2012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2012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2012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2</xdr:row>
      <xdr:rowOff>38100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81850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2</xdr:col>
      <xdr:colOff>285749</xdr:colOff>
      <xdr:row>1</xdr:row>
      <xdr:rowOff>180975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2012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2482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0097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2</xdr:col>
      <xdr:colOff>9524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8667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2</xdr:col>
      <xdr:colOff>9524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8667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2</xdr:col>
      <xdr:colOff>142874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5332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2</xdr:col>
      <xdr:colOff>38099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0097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0097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0</xdr:rowOff>
    </xdr:from>
    <xdr:to>
      <xdr:col>7</xdr:col>
      <xdr:colOff>695884</xdr:colOff>
      <xdr:row>1</xdr:row>
      <xdr:rowOff>171450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62800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257175</xdr:colOff>
      <xdr:row>0</xdr:row>
      <xdr:rowOff>0</xdr:rowOff>
    </xdr:from>
    <xdr:to>
      <xdr:col>9</xdr:col>
      <xdr:colOff>943534</xdr:colOff>
      <xdr:row>1</xdr:row>
      <xdr:rowOff>171450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34325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257175</xdr:colOff>
      <xdr:row>0</xdr:row>
      <xdr:rowOff>85725</xdr:rowOff>
    </xdr:from>
    <xdr:to>
      <xdr:col>9</xdr:col>
      <xdr:colOff>953059</xdr:colOff>
      <xdr:row>2</xdr:row>
      <xdr:rowOff>38100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3912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180975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58100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2</xdr:col>
      <xdr:colOff>38099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257175</xdr:colOff>
      <xdr:row>0</xdr:row>
      <xdr:rowOff>0</xdr:rowOff>
    </xdr:from>
    <xdr:to>
      <xdr:col>9</xdr:col>
      <xdr:colOff>943534</xdr:colOff>
      <xdr:row>1</xdr:row>
      <xdr:rowOff>171450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58200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2</xdr:row>
      <xdr:rowOff>38100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82050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180975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2</xdr:row>
      <xdr:rowOff>38100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81850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2</xdr:col>
      <xdr:colOff>285749</xdr:colOff>
      <xdr:row>1</xdr:row>
      <xdr:rowOff>180975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53400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8667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2</xdr:col>
      <xdr:colOff>9524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581025</xdr:colOff>
      <xdr:row>0</xdr:row>
      <xdr:rowOff>0</xdr:rowOff>
    </xdr:from>
    <xdr:to>
      <xdr:col>8</xdr:col>
      <xdr:colOff>695884</xdr:colOff>
      <xdr:row>1</xdr:row>
      <xdr:rowOff>171450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39050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9157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8667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2</xdr:row>
      <xdr:rowOff>38100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82050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180975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2</xdr:row>
      <xdr:rowOff>38100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3912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180975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257175</xdr:colOff>
      <xdr:row>0</xdr:row>
      <xdr:rowOff>85725</xdr:rowOff>
    </xdr:from>
    <xdr:to>
      <xdr:col>9</xdr:col>
      <xdr:colOff>953059</xdr:colOff>
      <xdr:row>2</xdr:row>
      <xdr:rowOff>38100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3912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180975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0</xdr:rowOff>
    </xdr:from>
    <xdr:to>
      <xdr:col>7</xdr:col>
      <xdr:colOff>695884</xdr:colOff>
      <xdr:row>1</xdr:row>
      <xdr:rowOff>200025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05650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180975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0</xdr:rowOff>
    </xdr:from>
    <xdr:to>
      <xdr:col>8</xdr:col>
      <xdr:colOff>943534</xdr:colOff>
      <xdr:row>1</xdr:row>
      <xdr:rowOff>171450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29625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257175</xdr:colOff>
      <xdr:row>0</xdr:row>
      <xdr:rowOff>0</xdr:rowOff>
    </xdr:from>
    <xdr:to>
      <xdr:col>9</xdr:col>
      <xdr:colOff>943534</xdr:colOff>
      <xdr:row>1</xdr:row>
      <xdr:rowOff>171450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29625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581025</xdr:colOff>
      <xdr:row>0</xdr:row>
      <xdr:rowOff>0</xdr:rowOff>
    </xdr:from>
    <xdr:to>
      <xdr:col>8</xdr:col>
      <xdr:colOff>695884</xdr:colOff>
      <xdr:row>1</xdr:row>
      <xdr:rowOff>171450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39050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85725</xdr:rowOff>
    </xdr:from>
    <xdr:to>
      <xdr:col>8</xdr:col>
      <xdr:colOff>953059</xdr:colOff>
      <xdr:row>1</xdr:row>
      <xdr:rowOff>257175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82025" y="85725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0</xdr:rowOff>
    </xdr:from>
    <xdr:to>
      <xdr:col>8</xdr:col>
      <xdr:colOff>943534</xdr:colOff>
      <xdr:row>1</xdr:row>
      <xdr:rowOff>171450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34500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0</xdr:rowOff>
    </xdr:from>
    <xdr:to>
      <xdr:col>7</xdr:col>
      <xdr:colOff>695884</xdr:colOff>
      <xdr:row>1</xdr:row>
      <xdr:rowOff>200025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05650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180975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0</xdr:rowOff>
    </xdr:from>
    <xdr:to>
      <xdr:col>7</xdr:col>
      <xdr:colOff>695884</xdr:colOff>
      <xdr:row>2</xdr:row>
      <xdr:rowOff>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05625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209550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0</xdr:rowOff>
    </xdr:from>
    <xdr:to>
      <xdr:col>8</xdr:col>
      <xdr:colOff>943534</xdr:colOff>
      <xdr:row>1</xdr:row>
      <xdr:rowOff>171450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39150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257175</xdr:colOff>
      <xdr:row>0</xdr:row>
      <xdr:rowOff>0</xdr:rowOff>
    </xdr:from>
    <xdr:to>
      <xdr:col>9</xdr:col>
      <xdr:colOff>943534</xdr:colOff>
      <xdr:row>1</xdr:row>
      <xdr:rowOff>171450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34500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0</xdr:rowOff>
    </xdr:from>
    <xdr:to>
      <xdr:col>8</xdr:col>
      <xdr:colOff>943534</xdr:colOff>
      <xdr:row>1</xdr:row>
      <xdr:rowOff>171450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34500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0</xdr:rowOff>
    </xdr:from>
    <xdr:to>
      <xdr:col>8</xdr:col>
      <xdr:colOff>943534</xdr:colOff>
      <xdr:row>1</xdr:row>
      <xdr:rowOff>171450</xdr:rowOff>
    </xdr:to>
    <xdr:pic>
      <xdr:nvPicPr>
        <xdr:cNvPr id="2" name="Picture 1" descr="C:\Documents and Settings\user\My Documents\atslogo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29625" y="0"/>
          <a:ext cx="1581709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28575</xdr:rowOff>
    </xdr:from>
    <xdr:to>
      <xdr:col>1</xdr:col>
      <xdr:colOff>1628774</xdr:colOff>
      <xdr:row>1</xdr:row>
      <xdr:rowOff>152400</xdr:rowOff>
    </xdr:to>
    <xdr:pic>
      <xdr:nvPicPr>
        <xdr:cNvPr id="3" name="Picture 2" descr="C:\Documents and Settings\user\My Documents\My Pictures\Rangoli\elgi.gif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28575"/>
          <a:ext cx="1952624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>
      <selection activeCell="F10" sqref="F10"/>
    </sheetView>
  </sheetViews>
  <sheetFormatPr defaultRowHeight="15"/>
  <cols>
    <col min="1" max="1" width="5.28515625" customWidth="1"/>
    <col min="2" max="2" width="38.2851562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76</v>
      </c>
      <c r="F8" s="312" t="s">
        <v>45</v>
      </c>
      <c r="G8" s="312"/>
      <c r="H8" s="313">
        <v>46115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89.25">
      <c r="B10" s="60" t="s">
        <v>43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50"/>
      <c r="B14" s="52" t="s">
        <v>36</v>
      </c>
      <c r="C14" s="51" t="s">
        <v>35</v>
      </c>
      <c r="D14" s="50"/>
      <c r="E14" s="49"/>
      <c r="F14" s="317" t="s">
        <v>34</v>
      </c>
      <c r="G14" s="318"/>
      <c r="H14" s="318"/>
      <c r="I14" s="48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>
      <c r="A16" s="43">
        <v>1</v>
      </c>
      <c r="B16" s="42" t="s">
        <v>24</v>
      </c>
      <c r="C16" s="41" t="s">
        <v>23</v>
      </c>
      <c r="D16" s="35">
        <v>2</v>
      </c>
      <c r="E16" s="40">
        <v>7988</v>
      </c>
      <c r="F16" s="31">
        <f>E16*D16</f>
        <v>15976</v>
      </c>
      <c r="G16" s="33">
        <v>0.18</v>
      </c>
      <c r="H16" s="32">
        <f>G16*F16</f>
        <v>2875.68</v>
      </c>
      <c r="I16" s="31">
        <f>H16+F16</f>
        <v>18851.68</v>
      </c>
      <c r="J16" s="39"/>
    </row>
    <row r="17" spans="1:11" s="29" customFormat="1">
      <c r="A17" s="37">
        <v>2</v>
      </c>
      <c r="B17" s="65" t="s">
        <v>22</v>
      </c>
      <c r="C17" s="36" t="s">
        <v>21</v>
      </c>
      <c r="D17" s="35">
        <v>2</v>
      </c>
      <c r="E17" s="34">
        <f>4059.32</f>
        <v>4059.32</v>
      </c>
      <c r="F17" s="31">
        <f>E17*D17</f>
        <v>8118.64</v>
      </c>
      <c r="G17" s="33">
        <v>0.18</v>
      </c>
      <c r="H17" s="32">
        <f>G17*F17</f>
        <v>1461.3552</v>
      </c>
      <c r="I17" s="31">
        <f>H17+F17</f>
        <v>9579.9952000000012</v>
      </c>
      <c r="J17" s="30"/>
    </row>
    <row r="18" spans="1:11" s="22" customFormat="1" ht="15" customHeight="1">
      <c r="A18" s="320" t="s">
        <v>20</v>
      </c>
      <c r="B18" s="321"/>
      <c r="C18" s="322"/>
      <c r="D18" s="28"/>
      <c r="E18" s="26">
        <f>SUM(E16:E17)</f>
        <v>12047.32</v>
      </c>
      <c r="F18" s="26">
        <f>SUM(F16:F17)</f>
        <v>24094.639999999999</v>
      </c>
      <c r="G18" s="27"/>
      <c r="H18" s="26">
        <f>SUM(H16:H17)</f>
        <v>4337.0352000000003</v>
      </c>
      <c r="I18" s="26">
        <f>SUM(I16:I17)</f>
        <v>28431.675200000001</v>
      </c>
      <c r="J18" s="25"/>
    </row>
    <row r="19" spans="1:11" s="22" customFormat="1" ht="17.25" customHeight="1">
      <c r="A19" s="320" t="s">
        <v>19</v>
      </c>
      <c r="B19" s="321"/>
      <c r="C19" s="321"/>
      <c r="D19" s="321"/>
      <c r="E19" s="321"/>
      <c r="F19" s="321"/>
      <c r="G19" s="321"/>
      <c r="H19" s="322"/>
      <c r="I19" s="24">
        <f>ROUND(I18,0)</f>
        <v>28432</v>
      </c>
      <c r="J19" s="23"/>
      <c r="K19" s="73"/>
    </row>
    <row r="20" spans="1:11" s="20" customFormat="1" ht="17.25" customHeight="1">
      <c r="A20" s="323" t="s">
        <v>18</v>
      </c>
      <c r="B20" s="324"/>
      <c r="C20" s="324"/>
      <c r="D20" s="324"/>
      <c r="E20" s="324"/>
      <c r="F20" s="324"/>
      <c r="G20" s="324"/>
      <c r="H20" s="324"/>
      <c r="I20" s="325"/>
      <c r="J20" s="21"/>
    </row>
    <row r="21" spans="1:11" s="15" customFormat="1" ht="17.25" customHeight="1">
      <c r="A21" s="19"/>
      <c r="B21" s="19"/>
      <c r="C21" s="18" t="s">
        <v>17</v>
      </c>
      <c r="D21" s="18"/>
      <c r="E21" s="18"/>
      <c r="F21" s="18"/>
      <c r="G21" s="18"/>
      <c r="H21" s="18"/>
      <c r="I21" s="17"/>
      <c r="J21" s="16"/>
    </row>
    <row r="22" spans="1:11" s="3" customFormat="1" ht="11.25">
      <c r="A22" s="14" t="s">
        <v>16</v>
      </c>
      <c r="B22" s="12"/>
      <c r="C22" s="12"/>
      <c r="D22" s="12"/>
      <c r="E22" s="12"/>
      <c r="F22" s="12"/>
      <c r="G22" s="12"/>
      <c r="H22" s="13"/>
      <c r="I22" s="12"/>
    </row>
    <row r="23" spans="1:11" s="6" customFormat="1" ht="13.5" customHeight="1">
      <c r="A23" s="11" t="s">
        <v>15</v>
      </c>
      <c r="B23" s="9"/>
      <c r="C23" s="10"/>
      <c r="D23" s="9"/>
      <c r="E23" s="8"/>
      <c r="F23" s="8"/>
      <c r="G23" s="3"/>
    </row>
    <row r="24" spans="1:11" s="6" customFormat="1" ht="11.25" customHeight="1">
      <c r="A24" s="5">
        <v>1</v>
      </c>
      <c r="B24" s="7" t="s">
        <v>14</v>
      </c>
      <c r="C24" s="326" t="s">
        <v>13</v>
      </c>
      <c r="D24" s="326"/>
      <c r="E24" s="326"/>
      <c r="F24" s="326"/>
      <c r="G24" s="326"/>
    </row>
    <row r="25" spans="1:11" s="6" customFormat="1" ht="13.5" customHeight="1">
      <c r="A25" s="5">
        <v>2</v>
      </c>
      <c r="B25" s="7" t="s">
        <v>12</v>
      </c>
      <c r="C25" s="326" t="s">
        <v>11</v>
      </c>
      <c r="D25" s="326"/>
      <c r="E25" s="326"/>
      <c r="F25" s="326"/>
      <c r="G25" s="326"/>
    </row>
    <row r="26" spans="1:11" s="6" customFormat="1" ht="12" customHeight="1">
      <c r="A26" s="5">
        <v>3</v>
      </c>
      <c r="B26" s="7" t="s">
        <v>10</v>
      </c>
      <c r="C26" s="326" t="s">
        <v>9</v>
      </c>
      <c r="D26" s="326"/>
      <c r="E26" s="326"/>
      <c r="F26" s="326"/>
      <c r="G26" s="326"/>
      <c r="H26" s="327" t="s">
        <v>8</v>
      </c>
      <c r="I26" s="327"/>
    </row>
    <row r="27" spans="1:11" s="6" customFormat="1" ht="11.25" customHeight="1">
      <c r="A27" s="5">
        <v>4</v>
      </c>
      <c r="B27" s="7" t="s">
        <v>7</v>
      </c>
      <c r="C27" s="326" t="s">
        <v>6</v>
      </c>
      <c r="D27" s="326"/>
      <c r="E27" s="326"/>
      <c r="F27" s="326"/>
      <c r="G27" s="326"/>
    </row>
    <row r="28" spans="1:11" s="6" customFormat="1" ht="11.25" customHeight="1">
      <c r="A28" s="5">
        <v>5</v>
      </c>
      <c r="B28" s="7" t="s">
        <v>5</v>
      </c>
      <c r="C28" s="326" t="s">
        <v>4</v>
      </c>
      <c r="D28" s="326"/>
      <c r="E28" s="326"/>
      <c r="F28" s="326"/>
      <c r="G28" s="326"/>
      <c r="H28" s="327" t="s">
        <v>3</v>
      </c>
      <c r="I28" s="327"/>
    </row>
    <row r="29" spans="1:11" s="3" customFormat="1" ht="26.25" customHeight="1">
      <c r="A29" s="5">
        <v>6</v>
      </c>
      <c r="B29" s="4" t="s">
        <v>2</v>
      </c>
      <c r="C29" s="328" t="s">
        <v>1</v>
      </c>
      <c r="D29" s="328"/>
      <c r="E29" s="328"/>
      <c r="F29" s="328"/>
      <c r="G29" s="328"/>
      <c r="H29" s="327" t="s">
        <v>0</v>
      </c>
      <c r="I29" s="327"/>
    </row>
  </sheetData>
  <mergeCells count="26">
    <mergeCell ref="C27:G27"/>
    <mergeCell ref="C28:G28"/>
    <mergeCell ref="H28:I28"/>
    <mergeCell ref="C29:G29"/>
    <mergeCell ref="H29:I29"/>
    <mergeCell ref="A19:H19"/>
    <mergeCell ref="A20:I20"/>
    <mergeCell ref="C24:G24"/>
    <mergeCell ref="C25:G25"/>
    <mergeCell ref="C26:G26"/>
    <mergeCell ref="H26:I26"/>
    <mergeCell ref="A13:B13"/>
    <mergeCell ref="D13:E13"/>
    <mergeCell ref="F13:I13"/>
    <mergeCell ref="F14:H14"/>
    <mergeCell ref="A18:C18"/>
    <mergeCell ref="A6:I6"/>
    <mergeCell ref="A7:I7"/>
    <mergeCell ref="F8:G8"/>
    <mergeCell ref="H8:I8"/>
    <mergeCell ref="A12:I12"/>
    <mergeCell ref="A1:I1"/>
    <mergeCell ref="A2:I2"/>
    <mergeCell ref="A3:I3"/>
    <mergeCell ref="A4:I4"/>
    <mergeCell ref="A5:I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topLeftCell="A2" workbookViewId="0">
      <selection activeCell="A8" sqref="A8"/>
    </sheetView>
  </sheetViews>
  <sheetFormatPr defaultRowHeight="15"/>
  <cols>
    <col min="1" max="1" width="5.28515625" customWidth="1"/>
    <col min="2" max="2" width="38.2851562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77</v>
      </c>
      <c r="F8" s="312" t="s">
        <v>45</v>
      </c>
      <c r="G8" s="312"/>
      <c r="H8" s="313">
        <v>46115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136.5" customHeight="1">
      <c r="B10" s="60" t="s">
        <v>75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50"/>
      <c r="B14" s="52" t="s">
        <v>53</v>
      </c>
      <c r="C14" s="51" t="s">
        <v>54</v>
      </c>
      <c r="D14" s="50"/>
      <c r="E14" s="49"/>
      <c r="F14" s="317" t="s">
        <v>55</v>
      </c>
      <c r="G14" s="318"/>
      <c r="H14" s="318"/>
      <c r="I14" s="48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29" customFormat="1">
      <c r="A16" s="37">
        <v>1</v>
      </c>
      <c r="B16" s="65" t="s">
        <v>57</v>
      </c>
      <c r="C16" s="36" t="s">
        <v>64</v>
      </c>
      <c r="D16" s="35">
        <v>1</v>
      </c>
      <c r="E16" s="34">
        <v>995</v>
      </c>
      <c r="F16" s="31">
        <f>E16*D16</f>
        <v>995</v>
      </c>
      <c r="G16" s="33">
        <v>0.18</v>
      </c>
      <c r="H16" s="32">
        <f>G16*F16</f>
        <v>179.1</v>
      </c>
      <c r="I16" s="31">
        <f>H16+F16</f>
        <v>1174.0999999999999</v>
      </c>
      <c r="J16" s="30"/>
    </row>
    <row r="17" spans="1:10" s="29" customFormat="1">
      <c r="A17" s="43">
        <v>2</v>
      </c>
      <c r="B17" s="66" t="s">
        <v>58</v>
      </c>
      <c r="C17" s="67" t="s">
        <v>59</v>
      </c>
      <c r="D17" s="35">
        <v>1</v>
      </c>
      <c r="E17" s="34">
        <v>18324</v>
      </c>
      <c r="F17" s="31">
        <f>E17*D17</f>
        <v>18324</v>
      </c>
      <c r="G17" s="33">
        <v>0.18</v>
      </c>
      <c r="H17" s="32">
        <f>G17*F17</f>
        <v>3298.3199999999997</v>
      </c>
      <c r="I17" s="31">
        <f>H17+F17</f>
        <v>21622.32</v>
      </c>
      <c r="J17" s="30"/>
    </row>
    <row r="18" spans="1:10" s="29" customFormat="1">
      <c r="A18" s="43">
        <v>3</v>
      </c>
      <c r="B18" s="68" t="s">
        <v>60</v>
      </c>
      <c r="C18" s="69" t="s">
        <v>61</v>
      </c>
      <c r="D18" s="35">
        <v>1</v>
      </c>
      <c r="E18" s="34">
        <v>16283.16</v>
      </c>
      <c r="F18" s="31">
        <f>E18*D18</f>
        <v>16283.16</v>
      </c>
      <c r="G18" s="33">
        <v>0.18</v>
      </c>
      <c r="H18" s="32">
        <f>G18*F18</f>
        <v>2930.9687999999996</v>
      </c>
      <c r="I18" s="31">
        <f>H18+F18</f>
        <v>19214.128799999999</v>
      </c>
      <c r="J18" s="30"/>
    </row>
    <row r="19" spans="1:10" s="29" customFormat="1">
      <c r="A19" s="43">
        <v>4</v>
      </c>
      <c r="B19" s="70"/>
      <c r="C19" s="71" t="s">
        <v>62</v>
      </c>
      <c r="D19" s="35">
        <v>1</v>
      </c>
      <c r="E19" s="34"/>
      <c r="F19" s="31">
        <f>E19*D19</f>
        <v>0</v>
      </c>
      <c r="G19" s="33">
        <v>0.18</v>
      </c>
      <c r="H19" s="32">
        <f>G19*F19</f>
        <v>0</v>
      </c>
      <c r="I19" s="31">
        <f>H19+F19</f>
        <v>0</v>
      </c>
      <c r="J19" s="30"/>
    </row>
    <row r="20" spans="1:10" s="22" customFormat="1" ht="15" customHeight="1">
      <c r="A20" s="320" t="s">
        <v>20</v>
      </c>
      <c r="B20" s="321"/>
      <c r="C20" s="322"/>
      <c r="D20" s="28"/>
      <c r="E20" s="26">
        <f>SUM(E16:E16)</f>
        <v>995</v>
      </c>
      <c r="F20" s="26">
        <f>SUM(F16:F19)</f>
        <v>35602.160000000003</v>
      </c>
      <c r="G20" s="27"/>
      <c r="H20" s="26">
        <f>SUM(H16:H19)</f>
        <v>6408.3887999999988</v>
      </c>
      <c r="I20" s="26">
        <f>SUM(I16:I19)</f>
        <v>42010.548799999997</v>
      </c>
      <c r="J20" s="25"/>
    </row>
    <row r="21" spans="1:10" s="22" customFormat="1" ht="17.25" customHeight="1">
      <c r="A21" s="320" t="s">
        <v>19</v>
      </c>
      <c r="B21" s="321"/>
      <c r="C21" s="321"/>
      <c r="D21" s="321"/>
      <c r="E21" s="321"/>
      <c r="F21" s="321"/>
      <c r="G21" s="321"/>
      <c r="H21" s="322"/>
      <c r="I21" s="24">
        <f>ROUND(I20,0)</f>
        <v>42011</v>
      </c>
      <c r="J21" s="23"/>
    </row>
    <row r="22" spans="1:10" s="20" customFormat="1" ht="17.25" customHeight="1">
      <c r="A22" s="323" t="s">
        <v>69</v>
      </c>
      <c r="B22" s="324"/>
      <c r="C22" s="324"/>
      <c r="D22" s="324"/>
      <c r="E22" s="324"/>
      <c r="F22" s="324"/>
      <c r="G22" s="324"/>
      <c r="H22" s="324"/>
      <c r="I22" s="325"/>
      <c r="J22" s="21"/>
    </row>
    <row r="23" spans="1:10" s="15" customFormat="1" ht="17.25" customHeight="1">
      <c r="A23" s="19"/>
      <c r="B23" s="19"/>
      <c r="C23" s="18" t="s">
        <v>17</v>
      </c>
      <c r="D23" s="18"/>
      <c r="E23" s="18"/>
      <c r="F23" s="18"/>
      <c r="G23" s="18"/>
      <c r="H23" s="18"/>
      <c r="I23" s="17"/>
      <c r="J23" s="16"/>
    </row>
    <row r="24" spans="1:10" s="3" customFormat="1" ht="11.25">
      <c r="A24" s="14" t="s">
        <v>16</v>
      </c>
      <c r="B24" s="12"/>
      <c r="C24" s="12"/>
      <c r="D24" s="12"/>
      <c r="E24" s="12"/>
      <c r="F24" s="12"/>
      <c r="G24" s="12"/>
      <c r="H24" s="13"/>
      <c r="I24" s="12"/>
    </row>
    <row r="25" spans="1:10" s="6" customFormat="1" ht="13.5" customHeight="1">
      <c r="A25" s="11" t="s">
        <v>15</v>
      </c>
      <c r="B25" s="9"/>
      <c r="C25" s="10"/>
      <c r="D25" s="9"/>
      <c r="E25" s="8"/>
      <c r="F25" s="8"/>
      <c r="G25" s="3"/>
    </row>
    <row r="26" spans="1:10" s="6" customFormat="1" ht="11.25" customHeight="1">
      <c r="A26" s="5">
        <v>1</v>
      </c>
      <c r="B26" s="7" t="s">
        <v>14</v>
      </c>
      <c r="C26" s="326" t="s">
        <v>13</v>
      </c>
      <c r="D26" s="326"/>
      <c r="E26" s="326"/>
      <c r="F26" s="326"/>
      <c r="G26" s="326"/>
    </row>
    <row r="27" spans="1:10" s="6" customFormat="1" ht="13.5" customHeight="1">
      <c r="A27" s="5">
        <v>2</v>
      </c>
      <c r="B27" s="7" t="s">
        <v>12</v>
      </c>
      <c r="C27" s="326" t="s">
        <v>11</v>
      </c>
      <c r="D27" s="326"/>
      <c r="E27" s="326"/>
      <c r="F27" s="326"/>
      <c r="G27" s="326"/>
    </row>
    <row r="28" spans="1:10" s="6" customFormat="1" ht="12" customHeight="1">
      <c r="A28" s="5">
        <v>3</v>
      </c>
      <c r="B28" s="7" t="s">
        <v>10</v>
      </c>
      <c r="C28" s="326" t="s">
        <v>9</v>
      </c>
      <c r="D28" s="326"/>
      <c r="E28" s="326"/>
      <c r="F28" s="326"/>
      <c r="G28" s="326"/>
      <c r="H28" s="327" t="s">
        <v>8</v>
      </c>
      <c r="I28" s="327"/>
    </row>
    <row r="29" spans="1:10" s="6" customFormat="1" ht="11.25" customHeight="1">
      <c r="A29" s="5">
        <v>4</v>
      </c>
      <c r="B29" s="7" t="s">
        <v>7</v>
      </c>
      <c r="C29" s="326" t="s">
        <v>6</v>
      </c>
      <c r="D29" s="326"/>
      <c r="E29" s="326"/>
      <c r="F29" s="326"/>
      <c r="G29" s="326"/>
    </row>
    <row r="30" spans="1:10" s="6" customFormat="1" ht="11.25" customHeight="1">
      <c r="A30" s="5">
        <v>5</v>
      </c>
      <c r="B30" s="7" t="s">
        <v>5</v>
      </c>
      <c r="C30" s="326" t="s">
        <v>4</v>
      </c>
      <c r="D30" s="326"/>
      <c r="E30" s="326"/>
      <c r="F30" s="326"/>
      <c r="G30" s="326"/>
      <c r="H30" s="327" t="s">
        <v>3</v>
      </c>
      <c r="I30" s="327"/>
    </row>
    <row r="31" spans="1:10" s="3" customFormat="1" ht="26.25" customHeight="1">
      <c r="A31" s="5">
        <v>6</v>
      </c>
      <c r="B31" s="4" t="s">
        <v>2</v>
      </c>
      <c r="C31" s="328" t="s">
        <v>1</v>
      </c>
      <c r="D31" s="328"/>
      <c r="E31" s="328"/>
      <c r="F31" s="328"/>
      <c r="G31" s="328"/>
      <c r="H31" s="327" t="s">
        <v>0</v>
      </c>
      <c r="I31" s="327"/>
    </row>
  </sheetData>
  <mergeCells count="26">
    <mergeCell ref="A6:I6"/>
    <mergeCell ref="A1:I1"/>
    <mergeCell ref="A2:I2"/>
    <mergeCell ref="A3:I3"/>
    <mergeCell ref="A4:I4"/>
    <mergeCell ref="A5:I5"/>
    <mergeCell ref="A7:I7"/>
    <mergeCell ref="F8:G8"/>
    <mergeCell ref="H8:I8"/>
    <mergeCell ref="A12:I12"/>
    <mergeCell ref="A13:B13"/>
    <mergeCell ref="D13:E13"/>
    <mergeCell ref="F13:I13"/>
    <mergeCell ref="C31:G31"/>
    <mergeCell ref="H31:I31"/>
    <mergeCell ref="F14:H14"/>
    <mergeCell ref="A20:C20"/>
    <mergeCell ref="A21:H21"/>
    <mergeCell ref="A22:I22"/>
    <mergeCell ref="C26:G26"/>
    <mergeCell ref="C27:G27"/>
    <mergeCell ref="C28:G28"/>
    <mergeCell ref="H28:I28"/>
    <mergeCell ref="C29:G29"/>
    <mergeCell ref="C30:G30"/>
    <mergeCell ref="H30:I30"/>
  </mergeCells>
  <conditionalFormatting sqref="B18:B19">
    <cfRule type="duplicateValues" dxfId="45" priority="5"/>
  </conditionalFormatting>
  <conditionalFormatting sqref="B18:B19">
    <cfRule type="duplicateValues" dxfId="44" priority="4"/>
  </conditionalFormatting>
  <conditionalFormatting sqref="B18:B19">
    <cfRule type="duplicateValues" dxfId="43" priority="3"/>
  </conditionalFormatting>
  <conditionalFormatting sqref="B18:B19">
    <cfRule type="duplicateValues" dxfId="42" priority="1"/>
    <cfRule type="duplicateValues" dxfId="41" priority="2"/>
  </conditionalFormatting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topLeftCell="A2" workbookViewId="0">
      <selection activeCell="A8" sqref="A8"/>
    </sheetView>
  </sheetViews>
  <sheetFormatPr defaultRowHeight="15"/>
  <cols>
    <col min="1" max="1" width="5.28515625" customWidth="1"/>
    <col min="2" max="2" width="38.2851562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78</v>
      </c>
      <c r="F8" s="312" t="s">
        <v>45</v>
      </c>
      <c r="G8" s="312"/>
      <c r="H8" s="313">
        <v>46115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137.25" customHeight="1">
      <c r="B10" s="60" t="s">
        <v>75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50"/>
      <c r="B14" s="52" t="s">
        <v>65</v>
      </c>
      <c r="C14" s="51" t="s">
        <v>54</v>
      </c>
      <c r="D14" s="50"/>
      <c r="E14" s="49"/>
      <c r="F14" s="317" t="s">
        <v>55</v>
      </c>
      <c r="G14" s="318"/>
      <c r="H14" s="318"/>
      <c r="I14" s="48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>
      <c r="A16" s="43">
        <v>1</v>
      </c>
      <c r="B16" s="72" t="s">
        <v>67</v>
      </c>
      <c r="C16" s="69" t="s">
        <v>68</v>
      </c>
      <c r="D16" s="35">
        <v>1</v>
      </c>
      <c r="E16" s="40">
        <v>864</v>
      </c>
      <c r="F16" s="31">
        <f t="shared" ref="F16:F21" si="0">E16*D16</f>
        <v>864</v>
      </c>
      <c r="G16" s="33">
        <v>0.18</v>
      </c>
      <c r="H16" s="32">
        <f>G16*F16</f>
        <v>155.51999999999998</v>
      </c>
      <c r="I16" s="31">
        <f>H16+F16</f>
        <v>1019.52</v>
      </c>
      <c r="J16" s="39"/>
    </row>
    <row r="17" spans="1:10" s="29" customFormat="1">
      <c r="A17" s="37">
        <v>2</v>
      </c>
      <c r="B17" s="65" t="s">
        <v>57</v>
      </c>
      <c r="C17" s="36" t="s">
        <v>64</v>
      </c>
      <c r="D17" s="35">
        <v>1</v>
      </c>
      <c r="E17" s="34">
        <v>995</v>
      </c>
      <c r="F17" s="31">
        <f t="shared" si="0"/>
        <v>995</v>
      </c>
      <c r="G17" s="33">
        <v>0.18</v>
      </c>
      <c r="H17" s="32">
        <f>G17*F17</f>
        <v>179.1</v>
      </c>
      <c r="I17" s="31">
        <f>H17+F17</f>
        <v>1174.0999999999999</v>
      </c>
      <c r="J17" s="30"/>
    </row>
    <row r="18" spans="1:10" s="29" customFormat="1">
      <c r="A18" s="43">
        <v>3</v>
      </c>
      <c r="B18" s="66" t="s">
        <v>58</v>
      </c>
      <c r="C18" s="67" t="s">
        <v>59</v>
      </c>
      <c r="D18" s="35">
        <v>1</v>
      </c>
      <c r="E18" s="34">
        <v>18324</v>
      </c>
      <c r="F18" s="31">
        <f t="shared" si="0"/>
        <v>18324</v>
      </c>
      <c r="G18" s="33">
        <v>0.18</v>
      </c>
      <c r="H18" s="32">
        <f>G18*F18</f>
        <v>3298.3199999999997</v>
      </c>
      <c r="I18" s="31">
        <f>H18+F18</f>
        <v>21622.32</v>
      </c>
      <c r="J18" s="30"/>
    </row>
    <row r="19" spans="1:10" s="29" customFormat="1">
      <c r="A19" s="43">
        <v>4</v>
      </c>
      <c r="B19" s="68" t="s">
        <v>60</v>
      </c>
      <c r="C19" s="69" t="s">
        <v>61</v>
      </c>
      <c r="D19" s="35">
        <v>1</v>
      </c>
      <c r="E19" s="34">
        <v>16283.16</v>
      </c>
      <c r="F19" s="31">
        <f t="shared" si="0"/>
        <v>16283.16</v>
      </c>
      <c r="G19" s="33">
        <v>0.18</v>
      </c>
      <c r="H19" s="32">
        <f>G19*F19</f>
        <v>2930.9687999999996</v>
      </c>
      <c r="I19" s="31">
        <f>H19+F19</f>
        <v>19214.128799999999</v>
      </c>
      <c r="J19" s="30"/>
    </row>
    <row r="20" spans="1:10" s="29" customFormat="1">
      <c r="A20" s="43">
        <v>5</v>
      </c>
      <c r="B20" s="70"/>
      <c r="C20" s="71" t="s">
        <v>62</v>
      </c>
      <c r="D20" s="35">
        <v>1</v>
      </c>
      <c r="E20" s="34"/>
      <c r="F20" s="31">
        <f t="shared" si="0"/>
        <v>0</v>
      </c>
      <c r="G20" s="33">
        <v>0.18</v>
      </c>
      <c r="H20" s="32">
        <f>G20*F20</f>
        <v>0</v>
      </c>
      <c r="I20" s="31">
        <f>H20+F20</f>
        <v>0</v>
      </c>
      <c r="J20" s="30"/>
    </row>
    <row r="21" spans="1:10" s="29" customFormat="1">
      <c r="A21" s="43">
        <v>6</v>
      </c>
      <c r="B21" s="70"/>
      <c r="C21" s="71" t="s">
        <v>66</v>
      </c>
      <c r="D21" s="35">
        <v>1</v>
      </c>
      <c r="E21" s="34"/>
      <c r="F21" s="31">
        <f t="shared" si="0"/>
        <v>0</v>
      </c>
      <c r="G21" s="33"/>
      <c r="H21" s="32"/>
      <c r="I21" s="31"/>
      <c r="J21" s="30"/>
    </row>
    <row r="22" spans="1:10" s="22" customFormat="1" ht="15" customHeight="1">
      <c r="A22" s="320" t="s">
        <v>20</v>
      </c>
      <c r="B22" s="321"/>
      <c r="C22" s="322"/>
      <c r="D22" s="28"/>
      <c r="E22" s="26">
        <f>SUM(E16:E17)</f>
        <v>1859</v>
      </c>
      <c r="F22" s="26">
        <f>SUM(F16:F21)</f>
        <v>36466.160000000003</v>
      </c>
      <c r="G22" s="27"/>
      <c r="H22" s="26">
        <f>SUM(H16:H20)</f>
        <v>6563.9087999999992</v>
      </c>
      <c r="I22" s="26">
        <f>SUM(I16:I20)</f>
        <v>43030.068799999994</v>
      </c>
      <c r="J22" s="25"/>
    </row>
    <row r="23" spans="1:10" s="22" customFormat="1" ht="17.25" customHeight="1">
      <c r="A23" s="320" t="s">
        <v>19</v>
      </c>
      <c r="B23" s="321"/>
      <c r="C23" s="321"/>
      <c r="D23" s="321"/>
      <c r="E23" s="321"/>
      <c r="F23" s="321"/>
      <c r="G23" s="321"/>
      <c r="H23" s="322"/>
      <c r="I23" s="24">
        <f>ROUND(I22,0)</f>
        <v>43030</v>
      </c>
      <c r="J23" s="23"/>
    </row>
    <row r="24" spans="1:10" s="20" customFormat="1" ht="17.25" customHeight="1">
      <c r="A24" s="323" t="s">
        <v>70</v>
      </c>
      <c r="B24" s="324"/>
      <c r="C24" s="324"/>
      <c r="D24" s="324"/>
      <c r="E24" s="324"/>
      <c r="F24" s="324"/>
      <c r="G24" s="324"/>
      <c r="H24" s="324"/>
      <c r="I24" s="325"/>
      <c r="J24" s="21"/>
    </row>
    <row r="25" spans="1:10" s="15" customFormat="1" ht="17.25" customHeight="1">
      <c r="A25" s="19"/>
      <c r="B25" s="19"/>
      <c r="C25" s="18" t="s">
        <v>17</v>
      </c>
      <c r="D25" s="18"/>
      <c r="E25" s="18"/>
      <c r="F25" s="18"/>
      <c r="G25" s="18"/>
      <c r="H25" s="18"/>
      <c r="I25" s="17"/>
      <c r="J25" s="16"/>
    </row>
    <row r="26" spans="1:10" s="3" customFormat="1" ht="11.25">
      <c r="A26" s="14" t="s">
        <v>16</v>
      </c>
      <c r="B26" s="12"/>
      <c r="C26" s="12"/>
      <c r="D26" s="12"/>
      <c r="E26" s="12"/>
      <c r="F26" s="12"/>
      <c r="G26" s="12"/>
      <c r="H26" s="13"/>
      <c r="I26" s="12"/>
    </row>
    <row r="27" spans="1:10" s="6" customFormat="1" ht="13.5" customHeight="1">
      <c r="A27" s="11" t="s">
        <v>15</v>
      </c>
      <c r="B27" s="9"/>
      <c r="C27" s="10"/>
      <c r="D27" s="9"/>
      <c r="E27" s="8"/>
      <c r="F27" s="8"/>
      <c r="G27" s="3"/>
    </row>
    <row r="28" spans="1:10" s="6" customFormat="1" ht="11.25" customHeight="1">
      <c r="A28" s="5">
        <v>1</v>
      </c>
      <c r="B28" s="7" t="s">
        <v>14</v>
      </c>
      <c r="C28" s="326" t="s">
        <v>13</v>
      </c>
      <c r="D28" s="326"/>
      <c r="E28" s="326"/>
      <c r="F28" s="326"/>
      <c r="G28" s="326"/>
    </row>
    <row r="29" spans="1:10" s="6" customFormat="1" ht="13.5" customHeight="1">
      <c r="A29" s="5">
        <v>2</v>
      </c>
      <c r="B29" s="7" t="s">
        <v>12</v>
      </c>
      <c r="C29" s="326" t="s">
        <v>11</v>
      </c>
      <c r="D29" s="326"/>
      <c r="E29" s="326"/>
      <c r="F29" s="326"/>
      <c r="G29" s="326"/>
    </row>
    <row r="30" spans="1:10" s="6" customFormat="1" ht="12" customHeight="1">
      <c r="A30" s="5">
        <v>3</v>
      </c>
      <c r="B30" s="7" t="s">
        <v>10</v>
      </c>
      <c r="C30" s="326" t="s">
        <v>9</v>
      </c>
      <c r="D30" s="326"/>
      <c r="E30" s="326"/>
      <c r="F30" s="326"/>
      <c r="G30" s="326"/>
      <c r="H30" s="327" t="s">
        <v>8</v>
      </c>
      <c r="I30" s="327"/>
    </row>
    <row r="31" spans="1:10" s="6" customFormat="1" ht="11.25" customHeight="1">
      <c r="A31" s="5">
        <v>4</v>
      </c>
      <c r="B31" s="7" t="s">
        <v>7</v>
      </c>
      <c r="C31" s="326" t="s">
        <v>6</v>
      </c>
      <c r="D31" s="326"/>
      <c r="E31" s="326"/>
      <c r="F31" s="326"/>
      <c r="G31" s="326"/>
    </row>
    <row r="32" spans="1:10" s="6" customFormat="1" ht="11.25" customHeight="1">
      <c r="A32" s="5">
        <v>5</v>
      </c>
      <c r="B32" s="7" t="s">
        <v>5</v>
      </c>
      <c r="C32" s="326" t="s">
        <v>4</v>
      </c>
      <c r="D32" s="326"/>
      <c r="E32" s="326"/>
      <c r="F32" s="326"/>
      <c r="G32" s="326"/>
      <c r="H32" s="327" t="s">
        <v>3</v>
      </c>
      <c r="I32" s="327"/>
    </row>
    <row r="33" spans="1:9" s="3" customFormat="1" ht="26.25" customHeight="1">
      <c r="A33" s="5">
        <v>6</v>
      </c>
      <c r="B33" s="4" t="s">
        <v>2</v>
      </c>
      <c r="C33" s="328" t="s">
        <v>1</v>
      </c>
      <c r="D33" s="328"/>
      <c r="E33" s="328"/>
      <c r="F33" s="328"/>
      <c r="G33" s="328"/>
      <c r="H33" s="327" t="s">
        <v>0</v>
      </c>
      <c r="I33" s="327"/>
    </row>
  </sheetData>
  <mergeCells count="26">
    <mergeCell ref="A6:I6"/>
    <mergeCell ref="A1:I1"/>
    <mergeCell ref="A2:I2"/>
    <mergeCell ref="A3:I3"/>
    <mergeCell ref="A4:I4"/>
    <mergeCell ref="A5:I5"/>
    <mergeCell ref="A7:I7"/>
    <mergeCell ref="F8:G8"/>
    <mergeCell ref="H8:I8"/>
    <mergeCell ref="A12:I12"/>
    <mergeCell ref="A13:B13"/>
    <mergeCell ref="D13:E13"/>
    <mergeCell ref="F13:I13"/>
    <mergeCell ref="C33:G33"/>
    <mergeCell ref="H33:I33"/>
    <mergeCell ref="F14:H14"/>
    <mergeCell ref="A22:C22"/>
    <mergeCell ref="A23:H23"/>
    <mergeCell ref="A24:I24"/>
    <mergeCell ref="C28:G28"/>
    <mergeCell ref="C29:G29"/>
    <mergeCell ref="C30:G30"/>
    <mergeCell ref="H30:I30"/>
    <mergeCell ref="C31:G31"/>
    <mergeCell ref="C32:G32"/>
    <mergeCell ref="H32:I32"/>
  </mergeCells>
  <conditionalFormatting sqref="B19:B21">
    <cfRule type="duplicateValues" dxfId="40" priority="10"/>
  </conditionalFormatting>
  <conditionalFormatting sqref="B19:B21">
    <cfRule type="duplicateValues" dxfId="39" priority="9"/>
  </conditionalFormatting>
  <conditionalFormatting sqref="B19:B21">
    <cfRule type="duplicateValues" dxfId="38" priority="8"/>
  </conditionalFormatting>
  <conditionalFormatting sqref="B19:B21">
    <cfRule type="duplicateValues" dxfId="37" priority="6"/>
    <cfRule type="duplicateValues" dxfId="36" priority="7"/>
  </conditionalFormatting>
  <conditionalFormatting sqref="B16">
    <cfRule type="duplicateValues" dxfId="35" priority="4"/>
    <cfRule type="duplicateValues" dxfId="34" priority="5"/>
  </conditionalFormatting>
  <conditionalFormatting sqref="B16">
    <cfRule type="duplicateValues" dxfId="33" priority="3"/>
  </conditionalFormatting>
  <conditionalFormatting sqref="B16">
    <cfRule type="duplicateValues" dxfId="32" priority="2"/>
  </conditionalFormatting>
  <conditionalFormatting sqref="B16">
    <cfRule type="duplicateValues" dxfId="31" priority="1"/>
  </conditionalFormatting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topLeftCell="A8" workbookViewId="0">
      <selection activeCell="C10" sqref="C10"/>
    </sheetView>
  </sheetViews>
  <sheetFormatPr defaultRowHeight="15"/>
  <cols>
    <col min="1" max="1" width="5.28515625" customWidth="1"/>
    <col min="2" max="2" width="38.2851562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79</v>
      </c>
      <c r="F8" s="312" t="s">
        <v>45</v>
      </c>
      <c r="G8" s="312"/>
      <c r="H8" s="313">
        <v>46115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138" customHeight="1">
      <c r="B10" s="60" t="s">
        <v>75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50"/>
      <c r="B14" s="52" t="s">
        <v>73</v>
      </c>
      <c r="C14" s="51" t="s">
        <v>54</v>
      </c>
      <c r="D14" s="50"/>
      <c r="E14" s="49"/>
      <c r="F14" s="317" t="s">
        <v>34</v>
      </c>
      <c r="G14" s="318"/>
      <c r="H14" s="318"/>
      <c r="I14" s="48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>
      <c r="A16" s="43">
        <v>1</v>
      </c>
      <c r="B16" s="41" t="s">
        <v>56</v>
      </c>
      <c r="C16" s="41" t="s">
        <v>63</v>
      </c>
      <c r="D16" s="35">
        <v>1</v>
      </c>
      <c r="E16" s="40">
        <v>1150</v>
      </c>
      <c r="F16" s="31">
        <f>E16*D16</f>
        <v>1150</v>
      </c>
      <c r="G16" s="33">
        <v>0.18</v>
      </c>
      <c r="H16" s="32">
        <f>G16*F16</f>
        <v>207</v>
      </c>
      <c r="I16" s="31">
        <f>H16+F16</f>
        <v>1357</v>
      </c>
      <c r="J16" s="39"/>
    </row>
    <row r="17" spans="1:10" s="38" customFormat="1">
      <c r="A17" s="43">
        <v>2</v>
      </c>
      <c r="B17" s="42" t="s">
        <v>71</v>
      </c>
      <c r="C17" s="41" t="s">
        <v>72</v>
      </c>
      <c r="D17" s="35">
        <v>1</v>
      </c>
      <c r="E17" s="40">
        <v>1070</v>
      </c>
      <c r="F17" s="31">
        <f>E17*D17</f>
        <v>1070</v>
      </c>
      <c r="G17" s="33">
        <v>0.18</v>
      </c>
      <c r="H17" s="32">
        <f>G17*F17</f>
        <v>192.6</v>
      </c>
      <c r="I17" s="31">
        <f>H17+F17</f>
        <v>1262.5999999999999</v>
      </c>
      <c r="J17" s="39"/>
    </row>
    <row r="18" spans="1:10" s="29" customFormat="1">
      <c r="A18" s="37">
        <v>3</v>
      </c>
      <c r="B18" s="65" t="s">
        <v>57</v>
      </c>
      <c r="C18" s="36" t="s">
        <v>64</v>
      </c>
      <c r="D18" s="35">
        <v>1</v>
      </c>
      <c r="E18" s="34">
        <v>995</v>
      </c>
      <c r="F18" s="31">
        <f>E18*D18</f>
        <v>995</v>
      </c>
      <c r="G18" s="33">
        <v>0.18</v>
      </c>
      <c r="H18" s="32">
        <f>G18*F18</f>
        <v>179.1</v>
      </c>
      <c r="I18" s="31">
        <f>H18+F18</f>
        <v>1174.0999999999999</v>
      </c>
      <c r="J18" s="30"/>
    </row>
    <row r="19" spans="1:10" s="29" customFormat="1">
      <c r="A19" s="43">
        <v>4</v>
      </c>
      <c r="B19" s="66" t="s">
        <v>58</v>
      </c>
      <c r="C19" s="67" t="s">
        <v>59</v>
      </c>
      <c r="D19" s="35">
        <v>1</v>
      </c>
      <c r="E19" s="34">
        <v>18324</v>
      </c>
      <c r="F19" s="31">
        <f>E19*D19</f>
        <v>18324</v>
      </c>
      <c r="G19" s="33">
        <v>0.18</v>
      </c>
      <c r="H19" s="32">
        <f>G19*F19</f>
        <v>3298.3199999999997</v>
      </c>
      <c r="I19" s="31">
        <f>H19+F19</f>
        <v>21622.32</v>
      </c>
      <c r="J19" s="30"/>
    </row>
    <row r="20" spans="1:10" s="29" customFormat="1">
      <c r="A20" s="43">
        <v>5</v>
      </c>
      <c r="B20" s="70"/>
      <c r="C20" s="71" t="s">
        <v>62</v>
      </c>
      <c r="D20" s="35">
        <v>1</v>
      </c>
      <c r="E20" s="34"/>
      <c r="F20" s="31">
        <f>E20*D20</f>
        <v>0</v>
      </c>
      <c r="G20" s="33">
        <v>0.18</v>
      </c>
      <c r="H20" s="32">
        <f>G20*F20</f>
        <v>0</v>
      </c>
      <c r="I20" s="31">
        <f>H20+F20</f>
        <v>0</v>
      </c>
      <c r="J20" s="30"/>
    </row>
    <row r="21" spans="1:10" s="22" customFormat="1" ht="15" customHeight="1">
      <c r="A21" s="320" t="s">
        <v>20</v>
      </c>
      <c r="B21" s="321"/>
      <c r="C21" s="322"/>
      <c r="D21" s="28"/>
      <c r="E21" s="26">
        <f>SUM(E16:E18)</f>
        <v>3215</v>
      </c>
      <c r="F21" s="26">
        <f>SUM(F16:F20)</f>
        <v>21539</v>
      </c>
      <c r="G21" s="27"/>
      <c r="H21" s="26">
        <f>SUM(H16:H20)</f>
        <v>3877.0199999999995</v>
      </c>
      <c r="I21" s="26">
        <f>SUM(I16:I20)</f>
        <v>25416.02</v>
      </c>
      <c r="J21" s="25"/>
    </row>
    <row r="22" spans="1:10" s="22" customFormat="1" ht="17.25" customHeight="1">
      <c r="A22" s="320" t="s">
        <v>19</v>
      </c>
      <c r="B22" s="321"/>
      <c r="C22" s="321"/>
      <c r="D22" s="321"/>
      <c r="E22" s="321"/>
      <c r="F22" s="321"/>
      <c r="G22" s="321"/>
      <c r="H22" s="322"/>
      <c r="I22" s="24">
        <f>ROUND(I21,0)</f>
        <v>25416</v>
      </c>
      <c r="J22" s="23"/>
    </row>
    <row r="23" spans="1:10" s="20" customFormat="1" ht="17.25" customHeight="1">
      <c r="A23" s="323" t="s">
        <v>74</v>
      </c>
      <c r="B23" s="324"/>
      <c r="C23" s="324"/>
      <c r="D23" s="324"/>
      <c r="E23" s="324"/>
      <c r="F23" s="324"/>
      <c r="G23" s="324"/>
      <c r="H23" s="324"/>
      <c r="I23" s="325"/>
      <c r="J23" s="21"/>
    </row>
    <row r="24" spans="1:10" s="15" customFormat="1" ht="17.25" customHeight="1">
      <c r="A24" s="19"/>
      <c r="B24" s="19"/>
      <c r="C24" s="18" t="s">
        <v>17</v>
      </c>
      <c r="D24" s="18"/>
      <c r="E24" s="18"/>
      <c r="F24" s="18"/>
      <c r="G24" s="18"/>
      <c r="H24" s="18"/>
      <c r="I24" s="17"/>
      <c r="J24" s="16"/>
    </row>
    <row r="25" spans="1:10" s="3" customFormat="1" ht="11.25">
      <c r="A25" s="14" t="s">
        <v>16</v>
      </c>
      <c r="B25" s="12"/>
      <c r="C25" s="12"/>
      <c r="D25" s="12"/>
      <c r="E25" s="12"/>
      <c r="F25" s="12"/>
      <c r="G25" s="12"/>
      <c r="H25" s="13"/>
      <c r="I25" s="12"/>
    </row>
    <row r="26" spans="1:10" s="6" customFormat="1" ht="13.5" customHeight="1">
      <c r="A26" s="11" t="s">
        <v>15</v>
      </c>
      <c r="B26" s="9"/>
      <c r="C26" s="10"/>
      <c r="D26" s="9"/>
      <c r="E26" s="8"/>
      <c r="F26" s="8"/>
      <c r="G26" s="3"/>
    </row>
    <row r="27" spans="1:10" s="6" customFormat="1" ht="11.25" customHeight="1">
      <c r="A27" s="5">
        <v>1</v>
      </c>
      <c r="B27" s="7" t="s">
        <v>14</v>
      </c>
      <c r="C27" s="326" t="s">
        <v>13</v>
      </c>
      <c r="D27" s="326"/>
      <c r="E27" s="326"/>
      <c r="F27" s="326"/>
      <c r="G27" s="326"/>
    </row>
    <row r="28" spans="1:10" s="6" customFormat="1" ht="13.5" customHeight="1">
      <c r="A28" s="5">
        <v>2</v>
      </c>
      <c r="B28" s="7" t="s">
        <v>12</v>
      </c>
      <c r="C28" s="326" t="s">
        <v>11</v>
      </c>
      <c r="D28" s="326"/>
      <c r="E28" s="326"/>
      <c r="F28" s="326"/>
      <c r="G28" s="326"/>
    </row>
    <row r="29" spans="1:10" s="6" customFormat="1" ht="12" customHeight="1">
      <c r="A29" s="5">
        <v>3</v>
      </c>
      <c r="B29" s="7" t="s">
        <v>10</v>
      </c>
      <c r="C29" s="326" t="s">
        <v>9</v>
      </c>
      <c r="D29" s="326"/>
      <c r="E29" s="326"/>
      <c r="F29" s="326"/>
      <c r="G29" s="326"/>
      <c r="H29" s="327" t="s">
        <v>8</v>
      </c>
      <c r="I29" s="327"/>
    </row>
    <row r="30" spans="1:10" s="6" customFormat="1" ht="11.25" customHeight="1">
      <c r="A30" s="5">
        <v>4</v>
      </c>
      <c r="B30" s="7" t="s">
        <v>7</v>
      </c>
      <c r="C30" s="326" t="s">
        <v>6</v>
      </c>
      <c r="D30" s="326"/>
      <c r="E30" s="326"/>
      <c r="F30" s="326"/>
      <c r="G30" s="326"/>
    </row>
    <row r="31" spans="1:10" s="6" customFormat="1" ht="11.25" customHeight="1">
      <c r="A31" s="5">
        <v>5</v>
      </c>
      <c r="B31" s="7" t="s">
        <v>5</v>
      </c>
      <c r="C31" s="326" t="s">
        <v>4</v>
      </c>
      <c r="D31" s="326"/>
      <c r="E31" s="326"/>
      <c r="F31" s="326"/>
      <c r="G31" s="326"/>
      <c r="H31" s="327" t="s">
        <v>3</v>
      </c>
      <c r="I31" s="327"/>
    </row>
    <row r="32" spans="1:10" s="3" customFormat="1" ht="26.25" customHeight="1">
      <c r="A32" s="5">
        <v>6</v>
      </c>
      <c r="B32" s="4" t="s">
        <v>2</v>
      </c>
      <c r="C32" s="328" t="s">
        <v>1</v>
      </c>
      <c r="D32" s="328"/>
      <c r="E32" s="328"/>
      <c r="F32" s="328"/>
      <c r="G32" s="328"/>
      <c r="H32" s="327" t="s">
        <v>0</v>
      </c>
      <c r="I32" s="327"/>
    </row>
  </sheetData>
  <mergeCells count="26">
    <mergeCell ref="A6:I6"/>
    <mergeCell ref="A1:I1"/>
    <mergeCell ref="A2:I2"/>
    <mergeCell ref="A3:I3"/>
    <mergeCell ref="A4:I4"/>
    <mergeCell ref="A5:I5"/>
    <mergeCell ref="A7:I7"/>
    <mergeCell ref="F8:G8"/>
    <mergeCell ref="H8:I8"/>
    <mergeCell ref="A12:I12"/>
    <mergeCell ref="A13:B13"/>
    <mergeCell ref="D13:E13"/>
    <mergeCell ref="F13:I13"/>
    <mergeCell ref="C32:G32"/>
    <mergeCell ref="H32:I32"/>
    <mergeCell ref="F14:H14"/>
    <mergeCell ref="A21:C21"/>
    <mergeCell ref="A22:H22"/>
    <mergeCell ref="A23:I23"/>
    <mergeCell ref="C27:G27"/>
    <mergeCell ref="C28:G28"/>
    <mergeCell ref="C29:G29"/>
    <mergeCell ref="H29:I29"/>
    <mergeCell ref="C30:G30"/>
    <mergeCell ref="C31:G31"/>
    <mergeCell ref="H31:I31"/>
  </mergeCells>
  <conditionalFormatting sqref="B20">
    <cfRule type="duplicateValues" dxfId="30" priority="16"/>
  </conditionalFormatting>
  <conditionalFormatting sqref="B20">
    <cfRule type="duplicateValues" dxfId="29" priority="17"/>
    <cfRule type="duplicateValues" dxfId="28" priority="18"/>
  </conditionalFormatting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selection activeCell="J18" sqref="J18"/>
    </sheetView>
  </sheetViews>
  <sheetFormatPr defaultRowHeight="15"/>
  <cols>
    <col min="1" max="1" width="5.28515625" customWidth="1"/>
    <col min="2" max="2" width="20.140625" style="2" customWidth="1"/>
    <col min="3" max="3" width="37" style="2" bestFit="1" customWidth="1"/>
    <col min="4" max="4" width="6.28515625" bestFit="1" customWidth="1"/>
    <col min="5" max="5" width="13.5703125" style="95" bestFit="1" customWidth="1"/>
    <col min="6" max="6" width="15.42578125" style="95" bestFit="1" customWidth="1"/>
    <col min="7" max="7" width="6.140625" style="95" customWidth="1"/>
    <col min="8" max="8" width="13.28515625" style="95" customWidth="1"/>
    <col min="9" max="9" width="15.140625" style="95" customWidth="1"/>
    <col min="10" max="10" width="14.85546875" bestFit="1" customWidth="1"/>
    <col min="11" max="11" width="13" bestFit="1" customWidth="1"/>
    <col min="12" max="12" width="11.85546875" bestFit="1" customWidth="1"/>
    <col min="13" max="13" width="13.14062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4" customHeight="1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19.5" customHeight="1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97</v>
      </c>
      <c r="F8" s="312" t="s">
        <v>45</v>
      </c>
      <c r="G8" s="312"/>
      <c r="H8" s="313">
        <v>46115</v>
      </c>
      <c r="I8" s="313"/>
    </row>
    <row r="9" spans="1:10" s="54" customFormat="1" ht="11.2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36.75" customHeight="1">
      <c r="B10" s="60" t="s">
        <v>96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29"/>
      <c r="G13" s="330"/>
      <c r="H13" s="330"/>
      <c r="I13" s="331"/>
    </row>
    <row r="14" spans="1:10" s="29" customFormat="1" ht="28.5" customHeight="1">
      <c r="A14" s="46" t="s">
        <v>33</v>
      </c>
      <c r="B14" s="45" t="s">
        <v>32</v>
      </c>
      <c r="C14" s="45" t="s">
        <v>31</v>
      </c>
      <c r="D14" s="45" t="s">
        <v>30</v>
      </c>
      <c r="E14" s="77" t="s">
        <v>29</v>
      </c>
      <c r="F14" s="77" t="s">
        <v>28</v>
      </c>
      <c r="G14" s="77" t="s">
        <v>27</v>
      </c>
      <c r="H14" s="77" t="s">
        <v>26</v>
      </c>
      <c r="I14" s="77" t="s">
        <v>25</v>
      </c>
    </row>
    <row r="15" spans="1:10" s="47" customFormat="1" ht="18" customHeight="1">
      <c r="A15" s="78"/>
      <c r="B15" s="79" t="s">
        <v>94</v>
      </c>
      <c r="C15" s="80" t="s">
        <v>80</v>
      </c>
      <c r="D15" s="78"/>
      <c r="E15" s="81"/>
      <c r="F15" s="332" t="s">
        <v>81</v>
      </c>
      <c r="G15" s="333"/>
      <c r="H15" s="333"/>
      <c r="I15" s="82"/>
    </row>
    <row r="16" spans="1:10" s="22" customFormat="1" ht="15" customHeight="1">
      <c r="A16" s="19">
        <v>1</v>
      </c>
      <c r="B16" s="83" t="s">
        <v>82</v>
      </c>
      <c r="C16" s="84" t="s">
        <v>83</v>
      </c>
      <c r="D16" s="85">
        <v>2</v>
      </c>
      <c r="E16" s="86">
        <v>11720</v>
      </c>
      <c r="F16" s="87">
        <f>E16*D16</f>
        <v>23440</v>
      </c>
      <c r="G16" s="88">
        <v>0.18</v>
      </c>
      <c r="H16" s="87">
        <f>F16*18%</f>
        <v>4219.2</v>
      </c>
      <c r="I16" s="87">
        <f>H16+F16</f>
        <v>27659.200000000001</v>
      </c>
      <c r="J16" s="25"/>
    </row>
    <row r="17" spans="1:10" s="22" customFormat="1" ht="15" customHeight="1">
      <c r="A17" s="19">
        <v>2</v>
      </c>
      <c r="B17" s="84" t="s">
        <v>84</v>
      </c>
      <c r="C17" s="84" t="s">
        <v>85</v>
      </c>
      <c r="D17" s="85">
        <v>3</v>
      </c>
      <c r="E17" s="86">
        <v>4229</v>
      </c>
      <c r="F17" s="87">
        <f>E17*D17</f>
        <v>12687</v>
      </c>
      <c r="G17" s="88">
        <v>0.18</v>
      </c>
      <c r="H17" s="87">
        <f>F17*18%</f>
        <v>2283.66</v>
      </c>
      <c r="I17" s="87">
        <f>H17+F17</f>
        <v>14970.66</v>
      </c>
      <c r="J17" s="25"/>
    </row>
    <row r="18" spans="1:10" s="22" customFormat="1" ht="15" customHeight="1">
      <c r="A18" s="19">
        <v>3</v>
      </c>
      <c r="B18" s="84" t="s">
        <v>86</v>
      </c>
      <c r="C18" s="84" t="s">
        <v>87</v>
      </c>
      <c r="D18" s="85">
        <v>1</v>
      </c>
      <c r="E18" s="86">
        <v>2117</v>
      </c>
      <c r="F18" s="87">
        <f>E18*D18</f>
        <v>2117</v>
      </c>
      <c r="G18" s="88">
        <v>0.18</v>
      </c>
      <c r="H18" s="87">
        <f>F18*18%</f>
        <v>381.06</v>
      </c>
      <c r="I18" s="87">
        <f>H18+F18</f>
        <v>2498.06</v>
      </c>
      <c r="J18" s="25"/>
    </row>
    <row r="19" spans="1:10" s="22" customFormat="1" ht="15" customHeight="1">
      <c r="A19" s="19">
        <v>4</v>
      </c>
      <c r="B19" s="83" t="s">
        <v>24</v>
      </c>
      <c r="C19" s="89" t="s">
        <v>88</v>
      </c>
      <c r="D19" s="85">
        <v>1</v>
      </c>
      <c r="E19" s="86">
        <v>7988</v>
      </c>
      <c r="F19" s="87">
        <f>E19*D19</f>
        <v>7988</v>
      </c>
      <c r="G19" s="88">
        <v>0.18</v>
      </c>
      <c r="H19" s="87">
        <f>F19*18%</f>
        <v>1437.84</v>
      </c>
      <c r="I19" s="87">
        <f>H19+F19</f>
        <v>9425.84</v>
      </c>
      <c r="J19" s="25"/>
    </row>
    <row r="20" spans="1:10" s="22" customFormat="1" ht="15" customHeight="1">
      <c r="A20" s="19">
        <v>5</v>
      </c>
      <c r="B20" s="90" t="s">
        <v>89</v>
      </c>
      <c r="C20" s="89" t="s">
        <v>90</v>
      </c>
      <c r="D20" s="91">
        <v>1</v>
      </c>
      <c r="E20" s="86">
        <v>19694</v>
      </c>
      <c r="F20" s="87">
        <f>E20*D20</f>
        <v>19694</v>
      </c>
      <c r="G20" s="88">
        <v>0.18</v>
      </c>
      <c r="H20" s="87">
        <f>F20*18%</f>
        <v>3544.92</v>
      </c>
      <c r="I20" s="87">
        <f>H20+F20</f>
        <v>23238.92</v>
      </c>
      <c r="J20" s="25"/>
    </row>
    <row r="21" spans="1:10" s="22" customFormat="1" ht="15" customHeight="1">
      <c r="A21" s="19"/>
      <c r="B21" s="19"/>
      <c r="C21" s="19" t="s">
        <v>91</v>
      </c>
      <c r="D21" s="19"/>
      <c r="E21" s="92"/>
      <c r="F21" s="92">
        <f>SUM(F16:F20)</f>
        <v>65926</v>
      </c>
      <c r="G21" s="19"/>
      <c r="H21" s="92">
        <f>SUM(H16:H20)</f>
        <v>11866.68</v>
      </c>
      <c r="I21" s="92">
        <f>SUM(I16:I20)</f>
        <v>77792.679999999993</v>
      </c>
      <c r="J21" s="25"/>
    </row>
    <row r="22" spans="1:10" s="22" customFormat="1" ht="15" customHeight="1">
      <c r="A22" s="93"/>
      <c r="B22" s="93"/>
      <c r="C22" s="93"/>
      <c r="D22" s="93"/>
      <c r="E22" s="93"/>
      <c r="F22" s="93"/>
      <c r="G22" s="93"/>
      <c r="H22" s="94" t="s">
        <v>19</v>
      </c>
      <c r="I22" s="24">
        <f>ROUND(I21,0)</f>
        <v>77793</v>
      </c>
      <c r="J22" s="25"/>
    </row>
    <row r="23" spans="1:10" s="22" customFormat="1" ht="15" customHeight="1">
      <c r="A23" s="334" t="s">
        <v>95</v>
      </c>
      <c r="B23" s="334"/>
      <c r="C23" s="334"/>
      <c r="D23" s="334"/>
      <c r="E23" s="334"/>
      <c r="F23" s="334"/>
      <c r="G23" s="334"/>
      <c r="H23" s="334"/>
      <c r="I23" s="334"/>
      <c r="J23" s="25"/>
    </row>
    <row r="24" spans="1:10" s="3" customFormat="1" ht="11.25">
      <c r="A24" s="14" t="s">
        <v>16</v>
      </c>
      <c r="B24" s="12"/>
      <c r="C24" s="12"/>
      <c r="D24" s="12"/>
      <c r="E24" s="12"/>
      <c r="F24" s="12"/>
      <c r="G24" s="12"/>
      <c r="H24" s="13"/>
      <c r="I24" s="12"/>
    </row>
    <row r="25" spans="1:10" s="6" customFormat="1" ht="13.5" customHeight="1">
      <c r="A25" s="11" t="s">
        <v>15</v>
      </c>
      <c r="B25" s="9"/>
      <c r="C25" s="10"/>
      <c r="D25" s="9"/>
      <c r="E25" s="8"/>
      <c r="F25" s="8"/>
      <c r="G25" s="3"/>
    </row>
    <row r="26" spans="1:10" s="6" customFormat="1" ht="11.25" customHeight="1">
      <c r="A26" s="5">
        <v>1</v>
      </c>
      <c r="B26" s="7" t="s">
        <v>14</v>
      </c>
      <c r="C26" s="326" t="s">
        <v>92</v>
      </c>
      <c r="D26" s="326"/>
      <c r="E26" s="326"/>
      <c r="F26" s="326"/>
      <c r="G26" s="326"/>
    </row>
    <row r="27" spans="1:10" s="6" customFormat="1" ht="13.5" customHeight="1">
      <c r="A27" s="5">
        <v>2</v>
      </c>
      <c r="B27" s="7" t="s">
        <v>12</v>
      </c>
      <c r="C27" s="326" t="s">
        <v>11</v>
      </c>
      <c r="D27" s="326"/>
      <c r="E27" s="326"/>
      <c r="F27" s="326"/>
      <c r="G27" s="326"/>
    </row>
    <row r="28" spans="1:10" s="6" customFormat="1" ht="12" customHeight="1">
      <c r="A28" s="5">
        <v>3</v>
      </c>
      <c r="B28" s="7" t="s">
        <v>10</v>
      </c>
      <c r="C28" s="326" t="s">
        <v>9</v>
      </c>
      <c r="D28" s="326"/>
      <c r="E28" s="326"/>
      <c r="F28" s="326"/>
      <c r="G28" s="326"/>
      <c r="H28" s="327" t="s">
        <v>8</v>
      </c>
      <c r="I28" s="327"/>
    </row>
    <row r="29" spans="1:10" s="6" customFormat="1" ht="11.25" customHeight="1">
      <c r="A29" s="5">
        <v>4</v>
      </c>
      <c r="B29" s="7" t="s">
        <v>7</v>
      </c>
      <c r="C29" s="326" t="s">
        <v>93</v>
      </c>
      <c r="D29" s="326"/>
      <c r="E29" s="326"/>
      <c r="F29" s="326"/>
      <c r="G29" s="326"/>
    </row>
    <row r="30" spans="1:10" s="6" customFormat="1" ht="11.25" customHeight="1">
      <c r="A30" s="5">
        <v>5</v>
      </c>
      <c r="B30" s="7" t="s">
        <v>5</v>
      </c>
      <c r="C30" s="326" t="s">
        <v>4</v>
      </c>
      <c r="D30" s="326"/>
      <c r="E30" s="326"/>
      <c r="F30" s="326"/>
      <c r="G30" s="326"/>
      <c r="H30" s="327" t="s">
        <v>3</v>
      </c>
      <c r="I30" s="327"/>
    </row>
    <row r="31" spans="1:10" s="3" customFormat="1" ht="26.25" customHeight="1">
      <c r="A31" s="5">
        <v>6</v>
      </c>
      <c r="B31" s="4" t="s">
        <v>2</v>
      </c>
      <c r="C31" s="328" t="s">
        <v>1</v>
      </c>
      <c r="D31" s="328"/>
      <c r="E31" s="328"/>
      <c r="F31" s="328"/>
      <c r="G31" s="328"/>
      <c r="H31" s="327" t="s">
        <v>0</v>
      </c>
      <c r="I31" s="327"/>
    </row>
    <row r="32" spans="1:10" s="2" customFormat="1">
      <c r="A32" s="5"/>
      <c r="D32"/>
      <c r="E32" s="95"/>
      <c r="F32" s="95"/>
      <c r="G32" s="95"/>
      <c r="H32" s="95"/>
      <c r="I32" s="95"/>
      <c r="J32"/>
    </row>
  </sheetData>
  <mergeCells count="24">
    <mergeCell ref="C29:G29"/>
    <mergeCell ref="C30:G30"/>
    <mergeCell ref="H30:I30"/>
    <mergeCell ref="C31:G31"/>
    <mergeCell ref="H31:I31"/>
    <mergeCell ref="F15:H15"/>
    <mergeCell ref="A23:I23"/>
    <mergeCell ref="C26:G26"/>
    <mergeCell ref="C27:G27"/>
    <mergeCell ref="C28:G28"/>
    <mergeCell ref="H28:I28"/>
    <mergeCell ref="A7:I7"/>
    <mergeCell ref="F8:G8"/>
    <mergeCell ref="H8:I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0"/>
  <sheetViews>
    <sheetView workbookViewId="0">
      <selection activeCell="A20" sqref="A20:H20"/>
    </sheetView>
  </sheetViews>
  <sheetFormatPr defaultRowHeight="15"/>
  <cols>
    <col min="1" max="1" width="5.28515625" customWidth="1"/>
    <col min="2" max="2" width="30.8554687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104</v>
      </c>
      <c r="F8" s="312" t="s">
        <v>45</v>
      </c>
      <c r="G8" s="312"/>
      <c r="H8" s="313">
        <v>46118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53.25" customHeight="1">
      <c r="B10" s="60" t="s">
        <v>98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74"/>
      <c r="B14" s="52" t="s">
        <v>36</v>
      </c>
      <c r="C14" s="51" t="s">
        <v>35</v>
      </c>
      <c r="D14" s="74"/>
      <c r="E14" s="49"/>
      <c r="F14" s="317" t="s">
        <v>34</v>
      </c>
      <c r="G14" s="318"/>
      <c r="H14" s="318"/>
      <c r="I14" s="75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>
      <c r="A16" s="43">
        <v>1</v>
      </c>
      <c r="B16" s="41" t="s">
        <v>22</v>
      </c>
      <c r="C16" s="41" t="s">
        <v>101</v>
      </c>
      <c r="D16" s="35">
        <v>2</v>
      </c>
      <c r="E16" s="40">
        <f>3575</f>
        <v>3575</v>
      </c>
      <c r="F16" s="31">
        <f>E16*D16</f>
        <v>7150</v>
      </c>
      <c r="G16" s="33">
        <v>0.18</v>
      </c>
      <c r="H16" s="32">
        <f>G16*F16</f>
        <v>1287</v>
      </c>
      <c r="I16" s="31">
        <f>H16+F16</f>
        <v>8437</v>
      </c>
      <c r="J16" s="39"/>
    </row>
    <row r="17" spans="1:11" s="29" customFormat="1" ht="25.5">
      <c r="A17" s="37">
        <v>2</v>
      </c>
      <c r="B17" s="65" t="s">
        <v>99</v>
      </c>
      <c r="C17" s="36" t="s">
        <v>100</v>
      </c>
      <c r="D17" s="35">
        <v>1</v>
      </c>
      <c r="E17" s="34">
        <f>52212</f>
        <v>52212</v>
      </c>
      <c r="F17" s="31">
        <f>E17*D17</f>
        <v>52212</v>
      </c>
      <c r="G17" s="33">
        <v>0.18</v>
      </c>
      <c r="H17" s="32">
        <f>G17*F17</f>
        <v>9398.16</v>
      </c>
      <c r="I17" s="31">
        <f>H17+F17</f>
        <v>61610.16</v>
      </c>
      <c r="J17" s="30"/>
    </row>
    <row r="18" spans="1:11" s="29" customFormat="1">
      <c r="A18" s="43"/>
      <c r="B18" s="99"/>
      <c r="C18" s="100" t="s">
        <v>102</v>
      </c>
      <c r="D18" s="35">
        <v>1</v>
      </c>
      <c r="E18" s="34">
        <v>500</v>
      </c>
      <c r="F18" s="31">
        <f>E18*D18</f>
        <v>500</v>
      </c>
      <c r="G18" s="33">
        <v>0.18</v>
      </c>
      <c r="H18" s="32">
        <f>G18*F18</f>
        <v>90</v>
      </c>
      <c r="I18" s="31">
        <f>H18+F18</f>
        <v>590</v>
      </c>
      <c r="J18" s="30"/>
    </row>
    <row r="19" spans="1:11" s="22" customFormat="1" ht="15" customHeight="1">
      <c r="A19" s="320" t="s">
        <v>20</v>
      </c>
      <c r="B19" s="321"/>
      <c r="C19" s="322"/>
      <c r="D19" s="28"/>
      <c r="E19" s="26">
        <f>SUM(E16:E18)</f>
        <v>56287</v>
      </c>
      <c r="F19" s="26">
        <f>SUM(F16:F18)</f>
        <v>59862</v>
      </c>
      <c r="G19" s="27"/>
      <c r="H19" s="26">
        <f>SUM(H16:H18)</f>
        <v>10775.16</v>
      </c>
      <c r="I19" s="26">
        <f>SUM(I16:I18)</f>
        <v>70637.16</v>
      </c>
      <c r="J19" s="25"/>
    </row>
    <row r="20" spans="1:11" s="22" customFormat="1" ht="17.25" customHeight="1">
      <c r="A20" s="320" t="s">
        <v>19</v>
      </c>
      <c r="B20" s="321"/>
      <c r="C20" s="321"/>
      <c r="D20" s="321"/>
      <c r="E20" s="321"/>
      <c r="F20" s="321"/>
      <c r="G20" s="321"/>
      <c r="H20" s="322"/>
      <c r="I20" s="24">
        <f>ROUND(I19,0)</f>
        <v>70637</v>
      </c>
      <c r="J20" s="23"/>
      <c r="K20" s="73"/>
    </row>
    <row r="21" spans="1:11" s="20" customFormat="1" ht="17.25" customHeight="1">
      <c r="A21" s="323" t="s">
        <v>103</v>
      </c>
      <c r="B21" s="324"/>
      <c r="C21" s="324"/>
      <c r="D21" s="324"/>
      <c r="E21" s="324"/>
      <c r="F21" s="324"/>
      <c r="G21" s="324"/>
      <c r="H21" s="324"/>
      <c r="I21" s="325"/>
      <c r="J21" s="21"/>
    </row>
    <row r="22" spans="1:11" s="15" customFormat="1" ht="17.25" customHeight="1">
      <c r="A22" s="19"/>
      <c r="B22" s="19"/>
      <c r="C22" s="18" t="s">
        <v>17</v>
      </c>
      <c r="D22" s="18"/>
      <c r="E22" s="18"/>
      <c r="F22" s="18"/>
      <c r="G22" s="18"/>
      <c r="H22" s="18"/>
      <c r="I22" s="17"/>
      <c r="J22" s="16"/>
    </row>
    <row r="23" spans="1:11" s="3" customFormat="1" ht="11.25">
      <c r="A23" s="14" t="s">
        <v>16</v>
      </c>
      <c r="B23" s="12"/>
      <c r="C23" s="12"/>
      <c r="D23" s="12"/>
      <c r="E23" s="12"/>
      <c r="F23" s="12"/>
      <c r="G23" s="12"/>
      <c r="H23" s="13"/>
      <c r="I23" s="12"/>
    </row>
    <row r="24" spans="1:11" s="6" customFormat="1" ht="13.5" customHeight="1">
      <c r="A24" s="11" t="s">
        <v>15</v>
      </c>
      <c r="B24" s="9"/>
      <c r="C24" s="10"/>
      <c r="D24" s="9"/>
      <c r="E24" s="8"/>
      <c r="F24" s="8"/>
      <c r="G24" s="3"/>
    </row>
    <row r="25" spans="1:11" s="6" customFormat="1" ht="11.25" customHeight="1">
      <c r="A25" s="5">
        <v>1</v>
      </c>
      <c r="B25" s="7" t="s">
        <v>14</v>
      </c>
      <c r="C25" s="326" t="s">
        <v>13</v>
      </c>
      <c r="D25" s="326"/>
      <c r="E25" s="326"/>
      <c r="F25" s="326"/>
      <c r="G25" s="326"/>
    </row>
    <row r="26" spans="1:11" s="6" customFormat="1" ht="13.5" customHeight="1">
      <c r="A26" s="5">
        <v>2</v>
      </c>
      <c r="B26" s="7" t="s">
        <v>12</v>
      </c>
      <c r="C26" s="326" t="s">
        <v>11</v>
      </c>
      <c r="D26" s="326"/>
      <c r="E26" s="326"/>
      <c r="F26" s="326"/>
      <c r="G26" s="326"/>
    </row>
    <row r="27" spans="1:11" s="6" customFormat="1" ht="12" customHeight="1">
      <c r="A27" s="5">
        <v>3</v>
      </c>
      <c r="B27" s="7" t="s">
        <v>10</v>
      </c>
      <c r="C27" s="326" t="s">
        <v>9</v>
      </c>
      <c r="D27" s="326"/>
      <c r="E27" s="326"/>
      <c r="F27" s="326"/>
      <c r="G27" s="326"/>
      <c r="H27" s="327" t="s">
        <v>8</v>
      </c>
      <c r="I27" s="327"/>
    </row>
    <row r="28" spans="1:11" s="6" customFormat="1" ht="11.25" customHeight="1">
      <c r="A28" s="5">
        <v>4</v>
      </c>
      <c r="B28" s="7" t="s">
        <v>7</v>
      </c>
      <c r="C28" s="326" t="s">
        <v>6</v>
      </c>
      <c r="D28" s="326"/>
      <c r="E28" s="326"/>
      <c r="F28" s="326"/>
      <c r="G28" s="326"/>
    </row>
    <row r="29" spans="1:11" s="6" customFormat="1" ht="11.25" customHeight="1">
      <c r="A29" s="5">
        <v>5</v>
      </c>
      <c r="B29" s="7" t="s">
        <v>5</v>
      </c>
      <c r="C29" s="326" t="s">
        <v>4</v>
      </c>
      <c r="D29" s="326"/>
      <c r="E29" s="326"/>
      <c r="F29" s="326"/>
      <c r="G29" s="326"/>
      <c r="H29" s="327" t="s">
        <v>3</v>
      </c>
      <c r="I29" s="327"/>
    </row>
    <row r="30" spans="1:11" s="3" customFormat="1" ht="26.25" customHeight="1">
      <c r="A30" s="5">
        <v>6</v>
      </c>
      <c r="B30" s="76" t="s">
        <v>2</v>
      </c>
      <c r="C30" s="328" t="s">
        <v>1</v>
      </c>
      <c r="D30" s="328"/>
      <c r="E30" s="328"/>
      <c r="F30" s="328"/>
      <c r="G30" s="328"/>
      <c r="H30" s="327" t="s">
        <v>0</v>
      </c>
      <c r="I30" s="327"/>
    </row>
  </sheetData>
  <mergeCells count="26">
    <mergeCell ref="A6:I6"/>
    <mergeCell ref="A1:I1"/>
    <mergeCell ref="A2:I2"/>
    <mergeCell ref="A3:I3"/>
    <mergeCell ref="A4:I4"/>
    <mergeCell ref="A5:I5"/>
    <mergeCell ref="A7:I7"/>
    <mergeCell ref="F8:G8"/>
    <mergeCell ref="H8:I8"/>
    <mergeCell ref="A12:I12"/>
    <mergeCell ref="A13:B13"/>
    <mergeCell ref="D13:E13"/>
    <mergeCell ref="F13:I13"/>
    <mergeCell ref="C30:G30"/>
    <mergeCell ref="H30:I30"/>
    <mergeCell ref="F14:H14"/>
    <mergeCell ref="A19:C19"/>
    <mergeCell ref="A20:H20"/>
    <mergeCell ref="A21:I21"/>
    <mergeCell ref="C25:G25"/>
    <mergeCell ref="C26:G26"/>
    <mergeCell ref="C27:G27"/>
    <mergeCell ref="H27:I27"/>
    <mergeCell ref="C28:G28"/>
    <mergeCell ref="C29:G29"/>
    <mergeCell ref="H29:I29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0"/>
  <sheetViews>
    <sheetView workbookViewId="0">
      <selection activeCell="C24" sqref="C24"/>
    </sheetView>
  </sheetViews>
  <sheetFormatPr defaultRowHeight="15"/>
  <cols>
    <col min="1" max="1" width="5.28515625" customWidth="1"/>
    <col min="2" max="2" width="26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108</v>
      </c>
      <c r="F8" s="312" t="s">
        <v>45</v>
      </c>
      <c r="G8" s="312"/>
      <c r="H8" s="313">
        <v>46118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53.25" customHeight="1">
      <c r="B10" s="60" t="s">
        <v>109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74"/>
      <c r="B14" s="52" t="s">
        <v>36</v>
      </c>
      <c r="C14" s="51" t="s">
        <v>35</v>
      </c>
      <c r="D14" s="74"/>
      <c r="E14" s="49"/>
      <c r="F14" s="317" t="s">
        <v>106</v>
      </c>
      <c r="G14" s="318"/>
      <c r="H14" s="318"/>
      <c r="I14" s="75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>
      <c r="A16" s="43">
        <v>1</v>
      </c>
      <c r="B16" s="42" t="s">
        <v>24</v>
      </c>
      <c r="C16" s="41" t="s">
        <v>23</v>
      </c>
      <c r="D16" s="35">
        <v>2</v>
      </c>
      <c r="E16" s="40">
        <v>7988</v>
      </c>
      <c r="F16" s="31">
        <f>E16*D16</f>
        <v>15976</v>
      </c>
      <c r="G16" s="33">
        <v>0.18</v>
      </c>
      <c r="H16" s="32">
        <f>G16*F16</f>
        <v>2875.68</v>
      </c>
      <c r="I16" s="31">
        <f>H16+F16</f>
        <v>18851.68</v>
      </c>
      <c r="J16" s="39"/>
    </row>
    <row r="17" spans="1:11" s="29" customFormat="1">
      <c r="A17" s="37">
        <v>2</v>
      </c>
      <c r="B17" s="65" t="s">
        <v>135</v>
      </c>
      <c r="C17" s="36" t="s">
        <v>105</v>
      </c>
      <c r="D17" s="35">
        <v>1</v>
      </c>
      <c r="E17" s="34">
        <v>21972</v>
      </c>
      <c r="F17" s="31">
        <f>E17*D17</f>
        <v>21972</v>
      </c>
      <c r="G17" s="33">
        <v>0.18</v>
      </c>
      <c r="H17" s="32">
        <f>G17*F17</f>
        <v>3954.96</v>
      </c>
      <c r="I17" s="31">
        <f>H17+F17</f>
        <v>25926.959999999999</v>
      </c>
      <c r="J17" s="30"/>
    </row>
    <row r="18" spans="1:11" s="29" customFormat="1">
      <c r="A18" s="43"/>
      <c r="B18" s="99"/>
      <c r="C18" s="100" t="s">
        <v>102</v>
      </c>
      <c r="D18" s="35">
        <v>1</v>
      </c>
      <c r="E18" s="34">
        <v>1200</v>
      </c>
      <c r="F18" s="31">
        <f>E18*D18</f>
        <v>1200</v>
      </c>
      <c r="G18" s="33">
        <v>0.18</v>
      </c>
      <c r="H18" s="32">
        <f>G18*F18</f>
        <v>216</v>
      </c>
      <c r="I18" s="31">
        <f>H18+F18</f>
        <v>1416</v>
      </c>
      <c r="J18" s="30"/>
    </row>
    <row r="19" spans="1:11" s="22" customFormat="1" ht="15" customHeight="1">
      <c r="A19" s="320" t="s">
        <v>20</v>
      </c>
      <c r="B19" s="321"/>
      <c r="C19" s="322"/>
      <c r="D19" s="28"/>
      <c r="E19" s="26">
        <f>SUM(E16:E18)</f>
        <v>31160</v>
      </c>
      <c r="F19" s="26">
        <f>SUM(F16:F18)</f>
        <v>39148</v>
      </c>
      <c r="G19" s="27"/>
      <c r="H19" s="26">
        <f>SUM(H16:H18)</f>
        <v>7046.6399999999994</v>
      </c>
      <c r="I19" s="26">
        <f>SUM(I16:I18)</f>
        <v>46194.64</v>
      </c>
      <c r="J19" s="25"/>
    </row>
    <row r="20" spans="1:11" s="22" customFormat="1" ht="17.25" customHeight="1">
      <c r="A20" s="320" t="s">
        <v>19</v>
      </c>
      <c r="B20" s="321"/>
      <c r="C20" s="321"/>
      <c r="D20" s="321"/>
      <c r="E20" s="321"/>
      <c r="F20" s="321"/>
      <c r="G20" s="321"/>
      <c r="H20" s="322"/>
      <c r="I20" s="24">
        <f>ROUND(I19,0)</f>
        <v>46195</v>
      </c>
      <c r="J20" s="23"/>
      <c r="K20" s="73"/>
    </row>
    <row r="21" spans="1:11" s="20" customFormat="1" ht="17.25" customHeight="1">
      <c r="A21" s="323" t="s">
        <v>107</v>
      </c>
      <c r="B21" s="324"/>
      <c r="C21" s="324"/>
      <c r="D21" s="324"/>
      <c r="E21" s="324"/>
      <c r="F21" s="324"/>
      <c r="G21" s="324"/>
      <c r="H21" s="324"/>
      <c r="I21" s="325"/>
      <c r="J21" s="21"/>
    </row>
    <row r="22" spans="1:11" s="15" customFormat="1" ht="17.25" customHeight="1">
      <c r="A22" s="19"/>
      <c r="B22" s="19"/>
      <c r="C22" s="18" t="s">
        <v>17</v>
      </c>
      <c r="D22" s="18"/>
      <c r="E22" s="18"/>
      <c r="F22" s="18"/>
      <c r="G22" s="18"/>
      <c r="H22" s="18"/>
      <c r="I22" s="17"/>
      <c r="J22" s="16"/>
    </row>
    <row r="23" spans="1:11" s="3" customFormat="1" ht="11.25">
      <c r="A23" s="14" t="s">
        <v>16</v>
      </c>
      <c r="B23" s="12"/>
      <c r="C23" s="12"/>
      <c r="D23" s="12"/>
      <c r="E23" s="12"/>
      <c r="F23" s="12"/>
      <c r="G23" s="12"/>
      <c r="H23" s="13"/>
      <c r="I23" s="12"/>
    </row>
    <row r="24" spans="1:11" s="6" customFormat="1" ht="13.5" customHeight="1">
      <c r="A24" s="11" t="s">
        <v>15</v>
      </c>
      <c r="B24" s="9"/>
      <c r="C24" s="10"/>
      <c r="D24" s="9"/>
      <c r="E24" s="8"/>
      <c r="F24" s="8"/>
      <c r="G24" s="3"/>
    </row>
    <row r="25" spans="1:11" s="6" customFormat="1" ht="11.25" customHeight="1">
      <c r="A25" s="5">
        <v>1</v>
      </c>
      <c r="B25" s="7" t="s">
        <v>14</v>
      </c>
      <c r="C25" s="326" t="s">
        <v>13</v>
      </c>
      <c r="D25" s="326"/>
      <c r="E25" s="326"/>
      <c r="F25" s="326"/>
      <c r="G25" s="326"/>
    </row>
    <row r="26" spans="1:11" s="6" customFormat="1" ht="13.5" customHeight="1">
      <c r="A26" s="5">
        <v>2</v>
      </c>
      <c r="B26" s="7" t="s">
        <v>12</v>
      </c>
      <c r="C26" s="326" t="s">
        <v>11</v>
      </c>
      <c r="D26" s="326"/>
      <c r="E26" s="326"/>
      <c r="F26" s="326"/>
      <c r="G26" s="326"/>
    </row>
    <row r="27" spans="1:11" s="6" customFormat="1" ht="12" customHeight="1">
      <c r="A27" s="5">
        <v>3</v>
      </c>
      <c r="B27" s="7" t="s">
        <v>10</v>
      </c>
      <c r="C27" s="326" t="s">
        <v>9</v>
      </c>
      <c r="D27" s="326"/>
      <c r="E27" s="326"/>
      <c r="F27" s="326"/>
      <c r="G27" s="326"/>
      <c r="H27" s="327" t="s">
        <v>8</v>
      </c>
      <c r="I27" s="327"/>
    </row>
    <row r="28" spans="1:11" s="6" customFormat="1" ht="11.25" customHeight="1">
      <c r="A28" s="5">
        <v>4</v>
      </c>
      <c r="B28" s="7" t="s">
        <v>7</v>
      </c>
      <c r="C28" s="326" t="s">
        <v>6</v>
      </c>
      <c r="D28" s="326"/>
      <c r="E28" s="326"/>
      <c r="F28" s="326"/>
      <c r="G28" s="326"/>
    </row>
    <row r="29" spans="1:11" s="6" customFormat="1" ht="11.25" customHeight="1">
      <c r="A29" s="5">
        <v>5</v>
      </c>
      <c r="B29" s="7" t="s">
        <v>5</v>
      </c>
      <c r="C29" s="326" t="s">
        <v>4</v>
      </c>
      <c r="D29" s="326"/>
      <c r="E29" s="326"/>
      <c r="F29" s="326"/>
      <c r="G29" s="326"/>
      <c r="H29" s="327" t="s">
        <v>3</v>
      </c>
      <c r="I29" s="327"/>
    </row>
    <row r="30" spans="1:11" s="3" customFormat="1" ht="26.25" customHeight="1">
      <c r="A30" s="5">
        <v>6</v>
      </c>
      <c r="B30" s="76" t="s">
        <v>2</v>
      </c>
      <c r="C30" s="328" t="s">
        <v>1</v>
      </c>
      <c r="D30" s="328"/>
      <c r="E30" s="328"/>
      <c r="F30" s="328"/>
      <c r="G30" s="328"/>
      <c r="H30" s="327" t="s">
        <v>0</v>
      </c>
      <c r="I30" s="327"/>
    </row>
  </sheetData>
  <mergeCells count="26">
    <mergeCell ref="A6:I6"/>
    <mergeCell ref="A1:I1"/>
    <mergeCell ref="A2:I2"/>
    <mergeCell ref="A3:I3"/>
    <mergeCell ref="A4:I4"/>
    <mergeCell ref="A5:I5"/>
    <mergeCell ref="A7:I7"/>
    <mergeCell ref="F8:G8"/>
    <mergeCell ref="H8:I8"/>
    <mergeCell ref="A12:I12"/>
    <mergeCell ref="A13:B13"/>
    <mergeCell ref="D13:E13"/>
    <mergeCell ref="F13:I13"/>
    <mergeCell ref="C30:G30"/>
    <mergeCell ref="H30:I30"/>
    <mergeCell ref="F14:H14"/>
    <mergeCell ref="A19:C19"/>
    <mergeCell ref="A20:H20"/>
    <mergeCell ref="A21:I21"/>
    <mergeCell ref="C25:G25"/>
    <mergeCell ref="C26:G26"/>
    <mergeCell ref="C27:G27"/>
    <mergeCell ref="H27:I27"/>
    <mergeCell ref="C28:G28"/>
    <mergeCell ref="C29:G29"/>
    <mergeCell ref="H29:I29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selection activeCell="H24" sqref="H24"/>
    </sheetView>
  </sheetViews>
  <sheetFormatPr defaultRowHeight="15"/>
  <cols>
    <col min="1" max="1" width="5.28515625" customWidth="1"/>
    <col min="2" max="2" width="24.2851562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115</v>
      </c>
      <c r="F8" s="312" t="s">
        <v>45</v>
      </c>
      <c r="G8" s="312"/>
      <c r="H8" s="313">
        <v>46118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53.25" customHeight="1">
      <c r="B10" s="60" t="s">
        <v>110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74"/>
      <c r="B14" s="52" t="s">
        <v>36</v>
      </c>
      <c r="C14" s="51" t="s">
        <v>114</v>
      </c>
      <c r="D14" s="74"/>
      <c r="E14" s="49"/>
      <c r="F14" s="317" t="s">
        <v>106</v>
      </c>
      <c r="G14" s="318"/>
      <c r="H14" s="318"/>
      <c r="I14" s="75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>
      <c r="A16" s="43">
        <v>1</v>
      </c>
      <c r="B16" s="42" t="s">
        <v>24</v>
      </c>
      <c r="C16" s="41" t="s">
        <v>23</v>
      </c>
      <c r="D16" s="35">
        <v>2</v>
      </c>
      <c r="E16" s="40">
        <v>7988</v>
      </c>
      <c r="F16" s="31">
        <f>E16*D16</f>
        <v>15976</v>
      </c>
      <c r="G16" s="33">
        <v>0.18</v>
      </c>
      <c r="H16" s="32">
        <f>G16*F16</f>
        <v>2875.68</v>
      </c>
      <c r="I16" s="31">
        <f>H16+F16</f>
        <v>18851.68</v>
      </c>
      <c r="J16" s="39"/>
    </row>
    <row r="17" spans="1:11" s="29" customFormat="1">
      <c r="A17" s="37">
        <v>2</v>
      </c>
      <c r="B17" s="65" t="s">
        <v>123</v>
      </c>
      <c r="C17" s="36" t="s">
        <v>105</v>
      </c>
      <c r="D17" s="35">
        <v>1</v>
      </c>
      <c r="E17" s="34">
        <v>21972</v>
      </c>
      <c r="F17" s="31">
        <f>E17*D17</f>
        <v>21972</v>
      </c>
      <c r="G17" s="33">
        <v>0.18</v>
      </c>
      <c r="H17" s="32">
        <f>G17*F17</f>
        <v>3954.96</v>
      </c>
      <c r="I17" s="31">
        <f>H17+F17</f>
        <v>25926.959999999999</v>
      </c>
      <c r="J17" s="30"/>
    </row>
    <row r="18" spans="1:11" s="29" customFormat="1">
      <c r="A18" s="43">
        <v>3</v>
      </c>
      <c r="B18" s="101" t="s">
        <v>111</v>
      </c>
      <c r="C18" s="100" t="s">
        <v>112</v>
      </c>
      <c r="D18" s="35">
        <v>1</v>
      </c>
      <c r="E18" s="34">
        <v>48360</v>
      </c>
      <c r="F18" s="31">
        <f>E18*D18</f>
        <v>48360</v>
      </c>
      <c r="G18" s="33">
        <v>0.18</v>
      </c>
      <c r="H18" s="32">
        <f>G18*F18</f>
        <v>8704.7999999999993</v>
      </c>
      <c r="I18" s="31">
        <f>H18+F18</f>
        <v>57064.800000000003</v>
      </c>
      <c r="J18" s="30"/>
    </row>
    <row r="19" spans="1:11" s="29" customFormat="1">
      <c r="A19" s="43"/>
      <c r="B19" s="99"/>
      <c r="C19" s="100" t="s">
        <v>102</v>
      </c>
      <c r="D19" s="35">
        <v>1</v>
      </c>
      <c r="E19" s="34">
        <v>1500</v>
      </c>
      <c r="F19" s="31">
        <f>E19*D19</f>
        <v>1500</v>
      </c>
      <c r="G19" s="33">
        <v>0.18</v>
      </c>
      <c r="H19" s="32">
        <f>G19*F19</f>
        <v>270</v>
      </c>
      <c r="I19" s="31">
        <f>H19+F19</f>
        <v>1770</v>
      </c>
      <c r="J19" s="30"/>
    </row>
    <row r="20" spans="1:11" s="22" customFormat="1" ht="15" customHeight="1">
      <c r="A20" s="320" t="s">
        <v>20</v>
      </c>
      <c r="B20" s="321"/>
      <c r="C20" s="322"/>
      <c r="D20" s="28"/>
      <c r="E20" s="26">
        <f>SUM(E16:E19)</f>
        <v>79820</v>
      </c>
      <c r="F20" s="26">
        <f>SUM(F16:F19)</f>
        <v>87808</v>
      </c>
      <c r="G20" s="27"/>
      <c r="H20" s="26">
        <f>SUM(H16:H19)</f>
        <v>15805.439999999999</v>
      </c>
      <c r="I20" s="26">
        <f>SUM(I16:I19)</f>
        <v>103613.44</v>
      </c>
      <c r="J20" s="25"/>
    </row>
    <row r="21" spans="1:11" s="22" customFormat="1" ht="17.25" customHeight="1">
      <c r="A21" s="320" t="s">
        <v>19</v>
      </c>
      <c r="B21" s="321"/>
      <c r="C21" s="321"/>
      <c r="D21" s="321"/>
      <c r="E21" s="321"/>
      <c r="F21" s="321"/>
      <c r="G21" s="321"/>
      <c r="H21" s="322"/>
      <c r="I21" s="24">
        <f>ROUND(I20,0)</f>
        <v>103613</v>
      </c>
      <c r="J21" s="23"/>
      <c r="K21" s="73"/>
    </row>
    <row r="22" spans="1:11" s="20" customFormat="1" ht="17.25" customHeight="1">
      <c r="A22" s="323" t="s">
        <v>113</v>
      </c>
      <c r="B22" s="324"/>
      <c r="C22" s="324"/>
      <c r="D22" s="324"/>
      <c r="E22" s="324"/>
      <c r="F22" s="324"/>
      <c r="G22" s="324"/>
      <c r="H22" s="324"/>
      <c r="I22" s="325"/>
      <c r="J22" s="21"/>
    </row>
    <row r="23" spans="1:11" s="15" customFormat="1" ht="17.25" customHeight="1">
      <c r="A23" s="19"/>
      <c r="B23" s="19"/>
      <c r="C23" s="18" t="s">
        <v>17</v>
      </c>
      <c r="D23" s="18"/>
      <c r="E23" s="18"/>
      <c r="F23" s="18"/>
      <c r="G23" s="18"/>
      <c r="H23" s="18"/>
      <c r="I23" s="17"/>
      <c r="J23" s="16"/>
    </row>
    <row r="24" spans="1:11" s="3" customFormat="1" ht="11.25">
      <c r="A24" s="14" t="s">
        <v>16</v>
      </c>
      <c r="B24" s="12"/>
      <c r="C24" s="12"/>
      <c r="D24" s="12"/>
      <c r="E24" s="12"/>
      <c r="F24" s="12"/>
      <c r="G24" s="12"/>
      <c r="H24" s="13"/>
      <c r="I24" s="12"/>
    </row>
    <row r="25" spans="1:11" s="6" customFormat="1" ht="13.5" customHeight="1">
      <c r="A25" s="11" t="s">
        <v>15</v>
      </c>
      <c r="B25" s="9"/>
      <c r="C25" s="10"/>
      <c r="D25" s="9"/>
      <c r="E25" s="8"/>
      <c r="F25" s="8"/>
      <c r="G25" s="3"/>
    </row>
    <row r="26" spans="1:11" s="6" customFormat="1" ht="11.25" customHeight="1">
      <c r="A26" s="5">
        <v>1</v>
      </c>
      <c r="B26" s="7" t="s">
        <v>14</v>
      </c>
      <c r="C26" s="326" t="s">
        <v>13</v>
      </c>
      <c r="D26" s="326"/>
      <c r="E26" s="326"/>
      <c r="F26" s="326"/>
      <c r="G26" s="326"/>
    </row>
    <row r="27" spans="1:11" s="6" customFormat="1" ht="13.5" customHeight="1">
      <c r="A27" s="5">
        <v>2</v>
      </c>
      <c r="B27" s="7" t="s">
        <v>12</v>
      </c>
      <c r="C27" s="326" t="s">
        <v>11</v>
      </c>
      <c r="D27" s="326"/>
      <c r="E27" s="326"/>
      <c r="F27" s="326"/>
      <c r="G27" s="326"/>
    </row>
    <row r="28" spans="1:11" s="6" customFormat="1" ht="12" customHeight="1">
      <c r="A28" s="5">
        <v>3</v>
      </c>
      <c r="B28" s="7" t="s">
        <v>10</v>
      </c>
      <c r="C28" s="326" t="s">
        <v>9</v>
      </c>
      <c r="D28" s="326"/>
      <c r="E28" s="326"/>
      <c r="F28" s="326"/>
      <c r="G28" s="326"/>
      <c r="H28" s="327" t="s">
        <v>8</v>
      </c>
      <c r="I28" s="327"/>
    </row>
    <row r="29" spans="1:11" s="6" customFormat="1" ht="11.25" customHeight="1">
      <c r="A29" s="5">
        <v>4</v>
      </c>
      <c r="B29" s="7" t="s">
        <v>7</v>
      </c>
      <c r="C29" s="326" t="s">
        <v>6</v>
      </c>
      <c r="D29" s="326"/>
      <c r="E29" s="326"/>
      <c r="F29" s="326"/>
      <c r="G29" s="326"/>
    </row>
    <row r="30" spans="1:11" s="6" customFormat="1" ht="11.25" customHeight="1">
      <c r="A30" s="5">
        <v>5</v>
      </c>
      <c r="B30" s="7" t="s">
        <v>5</v>
      </c>
      <c r="C30" s="326" t="s">
        <v>4</v>
      </c>
      <c r="D30" s="326"/>
      <c r="E30" s="326"/>
      <c r="F30" s="326"/>
      <c r="G30" s="326"/>
      <c r="H30" s="327" t="s">
        <v>3</v>
      </c>
      <c r="I30" s="327"/>
    </row>
    <row r="31" spans="1:11" s="3" customFormat="1" ht="26.25" customHeight="1">
      <c r="A31" s="5">
        <v>6</v>
      </c>
      <c r="B31" s="76" t="s">
        <v>2</v>
      </c>
      <c r="C31" s="328" t="s">
        <v>1</v>
      </c>
      <c r="D31" s="328"/>
      <c r="E31" s="328"/>
      <c r="F31" s="328"/>
      <c r="G31" s="328"/>
      <c r="H31" s="327" t="s">
        <v>0</v>
      </c>
      <c r="I31" s="327"/>
    </row>
  </sheetData>
  <mergeCells count="26">
    <mergeCell ref="A6:I6"/>
    <mergeCell ref="A1:I1"/>
    <mergeCell ref="A2:I2"/>
    <mergeCell ref="A3:I3"/>
    <mergeCell ref="A4:I4"/>
    <mergeCell ref="A5:I5"/>
    <mergeCell ref="A7:I7"/>
    <mergeCell ref="F8:G8"/>
    <mergeCell ref="H8:I8"/>
    <mergeCell ref="A12:I12"/>
    <mergeCell ref="A13:B13"/>
    <mergeCell ref="D13:E13"/>
    <mergeCell ref="F13:I13"/>
    <mergeCell ref="C31:G31"/>
    <mergeCell ref="H31:I31"/>
    <mergeCell ref="F14:H14"/>
    <mergeCell ref="A20:C20"/>
    <mergeCell ref="A21:H21"/>
    <mergeCell ref="A22:I22"/>
    <mergeCell ref="C26:G26"/>
    <mergeCell ref="C27:G27"/>
    <mergeCell ref="C28:G28"/>
    <mergeCell ref="H28:I28"/>
    <mergeCell ref="C29:G29"/>
    <mergeCell ref="C30:G30"/>
    <mergeCell ref="H30:I30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selection activeCell="C10" sqref="C10"/>
    </sheetView>
  </sheetViews>
  <sheetFormatPr defaultRowHeight="15"/>
  <cols>
    <col min="1" max="1" width="5.28515625" customWidth="1"/>
    <col min="2" max="2" width="24.2851562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119</v>
      </c>
      <c r="F8" s="312" t="s">
        <v>45</v>
      </c>
      <c r="G8" s="312"/>
      <c r="H8" s="313">
        <v>46118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49.5" customHeight="1">
      <c r="B10" s="60" t="s">
        <v>120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97"/>
      <c r="B14" s="52" t="s">
        <v>36</v>
      </c>
      <c r="C14" s="51" t="s">
        <v>114</v>
      </c>
      <c r="D14" s="97"/>
      <c r="E14" s="49"/>
      <c r="F14" s="317" t="s">
        <v>106</v>
      </c>
      <c r="G14" s="318"/>
      <c r="H14" s="318"/>
      <c r="I14" s="98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>
      <c r="A16" s="43">
        <v>1</v>
      </c>
      <c r="B16" s="42" t="s">
        <v>89</v>
      </c>
      <c r="C16" s="41" t="s">
        <v>117</v>
      </c>
      <c r="D16" s="35">
        <v>1</v>
      </c>
      <c r="E16" s="40">
        <f>19694*108%</f>
        <v>21269.52</v>
      </c>
      <c r="F16" s="31">
        <f>E16*D16</f>
        <v>21269.52</v>
      </c>
      <c r="G16" s="33">
        <v>0.18</v>
      </c>
      <c r="H16" s="32">
        <f>G16*F16</f>
        <v>3828.5135999999998</v>
      </c>
      <c r="I16" s="31">
        <f>H16+F16</f>
        <v>25098.033599999999</v>
      </c>
      <c r="J16" s="39"/>
    </row>
    <row r="17" spans="1:11" s="29" customFormat="1">
      <c r="A17" s="37">
        <v>2</v>
      </c>
      <c r="B17" s="65" t="s">
        <v>116</v>
      </c>
      <c r="C17" s="36" t="s">
        <v>118</v>
      </c>
      <c r="D17" s="35">
        <v>1</v>
      </c>
      <c r="E17" s="34">
        <f>77129*108%</f>
        <v>83299.320000000007</v>
      </c>
      <c r="F17" s="31">
        <f>E17*D17</f>
        <v>83299.320000000007</v>
      </c>
      <c r="G17" s="33">
        <v>0.18</v>
      </c>
      <c r="H17" s="32">
        <f>G17*F17</f>
        <v>14993.8776</v>
      </c>
      <c r="I17" s="31">
        <f>H17+F17</f>
        <v>98293.197600000014</v>
      </c>
      <c r="J17" s="30"/>
    </row>
    <row r="18" spans="1:11" s="29" customFormat="1">
      <c r="A18" s="43">
        <v>3</v>
      </c>
      <c r="B18" s="99"/>
      <c r="C18" s="100" t="s">
        <v>102</v>
      </c>
      <c r="D18" s="35">
        <v>1</v>
      </c>
      <c r="E18" s="34">
        <v>1200</v>
      </c>
      <c r="F18" s="31">
        <f>E18*D18</f>
        <v>1200</v>
      </c>
      <c r="G18" s="33">
        <v>0.18</v>
      </c>
      <c r="H18" s="32">
        <f>G18*F18</f>
        <v>216</v>
      </c>
      <c r="I18" s="31">
        <f>H18+F18</f>
        <v>1416</v>
      </c>
      <c r="J18" s="30"/>
    </row>
    <row r="19" spans="1:11" s="29" customFormat="1">
      <c r="A19" s="43">
        <v>4</v>
      </c>
      <c r="B19" s="99"/>
      <c r="C19" s="100" t="s">
        <v>121</v>
      </c>
      <c r="D19" s="35">
        <v>1</v>
      </c>
      <c r="E19" s="34">
        <v>6000</v>
      </c>
      <c r="F19" s="31">
        <f>E19*D19</f>
        <v>6000</v>
      </c>
      <c r="G19" s="33">
        <v>0.18</v>
      </c>
      <c r="H19" s="32">
        <f>G19*F19</f>
        <v>1080</v>
      </c>
      <c r="I19" s="31">
        <f>H19+F19</f>
        <v>7080</v>
      </c>
      <c r="J19" s="30"/>
    </row>
    <row r="20" spans="1:11" s="22" customFormat="1" ht="15" customHeight="1">
      <c r="A20" s="320" t="s">
        <v>20</v>
      </c>
      <c r="B20" s="321"/>
      <c r="C20" s="322"/>
      <c r="D20" s="28"/>
      <c r="E20" s="26"/>
      <c r="F20" s="26">
        <f>SUM(F16:F19)</f>
        <v>111768.84000000001</v>
      </c>
      <c r="G20" s="27"/>
      <c r="H20" s="26">
        <f>SUM(H16:H19)</f>
        <v>20118.391199999998</v>
      </c>
      <c r="I20" s="26">
        <f>SUM(I16:I19)</f>
        <v>131887.23120000001</v>
      </c>
      <c r="J20" s="25"/>
    </row>
    <row r="21" spans="1:11" s="22" customFormat="1" ht="17.25" customHeight="1">
      <c r="A21" s="320" t="s">
        <v>19</v>
      </c>
      <c r="B21" s="321"/>
      <c r="C21" s="321"/>
      <c r="D21" s="321"/>
      <c r="E21" s="321"/>
      <c r="F21" s="321"/>
      <c r="G21" s="321"/>
      <c r="H21" s="322"/>
      <c r="I21" s="24">
        <f>ROUND(I20,0)</f>
        <v>131887</v>
      </c>
      <c r="J21" s="23"/>
      <c r="K21" s="73"/>
    </row>
    <row r="22" spans="1:11" s="20" customFormat="1" ht="17.25" customHeight="1">
      <c r="A22" s="323" t="s">
        <v>122</v>
      </c>
      <c r="B22" s="324"/>
      <c r="C22" s="324"/>
      <c r="D22" s="324"/>
      <c r="E22" s="324"/>
      <c r="F22" s="324"/>
      <c r="G22" s="324"/>
      <c r="H22" s="324"/>
      <c r="I22" s="325"/>
      <c r="J22" s="21"/>
    </row>
    <row r="23" spans="1:11" s="15" customFormat="1" ht="17.25" customHeight="1">
      <c r="A23" s="19"/>
      <c r="B23" s="19"/>
      <c r="C23" s="18" t="s">
        <v>17</v>
      </c>
      <c r="D23" s="18"/>
      <c r="E23" s="18"/>
      <c r="F23" s="18"/>
      <c r="G23" s="18"/>
      <c r="H23" s="18"/>
      <c r="I23" s="17"/>
      <c r="J23" s="16"/>
    </row>
    <row r="24" spans="1:11" s="3" customFormat="1" ht="11.25">
      <c r="A24" s="14" t="s">
        <v>16</v>
      </c>
      <c r="B24" s="12"/>
      <c r="C24" s="12"/>
      <c r="D24" s="12"/>
      <c r="E24" s="12"/>
      <c r="F24" s="12"/>
      <c r="G24" s="12"/>
      <c r="H24" s="13"/>
      <c r="I24" s="12"/>
    </row>
    <row r="25" spans="1:11" s="6" customFormat="1" ht="13.5" customHeight="1">
      <c r="A25" s="11" t="s">
        <v>15</v>
      </c>
      <c r="B25" s="9"/>
      <c r="C25" s="10"/>
      <c r="D25" s="9"/>
      <c r="E25" s="8"/>
      <c r="F25" s="8"/>
      <c r="G25" s="3"/>
    </row>
    <row r="26" spans="1:11" s="6" customFormat="1" ht="11.25" customHeight="1">
      <c r="A26" s="5">
        <v>1</v>
      </c>
      <c r="B26" s="7" t="s">
        <v>14</v>
      </c>
      <c r="C26" s="326" t="s">
        <v>13</v>
      </c>
      <c r="D26" s="326"/>
      <c r="E26" s="326"/>
      <c r="F26" s="326"/>
      <c r="G26" s="326"/>
    </row>
    <row r="27" spans="1:11" s="6" customFormat="1" ht="13.5" customHeight="1">
      <c r="A27" s="5">
        <v>2</v>
      </c>
      <c r="B27" s="7" t="s">
        <v>12</v>
      </c>
      <c r="C27" s="326" t="s">
        <v>11</v>
      </c>
      <c r="D27" s="326"/>
      <c r="E27" s="326"/>
      <c r="F27" s="326"/>
      <c r="G27" s="326"/>
    </row>
    <row r="28" spans="1:11" s="6" customFormat="1" ht="12" customHeight="1">
      <c r="A28" s="5">
        <v>3</v>
      </c>
      <c r="B28" s="7" t="s">
        <v>10</v>
      </c>
      <c r="C28" s="326" t="s">
        <v>9</v>
      </c>
      <c r="D28" s="326"/>
      <c r="E28" s="326"/>
      <c r="F28" s="326"/>
      <c r="G28" s="326"/>
      <c r="H28" s="327" t="s">
        <v>8</v>
      </c>
      <c r="I28" s="327"/>
    </row>
    <row r="29" spans="1:11" s="6" customFormat="1" ht="11.25" customHeight="1">
      <c r="A29" s="5">
        <v>4</v>
      </c>
      <c r="B29" s="7" t="s">
        <v>7</v>
      </c>
      <c r="C29" s="326" t="s">
        <v>6</v>
      </c>
      <c r="D29" s="326"/>
      <c r="E29" s="326"/>
      <c r="F29" s="326"/>
      <c r="G29" s="326"/>
    </row>
    <row r="30" spans="1:11" s="6" customFormat="1" ht="11.25" customHeight="1">
      <c r="A30" s="5">
        <v>5</v>
      </c>
      <c r="B30" s="7" t="s">
        <v>5</v>
      </c>
      <c r="C30" s="326" t="s">
        <v>4</v>
      </c>
      <c r="D30" s="326"/>
      <c r="E30" s="326"/>
      <c r="F30" s="326"/>
      <c r="G30" s="326"/>
      <c r="H30" s="327" t="s">
        <v>3</v>
      </c>
      <c r="I30" s="327"/>
    </row>
    <row r="31" spans="1:11" s="3" customFormat="1" ht="26.25" customHeight="1">
      <c r="A31" s="5">
        <v>6</v>
      </c>
      <c r="B31" s="96" t="s">
        <v>2</v>
      </c>
      <c r="C31" s="328" t="s">
        <v>1</v>
      </c>
      <c r="D31" s="328"/>
      <c r="E31" s="328"/>
      <c r="F31" s="328"/>
      <c r="G31" s="328"/>
      <c r="H31" s="327" t="s">
        <v>0</v>
      </c>
      <c r="I31" s="327"/>
    </row>
  </sheetData>
  <mergeCells count="26">
    <mergeCell ref="C31:G31"/>
    <mergeCell ref="H31:I31"/>
    <mergeCell ref="F14:H14"/>
    <mergeCell ref="A20:C20"/>
    <mergeCell ref="A21:H21"/>
    <mergeCell ref="A22:I22"/>
    <mergeCell ref="C26:G26"/>
    <mergeCell ref="C27:G27"/>
    <mergeCell ref="C28:G28"/>
    <mergeCell ref="H28:I28"/>
    <mergeCell ref="C29:G29"/>
    <mergeCell ref="C30:G30"/>
    <mergeCell ref="H30:I30"/>
    <mergeCell ref="A7:I7"/>
    <mergeCell ref="F8:G8"/>
    <mergeCell ref="H8:I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1"/>
  <sheetViews>
    <sheetView topLeftCell="A2" workbookViewId="0">
      <selection activeCell="E23" sqref="E23"/>
    </sheetView>
  </sheetViews>
  <sheetFormatPr defaultRowHeight="15"/>
  <cols>
    <col min="1" max="1" width="5.28515625" customWidth="1"/>
    <col min="2" max="2" width="22.2851562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125</v>
      </c>
      <c r="F8" s="312" t="s">
        <v>45</v>
      </c>
      <c r="G8" s="312"/>
      <c r="H8" s="313">
        <v>46119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49.5" customHeight="1">
      <c r="B10" s="60" t="s">
        <v>124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103"/>
      <c r="B14" s="52" t="s">
        <v>36</v>
      </c>
      <c r="C14" s="51" t="s">
        <v>114</v>
      </c>
      <c r="D14" s="103"/>
      <c r="E14" s="49"/>
      <c r="F14" s="317" t="s">
        <v>106</v>
      </c>
      <c r="G14" s="318"/>
      <c r="H14" s="318"/>
      <c r="I14" s="104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>
      <c r="A16" s="43">
        <v>1</v>
      </c>
      <c r="B16" s="42" t="s">
        <v>24</v>
      </c>
      <c r="C16" s="41" t="s">
        <v>23</v>
      </c>
      <c r="D16" s="35">
        <v>1</v>
      </c>
      <c r="E16" s="40">
        <v>8867</v>
      </c>
      <c r="F16" s="31">
        <f>E16*D16</f>
        <v>8867</v>
      </c>
      <c r="G16" s="33">
        <v>0.18</v>
      </c>
      <c r="H16" s="32">
        <f>G16*F16</f>
        <v>1596.06</v>
      </c>
      <c r="I16" s="31">
        <f>H16+F16</f>
        <v>10463.06</v>
      </c>
      <c r="J16" s="39"/>
    </row>
    <row r="17" spans="1:11" s="29" customFormat="1">
      <c r="A17" s="37">
        <v>2</v>
      </c>
      <c r="B17" s="36" t="s">
        <v>86</v>
      </c>
      <c r="C17" s="36" t="s">
        <v>87</v>
      </c>
      <c r="D17" s="35">
        <v>2</v>
      </c>
      <c r="E17" s="34">
        <v>2276</v>
      </c>
      <c r="F17" s="31">
        <f>E17*D17</f>
        <v>4552</v>
      </c>
      <c r="G17" s="33">
        <v>0.18</v>
      </c>
      <c r="H17" s="32">
        <f>G17*F17</f>
        <v>819.36</v>
      </c>
      <c r="I17" s="31">
        <f>H17+F17</f>
        <v>5371.36</v>
      </c>
      <c r="J17" s="30"/>
    </row>
    <row r="18" spans="1:11" s="29" customFormat="1">
      <c r="A18" s="43">
        <v>3</v>
      </c>
      <c r="B18" s="99" t="s">
        <v>126</v>
      </c>
      <c r="C18" s="100" t="s">
        <v>127</v>
      </c>
      <c r="D18" s="35">
        <v>1</v>
      </c>
      <c r="E18" s="34">
        <v>38437</v>
      </c>
      <c r="F18" s="31">
        <f>E18*D18</f>
        <v>38437</v>
      </c>
      <c r="G18" s="33">
        <v>0.18</v>
      </c>
      <c r="H18" s="32">
        <f>G18*F18</f>
        <v>6918.66</v>
      </c>
      <c r="I18" s="31">
        <f>H18+F18</f>
        <v>45355.66</v>
      </c>
      <c r="J18" s="30"/>
    </row>
    <row r="19" spans="1:11" s="29" customFormat="1">
      <c r="A19" s="43">
        <v>4</v>
      </c>
      <c r="B19" s="99"/>
      <c r="C19" s="100" t="s">
        <v>102</v>
      </c>
      <c r="D19" s="35">
        <v>1</v>
      </c>
      <c r="E19" s="34">
        <v>900</v>
      </c>
      <c r="F19" s="31">
        <f>E19*D19</f>
        <v>900</v>
      </c>
      <c r="G19" s="33">
        <v>0.18</v>
      </c>
      <c r="H19" s="32">
        <f>G19*F19</f>
        <v>162</v>
      </c>
      <c r="I19" s="31">
        <f>H19+F19</f>
        <v>1062</v>
      </c>
      <c r="J19" s="30"/>
    </row>
    <row r="20" spans="1:11" s="22" customFormat="1" ht="15" customHeight="1">
      <c r="A20" s="320" t="s">
        <v>20</v>
      </c>
      <c r="B20" s="321"/>
      <c r="C20" s="322"/>
      <c r="D20" s="28"/>
      <c r="E20" s="26"/>
      <c r="F20" s="26">
        <f>SUM(F16:F19)</f>
        <v>52756</v>
      </c>
      <c r="G20" s="27"/>
      <c r="H20" s="26">
        <f>SUM(H16:H19)</f>
        <v>9496.08</v>
      </c>
      <c r="I20" s="26">
        <f>SUM(I16:I19)</f>
        <v>62252.08</v>
      </c>
      <c r="J20" s="25"/>
    </row>
    <row r="21" spans="1:11" s="22" customFormat="1" ht="17.25" customHeight="1">
      <c r="A21" s="320" t="s">
        <v>19</v>
      </c>
      <c r="B21" s="321"/>
      <c r="C21" s="321"/>
      <c r="D21" s="321"/>
      <c r="E21" s="321"/>
      <c r="F21" s="321"/>
      <c r="G21" s="321"/>
      <c r="H21" s="322"/>
      <c r="I21" s="24">
        <f>ROUND(I20,0)</f>
        <v>62252</v>
      </c>
      <c r="J21" s="23"/>
      <c r="K21" s="73"/>
    </row>
    <row r="22" spans="1:11" s="20" customFormat="1" ht="17.25" customHeight="1">
      <c r="A22" s="323" t="s">
        <v>128</v>
      </c>
      <c r="B22" s="324"/>
      <c r="C22" s="324"/>
      <c r="D22" s="324"/>
      <c r="E22" s="324"/>
      <c r="F22" s="324"/>
      <c r="G22" s="324"/>
      <c r="H22" s="324"/>
      <c r="I22" s="325"/>
      <c r="J22" s="21"/>
    </row>
    <row r="23" spans="1:11" s="15" customFormat="1" ht="17.25" customHeight="1">
      <c r="A23" s="19"/>
      <c r="B23" s="19"/>
      <c r="C23" s="18" t="s">
        <v>17</v>
      </c>
      <c r="D23" s="18"/>
      <c r="E23" s="18"/>
      <c r="F23" s="18"/>
      <c r="G23" s="18"/>
      <c r="H23" s="18"/>
      <c r="I23" s="17"/>
      <c r="J23" s="16"/>
    </row>
    <row r="24" spans="1:11" s="3" customFormat="1" ht="11.25">
      <c r="A24" s="14" t="s">
        <v>16</v>
      </c>
      <c r="B24" s="12"/>
      <c r="C24" s="12"/>
      <c r="D24" s="12"/>
      <c r="E24" s="12"/>
      <c r="F24" s="12"/>
      <c r="G24" s="12"/>
      <c r="H24" s="13"/>
      <c r="I24" s="12"/>
    </row>
    <row r="25" spans="1:11" s="6" customFormat="1" ht="13.5" customHeight="1">
      <c r="A25" s="11" t="s">
        <v>15</v>
      </c>
      <c r="B25" s="9"/>
      <c r="C25" s="10"/>
      <c r="D25" s="9"/>
      <c r="E25" s="8"/>
      <c r="F25" s="8"/>
      <c r="G25" s="3"/>
    </row>
    <row r="26" spans="1:11" s="6" customFormat="1" ht="11.25" customHeight="1">
      <c r="A26" s="5">
        <v>1</v>
      </c>
      <c r="B26" s="7" t="s">
        <v>14</v>
      </c>
      <c r="C26" s="326" t="s">
        <v>13</v>
      </c>
      <c r="D26" s="326"/>
      <c r="E26" s="326"/>
      <c r="F26" s="326"/>
      <c r="G26" s="326"/>
    </row>
    <row r="27" spans="1:11" s="6" customFormat="1" ht="13.5" customHeight="1">
      <c r="A27" s="5">
        <v>2</v>
      </c>
      <c r="B27" s="7" t="s">
        <v>12</v>
      </c>
      <c r="C27" s="326" t="s">
        <v>11</v>
      </c>
      <c r="D27" s="326"/>
      <c r="E27" s="326"/>
      <c r="F27" s="326"/>
      <c r="G27" s="326"/>
    </row>
    <row r="28" spans="1:11" s="6" customFormat="1" ht="12" customHeight="1">
      <c r="A28" s="5">
        <v>3</v>
      </c>
      <c r="B28" s="7" t="s">
        <v>10</v>
      </c>
      <c r="C28" s="326" t="s">
        <v>9</v>
      </c>
      <c r="D28" s="326"/>
      <c r="E28" s="326"/>
      <c r="F28" s="326"/>
      <c r="G28" s="326"/>
      <c r="H28" s="327" t="s">
        <v>8</v>
      </c>
      <c r="I28" s="327"/>
    </row>
    <row r="29" spans="1:11" s="6" customFormat="1" ht="11.25" customHeight="1">
      <c r="A29" s="5">
        <v>4</v>
      </c>
      <c r="B29" s="7" t="s">
        <v>7</v>
      </c>
      <c r="C29" s="326" t="s">
        <v>6</v>
      </c>
      <c r="D29" s="326"/>
      <c r="E29" s="326"/>
      <c r="F29" s="326"/>
      <c r="G29" s="326"/>
    </row>
    <row r="30" spans="1:11" s="6" customFormat="1" ht="11.25" customHeight="1">
      <c r="A30" s="5">
        <v>5</v>
      </c>
      <c r="B30" s="7" t="s">
        <v>5</v>
      </c>
      <c r="C30" s="326" t="s">
        <v>4</v>
      </c>
      <c r="D30" s="326"/>
      <c r="E30" s="326"/>
      <c r="F30" s="326"/>
      <c r="G30" s="326"/>
      <c r="H30" s="327" t="s">
        <v>3</v>
      </c>
      <c r="I30" s="327"/>
    </row>
    <row r="31" spans="1:11" s="3" customFormat="1" ht="26.25" customHeight="1">
      <c r="A31" s="5">
        <v>6</v>
      </c>
      <c r="B31" s="102" t="s">
        <v>2</v>
      </c>
      <c r="C31" s="328" t="s">
        <v>1</v>
      </c>
      <c r="D31" s="328"/>
      <c r="E31" s="328"/>
      <c r="F31" s="328"/>
      <c r="G31" s="328"/>
      <c r="H31" s="327" t="s">
        <v>0</v>
      </c>
      <c r="I31" s="327"/>
    </row>
  </sheetData>
  <mergeCells count="26">
    <mergeCell ref="C31:G31"/>
    <mergeCell ref="H31:I31"/>
    <mergeCell ref="F14:H14"/>
    <mergeCell ref="A20:C20"/>
    <mergeCell ref="A21:H21"/>
    <mergeCell ref="A22:I22"/>
    <mergeCell ref="C26:G26"/>
    <mergeCell ref="C27:G27"/>
    <mergeCell ref="C28:G28"/>
    <mergeCell ref="H28:I28"/>
    <mergeCell ref="C29:G29"/>
    <mergeCell ref="C30:G30"/>
    <mergeCell ref="H30:I30"/>
    <mergeCell ref="A7:I7"/>
    <mergeCell ref="F8:G8"/>
    <mergeCell ref="H8:I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9"/>
  <sheetViews>
    <sheetView topLeftCell="A2" workbookViewId="0">
      <selection activeCell="C26" sqref="C26:G26"/>
    </sheetView>
  </sheetViews>
  <sheetFormatPr defaultRowHeight="15"/>
  <cols>
    <col min="1" max="1" width="5.28515625" customWidth="1"/>
    <col min="2" max="2" width="23.8554687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1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1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1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1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1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1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1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1" s="61" customFormat="1" ht="15" customHeight="1">
      <c r="A8" s="62" t="s">
        <v>130</v>
      </c>
      <c r="F8" s="312" t="s">
        <v>45</v>
      </c>
      <c r="G8" s="312"/>
      <c r="H8" s="313">
        <v>46119</v>
      </c>
      <c r="I8" s="313"/>
    </row>
    <row r="9" spans="1:11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1" s="54" customFormat="1" ht="49.5" customHeight="1">
      <c r="B10" s="60" t="s">
        <v>129</v>
      </c>
      <c r="C10" s="59"/>
      <c r="D10" s="56"/>
      <c r="E10" s="56"/>
      <c r="F10" s="56"/>
      <c r="G10" s="56"/>
      <c r="H10" s="56"/>
      <c r="I10" s="58"/>
    </row>
    <row r="11" spans="1:11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1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1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1" s="47" customFormat="1" ht="18" customHeight="1">
      <c r="A14" s="106"/>
      <c r="B14" s="52" t="s">
        <v>36</v>
      </c>
      <c r="C14" s="51" t="s">
        <v>114</v>
      </c>
      <c r="D14" s="106"/>
      <c r="E14" s="49"/>
      <c r="F14" s="317" t="s">
        <v>106</v>
      </c>
      <c r="G14" s="318"/>
      <c r="H14" s="318"/>
      <c r="I14" s="107"/>
    </row>
    <row r="15" spans="1:11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  <c r="K15" s="29">
        <f>1700+2470+750+2300+700</f>
        <v>7920</v>
      </c>
    </row>
    <row r="16" spans="1:11" s="38" customFormat="1">
      <c r="A16" s="43">
        <v>1</v>
      </c>
      <c r="B16" s="42" t="s">
        <v>24</v>
      </c>
      <c r="C16" s="41" t="s">
        <v>23</v>
      </c>
      <c r="D16" s="35">
        <v>1</v>
      </c>
      <c r="E16" s="40">
        <v>8867</v>
      </c>
      <c r="F16" s="31">
        <f>E16*D16</f>
        <v>8867</v>
      </c>
      <c r="G16" s="33">
        <v>0.18</v>
      </c>
      <c r="H16" s="32">
        <f>G16*F16</f>
        <v>1596.06</v>
      </c>
      <c r="I16" s="31">
        <f>H16+F16</f>
        <v>10463.06</v>
      </c>
      <c r="J16" s="39"/>
    </row>
    <row r="17" spans="1:11" s="29" customFormat="1">
      <c r="A17" s="43">
        <v>4</v>
      </c>
      <c r="B17" s="99"/>
      <c r="C17" s="100" t="s">
        <v>102</v>
      </c>
      <c r="D17" s="35">
        <v>1</v>
      </c>
      <c r="E17" s="34">
        <v>500</v>
      </c>
      <c r="F17" s="31">
        <f>E17*D17</f>
        <v>500</v>
      </c>
      <c r="G17" s="33">
        <v>0.18</v>
      </c>
      <c r="H17" s="32">
        <f>G17*F17</f>
        <v>90</v>
      </c>
      <c r="I17" s="31">
        <f>H17+F17</f>
        <v>590</v>
      </c>
      <c r="J17" s="30"/>
    </row>
    <row r="18" spans="1:11" s="22" customFormat="1" ht="15" customHeight="1">
      <c r="A18" s="320" t="s">
        <v>20</v>
      </c>
      <c r="B18" s="321"/>
      <c r="C18" s="322"/>
      <c r="D18" s="28"/>
      <c r="E18" s="26"/>
      <c r="F18" s="26">
        <f>SUM(F16:F17)</f>
        <v>9367</v>
      </c>
      <c r="G18" s="27"/>
      <c r="H18" s="26">
        <f>SUM(H16:H17)</f>
        <v>1686.06</v>
      </c>
      <c r="I18" s="26">
        <f>SUM(I16:I17)</f>
        <v>11053.06</v>
      </c>
      <c r="J18" s="25"/>
    </row>
    <row r="19" spans="1:11" s="22" customFormat="1" ht="17.25" customHeight="1">
      <c r="A19" s="320" t="s">
        <v>19</v>
      </c>
      <c r="B19" s="321"/>
      <c r="C19" s="321"/>
      <c r="D19" s="321"/>
      <c r="E19" s="321"/>
      <c r="F19" s="321"/>
      <c r="G19" s="321"/>
      <c r="H19" s="322"/>
      <c r="I19" s="24">
        <f>ROUND(I18,0)</f>
        <v>11053</v>
      </c>
      <c r="J19" s="23"/>
      <c r="K19" s="73"/>
    </row>
    <row r="20" spans="1:11" s="20" customFormat="1" ht="17.25" customHeight="1">
      <c r="A20" s="323" t="s">
        <v>131</v>
      </c>
      <c r="B20" s="324"/>
      <c r="C20" s="324"/>
      <c r="D20" s="324"/>
      <c r="E20" s="324"/>
      <c r="F20" s="324"/>
      <c r="G20" s="324"/>
      <c r="H20" s="324"/>
      <c r="I20" s="325"/>
      <c r="J20" s="21"/>
    </row>
    <row r="21" spans="1:11" s="15" customFormat="1" ht="17.25" customHeight="1">
      <c r="A21" s="19"/>
      <c r="B21" s="19"/>
      <c r="C21" s="18" t="s">
        <v>17</v>
      </c>
      <c r="D21" s="18"/>
      <c r="E21" s="18"/>
      <c r="F21" s="18"/>
      <c r="G21" s="18"/>
      <c r="H21" s="18"/>
      <c r="I21" s="17"/>
      <c r="J21" s="16"/>
    </row>
    <row r="22" spans="1:11" s="3" customFormat="1" ht="11.25">
      <c r="A22" s="14" t="s">
        <v>16</v>
      </c>
      <c r="B22" s="12"/>
      <c r="C22" s="12"/>
      <c r="D22" s="12"/>
      <c r="E22" s="12"/>
      <c r="F22" s="12"/>
      <c r="G22" s="12"/>
      <c r="H22" s="13"/>
      <c r="I22" s="12"/>
    </row>
    <row r="23" spans="1:11" s="6" customFormat="1" ht="13.5" customHeight="1">
      <c r="A23" s="11" t="s">
        <v>15</v>
      </c>
      <c r="B23" s="9"/>
      <c r="C23" s="10"/>
      <c r="D23" s="9"/>
      <c r="E23" s="8"/>
      <c r="F23" s="8"/>
      <c r="G23" s="3"/>
    </row>
    <row r="24" spans="1:11" s="6" customFormat="1" ht="11.25" customHeight="1">
      <c r="A24" s="5">
        <v>1</v>
      </c>
      <c r="B24" s="7" t="s">
        <v>14</v>
      </c>
      <c r="C24" s="326" t="s">
        <v>13</v>
      </c>
      <c r="D24" s="326"/>
      <c r="E24" s="326"/>
      <c r="F24" s="326"/>
      <c r="G24" s="326"/>
    </row>
    <row r="25" spans="1:11" s="6" customFormat="1" ht="13.5" customHeight="1">
      <c r="A25" s="5">
        <v>2</v>
      </c>
      <c r="B25" s="7" t="s">
        <v>12</v>
      </c>
      <c r="C25" s="326" t="s">
        <v>11</v>
      </c>
      <c r="D25" s="326"/>
      <c r="E25" s="326"/>
      <c r="F25" s="326"/>
      <c r="G25" s="326"/>
    </row>
    <row r="26" spans="1:11" s="6" customFormat="1" ht="12" customHeight="1">
      <c r="A26" s="5">
        <v>3</v>
      </c>
      <c r="B26" s="7" t="s">
        <v>10</v>
      </c>
      <c r="C26" s="326" t="s">
        <v>9</v>
      </c>
      <c r="D26" s="326"/>
      <c r="E26" s="326"/>
      <c r="F26" s="326"/>
      <c r="G26" s="326"/>
      <c r="H26" s="327" t="s">
        <v>8</v>
      </c>
      <c r="I26" s="327"/>
    </row>
    <row r="27" spans="1:11" s="6" customFormat="1" ht="11.25" customHeight="1">
      <c r="A27" s="5">
        <v>4</v>
      </c>
      <c r="B27" s="7" t="s">
        <v>7</v>
      </c>
      <c r="C27" s="326" t="s">
        <v>6</v>
      </c>
      <c r="D27" s="326"/>
      <c r="E27" s="326"/>
      <c r="F27" s="326"/>
      <c r="G27" s="326"/>
    </row>
    <row r="28" spans="1:11" s="6" customFormat="1" ht="11.25" customHeight="1">
      <c r="A28" s="5">
        <v>5</v>
      </c>
      <c r="B28" s="7" t="s">
        <v>5</v>
      </c>
      <c r="C28" s="326" t="s">
        <v>4</v>
      </c>
      <c r="D28" s="326"/>
      <c r="E28" s="326"/>
      <c r="F28" s="326"/>
      <c r="G28" s="326"/>
      <c r="H28" s="327" t="s">
        <v>3</v>
      </c>
      <c r="I28" s="327"/>
    </row>
    <row r="29" spans="1:11" s="3" customFormat="1" ht="26.25" customHeight="1">
      <c r="A29" s="5">
        <v>6</v>
      </c>
      <c r="B29" s="105" t="s">
        <v>2</v>
      </c>
      <c r="C29" s="328" t="s">
        <v>1</v>
      </c>
      <c r="D29" s="328"/>
      <c r="E29" s="328"/>
      <c r="F29" s="328"/>
      <c r="G29" s="328"/>
      <c r="H29" s="327" t="s">
        <v>0</v>
      </c>
      <c r="I29" s="327"/>
    </row>
  </sheetData>
  <mergeCells count="26">
    <mergeCell ref="C29:G29"/>
    <mergeCell ref="H29:I29"/>
    <mergeCell ref="F14:H14"/>
    <mergeCell ref="A18:C18"/>
    <mergeCell ref="A19:H19"/>
    <mergeCell ref="A20:I20"/>
    <mergeCell ref="C24:G24"/>
    <mergeCell ref="C25:G25"/>
    <mergeCell ref="C26:G26"/>
    <mergeCell ref="H26:I26"/>
    <mergeCell ref="C27:G27"/>
    <mergeCell ref="C28:G28"/>
    <mergeCell ref="H28:I28"/>
    <mergeCell ref="A7:I7"/>
    <mergeCell ref="F8:G8"/>
    <mergeCell ref="H8:I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selection activeCell="B17" sqref="B17"/>
    </sheetView>
  </sheetViews>
  <sheetFormatPr defaultRowHeight="15"/>
  <cols>
    <col min="1" max="1" width="5.28515625" customWidth="1"/>
    <col min="2" max="2" width="26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133</v>
      </c>
      <c r="F8" s="312" t="s">
        <v>45</v>
      </c>
      <c r="G8" s="312"/>
      <c r="H8" s="313">
        <v>46118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53.25" customHeight="1">
      <c r="B10" s="60" t="s">
        <v>109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109"/>
      <c r="B14" s="52" t="s">
        <v>36</v>
      </c>
      <c r="C14" s="51" t="s">
        <v>35</v>
      </c>
      <c r="D14" s="109"/>
      <c r="E14" s="49"/>
      <c r="F14" s="317" t="s">
        <v>106</v>
      </c>
      <c r="G14" s="318"/>
      <c r="H14" s="318"/>
      <c r="I14" s="110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>
      <c r="A16" s="43">
        <v>1</v>
      </c>
      <c r="B16" s="42" t="s">
        <v>24</v>
      </c>
      <c r="C16" s="41" t="s">
        <v>23</v>
      </c>
      <c r="D16" s="35">
        <v>2</v>
      </c>
      <c r="E16" s="40">
        <v>7988</v>
      </c>
      <c r="F16" s="31">
        <f>E16*D16</f>
        <v>15976</v>
      </c>
      <c r="G16" s="33">
        <v>0.18</v>
      </c>
      <c r="H16" s="32">
        <f>G16*F16</f>
        <v>2875.68</v>
      </c>
      <c r="I16" s="31">
        <f>H16+F16</f>
        <v>18851.68</v>
      </c>
      <c r="J16" s="39"/>
    </row>
    <row r="17" spans="1:11" s="29" customFormat="1">
      <c r="A17" s="37">
        <v>2</v>
      </c>
      <c r="B17" s="65" t="s">
        <v>135</v>
      </c>
      <c r="C17" s="36" t="s">
        <v>105</v>
      </c>
      <c r="D17" s="35">
        <v>1</v>
      </c>
      <c r="E17" s="34">
        <v>21972</v>
      </c>
      <c r="F17" s="31">
        <f>E17*D17</f>
        <v>21972</v>
      </c>
      <c r="G17" s="33">
        <v>0.18</v>
      </c>
      <c r="H17" s="32">
        <f>G17*F17</f>
        <v>3954.96</v>
      </c>
      <c r="I17" s="31">
        <f>H17+F17</f>
        <v>25926.959999999999</v>
      </c>
      <c r="J17" s="30"/>
    </row>
    <row r="18" spans="1:11" s="29" customFormat="1">
      <c r="A18" s="43">
        <v>3</v>
      </c>
      <c r="B18" s="114" t="s">
        <v>86</v>
      </c>
      <c r="C18" s="100" t="s">
        <v>132</v>
      </c>
      <c r="D18" s="35">
        <v>2</v>
      </c>
      <c r="E18" s="34">
        <v>2276</v>
      </c>
      <c r="F18" s="31">
        <f>E18*D18</f>
        <v>4552</v>
      </c>
      <c r="G18" s="33">
        <v>0.18</v>
      </c>
      <c r="H18" s="32">
        <f>G18*F18</f>
        <v>819.36</v>
      </c>
      <c r="I18" s="31">
        <f>H18+F18</f>
        <v>5371.36</v>
      </c>
      <c r="J18" s="30"/>
    </row>
    <row r="19" spans="1:11" s="29" customFormat="1">
      <c r="A19" s="43"/>
      <c r="B19" s="99"/>
      <c r="C19" s="100" t="s">
        <v>102</v>
      </c>
      <c r="D19" s="35">
        <v>1</v>
      </c>
      <c r="E19" s="34">
        <v>1200</v>
      </c>
      <c r="F19" s="31">
        <f>E19*D19</f>
        <v>1200</v>
      </c>
      <c r="G19" s="33">
        <v>0.18</v>
      </c>
      <c r="H19" s="32">
        <f>G19*F19</f>
        <v>216</v>
      </c>
      <c r="I19" s="31">
        <f>H19+F19</f>
        <v>1416</v>
      </c>
      <c r="J19" s="30"/>
    </row>
    <row r="20" spans="1:11" s="22" customFormat="1" ht="15" customHeight="1">
      <c r="A20" s="320" t="s">
        <v>20</v>
      </c>
      <c r="B20" s="321"/>
      <c r="C20" s="322"/>
      <c r="D20" s="28"/>
      <c r="E20" s="26">
        <f>SUM(E16:E19)</f>
        <v>33436</v>
      </c>
      <c r="F20" s="26">
        <f>SUM(F16:F19)</f>
        <v>43700</v>
      </c>
      <c r="G20" s="27"/>
      <c r="H20" s="26">
        <f>SUM(H16:H19)</f>
        <v>7865.9999999999991</v>
      </c>
      <c r="I20" s="26">
        <f>SUM(I16:I19)</f>
        <v>51566</v>
      </c>
      <c r="J20" s="25"/>
    </row>
    <row r="21" spans="1:11" s="22" customFormat="1" ht="17.25" customHeight="1">
      <c r="A21" s="320" t="s">
        <v>19</v>
      </c>
      <c r="B21" s="321"/>
      <c r="C21" s="321"/>
      <c r="D21" s="321"/>
      <c r="E21" s="321"/>
      <c r="F21" s="321"/>
      <c r="G21" s="321"/>
      <c r="H21" s="322"/>
      <c r="I21" s="24">
        <f>ROUND(I20,0)</f>
        <v>51566</v>
      </c>
      <c r="J21" s="23"/>
      <c r="K21" s="73"/>
    </row>
    <row r="22" spans="1:11" s="20" customFormat="1" ht="17.25" customHeight="1">
      <c r="A22" s="323" t="s">
        <v>134</v>
      </c>
      <c r="B22" s="324"/>
      <c r="C22" s="324"/>
      <c r="D22" s="324"/>
      <c r="E22" s="324"/>
      <c r="F22" s="324"/>
      <c r="G22" s="324"/>
      <c r="H22" s="324"/>
      <c r="I22" s="325"/>
      <c r="J22" s="21"/>
    </row>
    <row r="23" spans="1:11" s="15" customFormat="1" ht="17.25" customHeight="1">
      <c r="A23" s="19"/>
      <c r="B23" s="19"/>
      <c r="C23" s="18" t="s">
        <v>17</v>
      </c>
      <c r="D23" s="18"/>
      <c r="E23" s="18"/>
      <c r="F23" s="18"/>
      <c r="G23" s="18"/>
      <c r="H23" s="18"/>
      <c r="I23" s="17"/>
      <c r="J23" s="16"/>
    </row>
    <row r="24" spans="1:11" s="3" customFormat="1" ht="11.25">
      <c r="A24" s="14" t="s">
        <v>16</v>
      </c>
      <c r="B24" s="12"/>
      <c r="C24" s="12"/>
      <c r="D24" s="12"/>
      <c r="E24" s="12"/>
      <c r="F24" s="12"/>
      <c r="G24" s="12"/>
      <c r="H24" s="13"/>
      <c r="I24" s="12"/>
    </row>
    <row r="25" spans="1:11" s="6" customFormat="1" ht="13.5" customHeight="1">
      <c r="A25" s="11" t="s">
        <v>15</v>
      </c>
      <c r="B25" s="9"/>
      <c r="C25" s="10"/>
      <c r="D25" s="9"/>
      <c r="E25" s="8"/>
      <c r="F25" s="8"/>
      <c r="G25" s="3"/>
    </row>
    <row r="26" spans="1:11" s="6" customFormat="1" ht="11.25" customHeight="1">
      <c r="A26" s="5">
        <v>1</v>
      </c>
      <c r="B26" s="7" t="s">
        <v>14</v>
      </c>
      <c r="C26" s="326" t="s">
        <v>13</v>
      </c>
      <c r="D26" s="326"/>
      <c r="E26" s="326"/>
      <c r="F26" s="326"/>
      <c r="G26" s="326"/>
    </row>
    <row r="27" spans="1:11" s="6" customFormat="1" ht="13.5" customHeight="1">
      <c r="A27" s="5">
        <v>2</v>
      </c>
      <c r="B27" s="7" t="s">
        <v>12</v>
      </c>
      <c r="C27" s="326" t="s">
        <v>11</v>
      </c>
      <c r="D27" s="326"/>
      <c r="E27" s="326"/>
      <c r="F27" s="326"/>
      <c r="G27" s="326"/>
    </row>
    <row r="28" spans="1:11" s="6" customFormat="1" ht="12" customHeight="1">
      <c r="A28" s="5">
        <v>3</v>
      </c>
      <c r="B28" s="7" t="s">
        <v>10</v>
      </c>
      <c r="C28" s="326" t="s">
        <v>9</v>
      </c>
      <c r="D28" s="326"/>
      <c r="E28" s="326"/>
      <c r="F28" s="326"/>
      <c r="G28" s="326"/>
      <c r="H28" s="327" t="s">
        <v>8</v>
      </c>
      <c r="I28" s="327"/>
    </row>
    <row r="29" spans="1:11" s="6" customFormat="1" ht="11.25" customHeight="1">
      <c r="A29" s="5">
        <v>4</v>
      </c>
      <c r="B29" s="7" t="s">
        <v>7</v>
      </c>
      <c r="C29" s="326" t="s">
        <v>6</v>
      </c>
      <c r="D29" s="326"/>
      <c r="E29" s="326"/>
      <c r="F29" s="326"/>
      <c r="G29" s="326"/>
    </row>
    <row r="30" spans="1:11" s="6" customFormat="1" ht="11.25" customHeight="1">
      <c r="A30" s="5">
        <v>5</v>
      </c>
      <c r="B30" s="7" t="s">
        <v>5</v>
      </c>
      <c r="C30" s="326" t="s">
        <v>4</v>
      </c>
      <c r="D30" s="326"/>
      <c r="E30" s="326"/>
      <c r="F30" s="326"/>
      <c r="G30" s="326"/>
      <c r="H30" s="327" t="s">
        <v>3</v>
      </c>
      <c r="I30" s="327"/>
    </row>
    <row r="31" spans="1:11" s="3" customFormat="1" ht="26.25" customHeight="1">
      <c r="A31" s="5">
        <v>6</v>
      </c>
      <c r="B31" s="108" t="s">
        <v>2</v>
      </c>
      <c r="C31" s="328" t="s">
        <v>1</v>
      </c>
      <c r="D31" s="328"/>
      <c r="E31" s="328"/>
      <c r="F31" s="328"/>
      <c r="G31" s="328"/>
      <c r="H31" s="327" t="s">
        <v>0</v>
      </c>
      <c r="I31" s="327"/>
    </row>
  </sheetData>
  <mergeCells count="26">
    <mergeCell ref="C31:G31"/>
    <mergeCell ref="H31:I31"/>
    <mergeCell ref="F14:H14"/>
    <mergeCell ref="A20:C20"/>
    <mergeCell ref="A21:H21"/>
    <mergeCell ref="A22:I22"/>
    <mergeCell ref="C26:G26"/>
    <mergeCell ref="C27:G27"/>
    <mergeCell ref="C28:G28"/>
    <mergeCell ref="H28:I28"/>
    <mergeCell ref="C29:G29"/>
    <mergeCell ref="C30:G30"/>
    <mergeCell ref="H30:I30"/>
    <mergeCell ref="A7:I7"/>
    <mergeCell ref="F8:G8"/>
    <mergeCell ref="H8:I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8"/>
  <sheetViews>
    <sheetView workbookViewId="0">
      <selection activeCell="C23" sqref="C23:G23"/>
    </sheetView>
  </sheetViews>
  <sheetFormatPr defaultRowHeight="15"/>
  <cols>
    <col min="1" max="1" width="5.28515625" customWidth="1"/>
    <col min="2" max="2" width="31.2851562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137</v>
      </c>
      <c r="F8" s="312" t="s">
        <v>45</v>
      </c>
      <c r="G8" s="312"/>
      <c r="H8" s="313">
        <v>46118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60" customHeight="1">
      <c r="B10" s="60" t="s">
        <v>136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111"/>
      <c r="B14" s="52" t="s">
        <v>36</v>
      </c>
      <c r="C14" s="51" t="s">
        <v>114</v>
      </c>
      <c r="D14" s="111"/>
      <c r="E14" s="49"/>
      <c r="F14" s="317" t="s">
        <v>106</v>
      </c>
      <c r="G14" s="318"/>
      <c r="H14" s="318"/>
      <c r="I14" s="112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29" customFormat="1">
      <c r="A16" s="43"/>
      <c r="B16" s="99"/>
      <c r="C16" s="100" t="s">
        <v>139</v>
      </c>
      <c r="D16" s="35">
        <v>1</v>
      </c>
      <c r="E16" s="34">
        <v>5000</v>
      </c>
      <c r="F16" s="31">
        <f>E16*D16</f>
        <v>5000</v>
      </c>
      <c r="G16" s="33">
        <v>0.18</v>
      </c>
      <c r="H16" s="32">
        <f>G16*F16</f>
        <v>900</v>
      </c>
      <c r="I16" s="31">
        <f>H16+F16</f>
        <v>5900</v>
      </c>
      <c r="J16" s="30"/>
    </row>
    <row r="17" spans="1:11" s="22" customFormat="1" ht="15" customHeight="1">
      <c r="A17" s="320" t="s">
        <v>20</v>
      </c>
      <c r="B17" s="321"/>
      <c r="C17" s="322"/>
      <c r="D17" s="28"/>
      <c r="E17" s="26">
        <f>SUM(E16:E16)</f>
        <v>5000</v>
      </c>
      <c r="F17" s="26">
        <f>SUM(F16:F16)</f>
        <v>5000</v>
      </c>
      <c r="G17" s="27"/>
      <c r="H17" s="26">
        <f>SUM(H16:H16)</f>
        <v>900</v>
      </c>
      <c r="I17" s="26">
        <f>SUM(I16:I16)</f>
        <v>5900</v>
      </c>
      <c r="J17" s="25"/>
    </row>
    <row r="18" spans="1:11" s="22" customFormat="1" ht="17.25" customHeight="1">
      <c r="A18" s="320" t="s">
        <v>19</v>
      </c>
      <c r="B18" s="321"/>
      <c r="C18" s="321"/>
      <c r="D18" s="321"/>
      <c r="E18" s="321"/>
      <c r="F18" s="321"/>
      <c r="G18" s="321"/>
      <c r="H18" s="322"/>
      <c r="I18" s="24">
        <f>ROUND(I17,0)</f>
        <v>5900</v>
      </c>
      <c r="J18" s="23"/>
      <c r="K18" s="73"/>
    </row>
    <row r="19" spans="1:11" s="20" customFormat="1" ht="17.25" customHeight="1">
      <c r="A19" s="323" t="s">
        <v>138</v>
      </c>
      <c r="B19" s="324"/>
      <c r="C19" s="324"/>
      <c r="D19" s="324"/>
      <c r="E19" s="324"/>
      <c r="F19" s="324"/>
      <c r="G19" s="324"/>
      <c r="H19" s="324"/>
      <c r="I19" s="325"/>
      <c r="J19" s="21"/>
    </row>
    <row r="20" spans="1:11" s="15" customFormat="1" ht="17.25" customHeight="1">
      <c r="A20" s="19"/>
      <c r="B20" s="19"/>
      <c r="C20" s="18" t="s">
        <v>17</v>
      </c>
      <c r="D20" s="18"/>
      <c r="E20" s="18"/>
      <c r="F20" s="18"/>
      <c r="G20" s="18"/>
      <c r="H20" s="18"/>
      <c r="I20" s="17"/>
      <c r="J20" s="16"/>
    </row>
    <row r="21" spans="1:11" s="3" customFormat="1" ht="11.25">
      <c r="A21" s="14" t="s">
        <v>16</v>
      </c>
      <c r="B21" s="12"/>
      <c r="C21" s="12"/>
      <c r="D21" s="12"/>
      <c r="E21" s="12"/>
      <c r="F21" s="12"/>
      <c r="G21" s="12"/>
      <c r="H21" s="13"/>
      <c r="I21" s="12"/>
    </row>
    <row r="22" spans="1:11" s="6" customFormat="1" ht="13.5" customHeight="1">
      <c r="A22" s="11" t="s">
        <v>15</v>
      </c>
      <c r="B22" s="9"/>
      <c r="C22" s="10"/>
      <c r="D22" s="9"/>
      <c r="E22" s="8"/>
      <c r="F22" s="8"/>
      <c r="G22" s="3"/>
    </row>
    <row r="23" spans="1:11" s="6" customFormat="1" ht="11.25" customHeight="1">
      <c r="A23" s="5">
        <v>1</v>
      </c>
      <c r="B23" s="7" t="s">
        <v>14</v>
      </c>
      <c r="C23" s="326" t="s">
        <v>13</v>
      </c>
      <c r="D23" s="326"/>
      <c r="E23" s="326"/>
      <c r="F23" s="326"/>
      <c r="G23" s="326"/>
    </row>
    <row r="24" spans="1:11" s="6" customFormat="1" ht="13.5" customHeight="1">
      <c r="A24" s="5">
        <v>2</v>
      </c>
      <c r="B24" s="7" t="s">
        <v>12</v>
      </c>
      <c r="C24" s="326" t="s">
        <v>11</v>
      </c>
      <c r="D24" s="326"/>
      <c r="E24" s="326"/>
      <c r="F24" s="326"/>
      <c r="G24" s="326"/>
    </row>
    <row r="25" spans="1:11" s="6" customFormat="1" ht="12" customHeight="1">
      <c r="A25" s="5">
        <v>3</v>
      </c>
      <c r="B25" s="7" t="s">
        <v>10</v>
      </c>
      <c r="C25" s="326" t="s">
        <v>9</v>
      </c>
      <c r="D25" s="326"/>
      <c r="E25" s="326"/>
      <c r="F25" s="326"/>
      <c r="G25" s="326"/>
      <c r="H25" s="327" t="s">
        <v>8</v>
      </c>
      <c r="I25" s="327"/>
    </row>
    <row r="26" spans="1:11" s="6" customFormat="1" ht="11.25" customHeight="1">
      <c r="A26" s="5">
        <v>4</v>
      </c>
      <c r="B26" s="7" t="s">
        <v>7</v>
      </c>
      <c r="C26" s="326" t="s">
        <v>6</v>
      </c>
      <c r="D26" s="326"/>
      <c r="E26" s="326"/>
      <c r="F26" s="326"/>
      <c r="G26" s="326"/>
    </row>
    <row r="27" spans="1:11" s="6" customFormat="1" ht="11.25" customHeight="1">
      <c r="A27" s="5">
        <v>5</v>
      </c>
      <c r="B27" s="7" t="s">
        <v>5</v>
      </c>
      <c r="C27" s="326" t="s">
        <v>4</v>
      </c>
      <c r="D27" s="326"/>
      <c r="E27" s="326"/>
      <c r="F27" s="326"/>
      <c r="G27" s="326"/>
      <c r="H27" s="327" t="s">
        <v>3</v>
      </c>
      <c r="I27" s="327"/>
    </row>
    <row r="28" spans="1:11" s="3" customFormat="1" ht="26.25" customHeight="1">
      <c r="A28" s="5">
        <v>6</v>
      </c>
      <c r="B28" s="113" t="s">
        <v>2</v>
      </c>
      <c r="C28" s="328" t="s">
        <v>1</v>
      </c>
      <c r="D28" s="328"/>
      <c r="E28" s="328"/>
      <c r="F28" s="328"/>
      <c r="G28" s="328"/>
      <c r="H28" s="327" t="s">
        <v>0</v>
      </c>
      <c r="I28" s="327"/>
    </row>
  </sheetData>
  <mergeCells count="26">
    <mergeCell ref="A6:I6"/>
    <mergeCell ref="A1:I1"/>
    <mergeCell ref="A2:I2"/>
    <mergeCell ref="A3:I3"/>
    <mergeCell ref="A4:I4"/>
    <mergeCell ref="A5:I5"/>
    <mergeCell ref="A7:I7"/>
    <mergeCell ref="F8:G8"/>
    <mergeCell ref="H8:I8"/>
    <mergeCell ref="A12:I12"/>
    <mergeCell ref="A13:B13"/>
    <mergeCell ref="D13:E13"/>
    <mergeCell ref="F13:I13"/>
    <mergeCell ref="C28:G28"/>
    <mergeCell ref="H28:I28"/>
    <mergeCell ref="F14:H14"/>
    <mergeCell ref="A17:C17"/>
    <mergeCell ref="A18:H18"/>
    <mergeCell ref="A19:I19"/>
    <mergeCell ref="C23:G23"/>
    <mergeCell ref="C24:G24"/>
    <mergeCell ref="C25:G25"/>
    <mergeCell ref="H25:I25"/>
    <mergeCell ref="C26:G26"/>
    <mergeCell ref="C27:G27"/>
    <mergeCell ref="H27:I27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1"/>
  <sheetViews>
    <sheetView topLeftCell="A4" workbookViewId="0">
      <selection activeCell="A22" sqref="A22:H22"/>
    </sheetView>
  </sheetViews>
  <sheetFormatPr defaultRowHeight="15"/>
  <cols>
    <col min="1" max="1" width="5.28515625" customWidth="1"/>
    <col min="2" max="2" width="34" style="2" customWidth="1"/>
    <col min="3" max="3" width="38.28515625" style="2" bestFit="1" customWidth="1"/>
    <col min="4" max="4" width="5.7109375" customWidth="1"/>
    <col min="5" max="6" width="15.42578125" style="145" bestFit="1" customWidth="1"/>
    <col min="7" max="7" width="6.5703125" style="145" customWidth="1"/>
    <col min="8" max="8" width="13.5703125" style="145" bestFit="1" customWidth="1"/>
    <col min="9" max="9" width="17" style="145" bestFit="1" customWidth="1"/>
    <col min="10" max="10" width="13" bestFit="1" customWidth="1"/>
    <col min="233" max="233" width="5.28515625" customWidth="1"/>
    <col min="234" max="234" width="15.7109375" customWidth="1"/>
    <col min="235" max="235" width="17" customWidth="1"/>
    <col min="236" max="236" width="37.5703125" customWidth="1"/>
    <col min="237" max="237" width="5.7109375" customWidth="1"/>
    <col min="238" max="238" width="12.140625" customWidth="1"/>
    <col min="239" max="239" width="14.85546875" customWidth="1"/>
    <col min="489" max="489" width="5.28515625" customWidth="1"/>
    <col min="490" max="490" width="15.7109375" customWidth="1"/>
    <col min="491" max="491" width="17" customWidth="1"/>
    <col min="492" max="492" width="37.5703125" customWidth="1"/>
    <col min="493" max="493" width="5.7109375" customWidth="1"/>
    <col min="494" max="494" width="12.140625" customWidth="1"/>
    <col min="495" max="495" width="14.85546875" customWidth="1"/>
    <col min="745" max="745" width="5.28515625" customWidth="1"/>
    <col min="746" max="746" width="15.7109375" customWidth="1"/>
    <col min="747" max="747" width="17" customWidth="1"/>
    <col min="748" max="748" width="37.5703125" customWidth="1"/>
    <col min="749" max="749" width="5.7109375" customWidth="1"/>
    <col min="750" max="750" width="12.140625" customWidth="1"/>
    <col min="751" max="751" width="14.85546875" customWidth="1"/>
    <col min="1001" max="1001" width="5.28515625" customWidth="1"/>
    <col min="1002" max="1002" width="15.7109375" customWidth="1"/>
    <col min="1003" max="1003" width="17" customWidth="1"/>
    <col min="1004" max="1004" width="37.5703125" customWidth="1"/>
    <col min="1005" max="1005" width="5.7109375" customWidth="1"/>
    <col min="1006" max="1006" width="12.140625" customWidth="1"/>
    <col min="1007" max="1007" width="14.85546875" customWidth="1"/>
    <col min="1257" max="1257" width="5.28515625" customWidth="1"/>
    <col min="1258" max="1258" width="15.7109375" customWidth="1"/>
    <col min="1259" max="1259" width="17" customWidth="1"/>
    <col min="1260" max="1260" width="37.5703125" customWidth="1"/>
    <col min="1261" max="1261" width="5.7109375" customWidth="1"/>
    <col min="1262" max="1262" width="12.140625" customWidth="1"/>
    <col min="1263" max="1263" width="14.85546875" customWidth="1"/>
    <col min="1513" max="1513" width="5.28515625" customWidth="1"/>
    <col min="1514" max="1514" width="15.7109375" customWidth="1"/>
    <col min="1515" max="1515" width="17" customWidth="1"/>
    <col min="1516" max="1516" width="37.5703125" customWidth="1"/>
    <col min="1517" max="1517" width="5.7109375" customWidth="1"/>
    <col min="1518" max="1518" width="12.140625" customWidth="1"/>
    <col min="1519" max="1519" width="14.85546875" customWidth="1"/>
    <col min="1769" max="1769" width="5.28515625" customWidth="1"/>
    <col min="1770" max="1770" width="15.7109375" customWidth="1"/>
    <col min="1771" max="1771" width="17" customWidth="1"/>
    <col min="1772" max="1772" width="37.5703125" customWidth="1"/>
    <col min="1773" max="1773" width="5.7109375" customWidth="1"/>
    <col min="1774" max="1774" width="12.140625" customWidth="1"/>
    <col min="1775" max="1775" width="14.85546875" customWidth="1"/>
    <col min="2025" max="2025" width="5.28515625" customWidth="1"/>
    <col min="2026" max="2026" width="15.7109375" customWidth="1"/>
    <col min="2027" max="2027" width="17" customWidth="1"/>
    <col min="2028" max="2028" width="37.5703125" customWidth="1"/>
    <col min="2029" max="2029" width="5.7109375" customWidth="1"/>
    <col min="2030" max="2030" width="12.140625" customWidth="1"/>
    <col min="2031" max="2031" width="14.85546875" customWidth="1"/>
    <col min="2281" max="2281" width="5.28515625" customWidth="1"/>
    <col min="2282" max="2282" width="15.7109375" customWidth="1"/>
    <col min="2283" max="2283" width="17" customWidth="1"/>
    <col min="2284" max="2284" width="37.5703125" customWidth="1"/>
    <col min="2285" max="2285" width="5.7109375" customWidth="1"/>
    <col min="2286" max="2286" width="12.140625" customWidth="1"/>
    <col min="2287" max="2287" width="14.85546875" customWidth="1"/>
    <col min="2537" max="2537" width="5.28515625" customWidth="1"/>
    <col min="2538" max="2538" width="15.7109375" customWidth="1"/>
    <col min="2539" max="2539" width="17" customWidth="1"/>
    <col min="2540" max="2540" width="37.5703125" customWidth="1"/>
    <col min="2541" max="2541" width="5.7109375" customWidth="1"/>
    <col min="2542" max="2542" width="12.140625" customWidth="1"/>
    <col min="2543" max="2543" width="14.85546875" customWidth="1"/>
    <col min="2793" max="2793" width="5.28515625" customWidth="1"/>
    <col min="2794" max="2794" width="15.7109375" customWidth="1"/>
    <col min="2795" max="2795" width="17" customWidth="1"/>
    <col min="2796" max="2796" width="37.5703125" customWidth="1"/>
    <col min="2797" max="2797" width="5.7109375" customWidth="1"/>
    <col min="2798" max="2798" width="12.140625" customWidth="1"/>
    <col min="2799" max="2799" width="14.85546875" customWidth="1"/>
    <col min="3049" max="3049" width="5.28515625" customWidth="1"/>
    <col min="3050" max="3050" width="15.7109375" customWidth="1"/>
    <col min="3051" max="3051" width="17" customWidth="1"/>
    <col min="3052" max="3052" width="37.5703125" customWidth="1"/>
    <col min="3053" max="3053" width="5.7109375" customWidth="1"/>
    <col min="3054" max="3054" width="12.140625" customWidth="1"/>
    <col min="3055" max="3055" width="14.85546875" customWidth="1"/>
    <col min="3305" max="3305" width="5.28515625" customWidth="1"/>
    <col min="3306" max="3306" width="15.7109375" customWidth="1"/>
    <col min="3307" max="3307" width="17" customWidth="1"/>
    <col min="3308" max="3308" width="37.5703125" customWidth="1"/>
    <col min="3309" max="3309" width="5.7109375" customWidth="1"/>
    <col min="3310" max="3310" width="12.140625" customWidth="1"/>
    <col min="3311" max="3311" width="14.85546875" customWidth="1"/>
    <col min="3561" max="3561" width="5.28515625" customWidth="1"/>
    <col min="3562" max="3562" width="15.7109375" customWidth="1"/>
    <col min="3563" max="3563" width="17" customWidth="1"/>
    <col min="3564" max="3564" width="37.5703125" customWidth="1"/>
    <col min="3565" max="3565" width="5.7109375" customWidth="1"/>
    <col min="3566" max="3566" width="12.140625" customWidth="1"/>
    <col min="3567" max="3567" width="14.85546875" customWidth="1"/>
    <col min="3817" max="3817" width="5.28515625" customWidth="1"/>
    <col min="3818" max="3818" width="15.7109375" customWidth="1"/>
    <col min="3819" max="3819" width="17" customWidth="1"/>
    <col min="3820" max="3820" width="37.5703125" customWidth="1"/>
    <col min="3821" max="3821" width="5.7109375" customWidth="1"/>
    <col min="3822" max="3822" width="12.140625" customWidth="1"/>
    <col min="3823" max="3823" width="14.85546875" customWidth="1"/>
    <col min="4073" max="4073" width="5.28515625" customWidth="1"/>
    <col min="4074" max="4074" width="15.7109375" customWidth="1"/>
    <col min="4075" max="4075" width="17" customWidth="1"/>
    <col min="4076" max="4076" width="37.5703125" customWidth="1"/>
    <col min="4077" max="4077" width="5.7109375" customWidth="1"/>
    <col min="4078" max="4078" width="12.140625" customWidth="1"/>
    <col min="4079" max="4079" width="14.85546875" customWidth="1"/>
    <col min="4329" max="4329" width="5.28515625" customWidth="1"/>
    <col min="4330" max="4330" width="15.7109375" customWidth="1"/>
    <col min="4331" max="4331" width="17" customWidth="1"/>
    <col min="4332" max="4332" width="37.5703125" customWidth="1"/>
    <col min="4333" max="4333" width="5.7109375" customWidth="1"/>
    <col min="4334" max="4334" width="12.140625" customWidth="1"/>
    <col min="4335" max="4335" width="14.85546875" customWidth="1"/>
    <col min="4585" max="4585" width="5.28515625" customWidth="1"/>
    <col min="4586" max="4586" width="15.7109375" customWidth="1"/>
    <col min="4587" max="4587" width="17" customWidth="1"/>
    <col min="4588" max="4588" width="37.5703125" customWidth="1"/>
    <col min="4589" max="4589" width="5.7109375" customWidth="1"/>
    <col min="4590" max="4590" width="12.140625" customWidth="1"/>
    <col min="4591" max="4591" width="14.85546875" customWidth="1"/>
    <col min="4841" max="4841" width="5.28515625" customWidth="1"/>
    <col min="4842" max="4842" width="15.7109375" customWidth="1"/>
    <col min="4843" max="4843" width="17" customWidth="1"/>
    <col min="4844" max="4844" width="37.5703125" customWidth="1"/>
    <col min="4845" max="4845" width="5.7109375" customWidth="1"/>
    <col min="4846" max="4846" width="12.140625" customWidth="1"/>
    <col min="4847" max="4847" width="14.85546875" customWidth="1"/>
    <col min="5097" max="5097" width="5.28515625" customWidth="1"/>
    <col min="5098" max="5098" width="15.7109375" customWidth="1"/>
    <col min="5099" max="5099" width="17" customWidth="1"/>
    <col min="5100" max="5100" width="37.5703125" customWidth="1"/>
    <col min="5101" max="5101" width="5.7109375" customWidth="1"/>
    <col min="5102" max="5102" width="12.140625" customWidth="1"/>
    <col min="5103" max="5103" width="14.85546875" customWidth="1"/>
    <col min="5353" max="5353" width="5.28515625" customWidth="1"/>
    <col min="5354" max="5354" width="15.7109375" customWidth="1"/>
    <col min="5355" max="5355" width="17" customWidth="1"/>
    <col min="5356" max="5356" width="37.5703125" customWidth="1"/>
    <col min="5357" max="5357" width="5.7109375" customWidth="1"/>
    <col min="5358" max="5358" width="12.140625" customWidth="1"/>
    <col min="5359" max="5359" width="14.85546875" customWidth="1"/>
    <col min="5609" max="5609" width="5.28515625" customWidth="1"/>
    <col min="5610" max="5610" width="15.7109375" customWidth="1"/>
    <col min="5611" max="5611" width="17" customWidth="1"/>
    <col min="5612" max="5612" width="37.5703125" customWidth="1"/>
    <col min="5613" max="5613" width="5.7109375" customWidth="1"/>
    <col min="5614" max="5614" width="12.140625" customWidth="1"/>
    <col min="5615" max="5615" width="14.85546875" customWidth="1"/>
    <col min="5865" max="5865" width="5.28515625" customWidth="1"/>
    <col min="5866" max="5866" width="15.7109375" customWidth="1"/>
    <col min="5867" max="5867" width="17" customWidth="1"/>
    <col min="5868" max="5868" width="37.5703125" customWidth="1"/>
    <col min="5869" max="5869" width="5.7109375" customWidth="1"/>
    <col min="5870" max="5870" width="12.140625" customWidth="1"/>
    <col min="5871" max="5871" width="14.85546875" customWidth="1"/>
    <col min="6121" max="6121" width="5.28515625" customWidth="1"/>
    <col min="6122" max="6122" width="15.7109375" customWidth="1"/>
    <col min="6123" max="6123" width="17" customWidth="1"/>
    <col min="6124" max="6124" width="37.5703125" customWidth="1"/>
    <col min="6125" max="6125" width="5.7109375" customWidth="1"/>
    <col min="6126" max="6126" width="12.140625" customWidth="1"/>
    <col min="6127" max="6127" width="14.85546875" customWidth="1"/>
    <col min="6377" max="6377" width="5.28515625" customWidth="1"/>
    <col min="6378" max="6378" width="15.7109375" customWidth="1"/>
    <col min="6379" max="6379" width="17" customWidth="1"/>
    <col min="6380" max="6380" width="37.5703125" customWidth="1"/>
    <col min="6381" max="6381" width="5.7109375" customWidth="1"/>
    <col min="6382" max="6382" width="12.140625" customWidth="1"/>
    <col min="6383" max="6383" width="14.85546875" customWidth="1"/>
    <col min="6633" max="6633" width="5.28515625" customWidth="1"/>
    <col min="6634" max="6634" width="15.7109375" customWidth="1"/>
    <col min="6635" max="6635" width="17" customWidth="1"/>
    <col min="6636" max="6636" width="37.5703125" customWidth="1"/>
    <col min="6637" max="6637" width="5.7109375" customWidth="1"/>
    <col min="6638" max="6638" width="12.140625" customWidth="1"/>
    <col min="6639" max="6639" width="14.85546875" customWidth="1"/>
    <col min="6889" max="6889" width="5.28515625" customWidth="1"/>
    <col min="6890" max="6890" width="15.7109375" customWidth="1"/>
    <col min="6891" max="6891" width="17" customWidth="1"/>
    <col min="6892" max="6892" width="37.5703125" customWidth="1"/>
    <col min="6893" max="6893" width="5.7109375" customWidth="1"/>
    <col min="6894" max="6894" width="12.140625" customWidth="1"/>
    <col min="6895" max="6895" width="14.85546875" customWidth="1"/>
    <col min="7145" max="7145" width="5.28515625" customWidth="1"/>
    <col min="7146" max="7146" width="15.7109375" customWidth="1"/>
    <col min="7147" max="7147" width="17" customWidth="1"/>
    <col min="7148" max="7148" width="37.5703125" customWidth="1"/>
    <col min="7149" max="7149" width="5.7109375" customWidth="1"/>
    <col min="7150" max="7150" width="12.140625" customWidth="1"/>
    <col min="7151" max="7151" width="14.85546875" customWidth="1"/>
    <col min="7401" max="7401" width="5.28515625" customWidth="1"/>
    <col min="7402" max="7402" width="15.7109375" customWidth="1"/>
    <col min="7403" max="7403" width="17" customWidth="1"/>
    <col min="7404" max="7404" width="37.5703125" customWidth="1"/>
    <col min="7405" max="7405" width="5.7109375" customWidth="1"/>
    <col min="7406" max="7406" width="12.140625" customWidth="1"/>
    <col min="7407" max="7407" width="14.85546875" customWidth="1"/>
    <col min="7657" max="7657" width="5.28515625" customWidth="1"/>
    <col min="7658" max="7658" width="15.7109375" customWidth="1"/>
    <col min="7659" max="7659" width="17" customWidth="1"/>
    <col min="7660" max="7660" width="37.5703125" customWidth="1"/>
    <col min="7661" max="7661" width="5.7109375" customWidth="1"/>
    <col min="7662" max="7662" width="12.140625" customWidth="1"/>
    <col min="7663" max="7663" width="14.85546875" customWidth="1"/>
    <col min="7913" max="7913" width="5.28515625" customWidth="1"/>
    <col min="7914" max="7914" width="15.7109375" customWidth="1"/>
    <col min="7915" max="7915" width="17" customWidth="1"/>
    <col min="7916" max="7916" width="37.5703125" customWidth="1"/>
    <col min="7917" max="7917" width="5.7109375" customWidth="1"/>
    <col min="7918" max="7918" width="12.140625" customWidth="1"/>
    <col min="7919" max="7919" width="14.85546875" customWidth="1"/>
    <col min="8169" max="8169" width="5.28515625" customWidth="1"/>
    <col min="8170" max="8170" width="15.7109375" customWidth="1"/>
    <col min="8171" max="8171" width="17" customWidth="1"/>
    <col min="8172" max="8172" width="37.5703125" customWidth="1"/>
    <col min="8173" max="8173" width="5.7109375" customWidth="1"/>
    <col min="8174" max="8174" width="12.140625" customWidth="1"/>
    <col min="8175" max="8175" width="14.85546875" customWidth="1"/>
    <col min="8425" max="8425" width="5.28515625" customWidth="1"/>
    <col min="8426" max="8426" width="15.7109375" customWidth="1"/>
    <col min="8427" max="8427" width="17" customWidth="1"/>
    <col min="8428" max="8428" width="37.5703125" customWidth="1"/>
    <col min="8429" max="8429" width="5.7109375" customWidth="1"/>
    <col min="8430" max="8430" width="12.140625" customWidth="1"/>
    <col min="8431" max="8431" width="14.85546875" customWidth="1"/>
    <col min="8681" max="8681" width="5.28515625" customWidth="1"/>
    <col min="8682" max="8682" width="15.7109375" customWidth="1"/>
    <col min="8683" max="8683" width="17" customWidth="1"/>
    <col min="8684" max="8684" width="37.5703125" customWidth="1"/>
    <col min="8685" max="8685" width="5.7109375" customWidth="1"/>
    <col min="8686" max="8686" width="12.140625" customWidth="1"/>
    <col min="8687" max="8687" width="14.85546875" customWidth="1"/>
    <col min="8937" max="8937" width="5.28515625" customWidth="1"/>
    <col min="8938" max="8938" width="15.7109375" customWidth="1"/>
    <col min="8939" max="8939" width="17" customWidth="1"/>
    <col min="8940" max="8940" width="37.5703125" customWidth="1"/>
    <col min="8941" max="8941" width="5.7109375" customWidth="1"/>
    <col min="8942" max="8942" width="12.140625" customWidth="1"/>
    <col min="8943" max="8943" width="14.85546875" customWidth="1"/>
    <col min="9193" max="9193" width="5.28515625" customWidth="1"/>
    <col min="9194" max="9194" width="15.7109375" customWidth="1"/>
    <col min="9195" max="9195" width="17" customWidth="1"/>
    <col min="9196" max="9196" width="37.5703125" customWidth="1"/>
    <col min="9197" max="9197" width="5.7109375" customWidth="1"/>
    <col min="9198" max="9198" width="12.140625" customWidth="1"/>
    <col min="9199" max="9199" width="14.85546875" customWidth="1"/>
    <col min="9449" max="9449" width="5.28515625" customWidth="1"/>
    <col min="9450" max="9450" width="15.7109375" customWidth="1"/>
    <col min="9451" max="9451" width="17" customWidth="1"/>
    <col min="9452" max="9452" width="37.5703125" customWidth="1"/>
    <col min="9453" max="9453" width="5.7109375" customWidth="1"/>
    <col min="9454" max="9454" width="12.140625" customWidth="1"/>
    <col min="9455" max="9455" width="14.85546875" customWidth="1"/>
    <col min="9705" max="9705" width="5.28515625" customWidth="1"/>
    <col min="9706" max="9706" width="15.7109375" customWidth="1"/>
    <col min="9707" max="9707" width="17" customWidth="1"/>
    <col min="9708" max="9708" width="37.5703125" customWidth="1"/>
    <col min="9709" max="9709" width="5.7109375" customWidth="1"/>
    <col min="9710" max="9710" width="12.140625" customWidth="1"/>
    <col min="9711" max="9711" width="14.85546875" customWidth="1"/>
    <col min="9961" max="9961" width="5.28515625" customWidth="1"/>
    <col min="9962" max="9962" width="15.7109375" customWidth="1"/>
    <col min="9963" max="9963" width="17" customWidth="1"/>
    <col min="9964" max="9964" width="37.5703125" customWidth="1"/>
    <col min="9965" max="9965" width="5.7109375" customWidth="1"/>
    <col min="9966" max="9966" width="12.140625" customWidth="1"/>
    <col min="9967" max="9967" width="14.85546875" customWidth="1"/>
    <col min="10217" max="10217" width="5.28515625" customWidth="1"/>
    <col min="10218" max="10218" width="15.7109375" customWidth="1"/>
    <col min="10219" max="10219" width="17" customWidth="1"/>
    <col min="10220" max="10220" width="37.5703125" customWidth="1"/>
    <col min="10221" max="10221" width="5.7109375" customWidth="1"/>
    <col min="10222" max="10222" width="12.140625" customWidth="1"/>
    <col min="10223" max="10223" width="14.85546875" customWidth="1"/>
    <col min="10473" max="10473" width="5.28515625" customWidth="1"/>
    <col min="10474" max="10474" width="15.7109375" customWidth="1"/>
    <col min="10475" max="10475" width="17" customWidth="1"/>
    <col min="10476" max="10476" width="37.5703125" customWidth="1"/>
    <col min="10477" max="10477" width="5.7109375" customWidth="1"/>
    <col min="10478" max="10478" width="12.140625" customWidth="1"/>
    <col min="10479" max="10479" width="14.85546875" customWidth="1"/>
    <col min="10729" max="10729" width="5.28515625" customWidth="1"/>
    <col min="10730" max="10730" width="15.7109375" customWidth="1"/>
    <col min="10731" max="10731" width="17" customWidth="1"/>
    <col min="10732" max="10732" width="37.5703125" customWidth="1"/>
    <col min="10733" max="10733" width="5.7109375" customWidth="1"/>
    <col min="10734" max="10734" width="12.140625" customWidth="1"/>
    <col min="10735" max="10735" width="14.85546875" customWidth="1"/>
    <col min="10985" max="10985" width="5.28515625" customWidth="1"/>
    <col min="10986" max="10986" width="15.7109375" customWidth="1"/>
    <col min="10987" max="10987" width="17" customWidth="1"/>
    <col min="10988" max="10988" width="37.5703125" customWidth="1"/>
    <col min="10989" max="10989" width="5.7109375" customWidth="1"/>
    <col min="10990" max="10990" width="12.140625" customWidth="1"/>
    <col min="10991" max="10991" width="14.85546875" customWidth="1"/>
    <col min="11241" max="11241" width="5.28515625" customWidth="1"/>
    <col min="11242" max="11242" width="15.7109375" customWidth="1"/>
    <col min="11243" max="11243" width="17" customWidth="1"/>
    <col min="11244" max="11244" width="37.5703125" customWidth="1"/>
    <col min="11245" max="11245" width="5.7109375" customWidth="1"/>
    <col min="11246" max="11246" width="12.140625" customWidth="1"/>
    <col min="11247" max="11247" width="14.85546875" customWidth="1"/>
    <col min="11497" max="11497" width="5.28515625" customWidth="1"/>
    <col min="11498" max="11498" width="15.7109375" customWidth="1"/>
    <col min="11499" max="11499" width="17" customWidth="1"/>
    <col min="11500" max="11500" width="37.5703125" customWidth="1"/>
    <col min="11501" max="11501" width="5.7109375" customWidth="1"/>
    <col min="11502" max="11502" width="12.140625" customWidth="1"/>
    <col min="11503" max="11503" width="14.85546875" customWidth="1"/>
    <col min="11753" max="11753" width="5.28515625" customWidth="1"/>
    <col min="11754" max="11754" width="15.7109375" customWidth="1"/>
    <col min="11755" max="11755" width="17" customWidth="1"/>
    <col min="11756" max="11756" width="37.5703125" customWidth="1"/>
    <col min="11757" max="11757" width="5.7109375" customWidth="1"/>
    <col min="11758" max="11758" width="12.140625" customWidth="1"/>
    <col min="11759" max="11759" width="14.85546875" customWidth="1"/>
    <col min="12009" max="12009" width="5.28515625" customWidth="1"/>
    <col min="12010" max="12010" width="15.7109375" customWidth="1"/>
    <col min="12011" max="12011" width="17" customWidth="1"/>
    <col min="12012" max="12012" width="37.5703125" customWidth="1"/>
    <col min="12013" max="12013" width="5.7109375" customWidth="1"/>
    <col min="12014" max="12014" width="12.140625" customWidth="1"/>
    <col min="12015" max="12015" width="14.85546875" customWidth="1"/>
    <col min="12265" max="12265" width="5.28515625" customWidth="1"/>
    <col min="12266" max="12266" width="15.7109375" customWidth="1"/>
    <col min="12267" max="12267" width="17" customWidth="1"/>
    <col min="12268" max="12268" width="37.5703125" customWidth="1"/>
    <col min="12269" max="12269" width="5.7109375" customWidth="1"/>
    <col min="12270" max="12270" width="12.140625" customWidth="1"/>
    <col min="12271" max="12271" width="14.85546875" customWidth="1"/>
    <col min="12521" max="12521" width="5.28515625" customWidth="1"/>
    <col min="12522" max="12522" width="15.7109375" customWidth="1"/>
    <col min="12523" max="12523" width="17" customWidth="1"/>
    <col min="12524" max="12524" width="37.5703125" customWidth="1"/>
    <col min="12525" max="12525" width="5.7109375" customWidth="1"/>
    <col min="12526" max="12526" width="12.140625" customWidth="1"/>
    <col min="12527" max="12527" width="14.85546875" customWidth="1"/>
    <col min="12777" max="12777" width="5.28515625" customWidth="1"/>
    <col min="12778" max="12778" width="15.7109375" customWidth="1"/>
    <col min="12779" max="12779" width="17" customWidth="1"/>
    <col min="12780" max="12780" width="37.5703125" customWidth="1"/>
    <col min="12781" max="12781" width="5.7109375" customWidth="1"/>
    <col min="12782" max="12782" width="12.140625" customWidth="1"/>
    <col min="12783" max="12783" width="14.85546875" customWidth="1"/>
    <col min="13033" max="13033" width="5.28515625" customWidth="1"/>
    <col min="13034" max="13034" width="15.7109375" customWidth="1"/>
    <col min="13035" max="13035" width="17" customWidth="1"/>
    <col min="13036" max="13036" width="37.5703125" customWidth="1"/>
    <col min="13037" max="13037" width="5.7109375" customWidth="1"/>
    <col min="13038" max="13038" width="12.140625" customWidth="1"/>
    <col min="13039" max="13039" width="14.85546875" customWidth="1"/>
    <col min="13289" max="13289" width="5.28515625" customWidth="1"/>
    <col min="13290" max="13290" width="15.7109375" customWidth="1"/>
    <col min="13291" max="13291" width="17" customWidth="1"/>
    <col min="13292" max="13292" width="37.5703125" customWidth="1"/>
    <col min="13293" max="13293" width="5.7109375" customWidth="1"/>
    <col min="13294" max="13294" width="12.140625" customWidth="1"/>
    <col min="13295" max="13295" width="14.85546875" customWidth="1"/>
    <col min="13545" max="13545" width="5.28515625" customWidth="1"/>
    <col min="13546" max="13546" width="15.7109375" customWidth="1"/>
    <col min="13547" max="13547" width="17" customWidth="1"/>
    <col min="13548" max="13548" width="37.5703125" customWidth="1"/>
    <col min="13549" max="13549" width="5.7109375" customWidth="1"/>
    <col min="13550" max="13550" width="12.140625" customWidth="1"/>
    <col min="13551" max="13551" width="14.85546875" customWidth="1"/>
    <col min="13801" max="13801" width="5.28515625" customWidth="1"/>
    <col min="13802" max="13802" width="15.7109375" customWidth="1"/>
    <col min="13803" max="13803" width="17" customWidth="1"/>
    <col min="13804" max="13804" width="37.5703125" customWidth="1"/>
    <col min="13805" max="13805" width="5.7109375" customWidth="1"/>
    <col min="13806" max="13806" width="12.140625" customWidth="1"/>
    <col min="13807" max="13807" width="14.85546875" customWidth="1"/>
    <col min="14057" max="14057" width="5.28515625" customWidth="1"/>
    <col min="14058" max="14058" width="15.7109375" customWidth="1"/>
    <col min="14059" max="14059" width="17" customWidth="1"/>
    <col min="14060" max="14060" width="37.5703125" customWidth="1"/>
    <col min="14061" max="14061" width="5.7109375" customWidth="1"/>
    <col min="14062" max="14062" width="12.140625" customWidth="1"/>
    <col min="14063" max="14063" width="14.85546875" customWidth="1"/>
    <col min="14313" max="14313" width="5.28515625" customWidth="1"/>
    <col min="14314" max="14314" width="15.7109375" customWidth="1"/>
    <col min="14315" max="14315" width="17" customWidth="1"/>
    <col min="14316" max="14316" width="37.5703125" customWidth="1"/>
    <col min="14317" max="14317" width="5.7109375" customWidth="1"/>
    <col min="14318" max="14318" width="12.140625" customWidth="1"/>
    <col min="14319" max="14319" width="14.85546875" customWidth="1"/>
    <col min="14569" max="14569" width="5.28515625" customWidth="1"/>
    <col min="14570" max="14570" width="15.7109375" customWidth="1"/>
    <col min="14571" max="14571" width="17" customWidth="1"/>
    <col min="14572" max="14572" width="37.5703125" customWidth="1"/>
    <col min="14573" max="14573" width="5.7109375" customWidth="1"/>
    <col min="14574" max="14574" width="12.140625" customWidth="1"/>
    <col min="14575" max="14575" width="14.85546875" customWidth="1"/>
    <col min="14825" max="14825" width="5.28515625" customWidth="1"/>
    <col min="14826" max="14826" width="15.7109375" customWidth="1"/>
    <col min="14827" max="14827" width="17" customWidth="1"/>
    <col min="14828" max="14828" width="37.5703125" customWidth="1"/>
    <col min="14829" max="14829" width="5.7109375" customWidth="1"/>
    <col min="14830" max="14830" width="12.140625" customWidth="1"/>
    <col min="14831" max="14831" width="14.85546875" customWidth="1"/>
    <col min="15081" max="15081" width="5.28515625" customWidth="1"/>
    <col min="15082" max="15082" width="15.7109375" customWidth="1"/>
    <col min="15083" max="15083" width="17" customWidth="1"/>
    <col min="15084" max="15084" width="37.5703125" customWidth="1"/>
    <col min="15085" max="15085" width="5.7109375" customWidth="1"/>
    <col min="15086" max="15086" width="12.140625" customWidth="1"/>
    <col min="15087" max="15087" width="14.85546875" customWidth="1"/>
    <col min="15337" max="15337" width="5.28515625" customWidth="1"/>
    <col min="15338" max="15338" width="15.7109375" customWidth="1"/>
    <col min="15339" max="15339" width="17" customWidth="1"/>
    <col min="15340" max="15340" width="37.5703125" customWidth="1"/>
    <col min="15341" max="15341" width="5.7109375" customWidth="1"/>
    <col min="15342" max="15342" width="12.140625" customWidth="1"/>
    <col min="15343" max="15343" width="14.85546875" customWidth="1"/>
    <col min="15593" max="15593" width="5.28515625" customWidth="1"/>
    <col min="15594" max="15594" width="15.7109375" customWidth="1"/>
    <col min="15595" max="15595" width="17" customWidth="1"/>
    <col min="15596" max="15596" width="37.5703125" customWidth="1"/>
    <col min="15597" max="15597" width="5.7109375" customWidth="1"/>
    <col min="15598" max="15598" width="12.140625" customWidth="1"/>
    <col min="15599" max="15599" width="14.85546875" customWidth="1"/>
    <col min="15849" max="15849" width="5.28515625" customWidth="1"/>
    <col min="15850" max="15850" width="15.7109375" customWidth="1"/>
    <col min="15851" max="15851" width="17" customWidth="1"/>
    <col min="15852" max="15852" width="37.5703125" customWidth="1"/>
    <col min="15853" max="15853" width="5.7109375" customWidth="1"/>
    <col min="15854" max="15854" width="12.140625" customWidth="1"/>
    <col min="15855" max="15855" width="14.85546875" customWidth="1"/>
    <col min="16105" max="16105" width="5.28515625" customWidth="1"/>
    <col min="16106" max="16106" width="15.7109375" customWidth="1"/>
    <col min="16107" max="16107" width="17" customWidth="1"/>
    <col min="16108" max="16108" width="37.5703125" customWidth="1"/>
    <col min="16109" max="16109" width="5.7109375" customWidth="1"/>
    <col min="16110" max="16110" width="12.140625" customWidth="1"/>
    <col min="16111" max="16111" width="14.85546875" customWidth="1"/>
  </cols>
  <sheetData>
    <row r="1" spans="1:9" s="64" customFormat="1" ht="26.25" customHeight="1">
      <c r="A1" s="307" t="s">
        <v>17</v>
      </c>
      <c r="B1" s="307"/>
      <c r="C1" s="307"/>
      <c r="D1" s="307"/>
      <c r="E1" s="307"/>
      <c r="F1" s="307"/>
      <c r="G1" s="307"/>
      <c r="H1" s="307"/>
      <c r="I1" s="307"/>
    </row>
    <row r="2" spans="1:9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9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9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9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9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9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9" s="61" customFormat="1" ht="15" customHeight="1">
      <c r="A8" s="62" t="s">
        <v>150</v>
      </c>
      <c r="F8" s="312"/>
      <c r="G8" s="312"/>
      <c r="H8" s="126" t="s">
        <v>45</v>
      </c>
      <c r="I8" s="119">
        <v>45790</v>
      </c>
    </row>
    <row r="9" spans="1:9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</row>
    <row r="10" spans="1:9" s="54" customFormat="1" ht="25.5">
      <c r="B10" s="127" t="s">
        <v>140</v>
      </c>
      <c r="C10" s="59"/>
      <c r="D10" s="56"/>
      <c r="E10" s="56"/>
      <c r="F10" s="56"/>
      <c r="G10" s="56"/>
      <c r="H10" s="56"/>
      <c r="I10" s="56"/>
    </row>
    <row r="11" spans="1:9" s="54" customFormat="1" ht="18" customHeight="1">
      <c r="A11" s="55" t="s">
        <v>42</v>
      </c>
      <c r="B11" s="54" t="s">
        <v>141</v>
      </c>
      <c r="C11" s="57"/>
      <c r="D11" s="56"/>
      <c r="E11" s="55"/>
      <c r="F11" s="55"/>
      <c r="G11" s="55"/>
      <c r="H11" s="55"/>
      <c r="I11" s="55"/>
    </row>
    <row r="12" spans="1:9" s="53" customFormat="1" ht="29.25" customHeight="1">
      <c r="A12" s="335" t="s">
        <v>40</v>
      </c>
      <c r="B12" s="335"/>
      <c r="C12" s="335"/>
      <c r="D12" s="335"/>
      <c r="E12" s="335"/>
      <c r="F12" s="335"/>
      <c r="G12" s="335"/>
      <c r="H12" s="335"/>
      <c r="I12" s="335"/>
    </row>
    <row r="13" spans="1:9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36"/>
      <c r="G13" s="337"/>
      <c r="H13" s="337"/>
      <c r="I13" s="337"/>
    </row>
    <row r="14" spans="1:9" s="47" customFormat="1" ht="18" customHeight="1">
      <c r="A14" s="118"/>
      <c r="B14" s="128" t="s">
        <v>142</v>
      </c>
      <c r="C14" s="51" t="s">
        <v>152</v>
      </c>
      <c r="D14" s="118"/>
      <c r="E14" s="49"/>
      <c r="F14" s="338" t="s">
        <v>143</v>
      </c>
      <c r="G14" s="338"/>
      <c r="H14" s="338"/>
      <c r="I14" s="338"/>
    </row>
    <row r="15" spans="1:9" s="29" customFormat="1" ht="25.5">
      <c r="A15" s="129" t="s">
        <v>33</v>
      </c>
      <c r="B15" s="130" t="s">
        <v>32</v>
      </c>
      <c r="C15" s="130" t="s">
        <v>31</v>
      </c>
      <c r="D15" s="130" t="s">
        <v>30</v>
      </c>
      <c r="E15" s="131" t="s">
        <v>29</v>
      </c>
      <c r="F15" s="131" t="s">
        <v>28</v>
      </c>
      <c r="G15" s="131" t="s">
        <v>27</v>
      </c>
      <c r="H15" s="131" t="s">
        <v>26</v>
      </c>
      <c r="I15" s="131" t="s">
        <v>25</v>
      </c>
    </row>
    <row r="16" spans="1:9" s="38" customFormat="1" ht="18.75" customHeight="1">
      <c r="A16" s="37">
        <v>1</v>
      </c>
      <c r="B16" s="132" t="s">
        <v>144</v>
      </c>
      <c r="C16" s="133" t="s">
        <v>145</v>
      </c>
      <c r="D16" s="134">
        <v>2</v>
      </c>
      <c r="E16" s="135">
        <v>11011</v>
      </c>
      <c r="F16" s="136">
        <f>E16*D16</f>
        <v>22022</v>
      </c>
      <c r="G16" s="33">
        <v>0.18</v>
      </c>
      <c r="H16" s="137">
        <f>G16*F16</f>
        <v>3963.96</v>
      </c>
      <c r="I16" s="136">
        <f>H16+F16</f>
        <v>25985.96</v>
      </c>
    </row>
    <row r="17" spans="1:10" s="38" customFormat="1" ht="18.75" customHeight="1">
      <c r="A17" s="37">
        <v>2</v>
      </c>
      <c r="B17" s="132" t="s">
        <v>86</v>
      </c>
      <c r="C17" s="133" t="s">
        <v>87</v>
      </c>
      <c r="D17" s="134">
        <v>1</v>
      </c>
      <c r="E17" s="135">
        <v>2276</v>
      </c>
      <c r="F17" s="136">
        <f>E17*D17</f>
        <v>2276</v>
      </c>
      <c r="G17" s="33">
        <v>0.18</v>
      </c>
      <c r="H17" s="137">
        <f>G17*F17</f>
        <v>409.68</v>
      </c>
      <c r="I17" s="136">
        <f>H17+F17</f>
        <v>2685.68</v>
      </c>
    </row>
    <row r="18" spans="1:10" s="38" customFormat="1" ht="18.75" customHeight="1">
      <c r="A18" s="37">
        <v>3</v>
      </c>
      <c r="B18" s="132" t="s">
        <v>148</v>
      </c>
      <c r="C18" s="133" t="s">
        <v>149</v>
      </c>
      <c r="D18" s="134">
        <v>1</v>
      </c>
      <c r="E18" s="135">
        <v>19532</v>
      </c>
      <c r="F18" s="136">
        <f>E18*D18</f>
        <v>19532</v>
      </c>
      <c r="G18" s="33">
        <v>0.18</v>
      </c>
      <c r="H18" s="137">
        <f>G18*F18</f>
        <v>3515.7599999999998</v>
      </c>
      <c r="I18" s="136">
        <f>H18+F18</f>
        <v>23047.759999999998</v>
      </c>
    </row>
    <row r="19" spans="1:10" s="38" customFormat="1" ht="18.75" customHeight="1">
      <c r="A19" s="37">
        <v>4</v>
      </c>
      <c r="B19" s="138" t="s">
        <v>89</v>
      </c>
      <c r="C19" s="139" t="s">
        <v>90</v>
      </c>
      <c r="D19" s="140">
        <v>2</v>
      </c>
      <c r="E19" s="135">
        <v>21861</v>
      </c>
      <c r="F19" s="136">
        <f>E19*D19</f>
        <v>43722</v>
      </c>
      <c r="G19" s="33">
        <v>0.18</v>
      </c>
      <c r="H19" s="137">
        <f>G19*F19</f>
        <v>7869.96</v>
      </c>
      <c r="I19" s="136">
        <f>H19+F19</f>
        <v>51591.96</v>
      </c>
      <c r="J19" s="39"/>
    </row>
    <row r="20" spans="1:10" s="38" customFormat="1" ht="18.75" customHeight="1">
      <c r="A20" s="37">
        <v>5</v>
      </c>
      <c r="B20" s="138" t="s">
        <v>24</v>
      </c>
      <c r="C20" s="139" t="s">
        <v>88</v>
      </c>
      <c r="D20" s="140">
        <v>1</v>
      </c>
      <c r="E20" s="135">
        <v>8867</v>
      </c>
      <c r="F20" s="136">
        <f>E20*D20</f>
        <v>8867</v>
      </c>
      <c r="G20" s="33">
        <v>0.18</v>
      </c>
      <c r="H20" s="137">
        <f>G20*F20</f>
        <v>1596.06</v>
      </c>
      <c r="I20" s="136">
        <f>H20+F20</f>
        <v>10463.06</v>
      </c>
    </row>
    <row r="21" spans="1:10" s="38" customFormat="1" ht="18.75" customHeight="1">
      <c r="A21" s="320" t="s">
        <v>20</v>
      </c>
      <c r="B21" s="321"/>
      <c r="C21" s="339"/>
      <c r="D21" s="28"/>
      <c r="E21" s="141"/>
      <c r="F21" s="141">
        <f>SUM(F16:F20)</f>
        <v>96419</v>
      </c>
      <c r="G21" s="142"/>
      <c r="H21" s="141">
        <f>SUM(H16:H20)</f>
        <v>17355.420000000002</v>
      </c>
      <c r="I21" s="141">
        <f>SUM(I16:I20)</f>
        <v>113774.41999999998</v>
      </c>
    </row>
    <row r="22" spans="1:10" s="38" customFormat="1" ht="18.75" customHeight="1">
      <c r="A22" s="320" t="s">
        <v>19</v>
      </c>
      <c r="B22" s="321"/>
      <c r="C22" s="321"/>
      <c r="D22" s="321"/>
      <c r="E22" s="321"/>
      <c r="F22" s="321"/>
      <c r="G22" s="321"/>
      <c r="H22" s="339"/>
      <c r="I22" s="142">
        <f>ROUND(I21,0)</f>
        <v>113774</v>
      </c>
    </row>
    <row r="23" spans="1:10" s="3" customFormat="1" ht="23.25" customHeight="1">
      <c r="A23" s="323" t="s">
        <v>151</v>
      </c>
      <c r="B23" s="324"/>
      <c r="C23" s="324"/>
      <c r="D23" s="324"/>
      <c r="E23" s="324"/>
      <c r="F23" s="324"/>
      <c r="G23" s="324"/>
      <c r="H23" s="324"/>
      <c r="I23" s="324"/>
    </row>
    <row r="24" spans="1:10" s="6" customFormat="1" ht="21.75" customHeight="1">
      <c r="A24" s="11" t="s">
        <v>15</v>
      </c>
      <c r="B24" s="9"/>
      <c r="C24" s="10"/>
      <c r="D24" s="9"/>
      <c r="E24" s="8"/>
      <c r="F24" s="8"/>
      <c r="G24" s="3"/>
      <c r="H24" s="3"/>
    </row>
    <row r="25" spans="1:10" s="6" customFormat="1" ht="16.5" customHeight="1">
      <c r="A25" s="5">
        <v>1</v>
      </c>
      <c r="B25" s="7" t="s">
        <v>14</v>
      </c>
      <c r="C25" s="326" t="s">
        <v>146</v>
      </c>
      <c r="D25" s="326"/>
      <c r="E25" s="326"/>
      <c r="F25" s="326"/>
      <c r="G25" s="326"/>
      <c r="H25" s="115"/>
    </row>
    <row r="26" spans="1:10" s="6" customFormat="1" ht="18" customHeight="1">
      <c r="A26" s="5">
        <v>2</v>
      </c>
      <c r="B26" s="7" t="s">
        <v>12</v>
      </c>
      <c r="C26" s="326" t="s">
        <v>11</v>
      </c>
      <c r="D26" s="326"/>
      <c r="E26" s="326"/>
      <c r="F26" s="326"/>
      <c r="G26" s="326"/>
      <c r="H26" s="115"/>
    </row>
    <row r="27" spans="1:10" s="6" customFormat="1" ht="16.5" customHeight="1">
      <c r="A27" s="5">
        <v>3</v>
      </c>
      <c r="B27" s="7" t="s">
        <v>10</v>
      </c>
      <c r="C27" s="326" t="s">
        <v>9</v>
      </c>
      <c r="D27" s="326"/>
      <c r="E27" s="326"/>
      <c r="F27" s="326"/>
      <c r="G27" s="326"/>
      <c r="H27" s="115"/>
      <c r="I27" s="116" t="s">
        <v>8</v>
      </c>
    </row>
    <row r="28" spans="1:10" s="6" customFormat="1" ht="16.5" customHeight="1">
      <c r="A28" s="5">
        <v>4</v>
      </c>
      <c r="B28" s="7" t="s">
        <v>7</v>
      </c>
      <c r="C28" s="326" t="s">
        <v>147</v>
      </c>
      <c r="D28" s="326"/>
      <c r="E28" s="326"/>
      <c r="F28" s="326"/>
      <c r="G28" s="326"/>
      <c r="H28" s="115"/>
    </row>
    <row r="29" spans="1:10" s="6" customFormat="1" ht="16.5" customHeight="1">
      <c r="A29" s="5">
        <v>5</v>
      </c>
      <c r="B29" s="7" t="s">
        <v>5</v>
      </c>
      <c r="C29" s="326" t="s">
        <v>4</v>
      </c>
      <c r="D29" s="326"/>
      <c r="E29" s="326"/>
      <c r="F29" s="326"/>
      <c r="G29" s="326"/>
      <c r="H29" s="115"/>
      <c r="I29" s="116" t="s">
        <v>3</v>
      </c>
    </row>
    <row r="30" spans="1:10" s="3" customFormat="1" ht="38.25" customHeight="1">
      <c r="A30" s="5">
        <v>7</v>
      </c>
      <c r="B30" s="117" t="s">
        <v>2</v>
      </c>
      <c r="C30" s="328" t="s">
        <v>1</v>
      </c>
      <c r="D30" s="328"/>
      <c r="E30" s="328"/>
      <c r="F30" s="328"/>
      <c r="G30" s="328"/>
      <c r="H30" s="117"/>
      <c r="I30" s="143" t="s">
        <v>0</v>
      </c>
    </row>
    <row r="31" spans="1:10">
      <c r="D31" s="144"/>
    </row>
  </sheetData>
  <mergeCells count="22">
    <mergeCell ref="C27:G27"/>
    <mergeCell ref="C28:G28"/>
    <mergeCell ref="C29:G29"/>
    <mergeCell ref="C30:G30"/>
    <mergeCell ref="F14:I14"/>
    <mergeCell ref="A21:C21"/>
    <mergeCell ref="A22:H22"/>
    <mergeCell ref="A23:I23"/>
    <mergeCell ref="C25:G25"/>
    <mergeCell ref="C26:G26"/>
    <mergeCell ref="A7:I7"/>
    <mergeCell ref="F8:G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printOptions horizontalCentered="1" verticalCentered="1"/>
  <pageMargins left="0" right="0" top="0.23622047244094491" bottom="0.19685039370078741" header="0.19685039370078741" footer="0.15748031496062992"/>
  <pageSetup paperSize="9" scale="80" fitToWidth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0"/>
  <sheetViews>
    <sheetView workbookViewId="0">
      <selection activeCell="G26" sqref="G26"/>
    </sheetView>
  </sheetViews>
  <sheetFormatPr defaultRowHeight="15"/>
  <cols>
    <col min="1" max="1" width="5.28515625" customWidth="1"/>
    <col min="2" max="2" width="32.42578125" style="2" customWidth="1"/>
    <col min="3" max="3" width="26.28515625" style="2" customWidth="1"/>
    <col min="4" max="4" width="5.7109375" customWidth="1"/>
    <col min="5" max="5" width="15" style="167" customWidth="1"/>
    <col min="6" max="6" width="7.140625" style="167" customWidth="1"/>
    <col min="7" max="7" width="15" style="167" customWidth="1"/>
    <col min="8" max="8" width="8.28515625" style="167" customWidth="1"/>
    <col min="9" max="9" width="13.42578125" style="167" customWidth="1"/>
    <col min="10" max="10" width="15.28515625" style="167" customWidth="1"/>
    <col min="11" max="11" width="18.5703125" customWidth="1"/>
    <col min="12" max="12" width="11.85546875" bestFit="1" customWidth="1"/>
    <col min="235" max="235" width="5.28515625" customWidth="1"/>
    <col min="236" max="236" width="15.7109375" customWidth="1"/>
    <col min="237" max="237" width="17" customWidth="1"/>
    <col min="238" max="238" width="37.5703125" customWidth="1"/>
    <col min="239" max="239" width="5.7109375" customWidth="1"/>
    <col min="240" max="240" width="12.140625" customWidth="1"/>
    <col min="241" max="241" width="14.85546875" customWidth="1"/>
    <col min="491" max="491" width="5.28515625" customWidth="1"/>
    <col min="492" max="492" width="15.7109375" customWidth="1"/>
    <col min="493" max="493" width="17" customWidth="1"/>
    <col min="494" max="494" width="37.5703125" customWidth="1"/>
    <col min="495" max="495" width="5.7109375" customWidth="1"/>
    <col min="496" max="496" width="12.140625" customWidth="1"/>
    <col min="497" max="497" width="14.85546875" customWidth="1"/>
    <col min="747" max="747" width="5.28515625" customWidth="1"/>
    <col min="748" max="748" width="15.7109375" customWidth="1"/>
    <col min="749" max="749" width="17" customWidth="1"/>
    <col min="750" max="750" width="37.5703125" customWidth="1"/>
    <col min="751" max="751" width="5.7109375" customWidth="1"/>
    <col min="752" max="752" width="12.140625" customWidth="1"/>
    <col min="753" max="753" width="14.85546875" customWidth="1"/>
    <col min="1003" max="1003" width="5.28515625" customWidth="1"/>
    <col min="1004" max="1004" width="15.7109375" customWidth="1"/>
    <col min="1005" max="1005" width="17" customWidth="1"/>
    <col min="1006" max="1006" width="37.5703125" customWidth="1"/>
    <col min="1007" max="1007" width="5.7109375" customWidth="1"/>
    <col min="1008" max="1008" width="12.140625" customWidth="1"/>
    <col min="1009" max="1009" width="14.85546875" customWidth="1"/>
    <col min="1259" max="1259" width="5.28515625" customWidth="1"/>
    <col min="1260" max="1260" width="15.7109375" customWidth="1"/>
    <col min="1261" max="1261" width="17" customWidth="1"/>
    <col min="1262" max="1262" width="37.5703125" customWidth="1"/>
    <col min="1263" max="1263" width="5.7109375" customWidth="1"/>
    <col min="1264" max="1264" width="12.140625" customWidth="1"/>
    <col min="1265" max="1265" width="14.85546875" customWidth="1"/>
    <col min="1515" max="1515" width="5.28515625" customWidth="1"/>
    <col min="1516" max="1516" width="15.7109375" customWidth="1"/>
    <col min="1517" max="1517" width="17" customWidth="1"/>
    <col min="1518" max="1518" width="37.5703125" customWidth="1"/>
    <col min="1519" max="1519" width="5.7109375" customWidth="1"/>
    <col min="1520" max="1520" width="12.140625" customWidth="1"/>
    <col min="1521" max="1521" width="14.85546875" customWidth="1"/>
    <col min="1771" max="1771" width="5.28515625" customWidth="1"/>
    <col min="1772" max="1772" width="15.7109375" customWidth="1"/>
    <col min="1773" max="1773" width="17" customWidth="1"/>
    <col min="1774" max="1774" width="37.5703125" customWidth="1"/>
    <col min="1775" max="1775" width="5.7109375" customWidth="1"/>
    <col min="1776" max="1776" width="12.140625" customWidth="1"/>
    <col min="1777" max="1777" width="14.85546875" customWidth="1"/>
    <col min="2027" max="2027" width="5.28515625" customWidth="1"/>
    <col min="2028" max="2028" width="15.7109375" customWidth="1"/>
    <col min="2029" max="2029" width="17" customWidth="1"/>
    <col min="2030" max="2030" width="37.5703125" customWidth="1"/>
    <col min="2031" max="2031" width="5.7109375" customWidth="1"/>
    <col min="2032" max="2032" width="12.140625" customWidth="1"/>
    <col min="2033" max="2033" width="14.85546875" customWidth="1"/>
    <col min="2283" max="2283" width="5.28515625" customWidth="1"/>
    <col min="2284" max="2284" width="15.7109375" customWidth="1"/>
    <col min="2285" max="2285" width="17" customWidth="1"/>
    <col min="2286" max="2286" width="37.5703125" customWidth="1"/>
    <col min="2287" max="2287" width="5.7109375" customWidth="1"/>
    <col min="2288" max="2288" width="12.140625" customWidth="1"/>
    <col min="2289" max="2289" width="14.85546875" customWidth="1"/>
    <col min="2539" max="2539" width="5.28515625" customWidth="1"/>
    <col min="2540" max="2540" width="15.7109375" customWidth="1"/>
    <col min="2541" max="2541" width="17" customWidth="1"/>
    <col min="2542" max="2542" width="37.5703125" customWidth="1"/>
    <col min="2543" max="2543" width="5.7109375" customWidth="1"/>
    <col min="2544" max="2544" width="12.140625" customWidth="1"/>
    <col min="2545" max="2545" width="14.85546875" customWidth="1"/>
    <col min="2795" max="2795" width="5.28515625" customWidth="1"/>
    <col min="2796" max="2796" width="15.7109375" customWidth="1"/>
    <col min="2797" max="2797" width="17" customWidth="1"/>
    <col min="2798" max="2798" width="37.5703125" customWidth="1"/>
    <col min="2799" max="2799" width="5.7109375" customWidth="1"/>
    <col min="2800" max="2800" width="12.140625" customWidth="1"/>
    <col min="2801" max="2801" width="14.85546875" customWidth="1"/>
    <col min="3051" max="3051" width="5.28515625" customWidth="1"/>
    <col min="3052" max="3052" width="15.7109375" customWidth="1"/>
    <col min="3053" max="3053" width="17" customWidth="1"/>
    <col min="3054" max="3054" width="37.5703125" customWidth="1"/>
    <col min="3055" max="3055" width="5.7109375" customWidth="1"/>
    <col min="3056" max="3056" width="12.140625" customWidth="1"/>
    <col min="3057" max="3057" width="14.85546875" customWidth="1"/>
    <col min="3307" max="3307" width="5.28515625" customWidth="1"/>
    <col min="3308" max="3308" width="15.7109375" customWidth="1"/>
    <col min="3309" max="3309" width="17" customWidth="1"/>
    <col min="3310" max="3310" width="37.5703125" customWidth="1"/>
    <col min="3311" max="3311" width="5.7109375" customWidth="1"/>
    <col min="3312" max="3312" width="12.140625" customWidth="1"/>
    <col min="3313" max="3313" width="14.85546875" customWidth="1"/>
    <col min="3563" max="3563" width="5.28515625" customWidth="1"/>
    <col min="3564" max="3564" width="15.7109375" customWidth="1"/>
    <col min="3565" max="3565" width="17" customWidth="1"/>
    <col min="3566" max="3566" width="37.5703125" customWidth="1"/>
    <col min="3567" max="3567" width="5.7109375" customWidth="1"/>
    <col min="3568" max="3568" width="12.140625" customWidth="1"/>
    <col min="3569" max="3569" width="14.85546875" customWidth="1"/>
    <col min="3819" max="3819" width="5.28515625" customWidth="1"/>
    <col min="3820" max="3820" width="15.7109375" customWidth="1"/>
    <col min="3821" max="3821" width="17" customWidth="1"/>
    <col min="3822" max="3822" width="37.5703125" customWidth="1"/>
    <col min="3823" max="3823" width="5.7109375" customWidth="1"/>
    <col min="3824" max="3824" width="12.140625" customWidth="1"/>
    <col min="3825" max="3825" width="14.85546875" customWidth="1"/>
    <col min="4075" max="4075" width="5.28515625" customWidth="1"/>
    <col min="4076" max="4076" width="15.7109375" customWidth="1"/>
    <col min="4077" max="4077" width="17" customWidth="1"/>
    <col min="4078" max="4078" width="37.5703125" customWidth="1"/>
    <col min="4079" max="4079" width="5.7109375" customWidth="1"/>
    <col min="4080" max="4080" width="12.140625" customWidth="1"/>
    <col min="4081" max="4081" width="14.85546875" customWidth="1"/>
    <col min="4331" max="4331" width="5.28515625" customWidth="1"/>
    <col min="4332" max="4332" width="15.7109375" customWidth="1"/>
    <col min="4333" max="4333" width="17" customWidth="1"/>
    <col min="4334" max="4334" width="37.5703125" customWidth="1"/>
    <col min="4335" max="4335" width="5.7109375" customWidth="1"/>
    <col min="4336" max="4336" width="12.140625" customWidth="1"/>
    <col min="4337" max="4337" width="14.85546875" customWidth="1"/>
    <col min="4587" max="4587" width="5.28515625" customWidth="1"/>
    <col min="4588" max="4588" width="15.7109375" customWidth="1"/>
    <col min="4589" max="4589" width="17" customWidth="1"/>
    <col min="4590" max="4590" width="37.5703125" customWidth="1"/>
    <col min="4591" max="4591" width="5.7109375" customWidth="1"/>
    <col min="4592" max="4592" width="12.140625" customWidth="1"/>
    <col min="4593" max="4593" width="14.85546875" customWidth="1"/>
    <col min="4843" max="4843" width="5.28515625" customWidth="1"/>
    <col min="4844" max="4844" width="15.7109375" customWidth="1"/>
    <col min="4845" max="4845" width="17" customWidth="1"/>
    <col min="4846" max="4846" width="37.5703125" customWidth="1"/>
    <col min="4847" max="4847" width="5.7109375" customWidth="1"/>
    <col min="4848" max="4848" width="12.140625" customWidth="1"/>
    <col min="4849" max="4849" width="14.85546875" customWidth="1"/>
    <col min="5099" max="5099" width="5.28515625" customWidth="1"/>
    <col min="5100" max="5100" width="15.7109375" customWidth="1"/>
    <col min="5101" max="5101" width="17" customWidth="1"/>
    <col min="5102" max="5102" width="37.5703125" customWidth="1"/>
    <col min="5103" max="5103" width="5.7109375" customWidth="1"/>
    <col min="5104" max="5104" width="12.140625" customWidth="1"/>
    <col min="5105" max="5105" width="14.85546875" customWidth="1"/>
    <col min="5355" max="5355" width="5.28515625" customWidth="1"/>
    <col min="5356" max="5356" width="15.7109375" customWidth="1"/>
    <col min="5357" max="5357" width="17" customWidth="1"/>
    <col min="5358" max="5358" width="37.5703125" customWidth="1"/>
    <col min="5359" max="5359" width="5.7109375" customWidth="1"/>
    <col min="5360" max="5360" width="12.140625" customWidth="1"/>
    <col min="5361" max="5361" width="14.85546875" customWidth="1"/>
    <col min="5611" max="5611" width="5.28515625" customWidth="1"/>
    <col min="5612" max="5612" width="15.7109375" customWidth="1"/>
    <col min="5613" max="5613" width="17" customWidth="1"/>
    <col min="5614" max="5614" width="37.5703125" customWidth="1"/>
    <col min="5615" max="5615" width="5.7109375" customWidth="1"/>
    <col min="5616" max="5616" width="12.140625" customWidth="1"/>
    <col min="5617" max="5617" width="14.85546875" customWidth="1"/>
    <col min="5867" max="5867" width="5.28515625" customWidth="1"/>
    <col min="5868" max="5868" width="15.7109375" customWidth="1"/>
    <col min="5869" max="5869" width="17" customWidth="1"/>
    <col min="5870" max="5870" width="37.5703125" customWidth="1"/>
    <col min="5871" max="5871" width="5.7109375" customWidth="1"/>
    <col min="5872" max="5872" width="12.140625" customWidth="1"/>
    <col min="5873" max="5873" width="14.85546875" customWidth="1"/>
    <col min="6123" max="6123" width="5.28515625" customWidth="1"/>
    <col min="6124" max="6124" width="15.7109375" customWidth="1"/>
    <col min="6125" max="6125" width="17" customWidth="1"/>
    <col min="6126" max="6126" width="37.5703125" customWidth="1"/>
    <col min="6127" max="6127" width="5.7109375" customWidth="1"/>
    <col min="6128" max="6128" width="12.140625" customWidth="1"/>
    <col min="6129" max="6129" width="14.85546875" customWidth="1"/>
    <col min="6379" max="6379" width="5.28515625" customWidth="1"/>
    <col min="6380" max="6380" width="15.7109375" customWidth="1"/>
    <col min="6381" max="6381" width="17" customWidth="1"/>
    <col min="6382" max="6382" width="37.5703125" customWidth="1"/>
    <col min="6383" max="6383" width="5.7109375" customWidth="1"/>
    <col min="6384" max="6384" width="12.140625" customWidth="1"/>
    <col min="6385" max="6385" width="14.85546875" customWidth="1"/>
    <col min="6635" max="6635" width="5.28515625" customWidth="1"/>
    <col min="6636" max="6636" width="15.7109375" customWidth="1"/>
    <col min="6637" max="6637" width="17" customWidth="1"/>
    <col min="6638" max="6638" width="37.5703125" customWidth="1"/>
    <col min="6639" max="6639" width="5.7109375" customWidth="1"/>
    <col min="6640" max="6640" width="12.140625" customWidth="1"/>
    <col min="6641" max="6641" width="14.85546875" customWidth="1"/>
    <col min="6891" max="6891" width="5.28515625" customWidth="1"/>
    <col min="6892" max="6892" width="15.7109375" customWidth="1"/>
    <col min="6893" max="6893" width="17" customWidth="1"/>
    <col min="6894" max="6894" width="37.5703125" customWidth="1"/>
    <col min="6895" max="6895" width="5.7109375" customWidth="1"/>
    <col min="6896" max="6896" width="12.140625" customWidth="1"/>
    <col min="6897" max="6897" width="14.85546875" customWidth="1"/>
    <col min="7147" max="7147" width="5.28515625" customWidth="1"/>
    <col min="7148" max="7148" width="15.7109375" customWidth="1"/>
    <col min="7149" max="7149" width="17" customWidth="1"/>
    <col min="7150" max="7150" width="37.5703125" customWidth="1"/>
    <col min="7151" max="7151" width="5.7109375" customWidth="1"/>
    <col min="7152" max="7152" width="12.140625" customWidth="1"/>
    <col min="7153" max="7153" width="14.85546875" customWidth="1"/>
    <col min="7403" max="7403" width="5.28515625" customWidth="1"/>
    <col min="7404" max="7404" width="15.7109375" customWidth="1"/>
    <col min="7405" max="7405" width="17" customWidth="1"/>
    <col min="7406" max="7406" width="37.5703125" customWidth="1"/>
    <col min="7407" max="7407" width="5.7109375" customWidth="1"/>
    <col min="7408" max="7408" width="12.140625" customWidth="1"/>
    <col min="7409" max="7409" width="14.85546875" customWidth="1"/>
    <col min="7659" max="7659" width="5.28515625" customWidth="1"/>
    <col min="7660" max="7660" width="15.7109375" customWidth="1"/>
    <col min="7661" max="7661" width="17" customWidth="1"/>
    <col min="7662" max="7662" width="37.5703125" customWidth="1"/>
    <col min="7663" max="7663" width="5.7109375" customWidth="1"/>
    <col min="7664" max="7664" width="12.140625" customWidth="1"/>
    <col min="7665" max="7665" width="14.85546875" customWidth="1"/>
    <col min="7915" max="7915" width="5.28515625" customWidth="1"/>
    <col min="7916" max="7916" width="15.7109375" customWidth="1"/>
    <col min="7917" max="7917" width="17" customWidth="1"/>
    <col min="7918" max="7918" width="37.5703125" customWidth="1"/>
    <col min="7919" max="7919" width="5.7109375" customWidth="1"/>
    <col min="7920" max="7920" width="12.140625" customWidth="1"/>
    <col min="7921" max="7921" width="14.85546875" customWidth="1"/>
    <col min="8171" max="8171" width="5.28515625" customWidth="1"/>
    <col min="8172" max="8172" width="15.7109375" customWidth="1"/>
    <col min="8173" max="8173" width="17" customWidth="1"/>
    <col min="8174" max="8174" width="37.5703125" customWidth="1"/>
    <col min="8175" max="8175" width="5.7109375" customWidth="1"/>
    <col min="8176" max="8176" width="12.140625" customWidth="1"/>
    <col min="8177" max="8177" width="14.85546875" customWidth="1"/>
    <col min="8427" max="8427" width="5.28515625" customWidth="1"/>
    <col min="8428" max="8428" width="15.7109375" customWidth="1"/>
    <col min="8429" max="8429" width="17" customWidth="1"/>
    <col min="8430" max="8430" width="37.5703125" customWidth="1"/>
    <col min="8431" max="8431" width="5.7109375" customWidth="1"/>
    <col min="8432" max="8432" width="12.140625" customWidth="1"/>
    <col min="8433" max="8433" width="14.85546875" customWidth="1"/>
    <col min="8683" max="8683" width="5.28515625" customWidth="1"/>
    <col min="8684" max="8684" width="15.7109375" customWidth="1"/>
    <col min="8685" max="8685" width="17" customWidth="1"/>
    <col min="8686" max="8686" width="37.5703125" customWidth="1"/>
    <col min="8687" max="8687" width="5.7109375" customWidth="1"/>
    <col min="8688" max="8688" width="12.140625" customWidth="1"/>
    <col min="8689" max="8689" width="14.85546875" customWidth="1"/>
    <col min="8939" max="8939" width="5.28515625" customWidth="1"/>
    <col min="8940" max="8940" width="15.7109375" customWidth="1"/>
    <col min="8941" max="8941" width="17" customWidth="1"/>
    <col min="8942" max="8942" width="37.5703125" customWidth="1"/>
    <col min="8943" max="8943" width="5.7109375" customWidth="1"/>
    <col min="8944" max="8944" width="12.140625" customWidth="1"/>
    <col min="8945" max="8945" width="14.85546875" customWidth="1"/>
    <col min="9195" max="9195" width="5.28515625" customWidth="1"/>
    <col min="9196" max="9196" width="15.7109375" customWidth="1"/>
    <col min="9197" max="9197" width="17" customWidth="1"/>
    <col min="9198" max="9198" width="37.5703125" customWidth="1"/>
    <col min="9199" max="9199" width="5.7109375" customWidth="1"/>
    <col min="9200" max="9200" width="12.140625" customWidth="1"/>
    <col min="9201" max="9201" width="14.85546875" customWidth="1"/>
    <col min="9451" max="9451" width="5.28515625" customWidth="1"/>
    <col min="9452" max="9452" width="15.7109375" customWidth="1"/>
    <col min="9453" max="9453" width="17" customWidth="1"/>
    <col min="9454" max="9454" width="37.5703125" customWidth="1"/>
    <col min="9455" max="9455" width="5.7109375" customWidth="1"/>
    <col min="9456" max="9456" width="12.140625" customWidth="1"/>
    <col min="9457" max="9457" width="14.85546875" customWidth="1"/>
    <col min="9707" max="9707" width="5.28515625" customWidth="1"/>
    <col min="9708" max="9708" width="15.7109375" customWidth="1"/>
    <col min="9709" max="9709" width="17" customWidth="1"/>
    <col min="9710" max="9710" width="37.5703125" customWidth="1"/>
    <col min="9711" max="9711" width="5.7109375" customWidth="1"/>
    <col min="9712" max="9712" width="12.140625" customWidth="1"/>
    <col min="9713" max="9713" width="14.85546875" customWidth="1"/>
    <col min="9963" max="9963" width="5.28515625" customWidth="1"/>
    <col min="9964" max="9964" width="15.7109375" customWidth="1"/>
    <col min="9965" max="9965" width="17" customWidth="1"/>
    <col min="9966" max="9966" width="37.5703125" customWidth="1"/>
    <col min="9967" max="9967" width="5.7109375" customWidth="1"/>
    <col min="9968" max="9968" width="12.140625" customWidth="1"/>
    <col min="9969" max="9969" width="14.85546875" customWidth="1"/>
    <col min="10219" max="10219" width="5.28515625" customWidth="1"/>
    <col min="10220" max="10220" width="15.7109375" customWidth="1"/>
    <col min="10221" max="10221" width="17" customWidth="1"/>
    <col min="10222" max="10222" width="37.5703125" customWidth="1"/>
    <col min="10223" max="10223" width="5.7109375" customWidth="1"/>
    <col min="10224" max="10224" width="12.140625" customWidth="1"/>
    <col min="10225" max="10225" width="14.85546875" customWidth="1"/>
    <col min="10475" max="10475" width="5.28515625" customWidth="1"/>
    <col min="10476" max="10476" width="15.7109375" customWidth="1"/>
    <col min="10477" max="10477" width="17" customWidth="1"/>
    <col min="10478" max="10478" width="37.5703125" customWidth="1"/>
    <col min="10479" max="10479" width="5.7109375" customWidth="1"/>
    <col min="10480" max="10480" width="12.140625" customWidth="1"/>
    <col min="10481" max="10481" width="14.85546875" customWidth="1"/>
    <col min="10731" max="10731" width="5.28515625" customWidth="1"/>
    <col min="10732" max="10732" width="15.7109375" customWidth="1"/>
    <col min="10733" max="10733" width="17" customWidth="1"/>
    <col min="10734" max="10734" width="37.5703125" customWidth="1"/>
    <col min="10735" max="10735" width="5.7109375" customWidth="1"/>
    <col min="10736" max="10736" width="12.140625" customWidth="1"/>
    <col min="10737" max="10737" width="14.85546875" customWidth="1"/>
    <col min="10987" max="10987" width="5.28515625" customWidth="1"/>
    <col min="10988" max="10988" width="15.7109375" customWidth="1"/>
    <col min="10989" max="10989" width="17" customWidth="1"/>
    <col min="10990" max="10990" width="37.5703125" customWidth="1"/>
    <col min="10991" max="10991" width="5.7109375" customWidth="1"/>
    <col min="10992" max="10992" width="12.140625" customWidth="1"/>
    <col min="10993" max="10993" width="14.85546875" customWidth="1"/>
    <col min="11243" max="11243" width="5.28515625" customWidth="1"/>
    <col min="11244" max="11244" width="15.7109375" customWidth="1"/>
    <col min="11245" max="11245" width="17" customWidth="1"/>
    <col min="11246" max="11246" width="37.5703125" customWidth="1"/>
    <col min="11247" max="11247" width="5.7109375" customWidth="1"/>
    <col min="11248" max="11248" width="12.140625" customWidth="1"/>
    <col min="11249" max="11249" width="14.85546875" customWidth="1"/>
    <col min="11499" max="11499" width="5.28515625" customWidth="1"/>
    <col min="11500" max="11500" width="15.7109375" customWidth="1"/>
    <col min="11501" max="11501" width="17" customWidth="1"/>
    <col min="11502" max="11502" width="37.5703125" customWidth="1"/>
    <col min="11503" max="11503" width="5.7109375" customWidth="1"/>
    <col min="11504" max="11504" width="12.140625" customWidth="1"/>
    <col min="11505" max="11505" width="14.85546875" customWidth="1"/>
    <col min="11755" max="11755" width="5.28515625" customWidth="1"/>
    <col min="11756" max="11756" width="15.7109375" customWidth="1"/>
    <col min="11757" max="11757" width="17" customWidth="1"/>
    <col min="11758" max="11758" width="37.5703125" customWidth="1"/>
    <col min="11759" max="11759" width="5.7109375" customWidth="1"/>
    <col min="11760" max="11760" width="12.140625" customWidth="1"/>
    <col min="11761" max="11761" width="14.85546875" customWidth="1"/>
    <col min="12011" max="12011" width="5.28515625" customWidth="1"/>
    <col min="12012" max="12012" width="15.7109375" customWidth="1"/>
    <col min="12013" max="12013" width="17" customWidth="1"/>
    <col min="12014" max="12014" width="37.5703125" customWidth="1"/>
    <col min="12015" max="12015" width="5.7109375" customWidth="1"/>
    <col min="12016" max="12016" width="12.140625" customWidth="1"/>
    <col min="12017" max="12017" width="14.85546875" customWidth="1"/>
    <col min="12267" max="12267" width="5.28515625" customWidth="1"/>
    <col min="12268" max="12268" width="15.7109375" customWidth="1"/>
    <col min="12269" max="12269" width="17" customWidth="1"/>
    <col min="12270" max="12270" width="37.5703125" customWidth="1"/>
    <col min="12271" max="12271" width="5.7109375" customWidth="1"/>
    <col min="12272" max="12272" width="12.140625" customWidth="1"/>
    <col min="12273" max="12273" width="14.85546875" customWidth="1"/>
    <col min="12523" max="12523" width="5.28515625" customWidth="1"/>
    <col min="12524" max="12524" width="15.7109375" customWidth="1"/>
    <col min="12525" max="12525" width="17" customWidth="1"/>
    <col min="12526" max="12526" width="37.5703125" customWidth="1"/>
    <col min="12527" max="12527" width="5.7109375" customWidth="1"/>
    <col min="12528" max="12528" width="12.140625" customWidth="1"/>
    <col min="12529" max="12529" width="14.85546875" customWidth="1"/>
    <col min="12779" max="12779" width="5.28515625" customWidth="1"/>
    <col min="12780" max="12780" width="15.7109375" customWidth="1"/>
    <col min="12781" max="12781" width="17" customWidth="1"/>
    <col min="12782" max="12782" width="37.5703125" customWidth="1"/>
    <col min="12783" max="12783" width="5.7109375" customWidth="1"/>
    <col min="12784" max="12784" width="12.140625" customWidth="1"/>
    <col min="12785" max="12785" width="14.85546875" customWidth="1"/>
    <col min="13035" max="13035" width="5.28515625" customWidth="1"/>
    <col min="13036" max="13036" width="15.7109375" customWidth="1"/>
    <col min="13037" max="13037" width="17" customWidth="1"/>
    <col min="13038" max="13038" width="37.5703125" customWidth="1"/>
    <col min="13039" max="13039" width="5.7109375" customWidth="1"/>
    <col min="13040" max="13040" width="12.140625" customWidth="1"/>
    <col min="13041" max="13041" width="14.85546875" customWidth="1"/>
    <col min="13291" max="13291" width="5.28515625" customWidth="1"/>
    <col min="13292" max="13292" width="15.7109375" customWidth="1"/>
    <col min="13293" max="13293" width="17" customWidth="1"/>
    <col min="13294" max="13294" width="37.5703125" customWidth="1"/>
    <col min="13295" max="13295" width="5.7109375" customWidth="1"/>
    <col min="13296" max="13296" width="12.140625" customWidth="1"/>
    <col min="13297" max="13297" width="14.85546875" customWidth="1"/>
    <col min="13547" max="13547" width="5.28515625" customWidth="1"/>
    <col min="13548" max="13548" width="15.7109375" customWidth="1"/>
    <col min="13549" max="13549" width="17" customWidth="1"/>
    <col min="13550" max="13550" width="37.5703125" customWidth="1"/>
    <col min="13551" max="13551" width="5.7109375" customWidth="1"/>
    <col min="13552" max="13552" width="12.140625" customWidth="1"/>
    <col min="13553" max="13553" width="14.85546875" customWidth="1"/>
    <col min="13803" max="13803" width="5.28515625" customWidth="1"/>
    <col min="13804" max="13804" width="15.7109375" customWidth="1"/>
    <col min="13805" max="13805" width="17" customWidth="1"/>
    <col min="13806" max="13806" width="37.5703125" customWidth="1"/>
    <col min="13807" max="13807" width="5.7109375" customWidth="1"/>
    <col min="13808" max="13808" width="12.140625" customWidth="1"/>
    <col min="13809" max="13809" width="14.85546875" customWidth="1"/>
    <col min="14059" max="14059" width="5.28515625" customWidth="1"/>
    <col min="14060" max="14060" width="15.7109375" customWidth="1"/>
    <col min="14061" max="14061" width="17" customWidth="1"/>
    <col min="14062" max="14062" width="37.5703125" customWidth="1"/>
    <col min="14063" max="14063" width="5.7109375" customWidth="1"/>
    <col min="14064" max="14064" width="12.140625" customWidth="1"/>
    <col min="14065" max="14065" width="14.85546875" customWidth="1"/>
    <col min="14315" max="14315" width="5.28515625" customWidth="1"/>
    <col min="14316" max="14316" width="15.7109375" customWidth="1"/>
    <col min="14317" max="14317" width="17" customWidth="1"/>
    <col min="14318" max="14318" width="37.5703125" customWidth="1"/>
    <col min="14319" max="14319" width="5.7109375" customWidth="1"/>
    <col min="14320" max="14320" width="12.140625" customWidth="1"/>
    <col min="14321" max="14321" width="14.85546875" customWidth="1"/>
    <col min="14571" max="14571" width="5.28515625" customWidth="1"/>
    <col min="14572" max="14572" width="15.7109375" customWidth="1"/>
    <col min="14573" max="14573" width="17" customWidth="1"/>
    <col min="14574" max="14574" width="37.5703125" customWidth="1"/>
    <col min="14575" max="14575" width="5.7109375" customWidth="1"/>
    <col min="14576" max="14576" width="12.140625" customWidth="1"/>
    <col min="14577" max="14577" width="14.85546875" customWidth="1"/>
    <col min="14827" max="14827" width="5.28515625" customWidth="1"/>
    <col min="14828" max="14828" width="15.7109375" customWidth="1"/>
    <col min="14829" max="14829" width="17" customWidth="1"/>
    <col min="14830" max="14830" width="37.5703125" customWidth="1"/>
    <col min="14831" max="14831" width="5.7109375" customWidth="1"/>
    <col min="14832" max="14832" width="12.140625" customWidth="1"/>
    <col min="14833" max="14833" width="14.85546875" customWidth="1"/>
    <col min="15083" max="15083" width="5.28515625" customWidth="1"/>
    <col min="15084" max="15084" width="15.7109375" customWidth="1"/>
    <col min="15085" max="15085" width="17" customWidth="1"/>
    <col min="15086" max="15086" width="37.5703125" customWidth="1"/>
    <col min="15087" max="15087" width="5.7109375" customWidth="1"/>
    <col min="15088" max="15088" width="12.140625" customWidth="1"/>
    <col min="15089" max="15089" width="14.85546875" customWidth="1"/>
    <col min="15339" max="15339" width="5.28515625" customWidth="1"/>
    <col min="15340" max="15340" width="15.7109375" customWidth="1"/>
    <col min="15341" max="15341" width="17" customWidth="1"/>
    <col min="15342" max="15342" width="37.5703125" customWidth="1"/>
    <col min="15343" max="15343" width="5.7109375" customWidth="1"/>
    <col min="15344" max="15344" width="12.140625" customWidth="1"/>
    <col min="15345" max="15345" width="14.85546875" customWidth="1"/>
    <col min="15595" max="15595" width="5.28515625" customWidth="1"/>
    <col min="15596" max="15596" width="15.7109375" customWidth="1"/>
    <col min="15597" max="15597" width="17" customWidth="1"/>
    <col min="15598" max="15598" width="37.5703125" customWidth="1"/>
    <col min="15599" max="15599" width="5.7109375" customWidth="1"/>
    <col min="15600" max="15600" width="12.140625" customWidth="1"/>
    <col min="15601" max="15601" width="14.85546875" customWidth="1"/>
    <col min="15851" max="15851" width="5.28515625" customWidth="1"/>
    <col min="15852" max="15852" width="15.7109375" customWidth="1"/>
    <col min="15853" max="15853" width="17" customWidth="1"/>
    <col min="15854" max="15854" width="37.5703125" customWidth="1"/>
    <col min="15855" max="15855" width="5.7109375" customWidth="1"/>
    <col min="15856" max="15856" width="12.140625" customWidth="1"/>
    <col min="15857" max="15857" width="14.85546875" customWidth="1"/>
    <col min="16107" max="16107" width="5.28515625" customWidth="1"/>
    <col min="16108" max="16108" width="15.7109375" customWidth="1"/>
    <col min="16109" max="16109" width="17" customWidth="1"/>
    <col min="16110" max="16110" width="37.5703125" customWidth="1"/>
    <col min="16111" max="16111" width="5.7109375" customWidth="1"/>
    <col min="16112" max="16112" width="12.140625" customWidth="1"/>
    <col min="16113" max="16113" width="14.85546875" customWidth="1"/>
  </cols>
  <sheetData>
    <row r="1" spans="1:11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  <c r="J1" s="307"/>
    </row>
    <row r="2" spans="1:11" s="64" customFormat="1" ht="19.5">
      <c r="A2" s="149"/>
      <c r="B2" s="343" t="s">
        <v>51</v>
      </c>
      <c r="C2" s="343"/>
      <c r="D2" s="343"/>
      <c r="E2" s="343"/>
      <c r="F2" s="343"/>
      <c r="G2" s="343"/>
      <c r="H2" s="343"/>
      <c r="I2" s="343"/>
      <c r="J2" s="343"/>
    </row>
    <row r="3" spans="1:11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1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  <c r="J4" s="310"/>
    </row>
    <row r="5" spans="1:11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  <c r="J5" s="309"/>
    </row>
    <row r="6" spans="1:11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  <c r="J6" s="310"/>
    </row>
    <row r="7" spans="1:11" s="63" customFormat="1" ht="12.75">
      <c r="A7" s="311" t="s">
        <v>46</v>
      </c>
      <c r="B7" s="311"/>
      <c r="C7" s="311"/>
      <c r="D7" s="311"/>
      <c r="E7" s="311"/>
      <c r="F7" s="311"/>
      <c r="G7" s="311"/>
      <c r="H7" s="311"/>
      <c r="I7" s="311"/>
      <c r="J7" s="311"/>
    </row>
    <row r="8" spans="1:11" s="61" customFormat="1" ht="15" customHeight="1">
      <c r="A8" s="62" t="s">
        <v>160</v>
      </c>
      <c r="H8" s="312" t="s">
        <v>45</v>
      </c>
      <c r="I8" s="312"/>
      <c r="J8" s="120">
        <v>45768</v>
      </c>
    </row>
    <row r="9" spans="1:11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  <c r="J9" s="56"/>
    </row>
    <row r="10" spans="1:11" s="54" customFormat="1" ht="63.75">
      <c r="B10" s="127" t="s">
        <v>153</v>
      </c>
      <c r="C10" s="59"/>
      <c r="D10" s="56"/>
      <c r="E10" s="56"/>
      <c r="F10" s="56"/>
      <c r="G10" s="56"/>
      <c r="H10" s="56"/>
      <c r="I10" s="56"/>
      <c r="J10" s="56"/>
    </row>
    <row r="11" spans="1:11" s="54" customFormat="1" ht="18" customHeight="1">
      <c r="A11" s="55" t="s">
        <v>42</v>
      </c>
      <c r="C11" s="57"/>
      <c r="D11" s="56"/>
      <c r="E11" s="55"/>
      <c r="F11" s="55"/>
      <c r="G11" s="55"/>
      <c r="H11" s="55"/>
      <c r="I11" s="55"/>
      <c r="J11" s="55"/>
      <c r="K11" s="150"/>
    </row>
    <row r="12" spans="1:11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  <c r="J12" s="314"/>
    </row>
    <row r="13" spans="1:11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122"/>
      <c r="G13" s="122"/>
      <c r="H13" s="340"/>
      <c r="I13" s="341"/>
      <c r="J13" s="341"/>
    </row>
    <row r="14" spans="1:11" s="47" customFormat="1" ht="18" customHeight="1">
      <c r="A14" s="121"/>
      <c r="B14" s="52" t="s">
        <v>36</v>
      </c>
      <c r="C14" s="51" t="s">
        <v>154</v>
      </c>
      <c r="D14" s="121"/>
      <c r="E14" s="49"/>
      <c r="F14" s="49"/>
      <c r="G14" s="340" t="s">
        <v>34</v>
      </c>
      <c r="H14" s="341"/>
      <c r="I14" s="341"/>
      <c r="J14" s="151"/>
    </row>
    <row r="15" spans="1:11" s="29" customFormat="1" ht="25.5">
      <c r="A15" s="46" t="s">
        <v>33</v>
      </c>
      <c r="B15" s="45" t="s">
        <v>32</v>
      </c>
      <c r="C15" s="45" t="s">
        <v>31</v>
      </c>
      <c r="D15" s="45" t="s">
        <v>30</v>
      </c>
      <c r="E15" s="152" t="s">
        <v>29</v>
      </c>
      <c r="F15" s="152" t="s">
        <v>155</v>
      </c>
      <c r="G15" s="152" t="s">
        <v>28</v>
      </c>
      <c r="H15" s="152" t="s">
        <v>27</v>
      </c>
      <c r="I15" s="152" t="s">
        <v>26</v>
      </c>
      <c r="J15" s="152" t="s">
        <v>25</v>
      </c>
    </row>
    <row r="16" spans="1:11" s="29" customFormat="1" ht="12.75">
      <c r="A16" s="46">
        <v>1</v>
      </c>
      <c r="B16" s="153" t="s">
        <v>24</v>
      </c>
      <c r="C16" s="154" t="s">
        <v>156</v>
      </c>
      <c r="D16" s="154">
        <v>2</v>
      </c>
      <c r="E16" s="155">
        <v>8867</v>
      </c>
      <c r="F16" s="156">
        <v>7.0000000000000007E-2</v>
      </c>
      <c r="G16" s="152">
        <f>E16*93%*D16</f>
        <v>16492.620000000003</v>
      </c>
      <c r="H16" s="157">
        <v>0.18</v>
      </c>
      <c r="I16" s="32">
        <f>H16*G16</f>
        <v>2968.6716000000006</v>
      </c>
      <c r="J16" s="31">
        <f>I16+G16</f>
        <v>19461.291600000004</v>
      </c>
    </row>
    <row r="17" spans="1:12" s="29" customFormat="1" ht="12.75">
      <c r="A17" s="46">
        <v>2</v>
      </c>
      <c r="B17" s="154" t="s">
        <v>157</v>
      </c>
      <c r="C17" s="154" t="s">
        <v>158</v>
      </c>
      <c r="D17" s="154">
        <v>2</v>
      </c>
      <c r="E17" s="155">
        <v>12125</v>
      </c>
      <c r="F17" s="158">
        <v>0.22</v>
      </c>
      <c r="G17" s="152">
        <f>E17*78%*D17</f>
        <v>18915</v>
      </c>
      <c r="H17" s="157">
        <v>0.18</v>
      </c>
      <c r="I17" s="32">
        <f>H17*G17</f>
        <v>3404.7</v>
      </c>
      <c r="J17" s="31">
        <f>I17+G17</f>
        <v>22319.7</v>
      </c>
      <c r="K17" s="159"/>
    </row>
    <row r="18" spans="1:12" s="29" customFormat="1" ht="12.75">
      <c r="A18" s="46">
        <v>3</v>
      </c>
      <c r="B18" s="154" t="s">
        <v>22</v>
      </c>
      <c r="C18" s="154" t="s">
        <v>21</v>
      </c>
      <c r="D18" s="154">
        <v>2</v>
      </c>
      <c r="E18" s="155">
        <v>5149</v>
      </c>
      <c r="F18" s="158">
        <v>0.22</v>
      </c>
      <c r="G18" s="152">
        <f>E18*78%*D18</f>
        <v>8032.4400000000005</v>
      </c>
      <c r="H18" s="157">
        <v>0.18</v>
      </c>
      <c r="I18" s="32">
        <f>H18*G18</f>
        <v>1445.8392000000001</v>
      </c>
      <c r="J18" s="31">
        <f>I18+G18</f>
        <v>9478.2792000000009</v>
      </c>
      <c r="K18" s="159"/>
    </row>
    <row r="19" spans="1:12" s="38" customFormat="1" ht="18.75" customHeight="1">
      <c r="A19" s="320" t="s">
        <v>20</v>
      </c>
      <c r="B19" s="321"/>
      <c r="C19" s="339"/>
      <c r="D19" s="28"/>
      <c r="E19" s="26">
        <f>SUM(E16:E18)</f>
        <v>26141</v>
      </c>
      <c r="F19" s="26"/>
      <c r="G19" s="26">
        <f>SUM(G16:G18)</f>
        <v>43440.060000000005</v>
      </c>
      <c r="H19" s="160"/>
      <c r="I19" s="26">
        <f>SUM(I16:I18)</f>
        <v>7819.2108000000007</v>
      </c>
      <c r="J19" s="26">
        <f>SUM(J16:J18)</f>
        <v>51259.270800000013</v>
      </c>
      <c r="K19" s="39"/>
      <c r="L19" s="39"/>
    </row>
    <row r="20" spans="1:12" s="38" customFormat="1" ht="15" customHeight="1">
      <c r="A20" s="320" t="s">
        <v>19</v>
      </c>
      <c r="B20" s="321"/>
      <c r="C20" s="321"/>
      <c r="D20" s="321"/>
      <c r="E20" s="321"/>
      <c r="F20" s="321"/>
      <c r="G20" s="321"/>
      <c r="H20" s="321"/>
      <c r="I20" s="339"/>
      <c r="J20" s="24">
        <f>ROUND(J19,0)</f>
        <v>51259</v>
      </c>
      <c r="K20" s="39"/>
    </row>
    <row r="21" spans="1:12" s="38" customFormat="1" ht="18.75" customHeight="1">
      <c r="A21" s="323" t="s">
        <v>161</v>
      </c>
      <c r="B21" s="324"/>
      <c r="C21" s="324"/>
      <c r="D21" s="324"/>
      <c r="E21" s="324"/>
      <c r="F21" s="324"/>
      <c r="G21" s="324"/>
      <c r="H21" s="324"/>
      <c r="I21" s="324"/>
      <c r="J21" s="342"/>
      <c r="K21" s="39"/>
    </row>
    <row r="22" spans="1:12" s="3" customFormat="1" ht="11.25">
      <c r="A22" s="14" t="s">
        <v>16</v>
      </c>
      <c r="B22" s="12"/>
      <c r="C22" s="12"/>
      <c r="D22" s="12"/>
      <c r="E22" s="12" t="s">
        <v>159</v>
      </c>
      <c r="F22" s="12"/>
      <c r="G22" s="12"/>
      <c r="H22" s="12"/>
      <c r="I22" s="12"/>
      <c r="J22" s="13"/>
    </row>
    <row r="23" spans="1:12" s="6" customFormat="1" ht="21.75" customHeight="1">
      <c r="A23" s="11" t="s">
        <v>15</v>
      </c>
      <c r="B23" s="9"/>
      <c r="C23" s="10"/>
      <c r="D23" s="9"/>
      <c r="E23" s="8"/>
      <c r="F23" s="8"/>
      <c r="G23" s="8"/>
      <c r="H23" s="8"/>
      <c r="I23" s="3"/>
    </row>
    <row r="24" spans="1:12" s="6" customFormat="1" ht="16.5" customHeight="1">
      <c r="A24" s="5">
        <v>1</v>
      </c>
      <c r="B24" s="7" t="s">
        <v>14</v>
      </c>
      <c r="C24" s="326" t="s">
        <v>146</v>
      </c>
      <c r="D24" s="326"/>
      <c r="E24" s="326"/>
      <c r="F24" s="326"/>
      <c r="G24" s="326"/>
      <c r="H24" s="326"/>
      <c r="I24" s="326"/>
    </row>
    <row r="25" spans="1:12" s="6" customFormat="1" ht="16.5" customHeight="1">
      <c r="A25" s="5">
        <v>2</v>
      </c>
      <c r="B25" s="7" t="s">
        <v>12</v>
      </c>
      <c r="C25" s="123" t="s">
        <v>11</v>
      </c>
      <c r="D25" s="123"/>
      <c r="E25" s="123"/>
      <c r="F25" s="123"/>
      <c r="G25" s="123"/>
      <c r="H25" s="123"/>
      <c r="I25" s="123"/>
    </row>
    <row r="26" spans="1:12" s="6" customFormat="1" ht="18" customHeight="1">
      <c r="A26" s="5">
        <v>3</v>
      </c>
      <c r="B26" s="7" t="s">
        <v>10</v>
      </c>
      <c r="C26" s="123" t="s">
        <v>9</v>
      </c>
      <c r="D26" s="123"/>
      <c r="E26" s="123"/>
      <c r="F26" s="123"/>
      <c r="G26" s="146"/>
      <c r="H26" s="123"/>
      <c r="I26" s="123"/>
      <c r="J26" s="124" t="s">
        <v>8</v>
      </c>
    </row>
    <row r="27" spans="1:12" s="6" customFormat="1" ht="16.5" customHeight="1">
      <c r="A27" s="5">
        <v>4</v>
      </c>
      <c r="B27" s="7" t="s">
        <v>7</v>
      </c>
      <c r="C27" s="123" t="s">
        <v>93</v>
      </c>
      <c r="D27" s="123"/>
      <c r="E27" s="123"/>
      <c r="F27" s="123"/>
      <c r="G27" s="123"/>
      <c r="H27" s="123"/>
      <c r="I27" s="123"/>
    </row>
    <row r="28" spans="1:12" s="6" customFormat="1" ht="16.5" customHeight="1">
      <c r="A28" s="5">
        <v>5</v>
      </c>
      <c r="B28" s="7" t="s">
        <v>5</v>
      </c>
      <c r="C28" s="123" t="s">
        <v>4</v>
      </c>
      <c r="D28" s="123"/>
      <c r="E28" s="123"/>
      <c r="F28" s="123"/>
      <c r="G28" s="123"/>
      <c r="H28" s="123"/>
      <c r="I28" s="123"/>
      <c r="J28" s="124" t="s">
        <v>3</v>
      </c>
    </row>
    <row r="29" spans="1:12" s="6" customFormat="1" ht="25.5" customHeight="1">
      <c r="A29" s="5">
        <v>6</v>
      </c>
      <c r="B29" s="125" t="s">
        <v>2</v>
      </c>
      <c r="C29" s="328" t="s">
        <v>1</v>
      </c>
      <c r="D29" s="326"/>
      <c r="E29" s="326"/>
      <c r="F29" s="326"/>
      <c r="G29" s="326"/>
      <c r="H29" s="326"/>
      <c r="I29" s="326"/>
      <c r="J29" s="143" t="s">
        <v>0</v>
      </c>
    </row>
    <row r="30" spans="1:12" s="166" customFormat="1" ht="24" customHeight="1">
      <c r="A30" s="161"/>
      <c r="B30" s="162"/>
      <c r="C30" s="163"/>
      <c r="D30" s="164"/>
      <c r="E30" s="165"/>
      <c r="F30" s="165"/>
      <c r="G30" s="165"/>
      <c r="H30" s="165"/>
      <c r="I30" s="165"/>
    </row>
  </sheetData>
  <mergeCells count="18">
    <mergeCell ref="A6:J6"/>
    <mergeCell ref="A1:J1"/>
    <mergeCell ref="B2:J2"/>
    <mergeCell ref="A3:J3"/>
    <mergeCell ref="A4:J4"/>
    <mergeCell ref="A5:J5"/>
    <mergeCell ref="C29:I29"/>
    <mergeCell ref="A7:J7"/>
    <mergeCell ref="H8:I8"/>
    <mergeCell ref="A12:J12"/>
    <mergeCell ref="A13:B13"/>
    <mergeCell ref="D13:E13"/>
    <mergeCell ref="H13:J13"/>
    <mergeCell ref="G14:I14"/>
    <mergeCell ref="A19:C19"/>
    <mergeCell ref="A20:I20"/>
    <mergeCell ref="A21:J21"/>
    <mergeCell ref="C24:I24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34"/>
  <sheetViews>
    <sheetView topLeftCell="A2" workbookViewId="0">
      <selection activeCell="L16" sqref="L16"/>
    </sheetView>
  </sheetViews>
  <sheetFormatPr defaultRowHeight="15"/>
  <cols>
    <col min="1" max="1" width="5.28515625" customWidth="1"/>
    <col min="2" max="2" width="36" style="2" customWidth="1"/>
    <col min="3" max="3" width="37" style="2" bestFit="1" customWidth="1"/>
    <col min="4" max="4" width="6.28515625" bestFit="1" customWidth="1"/>
    <col min="5" max="5" width="13.5703125" style="95" bestFit="1" customWidth="1"/>
    <col min="6" max="6" width="5.85546875" style="95" customWidth="1"/>
    <col min="7" max="7" width="15.42578125" style="95" bestFit="1" customWidth="1"/>
    <col min="8" max="8" width="6.140625" style="95" customWidth="1"/>
    <col min="9" max="9" width="13.28515625" style="95" customWidth="1"/>
    <col min="10" max="10" width="15.140625" style="95" customWidth="1"/>
    <col min="11" max="11" width="14.85546875" bestFit="1" customWidth="1"/>
    <col min="12" max="12" width="13" bestFit="1" customWidth="1"/>
    <col min="13" max="13" width="11.85546875" bestFit="1" customWidth="1"/>
    <col min="14" max="14" width="13.140625" bestFit="1" customWidth="1"/>
    <col min="235" max="235" width="5.28515625" customWidth="1"/>
    <col min="236" max="236" width="15.7109375" customWidth="1"/>
    <col min="237" max="237" width="17" customWidth="1"/>
    <col min="238" max="238" width="37.5703125" customWidth="1"/>
    <col min="239" max="239" width="5.7109375" customWidth="1"/>
    <col min="240" max="240" width="12.140625" customWidth="1"/>
    <col min="241" max="241" width="14.85546875" customWidth="1"/>
    <col min="491" max="491" width="5.28515625" customWidth="1"/>
    <col min="492" max="492" width="15.7109375" customWidth="1"/>
    <col min="493" max="493" width="17" customWidth="1"/>
    <col min="494" max="494" width="37.5703125" customWidth="1"/>
    <col min="495" max="495" width="5.7109375" customWidth="1"/>
    <col min="496" max="496" width="12.140625" customWidth="1"/>
    <col min="497" max="497" width="14.85546875" customWidth="1"/>
    <col min="747" max="747" width="5.28515625" customWidth="1"/>
    <col min="748" max="748" width="15.7109375" customWidth="1"/>
    <col min="749" max="749" width="17" customWidth="1"/>
    <col min="750" max="750" width="37.5703125" customWidth="1"/>
    <col min="751" max="751" width="5.7109375" customWidth="1"/>
    <col min="752" max="752" width="12.140625" customWidth="1"/>
    <col min="753" max="753" width="14.85546875" customWidth="1"/>
    <col min="1003" max="1003" width="5.28515625" customWidth="1"/>
    <col min="1004" max="1004" width="15.7109375" customWidth="1"/>
    <col min="1005" max="1005" width="17" customWidth="1"/>
    <col min="1006" max="1006" width="37.5703125" customWidth="1"/>
    <col min="1007" max="1007" width="5.7109375" customWidth="1"/>
    <col min="1008" max="1008" width="12.140625" customWidth="1"/>
    <col min="1009" max="1009" width="14.85546875" customWidth="1"/>
    <col min="1259" max="1259" width="5.28515625" customWidth="1"/>
    <col min="1260" max="1260" width="15.7109375" customWidth="1"/>
    <col min="1261" max="1261" width="17" customWidth="1"/>
    <col min="1262" max="1262" width="37.5703125" customWidth="1"/>
    <col min="1263" max="1263" width="5.7109375" customWidth="1"/>
    <col min="1264" max="1264" width="12.140625" customWidth="1"/>
    <col min="1265" max="1265" width="14.85546875" customWidth="1"/>
    <col min="1515" max="1515" width="5.28515625" customWidth="1"/>
    <col min="1516" max="1516" width="15.7109375" customWidth="1"/>
    <col min="1517" max="1517" width="17" customWidth="1"/>
    <col min="1518" max="1518" width="37.5703125" customWidth="1"/>
    <col min="1519" max="1519" width="5.7109375" customWidth="1"/>
    <col min="1520" max="1520" width="12.140625" customWidth="1"/>
    <col min="1521" max="1521" width="14.85546875" customWidth="1"/>
    <col min="1771" max="1771" width="5.28515625" customWidth="1"/>
    <col min="1772" max="1772" width="15.7109375" customWidth="1"/>
    <col min="1773" max="1773" width="17" customWidth="1"/>
    <col min="1774" max="1774" width="37.5703125" customWidth="1"/>
    <col min="1775" max="1775" width="5.7109375" customWidth="1"/>
    <col min="1776" max="1776" width="12.140625" customWidth="1"/>
    <col min="1777" max="1777" width="14.85546875" customWidth="1"/>
    <col min="2027" max="2027" width="5.28515625" customWidth="1"/>
    <col min="2028" max="2028" width="15.7109375" customWidth="1"/>
    <col min="2029" max="2029" width="17" customWidth="1"/>
    <col min="2030" max="2030" width="37.5703125" customWidth="1"/>
    <col min="2031" max="2031" width="5.7109375" customWidth="1"/>
    <col min="2032" max="2032" width="12.140625" customWidth="1"/>
    <col min="2033" max="2033" width="14.85546875" customWidth="1"/>
    <col min="2283" max="2283" width="5.28515625" customWidth="1"/>
    <col min="2284" max="2284" width="15.7109375" customWidth="1"/>
    <col min="2285" max="2285" width="17" customWidth="1"/>
    <col min="2286" max="2286" width="37.5703125" customWidth="1"/>
    <col min="2287" max="2287" width="5.7109375" customWidth="1"/>
    <col min="2288" max="2288" width="12.140625" customWidth="1"/>
    <col min="2289" max="2289" width="14.85546875" customWidth="1"/>
    <col min="2539" max="2539" width="5.28515625" customWidth="1"/>
    <col min="2540" max="2540" width="15.7109375" customWidth="1"/>
    <col min="2541" max="2541" width="17" customWidth="1"/>
    <col min="2542" max="2542" width="37.5703125" customWidth="1"/>
    <col min="2543" max="2543" width="5.7109375" customWidth="1"/>
    <col min="2544" max="2544" width="12.140625" customWidth="1"/>
    <col min="2545" max="2545" width="14.85546875" customWidth="1"/>
    <col min="2795" max="2795" width="5.28515625" customWidth="1"/>
    <col min="2796" max="2796" width="15.7109375" customWidth="1"/>
    <col min="2797" max="2797" width="17" customWidth="1"/>
    <col min="2798" max="2798" width="37.5703125" customWidth="1"/>
    <col min="2799" max="2799" width="5.7109375" customWidth="1"/>
    <col min="2800" max="2800" width="12.140625" customWidth="1"/>
    <col min="2801" max="2801" width="14.85546875" customWidth="1"/>
    <col min="3051" max="3051" width="5.28515625" customWidth="1"/>
    <col min="3052" max="3052" width="15.7109375" customWidth="1"/>
    <col min="3053" max="3053" width="17" customWidth="1"/>
    <col min="3054" max="3054" width="37.5703125" customWidth="1"/>
    <col min="3055" max="3055" width="5.7109375" customWidth="1"/>
    <col min="3056" max="3056" width="12.140625" customWidth="1"/>
    <col min="3057" max="3057" width="14.85546875" customWidth="1"/>
    <col min="3307" max="3307" width="5.28515625" customWidth="1"/>
    <col min="3308" max="3308" width="15.7109375" customWidth="1"/>
    <col min="3309" max="3309" width="17" customWidth="1"/>
    <col min="3310" max="3310" width="37.5703125" customWidth="1"/>
    <col min="3311" max="3311" width="5.7109375" customWidth="1"/>
    <col min="3312" max="3312" width="12.140625" customWidth="1"/>
    <col min="3313" max="3313" width="14.85546875" customWidth="1"/>
    <col min="3563" max="3563" width="5.28515625" customWidth="1"/>
    <col min="3564" max="3564" width="15.7109375" customWidth="1"/>
    <col min="3565" max="3565" width="17" customWidth="1"/>
    <col min="3566" max="3566" width="37.5703125" customWidth="1"/>
    <col min="3567" max="3567" width="5.7109375" customWidth="1"/>
    <col min="3568" max="3568" width="12.140625" customWidth="1"/>
    <col min="3569" max="3569" width="14.85546875" customWidth="1"/>
    <col min="3819" max="3819" width="5.28515625" customWidth="1"/>
    <col min="3820" max="3820" width="15.7109375" customWidth="1"/>
    <col min="3821" max="3821" width="17" customWidth="1"/>
    <col min="3822" max="3822" width="37.5703125" customWidth="1"/>
    <col min="3823" max="3823" width="5.7109375" customWidth="1"/>
    <col min="3824" max="3824" width="12.140625" customWidth="1"/>
    <col min="3825" max="3825" width="14.85546875" customWidth="1"/>
    <col min="4075" max="4075" width="5.28515625" customWidth="1"/>
    <col min="4076" max="4076" width="15.7109375" customWidth="1"/>
    <col min="4077" max="4077" width="17" customWidth="1"/>
    <col min="4078" max="4078" width="37.5703125" customWidth="1"/>
    <col min="4079" max="4079" width="5.7109375" customWidth="1"/>
    <col min="4080" max="4080" width="12.140625" customWidth="1"/>
    <col min="4081" max="4081" width="14.85546875" customWidth="1"/>
    <col min="4331" max="4331" width="5.28515625" customWidth="1"/>
    <col min="4332" max="4332" width="15.7109375" customWidth="1"/>
    <col min="4333" max="4333" width="17" customWidth="1"/>
    <col min="4334" max="4334" width="37.5703125" customWidth="1"/>
    <col min="4335" max="4335" width="5.7109375" customWidth="1"/>
    <col min="4336" max="4336" width="12.140625" customWidth="1"/>
    <col min="4337" max="4337" width="14.85546875" customWidth="1"/>
    <col min="4587" max="4587" width="5.28515625" customWidth="1"/>
    <col min="4588" max="4588" width="15.7109375" customWidth="1"/>
    <col min="4589" max="4589" width="17" customWidth="1"/>
    <col min="4590" max="4590" width="37.5703125" customWidth="1"/>
    <col min="4591" max="4591" width="5.7109375" customWidth="1"/>
    <col min="4592" max="4592" width="12.140625" customWidth="1"/>
    <col min="4593" max="4593" width="14.85546875" customWidth="1"/>
    <col min="4843" max="4843" width="5.28515625" customWidth="1"/>
    <col min="4844" max="4844" width="15.7109375" customWidth="1"/>
    <col min="4845" max="4845" width="17" customWidth="1"/>
    <col min="4846" max="4846" width="37.5703125" customWidth="1"/>
    <col min="4847" max="4847" width="5.7109375" customWidth="1"/>
    <col min="4848" max="4848" width="12.140625" customWidth="1"/>
    <col min="4849" max="4849" width="14.85546875" customWidth="1"/>
    <col min="5099" max="5099" width="5.28515625" customWidth="1"/>
    <col min="5100" max="5100" width="15.7109375" customWidth="1"/>
    <col min="5101" max="5101" width="17" customWidth="1"/>
    <col min="5102" max="5102" width="37.5703125" customWidth="1"/>
    <col min="5103" max="5103" width="5.7109375" customWidth="1"/>
    <col min="5104" max="5104" width="12.140625" customWidth="1"/>
    <col min="5105" max="5105" width="14.85546875" customWidth="1"/>
    <col min="5355" max="5355" width="5.28515625" customWidth="1"/>
    <col min="5356" max="5356" width="15.7109375" customWidth="1"/>
    <col min="5357" max="5357" width="17" customWidth="1"/>
    <col min="5358" max="5358" width="37.5703125" customWidth="1"/>
    <col min="5359" max="5359" width="5.7109375" customWidth="1"/>
    <col min="5360" max="5360" width="12.140625" customWidth="1"/>
    <col min="5361" max="5361" width="14.85546875" customWidth="1"/>
    <col min="5611" max="5611" width="5.28515625" customWidth="1"/>
    <col min="5612" max="5612" width="15.7109375" customWidth="1"/>
    <col min="5613" max="5613" width="17" customWidth="1"/>
    <col min="5614" max="5614" width="37.5703125" customWidth="1"/>
    <col min="5615" max="5615" width="5.7109375" customWidth="1"/>
    <col min="5616" max="5616" width="12.140625" customWidth="1"/>
    <col min="5617" max="5617" width="14.85546875" customWidth="1"/>
    <col min="5867" max="5867" width="5.28515625" customWidth="1"/>
    <col min="5868" max="5868" width="15.7109375" customWidth="1"/>
    <col min="5869" max="5869" width="17" customWidth="1"/>
    <col min="5870" max="5870" width="37.5703125" customWidth="1"/>
    <col min="5871" max="5871" width="5.7109375" customWidth="1"/>
    <col min="5872" max="5872" width="12.140625" customWidth="1"/>
    <col min="5873" max="5873" width="14.85546875" customWidth="1"/>
    <col min="6123" max="6123" width="5.28515625" customWidth="1"/>
    <col min="6124" max="6124" width="15.7109375" customWidth="1"/>
    <col min="6125" max="6125" width="17" customWidth="1"/>
    <col min="6126" max="6126" width="37.5703125" customWidth="1"/>
    <col min="6127" max="6127" width="5.7109375" customWidth="1"/>
    <col min="6128" max="6128" width="12.140625" customWidth="1"/>
    <col min="6129" max="6129" width="14.85546875" customWidth="1"/>
    <col min="6379" max="6379" width="5.28515625" customWidth="1"/>
    <col min="6380" max="6380" width="15.7109375" customWidth="1"/>
    <col min="6381" max="6381" width="17" customWidth="1"/>
    <col min="6382" max="6382" width="37.5703125" customWidth="1"/>
    <col min="6383" max="6383" width="5.7109375" customWidth="1"/>
    <col min="6384" max="6384" width="12.140625" customWidth="1"/>
    <col min="6385" max="6385" width="14.85546875" customWidth="1"/>
    <col min="6635" max="6635" width="5.28515625" customWidth="1"/>
    <col min="6636" max="6636" width="15.7109375" customWidth="1"/>
    <col min="6637" max="6637" width="17" customWidth="1"/>
    <col min="6638" max="6638" width="37.5703125" customWidth="1"/>
    <col min="6639" max="6639" width="5.7109375" customWidth="1"/>
    <col min="6640" max="6640" width="12.140625" customWidth="1"/>
    <col min="6641" max="6641" width="14.85546875" customWidth="1"/>
    <col min="6891" max="6891" width="5.28515625" customWidth="1"/>
    <col min="6892" max="6892" width="15.7109375" customWidth="1"/>
    <col min="6893" max="6893" width="17" customWidth="1"/>
    <col min="6894" max="6894" width="37.5703125" customWidth="1"/>
    <col min="6895" max="6895" width="5.7109375" customWidth="1"/>
    <col min="6896" max="6896" width="12.140625" customWidth="1"/>
    <col min="6897" max="6897" width="14.85546875" customWidth="1"/>
    <col min="7147" max="7147" width="5.28515625" customWidth="1"/>
    <col min="7148" max="7148" width="15.7109375" customWidth="1"/>
    <col min="7149" max="7149" width="17" customWidth="1"/>
    <col min="7150" max="7150" width="37.5703125" customWidth="1"/>
    <col min="7151" max="7151" width="5.7109375" customWidth="1"/>
    <col min="7152" max="7152" width="12.140625" customWidth="1"/>
    <col min="7153" max="7153" width="14.85546875" customWidth="1"/>
    <col min="7403" max="7403" width="5.28515625" customWidth="1"/>
    <col min="7404" max="7404" width="15.7109375" customWidth="1"/>
    <col min="7405" max="7405" width="17" customWidth="1"/>
    <col min="7406" max="7406" width="37.5703125" customWidth="1"/>
    <col min="7407" max="7407" width="5.7109375" customWidth="1"/>
    <col min="7408" max="7408" width="12.140625" customWidth="1"/>
    <col min="7409" max="7409" width="14.85546875" customWidth="1"/>
    <col min="7659" max="7659" width="5.28515625" customWidth="1"/>
    <col min="7660" max="7660" width="15.7109375" customWidth="1"/>
    <col min="7661" max="7661" width="17" customWidth="1"/>
    <col min="7662" max="7662" width="37.5703125" customWidth="1"/>
    <col min="7663" max="7663" width="5.7109375" customWidth="1"/>
    <col min="7664" max="7664" width="12.140625" customWidth="1"/>
    <col min="7665" max="7665" width="14.85546875" customWidth="1"/>
    <col min="7915" max="7915" width="5.28515625" customWidth="1"/>
    <col min="7916" max="7916" width="15.7109375" customWidth="1"/>
    <col min="7917" max="7917" width="17" customWidth="1"/>
    <col min="7918" max="7918" width="37.5703125" customWidth="1"/>
    <col min="7919" max="7919" width="5.7109375" customWidth="1"/>
    <col min="7920" max="7920" width="12.140625" customWidth="1"/>
    <col min="7921" max="7921" width="14.85546875" customWidth="1"/>
    <col min="8171" max="8171" width="5.28515625" customWidth="1"/>
    <col min="8172" max="8172" width="15.7109375" customWidth="1"/>
    <col min="8173" max="8173" width="17" customWidth="1"/>
    <col min="8174" max="8174" width="37.5703125" customWidth="1"/>
    <col min="8175" max="8175" width="5.7109375" customWidth="1"/>
    <col min="8176" max="8176" width="12.140625" customWidth="1"/>
    <col min="8177" max="8177" width="14.85546875" customWidth="1"/>
    <col min="8427" max="8427" width="5.28515625" customWidth="1"/>
    <col min="8428" max="8428" width="15.7109375" customWidth="1"/>
    <col min="8429" max="8429" width="17" customWidth="1"/>
    <col min="8430" max="8430" width="37.5703125" customWidth="1"/>
    <col min="8431" max="8431" width="5.7109375" customWidth="1"/>
    <col min="8432" max="8432" width="12.140625" customWidth="1"/>
    <col min="8433" max="8433" width="14.85546875" customWidth="1"/>
    <col min="8683" max="8683" width="5.28515625" customWidth="1"/>
    <col min="8684" max="8684" width="15.7109375" customWidth="1"/>
    <col min="8685" max="8685" width="17" customWidth="1"/>
    <col min="8686" max="8686" width="37.5703125" customWidth="1"/>
    <col min="8687" max="8687" width="5.7109375" customWidth="1"/>
    <col min="8688" max="8688" width="12.140625" customWidth="1"/>
    <col min="8689" max="8689" width="14.85546875" customWidth="1"/>
    <col min="8939" max="8939" width="5.28515625" customWidth="1"/>
    <col min="8940" max="8940" width="15.7109375" customWidth="1"/>
    <col min="8941" max="8941" width="17" customWidth="1"/>
    <col min="8942" max="8942" width="37.5703125" customWidth="1"/>
    <col min="8943" max="8943" width="5.7109375" customWidth="1"/>
    <col min="8944" max="8944" width="12.140625" customWidth="1"/>
    <col min="8945" max="8945" width="14.85546875" customWidth="1"/>
    <col min="9195" max="9195" width="5.28515625" customWidth="1"/>
    <col min="9196" max="9196" width="15.7109375" customWidth="1"/>
    <col min="9197" max="9197" width="17" customWidth="1"/>
    <col min="9198" max="9198" width="37.5703125" customWidth="1"/>
    <col min="9199" max="9199" width="5.7109375" customWidth="1"/>
    <col min="9200" max="9200" width="12.140625" customWidth="1"/>
    <col min="9201" max="9201" width="14.85546875" customWidth="1"/>
    <col min="9451" max="9451" width="5.28515625" customWidth="1"/>
    <col min="9452" max="9452" width="15.7109375" customWidth="1"/>
    <col min="9453" max="9453" width="17" customWidth="1"/>
    <col min="9454" max="9454" width="37.5703125" customWidth="1"/>
    <col min="9455" max="9455" width="5.7109375" customWidth="1"/>
    <col min="9456" max="9456" width="12.140625" customWidth="1"/>
    <col min="9457" max="9457" width="14.85546875" customWidth="1"/>
    <col min="9707" max="9707" width="5.28515625" customWidth="1"/>
    <col min="9708" max="9708" width="15.7109375" customWidth="1"/>
    <col min="9709" max="9709" width="17" customWidth="1"/>
    <col min="9710" max="9710" width="37.5703125" customWidth="1"/>
    <col min="9711" max="9711" width="5.7109375" customWidth="1"/>
    <col min="9712" max="9712" width="12.140625" customWidth="1"/>
    <col min="9713" max="9713" width="14.85546875" customWidth="1"/>
    <col min="9963" max="9963" width="5.28515625" customWidth="1"/>
    <col min="9964" max="9964" width="15.7109375" customWidth="1"/>
    <col min="9965" max="9965" width="17" customWidth="1"/>
    <col min="9966" max="9966" width="37.5703125" customWidth="1"/>
    <col min="9967" max="9967" width="5.7109375" customWidth="1"/>
    <col min="9968" max="9968" width="12.140625" customWidth="1"/>
    <col min="9969" max="9969" width="14.85546875" customWidth="1"/>
    <col min="10219" max="10219" width="5.28515625" customWidth="1"/>
    <col min="10220" max="10220" width="15.7109375" customWidth="1"/>
    <col min="10221" max="10221" width="17" customWidth="1"/>
    <col min="10222" max="10222" width="37.5703125" customWidth="1"/>
    <col min="10223" max="10223" width="5.7109375" customWidth="1"/>
    <col min="10224" max="10224" width="12.140625" customWidth="1"/>
    <col min="10225" max="10225" width="14.85546875" customWidth="1"/>
    <col min="10475" max="10475" width="5.28515625" customWidth="1"/>
    <col min="10476" max="10476" width="15.7109375" customWidth="1"/>
    <col min="10477" max="10477" width="17" customWidth="1"/>
    <col min="10478" max="10478" width="37.5703125" customWidth="1"/>
    <col min="10479" max="10479" width="5.7109375" customWidth="1"/>
    <col min="10480" max="10480" width="12.140625" customWidth="1"/>
    <col min="10481" max="10481" width="14.85546875" customWidth="1"/>
    <col min="10731" max="10731" width="5.28515625" customWidth="1"/>
    <col min="10732" max="10732" width="15.7109375" customWidth="1"/>
    <col min="10733" max="10733" width="17" customWidth="1"/>
    <col min="10734" max="10734" width="37.5703125" customWidth="1"/>
    <col min="10735" max="10735" width="5.7109375" customWidth="1"/>
    <col min="10736" max="10736" width="12.140625" customWidth="1"/>
    <col min="10737" max="10737" width="14.85546875" customWidth="1"/>
    <col min="10987" max="10987" width="5.28515625" customWidth="1"/>
    <col min="10988" max="10988" width="15.7109375" customWidth="1"/>
    <col min="10989" max="10989" width="17" customWidth="1"/>
    <col min="10990" max="10990" width="37.5703125" customWidth="1"/>
    <col min="10991" max="10991" width="5.7109375" customWidth="1"/>
    <col min="10992" max="10992" width="12.140625" customWidth="1"/>
    <col min="10993" max="10993" width="14.85546875" customWidth="1"/>
    <col min="11243" max="11243" width="5.28515625" customWidth="1"/>
    <col min="11244" max="11244" width="15.7109375" customWidth="1"/>
    <col min="11245" max="11245" width="17" customWidth="1"/>
    <col min="11246" max="11246" width="37.5703125" customWidth="1"/>
    <col min="11247" max="11247" width="5.7109375" customWidth="1"/>
    <col min="11248" max="11248" width="12.140625" customWidth="1"/>
    <col min="11249" max="11249" width="14.85546875" customWidth="1"/>
    <col min="11499" max="11499" width="5.28515625" customWidth="1"/>
    <col min="11500" max="11500" width="15.7109375" customWidth="1"/>
    <col min="11501" max="11501" width="17" customWidth="1"/>
    <col min="11502" max="11502" width="37.5703125" customWidth="1"/>
    <col min="11503" max="11503" width="5.7109375" customWidth="1"/>
    <col min="11504" max="11504" width="12.140625" customWidth="1"/>
    <col min="11505" max="11505" width="14.85546875" customWidth="1"/>
    <col min="11755" max="11755" width="5.28515625" customWidth="1"/>
    <col min="11756" max="11756" width="15.7109375" customWidth="1"/>
    <col min="11757" max="11757" width="17" customWidth="1"/>
    <col min="11758" max="11758" width="37.5703125" customWidth="1"/>
    <col min="11759" max="11759" width="5.7109375" customWidth="1"/>
    <col min="11760" max="11760" width="12.140625" customWidth="1"/>
    <col min="11761" max="11761" width="14.85546875" customWidth="1"/>
    <col min="12011" max="12011" width="5.28515625" customWidth="1"/>
    <col min="12012" max="12012" width="15.7109375" customWidth="1"/>
    <col min="12013" max="12013" width="17" customWidth="1"/>
    <col min="12014" max="12014" width="37.5703125" customWidth="1"/>
    <col min="12015" max="12015" width="5.7109375" customWidth="1"/>
    <col min="12016" max="12016" width="12.140625" customWidth="1"/>
    <col min="12017" max="12017" width="14.85546875" customWidth="1"/>
    <col min="12267" max="12267" width="5.28515625" customWidth="1"/>
    <col min="12268" max="12268" width="15.7109375" customWidth="1"/>
    <col min="12269" max="12269" width="17" customWidth="1"/>
    <col min="12270" max="12270" width="37.5703125" customWidth="1"/>
    <col min="12271" max="12271" width="5.7109375" customWidth="1"/>
    <col min="12272" max="12272" width="12.140625" customWidth="1"/>
    <col min="12273" max="12273" width="14.85546875" customWidth="1"/>
    <col min="12523" max="12523" width="5.28515625" customWidth="1"/>
    <col min="12524" max="12524" width="15.7109375" customWidth="1"/>
    <col min="12525" max="12525" width="17" customWidth="1"/>
    <col min="12526" max="12526" width="37.5703125" customWidth="1"/>
    <col min="12527" max="12527" width="5.7109375" customWidth="1"/>
    <col min="12528" max="12528" width="12.140625" customWidth="1"/>
    <col min="12529" max="12529" width="14.85546875" customWidth="1"/>
    <col min="12779" max="12779" width="5.28515625" customWidth="1"/>
    <col min="12780" max="12780" width="15.7109375" customWidth="1"/>
    <col min="12781" max="12781" width="17" customWidth="1"/>
    <col min="12782" max="12782" width="37.5703125" customWidth="1"/>
    <col min="12783" max="12783" width="5.7109375" customWidth="1"/>
    <col min="12784" max="12784" width="12.140625" customWidth="1"/>
    <col min="12785" max="12785" width="14.85546875" customWidth="1"/>
    <col min="13035" max="13035" width="5.28515625" customWidth="1"/>
    <col min="13036" max="13036" width="15.7109375" customWidth="1"/>
    <col min="13037" max="13037" width="17" customWidth="1"/>
    <col min="13038" max="13038" width="37.5703125" customWidth="1"/>
    <col min="13039" max="13039" width="5.7109375" customWidth="1"/>
    <col min="13040" max="13040" width="12.140625" customWidth="1"/>
    <col min="13041" max="13041" width="14.85546875" customWidth="1"/>
    <col min="13291" max="13291" width="5.28515625" customWidth="1"/>
    <col min="13292" max="13292" width="15.7109375" customWidth="1"/>
    <col min="13293" max="13293" width="17" customWidth="1"/>
    <col min="13294" max="13294" width="37.5703125" customWidth="1"/>
    <col min="13295" max="13295" width="5.7109375" customWidth="1"/>
    <col min="13296" max="13296" width="12.140625" customWidth="1"/>
    <col min="13297" max="13297" width="14.85546875" customWidth="1"/>
    <col min="13547" max="13547" width="5.28515625" customWidth="1"/>
    <col min="13548" max="13548" width="15.7109375" customWidth="1"/>
    <col min="13549" max="13549" width="17" customWidth="1"/>
    <col min="13550" max="13550" width="37.5703125" customWidth="1"/>
    <col min="13551" max="13551" width="5.7109375" customWidth="1"/>
    <col min="13552" max="13552" width="12.140625" customWidth="1"/>
    <col min="13553" max="13553" width="14.85546875" customWidth="1"/>
    <col min="13803" max="13803" width="5.28515625" customWidth="1"/>
    <col min="13804" max="13804" width="15.7109375" customWidth="1"/>
    <col min="13805" max="13805" width="17" customWidth="1"/>
    <col min="13806" max="13806" width="37.5703125" customWidth="1"/>
    <col min="13807" max="13807" width="5.7109375" customWidth="1"/>
    <col min="13808" max="13808" width="12.140625" customWidth="1"/>
    <col min="13809" max="13809" width="14.85546875" customWidth="1"/>
    <col min="14059" max="14059" width="5.28515625" customWidth="1"/>
    <col min="14060" max="14060" width="15.7109375" customWidth="1"/>
    <col min="14061" max="14061" width="17" customWidth="1"/>
    <col min="14062" max="14062" width="37.5703125" customWidth="1"/>
    <col min="14063" max="14063" width="5.7109375" customWidth="1"/>
    <col min="14064" max="14064" width="12.140625" customWidth="1"/>
    <col min="14065" max="14065" width="14.85546875" customWidth="1"/>
    <col min="14315" max="14315" width="5.28515625" customWidth="1"/>
    <col min="14316" max="14316" width="15.7109375" customWidth="1"/>
    <col min="14317" max="14317" width="17" customWidth="1"/>
    <col min="14318" max="14318" width="37.5703125" customWidth="1"/>
    <col min="14319" max="14319" width="5.7109375" customWidth="1"/>
    <col min="14320" max="14320" width="12.140625" customWidth="1"/>
    <col min="14321" max="14321" width="14.85546875" customWidth="1"/>
    <col min="14571" max="14571" width="5.28515625" customWidth="1"/>
    <col min="14572" max="14572" width="15.7109375" customWidth="1"/>
    <col min="14573" max="14573" width="17" customWidth="1"/>
    <col min="14574" max="14574" width="37.5703125" customWidth="1"/>
    <col min="14575" max="14575" width="5.7109375" customWidth="1"/>
    <col min="14576" max="14576" width="12.140625" customWidth="1"/>
    <col min="14577" max="14577" width="14.85546875" customWidth="1"/>
    <col min="14827" max="14827" width="5.28515625" customWidth="1"/>
    <col min="14828" max="14828" width="15.7109375" customWidth="1"/>
    <col min="14829" max="14829" width="17" customWidth="1"/>
    <col min="14830" max="14830" width="37.5703125" customWidth="1"/>
    <col min="14831" max="14831" width="5.7109375" customWidth="1"/>
    <col min="14832" max="14832" width="12.140625" customWidth="1"/>
    <col min="14833" max="14833" width="14.85546875" customWidth="1"/>
    <col min="15083" max="15083" width="5.28515625" customWidth="1"/>
    <col min="15084" max="15084" width="15.7109375" customWidth="1"/>
    <col min="15085" max="15085" width="17" customWidth="1"/>
    <col min="15086" max="15086" width="37.5703125" customWidth="1"/>
    <col min="15087" max="15087" width="5.7109375" customWidth="1"/>
    <col min="15088" max="15088" width="12.140625" customWidth="1"/>
    <col min="15089" max="15089" width="14.85546875" customWidth="1"/>
    <col min="15339" max="15339" width="5.28515625" customWidth="1"/>
    <col min="15340" max="15340" width="15.7109375" customWidth="1"/>
    <col min="15341" max="15341" width="17" customWidth="1"/>
    <col min="15342" max="15342" width="37.5703125" customWidth="1"/>
    <col min="15343" max="15343" width="5.7109375" customWidth="1"/>
    <col min="15344" max="15344" width="12.140625" customWidth="1"/>
    <col min="15345" max="15345" width="14.85546875" customWidth="1"/>
    <col min="15595" max="15595" width="5.28515625" customWidth="1"/>
    <col min="15596" max="15596" width="15.7109375" customWidth="1"/>
    <col min="15597" max="15597" width="17" customWidth="1"/>
    <col min="15598" max="15598" width="37.5703125" customWidth="1"/>
    <col min="15599" max="15599" width="5.7109375" customWidth="1"/>
    <col min="15600" max="15600" width="12.140625" customWidth="1"/>
    <col min="15601" max="15601" width="14.85546875" customWidth="1"/>
    <col min="15851" max="15851" width="5.28515625" customWidth="1"/>
    <col min="15852" max="15852" width="15.7109375" customWidth="1"/>
    <col min="15853" max="15853" width="17" customWidth="1"/>
    <col min="15854" max="15854" width="37.5703125" customWidth="1"/>
    <col min="15855" max="15855" width="5.7109375" customWidth="1"/>
    <col min="15856" max="15856" width="12.140625" customWidth="1"/>
    <col min="15857" max="15857" width="14.85546875" customWidth="1"/>
    <col min="16107" max="16107" width="5.28515625" customWidth="1"/>
    <col min="16108" max="16108" width="15.7109375" customWidth="1"/>
    <col min="16109" max="16109" width="17" customWidth="1"/>
    <col min="16110" max="16110" width="37.5703125" customWidth="1"/>
    <col min="16111" max="16111" width="5.7109375" customWidth="1"/>
    <col min="16112" max="16112" width="12.140625" customWidth="1"/>
    <col min="16113" max="16113" width="14.85546875" customWidth="1"/>
  </cols>
  <sheetData>
    <row r="1" spans="1:11" s="64" customFormat="1" ht="24" customHeight="1">
      <c r="A1" s="307" t="s">
        <v>52</v>
      </c>
      <c r="B1" s="307"/>
      <c r="C1" s="307"/>
      <c r="D1" s="307"/>
      <c r="E1" s="307"/>
      <c r="F1" s="307"/>
      <c r="G1" s="307"/>
      <c r="H1" s="307"/>
      <c r="I1" s="307"/>
      <c r="J1" s="307"/>
    </row>
    <row r="2" spans="1:11" s="64" customFormat="1" ht="19.5" customHeight="1">
      <c r="A2" s="308" t="s">
        <v>51</v>
      </c>
      <c r="B2" s="308"/>
      <c r="C2" s="308"/>
      <c r="D2" s="308"/>
      <c r="E2" s="308"/>
      <c r="F2" s="308"/>
      <c r="G2" s="308"/>
      <c r="H2" s="308"/>
      <c r="I2" s="308"/>
      <c r="J2" s="308"/>
    </row>
    <row r="3" spans="1:11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1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  <c r="J4" s="310"/>
    </row>
    <row r="5" spans="1:11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  <c r="J5" s="309"/>
    </row>
    <row r="6" spans="1:11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  <c r="J6" s="310"/>
    </row>
    <row r="7" spans="1:11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  <c r="J7" s="311"/>
    </row>
    <row r="8" spans="1:11" s="61" customFormat="1" ht="15" customHeight="1">
      <c r="A8" s="62" t="s">
        <v>178</v>
      </c>
      <c r="G8" s="312" t="s">
        <v>45</v>
      </c>
      <c r="H8" s="312"/>
      <c r="I8" s="313">
        <v>46133</v>
      </c>
      <c r="J8" s="313"/>
    </row>
    <row r="9" spans="1:11" s="54" customFormat="1" ht="11.2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  <c r="J9" s="58"/>
    </row>
    <row r="10" spans="1:11" s="54" customFormat="1" ht="84" customHeight="1">
      <c r="B10" s="171" t="s">
        <v>162</v>
      </c>
      <c r="C10" s="59"/>
      <c r="D10" s="56"/>
      <c r="E10" s="56"/>
      <c r="F10" s="56"/>
      <c r="G10" s="56"/>
      <c r="H10" s="56"/>
      <c r="I10" s="56"/>
      <c r="J10" s="58"/>
    </row>
    <row r="11" spans="1:11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  <c r="J11" s="55"/>
    </row>
    <row r="12" spans="1:11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  <c r="J12" s="314"/>
    </row>
    <row r="13" spans="1:11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148"/>
      <c r="G13" s="329"/>
      <c r="H13" s="330"/>
      <c r="I13" s="330"/>
      <c r="J13" s="344"/>
    </row>
    <row r="14" spans="1:11" s="29" customFormat="1" ht="28.5" customHeight="1">
      <c r="A14" s="46" t="s">
        <v>33</v>
      </c>
      <c r="B14" s="45" t="s">
        <v>32</v>
      </c>
      <c r="C14" s="45" t="s">
        <v>31</v>
      </c>
      <c r="D14" s="45" t="s">
        <v>30</v>
      </c>
      <c r="E14" s="77" t="s">
        <v>29</v>
      </c>
      <c r="F14" s="77" t="s">
        <v>155</v>
      </c>
      <c r="G14" s="77" t="s">
        <v>28</v>
      </c>
      <c r="H14" s="77" t="s">
        <v>27</v>
      </c>
      <c r="I14" s="77" t="s">
        <v>26</v>
      </c>
      <c r="J14" s="77" t="s">
        <v>25</v>
      </c>
    </row>
    <row r="15" spans="1:11" s="47" customFormat="1" ht="18" customHeight="1">
      <c r="A15" s="78"/>
      <c r="B15" s="79" t="s">
        <v>36</v>
      </c>
      <c r="C15" s="80" t="s">
        <v>163</v>
      </c>
      <c r="D15" s="78"/>
      <c r="E15" s="81"/>
      <c r="F15" s="81"/>
      <c r="G15" s="332" t="s">
        <v>81</v>
      </c>
      <c r="H15" s="333"/>
      <c r="I15" s="333"/>
      <c r="J15" s="172"/>
    </row>
    <row r="16" spans="1:11" s="22" customFormat="1" ht="15" customHeight="1">
      <c r="A16" s="19">
        <v>1</v>
      </c>
      <c r="B16" s="173" t="s">
        <v>164</v>
      </c>
      <c r="C16" s="173" t="s">
        <v>165</v>
      </c>
      <c r="D16" s="85">
        <v>1</v>
      </c>
      <c r="E16" s="86">
        <v>31419</v>
      </c>
      <c r="F16" s="86"/>
      <c r="G16" s="87">
        <f>E16*D16</f>
        <v>31419</v>
      </c>
      <c r="H16" s="88">
        <v>0.18</v>
      </c>
      <c r="I16" s="87">
        <f t="shared" ref="I16:I22" si="0">G16*18%</f>
        <v>5655.42</v>
      </c>
      <c r="J16" s="87">
        <f t="shared" ref="J16:J22" si="1">I16+G16</f>
        <v>37074.42</v>
      </c>
      <c r="K16" s="25"/>
    </row>
    <row r="17" spans="1:11" s="22" customFormat="1" ht="15" customHeight="1">
      <c r="A17" s="19">
        <v>2</v>
      </c>
      <c r="B17" s="69" t="s">
        <v>166</v>
      </c>
      <c r="C17" s="69" t="s">
        <v>167</v>
      </c>
      <c r="D17" s="85">
        <v>1</v>
      </c>
      <c r="E17" s="86">
        <v>18906</v>
      </c>
      <c r="F17" s="86"/>
      <c r="G17" s="87">
        <f>E17*D17</f>
        <v>18906</v>
      </c>
      <c r="H17" s="88">
        <v>0.18</v>
      </c>
      <c r="I17" s="87">
        <f t="shared" si="0"/>
        <v>3403.08</v>
      </c>
      <c r="J17" s="87">
        <f t="shared" si="1"/>
        <v>22309.08</v>
      </c>
      <c r="K17" s="25"/>
    </row>
    <row r="18" spans="1:11" s="22" customFormat="1" ht="15" customHeight="1">
      <c r="A18" s="19">
        <v>3</v>
      </c>
      <c r="B18" s="69" t="s">
        <v>168</v>
      </c>
      <c r="C18" s="69" t="s">
        <v>169</v>
      </c>
      <c r="D18" s="85">
        <v>1</v>
      </c>
      <c r="E18" s="86">
        <v>3381</v>
      </c>
      <c r="F18" s="86"/>
      <c r="G18" s="87">
        <f>E18*D18</f>
        <v>3381</v>
      </c>
      <c r="H18" s="88">
        <v>0.18</v>
      </c>
      <c r="I18" s="87">
        <f t="shared" si="0"/>
        <v>608.57999999999993</v>
      </c>
      <c r="J18" s="87">
        <f t="shared" si="1"/>
        <v>3989.58</v>
      </c>
      <c r="K18" s="25"/>
    </row>
    <row r="19" spans="1:11" s="22" customFormat="1" ht="15" customHeight="1">
      <c r="A19" s="19">
        <v>4</v>
      </c>
      <c r="B19" s="72" t="s">
        <v>86</v>
      </c>
      <c r="C19" s="72" t="s">
        <v>171</v>
      </c>
      <c r="D19" s="85">
        <v>3</v>
      </c>
      <c r="E19" s="86">
        <v>2276</v>
      </c>
      <c r="F19" s="86"/>
      <c r="G19" s="87">
        <f>E19*D19</f>
        <v>6828</v>
      </c>
      <c r="H19" s="88">
        <v>0.18</v>
      </c>
      <c r="I19" s="87">
        <f t="shared" si="0"/>
        <v>1229.04</v>
      </c>
      <c r="J19" s="87">
        <f t="shared" si="1"/>
        <v>8057.04</v>
      </c>
      <c r="K19" s="25"/>
    </row>
    <row r="20" spans="1:11" s="22" customFormat="1" ht="15" customHeight="1">
      <c r="A20" s="19">
        <v>5</v>
      </c>
      <c r="B20" s="69" t="s">
        <v>172</v>
      </c>
      <c r="C20" s="72" t="s">
        <v>173</v>
      </c>
      <c r="D20" s="85">
        <v>1</v>
      </c>
      <c r="E20" s="86">
        <v>1127</v>
      </c>
      <c r="F20" s="86"/>
      <c r="G20" s="87">
        <f>E20*D20</f>
        <v>1127</v>
      </c>
      <c r="H20" s="88">
        <v>0.18</v>
      </c>
      <c r="I20" s="87">
        <f t="shared" si="0"/>
        <v>202.85999999999999</v>
      </c>
      <c r="J20" s="87">
        <f t="shared" si="1"/>
        <v>1329.86</v>
      </c>
      <c r="K20" s="25"/>
    </row>
    <row r="21" spans="1:11" s="22" customFormat="1" ht="15" customHeight="1">
      <c r="A21" s="19">
        <v>6</v>
      </c>
      <c r="B21" s="69" t="s">
        <v>175</v>
      </c>
      <c r="C21" s="72" t="s">
        <v>176</v>
      </c>
      <c r="D21" s="85">
        <v>1</v>
      </c>
      <c r="E21" s="86">
        <v>91050</v>
      </c>
      <c r="F21" s="174">
        <v>0.1</v>
      </c>
      <c r="G21" s="87">
        <f>E21*90%*D21</f>
        <v>81945</v>
      </c>
      <c r="H21" s="88">
        <v>0.18</v>
      </c>
      <c r="I21" s="87">
        <f t="shared" si="0"/>
        <v>14750.099999999999</v>
      </c>
      <c r="J21" s="87">
        <f t="shared" si="1"/>
        <v>96695.1</v>
      </c>
      <c r="K21" s="25"/>
    </row>
    <row r="22" spans="1:11" s="22" customFormat="1" ht="15" customHeight="1">
      <c r="A22" s="19">
        <v>7</v>
      </c>
      <c r="B22" s="84" t="s">
        <v>170</v>
      </c>
      <c r="C22" s="84" t="s">
        <v>174</v>
      </c>
      <c r="D22" s="85">
        <v>1</v>
      </c>
      <c r="E22" s="86">
        <v>18702</v>
      </c>
      <c r="F22" s="86"/>
      <c r="G22" s="87">
        <f>E22*D22</f>
        <v>18702</v>
      </c>
      <c r="H22" s="88">
        <v>0.18</v>
      </c>
      <c r="I22" s="87">
        <f t="shared" si="0"/>
        <v>3366.3599999999997</v>
      </c>
      <c r="J22" s="87">
        <f t="shared" si="1"/>
        <v>22068.36</v>
      </c>
      <c r="K22" s="25"/>
    </row>
    <row r="23" spans="1:11" s="22" customFormat="1" ht="15" customHeight="1">
      <c r="A23" s="19"/>
      <c r="B23" s="19"/>
      <c r="C23" s="19" t="s">
        <v>91</v>
      </c>
      <c r="D23" s="19"/>
      <c r="E23" s="92"/>
      <c r="F23" s="92"/>
      <c r="G23" s="92">
        <f>SUM(G16:G22)</f>
        <v>162308</v>
      </c>
      <c r="H23" s="19"/>
      <c r="I23" s="92">
        <f>SUM(I16:I22)</f>
        <v>29215.439999999999</v>
      </c>
      <c r="J23" s="92">
        <f>SUM(J16:J22)</f>
        <v>191523.44</v>
      </c>
      <c r="K23" s="25"/>
    </row>
    <row r="24" spans="1:11" s="22" customFormat="1" ht="15" customHeight="1">
      <c r="A24" s="93"/>
      <c r="B24" s="93"/>
      <c r="C24" s="93"/>
      <c r="D24" s="93"/>
      <c r="E24" s="93"/>
      <c r="F24" s="93"/>
      <c r="G24" s="93"/>
      <c r="H24" s="93"/>
      <c r="I24" s="94" t="s">
        <v>19</v>
      </c>
      <c r="J24" s="24">
        <f>ROUND(J23,0)</f>
        <v>191523</v>
      </c>
      <c r="K24" s="25"/>
    </row>
    <row r="25" spans="1:11" s="22" customFormat="1" ht="15" customHeight="1">
      <c r="A25" s="334" t="s">
        <v>177</v>
      </c>
      <c r="B25" s="334"/>
      <c r="C25" s="334"/>
      <c r="D25" s="334"/>
      <c r="E25" s="334"/>
      <c r="F25" s="334"/>
      <c r="G25" s="334"/>
      <c r="H25" s="334"/>
      <c r="I25" s="334"/>
      <c r="J25" s="334"/>
      <c r="K25" s="25"/>
    </row>
    <row r="26" spans="1:11" s="3" customFormat="1" ht="11.25">
      <c r="A26" s="14" t="s">
        <v>16</v>
      </c>
      <c r="B26" s="12"/>
      <c r="C26" s="12"/>
      <c r="D26" s="12"/>
      <c r="E26" s="12"/>
      <c r="F26" s="12"/>
      <c r="G26" s="12"/>
      <c r="H26" s="12"/>
      <c r="I26" s="13"/>
      <c r="J26" s="12"/>
    </row>
    <row r="27" spans="1:11" s="6" customFormat="1" ht="13.5" customHeight="1">
      <c r="A27" s="11" t="s">
        <v>15</v>
      </c>
      <c r="B27" s="9"/>
      <c r="C27" s="10"/>
      <c r="D27" s="9"/>
      <c r="E27" s="8"/>
      <c r="F27" s="8"/>
      <c r="G27" s="8"/>
      <c r="H27" s="3"/>
    </row>
    <row r="28" spans="1:11" s="6" customFormat="1" ht="11.25" customHeight="1">
      <c r="A28" s="5">
        <v>1</v>
      </c>
      <c r="B28" s="7" t="s">
        <v>14</v>
      </c>
      <c r="C28" s="326" t="s">
        <v>13</v>
      </c>
      <c r="D28" s="326"/>
      <c r="E28" s="326"/>
      <c r="F28" s="326"/>
      <c r="G28" s="326"/>
      <c r="H28" s="326"/>
    </row>
    <row r="29" spans="1:11" s="6" customFormat="1" ht="13.5" customHeight="1">
      <c r="A29" s="5">
        <v>2</v>
      </c>
      <c r="B29" s="7" t="s">
        <v>12</v>
      </c>
      <c r="C29" s="326" t="s">
        <v>11</v>
      </c>
      <c r="D29" s="326"/>
      <c r="E29" s="326"/>
      <c r="F29" s="326"/>
      <c r="G29" s="326"/>
      <c r="H29" s="326"/>
    </row>
    <row r="30" spans="1:11" s="6" customFormat="1" ht="12" customHeight="1">
      <c r="A30" s="5">
        <v>3</v>
      </c>
      <c r="B30" s="7" t="s">
        <v>10</v>
      </c>
      <c r="C30" s="326" t="s">
        <v>9</v>
      </c>
      <c r="D30" s="326"/>
      <c r="E30" s="326"/>
      <c r="F30" s="326"/>
      <c r="G30" s="326"/>
      <c r="H30" s="326"/>
      <c r="I30" s="327" t="s">
        <v>8</v>
      </c>
      <c r="J30" s="327"/>
    </row>
    <row r="31" spans="1:11" s="6" customFormat="1" ht="11.25" customHeight="1">
      <c r="A31" s="5">
        <v>4</v>
      </c>
      <c r="B31" s="7" t="s">
        <v>7</v>
      </c>
      <c r="C31" s="326" t="s">
        <v>93</v>
      </c>
      <c r="D31" s="326"/>
      <c r="E31" s="326"/>
      <c r="F31" s="326"/>
      <c r="G31" s="326"/>
      <c r="H31" s="326"/>
    </row>
    <row r="32" spans="1:11" s="6" customFormat="1" ht="11.25" customHeight="1">
      <c r="A32" s="5">
        <v>5</v>
      </c>
      <c r="B32" s="7" t="s">
        <v>5</v>
      </c>
      <c r="C32" s="326" t="s">
        <v>4</v>
      </c>
      <c r="D32" s="326"/>
      <c r="E32" s="326"/>
      <c r="F32" s="326"/>
      <c r="G32" s="326"/>
      <c r="H32" s="326"/>
      <c r="I32" s="327" t="s">
        <v>3</v>
      </c>
      <c r="J32" s="327"/>
    </row>
    <row r="33" spans="1:10" s="3" customFormat="1" ht="26.25" customHeight="1">
      <c r="A33" s="5">
        <v>6</v>
      </c>
      <c r="B33" s="147" t="s">
        <v>2</v>
      </c>
      <c r="C33" s="328" t="s">
        <v>1</v>
      </c>
      <c r="D33" s="328"/>
      <c r="E33" s="328"/>
      <c r="F33" s="328"/>
      <c r="G33" s="328"/>
      <c r="H33" s="328"/>
      <c r="I33" s="327" t="s">
        <v>0</v>
      </c>
      <c r="J33" s="327"/>
    </row>
    <row r="34" spans="1:10">
      <c r="A34" s="5"/>
    </row>
  </sheetData>
  <mergeCells count="24">
    <mergeCell ref="C31:H31"/>
    <mergeCell ref="C32:H32"/>
    <mergeCell ref="I32:J32"/>
    <mergeCell ref="C33:H33"/>
    <mergeCell ref="I33:J33"/>
    <mergeCell ref="G15:I15"/>
    <mergeCell ref="A25:J25"/>
    <mergeCell ref="C28:H28"/>
    <mergeCell ref="C29:H29"/>
    <mergeCell ref="C30:H30"/>
    <mergeCell ref="I30:J30"/>
    <mergeCell ref="A7:J7"/>
    <mergeCell ref="G8:H8"/>
    <mergeCell ref="I8:J8"/>
    <mergeCell ref="A12:J12"/>
    <mergeCell ref="A13:B13"/>
    <mergeCell ref="D13:E13"/>
    <mergeCell ref="G13:J13"/>
    <mergeCell ref="A6:J6"/>
    <mergeCell ref="A1:J1"/>
    <mergeCell ref="A2:J2"/>
    <mergeCell ref="A3:J3"/>
    <mergeCell ref="A4:J4"/>
    <mergeCell ref="A5:J5"/>
  </mergeCells>
  <conditionalFormatting sqref="B17">
    <cfRule type="duplicateValues" dxfId="27" priority="14"/>
    <cfRule type="duplicateValues" dxfId="26" priority="15"/>
  </conditionalFormatting>
  <conditionalFormatting sqref="B17">
    <cfRule type="duplicateValues" dxfId="25" priority="13"/>
  </conditionalFormatting>
  <conditionalFormatting sqref="B17">
    <cfRule type="duplicateValues" dxfId="24" priority="12"/>
  </conditionalFormatting>
  <conditionalFormatting sqref="B17">
    <cfRule type="duplicateValues" dxfId="23" priority="11"/>
  </conditionalFormatting>
  <conditionalFormatting sqref="B18:B21">
    <cfRule type="duplicateValues" dxfId="22" priority="9"/>
    <cfRule type="duplicateValues" dxfId="21" priority="10"/>
  </conditionalFormatting>
  <conditionalFormatting sqref="B18:B21">
    <cfRule type="duplicateValues" dxfId="20" priority="8"/>
  </conditionalFormatting>
  <conditionalFormatting sqref="B18:B21">
    <cfRule type="duplicateValues" dxfId="19" priority="7"/>
  </conditionalFormatting>
  <conditionalFormatting sqref="B18:B21">
    <cfRule type="duplicateValues" dxfId="18" priority="6"/>
  </conditionalFormatting>
  <conditionalFormatting sqref="B20:B21">
    <cfRule type="duplicateValues" dxfId="17" priority="4"/>
    <cfRule type="duplicateValues" dxfId="16" priority="5"/>
  </conditionalFormatting>
  <conditionalFormatting sqref="B20:B21">
    <cfRule type="duplicateValues" dxfId="15" priority="3"/>
  </conditionalFormatting>
  <conditionalFormatting sqref="B20:B21">
    <cfRule type="duplicateValues" dxfId="14" priority="2"/>
  </conditionalFormatting>
  <conditionalFormatting sqref="B20:B21">
    <cfRule type="duplicateValues" dxfId="13" priority="1"/>
  </conditionalFormatting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selection activeCell="J10" sqref="J10"/>
    </sheetView>
  </sheetViews>
  <sheetFormatPr defaultRowHeight="15"/>
  <cols>
    <col min="1" max="1" width="5.28515625" customWidth="1"/>
    <col min="2" max="2" width="23.8554687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179</v>
      </c>
      <c r="F8" s="312" t="s">
        <v>45</v>
      </c>
      <c r="G8" s="312"/>
      <c r="H8" s="313">
        <v>46134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49.5" customHeight="1">
      <c r="B10" s="60" t="s">
        <v>129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168"/>
      <c r="B14" s="52" t="s">
        <v>36</v>
      </c>
      <c r="C14" s="51" t="s">
        <v>114</v>
      </c>
      <c r="D14" s="168"/>
      <c r="E14" s="49"/>
      <c r="F14" s="317" t="s">
        <v>106</v>
      </c>
      <c r="G14" s="318"/>
      <c r="H14" s="318"/>
      <c r="I14" s="169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 ht="12">
      <c r="A16" s="43">
        <v>1</v>
      </c>
      <c r="B16" s="69" t="s">
        <v>166</v>
      </c>
      <c r="C16" s="69" t="s">
        <v>167</v>
      </c>
      <c r="D16" s="85">
        <v>1</v>
      </c>
      <c r="E16" s="86">
        <v>18906</v>
      </c>
      <c r="F16" s="31">
        <f>E16*D16</f>
        <v>18906</v>
      </c>
      <c r="G16" s="33">
        <v>0.18</v>
      </c>
      <c r="H16" s="32">
        <f>G16*F16</f>
        <v>3403.08</v>
      </c>
      <c r="I16" s="31">
        <f>H16+F16</f>
        <v>22309.08</v>
      </c>
      <c r="J16" s="39"/>
    </row>
    <row r="17" spans="1:11" s="38" customFormat="1" ht="12">
      <c r="A17" s="43">
        <v>2</v>
      </c>
      <c r="B17" s="69" t="s">
        <v>168</v>
      </c>
      <c r="C17" s="69" t="s">
        <v>169</v>
      </c>
      <c r="D17" s="85">
        <v>1</v>
      </c>
      <c r="E17" s="86">
        <v>3381</v>
      </c>
      <c r="F17" s="31">
        <f>E17*D17</f>
        <v>3381</v>
      </c>
      <c r="G17" s="33">
        <v>0.18</v>
      </c>
      <c r="H17" s="32">
        <f>G17*F17</f>
        <v>608.57999999999993</v>
      </c>
      <c r="I17" s="31">
        <f>H17+F17</f>
        <v>3989.58</v>
      </c>
      <c r="J17" s="39"/>
    </row>
    <row r="18" spans="1:11" s="38" customFormat="1">
      <c r="A18" s="43">
        <v>3</v>
      </c>
      <c r="B18" s="181" t="s">
        <v>180</v>
      </c>
      <c r="C18" s="182" t="s">
        <v>181</v>
      </c>
      <c r="D18" s="35">
        <v>1</v>
      </c>
      <c r="E18" s="40">
        <v>12515</v>
      </c>
      <c r="F18" s="31">
        <f>E18*D18</f>
        <v>12515</v>
      </c>
      <c r="G18" s="33">
        <v>0.18</v>
      </c>
      <c r="H18" s="32">
        <f>G18*F18</f>
        <v>2252.6999999999998</v>
      </c>
      <c r="I18" s="31">
        <f>H18+F18</f>
        <v>14767.7</v>
      </c>
      <c r="J18" s="39"/>
    </row>
    <row r="19" spans="1:11" s="29" customFormat="1">
      <c r="A19" s="43">
        <v>4</v>
      </c>
      <c r="B19" s="99"/>
      <c r="C19" s="100" t="s">
        <v>102</v>
      </c>
      <c r="D19" s="35">
        <v>1</v>
      </c>
      <c r="E19" s="34">
        <v>500</v>
      </c>
      <c r="F19" s="31">
        <f>E19*D19</f>
        <v>500</v>
      </c>
      <c r="G19" s="33">
        <v>0.18</v>
      </c>
      <c r="H19" s="32">
        <f>G19*F19</f>
        <v>90</v>
      </c>
      <c r="I19" s="31">
        <f>H19+F19</f>
        <v>590</v>
      </c>
      <c r="J19" s="30"/>
    </row>
    <row r="20" spans="1:11" s="22" customFormat="1" ht="15" customHeight="1">
      <c r="A20" s="320" t="s">
        <v>20</v>
      </c>
      <c r="B20" s="321"/>
      <c r="C20" s="322"/>
      <c r="D20" s="28"/>
      <c r="E20" s="26"/>
      <c r="F20" s="26">
        <f>SUM(F16:F19)</f>
        <v>35302</v>
      </c>
      <c r="G20" s="27"/>
      <c r="H20" s="26">
        <f>SUM(H16:H19)</f>
        <v>6354.36</v>
      </c>
      <c r="I20" s="26">
        <f>SUM(I16:I19)</f>
        <v>41656.36</v>
      </c>
      <c r="J20" s="25"/>
    </row>
    <row r="21" spans="1:11" s="22" customFormat="1" ht="17.25" customHeight="1">
      <c r="A21" s="320" t="s">
        <v>19</v>
      </c>
      <c r="B21" s="321"/>
      <c r="C21" s="321"/>
      <c r="D21" s="321"/>
      <c r="E21" s="321"/>
      <c r="F21" s="321"/>
      <c r="G21" s="321"/>
      <c r="H21" s="322"/>
      <c r="I21" s="24">
        <f>ROUND(I20,0)</f>
        <v>41656</v>
      </c>
      <c r="J21" s="23"/>
      <c r="K21" s="73"/>
    </row>
    <row r="22" spans="1:11" s="20" customFormat="1" ht="17.25" customHeight="1">
      <c r="A22" s="345" t="s">
        <v>182</v>
      </c>
      <c r="B22" s="346"/>
      <c r="C22" s="346"/>
      <c r="D22" s="324"/>
      <c r="E22" s="324"/>
      <c r="F22" s="324"/>
      <c r="G22" s="324"/>
      <c r="H22" s="324"/>
      <c r="I22" s="325"/>
      <c r="J22" s="21"/>
    </row>
    <row r="23" spans="1:11" s="15" customFormat="1" ht="17.25" customHeight="1">
      <c r="A23" s="183"/>
      <c r="B23" s="183"/>
      <c r="C23" s="183" t="s">
        <v>17</v>
      </c>
      <c r="D23" s="183"/>
      <c r="E23" s="183"/>
      <c r="F23" s="183"/>
      <c r="G23" s="183"/>
      <c r="H23" s="183"/>
      <c r="I23" s="184"/>
      <c r="J23" s="16"/>
    </row>
    <row r="24" spans="1:11" s="3" customFormat="1" ht="11.25">
      <c r="A24" s="14" t="s">
        <v>16</v>
      </c>
      <c r="B24" s="12"/>
      <c r="C24" s="12"/>
      <c r="D24" s="12"/>
      <c r="E24" s="12"/>
      <c r="F24" s="12"/>
      <c r="G24" s="12"/>
      <c r="H24" s="13"/>
      <c r="I24" s="12"/>
    </row>
    <row r="25" spans="1:11" s="6" customFormat="1" ht="13.5" customHeight="1">
      <c r="A25" s="11" t="s">
        <v>15</v>
      </c>
      <c r="B25" s="9"/>
      <c r="C25" s="10"/>
      <c r="D25" s="9"/>
      <c r="E25" s="8"/>
      <c r="F25" s="8"/>
      <c r="G25" s="3"/>
    </row>
    <row r="26" spans="1:11" s="6" customFormat="1" ht="11.25" customHeight="1">
      <c r="A26" s="5">
        <v>1</v>
      </c>
      <c r="B26" s="7" t="s">
        <v>14</v>
      </c>
      <c r="C26" s="326" t="s">
        <v>13</v>
      </c>
      <c r="D26" s="326"/>
      <c r="E26" s="326"/>
      <c r="F26" s="326"/>
      <c r="G26" s="326"/>
    </row>
    <row r="27" spans="1:11" s="6" customFormat="1" ht="13.5" customHeight="1">
      <c r="A27" s="5">
        <v>2</v>
      </c>
      <c r="B27" s="7" t="s">
        <v>12</v>
      </c>
      <c r="C27" s="326" t="s">
        <v>11</v>
      </c>
      <c r="D27" s="326"/>
      <c r="E27" s="326"/>
      <c r="F27" s="326"/>
      <c r="G27" s="326"/>
    </row>
    <row r="28" spans="1:11" s="6" customFormat="1" ht="12" customHeight="1">
      <c r="A28" s="5">
        <v>3</v>
      </c>
      <c r="B28" s="7" t="s">
        <v>10</v>
      </c>
      <c r="C28" s="326" t="s">
        <v>9</v>
      </c>
      <c r="D28" s="326"/>
      <c r="E28" s="326"/>
      <c r="F28" s="326"/>
      <c r="G28" s="326"/>
      <c r="H28" s="327" t="s">
        <v>8</v>
      </c>
      <c r="I28" s="327"/>
    </row>
    <row r="29" spans="1:11" s="6" customFormat="1" ht="11.25" customHeight="1">
      <c r="A29" s="5">
        <v>4</v>
      </c>
      <c r="B29" s="7" t="s">
        <v>7</v>
      </c>
      <c r="C29" s="326" t="s">
        <v>6</v>
      </c>
      <c r="D29" s="326"/>
      <c r="E29" s="326"/>
      <c r="F29" s="326"/>
      <c r="G29" s="326"/>
    </row>
    <row r="30" spans="1:11" s="6" customFormat="1" ht="11.25" customHeight="1">
      <c r="A30" s="5">
        <v>5</v>
      </c>
      <c r="B30" s="7" t="s">
        <v>5</v>
      </c>
      <c r="C30" s="326" t="s">
        <v>4</v>
      </c>
      <c r="D30" s="326"/>
      <c r="E30" s="326"/>
      <c r="F30" s="326"/>
      <c r="G30" s="326"/>
      <c r="H30" s="327" t="s">
        <v>3</v>
      </c>
      <c r="I30" s="327"/>
    </row>
    <row r="31" spans="1:11" s="3" customFormat="1" ht="26.25" customHeight="1">
      <c r="A31" s="5">
        <v>6</v>
      </c>
      <c r="B31" s="170" t="s">
        <v>2</v>
      </c>
      <c r="C31" s="328" t="s">
        <v>1</v>
      </c>
      <c r="D31" s="328"/>
      <c r="E31" s="328"/>
      <c r="F31" s="328"/>
      <c r="G31" s="328"/>
      <c r="H31" s="327" t="s">
        <v>0</v>
      </c>
      <c r="I31" s="327"/>
    </row>
  </sheetData>
  <mergeCells count="26">
    <mergeCell ref="A6:I6"/>
    <mergeCell ref="A1:I1"/>
    <mergeCell ref="A2:I2"/>
    <mergeCell ref="A3:I3"/>
    <mergeCell ref="A4:I4"/>
    <mergeCell ref="A5:I5"/>
    <mergeCell ref="A7:I7"/>
    <mergeCell ref="F8:G8"/>
    <mergeCell ref="H8:I8"/>
    <mergeCell ref="A12:I12"/>
    <mergeCell ref="A13:B13"/>
    <mergeCell ref="D13:E13"/>
    <mergeCell ref="F13:I13"/>
    <mergeCell ref="C31:G31"/>
    <mergeCell ref="H31:I31"/>
    <mergeCell ref="F14:H14"/>
    <mergeCell ref="A20:C20"/>
    <mergeCell ref="A21:H21"/>
    <mergeCell ref="A22:I22"/>
    <mergeCell ref="C26:G26"/>
    <mergeCell ref="C27:G27"/>
    <mergeCell ref="C28:G28"/>
    <mergeCell ref="H28:I28"/>
    <mergeCell ref="C29:G29"/>
    <mergeCell ref="C30:G30"/>
    <mergeCell ref="H30:I30"/>
  </mergeCells>
  <conditionalFormatting sqref="B16">
    <cfRule type="duplicateValues" dxfId="12" priority="9"/>
    <cfRule type="duplicateValues" dxfId="11" priority="10"/>
  </conditionalFormatting>
  <conditionalFormatting sqref="B16">
    <cfRule type="duplicateValues" dxfId="10" priority="8"/>
  </conditionalFormatting>
  <conditionalFormatting sqref="B16">
    <cfRule type="duplicateValues" dxfId="9" priority="7"/>
  </conditionalFormatting>
  <conditionalFormatting sqref="B16">
    <cfRule type="duplicateValues" dxfId="8" priority="6"/>
  </conditionalFormatting>
  <conditionalFormatting sqref="B17">
    <cfRule type="duplicateValues" dxfId="7" priority="4"/>
    <cfRule type="duplicateValues" dxfId="6" priority="5"/>
  </conditionalFormatting>
  <conditionalFormatting sqref="B17">
    <cfRule type="duplicateValues" dxfId="5" priority="3"/>
  </conditionalFormatting>
  <conditionalFormatting sqref="B17">
    <cfRule type="duplicateValues" dxfId="4" priority="2"/>
  </conditionalFormatting>
  <conditionalFormatting sqref="B17">
    <cfRule type="duplicateValues" dxfId="3" priority="1"/>
  </conditionalFormatting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29"/>
  <sheetViews>
    <sheetView topLeftCell="A5" workbookViewId="0">
      <selection activeCell="G22" sqref="G22"/>
    </sheetView>
  </sheetViews>
  <sheetFormatPr defaultRowHeight="15"/>
  <cols>
    <col min="1" max="1" width="5.28515625" customWidth="1"/>
    <col min="2" max="2" width="39.5703125" style="2" customWidth="1"/>
    <col min="3" max="3" width="37.140625" style="2" customWidth="1"/>
    <col min="4" max="4" width="5.140625" customWidth="1"/>
    <col min="5" max="5" width="13.28515625" style="190" customWidth="1"/>
    <col min="6" max="6" width="6.7109375" style="190" customWidth="1"/>
    <col min="7" max="7" width="15" style="190" customWidth="1"/>
    <col min="8" max="8" width="5.42578125" style="190" customWidth="1"/>
    <col min="9" max="9" width="13.42578125" style="190" customWidth="1"/>
    <col min="10" max="10" width="15.28515625" style="190" customWidth="1"/>
    <col min="11" max="11" width="18.5703125" customWidth="1"/>
    <col min="12" max="12" width="11.85546875" bestFit="1" customWidth="1"/>
    <col min="235" max="235" width="5.28515625" customWidth="1"/>
    <col min="236" max="236" width="15.7109375" customWidth="1"/>
    <col min="237" max="237" width="17" customWidth="1"/>
    <col min="238" max="238" width="37.5703125" customWidth="1"/>
    <col min="239" max="239" width="5.7109375" customWidth="1"/>
    <col min="240" max="240" width="12.140625" customWidth="1"/>
    <col min="241" max="241" width="14.85546875" customWidth="1"/>
    <col min="491" max="491" width="5.28515625" customWidth="1"/>
    <col min="492" max="492" width="15.7109375" customWidth="1"/>
    <col min="493" max="493" width="17" customWidth="1"/>
    <col min="494" max="494" width="37.5703125" customWidth="1"/>
    <col min="495" max="495" width="5.7109375" customWidth="1"/>
    <col min="496" max="496" width="12.140625" customWidth="1"/>
    <col min="497" max="497" width="14.85546875" customWidth="1"/>
    <col min="747" max="747" width="5.28515625" customWidth="1"/>
    <col min="748" max="748" width="15.7109375" customWidth="1"/>
    <col min="749" max="749" width="17" customWidth="1"/>
    <col min="750" max="750" width="37.5703125" customWidth="1"/>
    <col min="751" max="751" width="5.7109375" customWidth="1"/>
    <col min="752" max="752" width="12.140625" customWidth="1"/>
    <col min="753" max="753" width="14.85546875" customWidth="1"/>
    <col min="1003" max="1003" width="5.28515625" customWidth="1"/>
    <col min="1004" max="1004" width="15.7109375" customWidth="1"/>
    <col min="1005" max="1005" width="17" customWidth="1"/>
    <col min="1006" max="1006" width="37.5703125" customWidth="1"/>
    <col min="1007" max="1007" width="5.7109375" customWidth="1"/>
    <col min="1008" max="1008" width="12.140625" customWidth="1"/>
    <col min="1009" max="1009" width="14.85546875" customWidth="1"/>
    <col min="1259" max="1259" width="5.28515625" customWidth="1"/>
    <col min="1260" max="1260" width="15.7109375" customWidth="1"/>
    <col min="1261" max="1261" width="17" customWidth="1"/>
    <col min="1262" max="1262" width="37.5703125" customWidth="1"/>
    <col min="1263" max="1263" width="5.7109375" customWidth="1"/>
    <col min="1264" max="1264" width="12.140625" customWidth="1"/>
    <col min="1265" max="1265" width="14.85546875" customWidth="1"/>
    <col min="1515" max="1515" width="5.28515625" customWidth="1"/>
    <col min="1516" max="1516" width="15.7109375" customWidth="1"/>
    <col min="1517" max="1517" width="17" customWidth="1"/>
    <col min="1518" max="1518" width="37.5703125" customWidth="1"/>
    <col min="1519" max="1519" width="5.7109375" customWidth="1"/>
    <col min="1520" max="1520" width="12.140625" customWidth="1"/>
    <col min="1521" max="1521" width="14.85546875" customWidth="1"/>
    <col min="1771" max="1771" width="5.28515625" customWidth="1"/>
    <col min="1772" max="1772" width="15.7109375" customWidth="1"/>
    <col min="1773" max="1773" width="17" customWidth="1"/>
    <col min="1774" max="1774" width="37.5703125" customWidth="1"/>
    <col min="1775" max="1775" width="5.7109375" customWidth="1"/>
    <col min="1776" max="1776" width="12.140625" customWidth="1"/>
    <col min="1777" max="1777" width="14.85546875" customWidth="1"/>
    <col min="2027" max="2027" width="5.28515625" customWidth="1"/>
    <col min="2028" max="2028" width="15.7109375" customWidth="1"/>
    <col min="2029" max="2029" width="17" customWidth="1"/>
    <col min="2030" max="2030" width="37.5703125" customWidth="1"/>
    <col min="2031" max="2031" width="5.7109375" customWidth="1"/>
    <col min="2032" max="2032" width="12.140625" customWidth="1"/>
    <col min="2033" max="2033" width="14.85546875" customWidth="1"/>
    <col min="2283" max="2283" width="5.28515625" customWidth="1"/>
    <col min="2284" max="2284" width="15.7109375" customWidth="1"/>
    <col min="2285" max="2285" width="17" customWidth="1"/>
    <col min="2286" max="2286" width="37.5703125" customWidth="1"/>
    <col min="2287" max="2287" width="5.7109375" customWidth="1"/>
    <col min="2288" max="2288" width="12.140625" customWidth="1"/>
    <col min="2289" max="2289" width="14.85546875" customWidth="1"/>
    <col min="2539" max="2539" width="5.28515625" customWidth="1"/>
    <col min="2540" max="2540" width="15.7109375" customWidth="1"/>
    <col min="2541" max="2541" width="17" customWidth="1"/>
    <col min="2542" max="2542" width="37.5703125" customWidth="1"/>
    <col min="2543" max="2543" width="5.7109375" customWidth="1"/>
    <col min="2544" max="2544" width="12.140625" customWidth="1"/>
    <col min="2545" max="2545" width="14.85546875" customWidth="1"/>
    <col min="2795" max="2795" width="5.28515625" customWidth="1"/>
    <col min="2796" max="2796" width="15.7109375" customWidth="1"/>
    <col min="2797" max="2797" width="17" customWidth="1"/>
    <col min="2798" max="2798" width="37.5703125" customWidth="1"/>
    <col min="2799" max="2799" width="5.7109375" customWidth="1"/>
    <col min="2800" max="2800" width="12.140625" customWidth="1"/>
    <col min="2801" max="2801" width="14.85546875" customWidth="1"/>
    <col min="3051" max="3051" width="5.28515625" customWidth="1"/>
    <col min="3052" max="3052" width="15.7109375" customWidth="1"/>
    <col min="3053" max="3053" width="17" customWidth="1"/>
    <col min="3054" max="3054" width="37.5703125" customWidth="1"/>
    <col min="3055" max="3055" width="5.7109375" customWidth="1"/>
    <col min="3056" max="3056" width="12.140625" customWidth="1"/>
    <col min="3057" max="3057" width="14.85546875" customWidth="1"/>
    <col min="3307" max="3307" width="5.28515625" customWidth="1"/>
    <col min="3308" max="3308" width="15.7109375" customWidth="1"/>
    <col min="3309" max="3309" width="17" customWidth="1"/>
    <col min="3310" max="3310" width="37.5703125" customWidth="1"/>
    <col min="3311" max="3311" width="5.7109375" customWidth="1"/>
    <col min="3312" max="3312" width="12.140625" customWidth="1"/>
    <col min="3313" max="3313" width="14.85546875" customWidth="1"/>
    <col min="3563" max="3563" width="5.28515625" customWidth="1"/>
    <col min="3564" max="3564" width="15.7109375" customWidth="1"/>
    <col min="3565" max="3565" width="17" customWidth="1"/>
    <col min="3566" max="3566" width="37.5703125" customWidth="1"/>
    <col min="3567" max="3567" width="5.7109375" customWidth="1"/>
    <col min="3568" max="3568" width="12.140625" customWidth="1"/>
    <col min="3569" max="3569" width="14.85546875" customWidth="1"/>
    <col min="3819" max="3819" width="5.28515625" customWidth="1"/>
    <col min="3820" max="3820" width="15.7109375" customWidth="1"/>
    <col min="3821" max="3821" width="17" customWidth="1"/>
    <col min="3822" max="3822" width="37.5703125" customWidth="1"/>
    <col min="3823" max="3823" width="5.7109375" customWidth="1"/>
    <col min="3824" max="3824" width="12.140625" customWidth="1"/>
    <col min="3825" max="3825" width="14.85546875" customWidth="1"/>
    <col min="4075" max="4075" width="5.28515625" customWidth="1"/>
    <col min="4076" max="4076" width="15.7109375" customWidth="1"/>
    <col min="4077" max="4077" width="17" customWidth="1"/>
    <col min="4078" max="4078" width="37.5703125" customWidth="1"/>
    <col min="4079" max="4079" width="5.7109375" customWidth="1"/>
    <col min="4080" max="4080" width="12.140625" customWidth="1"/>
    <col min="4081" max="4081" width="14.85546875" customWidth="1"/>
    <col min="4331" max="4331" width="5.28515625" customWidth="1"/>
    <col min="4332" max="4332" width="15.7109375" customWidth="1"/>
    <col min="4333" max="4333" width="17" customWidth="1"/>
    <col min="4334" max="4334" width="37.5703125" customWidth="1"/>
    <col min="4335" max="4335" width="5.7109375" customWidth="1"/>
    <col min="4336" max="4336" width="12.140625" customWidth="1"/>
    <col min="4337" max="4337" width="14.85546875" customWidth="1"/>
    <col min="4587" max="4587" width="5.28515625" customWidth="1"/>
    <col min="4588" max="4588" width="15.7109375" customWidth="1"/>
    <col min="4589" max="4589" width="17" customWidth="1"/>
    <col min="4590" max="4590" width="37.5703125" customWidth="1"/>
    <col min="4591" max="4591" width="5.7109375" customWidth="1"/>
    <col min="4592" max="4592" width="12.140625" customWidth="1"/>
    <col min="4593" max="4593" width="14.85546875" customWidth="1"/>
    <col min="4843" max="4843" width="5.28515625" customWidth="1"/>
    <col min="4844" max="4844" width="15.7109375" customWidth="1"/>
    <col min="4845" max="4845" width="17" customWidth="1"/>
    <col min="4846" max="4846" width="37.5703125" customWidth="1"/>
    <col min="4847" max="4847" width="5.7109375" customWidth="1"/>
    <col min="4848" max="4848" width="12.140625" customWidth="1"/>
    <col min="4849" max="4849" width="14.85546875" customWidth="1"/>
    <col min="5099" max="5099" width="5.28515625" customWidth="1"/>
    <col min="5100" max="5100" width="15.7109375" customWidth="1"/>
    <col min="5101" max="5101" width="17" customWidth="1"/>
    <col min="5102" max="5102" width="37.5703125" customWidth="1"/>
    <col min="5103" max="5103" width="5.7109375" customWidth="1"/>
    <col min="5104" max="5104" width="12.140625" customWidth="1"/>
    <col min="5105" max="5105" width="14.85546875" customWidth="1"/>
    <col min="5355" max="5355" width="5.28515625" customWidth="1"/>
    <col min="5356" max="5356" width="15.7109375" customWidth="1"/>
    <col min="5357" max="5357" width="17" customWidth="1"/>
    <col min="5358" max="5358" width="37.5703125" customWidth="1"/>
    <col min="5359" max="5359" width="5.7109375" customWidth="1"/>
    <col min="5360" max="5360" width="12.140625" customWidth="1"/>
    <col min="5361" max="5361" width="14.85546875" customWidth="1"/>
    <col min="5611" max="5611" width="5.28515625" customWidth="1"/>
    <col min="5612" max="5612" width="15.7109375" customWidth="1"/>
    <col min="5613" max="5613" width="17" customWidth="1"/>
    <col min="5614" max="5614" width="37.5703125" customWidth="1"/>
    <col min="5615" max="5615" width="5.7109375" customWidth="1"/>
    <col min="5616" max="5616" width="12.140625" customWidth="1"/>
    <col min="5617" max="5617" width="14.85546875" customWidth="1"/>
    <col min="5867" max="5867" width="5.28515625" customWidth="1"/>
    <col min="5868" max="5868" width="15.7109375" customWidth="1"/>
    <col min="5869" max="5869" width="17" customWidth="1"/>
    <col min="5870" max="5870" width="37.5703125" customWidth="1"/>
    <col min="5871" max="5871" width="5.7109375" customWidth="1"/>
    <col min="5872" max="5872" width="12.140625" customWidth="1"/>
    <col min="5873" max="5873" width="14.85546875" customWidth="1"/>
    <col min="6123" max="6123" width="5.28515625" customWidth="1"/>
    <col min="6124" max="6124" width="15.7109375" customWidth="1"/>
    <col min="6125" max="6125" width="17" customWidth="1"/>
    <col min="6126" max="6126" width="37.5703125" customWidth="1"/>
    <col min="6127" max="6127" width="5.7109375" customWidth="1"/>
    <col min="6128" max="6128" width="12.140625" customWidth="1"/>
    <col min="6129" max="6129" width="14.85546875" customWidth="1"/>
    <col min="6379" max="6379" width="5.28515625" customWidth="1"/>
    <col min="6380" max="6380" width="15.7109375" customWidth="1"/>
    <col min="6381" max="6381" width="17" customWidth="1"/>
    <col min="6382" max="6382" width="37.5703125" customWidth="1"/>
    <col min="6383" max="6383" width="5.7109375" customWidth="1"/>
    <col min="6384" max="6384" width="12.140625" customWidth="1"/>
    <col min="6385" max="6385" width="14.85546875" customWidth="1"/>
    <col min="6635" max="6635" width="5.28515625" customWidth="1"/>
    <col min="6636" max="6636" width="15.7109375" customWidth="1"/>
    <col min="6637" max="6637" width="17" customWidth="1"/>
    <col min="6638" max="6638" width="37.5703125" customWidth="1"/>
    <col min="6639" max="6639" width="5.7109375" customWidth="1"/>
    <col min="6640" max="6640" width="12.140625" customWidth="1"/>
    <col min="6641" max="6641" width="14.85546875" customWidth="1"/>
    <col min="6891" max="6891" width="5.28515625" customWidth="1"/>
    <col min="6892" max="6892" width="15.7109375" customWidth="1"/>
    <col min="6893" max="6893" width="17" customWidth="1"/>
    <col min="6894" max="6894" width="37.5703125" customWidth="1"/>
    <col min="6895" max="6895" width="5.7109375" customWidth="1"/>
    <col min="6896" max="6896" width="12.140625" customWidth="1"/>
    <col min="6897" max="6897" width="14.85546875" customWidth="1"/>
    <col min="7147" max="7147" width="5.28515625" customWidth="1"/>
    <col min="7148" max="7148" width="15.7109375" customWidth="1"/>
    <col min="7149" max="7149" width="17" customWidth="1"/>
    <col min="7150" max="7150" width="37.5703125" customWidth="1"/>
    <col min="7151" max="7151" width="5.7109375" customWidth="1"/>
    <col min="7152" max="7152" width="12.140625" customWidth="1"/>
    <col min="7153" max="7153" width="14.85546875" customWidth="1"/>
    <col min="7403" max="7403" width="5.28515625" customWidth="1"/>
    <col min="7404" max="7404" width="15.7109375" customWidth="1"/>
    <col min="7405" max="7405" width="17" customWidth="1"/>
    <col min="7406" max="7406" width="37.5703125" customWidth="1"/>
    <col min="7407" max="7407" width="5.7109375" customWidth="1"/>
    <col min="7408" max="7408" width="12.140625" customWidth="1"/>
    <col min="7409" max="7409" width="14.85546875" customWidth="1"/>
    <col min="7659" max="7659" width="5.28515625" customWidth="1"/>
    <col min="7660" max="7660" width="15.7109375" customWidth="1"/>
    <col min="7661" max="7661" width="17" customWidth="1"/>
    <col min="7662" max="7662" width="37.5703125" customWidth="1"/>
    <col min="7663" max="7663" width="5.7109375" customWidth="1"/>
    <col min="7664" max="7664" width="12.140625" customWidth="1"/>
    <col min="7665" max="7665" width="14.85546875" customWidth="1"/>
    <col min="7915" max="7915" width="5.28515625" customWidth="1"/>
    <col min="7916" max="7916" width="15.7109375" customWidth="1"/>
    <col min="7917" max="7917" width="17" customWidth="1"/>
    <col min="7918" max="7918" width="37.5703125" customWidth="1"/>
    <col min="7919" max="7919" width="5.7109375" customWidth="1"/>
    <col min="7920" max="7920" width="12.140625" customWidth="1"/>
    <col min="7921" max="7921" width="14.85546875" customWidth="1"/>
    <col min="8171" max="8171" width="5.28515625" customWidth="1"/>
    <col min="8172" max="8172" width="15.7109375" customWidth="1"/>
    <col min="8173" max="8173" width="17" customWidth="1"/>
    <col min="8174" max="8174" width="37.5703125" customWidth="1"/>
    <col min="8175" max="8175" width="5.7109375" customWidth="1"/>
    <col min="8176" max="8176" width="12.140625" customWidth="1"/>
    <col min="8177" max="8177" width="14.85546875" customWidth="1"/>
    <col min="8427" max="8427" width="5.28515625" customWidth="1"/>
    <col min="8428" max="8428" width="15.7109375" customWidth="1"/>
    <col min="8429" max="8429" width="17" customWidth="1"/>
    <col min="8430" max="8430" width="37.5703125" customWidth="1"/>
    <col min="8431" max="8431" width="5.7109375" customWidth="1"/>
    <col min="8432" max="8432" width="12.140625" customWidth="1"/>
    <col min="8433" max="8433" width="14.85546875" customWidth="1"/>
    <col min="8683" max="8683" width="5.28515625" customWidth="1"/>
    <col min="8684" max="8684" width="15.7109375" customWidth="1"/>
    <col min="8685" max="8685" width="17" customWidth="1"/>
    <col min="8686" max="8686" width="37.5703125" customWidth="1"/>
    <col min="8687" max="8687" width="5.7109375" customWidth="1"/>
    <col min="8688" max="8688" width="12.140625" customWidth="1"/>
    <col min="8689" max="8689" width="14.85546875" customWidth="1"/>
    <col min="8939" max="8939" width="5.28515625" customWidth="1"/>
    <col min="8940" max="8940" width="15.7109375" customWidth="1"/>
    <col min="8941" max="8941" width="17" customWidth="1"/>
    <col min="8942" max="8942" width="37.5703125" customWidth="1"/>
    <col min="8943" max="8943" width="5.7109375" customWidth="1"/>
    <col min="8944" max="8944" width="12.140625" customWidth="1"/>
    <col min="8945" max="8945" width="14.85546875" customWidth="1"/>
    <col min="9195" max="9195" width="5.28515625" customWidth="1"/>
    <col min="9196" max="9196" width="15.7109375" customWidth="1"/>
    <col min="9197" max="9197" width="17" customWidth="1"/>
    <col min="9198" max="9198" width="37.5703125" customWidth="1"/>
    <col min="9199" max="9199" width="5.7109375" customWidth="1"/>
    <col min="9200" max="9200" width="12.140625" customWidth="1"/>
    <col min="9201" max="9201" width="14.85546875" customWidth="1"/>
    <col min="9451" max="9451" width="5.28515625" customWidth="1"/>
    <col min="9452" max="9452" width="15.7109375" customWidth="1"/>
    <col min="9453" max="9453" width="17" customWidth="1"/>
    <col min="9454" max="9454" width="37.5703125" customWidth="1"/>
    <col min="9455" max="9455" width="5.7109375" customWidth="1"/>
    <col min="9456" max="9456" width="12.140625" customWidth="1"/>
    <col min="9457" max="9457" width="14.85546875" customWidth="1"/>
    <col min="9707" max="9707" width="5.28515625" customWidth="1"/>
    <col min="9708" max="9708" width="15.7109375" customWidth="1"/>
    <col min="9709" max="9709" width="17" customWidth="1"/>
    <col min="9710" max="9710" width="37.5703125" customWidth="1"/>
    <col min="9711" max="9711" width="5.7109375" customWidth="1"/>
    <col min="9712" max="9712" width="12.140625" customWidth="1"/>
    <col min="9713" max="9713" width="14.85546875" customWidth="1"/>
    <col min="9963" max="9963" width="5.28515625" customWidth="1"/>
    <col min="9964" max="9964" width="15.7109375" customWidth="1"/>
    <col min="9965" max="9965" width="17" customWidth="1"/>
    <col min="9966" max="9966" width="37.5703125" customWidth="1"/>
    <col min="9967" max="9967" width="5.7109375" customWidth="1"/>
    <col min="9968" max="9968" width="12.140625" customWidth="1"/>
    <col min="9969" max="9969" width="14.85546875" customWidth="1"/>
    <col min="10219" max="10219" width="5.28515625" customWidth="1"/>
    <col min="10220" max="10220" width="15.7109375" customWidth="1"/>
    <col min="10221" max="10221" width="17" customWidth="1"/>
    <col min="10222" max="10222" width="37.5703125" customWidth="1"/>
    <col min="10223" max="10223" width="5.7109375" customWidth="1"/>
    <col min="10224" max="10224" width="12.140625" customWidth="1"/>
    <col min="10225" max="10225" width="14.85546875" customWidth="1"/>
    <col min="10475" max="10475" width="5.28515625" customWidth="1"/>
    <col min="10476" max="10476" width="15.7109375" customWidth="1"/>
    <col min="10477" max="10477" width="17" customWidth="1"/>
    <col min="10478" max="10478" width="37.5703125" customWidth="1"/>
    <col min="10479" max="10479" width="5.7109375" customWidth="1"/>
    <col min="10480" max="10480" width="12.140625" customWidth="1"/>
    <col min="10481" max="10481" width="14.85546875" customWidth="1"/>
    <col min="10731" max="10731" width="5.28515625" customWidth="1"/>
    <col min="10732" max="10732" width="15.7109375" customWidth="1"/>
    <col min="10733" max="10733" width="17" customWidth="1"/>
    <col min="10734" max="10734" width="37.5703125" customWidth="1"/>
    <col min="10735" max="10735" width="5.7109375" customWidth="1"/>
    <col min="10736" max="10736" width="12.140625" customWidth="1"/>
    <col min="10737" max="10737" width="14.85546875" customWidth="1"/>
    <col min="10987" max="10987" width="5.28515625" customWidth="1"/>
    <col min="10988" max="10988" width="15.7109375" customWidth="1"/>
    <col min="10989" max="10989" width="17" customWidth="1"/>
    <col min="10990" max="10990" width="37.5703125" customWidth="1"/>
    <col min="10991" max="10991" width="5.7109375" customWidth="1"/>
    <col min="10992" max="10992" width="12.140625" customWidth="1"/>
    <col min="10993" max="10993" width="14.85546875" customWidth="1"/>
    <col min="11243" max="11243" width="5.28515625" customWidth="1"/>
    <col min="11244" max="11244" width="15.7109375" customWidth="1"/>
    <col min="11245" max="11245" width="17" customWidth="1"/>
    <col min="11246" max="11246" width="37.5703125" customWidth="1"/>
    <col min="11247" max="11247" width="5.7109375" customWidth="1"/>
    <col min="11248" max="11248" width="12.140625" customWidth="1"/>
    <col min="11249" max="11249" width="14.85546875" customWidth="1"/>
    <col min="11499" max="11499" width="5.28515625" customWidth="1"/>
    <col min="11500" max="11500" width="15.7109375" customWidth="1"/>
    <col min="11501" max="11501" width="17" customWidth="1"/>
    <col min="11502" max="11502" width="37.5703125" customWidth="1"/>
    <col min="11503" max="11503" width="5.7109375" customWidth="1"/>
    <col min="11504" max="11504" width="12.140625" customWidth="1"/>
    <col min="11505" max="11505" width="14.85546875" customWidth="1"/>
    <col min="11755" max="11755" width="5.28515625" customWidth="1"/>
    <col min="11756" max="11756" width="15.7109375" customWidth="1"/>
    <col min="11757" max="11757" width="17" customWidth="1"/>
    <col min="11758" max="11758" width="37.5703125" customWidth="1"/>
    <col min="11759" max="11759" width="5.7109375" customWidth="1"/>
    <col min="11760" max="11760" width="12.140625" customWidth="1"/>
    <col min="11761" max="11761" width="14.85546875" customWidth="1"/>
    <col min="12011" max="12011" width="5.28515625" customWidth="1"/>
    <col min="12012" max="12012" width="15.7109375" customWidth="1"/>
    <col min="12013" max="12013" width="17" customWidth="1"/>
    <col min="12014" max="12014" width="37.5703125" customWidth="1"/>
    <col min="12015" max="12015" width="5.7109375" customWidth="1"/>
    <col min="12016" max="12016" width="12.140625" customWidth="1"/>
    <col min="12017" max="12017" width="14.85546875" customWidth="1"/>
    <col min="12267" max="12267" width="5.28515625" customWidth="1"/>
    <col min="12268" max="12268" width="15.7109375" customWidth="1"/>
    <col min="12269" max="12269" width="17" customWidth="1"/>
    <col min="12270" max="12270" width="37.5703125" customWidth="1"/>
    <col min="12271" max="12271" width="5.7109375" customWidth="1"/>
    <col min="12272" max="12272" width="12.140625" customWidth="1"/>
    <col min="12273" max="12273" width="14.85546875" customWidth="1"/>
    <col min="12523" max="12523" width="5.28515625" customWidth="1"/>
    <col min="12524" max="12524" width="15.7109375" customWidth="1"/>
    <col min="12525" max="12525" width="17" customWidth="1"/>
    <col min="12526" max="12526" width="37.5703125" customWidth="1"/>
    <col min="12527" max="12527" width="5.7109375" customWidth="1"/>
    <col min="12528" max="12528" width="12.140625" customWidth="1"/>
    <col min="12529" max="12529" width="14.85546875" customWidth="1"/>
    <col min="12779" max="12779" width="5.28515625" customWidth="1"/>
    <col min="12780" max="12780" width="15.7109375" customWidth="1"/>
    <col min="12781" max="12781" width="17" customWidth="1"/>
    <col min="12782" max="12782" width="37.5703125" customWidth="1"/>
    <col min="12783" max="12783" width="5.7109375" customWidth="1"/>
    <col min="12784" max="12784" width="12.140625" customWidth="1"/>
    <col min="12785" max="12785" width="14.85546875" customWidth="1"/>
    <col min="13035" max="13035" width="5.28515625" customWidth="1"/>
    <col min="13036" max="13036" width="15.7109375" customWidth="1"/>
    <col min="13037" max="13037" width="17" customWidth="1"/>
    <col min="13038" max="13038" width="37.5703125" customWidth="1"/>
    <col min="13039" max="13039" width="5.7109375" customWidth="1"/>
    <col min="13040" max="13040" width="12.140625" customWidth="1"/>
    <col min="13041" max="13041" width="14.85546875" customWidth="1"/>
    <col min="13291" max="13291" width="5.28515625" customWidth="1"/>
    <col min="13292" max="13292" width="15.7109375" customWidth="1"/>
    <col min="13293" max="13293" width="17" customWidth="1"/>
    <col min="13294" max="13294" width="37.5703125" customWidth="1"/>
    <col min="13295" max="13295" width="5.7109375" customWidth="1"/>
    <col min="13296" max="13296" width="12.140625" customWidth="1"/>
    <col min="13297" max="13297" width="14.85546875" customWidth="1"/>
    <col min="13547" max="13547" width="5.28515625" customWidth="1"/>
    <col min="13548" max="13548" width="15.7109375" customWidth="1"/>
    <col min="13549" max="13549" width="17" customWidth="1"/>
    <col min="13550" max="13550" width="37.5703125" customWidth="1"/>
    <col min="13551" max="13551" width="5.7109375" customWidth="1"/>
    <col min="13552" max="13552" width="12.140625" customWidth="1"/>
    <col min="13553" max="13553" width="14.85546875" customWidth="1"/>
    <col min="13803" max="13803" width="5.28515625" customWidth="1"/>
    <col min="13804" max="13804" width="15.7109375" customWidth="1"/>
    <col min="13805" max="13805" width="17" customWidth="1"/>
    <col min="13806" max="13806" width="37.5703125" customWidth="1"/>
    <col min="13807" max="13807" width="5.7109375" customWidth="1"/>
    <col min="13808" max="13808" width="12.140625" customWidth="1"/>
    <col min="13809" max="13809" width="14.85546875" customWidth="1"/>
    <col min="14059" max="14059" width="5.28515625" customWidth="1"/>
    <col min="14060" max="14060" width="15.7109375" customWidth="1"/>
    <col min="14061" max="14061" width="17" customWidth="1"/>
    <col min="14062" max="14062" width="37.5703125" customWidth="1"/>
    <col min="14063" max="14063" width="5.7109375" customWidth="1"/>
    <col min="14064" max="14064" width="12.140625" customWidth="1"/>
    <col min="14065" max="14065" width="14.85546875" customWidth="1"/>
    <col min="14315" max="14315" width="5.28515625" customWidth="1"/>
    <col min="14316" max="14316" width="15.7109375" customWidth="1"/>
    <col min="14317" max="14317" width="17" customWidth="1"/>
    <col min="14318" max="14318" width="37.5703125" customWidth="1"/>
    <col min="14319" max="14319" width="5.7109375" customWidth="1"/>
    <col min="14320" max="14320" width="12.140625" customWidth="1"/>
    <col min="14321" max="14321" width="14.85546875" customWidth="1"/>
    <col min="14571" max="14571" width="5.28515625" customWidth="1"/>
    <col min="14572" max="14572" width="15.7109375" customWidth="1"/>
    <col min="14573" max="14573" width="17" customWidth="1"/>
    <col min="14574" max="14574" width="37.5703125" customWidth="1"/>
    <col min="14575" max="14575" width="5.7109375" customWidth="1"/>
    <col min="14576" max="14576" width="12.140625" customWidth="1"/>
    <col min="14577" max="14577" width="14.85546875" customWidth="1"/>
    <col min="14827" max="14827" width="5.28515625" customWidth="1"/>
    <col min="14828" max="14828" width="15.7109375" customWidth="1"/>
    <col min="14829" max="14829" width="17" customWidth="1"/>
    <col min="14830" max="14830" width="37.5703125" customWidth="1"/>
    <col min="14831" max="14831" width="5.7109375" customWidth="1"/>
    <col min="14832" max="14832" width="12.140625" customWidth="1"/>
    <col min="14833" max="14833" width="14.85546875" customWidth="1"/>
    <col min="15083" max="15083" width="5.28515625" customWidth="1"/>
    <col min="15084" max="15084" width="15.7109375" customWidth="1"/>
    <col min="15085" max="15085" width="17" customWidth="1"/>
    <col min="15086" max="15086" width="37.5703125" customWidth="1"/>
    <col min="15087" max="15087" width="5.7109375" customWidth="1"/>
    <col min="15088" max="15088" width="12.140625" customWidth="1"/>
    <col min="15089" max="15089" width="14.85546875" customWidth="1"/>
    <col min="15339" max="15339" width="5.28515625" customWidth="1"/>
    <col min="15340" max="15340" width="15.7109375" customWidth="1"/>
    <col min="15341" max="15341" width="17" customWidth="1"/>
    <col min="15342" max="15342" width="37.5703125" customWidth="1"/>
    <col min="15343" max="15343" width="5.7109375" customWidth="1"/>
    <col min="15344" max="15344" width="12.140625" customWidth="1"/>
    <col min="15345" max="15345" width="14.85546875" customWidth="1"/>
    <col min="15595" max="15595" width="5.28515625" customWidth="1"/>
    <col min="15596" max="15596" width="15.7109375" customWidth="1"/>
    <col min="15597" max="15597" width="17" customWidth="1"/>
    <col min="15598" max="15598" width="37.5703125" customWidth="1"/>
    <col min="15599" max="15599" width="5.7109375" customWidth="1"/>
    <col min="15600" max="15600" width="12.140625" customWidth="1"/>
    <col min="15601" max="15601" width="14.85546875" customWidth="1"/>
    <col min="15851" max="15851" width="5.28515625" customWidth="1"/>
    <col min="15852" max="15852" width="15.7109375" customWidth="1"/>
    <col min="15853" max="15853" width="17" customWidth="1"/>
    <col min="15854" max="15854" width="37.5703125" customWidth="1"/>
    <col min="15855" max="15855" width="5.7109375" customWidth="1"/>
    <col min="15856" max="15856" width="12.140625" customWidth="1"/>
    <col min="15857" max="15857" width="14.85546875" customWidth="1"/>
    <col min="16107" max="16107" width="5.28515625" customWidth="1"/>
    <col min="16108" max="16108" width="15.7109375" customWidth="1"/>
    <col min="16109" max="16109" width="17" customWidth="1"/>
    <col min="16110" max="16110" width="37.5703125" customWidth="1"/>
    <col min="16111" max="16111" width="5.7109375" customWidth="1"/>
    <col min="16112" max="16112" width="12.140625" customWidth="1"/>
    <col min="16113" max="16113" width="14.85546875" customWidth="1"/>
  </cols>
  <sheetData>
    <row r="1" spans="1:11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  <c r="J1" s="307"/>
    </row>
    <row r="2" spans="1:11" s="64" customFormat="1" ht="19.5">
      <c r="A2" s="149"/>
      <c r="B2" s="343" t="s">
        <v>51</v>
      </c>
      <c r="C2" s="343"/>
      <c r="D2" s="343"/>
      <c r="E2" s="343"/>
      <c r="F2" s="343"/>
      <c r="G2" s="343"/>
      <c r="H2" s="343"/>
      <c r="I2" s="343"/>
      <c r="J2" s="343"/>
    </row>
    <row r="3" spans="1:11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1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  <c r="J4" s="310"/>
    </row>
    <row r="5" spans="1:11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  <c r="J5" s="309"/>
    </row>
    <row r="6" spans="1:11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  <c r="J6" s="310"/>
    </row>
    <row r="7" spans="1:11" s="63" customFormat="1" ht="12.75">
      <c r="A7" s="311" t="s">
        <v>46</v>
      </c>
      <c r="B7" s="311"/>
      <c r="C7" s="311"/>
      <c r="D7" s="311"/>
      <c r="E7" s="311"/>
      <c r="F7" s="311"/>
      <c r="G7" s="311"/>
      <c r="H7" s="311"/>
      <c r="I7" s="311"/>
      <c r="J7" s="311"/>
    </row>
    <row r="8" spans="1:11" s="61" customFormat="1" ht="15" customHeight="1">
      <c r="A8" s="62" t="s">
        <v>190</v>
      </c>
      <c r="H8" s="312" t="s">
        <v>45</v>
      </c>
      <c r="I8" s="312"/>
      <c r="J8" s="180">
        <v>46140</v>
      </c>
    </row>
    <row r="9" spans="1:11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  <c r="J9" s="56"/>
    </row>
    <row r="10" spans="1:11" s="54" customFormat="1" ht="102">
      <c r="B10" s="127" t="s">
        <v>183</v>
      </c>
      <c r="C10" s="59"/>
      <c r="D10" s="56"/>
      <c r="E10" s="56"/>
      <c r="F10" s="56"/>
      <c r="G10" s="56"/>
      <c r="H10" s="56"/>
      <c r="I10" s="56"/>
      <c r="J10" s="56"/>
    </row>
    <row r="11" spans="1:11" s="54" customFormat="1" ht="18" customHeight="1">
      <c r="A11" s="55" t="s">
        <v>42</v>
      </c>
      <c r="C11" s="57"/>
      <c r="D11" s="56"/>
      <c r="E11" s="55"/>
      <c r="F11" s="55"/>
      <c r="G11" s="55"/>
      <c r="H11" s="55"/>
      <c r="I11" s="55"/>
      <c r="J11" s="55"/>
      <c r="K11" s="150"/>
    </row>
    <row r="12" spans="1:11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  <c r="J12" s="314"/>
    </row>
    <row r="13" spans="1:11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179"/>
      <c r="G13" s="179"/>
      <c r="H13" s="347"/>
      <c r="I13" s="348"/>
      <c r="J13" s="348"/>
    </row>
    <row r="14" spans="1:11" s="47" customFormat="1" ht="18" customHeight="1">
      <c r="A14" s="349" t="s">
        <v>36</v>
      </c>
      <c r="B14" s="350"/>
      <c r="C14" s="51" t="s">
        <v>184</v>
      </c>
      <c r="D14" s="178"/>
      <c r="G14" s="348"/>
      <c r="H14" s="348"/>
      <c r="I14" s="348"/>
      <c r="J14" s="351"/>
    </row>
    <row r="15" spans="1:11" s="29" customFormat="1" ht="38.25">
      <c r="A15" s="46" t="s">
        <v>33</v>
      </c>
      <c r="B15" s="45" t="s">
        <v>32</v>
      </c>
      <c r="C15" s="45" t="s">
        <v>31</v>
      </c>
      <c r="D15" s="45" t="s">
        <v>30</v>
      </c>
      <c r="E15" s="186" t="s">
        <v>29</v>
      </c>
      <c r="F15" s="186" t="s">
        <v>188</v>
      </c>
      <c r="G15" s="186" t="s">
        <v>28</v>
      </c>
      <c r="H15" s="186" t="s">
        <v>27</v>
      </c>
      <c r="I15" s="186" t="s">
        <v>26</v>
      </c>
      <c r="J15" s="186" t="s">
        <v>25</v>
      </c>
    </row>
    <row r="16" spans="1:11" s="38" customFormat="1" ht="18.75" customHeight="1">
      <c r="A16" s="37">
        <v>1</v>
      </c>
      <c r="B16" s="69" t="s">
        <v>186</v>
      </c>
      <c r="C16" s="69" t="s">
        <v>187</v>
      </c>
      <c r="D16" s="154">
        <v>4</v>
      </c>
      <c r="E16" s="187">
        <v>1581</v>
      </c>
      <c r="F16" s="191">
        <v>0.05</v>
      </c>
      <c r="G16" s="31">
        <f>E16*95%*D16</f>
        <v>6007.7999999999993</v>
      </c>
      <c r="H16" s="33">
        <v>0.18</v>
      </c>
      <c r="I16" s="32">
        <f>H16*G16</f>
        <v>1081.4039999999998</v>
      </c>
      <c r="J16" s="31">
        <f>I16+G16</f>
        <v>7089.2039999999988</v>
      </c>
      <c r="K16" s="39"/>
    </row>
    <row r="17" spans="1:11" s="38" customFormat="1">
      <c r="A17" s="37">
        <v>2</v>
      </c>
      <c r="B17" s="66" t="s">
        <v>58</v>
      </c>
      <c r="C17" s="67" t="s">
        <v>59</v>
      </c>
      <c r="D17" s="35">
        <v>2</v>
      </c>
      <c r="E17" s="187">
        <v>19698</v>
      </c>
      <c r="F17" s="191">
        <v>0.1</v>
      </c>
      <c r="G17" s="31">
        <f>E17*90%*D17</f>
        <v>35456.400000000001</v>
      </c>
      <c r="H17" s="33">
        <v>0.18</v>
      </c>
      <c r="I17" s="32">
        <f>H17*G17</f>
        <v>6382.152</v>
      </c>
      <c r="J17" s="31">
        <f>I17+G17</f>
        <v>41838.552000000003</v>
      </c>
      <c r="K17" s="39"/>
    </row>
    <row r="18" spans="1:11" s="38" customFormat="1" ht="18.75" customHeight="1">
      <c r="A18" s="320" t="s">
        <v>20</v>
      </c>
      <c r="B18" s="321"/>
      <c r="C18" s="339"/>
      <c r="D18" s="28"/>
      <c r="E18" s="26">
        <f>SUM(E16:E17)</f>
        <v>21279</v>
      </c>
      <c r="F18" s="26"/>
      <c r="G18" s="26">
        <f>SUM(G16:G17)</f>
        <v>41464.199999999997</v>
      </c>
      <c r="H18" s="188"/>
      <c r="I18" s="26">
        <f>SUM(I16:I17)</f>
        <v>7463.5559999999996</v>
      </c>
      <c r="J18" s="26">
        <f>SUM(J16:J17)</f>
        <v>48927.756000000001</v>
      </c>
      <c r="K18" s="39"/>
    </row>
    <row r="19" spans="1:11" s="38" customFormat="1" ht="15" customHeight="1">
      <c r="A19" s="320" t="s">
        <v>19</v>
      </c>
      <c r="B19" s="321"/>
      <c r="C19" s="321"/>
      <c r="D19" s="321"/>
      <c r="E19" s="321"/>
      <c r="F19" s="321"/>
      <c r="G19" s="321"/>
      <c r="H19" s="321"/>
      <c r="I19" s="339"/>
      <c r="J19" s="24">
        <f>ROUND(J18,0)</f>
        <v>48928</v>
      </c>
      <c r="K19" s="39"/>
    </row>
    <row r="20" spans="1:11" s="38" customFormat="1" ht="18.75" customHeight="1">
      <c r="A20" s="352" t="s">
        <v>189</v>
      </c>
      <c r="B20" s="353"/>
      <c r="C20" s="353"/>
      <c r="D20" s="353"/>
      <c r="E20" s="353"/>
      <c r="F20" s="353"/>
      <c r="G20" s="353"/>
      <c r="H20" s="353"/>
      <c r="I20" s="353"/>
      <c r="J20" s="354"/>
      <c r="K20" s="39"/>
    </row>
    <row r="21" spans="1:11" s="3" customFormat="1" ht="11.25">
      <c r="A21" s="14" t="s">
        <v>16</v>
      </c>
      <c r="B21" s="12"/>
      <c r="C21" s="12"/>
      <c r="D21" s="12"/>
      <c r="E21" s="12"/>
      <c r="F21" s="12"/>
      <c r="G21" s="12"/>
      <c r="H21" s="12"/>
      <c r="I21" s="12"/>
      <c r="J21" s="13"/>
    </row>
    <row r="22" spans="1:11" s="6" customFormat="1" ht="21.75" customHeight="1">
      <c r="A22" s="11" t="s">
        <v>15</v>
      </c>
      <c r="B22" s="9"/>
      <c r="C22" s="10"/>
      <c r="D22" s="9"/>
      <c r="E22" s="8"/>
      <c r="F22" s="8"/>
      <c r="G22" s="8"/>
      <c r="H22" s="8"/>
      <c r="I22" s="3"/>
    </row>
    <row r="23" spans="1:11" s="6" customFormat="1" ht="16.5" customHeight="1">
      <c r="A23" s="5">
        <v>1</v>
      </c>
      <c r="B23" s="7" t="s">
        <v>14</v>
      </c>
      <c r="C23" s="326" t="s">
        <v>185</v>
      </c>
      <c r="D23" s="326"/>
      <c r="E23" s="326"/>
      <c r="F23" s="326"/>
      <c r="G23" s="326"/>
      <c r="H23" s="326"/>
      <c r="I23" s="326"/>
    </row>
    <row r="24" spans="1:11" s="6" customFormat="1" ht="16.5" customHeight="1">
      <c r="A24" s="5">
        <v>2</v>
      </c>
      <c r="B24" s="7" t="s">
        <v>12</v>
      </c>
      <c r="C24" s="175" t="s">
        <v>11</v>
      </c>
      <c r="D24" s="175"/>
      <c r="E24" s="175"/>
      <c r="F24" s="175"/>
      <c r="G24" s="175"/>
      <c r="H24" s="175"/>
      <c r="I24" s="175"/>
    </row>
    <row r="25" spans="1:11" s="6" customFormat="1" ht="18" customHeight="1">
      <c r="A25" s="5">
        <v>3</v>
      </c>
      <c r="B25" s="7" t="s">
        <v>10</v>
      </c>
      <c r="C25" s="175" t="s">
        <v>9</v>
      </c>
      <c r="D25" s="175"/>
      <c r="E25" s="175"/>
      <c r="F25" s="175"/>
      <c r="G25" s="175"/>
      <c r="H25" s="175"/>
      <c r="I25" s="175"/>
    </row>
    <row r="26" spans="1:11" s="6" customFormat="1" ht="16.5" customHeight="1">
      <c r="A26" s="5">
        <v>4</v>
      </c>
      <c r="B26" s="7" t="s">
        <v>7</v>
      </c>
      <c r="C26" s="175" t="s">
        <v>93</v>
      </c>
      <c r="D26" s="175"/>
      <c r="E26" s="175"/>
      <c r="F26" s="175"/>
      <c r="G26" s="175"/>
      <c r="H26" s="175"/>
      <c r="I26" s="175"/>
      <c r="J26" s="176" t="s">
        <v>8</v>
      </c>
    </row>
    <row r="27" spans="1:11" s="6" customFormat="1" ht="16.5" customHeight="1">
      <c r="A27" s="5">
        <v>5</v>
      </c>
      <c r="B27" s="7" t="s">
        <v>5</v>
      </c>
      <c r="C27" s="175" t="s">
        <v>4</v>
      </c>
      <c r="D27" s="175"/>
      <c r="E27" s="175"/>
      <c r="F27" s="175"/>
      <c r="G27" s="175"/>
      <c r="H27" s="175"/>
      <c r="I27" s="175"/>
    </row>
    <row r="28" spans="1:11" s="6" customFormat="1" ht="25.5" customHeight="1">
      <c r="A28" s="5">
        <v>6</v>
      </c>
      <c r="B28" s="177" t="s">
        <v>2</v>
      </c>
      <c r="C28" s="328" t="s">
        <v>1</v>
      </c>
      <c r="D28" s="326"/>
      <c r="E28" s="326"/>
      <c r="F28" s="326"/>
      <c r="G28" s="326"/>
      <c r="H28" s="326"/>
      <c r="I28" s="326"/>
      <c r="J28" s="176" t="s">
        <v>3</v>
      </c>
    </row>
    <row r="29" spans="1:11" s="166" customFormat="1" ht="24" customHeight="1">
      <c r="A29" s="161"/>
      <c r="B29" s="162"/>
      <c r="C29" s="163"/>
      <c r="D29" s="164"/>
      <c r="E29" s="189"/>
      <c r="F29" s="189"/>
      <c r="G29" s="189"/>
      <c r="H29" s="189"/>
      <c r="I29" s="189"/>
      <c r="J29" s="143" t="s">
        <v>0</v>
      </c>
    </row>
  </sheetData>
  <mergeCells count="19">
    <mergeCell ref="C28:I28"/>
    <mergeCell ref="A14:B14"/>
    <mergeCell ref="G14:J14"/>
    <mergeCell ref="A18:C18"/>
    <mergeCell ref="A19:I19"/>
    <mergeCell ref="A20:J20"/>
    <mergeCell ref="C23:I23"/>
    <mergeCell ref="A7:J7"/>
    <mergeCell ref="H8:I8"/>
    <mergeCell ref="A12:J12"/>
    <mergeCell ref="A13:B13"/>
    <mergeCell ref="D13:E13"/>
    <mergeCell ref="H13:J13"/>
    <mergeCell ref="A6:J6"/>
    <mergeCell ref="A1:J1"/>
    <mergeCell ref="B2:J2"/>
    <mergeCell ref="A3:J3"/>
    <mergeCell ref="A4:J4"/>
    <mergeCell ref="A5:J5"/>
  </mergeCells>
  <conditionalFormatting sqref="B16">
    <cfRule type="duplicateValues" dxfId="2" priority="4"/>
    <cfRule type="duplicateValues" dxfId="1" priority="5"/>
  </conditionalFormatting>
  <conditionalFormatting sqref="B16">
    <cfRule type="duplicateValues" dxfId="0" priority="3"/>
  </conditionalFormatting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selection activeCell="A9" sqref="A9"/>
    </sheetView>
  </sheetViews>
  <sheetFormatPr defaultRowHeight="15"/>
  <cols>
    <col min="1" max="1" width="5.28515625" customWidth="1"/>
    <col min="2" max="2" width="36" style="2" customWidth="1"/>
    <col min="3" max="3" width="37" style="2" bestFit="1" customWidth="1"/>
    <col min="4" max="4" width="6.28515625" bestFit="1" customWidth="1"/>
    <col min="5" max="5" width="13.5703125" style="95" bestFit="1" customWidth="1"/>
    <col min="6" max="6" width="15.42578125" style="95" bestFit="1" customWidth="1"/>
    <col min="7" max="7" width="6.140625" style="95" customWidth="1"/>
    <col min="8" max="8" width="13.28515625" style="95" customWidth="1"/>
    <col min="9" max="9" width="15.140625" style="95" customWidth="1"/>
    <col min="10" max="10" width="14.85546875" bestFit="1" customWidth="1"/>
    <col min="11" max="11" width="13" bestFit="1" customWidth="1"/>
    <col min="12" max="12" width="11.85546875" bestFit="1" customWidth="1"/>
    <col min="13" max="13" width="13.14062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4" customHeight="1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19.5" customHeight="1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192</v>
      </c>
      <c r="F8" s="312" t="s">
        <v>45</v>
      </c>
      <c r="G8" s="312"/>
      <c r="H8" s="313">
        <v>46140</v>
      </c>
      <c r="I8" s="313"/>
    </row>
    <row r="9" spans="1:10" s="54" customFormat="1" ht="11.2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84" customHeight="1">
      <c r="B10" s="171" t="s">
        <v>162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29"/>
      <c r="G13" s="330"/>
      <c r="H13" s="330"/>
      <c r="I13" s="344"/>
    </row>
    <row r="14" spans="1:10" s="29" customFormat="1" ht="28.5" customHeight="1">
      <c r="A14" s="46" t="s">
        <v>33</v>
      </c>
      <c r="B14" s="45" t="s">
        <v>32</v>
      </c>
      <c r="C14" s="45" t="s">
        <v>31</v>
      </c>
      <c r="D14" s="45" t="s">
        <v>30</v>
      </c>
      <c r="E14" s="77" t="s">
        <v>29</v>
      </c>
      <c r="F14" s="77" t="s">
        <v>28</v>
      </c>
      <c r="G14" s="77" t="s">
        <v>27</v>
      </c>
      <c r="H14" s="77" t="s">
        <v>26</v>
      </c>
      <c r="I14" s="77" t="s">
        <v>25</v>
      </c>
    </row>
    <row r="15" spans="1:10" s="47" customFormat="1" ht="18" customHeight="1">
      <c r="A15" s="78"/>
      <c r="B15" s="79" t="s">
        <v>36</v>
      </c>
      <c r="C15" s="80" t="s">
        <v>35</v>
      </c>
      <c r="D15" s="78"/>
      <c r="E15" s="81"/>
      <c r="F15" s="332" t="s">
        <v>81</v>
      </c>
      <c r="G15" s="333"/>
      <c r="H15" s="333"/>
      <c r="I15" s="172"/>
    </row>
    <row r="16" spans="1:10" s="22" customFormat="1" ht="15" customHeight="1">
      <c r="A16" s="19">
        <v>1</v>
      </c>
      <c r="B16" s="83" t="s">
        <v>82</v>
      </c>
      <c r="C16" s="84" t="s">
        <v>83</v>
      </c>
      <c r="D16" s="85">
        <v>2</v>
      </c>
      <c r="E16" s="86">
        <v>12599</v>
      </c>
      <c r="F16" s="87">
        <f>E16*D16</f>
        <v>25198</v>
      </c>
      <c r="G16" s="88">
        <v>0.18</v>
      </c>
      <c r="H16" s="87">
        <f>F16*18%</f>
        <v>4535.6399999999994</v>
      </c>
      <c r="I16" s="87">
        <f>H16+F16</f>
        <v>29733.64</v>
      </c>
      <c r="J16" s="25"/>
    </row>
    <row r="17" spans="1:10" s="22" customFormat="1" ht="15" customHeight="1">
      <c r="A17" s="19">
        <v>2</v>
      </c>
      <c r="B17" s="84" t="s">
        <v>84</v>
      </c>
      <c r="C17" s="84" t="s">
        <v>85</v>
      </c>
      <c r="D17" s="85">
        <v>3</v>
      </c>
      <c r="E17" s="86">
        <v>4546</v>
      </c>
      <c r="F17" s="87">
        <f>E17*D17</f>
        <v>13638</v>
      </c>
      <c r="G17" s="88">
        <v>0.18</v>
      </c>
      <c r="H17" s="87">
        <f>F17*18%</f>
        <v>2454.8399999999997</v>
      </c>
      <c r="I17" s="87">
        <f>H17+F17</f>
        <v>16092.84</v>
      </c>
      <c r="J17" s="25"/>
    </row>
    <row r="18" spans="1:10" s="22" customFormat="1" ht="15" customHeight="1">
      <c r="A18" s="19">
        <v>3</v>
      </c>
      <c r="B18" s="84" t="s">
        <v>86</v>
      </c>
      <c r="C18" s="84" t="s">
        <v>87</v>
      </c>
      <c r="D18" s="85">
        <v>1</v>
      </c>
      <c r="E18" s="86">
        <v>2276</v>
      </c>
      <c r="F18" s="87">
        <f>E18*D18</f>
        <v>2276</v>
      </c>
      <c r="G18" s="88">
        <v>0.18</v>
      </c>
      <c r="H18" s="87">
        <f>F18*18%</f>
        <v>409.68</v>
      </c>
      <c r="I18" s="87">
        <f>H18+F18</f>
        <v>2685.68</v>
      </c>
      <c r="J18" s="25"/>
    </row>
    <row r="19" spans="1:10" s="22" customFormat="1" ht="15" customHeight="1">
      <c r="A19" s="19"/>
      <c r="B19" s="19"/>
      <c r="C19" s="19" t="s">
        <v>91</v>
      </c>
      <c r="D19" s="19"/>
      <c r="E19" s="92"/>
      <c r="F19" s="92">
        <f>SUM(F16:F18)</f>
        <v>41112</v>
      </c>
      <c r="G19" s="19"/>
      <c r="H19" s="92">
        <f>SUM(H16:H18)</f>
        <v>7400.16</v>
      </c>
      <c r="I19" s="92">
        <f>SUM(I16:I18)</f>
        <v>48512.159999999996</v>
      </c>
      <c r="J19" s="25"/>
    </row>
    <row r="20" spans="1:10" s="22" customFormat="1" ht="15" customHeight="1">
      <c r="A20" s="93"/>
      <c r="B20" s="93"/>
      <c r="C20" s="93"/>
      <c r="D20" s="93"/>
      <c r="E20" s="93"/>
      <c r="F20" s="93"/>
      <c r="G20" s="93"/>
      <c r="H20" s="94" t="s">
        <v>19</v>
      </c>
      <c r="I20" s="24">
        <f>ROUND(I19,0)</f>
        <v>48512</v>
      </c>
      <c r="J20" s="25"/>
    </row>
    <row r="21" spans="1:10" s="22" customFormat="1" ht="15" customHeight="1">
      <c r="A21" s="334" t="s">
        <v>191</v>
      </c>
      <c r="B21" s="334"/>
      <c r="C21" s="334"/>
      <c r="D21" s="334"/>
      <c r="E21" s="334"/>
      <c r="F21" s="334"/>
      <c r="G21" s="334"/>
      <c r="H21" s="334"/>
      <c r="I21" s="334"/>
      <c r="J21" s="25"/>
    </row>
    <row r="22" spans="1:10" s="3" customFormat="1" ht="11.25">
      <c r="A22" s="14" t="s">
        <v>16</v>
      </c>
      <c r="B22" s="12"/>
      <c r="C22" s="12"/>
      <c r="D22" s="12"/>
      <c r="E22" s="12"/>
      <c r="F22" s="12"/>
      <c r="G22" s="12"/>
      <c r="H22" s="13"/>
      <c r="I22" s="12"/>
    </row>
    <row r="23" spans="1:10" s="6" customFormat="1" ht="13.5" customHeight="1">
      <c r="A23" s="11" t="s">
        <v>15</v>
      </c>
      <c r="B23" s="9"/>
      <c r="C23" s="10"/>
      <c r="D23" s="9"/>
      <c r="E23" s="8"/>
      <c r="F23" s="8"/>
      <c r="G23" s="3"/>
    </row>
    <row r="24" spans="1:10" s="6" customFormat="1" ht="11.25" customHeight="1">
      <c r="A24" s="5">
        <v>1</v>
      </c>
      <c r="B24" s="7" t="s">
        <v>14</v>
      </c>
      <c r="C24" s="326" t="s">
        <v>13</v>
      </c>
      <c r="D24" s="326"/>
      <c r="E24" s="326"/>
      <c r="F24" s="326"/>
      <c r="G24" s="326"/>
    </row>
    <row r="25" spans="1:10" s="6" customFormat="1" ht="13.5" customHeight="1">
      <c r="A25" s="5">
        <v>2</v>
      </c>
      <c r="B25" s="7" t="s">
        <v>12</v>
      </c>
      <c r="C25" s="326" t="s">
        <v>11</v>
      </c>
      <c r="D25" s="326"/>
      <c r="E25" s="326"/>
      <c r="F25" s="326"/>
      <c r="G25" s="326"/>
    </row>
    <row r="26" spans="1:10" s="6" customFormat="1" ht="12" customHeight="1">
      <c r="A26" s="5">
        <v>3</v>
      </c>
      <c r="B26" s="7" t="s">
        <v>10</v>
      </c>
      <c r="C26" s="326" t="s">
        <v>9</v>
      </c>
      <c r="D26" s="326"/>
      <c r="E26" s="326"/>
      <c r="F26" s="326"/>
      <c r="G26" s="326"/>
      <c r="H26" s="327" t="s">
        <v>8</v>
      </c>
      <c r="I26" s="327"/>
    </row>
    <row r="27" spans="1:10" s="6" customFormat="1" ht="11.25" customHeight="1">
      <c r="A27" s="5">
        <v>4</v>
      </c>
      <c r="B27" s="7" t="s">
        <v>7</v>
      </c>
      <c r="C27" s="326" t="s">
        <v>93</v>
      </c>
      <c r="D27" s="326"/>
      <c r="E27" s="326"/>
      <c r="F27" s="326"/>
      <c r="G27" s="326"/>
    </row>
    <row r="28" spans="1:10" s="6" customFormat="1" ht="11.25" customHeight="1">
      <c r="A28" s="5">
        <v>5</v>
      </c>
      <c r="B28" s="7" t="s">
        <v>5</v>
      </c>
      <c r="C28" s="326" t="s">
        <v>4</v>
      </c>
      <c r="D28" s="326"/>
      <c r="E28" s="326"/>
      <c r="F28" s="326"/>
      <c r="G28" s="326"/>
      <c r="H28" s="327" t="s">
        <v>3</v>
      </c>
      <c r="I28" s="327"/>
    </row>
    <row r="29" spans="1:10" s="3" customFormat="1" ht="26.25" customHeight="1">
      <c r="A29" s="5">
        <v>6</v>
      </c>
      <c r="B29" s="185" t="s">
        <v>2</v>
      </c>
      <c r="C29" s="328" t="s">
        <v>1</v>
      </c>
      <c r="D29" s="328"/>
      <c r="E29" s="328"/>
      <c r="F29" s="328"/>
      <c r="G29" s="328"/>
      <c r="H29" s="327" t="s">
        <v>0</v>
      </c>
      <c r="I29" s="327"/>
    </row>
    <row r="30" spans="1:10">
      <c r="A30" s="5"/>
    </row>
  </sheetData>
  <mergeCells count="24">
    <mergeCell ref="A6:I6"/>
    <mergeCell ref="A1:I1"/>
    <mergeCell ref="A2:I2"/>
    <mergeCell ref="A3:I3"/>
    <mergeCell ref="A4:I4"/>
    <mergeCell ref="A5:I5"/>
    <mergeCell ref="A7:I7"/>
    <mergeCell ref="F8:G8"/>
    <mergeCell ref="H8:I8"/>
    <mergeCell ref="A12:I12"/>
    <mergeCell ref="A13:B13"/>
    <mergeCell ref="D13:E13"/>
    <mergeCell ref="F13:I13"/>
    <mergeCell ref="F15:H15"/>
    <mergeCell ref="A21:I21"/>
    <mergeCell ref="C24:G24"/>
    <mergeCell ref="C25:G25"/>
    <mergeCell ref="C26:G26"/>
    <mergeCell ref="H26:I26"/>
    <mergeCell ref="C27:G27"/>
    <mergeCell ref="C28:G28"/>
    <mergeCell ref="H28:I28"/>
    <mergeCell ref="C29:G29"/>
    <mergeCell ref="H29:I29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selection activeCell="E16" sqref="E16:E18"/>
    </sheetView>
  </sheetViews>
  <sheetFormatPr defaultRowHeight="15"/>
  <cols>
    <col min="1" max="1" width="5.28515625" customWidth="1"/>
    <col min="2" max="2" width="20.140625" style="2" customWidth="1"/>
    <col min="3" max="3" width="37" style="2" bestFit="1" customWidth="1"/>
    <col min="4" max="4" width="6.28515625" bestFit="1" customWidth="1"/>
    <col min="5" max="5" width="13.5703125" style="95" bestFit="1" customWidth="1"/>
    <col min="6" max="6" width="15.42578125" style="95" bestFit="1" customWidth="1"/>
    <col min="7" max="7" width="6.140625" style="95" customWidth="1"/>
    <col min="8" max="8" width="13.28515625" style="95" customWidth="1"/>
    <col min="9" max="9" width="15.140625" style="95" customWidth="1"/>
    <col min="10" max="10" width="14.85546875" bestFit="1" customWidth="1"/>
    <col min="11" max="11" width="13" bestFit="1" customWidth="1"/>
    <col min="12" max="12" width="11.85546875" bestFit="1" customWidth="1"/>
    <col min="13" max="13" width="13.14062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4" customHeight="1">
      <c r="A1" s="307" t="s">
        <v>195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19.5" customHeight="1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194</v>
      </c>
      <c r="F8" s="312" t="s">
        <v>45</v>
      </c>
      <c r="G8" s="312"/>
      <c r="H8" s="313">
        <v>46141</v>
      </c>
      <c r="I8" s="313"/>
    </row>
    <row r="9" spans="1:10" s="54" customFormat="1" ht="11.2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36.75" customHeight="1">
      <c r="B10" s="60" t="s">
        <v>96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29"/>
      <c r="G13" s="330"/>
      <c r="H13" s="330"/>
      <c r="I13" s="331"/>
    </row>
    <row r="14" spans="1:10" s="29" customFormat="1" ht="28.5" customHeight="1">
      <c r="A14" s="46" t="s">
        <v>33</v>
      </c>
      <c r="B14" s="45" t="s">
        <v>32</v>
      </c>
      <c r="C14" s="45" t="s">
        <v>31</v>
      </c>
      <c r="D14" s="45" t="s">
        <v>30</v>
      </c>
      <c r="E14" s="77" t="s">
        <v>29</v>
      </c>
      <c r="F14" s="77" t="s">
        <v>28</v>
      </c>
      <c r="G14" s="77" t="s">
        <v>27</v>
      </c>
      <c r="H14" s="77" t="s">
        <v>26</v>
      </c>
      <c r="I14" s="77" t="s">
        <v>25</v>
      </c>
    </row>
    <row r="15" spans="1:10" s="47" customFormat="1" ht="18" customHeight="1">
      <c r="A15" s="78"/>
      <c r="B15" s="79" t="s">
        <v>94</v>
      </c>
      <c r="C15" s="80" t="s">
        <v>80</v>
      </c>
      <c r="D15" s="78"/>
      <c r="E15" s="81"/>
      <c r="F15" s="332" t="s">
        <v>81</v>
      </c>
      <c r="G15" s="333"/>
      <c r="H15" s="333"/>
      <c r="I15" s="82"/>
    </row>
    <row r="16" spans="1:10" s="22" customFormat="1" ht="15" customHeight="1">
      <c r="A16" s="19">
        <v>1</v>
      </c>
      <c r="B16" s="83" t="s">
        <v>82</v>
      </c>
      <c r="C16" s="84" t="s">
        <v>83</v>
      </c>
      <c r="D16" s="85">
        <v>2</v>
      </c>
      <c r="E16" s="86">
        <v>12599</v>
      </c>
      <c r="F16" s="87">
        <f>E16*D16</f>
        <v>25198</v>
      </c>
      <c r="G16" s="88">
        <v>0.18</v>
      </c>
      <c r="H16" s="87">
        <f>F16*18%</f>
        <v>4535.6399999999994</v>
      </c>
      <c r="I16" s="87">
        <f>H16+F16</f>
        <v>29733.64</v>
      </c>
      <c r="J16" s="25"/>
    </row>
    <row r="17" spans="1:10" s="22" customFormat="1" ht="15" customHeight="1">
      <c r="A17" s="19">
        <v>2</v>
      </c>
      <c r="B17" s="84" t="s">
        <v>84</v>
      </c>
      <c r="C17" s="84" t="s">
        <v>85</v>
      </c>
      <c r="D17" s="85">
        <v>3</v>
      </c>
      <c r="E17" s="86">
        <v>4546</v>
      </c>
      <c r="F17" s="87">
        <f>E17*D17</f>
        <v>13638</v>
      </c>
      <c r="G17" s="88">
        <v>0.18</v>
      </c>
      <c r="H17" s="87">
        <f>F17*18%</f>
        <v>2454.8399999999997</v>
      </c>
      <c r="I17" s="87">
        <f>H17+F17</f>
        <v>16092.84</v>
      </c>
      <c r="J17" s="25"/>
    </row>
    <row r="18" spans="1:10" s="22" customFormat="1" ht="15" customHeight="1">
      <c r="A18" s="19">
        <v>3</v>
      </c>
      <c r="B18" s="84" t="s">
        <v>86</v>
      </c>
      <c r="C18" s="84" t="s">
        <v>87</v>
      </c>
      <c r="D18" s="85">
        <v>1</v>
      </c>
      <c r="E18" s="86">
        <v>2276</v>
      </c>
      <c r="F18" s="87">
        <f>E18*D18</f>
        <v>2276</v>
      </c>
      <c r="G18" s="88">
        <v>0.18</v>
      </c>
      <c r="H18" s="87">
        <f>F18*18%</f>
        <v>409.68</v>
      </c>
      <c r="I18" s="87">
        <f>H18+F18</f>
        <v>2685.68</v>
      </c>
      <c r="J18" s="25"/>
    </row>
    <row r="19" spans="1:10" s="22" customFormat="1" ht="15" customHeight="1">
      <c r="A19" s="19">
        <v>4</v>
      </c>
      <c r="B19" s="83" t="s">
        <v>24</v>
      </c>
      <c r="C19" s="89" t="s">
        <v>88</v>
      </c>
      <c r="D19" s="85">
        <v>1</v>
      </c>
      <c r="E19" s="86">
        <v>8867</v>
      </c>
      <c r="F19" s="87">
        <f>E19*D19</f>
        <v>8867</v>
      </c>
      <c r="G19" s="88">
        <v>0.18</v>
      </c>
      <c r="H19" s="87">
        <f>F19*18%</f>
        <v>1596.06</v>
      </c>
      <c r="I19" s="87">
        <f>H19+F19</f>
        <v>10463.06</v>
      </c>
      <c r="J19" s="25"/>
    </row>
    <row r="20" spans="1:10" s="22" customFormat="1" ht="15" customHeight="1">
      <c r="A20" s="19">
        <v>5</v>
      </c>
      <c r="B20" s="90" t="s">
        <v>89</v>
      </c>
      <c r="C20" s="89" t="s">
        <v>90</v>
      </c>
      <c r="D20" s="91">
        <v>1</v>
      </c>
      <c r="E20" s="86">
        <v>21861</v>
      </c>
      <c r="F20" s="87">
        <f>E20*D20</f>
        <v>21861</v>
      </c>
      <c r="G20" s="88">
        <v>0.18</v>
      </c>
      <c r="H20" s="87">
        <f>F20*18%</f>
        <v>3934.98</v>
      </c>
      <c r="I20" s="87">
        <f>H20+F20</f>
        <v>25795.98</v>
      </c>
      <c r="J20" s="25"/>
    </row>
    <row r="21" spans="1:10" s="22" customFormat="1" ht="15" customHeight="1">
      <c r="A21" s="19"/>
      <c r="B21" s="19"/>
      <c r="C21" s="19" t="s">
        <v>91</v>
      </c>
      <c r="D21" s="19"/>
      <c r="E21" s="92"/>
      <c r="F21" s="92">
        <f>SUM(F16:F20)</f>
        <v>71840</v>
      </c>
      <c r="G21" s="19"/>
      <c r="H21" s="92">
        <f>SUM(H16:H20)</f>
        <v>12931.199999999999</v>
      </c>
      <c r="I21" s="92">
        <f>SUM(I16:I20)</f>
        <v>84771.199999999997</v>
      </c>
      <c r="J21" s="25"/>
    </row>
    <row r="22" spans="1:10" s="22" customFormat="1" ht="15" customHeight="1">
      <c r="A22" s="93"/>
      <c r="B22" s="93"/>
      <c r="C22" s="93"/>
      <c r="D22" s="93"/>
      <c r="E22" s="93"/>
      <c r="F22" s="93"/>
      <c r="G22" s="93"/>
      <c r="H22" s="94" t="s">
        <v>19</v>
      </c>
      <c r="I22" s="24">
        <f>ROUND(I21,0)</f>
        <v>84771</v>
      </c>
      <c r="J22" s="25"/>
    </row>
    <row r="23" spans="1:10" s="22" customFormat="1" ht="15" customHeight="1">
      <c r="A23" s="334" t="s">
        <v>193</v>
      </c>
      <c r="B23" s="334"/>
      <c r="C23" s="334"/>
      <c r="D23" s="334"/>
      <c r="E23" s="334"/>
      <c r="F23" s="334"/>
      <c r="G23" s="334"/>
      <c r="H23" s="334"/>
      <c r="I23" s="334"/>
      <c r="J23" s="25"/>
    </row>
    <row r="24" spans="1:10" s="3" customFormat="1" ht="11.25">
      <c r="A24" s="14" t="s">
        <v>16</v>
      </c>
      <c r="B24" s="12"/>
      <c r="C24" s="12"/>
      <c r="D24" s="12"/>
      <c r="E24" s="12"/>
      <c r="F24" s="12"/>
      <c r="G24" s="12"/>
      <c r="H24" s="13"/>
      <c r="I24" s="12"/>
    </row>
    <row r="25" spans="1:10" s="6" customFormat="1" ht="13.5" customHeight="1">
      <c r="A25" s="11" t="s">
        <v>15</v>
      </c>
      <c r="B25" s="9"/>
      <c r="C25" s="10"/>
      <c r="D25" s="9"/>
      <c r="E25" s="8"/>
      <c r="F25" s="8"/>
      <c r="G25" s="3"/>
    </row>
    <row r="26" spans="1:10" s="6" customFormat="1" ht="11.25" customHeight="1">
      <c r="A26" s="5">
        <v>1</v>
      </c>
      <c r="B26" s="7" t="s">
        <v>14</v>
      </c>
      <c r="C26" s="326" t="s">
        <v>92</v>
      </c>
      <c r="D26" s="326"/>
      <c r="E26" s="326"/>
      <c r="F26" s="326"/>
      <c r="G26" s="326"/>
    </row>
    <row r="27" spans="1:10" s="6" customFormat="1" ht="13.5" customHeight="1">
      <c r="A27" s="5">
        <v>2</v>
      </c>
      <c r="B27" s="7" t="s">
        <v>12</v>
      </c>
      <c r="C27" s="326" t="s">
        <v>11</v>
      </c>
      <c r="D27" s="326"/>
      <c r="E27" s="326"/>
      <c r="F27" s="326"/>
      <c r="G27" s="326"/>
    </row>
    <row r="28" spans="1:10" s="6" customFormat="1" ht="12" customHeight="1">
      <c r="A28" s="5">
        <v>3</v>
      </c>
      <c r="B28" s="7" t="s">
        <v>10</v>
      </c>
      <c r="C28" s="326" t="s">
        <v>9</v>
      </c>
      <c r="D28" s="326"/>
      <c r="E28" s="326"/>
      <c r="F28" s="326"/>
      <c r="G28" s="326"/>
      <c r="H28" s="327" t="s">
        <v>8</v>
      </c>
      <c r="I28" s="327"/>
    </row>
    <row r="29" spans="1:10" s="6" customFormat="1" ht="11.25" customHeight="1">
      <c r="A29" s="5">
        <v>4</v>
      </c>
      <c r="B29" s="7" t="s">
        <v>7</v>
      </c>
      <c r="C29" s="326" t="s">
        <v>93</v>
      </c>
      <c r="D29" s="326"/>
      <c r="E29" s="326"/>
      <c r="F29" s="326"/>
      <c r="G29" s="326"/>
    </row>
    <row r="30" spans="1:10" s="6" customFormat="1" ht="11.25" customHeight="1">
      <c r="A30" s="5">
        <v>5</v>
      </c>
      <c r="B30" s="7" t="s">
        <v>5</v>
      </c>
      <c r="C30" s="326" t="s">
        <v>4</v>
      </c>
      <c r="D30" s="326"/>
      <c r="E30" s="326"/>
      <c r="F30" s="326"/>
      <c r="G30" s="326"/>
      <c r="H30" s="327" t="s">
        <v>3</v>
      </c>
      <c r="I30" s="327"/>
    </row>
    <row r="31" spans="1:10" s="3" customFormat="1" ht="26.25" customHeight="1">
      <c r="A31" s="5">
        <v>6</v>
      </c>
      <c r="B31" s="192" t="s">
        <v>2</v>
      </c>
      <c r="C31" s="328" t="s">
        <v>1</v>
      </c>
      <c r="D31" s="328"/>
      <c r="E31" s="328"/>
      <c r="F31" s="328"/>
      <c r="G31" s="328"/>
      <c r="H31" s="327" t="s">
        <v>0</v>
      </c>
      <c r="I31" s="327"/>
    </row>
    <row r="32" spans="1:10" s="2" customFormat="1">
      <c r="A32" s="5"/>
      <c r="D32"/>
      <c r="E32" s="95"/>
      <c r="F32" s="95"/>
      <c r="G32" s="95"/>
      <c r="H32" s="95"/>
      <c r="I32" s="95"/>
      <c r="J32"/>
    </row>
  </sheetData>
  <mergeCells count="24">
    <mergeCell ref="C29:G29"/>
    <mergeCell ref="C30:G30"/>
    <mergeCell ref="H30:I30"/>
    <mergeCell ref="C31:G31"/>
    <mergeCell ref="H31:I31"/>
    <mergeCell ref="F15:H15"/>
    <mergeCell ref="A23:I23"/>
    <mergeCell ref="C26:G26"/>
    <mergeCell ref="C27:G27"/>
    <mergeCell ref="C28:G28"/>
    <mergeCell ref="H28:I28"/>
    <mergeCell ref="A7:I7"/>
    <mergeCell ref="F8:G8"/>
    <mergeCell ref="H8:I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29"/>
  <sheetViews>
    <sheetView workbookViewId="0">
      <selection activeCell="C10" sqref="C10"/>
    </sheetView>
  </sheetViews>
  <sheetFormatPr defaultRowHeight="15"/>
  <cols>
    <col min="1" max="1" width="5.28515625" customWidth="1"/>
    <col min="2" max="2" width="25.4257812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200</v>
      </c>
      <c r="F8" s="312" t="s">
        <v>45</v>
      </c>
      <c r="G8" s="312"/>
      <c r="H8" s="313">
        <v>46143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35.25" customHeight="1">
      <c r="B10" s="60" t="s">
        <v>196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193"/>
      <c r="B14" s="52" t="s">
        <v>36</v>
      </c>
      <c r="C14" s="51" t="s">
        <v>114</v>
      </c>
      <c r="D14" s="193"/>
      <c r="E14" s="49"/>
      <c r="F14" s="317" t="s">
        <v>106</v>
      </c>
      <c r="G14" s="318"/>
      <c r="H14" s="318"/>
      <c r="I14" s="194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29" customFormat="1">
      <c r="A16" s="43"/>
      <c r="B16" s="199" t="s">
        <v>197</v>
      </c>
      <c r="C16" s="199" t="s">
        <v>198</v>
      </c>
      <c r="D16" s="35">
        <v>1</v>
      </c>
      <c r="E16" s="34">
        <v>12161</v>
      </c>
      <c r="F16" s="31">
        <f>E16*D16</f>
        <v>12161</v>
      </c>
      <c r="G16" s="33">
        <v>0.18</v>
      </c>
      <c r="H16" s="32">
        <f>G16*F16</f>
        <v>2188.98</v>
      </c>
      <c r="I16" s="31">
        <f>H16+F16</f>
        <v>14349.98</v>
      </c>
      <c r="J16" s="30"/>
    </row>
    <row r="17" spans="1:11" s="29" customFormat="1">
      <c r="A17" s="43"/>
      <c r="B17" s="200"/>
      <c r="C17" s="201" t="s">
        <v>102</v>
      </c>
      <c r="D17" s="35">
        <v>1</v>
      </c>
      <c r="E17" s="34">
        <v>500</v>
      </c>
      <c r="F17" s="31">
        <f>E17*D17</f>
        <v>500</v>
      </c>
      <c r="G17" s="33">
        <v>0.18</v>
      </c>
      <c r="H17" s="32">
        <f>G17*F17</f>
        <v>90</v>
      </c>
      <c r="I17" s="31">
        <f>H17+F17</f>
        <v>590</v>
      </c>
      <c r="J17" s="30"/>
    </row>
    <row r="18" spans="1:11" s="22" customFormat="1" ht="15" customHeight="1">
      <c r="A18" s="320" t="s">
        <v>20</v>
      </c>
      <c r="B18" s="321"/>
      <c r="C18" s="322"/>
      <c r="D18" s="28"/>
      <c r="E18" s="26">
        <f>SUM(E16:E17)</f>
        <v>12661</v>
      </c>
      <c r="F18" s="26">
        <f>SUM(F16:F17)</f>
        <v>12661</v>
      </c>
      <c r="G18" s="27"/>
      <c r="H18" s="26">
        <f>SUM(H16:H17)</f>
        <v>2278.98</v>
      </c>
      <c r="I18" s="26">
        <f>SUM(I16:I17)</f>
        <v>14939.98</v>
      </c>
      <c r="J18" s="25"/>
    </row>
    <row r="19" spans="1:11" s="22" customFormat="1" ht="17.25" customHeight="1">
      <c r="A19" s="320" t="s">
        <v>19</v>
      </c>
      <c r="B19" s="321"/>
      <c r="C19" s="321"/>
      <c r="D19" s="321"/>
      <c r="E19" s="321"/>
      <c r="F19" s="321"/>
      <c r="G19" s="321"/>
      <c r="H19" s="322"/>
      <c r="I19" s="24">
        <f>ROUND(I18,0)</f>
        <v>14940</v>
      </c>
      <c r="J19" s="23"/>
      <c r="K19" s="73"/>
    </row>
    <row r="20" spans="1:11" s="20" customFormat="1" ht="17.25" customHeight="1">
      <c r="A20" s="323" t="s">
        <v>199</v>
      </c>
      <c r="B20" s="324"/>
      <c r="C20" s="324"/>
      <c r="D20" s="324"/>
      <c r="E20" s="324"/>
      <c r="F20" s="324"/>
      <c r="G20" s="324"/>
      <c r="H20" s="324"/>
      <c r="I20" s="325"/>
      <c r="J20" s="21"/>
    </row>
    <row r="21" spans="1:11" s="15" customFormat="1" ht="17.25" customHeight="1">
      <c r="A21" s="19"/>
      <c r="B21" s="19"/>
      <c r="C21" s="18" t="s">
        <v>17</v>
      </c>
      <c r="D21" s="18"/>
      <c r="E21" s="18"/>
      <c r="F21" s="18"/>
      <c r="G21" s="18"/>
      <c r="H21" s="18"/>
      <c r="I21" s="17"/>
      <c r="J21" s="16"/>
    </row>
    <row r="22" spans="1:11" s="3" customFormat="1" ht="11.25">
      <c r="A22" s="14" t="s">
        <v>16</v>
      </c>
      <c r="B22" s="12"/>
      <c r="C22" s="12"/>
      <c r="D22" s="12"/>
      <c r="E22" s="12"/>
      <c r="F22" s="12"/>
      <c r="G22" s="12"/>
      <c r="H22" s="13"/>
      <c r="I22" s="12"/>
    </row>
    <row r="23" spans="1:11" s="6" customFormat="1" ht="13.5" customHeight="1">
      <c r="A23" s="11" t="s">
        <v>15</v>
      </c>
      <c r="B23" s="9"/>
      <c r="C23" s="10"/>
      <c r="D23" s="9"/>
      <c r="E23" s="8"/>
      <c r="F23" s="8"/>
      <c r="G23" s="3"/>
    </row>
    <row r="24" spans="1:11" s="6" customFormat="1" ht="11.25" customHeight="1">
      <c r="A24" s="5">
        <v>1</v>
      </c>
      <c r="B24" s="7" t="s">
        <v>14</v>
      </c>
      <c r="C24" s="326" t="s">
        <v>13</v>
      </c>
      <c r="D24" s="326"/>
      <c r="E24" s="326"/>
      <c r="F24" s="326"/>
      <c r="G24" s="326"/>
    </row>
    <row r="25" spans="1:11" s="6" customFormat="1" ht="13.5" customHeight="1">
      <c r="A25" s="5">
        <v>2</v>
      </c>
      <c r="B25" s="7" t="s">
        <v>12</v>
      </c>
      <c r="C25" s="326" t="s">
        <v>11</v>
      </c>
      <c r="D25" s="326"/>
      <c r="E25" s="326"/>
      <c r="F25" s="326"/>
      <c r="G25" s="326"/>
    </row>
    <row r="26" spans="1:11" s="6" customFormat="1" ht="12" customHeight="1">
      <c r="A26" s="5">
        <v>3</v>
      </c>
      <c r="B26" s="7" t="s">
        <v>10</v>
      </c>
      <c r="C26" s="326" t="s">
        <v>9</v>
      </c>
      <c r="D26" s="326"/>
      <c r="E26" s="326"/>
      <c r="F26" s="326"/>
      <c r="G26" s="326"/>
      <c r="H26" s="327" t="s">
        <v>8</v>
      </c>
      <c r="I26" s="327"/>
    </row>
    <row r="27" spans="1:11" s="6" customFormat="1" ht="11.25" customHeight="1">
      <c r="A27" s="5">
        <v>4</v>
      </c>
      <c r="B27" s="7" t="s">
        <v>7</v>
      </c>
      <c r="C27" s="326" t="s">
        <v>6</v>
      </c>
      <c r="D27" s="326"/>
      <c r="E27" s="326"/>
      <c r="F27" s="326"/>
      <c r="G27" s="326"/>
    </row>
    <row r="28" spans="1:11" s="6" customFormat="1" ht="11.25" customHeight="1">
      <c r="A28" s="5">
        <v>5</v>
      </c>
      <c r="B28" s="7" t="s">
        <v>5</v>
      </c>
      <c r="C28" s="326" t="s">
        <v>4</v>
      </c>
      <c r="D28" s="326"/>
      <c r="E28" s="326"/>
      <c r="F28" s="326"/>
      <c r="G28" s="326"/>
      <c r="H28" s="327" t="s">
        <v>3</v>
      </c>
      <c r="I28" s="327"/>
    </row>
    <row r="29" spans="1:11" s="3" customFormat="1" ht="26.25" customHeight="1">
      <c r="A29" s="5">
        <v>6</v>
      </c>
      <c r="B29" s="195" t="s">
        <v>2</v>
      </c>
      <c r="C29" s="328" t="s">
        <v>1</v>
      </c>
      <c r="D29" s="328"/>
      <c r="E29" s="328"/>
      <c r="F29" s="328"/>
      <c r="G29" s="328"/>
      <c r="H29" s="327" t="s">
        <v>0</v>
      </c>
      <c r="I29" s="327"/>
    </row>
  </sheetData>
  <mergeCells count="26">
    <mergeCell ref="A6:I6"/>
    <mergeCell ref="A1:I1"/>
    <mergeCell ref="A2:I2"/>
    <mergeCell ref="A3:I3"/>
    <mergeCell ref="A4:I4"/>
    <mergeCell ref="A5:I5"/>
    <mergeCell ref="A7:I7"/>
    <mergeCell ref="F8:G8"/>
    <mergeCell ref="H8:I8"/>
    <mergeCell ref="A12:I12"/>
    <mergeCell ref="A13:B13"/>
    <mergeCell ref="D13:E13"/>
    <mergeCell ref="F13:I13"/>
    <mergeCell ref="C29:G29"/>
    <mergeCell ref="H29:I29"/>
    <mergeCell ref="F14:H14"/>
    <mergeCell ref="A18:C18"/>
    <mergeCell ref="A19:H19"/>
    <mergeCell ref="A20:I20"/>
    <mergeCell ref="C24:G24"/>
    <mergeCell ref="C25:G25"/>
    <mergeCell ref="C26:G26"/>
    <mergeCell ref="H26:I26"/>
    <mergeCell ref="C27:G27"/>
    <mergeCell ref="C28:G28"/>
    <mergeCell ref="H28:I28"/>
  </mergeCells>
  <dataValidations count="2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16:B17">
      <formula1>100</formula1>
    </dataValidation>
    <dataValidation showInputMessage="1" showErrorMessage="1" error=" " promptTitle="Lookup (required)" prompt="This Product record must already exist in Microsoft Dynamics 365 or in this source file." sqref="C16:C17"/>
  </dataValidation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selection activeCell="M16" sqref="M16"/>
    </sheetView>
  </sheetViews>
  <sheetFormatPr defaultRowHeight="15"/>
  <cols>
    <col min="1" max="1" width="5.28515625" customWidth="1"/>
    <col min="2" max="2" width="24.2851562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202</v>
      </c>
      <c r="F8" s="312" t="s">
        <v>45</v>
      </c>
      <c r="G8" s="312"/>
      <c r="H8" s="313">
        <v>46143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53.25" customHeight="1">
      <c r="B10" s="60" t="s">
        <v>201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197"/>
      <c r="B14" s="52" t="s">
        <v>36</v>
      </c>
      <c r="C14" s="51" t="s">
        <v>114</v>
      </c>
      <c r="D14" s="197"/>
      <c r="E14" s="49"/>
      <c r="F14" s="317" t="s">
        <v>106</v>
      </c>
      <c r="G14" s="318"/>
      <c r="H14" s="318"/>
      <c r="I14" s="198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>
      <c r="A16" s="43">
        <v>1</v>
      </c>
      <c r="B16" s="42" t="s">
        <v>24</v>
      </c>
      <c r="C16" s="41" t="s">
        <v>23</v>
      </c>
      <c r="D16" s="35">
        <v>2</v>
      </c>
      <c r="E16" s="40">
        <v>8867</v>
      </c>
      <c r="F16" s="31">
        <f>E16*D16</f>
        <v>17734</v>
      </c>
      <c r="G16" s="33">
        <v>0.18</v>
      </c>
      <c r="H16" s="32">
        <f>G16*F16</f>
        <v>3192.12</v>
      </c>
      <c r="I16" s="31">
        <f>H16+F16</f>
        <v>20926.12</v>
      </c>
      <c r="J16" s="39"/>
    </row>
    <row r="17" spans="1:11" s="29" customFormat="1">
      <c r="A17" s="37">
        <v>2</v>
      </c>
      <c r="B17" s="65" t="s">
        <v>123</v>
      </c>
      <c r="C17" s="36" t="s">
        <v>105</v>
      </c>
      <c r="D17" s="35">
        <v>1</v>
      </c>
      <c r="E17" s="34">
        <v>26596</v>
      </c>
      <c r="F17" s="31">
        <f>E17*D17</f>
        <v>26596</v>
      </c>
      <c r="G17" s="33">
        <v>0.18</v>
      </c>
      <c r="H17" s="32">
        <f>G17*F17</f>
        <v>4787.28</v>
      </c>
      <c r="I17" s="31">
        <f>H17+F17</f>
        <v>31383.279999999999</v>
      </c>
      <c r="J17" s="30"/>
    </row>
    <row r="18" spans="1:11" s="29" customFormat="1">
      <c r="A18" s="43">
        <v>3</v>
      </c>
      <c r="B18" s="101" t="s">
        <v>111</v>
      </c>
      <c r="C18" s="100" t="s">
        <v>112</v>
      </c>
      <c r="D18" s="35">
        <v>1</v>
      </c>
      <c r="E18" s="34">
        <v>51930</v>
      </c>
      <c r="F18" s="31">
        <f>E18*D18</f>
        <v>51930</v>
      </c>
      <c r="G18" s="33">
        <v>0.18</v>
      </c>
      <c r="H18" s="32">
        <f>G18*F18</f>
        <v>9347.4</v>
      </c>
      <c r="I18" s="31">
        <f>H18+F18</f>
        <v>61277.4</v>
      </c>
      <c r="J18" s="30"/>
    </row>
    <row r="19" spans="1:11" s="29" customFormat="1">
      <c r="A19" s="43"/>
      <c r="B19" s="99"/>
      <c r="C19" s="100" t="s">
        <v>102</v>
      </c>
      <c r="D19" s="35">
        <v>1</v>
      </c>
      <c r="E19" s="34">
        <v>1500</v>
      </c>
      <c r="F19" s="31">
        <f>E19*D19</f>
        <v>1500</v>
      </c>
      <c r="G19" s="33">
        <v>0.18</v>
      </c>
      <c r="H19" s="32">
        <f>G19*F19</f>
        <v>270</v>
      </c>
      <c r="I19" s="31">
        <f>H19+F19</f>
        <v>1770</v>
      </c>
      <c r="J19" s="30"/>
    </row>
    <row r="20" spans="1:11" s="22" customFormat="1" ht="15" customHeight="1">
      <c r="A20" s="320" t="s">
        <v>20</v>
      </c>
      <c r="B20" s="321"/>
      <c r="C20" s="322"/>
      <c r="D20" s="28"/>
      <c r="E20" s="26">
        <f>SUM(E16:E19)</f>
        <v>88893</v>
      </c>
      <c r="F20" s="26">
        <f>SUM(F16:F19)</f>
        <v>97760</v>
      </c>
      <c r="G20" s="27"/>
      <c r="H20" s="26">
        <f>SUM(H16:H19)</f>
        <v>17596.8</v>
      </c>
      <c r="I20" s="26">
        <f>SUM(I16:I19)</f>
        <v>115356.79999999999</v>
      </c>
      <c r="J20" s="25"/>
    </row>
    <row r="21" spans="1:11" s="22" customFormat="1" ht="17.25" customHeight="1">
      <c r="A21" s="320" t="s">
        <v>19</v>
      </c>
      <c r="B21" s="321"/>
      <c r="C21" s="321"/>
      <c r="D21" s="321"/>
      <c r="E21" s="321"/>
      <c r="F21" s="321"/>
      <c r="G21" s="321"/>
      <c r="H21" s="322"/>
      <c r="I21" s="24">
        <f>ROUND(I20,0)</f>
        <v>115357</v>
      </c>
      <c r="J21" s="23"/>
      <c r="K21" s="73"/>
    </row>
    <row r="22" spans="1:11" s="20" customFormat="1" ht="17.25" customHeight="1">
      <c r="A22" s="323" t="s">
        <v>203</v>
      </c>
      <c r="B22" s="324"/>
      <c r="C22" s="324"/>
      <c r="D22" s="324"/>
      <c r="E22" s="324"/>
      <c r="F22" s="324"/>
      <c r="G22" s="324"/>
      <c r="H22" s="324"/>
      <c r="I22" s="325"/>
      <c r="J22" s="21"/>
    </row>
    <row r="23" spans="1:11" s="15" customFormat="1" ht="17.25" customHeight="1">
      <c r="A23" s="19"/>
      <c r="B23" s="19"/>
      <c r="C23" s="18" t="s">
        <v>17</v>
      </c>
      <c r="D23" s="18"/>
      <c r="E23" s="18"/>
      <c r="F23" s="18"/>
      <c r="G23" s="18"/>
      <c r="H23" s="18"/>
      <c r="I23" s="17"/>
      <c r="J23" s="16"/>
    </row>
    <row r="24" spans="1:11" s="3" customFormat="1" ht="11.25">
      <c r="A24" s="14" t="s">
        <v>16</v>
      </c>
      <c r="B24" s="12"/>
      <c r="C24" s="12"/>
      <c r="D24" s="12"/>
      <c r="E24" s="12"/>
      <c r="F24" s="12"/>
      <c r="G24" s="12"/>
      <c r="H24" s="13"/>
      <c r="I24" s="12"/>
    </row>
    <row r="25" spans="1:11" s="6" customFormat="1" ht="13.5" customHeight="1">
      <c r="A25" s="11" t="s">
        <v>15</v>
      </c>
      <c r="B25" s="9"/>
      <c r="C25" s="10"/>
      <c r="D25" s="9"/>
      <c r="E25" s="8"/>
      <c r="F25" s="8"/>
      <c r="G25" s="3"/>
    </row>
    <row r="26" spans="1:11" s="6" customFormat="1" ht="11.25" customHeight="1">
      <c r="A26" s="5">
        <v>1</v>
      </c>
      <c r="B26" s="7" t="s">
        <v>14</v>
      </c>
      <c r="C26" s="326" t="s">
        <v>13</v>
      </c>
      <c r="D26" s="326"/>
      <c r="E26" s="326"/>
      <c r="F26" s="326"/>
      <c r="G26" s="326"/>
    </row>
    <row r="27" spans="1:11" s="6" customFormat="1" ht="13.5" customHeight="1">
      <c r="A27" s="5">
        <v>2</v>
      </c>
      <c r="B27" s="7" t="s">
        <v>12</v>
      </c>
      <c r="C27" s="326" t="s">
        <v>11</v>
      </c>
      <c r="D27" s="326"/>
      <c r="E27" s="326"/>
      <c r="F27" s="326"/>
      <c r="G27" s="326"/>
    </row>
    <row r="28" spans="1:11" s="6" customFormat="1" ht="12" customHeight="1">
      <c r="A28" s="5">
        <v>3</v>
      </c>
      <c r="B28" s="7" t="s">
        <v>10</v>
      </c>
      <c r="C28" s="326" t="s">
        <v>9</v>
      </c>
      <c r="D28" s="326"/>
      <c r="E28" s="326"/>
      <c r="F28" s="326"/>
      <c r="G28" s="326"/>
      <c r="H28" s="327" t="s">
        <v>8</v>
      </c>
      <c r="I28" s="327"/>
    </row>
    <row r="29" spans="1:11" s="6" customFormat="1" ht="11.25" customHeight="1">
      <c r="A29" s="5">
        <v>4</v>
      </c>
      <c r="B29" s="7" t="s">
        <v>7</v>
      </c>
      <c r="C29" s="326" t="s">
        <v>6</v>
      </c>
      <c r="D29" s="326"/>
      <c r="E29" s="326"/>
      <c r="F29" s="326"/>
      <c r="G29" s="326"/>
    </row>
    <row r="30" spans="1:11" s="6" customFormat="1" ht="11.25" customHeight="1">
      <c r="A30" s="5">
        <v>5</v>
      </c>
      <c r="B30" s="7" t="s">
        <v>5</v>
      </c>
      <c r="C30" s="326" t="s">
        <v>4</v>
      </c>
      <c r="D30" s="326"/>
      <c r="E30" s="326"/>
      <c r="F30" s="326"/>
      <c r="G30" s="326"/>
      <c r="H30" s="327" t="s">
        <v>3</v>
      </c>
      <c r="I30" s="327"/>
    </row>
    <row r="31" spans="1:11" s="3" customFormat="1" ht="26.25" customHeight="1">
      <c r="A31" s="5">
        <v>6</v>
      </c>
      <c r="B31" s="196" t="s">
        <v>2</v>
      </c>
      <c r="C31" s="328" t="s">
        <v>1</v>
      </c>
      <c r="D31" s="328"/>
      <c r="E31" s="328"/>
      <c r="F31" s="328"/>
      <c r="G31" s="328"/>
      <c r="H31" s="327" t="s">
        <v>0</v>
      </c>
      <c r="I31" s="327"/>
    </row>
  </sheetData>
  <mergeCells count="26">
    <mergeCell ref="C31:G31"/>
    <mergeCell ref="H31:I31"/>
    <mergeCell ref="F14:H14"/>
    <mergeCell ref="A20:C20"/>
    <mergeCell ref="A21:H21"/>
    <mergeCell ref="A22:I22"/>
    <mergeCell ref="C26:G26"/>
    <mergeCell ref="C27:G27"/>
    <mergeCell ref="C28:G28"/>
    <mergeCell ref="H28:I28"/>
    <mergeCell ref="C29:G29"/>
    <mergeCell ref="C30:G30"/>
    <mergeCell ref="H30:I30"/>
    <mergeCell ref="A7:I7"/>
    <mergeCell ref="F8:G8"/>
    <mergeCell ref="H8:I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selection activeCell="G10" sqref="G10"/>
    </sheetView>
  </sheetViews>
  <sheetFormatPr defaultRowHeight="15"/>
  <cols>
    <col min="1" max="1" width="5.28515625" customWidth="1"/>
    <col min="2" max="2" width="34.140625" style="2" customWidth="1"/>
    <col min="3" max="3" width="39.140625" style="2" customWidth="1"/>
    <col min="4" max="4" width="5.7109375" customWidth="1"/>
    <col min="5" max="5" width="13.5703125" style="219" bestFit="1" customWidth="1"/>
    <col min="6" max="6" width="8" style="219" customWidth="1"/>
    <col min="7" max="7" width="15.42578125" style="219" bestFit="1" customWidth="1"/>
    <col min="8" max="8" width="6.5703125" style="219" customWidth="1"/>
    <col min="9" max="9" width="13.5703125" style="219" bestFit="1" customWidth="1"/>
    <col min="10" max="10" width="17" style="219" bestFit="1" customWidth="1"/>
    <col min="11" max="11" width="13.14062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 customHeight="1">
      <c r="A1" s="307" t="s">
        <v>52</v>
      </c>
      <c r="B1" s="307"/>
      <c r="C1" s="307"/>
      <c r="D1" s="307"/>
      <c r="E1" s="307"/>
      <c r="F1" s="307"/>
      <c r="G1" s="307"/>
      <c r="H1" s="307"/>
      <c r="I1" s="307"/>
      <c r="J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  <c r="J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  <c r="J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  <c r="J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  <c r="J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  <c r="J7" s="311"/>
    </row>
    <row r="8" spans="1:10" s="61" customFormat="1" ht="19.5" customHeight="1">
      <c r="A8" s="62" t="s">
        <v>209</v>
      </c>
      <c r="G8" s="211"/>
      <c r="H8" s="211"/>
      <c r="I8" s="211" t="s">
        <v>45</v>
      </c>
      <c r="J8" s="202">
        <v>46146</v>
      </c>
    </row>
    <row r="9" spans="1:10" s="54" customFormat="1" ht="12.7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  <c r="J9" s="56"/>
    </row>
    <row r="10" spans="1:10" s="54" customFormat="1" ht="108" customHeight="1">
      <c r="B10" s="127" t="s">
        <v>204</v>
      </c>
      <c r="C10" s="59"/>
      <c r="D10" s="56"/>
      <c r="E10" s="56"/>
      <c r="F10" s="56"/>
      <c r="G10" s="56"/>
      <c r="H10" s="56"/>
      <c r="I10" s="56"/>
      <c r="J10" s="56"/>
    </row>
    <row r="11" spans="1:10" s="54" customFormat="1" ht="11.25" customHeight="1">
      <c r="A11" s="55" t="s">
        <v>42</v>
      </c>
      <c r="C11" s="57"/>
      <c r="D11" s="56"/>
      <c r="E11" s="55"/>
      <c r="F11" s="55"/>
      <c r="G11" s="55"/>
      <c r="H11" s="55"/>
      <c r="I11" s="55"/>
      <c r="J11" s="55"/>
    </row>
    <row r="12" spans="1:10" s="53" customFormat="1" ht="29.25" customHeight="1">
      <c r="A12" s="335" t="s">
        <v>40</v>
      </c>
      <c r="B12" s="335"/>
      <c r="C12" s="335"/>
      <c r="D12" s="335"/>
      <c r="E12" s="335"/>
      <c r="F12" s="335"/>
      <c r="G12" s="335"/>
      <c r="H12" s="335"/>
      <c r="I12" s="335"/>
      <c r="J12" s="335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204"/>
      <c r="G13" s="355"/>
      <c r="H13" s="356"/>
      <c r="I13" s="356"/>
      <c r="J13" s="356"/>
    </row>
    <row r="14" spans="1:10" s="47" customFormat="1" ht="18" customHeight="1">
      <c r="A14" s="203"/>
      <c r="B14" s="128" t="s">
        <v>205</v>
      </c>
      <c r="C14" s="51" t="s">
        <v>206</v>
      </c>
      <c r="D14" s="203"/>
      <c r="E14" s="49"/>
      <c r="F14" s="49"/>
      <c r="G14" s="357" t="s">
        <v>55</v>
      </c>
      <c r="H14" s="357"/>
      <c r="I14" s="357"/>
      <c r="J14" s="357"/>
    </row>
    <row r="15" spans="1:10" s="29" customFormat="1" ht="25.5">
      <c r="A15" s="46" t="s">
        <v>33</v>
      </c>
      <c r="B15" s="45" t="s">
        <v>32</v>
      </c>
      <c r="C15" s="45" t="s">
        <v>31</v>
      </c>
      <c r="D15" s="45" t="s">
        <v>30</v>
      </c>
      <c r="E15" s="212" t="s">
        <v>29</v>
      </c>
      <c r="F15" s="212" t="s">
        <v>155</v>
      </c>
      <c r="G15" s="212" t="s">
        <v>28</v>
      </c>
      <c r="H15" s="212" t="s">
        <v>27</v>
      </c>
      <c r="I15" s="212" t="s">
        <v>26</v>
      </c>
      <c r="J15" s="212" t="s">
        <v>25</v>
      </c>
    </row>
    <row r="16" spans="1:10" s="38" customFormat="1" ht="18.75" customHeight="1">
      <c r="A16" s="37">
        <v>1</v>
      </c>
      <c r="B16" s="213" t="s">
        <v>86</v>
      </c>
      <c r="C16" s="213" t="s">
        <v>207</v>
      </c>
      <c r="D16" s="35">
        <v>2</v>
      </c>
      <c r="E16" s="34">
        <v>2276</v>
      </c>
      <c r="F16" s="214">
        <v>0.1</v>
      </c>
      <c r="G16" s="31">
        <f>E16*90%*D16</f>
        <v>4096.8</v>
      </c>
      <c r="H16" s="33">
        <v>0.18</v>
      </c>
      <c r="I16" s="32">
        <f>H16*G16</f>
        <v>737.42399999999998</v>
      </c>
      <c r="J16" s="31">
        <f>I16+G16</f>
        <v>4834.2240000000002</v>
      </c>
    </row>
    <row r="17" spans="1:10" s="38" customFormat="1" ht="18.75" customHeight="1">
      <c r="A17" s="43">
        <v>2</v>
      </c>
      <c r="B17" s="221" t="s">
        <v>175</v>
      </c>
      <c r="C17" s="220" t="s">
        <v>176</v>
      </c>
      <c r="D17" s="35">
        <v>1</v>
      </c>
      <c r="E17" s="34">
        <v>91050</v>
      </c>
      <c r="F17" s="214">
        <v>0.1</v>
      </c>
      <c r="G17" s="31">
        <f>E17*90%*D17</f>
        <v>81945</v>
      </c>
      <c r="H17" s="33">
        <v>0.18</v>
      </c>
      <c r="I17" s="32">
        <f>H17*G17</f>
        <v>14750.099999999999</v>
      </c>
      <c r="J17" s="31">
        <f>I17+G17</f>
        <v>96695.1</v>
      </c>
    </row>
    <row r="18" spans="1:10" s="38" customFormat="1" ht="15" customHeight="1">
      <c r="A18" s="320" t="s">
        <v>20</v>
      </c>
      <c r="B18" s="321"/>
      <c r="C18" s="339"/>
      <c r="D18" s="28"/>
      <c r="E18" s="26"/>
      <c r="F18" s="26"/>
      <c r="G18" s="26">
        <f>SUM(G16:G17)</f>
        <v>86041.8</v>
      </c>
      <c r="H18" s="215"/>
      <c r="I18" s="26">
        <f>SUM(I16:I17)</f>
        <v>15487.523999999998</v>
      </c>
      <c r="J18" s="26">
        <f>SUM(J16:J17)</f>
        <v>101529.32400000001</v>
      </c>
    </row>
    <row r="19" spans="1:10" s="38" customFormat="1" ht="15" customHeight="1">
      <c r="B19" s="216"/>
      <c r="C19" s="216"/>
      <c r="D19" s="216"/>
      <c r="E19" s="216"/>
      <c r="F19" s="216"/>
      <c r="G19" s="216"/>
      <c r="H19" s="216"/>
      <c r="I19" s="94" t="s">
        <v>19</v>
      </c>
      <c r="J19" s="24">
        <f>ROUND(J18,0)</f>
        <v>101529</v>
      </c>
    </row>
    <row r="20" spans="1:10" s="38" customFormat="1" ht="18.75" customHeight="1">
      <c r="A20" s="323" t="s">
        <v>208</v>
      </c>
      <c r="B20" s="324"/>
      <c r="C20" s="324"/>
      <c r="D20" s="324"/>
      <c r="E20" s="324"/>
      <c r="F20" s="324"/>
      <c r="G20" s="324"/>
      <c r="H20" s="324"/>
      <c r="I20" s="324"/>
      <c r="J20" s="324"/>
    </row>
    <row r="21" spans="1:10" s="3" customFormat="1" ht="11.25">
      <c r="A21" s="14" t="s">
        <v>16</v>
      </c>
      <c r="B21" s="12"/>
      <c r="C21" s="12"/>
      <c r="D21" s="12"/>
      <c r="E21" s="12"/>
      <c r="F21" s="12"/>
      <c r="G21" s="12"/>
      <c r="H21" s="12"/>
      <c r="I21" s="12"/>
      <c r="J21" s="13"/>
    </row>
    <row r="22" spans="1:10" s="6" customFormat="1" ht="21.75" customHeight="1">
      <c r="A22" s="11" t="s">
        <v>15</v>
      </c>
      <c r="B22" s="9"/>
      <c r="C22" s="10"/>
      <c r="D22" s="9"/>
      <c r="E22" s="8"/>
      <c r="F22" s="8"/>
      <c r="G22" s="8"/>
      <c r="H22" s="3"/>
      <c r="I22" s="3"/>
    </row>
    <row r="23" spans="1:10" s="6" customFormat="1" ht="21.75" customHeight="1">
      <c r="A23" s="5">
        <v>1</v>
      </c>
      <c r="B23" s="7" t="s">
        <v>14</v>
      </c>
      <c r="C23" s="205" t="s">
        <v>146</v>
      </c>
      <c r="D23" s="144"/>
      <c r="E23" s="8"/>
      <c r="F23" s="8"/>
      <c r="G23" s="8"/>
      <c r="H23" s="3"/>
      <c r="I23" s="3"/>
    </row>
    <row r="24" spans="1:10" s="6" customFormat="1" ht="21.75" customHeight="1">
      <c r="A24" s="5">
        <v>2</v>
      </c>
      <c r="B24" s="7" t="s">
        <v>12</v>
      </c>
      <c r="C24" s="205" t="s">
        <v>11</v>
      </c>
      <c r="D24" s="205"/>
      <c r="E24" s="8"/>
      <c r="F24" s="8"/>
      <c r="G24" s="8"/>
      <c r="H24" s="3"/>
      <c r="I24" s="3"/>
    </row>
    <row r="25" spans="1:10" s="6" customFormat="1" ht="21.75" customHeight="1">
      <c r="A25" s="5">
        <v>3</v>
      </c>
      <c r="B25" s="7" t="s">
        <v>10</v>
      </c>
      <c r="C25" s="205" t="s">
        <v>9</v>
      </c>
      <c r="D25" s="205"/>
      <c r="E25" s="205"/>
      <c r="F25" s="205"/>
      <c r="G25" s="205"/>
      <c r="H25" s="205"/>
      <c r="I25" s="205"/>
      <c r="J25" s="206" t="s">
        <v>8</v>
      </c>
    </row>
    <row r="26" spans="1:10" s="6" customFormat="1" ht="16.5" customHeight="1">
      <c r="A26" s="5">
        <v>4</v>
      </c>
      <c r="B26" s="7" t="s">
        <v>7</v>
      </c>
      <c r="C26" s="205" t="s">
        <v>93</v>
      </c>
      <c r="D26" s="205"/>
      <c r="E26" s="205"/>
      <c r="F26" s="205"/>
      <c r="G26" s="205"/>
      <c r="H26" s="205"/>
      <c r="I26" s="205"/>
    </row>
    <row r="27" spans="1:10" s="6" customFormat="1" ht="18" customHeight="1">
      <c r="A27" s="5">
        <v>5</v>
      </c>
      <c r="B27" s="7" t="s">
        <v>5</v>
      </c>
      <c r="C27" s="205" t="s">
        <v>4</v>
      </c>
      <c r="D27" s="205"/>
      <c r="E27" s="205"/>
      <c r="F27" s="205"/>
      <c r="G27" s="205"/>
      <c r="H27" s="205"/>
      <c r="I27" s="205"/>
      <c r="J27" s="206" t="s">
        <v>3</v>
      </c>
    </row>
    <row r="28" spans="1:10" s="6" customFormat="1" ht="23.25" customHeight="1">
      <c r="A28" s="217">
        <v>6</v>
      </c>
      <c r="B28" s="207" t="s">
        <v>2</v>
      </c>
      <c r="C28" s="328" t="s">
        <v>1</v>
      </c>
      <c r="D28" s="328"/>
      <c r="E28" s="328"/>
      <c r="F28" s="328"/>
      <c r="G28" s="328"/>
      <c r="H28" s="328"/>
      <c r="I28" s="328"/>
      <c r="J28" s="143" t="s">
        <v>0</v>
      </c>
    </row>
    <row r="29" spans="1:10" s="6" customFormat="1" ht="27.75" customHeight="1">
      <c r="D29" s="164"/>
    </row>
    <row r="30" spans="1:10" s="6" customFormat="1" ht="29.25" customHeight="1">
      <c r="A30" s="5"/>
    </row>
    <row r="31" spans="1:10" s="3" customFormat="1" ht="26.25" customHeight="1">
      <c r="A31" s="5"/>
      <c r="B31" s="218"/>
      <c r="C31" s="218"/>
      <c r="E31" s="219"/>
      <c r="F31" s="219"/>
      <c r="G31" s="219"/>
      <c r="H31" s="219"/>
      <c r="I31" s="219"/>
      <c r="J31" s="219"/>
    </row>
  </sheetData>
  <mergeCells count="15">
    <mergeCell ref="A6:J6"/>
    <mergeCell ref="A1:J1"/>
    <mergeCell ref="A2:J2"/>
    <mergeCell ref="A3:J3"/>
    <mergeCell ref="A4:J4"/>
    <mergeCell ref="A5:J5"/>
    <mergeCell ref="A18:C18"/>
    <mergeCell ref="A20:J20"/>
    <mergeCell ref="C28:I28"/>
    <mergeCell ref="A7:J7"/>
    <mergeCell ref="A12:J12"/>
    <mergeCell ref="A13:B13"/>
    <mergeCell ref="D13:E13"/>
    <mergeCell ref="G13:J13"/>
    <mergeCell ref="G14:J14"/>
  </mergeCells>
  <dataValidations count="2">
    <dataValidation showInputMessage="1" showErrorMessage="1" error=" " promptTitle="Lookup (required)" prompt="This Product record must already exist in Microsoft Dynamics 365 or in this source file." sqref="C16:C17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16:B17">
      <formula1>100</formula1>
    </dataValidation>
  </dataValidation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32"/>
  <sheetViews>
    <sheetView topLeftCell="A7" workbookViewId="0">
      <selection activeCell="H16" sqref="H16"/>
    </sheetView>
  </sheetViews>
  <sheetFormatPr defaultRowHeight="15"/>
  <cols>
    <col min="1" max="1" width="5.28515625" customWidth="1"/>
    <col min="2" max="2" width="38.28515625" style="2" customWidth="1"/>
    <col min="3" max="3" width="37" style="2" bestFit="1" customWidth="1"/>
    <col min="4" max="4" width="5.7109375" customWidth="1"/>
    <col min="5" max="6" width="15.42578125" style="95" bestFit="1" customWidth="1"/>
    <col min="7" max="7" width="10.85546875" style="95" bestFit="1" customWidth="1"/>
    <col min="8" max="8" width="13.28515625" style="95" customWidth="1"/>
    <col min="9" max="9" width="15.140625" style="95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9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9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9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9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9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9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9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9" s="61" customFormat="1" ht="15" customHeight="1">
      <c r="A8" s="62" t="s">
        <v>217</v>
      </c>
      <c r="F8" s="312" t="s">
        <v>45</v>
      </c>
      <c r="G8" s="312"/>
      <c r="H8" s="313">
        <v>46147</v>
      </c>
      <c r="I8" s="313"/>
    </row>
    <row r="9" spans="1:9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9" s="54" customFormat="1" ht="63.75">
      <c r="B10" s="60" t="s">
        <v>210</v>
      </c>
      <c r="C10" s="59"/>
      <c r="D10" s="56"/>
      <c r="E10" s="56"/>
      <c r="F10" s="56"/>
      <c r="G10" s="56"/>
      <c r="H10" s="56"/>
      <c r="I10" s="58"/>
    </row>
    <row r="11" spans="1:9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9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9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29"/>
      <c r="G13" s="330"/>
      <c r="H13" s="330"/>
      <c r="I13" s="344"/>
    </row>
    <row r="14" spans="1:9" s="47" customFormat="1" ht="18" customHeight="1">
      <c r="A14" s="209"/>
      <c r="B14" s="52" t="s">
        <v>36</v>
      </c>
      <c r="C14" s="51" t="s">
        <v>114</v>
      </c>
      <c r="D14" s="209"/>
      <c r="E14" s="49"/>
      <c r="F14" s="329" t="s">
        <v>34</v>
      </c>
      <c r="G14" s="330"/>
      <c r="H14" s="330"/>
      <c r="I14" s="210"/>
    </row>
    <row r="15" spans="1:9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77" t="s">
        <v>29</v>
      </c>
      <c r="F15" s="77" t="s">
        <v>28</v>
      </c>
      <c r="G15" s="77" t="s">
        <v>27</v>
      </c>
      <c r="H15" s="77" t="s">
        <v>26</v>
      </c>
      <c r="I15" s="77" t="s">
        <v>25</v>
      </c>
    </row>
    <row r="16" spans="1:9" s="29" customFormat="1" ht="18" customHeight="1">
      <c r="A16" s="225">
        <v>1</v>
      </c>
      <c r="B16" s="65" t="s">
        <v>89</v>
      </c>
      <c r="C16" s="36" t="s">
        <v>211</v>
      </c>
      <c r="D16" s="45">
        <v>1</v>
      </c>
      <c r="E16" s="40">
        <v>21861</v>
      </c>
      <c r="F16" s="31">
        <f>E16*D16</f>
        <v>21861</v>
      </c>
      <c r="G16" s="33">
        <v>0.18</v>
      </c>
      <c r="H16" s="32">
        <f>G16*F16</f>
        <v>3934.98</v>
      </c>
      <c r="I16" s="31">
        <f>H16+F16</f>
        <v>25795.98</v>
      </c>
    </row>
    <row r="17" spans="1:10" s="29" customFormat="1" ht="17.25" customHeight="1">
      <c r="A17" s="225">
        <v>2</v>
      </c>
      <c r="B17" s="65" t="s">
        <v>212</v>
      </c>
      <c r="C17" s="36" t="s">
        <v>213</v>
      </c>
      <c r="D17" s="45">
        <v>1</v>
      </c>
      <c r="E17" s="40">
        <v>26596</v>
      </c>
      <c r="F17" s="31">
        <f>E17*D17</f>
        <v>26596</v>
      </c>
      <c r="G17" s="33">
        <v>0.18</v>
      </c>
      <c r="H17" s="32">
        <f>G17*F17</f>
        <v>4787.28</v>
      </c>
      <c r="I17" s="31">
        <f>H17+F17</f>
        <v>31383.279999999999</v>
      </c>
    </row>
    <row r="18" spans="1:10" s="38" customFormat="1">
      <c r="A18" s="43">
        <v>3</v>
      </c>
      <c r="B18" s="65" t="s">
        <v>214</v>
      </c>
      <c r="C18" s="36" t="s">
        <v>215</v>
      </c>
      <c r="D18" s="45">
        <v>1</v>
      </c>
      <c r="E18" s="40">
        <v>45189.46</v>
      </c>
      <c r="F18" s="31">
        <f>E18*D18</f>
        <v>45189.46</v>
      </c>
      <c r="G18" s="33">
        <v>0.18</v>
      </c>
      <c r="H18" s="32">
        <f>G18*F18</f>
        <v>8134.1027999999997</v>
      </c>
      <c r="I18" s="31">
        <f>H18+F18</f>
        <v>53323.5628</v>
      </c>
      <c r="J18" s="39"/>
    </row>
    <row r="19" spans="1:10" s="38" customFormat="1">
      <c r="A19" s="43">
        <v>4</v>
      </c>
      <c r="B19" s="99"/>
      <c r="C19" s="100" t="s">
        <v>102</v>
      </c>
      <c r="D19" s="45">
        <v>1</v>
      </c>
      <c r="E19" s="40">
        <v>1200</v>
      </c>
      <c r="F19" s="31">
        <f>E19*D19</f>
        <v>1200</v>
      </c>
      <c r="G19" s="33">
        <v>0.18</v>
      </c>
      <c r="H19" s="32">
        <f>G19*F19</f>
        <v>216</v>
      </c>
      <c r="I19" s="31">
        <f>H19+F19</f>
        <v>1416</v>
      </c>
      <c r="J19" s="39"/>
    </row>
    <row r="20" spans="1:10" s="38" customFormat="1">
      <c r="A20" s="43">
        <v>5</v>
      </c>
      <c r="B20" s="99"/>
      <c r="C20" s="100" t="s">
        <v>216</v>
      </c>
      <c r="D20" s="45">
        <v>1</v>
      </c>
      <c r="E20" s="40">
        <v>4000</v>
      </c>
      <c r="F20" s="31">
        <f>E20*D20</f>
        <v>4000</v>
      </c>
      <c r="G20" s="33">
        <v>0.18</v>
      </c>
      <c r="H20" s="32">
        <f>G20*F20</f>
        <v>720</v>
      </c>
      <c r="I20" s="31">
        <f>H20+F20</f>
        <v>4720</v>
      </c>
      <c r="J20" s="39"/>
    </row>
    <row r="21" spans="1:10" s="22" customFormat="1" ht="15" customHeight="1">
      <c r="A21" s="320" t="s">
        <v>20</v>
      </c>
      <c r="B21" s="321"/>
      <c r="C21" s="339"/>
      <c r="D21" s="28"/>
      <c r="E21" s="26"/>
      <c r="F21" s="26">
        <f>SUM(F16:F20)</f>
        <v>98846.459999999992</v>
      </c>
      <c r="G21" s="226"/>
      <c r="H21" s="26">
        <f>SUM(H16:H20)</f>
        <v>17792.362799999999</v>
      </c>
      <c r="I21" s="26">
        <f>SUM(I16:I20)</f>
        <v>116638.82279999999</v>
      </c>
      <c r="J21" s="25"/>
    </row>
    <row r="22" spans="1:10" s="22" customFormat="1" ht="17.25" customHeight="1">
      <c r="A22" s="320" t="s">
        <v>19</v>
      </c>
      <c r="B22" s="321"/>
      <c r="C22" s="321"/>
      <c r="D22" s="321"/>
      <c r="E22" s="321"/>
      <c r="F22" s="321"/>
      <c r="G22" s="321"/>
      <c r="H22" s="339"/>
      <c r="I22" s="24">
        <f>ROUND(I21,0)</f>
        <v>116639</v>
      </c>
      <c r="J22" s="23"/>
    </row>
    <row r="23" spans="1:10" s="20" customFormat="1" ht="17.25" customHeight="1">
      <c r="A23" s="323" t="s">
        <v>218</v>
      </c>
      <c r="B23" s="324"/>
      <c r="C23" s="324"/>
      <c r="D23" s="324"/>
      <c r="E23" s="324"/>
      <c r="F23" s="324"/>
      <c r="G23" s="324"/>
      <c r="H23" s="324"/>
      <c r="I23" s="342"/>
      <c r="J23" s="21"/>
    </row>
    <row r="24" spans="1:10" s="15" customFormat="1" ht="17.25" customHeight="1">
      <c r="A24" s="19"/>
      <c r="B24" s="19"/>
      <c r="C24" s="18" t="s">
        <v>17</v>
      </c>
      <c r="D24" s="18"/>
      <c r="E24" s="18"/>
      <c r="F24" s="18"/>
      <c r="G24" s="18"/>
      <c r="H24" s="18"/>
      <c r="I24" s="227"/>
      <c r="J24" s="16"/>
    </row>
    <row r="25" spans="1:10" s="3" customFormat="1" ht="11.25">
      <c r="A25" s="14" t="s">
        <v>16</v>
      </c>
      <c r="B25" s="12"/>
      <c r="C25" s="12"/>
      <c r="D25" s="12"/>
      <c r="E25" s="12"/>
      <c r="F25" s="12"/>
      <c r="G25" s="12"/>
      <c r="H25" s="13"/>
      <c r="I25" s="12"/>
    </row>
    <row r="26" spans="1:10" s="6" customFormat="1" ht="13.5" customHeight="1">
      <c r="A26" s="11" t="s">
        <v>15</v>
      </c>
      <c r="B26" s="9"/>
      <c r="C26" s="10"/>
      <c r="D26" s="9"/>
      <c r="E26" s="8"/>
      <c r="F26" s="8"/>
      <c r="G26" s="3"/>
    </row>
    <row r="27" spans="1:10" s="6" customFormat="1" ht="11.25" customHeight="1">
      <c r="A27" s="5">
        <v>1</v>
      </c>
      <c r="B27" s="7" t="s">
        <v>14</v>
      </c>
      <c r="C27" s="326" t="s">
        <v>92</v>
      </c>
      <c r="D27" s="326"/>
      <c r="E27" s="326"/>
      <c r="F27" s="326"/>
      <c r="G27" s="326"/>
    </row>
    <row r="28" spans="1:10" s="6" customFormat="1" ht="13.5" customHeight="1">
      <c r="A28" s="5">
        <v>2</v>
      </c>
      <c r="B28" s="7" t="s">
        <v>12</v>
      </c>
      <c r="C28" s="326" t="s">
        <v>11</v>
      </c>
      <c r="D28" s="326"/>
      <c r="E28" s="326"/>
      <c r="F28" s="326"/>
      <c r="G28" s="326"/>
    </row>
    <row r="29" spans="1:10" s="6" customFormat="1" ht="12" customHeight="1">
      <c r="A29" s="5">
        <v>3</v>
      </c>
      <c r="B29" s="7" t="s">
        <v>10</v>
      </c>
      <c r="C29" s="326" t="s">
        <v>9</v>
      </c>
      <c r="D29" s="326"/>
      <c r="E29" s="326"/>
      <c r="F29" s="326"/>
      <c r="G29" s="326"/>
      <c r="H29" s="327" t="s">
        <v>8</v>
      </c>
      <c r="I29" s="327"/>
    </row>
    <row r="30" spans="1:10" s="6" customFormat="1" ht="11.25" customHeight="1">
      <c r="A30" s="5">
        <v>4</v>
      </c>
      <c r="B30" s="7" t="s">
        <v>7</v>
      </c>
      <c r="C30" s="326" t="s">
        <v>6</v>
      </c>
      <c r="D30" s="326"/>
      <c r="E30" s="326"/>
      <c r="F30" s="326"/>
      <c r="G30" s="326"/>
    </row>
    <row r="31" spans="1:10" s="6" customFormat="1" ht="11.25" customHeight="1">
      <c r="A31" s="5">
        <v>5</v>
      </c>
      <c r="B31" s="7" t="s">
        <v>5</v>
      </c>
      <c r="C31" s="326" t="s">
        <v>4</v>
      </c>
      <c r="D31" s="326"/>
      <c r="E31" s="326"/>
      <c r="F31" s="326"/>
      <c r="G31" s="326"/>
      <c r="H31" s="327" t="s">
        <v>3</v>
      </c>
      <c r="I31" s="327"/>
    </row>
    <row r="32" spans="1:10" s="3" customFormat="1" ht="26.25" customHeight="1">
      <c r="A32" s="5">
        <v>6</v>
      </c>
      <c r="B32" s="208" t="s">
        <v>2</v>
      </c>
      <c r="C32" s="328" t="s">
        <v>1</v>
      </c>
      <c r="D32" s="328"/>
      <c r="E32" s="328"/>
      <c r="F32" s="328"/>
      <c r="G32" s="328"/>
      <c r="H32" s="327" t="s">
        <v>0</v>
      </c>
      <c r="I32" s="327"/>
    </row>
  </sheetData>
  <mergeCells count="26">
    <mergeCell ref="C32:G32"/>
    <mergeCell ref="H32:I32"/>
    <mergeCell ref="F14:H14"/>
    <mergeCell ref="A21:C21"/>
    <mergeCell ref="A22:H22"/>
    <mergeCell ref="A23:I23"/>
    <mergeCell ref="C27:G27"/>
    <mergeCell ref="C28:G28"/>
    <mergeCell ref="C29:G29"/>
    <mergeCell ref="H29:I29"/>
    <mergeCell ref="C30:G30"/>
    <mergeCell ref="C31:G31"/>
    <mergeCell ref="H31:I31"/>
    <mergeCell ref="A7:I7"/>
    <mergeCell ref="F8:G8"/>
    <mergeCell ref="H8:I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29"/>
  <sheetViews>
    <sheetView topLeftCell="A5" workbookViewId="0">
      <selection activeCell="D10" sqref="D10"/>
    </sheetView>
  </sheetViews>
  <sheetFormatPr defaultRowHeight="15"/>
  <cols>
    <col min="1" max="1" width="5.28515625" customWidth="1"/>
    <col min="2" max="2" width="37.710937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220</v>
      </c>
      <c r="F8" s="312" t="s">
        <v>45</v>
      </c>
      <c r="G8" s="312"/>
      <c r="H8" s="313">
        <v>46150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137.25" customHeight="1">
      <c r="B10" s="60" t="s">
        <v>219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222"/>
      <c r="B14" s="52" t="s">
        <v>36</v>
      </c>
      <c r="C14" s="51" t="s">
        <v>114</v>
      </c>
      <c r="D14" s="222"/>
      <c r="E14" s="49"/>
      <c r="F14" s="317" t="s">
        <v>81</v>
      </c>
      <c r="G14" s="318"/>
      <c r="H14" s="318"/>
      <c r="I14" s="223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>
      <c r="A16" s="43">
        <v>1</v>
      </c>
      <c r="B16" s="83" t="s">
        <v>24</v>
      </c>
      <c r="C16" s="84" t="s">
        <v>23</v>
      </c>
      <c r="D16" s="85">
        <v>2</v>
      </c>
      <c r="E16" s="40">
        <v>8867</v>
      </c>
      <c r="F16" s="31">
        <f>E16*D16</f>
        <v>17734</v>
      </c>
      <c r="G16" s="33">
        <v>0.18</v>
      </c>
      <c r="H16" s="32">
        <f>G16*F16</f>
        <v>3192.12</v>
      </c>
      <c r="I16" s="31">
        <f>H16+F16</f>
        <v>20926.12</v>
      </c>
      <c r="J16" s="39"/>
    </row>
    <row r="17" spans="1:11" s="29" customFormat="1">
      <c r="A17" s="37">
        <v>2</v>
      </c>
      <c r="B17" s="83" t="s">
        <v>123</v>
      </c>
      <c r="C17" s="84" t="s">
        <v>105</v>
      </c>
      <c r="D17" s="85">
        <v>1</v>
      </c>
      <c r="E17" s="34">
        <v>26596</v>
      </c>
      <c r="F17" s="31">
        <f>E17*D17</f>
        <v>26596</v>
      </c>
      <c r="G17" s="33">
        <v>0.18</v>
      </c>
      <c r="H17" s="32">
        <f>G17*F17</f>
        <v>4787.28</v>
      </c>
      <c r="I17" s="31">
        <f>H17+F17</f>
        <v>31383.279999999999</v>
      </c>
      <c r="J17" s="30"/>
    </row>
    <row r="18" spans="1:11" s="22" customFormat="1" ht="15" customHeight="1">
      <c r="A18" s="320" t="s">
        <v>20</v>
      </c>
      <c r="B18" s="321"/>
      <c r="C18" s="322"/>
      <c r="D18" s="28"/>
      <c r="E18" s="26">
        <f>SUM(E16:E17)</f>
        <v>35463</v>
      </c>
      <c r="F18" s="26">
        <f>SUM(F16:F17)</f>
        <v>44330</v>
      </c>
      <c r="G18" s="27"/>
      <c r="H18" s="26">
        <f>SUM(H16:H17)</f>
        <v>7979.4</v>
      </c>
      <c r="I18" s="26">
        <f>SUM(I16:I17)</f>
        <v>52309.399999999994</v>
      </c>
      <c r="J18" s="25"/>
    </row>
    <row r="19" spans="1:11" s="22" customFormat="1" ht="17.25" customHeight="1">
      <c r="A19" s="320" t="s">
        <v>19</v>
      </c>
      <c r="B19" s="321"/>
      <c r="C19" s="321"/>
      <c r="D19" s="321"/>
      <c r="E19" s="321"/>
      <c r="F19" s="321"/>
      <c r="G19" s="321"/>
      <c r="H19" s="322"/>
      <c r="I19" s="24">
        <f>ROUND(I18,0)</f>
        <v>52309</v>
      </c>
      <c r="J19" s="23"/>
      <c r="K19" s="73"/>
    </row>
    <row r="20" spans="1:11" s="20" customFormat="1" ht="17.25" customHeight="1">
      <c r="A20" s="323" t="s">
        <v>221</v>
      </c>
      <c r="B20" s="324"/>
      <c r="C20" s="324"/>
      <c r="D20" s="324"/>
      <c r="E20" s="324"/>
      <c r="F20" s="324"/>
      <c r="G20" s="324"/>
      <c r="H20" s="324"/>
      <c r="I20" s="325"/>
      <c r="J20" s="21"/>
    </row>
    <row r="21" spans="1:11" s="15" customFormat="1" ht="17.25" customHeight="1">
      <c r="A21" s="19"/>
      <c r="B21" s="19"/>
      <c r="C21" s="18" t="s">
        <v>17</v>
      </c>
      <c r="D21" s="18"/>
      <c r="E21" s="18"/>
      <c r="F21" s="18"/>
      <c r="G21" s="18"/>
      <c r="H21" s="18"/>
      <c r="I21" s="17"/>
      <c r="J21" s="16"/>
    </row>
    <row r="22" spans="1:11" s="3" customFormat="1" ht="11.25">
      <c r="A22" s="14" t="s">
        <v>16</v>
      </c>
      <c r="B22" s="12"/>
      <c r="C22" s="12"/>
      <c r="D22" s="12"/>
      <c r="E22" s="12"/>
      <c r="F22" s="12"/>
      <c r="G22" s="12"/>
      <c r="H22" s="13"/>
      <c r="I22" s="12"/>
    </row>
    <row r="23" spans="1:11" s="6" customFormat="1" ht="13.5" customHeight="1">
      <c r="A23" s="11" t="s">
        <v>15</v>
      </c>
      <c r="B23" s="9"/>
      <c r="C23" s="10"/>
      <c r="D23" s="9"/>
      <c r="E23" s="8"/>
      <c r="F23" s="8"/>
      <c r="G23" s="3"/>
    </row>
    <row r="24" spans="1:11" s="6" customFormat="1" ht="11.25" customHeight="1">
      <c r="A24" s="5">
        <v>1</v>
      </c>
      <c r="B24" s="7" t="s">
        <v>14</v>
      </c>
      <c r="C24" s="326" t="s">
        <v>13</v>
      </c>
      <c r="D24" s="326"/>
      <c r="E24" s="326"/>
      <c r="F24" s="326"/>
      <c r="G24" s="326"/>
    </row>
    <row r="25" spans="1:11" s="6" customFormat="1" ht="13.5" customHeight="1">
      <c r="A25" s="5">
        <v>2</v>
      </c>
      <c r="B25" s="7" t="s">
        <v>12</v>
      </c>
      <c r="C25" s="326" t="s">
        <v>11</v>
      </c>
      <c r="D25" s="326"/>
      <c r="E25" s="326"/>
      <c r="F25" s="326"/>
      <c r="G25" s="326"/>
    </row>
    <row r="26" spans="1:11" s="6" customFormat="1" ht="12" customHeight="1">
      <c r="A26" s="5">
        <v>3</v>
      </c>
      <c r="B26" s="7" t="s">
        <v>10</v>
      </c>
      <c r="C26" s="326" t="s">
        <v>9</v>
      </c>
      <c r="D26" s="326"/>
      <c r="E26" s="326"/>
      <c r="F26" s="326"/>
      <c r="G26" s="326"/>
      <c r="H26" s="327" t="s">
        <v>8</v>
      </c>
      <c r="I26" s="327"/>
    </row>
    <row r="27" spans="1:11" s="6" customFormat="1" ht="11.25" customHeight="1">
      <c r="A27" s="5">
        <v>4</v>
      </c>
      <c r="B27" s="7" t="s">
        <v>7</v>
      </c>
      <c r="C27" s="326" t="s">
        <v>6</v>
      </c>
      <c r="D27" s="326"/>
      <c r="E27" s="326"/>
      <c r="F27" s="326"/>
      <c r="G27" s="326"/>
    </row>
    <row r="28" spans="1:11" s="6" customFormat="1" ht="11.25" customHeight="1">
      <c r="A28" s="5">
        <v>5</v>
      </c>
      <c r="B28" s="7" t="s">
        <v>5</v>
      </c>
      <c r="C28" s="326" t="s">
        <v>4</v>
      </c>
      <c r="D28" s="326"/>
      <c r="E28" s="326"/>
      <c r="F28" s="326"/>
      <c r="G28" s="326"/>
      <c r="H28" s="327" t="s">
        <v>3</v>
      </c>
      <c r="I28" s="327"/>
    </row>
    <row r="29" spans="1:11" s="3" customFormat="1" ht="26.25" customHeight="1">
      <c r="A29" s="5">
        <v>6</v>
      </c>
      <c r="B29" s="224" t="s">
        <v>2</v>
      </c>
      <c r="C29" s="328" t="s">
        <v>1</v>
      </c>
      <c r="D29" s="328"/>
      <c r="E29" s="328"/>
      <c r="F29" s="328"/>
      <c r="G29" s="328"/>
      <c r="H29" s="327" t="s">
        <v>0</v>
      </c>
      <c r="I29" s="327"/>
    </row>
  </sheetData>
  <mergeCells count="26">
    <mergeCell ref="A6:I6"/>
    <mergeCell ref="A1:I1"/>
    <mergeCell ref="A2:I2"/>
    <mergeCell ref="A3:I3"/>
    <mergeCell ref="A4:I4"/>
    <mergeCell ref="A5:I5"/>
    <mergeCell ref="A7:I7"/>
    <mergeCell ref="F8:G8"/>
    <mergeCell ref="H8:I8"/>
    <mergeCell ref="A12:I12"/>
    <mergeCell ref="A13:B13"/>
    <mergeCell ref="D13:E13"/>
    <mergeCell ref="F13:I13"/>
    <mergeCell ref="C29:G29"/>
    <mergeCell ref="H29:I29"/>
    <mergeCell ref="F14:H14"/>
    <mergeCell ref="A18:C18"/>
    <mergeCell ref="A19:H19"/>
    <mergeCell ref="A20:I20"/>
    <mergeCell ref="C24:G24"/>
    <mergeCell ref="C25:G25"/>
    <mergeCell ref="C26:G26"/>
    <mergeCell ref="H26:I26"/>
    <mergeCell ref="C27:G27"/>
    <mergeCell ref="C28:G28"/>
    <mergeCell ref="H28:I28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34"/>
  <sheetViews>
    <sheetView topLeftCell="A7" workbookViewId="0">
      <selection activeCell="J18" sqref="J18"/>
    </sheetView>
  </sheetViews>
  <sheetFormatPr defaultRowHeight="15"/>
  <cols>
    <col min="1" max="1" width="5.28515625" customWidth="1"/>
    <col min="2" max="2" width="36" style="2" customWidth="1"/>
    <col min="3" max="3" width="37" style="2" bestFit="1" customWidth="1"/>
    <col min="4" max="4" width="6.28515625" bestFit="1" customWidth="1"/>
    <col min="5" max="5" width="13.5703125" style="95" bestFit="1" customWidth="1"/>
    <col min="6" max="6" width="15.42578125" style="95" bestFit="1" customWidth="1"/>
    <col min="7" max="7" width="6.140625" style="95" customWidth="1"/>
    <col min="8" max="8" width="13.28515625" style="95" customWidth="1"/>
    <col min="9" max="9" width="15.140625" style="95" customWidth="1"/>
    <col min="10" max="10" width="14.85546875" bestFit="1" customWidth="1"/>
    <col min="11" max="11" width="13" bestFit="1" customWidth="1"/>
    <col min="12" max="12" width="11.85546875" bestFit="1" customWidth="1"/>
    <col min="13" max="13" width="13.14062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4" customHeight="1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19.5" customHeight="1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229</v>
      </c>
      <c r="F8" s="312" t="s">
        <v>45</v>
      </c>
      <c r="G8" s="312"/>
      <c r="H8" s="313">
        <v>46150</v>
      </c>
      <c r="I8" s="313"/>
    </row>
    <row r="9" spans="1:10" s="54" customFormat="1" ht="11.2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84" customHeight="1">
      <c r="B10" s="171" t="s">
        <v>162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29"/>
      <c r="G13" s="330"/>
      <c r="H13" s="330"/>
      <c r="I13" s="344"/>
    </row>
    <row r="14" spans="1:10" s="29" customFormat="1" ht="28.5" customHeight="1">
      <c r="A14" s="46" t="s">
        <v>33</v>
      </c>
      <c r="B14" s="45" t="s">
        <v>32</v>
      </c>
      <c r="C14" s="45" t="s">
        <v>31</v>
      </c>
      <c r="D14" s="45" t="s">
        <v>30</v>
      </c>
      <c r="E14" s="77" t="s">
        <v>29</v>
      </c>
      <c r="F14" s="77" t="s">
        <v>28</v>
      </c>
      <c r="G14" s="77" t="s">
        <v>27</v>
      </c>
      <c r="H14" s="77" t="s">
        <v>26</v>
      </c>
      <c r="I14" s="77" t="s">
        <v>25</v>
      </c>
    </row>
    <row r="15" spans="1:10" s="47" customFormat="1" ht="18" customHeight="1">
      <c r="A15" s="78"/>
      <c r="B15" s="79" t="s">
        <v>245</v>
      </c>
      <c r="C15" s="80" t="s">
        <v>163</v>
      </c>
      <c r="D15" s="78"/>
      <c r="E15" s="81"/>
      <c r="F15" s="332" t="s">
        <v>81</v>
      </c>
      <c r="G15" s="333"/>
      <c r="H15" s="333"/>
      <c r="I15" s="172"/>
    </row>
    <row r="16" spans="1:10" s="22" customFormat="1" ht="15" customHeight="1">
      <c r="A16" s="19">
        <v>1</v>
      </c>
      <c r="B16" s="83" t="s">
        <v>82</v>
      </c>
      <c r="C16" s="84" t="s">
        <v>83</v>
      </c>
      <c r="D16" s="85">
        <v>2</v>
      </c>
      <c r="E16" s="86">
        <v>12599</v>
      </c>
      <c r="F16" s="31">
        <f t="shared" ref="F16:F22" si="0">E16*D16</f>
        <v>25198</v>
      </c>
      <c r="G16" s="88">
        <v>0.18</v>
      </c>
      <c r="H16" s="87">
        <f>F16*18%</f>
        <v>4535.6399999999994</v>
      </c>
      <c r="I16" s="87">
        <f t="shared" ref="I16:I22" si="1">H16+F16</f>
        <v>29733.64</v>
      </c>
      <c r="J16" s="25"/>
    </row>
    <row r="17" spans="1:10" s="22" customFormat="1" ht="15" customHeight="1">
      <c r="A17" s="19">
        <v>2</v>
      </c>
      <c r="B17" s="84" t="s">
        <v>84</v>
      </c>
      <c r="C17" s="84" t="s">
        <v>85</v>
      </c>
      <c r="D17" s="85">
        <v>3</v>
      </c>
      <c r="E17" s="86">
        <v>4546</v>
      </c>
      <c r="F17" s="31">
        <f t="shared" si="0"/>
        <v>13638</v>
      </c>
      <c r="G17" s="88">
        <v>0.18</v>
      </c>
      <c r="H17" s="87">
        <f>F17*18%</f>
        <v>2454.8399999999997</v>
      </c>
      <c r="I17" s="87">
        <f t="shared" si="1"/>
        <v>16092.84</v>
      </c>
      <c r="J17" s="25"/>
    </row>
    <row r="18" spans="1:10" s="22" customFormat="1" ht="15" customHeight="1">
      <c r="A18" s="19">
        <v>3</v>
      </c>
      <c r="B18" s="84" t="s">
        <v>86</v>
      </c>
      <c r="C18" s="84" t="s">
        <v>87</v>
      </c>
      <c r="D18" s="85">
        <v>1</v>
      </c>
      <c r="E18" s="86">
        <v>2276</v>
      </c>
      <c r="F18" s="31">
        <f t="shared" si="0"/>
        <v>2276</v>
      </c>
      <c r="G18" s="88">
        <v>0.18</v>
      </c>
      <c r="H18" s="87">
        <f>F18*18%</f>
        <v>409.68</v>
      </c>
      <c r="I18" s="87">
        <f t="shared" si="1"/>
        <v>2685.68</v>
      </c>
      <c r="J18" s="25"/>
    </row>
    <row r="19" spans="1:10" s="22" customFormat="1" ht="15" customHeight="1">
      <c r="A19" s="19">
        <v>4</v>
      </c>
      <c r="B19" s="83" t="s">
        <v>222</v>
      </c>
      <c r="C19" s="84" t="s">
        <v>223</v>
      </c>
      <c r="D19" s="85">
        <v>2</v>
      </c>
      <c r="E19" s="34">
        <v>4419</v>
      </c>
      <c r="F19" s="31">
        <f t="shared" si="0"/>
        <v>8838</v>
      </c>
      <c r="G19" s="33">
        <v>0.18</v>
      </c>
      <c r="H19" s="32">
        <f>G19*F19</f>
        <v>1590.84</v>
      </c>
      <c r="I19" s="31">
        <f t="shared" si="1"/>
        <v>10428.84</v>
      </c>
      <c r="J19" s="25"/>
    </row>
    <row r="20" spans="1:10" s="22" customFormat="1" ht="15" customHeight="1">
      <c r="A20" s="19">
        <v>5</v>
      </c>
      <c r="B20" s="83" t="s">
        <v>224</v>
      </c>
      <c r="C20" s="84" t="s">
        <v>225</v>
      </c>
      <c r="D20" s="85">
        <v>3</v>
      </c>
      <c r="E20" s="34">
        <v>2612</v>
      </c>
      <c r="F20" s="31">
        <f t="shared" si="0"/>
        <v>7836</v>
      </c>
      <c r="G20" s="33">
        <v>0.18</v>
      </c>
      <c r="H20" s="32">
        <f>G20*F20</f>
        <v>1410.48</v>
      </c>
      <c r="I20" s="31">
        <f t="shared" si="1"/>
        <v>9246.48</v>
      </c>
      <c r="J20" s="25"/>
    </row>
    <row r="21" spans="1:10" s="22" customFormat="1" ht="15" customHeight="1">
      <c r="A21" s="19">
        <v>6</v>
      </c>
      <c r="B21" s="83" t="s">
        <v>226</v>
      </c>
      <c r="C21" s="84" t="s">
        <v>227</v>
      </c>
      <c r="D21" s="85">
        <v>1</v>
      </c>
      <c r="E21" s="34">
        <v>2668</v>
      </c>
      <c r="F21" s="31">
        <f t="shared" si="0"/>
        <v>2668</v>
      </c>
      <c r="G21" s="33">
        <v>0.18</v>
      </c>
      <c r="H21" s="32">
        <f>G21*F21</f>
        <v>480.24</v>
      </c>
      <c r="I21" s="31">
        <f t="shared" si="1"/>
        <v>3148.24</v>
      </c>
      <c r="J21" s="25"/>
    </row>
    <row r="22" spans="1:10" s="22" customFormat="1" ht="15" customHeight="1">
      <c r="A22" s="19">
        <v>7</v>
      </c>
      <c r="B22" s="84" t="s">
        <v>214</v>
      </c>
      <c r="C22" s="84" t="s">
        <v>228</v>
      </c>
      <c r="D22" s="85">
        <v>1</v>
      </c>
      <c r="E22" s="34">
        <v>45190</v>
      </c>
      <c r="F22" s="31">
        <f t="shared" si="0"/>
        <v>45190</v>
      </c>
      <c r="G22" s="33">
        <v>0.18</v>
      </c>
      <c r="H22" s="32">
        <f>G22*F22</f>
        <v>8134.2</v>
      </c>
      <c r="I22" s="31">
        <f t="shared" si="1"/>
        <v>53324.2</v>
      </c>
      <c r="J22" s="25"/>
    </row>
    <row r="23" spans="1:10" s="22" customFormat="1" ht="15" customHeight="1">
      <c r="A23" s="19"/>
      <c r="B23" s="19"/>
      <c r="C23" s="19" t="s">
        <v>91</v>
      </c>
      <c r="D23" s="19"/>
      <c r="E23" s="92"/>
      <c r="F23" s="92">
        <f>SUM(F16:F22)</f>
        <v>105644</v>
      </c>
      <c r="G23" s="19"/>
      <c r="H23" s="92">
        <f>SUM(H16:H22)</f>
        <v>19015.919999999998</v>
      </c>
      <c r="I23" s="92">
        <f>SUM(I16:I22)</f>
        <v>124659.92</v>
      </c>
      <c r="J23" s="25"/>
    </row>
    <row r="24" spans="1:10" s="22" customFormat="1" ht="15" customHeight="1">
      <c r="A24" s="93"/>
      <c r="B24" s="93"/>
      <c r="C24" s="93"/>
      <c r="D24" s="93"/>
      <c r="E24" s="93"/>
      <c r="F24" s="93"/>
      <c r="G24" s="93"/>
      <c r="H24" s="94" t="s">
        <v>19</v>
      </c>
      <c r="I24" s="24">
        <f>ROUND(I23,0)</f>
        <v>124660</v>
      </c>
      <c r="J24" s="25"/>
    </row>
    <row r="25" spans="1:10" s="22" customFormat="1" ht="15" customHeight="1">
      <c r="A25" s="334" t="s">
        <v>239</v>
      </c>
      <c r="B25" s="334"/>
      <c r="C25" s="334"/>
      <c r="D25" s="334"/>
      <c r="E25" s="334"/>
      <c r="F25" s="334"/>
      <c r="G25" s="334"/>
      <c r="H25" s="334"/>
      <c r="I25" s="334"/>
      <c r="J25" s="25"/>
    </row>
    <row r="26" spans="1:10" s="3" customFormat="1" ht="11.25">
      <c r="A26" s="14" t="s">
        <v>16</v>
      </c>
      <c r="B26" s="12"/>
      <c r="C26" s="12"/>
      <c r="D26" s="12"/>
      <c r="E26" s="12"/>
      <c r="F26" s="12"/>
      <c r="G26" s="12"/>
      <c r="H26" s="13"/>
      <c r="I26" s="12"/>
    </row>
    <row r="27" spans="1:10" s="6" customFormat="1" ht="13.5" customHeight="1">
      <c r="A27" s="11" t="s">
        <v>15</v>
      </c>
      <c r="B27" s="9"/>
      <c r="C27" s="10"/>
      <c r="D27" s="9"/>
      <c r="E27" s="8"/>
      <c r="F27" s="8"/>
      <c r="G27" s="3"/>
    </row>
    <row r="28" spans="1:10" s="6" customFormat="1" ht="11.25" customHeight="1">
      <c r="A28" s="5">
        <v>1</v>
      </c>
      <c r="B28" s="7" t="s">
        <v>14</v>
      </c>
      <c r="C28" s="326" t="s">
        <v>13</v>
      </c>
      <c r="D28" s="326"/>
      <c r="E28" s="326"/>
      <c r="F28" s="326"/>
      <c r="G28" s="326"/>
    </row>
    <row r="29" spans="1:10" s="6" customFormat="1" ht="13.5" customHeight="1">
      <c r="A29" s="5">
        <v>2</v>
      </c>
      <c r="B29" s="7" t="s">
        <v>12</v>
      </c>
      <c r="C29" s="326" t="s">
        <v>11</v>
      </c>
      <c r="D29" s="326"/>
      <c r="E29" s="326"/>
      <c r="F29" s="326"/>
      <c r="G29" s="326"/>
    </row>
    <row r="30" spans="1:10" s="6" customFormat="1" ht="12" customHeight="1">
      <c r="A30" s="5">
        <v>3</v>
      </c>
      <c r="B30" s="7" t="s">
        <v>10</v>
      </c>
      <c r="C30" s="326" t="s">
        <v>9</v>
      </c>
      <c r="D30" s="326"/>
      <c r="E30" s="326"/>
      <c r="F30" s="326"/>
      <c r="G30" s="326"/>
      <c r="H30" s="327" t="s">
        <v>8</v>
      </c>
      <c r="I30" s="327"/>
    </row>
    <row r="31" spans="1:10" s="6" customFormat="1" ht="11.25" customHeight="1">
      <c r="A31" s="5">
        <v>4</v>
      </c>
      <c r="B31" s="7" t="s">
        <v>7</v>
      </c>
      <c r="C31" s="326" t="s">
        <v>93</v>
      </c>
      <c r="D31" s="326"/>
      <c r="E31" s="326"/>
      <c r="F31" s="326"/>
      <c r="G31" s="326"/>
    </row>
    <row r="32" spans="1:10" s="6" customFormat="1" ht="11.25" customHeight="1">
      <c r="A32" s="5">
        <v>5</v>
      </c>
      <c r="B32" s="7" t="s">
        <v>5</v>
      </c>
      <c r="C32" s="326" t="s">
        <v>4</v>
      </c>
      <c r="D32" s="326"/>
      <c r="E32" s="326"/>
      <c r="F32" s="326"/>
      <c r="G32" s="326"/>
      <c r="H32" s="327" t="s">
        <v>3</v>
      </c>
      <c r="I32" s="327"/>
    </row>
    <row r="33" spans="1:9" s="3" customFormat="1" ht="26.25" customHeight="1">
      <c r="A33" s="5">
        <v>6</v>
      </c>
      <c r="B33" s="228" t="s">
        <v>2</v>
      </c>
      <c r="C33" s="328" t="s">
        <v>1</v>
      </c>
      <c r="D33" s="328"/>
      <c r="E33" s="328"/>
      <c r="F33" s="328"/>
      <c r="G33" s="328"/>
      <c r="H33" s="327" t="s">
        <v>0</v>
      </c>
      <c r="I33" s="327"/>
    </row>
    <row r="34" spans="1:9">
      <c r="A34" s="5"/>
    </row>
  </sheetData>
  <mergeCells count="24">
    <mergeCell ref="C31:G31"/>
    <mergeCell ref="C32:G32"/>
    <mergeCell ref="H32:I32"/>
    <mergeCell ref="C33:G33"/>
    <mergeCell ref="H33:I33"/>
    <mergeCell ref="F15:H15"/>
    <mergeCell ref="A25:I25"/>
    <mergeCell ref="C28:G28"/>
    <mergeCell ref="C29:G29"/>
    <mergeCell ref="C30:G30"/>
    <mergeCell ref="H30:I30"/>
    <mergeCell ref="A7:I7"/>
    <mergeCell ref="F8:G8"/>
    <mergeCell ref="H8:I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36"/>
  <sheetViews>
    <sheetView topLeftCell="A7" workbookViewId="0">
      <selection activeCell="B23" sqref="B23"/>
    </sheetView>
  </sheetViews>
  <sheetFormatPr defaultRowHeight="15"/>
  <cols>
    <col min="1" max="1" width="5.28515625" customWidth="1"/>
    <col min="2" max="2" width="36" style="2" customWidth="1"/>
    <col min="3" max="3" width="37" style="2" bestFit="1" customWidth="1"/>
    <col min="4" max="4" width="6.28515625" bestFit="1" customWidth="1"/>
    <col min="5" max="5" width="13.5703125" style="95" bestFit="1" customWidth="1"/>
    <col min="6" max="6" width="15.42578125" style="95" bestFit="1" customWidth="1"/>
    <col min="7" max="7" width="6.140625" style="95" customWidth="1"/>
    <col min="8" max="8" width="13.28515625" style="95" customWidth="1"/>
    <col min="9" max="9" width="15.140625" style="95" customWidth="1"/>
    <col min="10" max="10" width="14.85546875" bestFit="1" customWidth="1"/>
    <col min="11" max="11" width="13" bestFit="1" customWidth="1"/>
    <col min="12" max="12" width="11.85546875" bestFit="1" customWidth="1"/>
    <col min="13" max="13" width="13.14062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4" customHeight="1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19.5" customHeight="1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230</v>
      </c>
      <c r="F8" s="312" t="s">
        <v>45</v>
      </c>
      <c r="G8" s="312"/>
      <c r="H8" s="313">
        <v>46150</v>
      </c>
      <c r="I8" s="313"/>
    </row>
    <row r="9" spans="1:10" s="54" customFormat="1" ht="11.2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84" customHeight="1">
      <c r="B10" s="171" t="s">
        <v>162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29"/>
      <c r="G13" s="330"/>
      <c r="H13" s="330"/>
      <c r="I13" s="344"/>
    </row>
    <row r="14" spans="1:10" s="29" customFormat="1" ht="28.5" customHeight="1">
      <c r="A14" s="46" t="s">
        <v>33</v>
      </c>
      <c r="B14" s="45" t="s">
        <v>32</v>
      </c>
      <c r="C14" s="45" t="s">
        <v>31</v>
      </c>
      <c r="D14" s="45" t="s">
        <v>30</v>
      </c>
      <c r="E14" s="77" t="s">
        <v>29</v>
      </c>
      <c r="F14" s="77" t="s">
        <v>28</v>
      </c>
      <c r="G14" s="77" t="s">
        <v>27</v>
      </c>
      <c r="H14" s="77" t="s">
        <v>26</v>
      </c>
      <c r="I14" s="77" t="s">
        <v>25</v>
      </c>
    </row>
    <row r="15" spans="1:10" s="47" customFormat="1" ht="18" customHeight="1">
      <c r="A15" s="78"/>
      <c r="B15" s="79" t="s">
        <v>244</v>
      </c>
      <c r="C15" s="80" t="s">
        <v>231</v>
      </c>
      <c r="D15" s="78"/>
      <c r="E15" s="81"/>
      <c r="F15" s="332" t="s">
        <v>81</v>
      </c>
      <c r="G15" s="333"/>
      <c r="H15" s="333"/>
      <c r="I15" s="172"/>
    </row>
    <row r="16" spans="1:10" s="22" customFormat="1" ht="15" customHeight="1">
      <c r="A16" s="19">
        <v>1</v>
      </c>
      <c r="B16" s="83" t="s">
        <v>222</v>
      </c>
      <c r="C16" s="84" t="s">
        <v>223</v>
      </c>
      <c r="D16" s="85">
        <v>2</v>
      </c>
      <c r="E16" s="34">
        <v>4419</v>
      </c>
      <c r="F16" s="31">
        <f t="shared" ref="F16:F22" si="0">E16*D16</f>
        <v>8838</v>
      </c>
      <c r="G16" s="88">
        <v>0.18</v>
      </c>
      <c r="H16" s="87">
        <f>F16*18%</f>
        <v>1590.84</v>
      </c>
      <c r="I16" s="87">
        <f t="shared" ref="I16:I24" si="1">H16+F16</f>
        <v>10428.84</v>
      </c>
      <c r="J16" s="25"/>
    </row>
    <row r="17" spans="1:10" s="22" customFormat="1" ht="15" customHeight="1">
      <c r="A17" s="19">
        <v>2</v>
      </c>
      <c r="B17" s="83" t="s">
        <v>224</v>
      </c>
      <c r="C17" s="84" t="s">
        <v>225</v>
      </c>
      <c r="D17" s="85">
        <v>3</v>
      </c>
      <c r="E17" s="34">
        <v>2612</v>
      </c>
      <c r="F17" s="31">
        <f t="shared" si="0"/>
        <v>7836</v>
      </c>
      <c r="G17" s="88">
        <v>0.18</v>
      </c>
      <c r="H17" s="87">
        <f>F17*18%</f>
        <v>1410.48</v>
      </c>
      <c r="I17" s="87">
        <f t="shared" si="1"/>
        <v>9246.48</v>
      </c>
      <c r="J17" s="25"/>
    </row>
    <row r="18" spans="1:10" s="22" customFormat="1" ht="15" customHeight="1">
      <c r="A18" s="19">
        <v>3</v>
      </c>
      <c r="B18" s="83" t="s">
        <v>226</v>
      </c>
      <c r="C18" s="84" t="s">
        <v>227</v>
      </c>
      <c r="D18" s="85">
        <v>1</v>
      </c>
      <c r="E18" s="34">
        <v>2668</v>
      </c>
      <c r="F18" s="31">
        <f t="shared" si="0"/>
        <v>2668</v>
      </c>
      <c r="G18" s="88">
        <v>0.18</v>
      </c>
      <c r="H18" s="87">
        <f>F18*18%</f>
        <v>480.24</v>
      </c>
      <c r="I18" s="87">
        <f t="shared" si="1"/>
        <v>3148.24</v>
      </c>
      <c r="J18" s="25"/>
    </row>
    <row r="19" spans="1:10" s="22" customFormat="1" ht="15" customHeight="1">
      <c r="A19" s="19">
        <v>4</v>
      </c>
      <c r="B19" s="84" t="s">
        <v>214</v>
      </c>
      <c r="C19" s="84" t="s">
        <v>228</v>
      </c>
      <c r="D19" s="85">
        <v>1</v>
      </c>
      <c r="E19" s="34">
        <v>45190</v>
      </c>
      <c r="F19" s="31">
        <f t="shared" si="0"/>
        <v>45190</v>
      </c>
      <c r="G19" s="33">
        <v>0.18</v>
      </c>
      <c r="H19" s="32">
        <f t="shared" ref="H19:H24" si="2">G19*F19</f>
        <v>8134.2</v>
      </c>
      <c r="I19" s="31">
        <f t="shared" si="1"/>
        <v>53324.2</v>
      </c>
      <c r="J19" s="25"/>
    </row>
    <row r="20" spans="1:10" s="22" customFormat="1" ht="15" customHeight="1">
      <c r="A20" s="19">
        <v>5</v>
      </c>
      <c r="B20" s="83" t="s">
        <v>172</v>
      </c>
      <c r="C20" s="84" t="s">
        <v>173</v>
      </c>
      <c r="D20" s="85">
        <v>1</v>
      </c>
      <c r="E20" s="34">
        <v>1127</v>
      </c>
      <c r="F20" s="31">
        <f t="shared" si="0"/>
        <v>1127</v>
      </c>
      <c r="G20" s="33">
        <v>0.18</v>
      </c>
      <c r="H20" s="32">
        <f t="shared" si="2"/>
        <v>202.85999999999999</v>
      </c>
      <c r="I20" s="31">
        <f t="shared" si="1"/>
        <v>1329.86</v>
      </c>
      <c r="J20" s="25"/>
    </row>
    <row r="21" spans="1:10" s="22" customFormat="1" ht="15" customHeight="1">
      <c r="A21" s="19">
        <v>6</v>
      </c>
      <c r="B21" s="84" t="s">
        <v>232</v>
      </c>
      <c r="C21" s="84" t="s">
        <v>233</v>
      </c>
      <c r="D21" s="85">
        <v>1</v>
      </c>
      <c r="E21" s="34">
        <v>8055</v>
      </c>
      <c r="F21" s="31">
        <f t="shared" si="0"/>
        <v>8055</v>
      </c>
      <c r="G21" s="33">
        <v>0.18</v>
      </c>
      <c r="H21" s="32">
        <f t="shared" si="2"/>
        <v>1449.8999999999999</v>
      </c>
      <c r="I21" s="31">
        <f t="shared" si="1"/>
        <v>9504.9</v>
      </c>
      <c r="J21" s="25"/>
    </row>
    <row r="22" spans="1:10" s="22" customFormat="1" ht="15" customHeight="1">
      <c r="A22" s="19">
        <v>7</v>
      </c>
      <c r="B22" s="83" t="s">
        <v>234</v>
      </c>
      <c r="C22" s="84" t="s">
        <v>235</v>
      </c>
      <c r="D22" s="85">
        <v>1</v>
      </c>
      <c r="E22" s="34">
        <v>1504</v>
      </c>
      <c r="F22" s="31">
        <f t="shared" si="0"/>
        <v>1504</v>
      </c>
      <c r="G22" s="33">
        <v>0.18</v>
      </c>
      <c r="H22" s="32">
        <f t="shared" si="2"/>
        <v>270.71999999999997</v>
      </c>
      <c r="I22" s="31">
        <f t="shared" si="1"/>
        <v>1774.72</v>
      </c>
      <c r="J22" s="25"/>
    </row>
    <row r="23" spans="1:10" s="22" customFormat="1" ht="15" customHeight="1">
      <c r="A23" s="19">
        <v>8</v>
      </c>
      <c r="B23" s="83" t="s">
        <v>168</v>
      </c>
      <c r="C23" s="84" t="s">
        <v>236</v>
      </c>
      <c r="D23" s="85">
        <v>1</v>
      </c>
      <c r="E23" s="34">
        <v>3381</v>
      </c>
      <c r="F23" s="31">
        <f>E23*D23</f>
        <v>3381</v>
      </c>
      <c r="G23" s="33">
        <v>0.18</v>
      </c>
      <c r="H23" s="32">
        <f t="shared" si="2"/>
        <v>608.57999999999993</v>
      </c>
      <c r="I23" s="31">
        <f t="shared" si="1"/>
        <v>3989.58</v>
      </c>
      <c r="J23" s="25"/>
    </row>
    <row r="24" spans="1:10" s="22" customFormat="1" ht="15" customHeight="1">
      <c r="A24" s="19">
        <v>9</v>
      </c>
      <c r="B24" s="83" t="s">
        <v>237</v>
      </c>
      <c r="C24" s="84" t="s">
        <v>238</v>
      </c>
      <c r="D24" s="85">
        <v>1</v>
      </c>
      <c r="E24" s="34">
        <v>1848</v>
      </c>
      <c r="F24" s="31">
        <f>E24*D24</f>
        <v>1848</v>
      </c>
      <c r="G24" s="33">
        <v>0.18</v>
      </c>
      <c r="H24" s="32">
        <f t="shared" si="2"/>
        <v>332.64</v>
      </c>
      <c r="I24" s="31">
        <f t="shared" si="1"/>
        <v>2180.64</v>
      </c>
      <c r="J24" s="25"/>
    </row>
    <row r="25" spans="1:10" s="22" customFormat="1" ht="15" customHeight="1">
      <c r="A25" s="19"/>
      <c r="B25" s="19"/>
      <c r="C25" s="19" t="s">
        <v>91</v>
      </c>
      <c r="D25" s="19"/>
      <c r="E25" s="92"/>
      <c r="F25" s="92">
        <f>SUM(F16:F24)</f>
        <v>80447</v>
      </c>
      <c r="G25" s="19"/>
      <c r="H25" s="92">
        <f>SUM(H16:H24)</f>
        <v>14480.459999999997</v>
      </c>
      <c r="I25" s="92">
        <f>SUM(I16:I24)</f>
        <v>94927.459999999992</v>
      </c>
      <c r="J25" s="25"/>
    </row>
    <row r="26" spans="1:10" s="22" customFormat="1" ht="15" customHeight="1">
      <c r="A26" s="93"/>
      <c r="B26" s="93"/>
      <c r="C26" s="93"/>
      <c r="D26" s="93"/>
      <c r="E26" s="93"/>
      <c r="F26" s="93"/>
      <c r="G26" s="93"/>
      <c r="H26" s="94" t="s">
        <v>19</v>
      </c>
      <c r="I26" s="24">
        <f>ROUND(I25,0)</f>
        <v>94927</v>
      </c>
      <c r="J26" s="25"/>
    </row>
    <row r="27" spans="1:10" s="22" customFormat="1" ht="15" customHeight="1">
      <c r="A27" s="334" t="s">
        <v>240</v>
      </c>
      <c r="B27" s="334"/>
      <c r="C27" s="334"/>
      <c r="D27" s="334"/>
      <c r="E27" s="334"/>
      <c r="F27" s="334"/>
      <c r="G27" s="334"/>
      <c r="H27" s="334"/>
      <c r="I27" s="334"/>
      <c r="J27" s="25"/>
    </row>
    <row r="28" spans="1:10" s="3" customFormat="1" ht="11.25">
      <c r="A28" s="14" t="s">
        <v>16</v>
      </c>
      <c r="B28" s="12"/>
      <c r="C28" s="12"/>
      <c r="D28" s="12"/>
      <c r="E28" s="12"/>
      <c r="F28" s="12"/>
      <c r="G28" s="12"/>
      <c r="H28" s="13"/>
      <c r="I28" s="12"/>
    </row>
    <row r="29" spans="1:10" s="6" customFormat="1" ht="13.5" customHeight="1">
      <c r="A29" s="11" t="s">
        <v>15</v>
      </c>
      <c r="B29" s="9"/>
      <c r="C29" s="10"/>
      <c r="D29" s="9"/>
      <c r="E29" s="8"/>
      <c r="F29" s="8"/>
      <c r="G29" s="3"/>
    </row>
    <row r="30" spans="1:10" s="6" customFormat="1" ht="11.25" customHeight="1">
      <c r="A30" s="5">
        <v>1</v>
      </c>
      <c r="B30" s="7" t="s">
        <v>14</v>
      </c>
      <c r="C30" s="326" t="s">
        <v>13</v>
      </c>
      <c r="D30" s="326"/>
      <c r="E30" s="326"/>
      <c r="F30" s="326"/>
      <c r="G30" s="326"/>
    </row>
    <row r="31" spans="1:10" s="6" customFormat="1" ht="13.5" customHeight="1">
      <c r="A31" s="5">
        <v>2</v>
      </c>
      <c r="B31" s="7" t="s">
        <v>12</v>
      </c>
      <c r="C31" s="326" t="s">
        <v>11</v>
      </c>
      <c r="D31" s="326"/>
      <c r="E31" s="326"/>
      <c r="F31" s="326"/>
      <c r="G31" s="326"/>
    </row>
    <row r="32" spans="1:10" s="6" customFormat="1" ht="12" customHeight="1">
      <c r="A32" s="5">
        <v>3</v>
      </c>
      <c r="B32" s="7" t="s">
        <v>10</v>
      </c>
      <c r="C32" s="326" t="s">
        <v>9</v>
      </c>
      <c r="D32" s="326"/>
      <c r="E32" s="326"/>
      <c r="F32" s="326"/>
      <c r="G32" s="326"/>
      <c r="H32" s="327" t="s">
        <v>8</v>
      </c>
      <c r="I32" s="327"/>
    </row>
    <row r="33" spans="1:9" s="6" customFormat="1" ht="11.25" customHeight="1">
      <c r="A33" s="5">
        <v>4</v>
      </c>
      <c r="B33" s="7" t="s">
        <v>7</v>
      </c>
      <c r="C33" s="326" t="s">
        <v>93</v>
      </c>
      <c r="D33" s="326"/>
      <c r="E33" s="326"/>
      <c r="F33" s="326"/>
      <c r="G33" s="326"/>
    </row>
    <row r="34" spans="1:9" s="6" customFormat="1" ht="11.25" customHeight="1">
      <c r="A34" s="5">
        <v>5</v>
      </c>
      <c r="B34" s="7" t="s">
        <v>5</v>
      </c>
      <c r="C34" s="326" t="s">
        <v>4</v>
      </c>
      <c r="D34" s="326"/>
      <c r="E34" s="326"/>
      <c r="F34" s="326"/>
      <c r="G34" s="326"/>
      <c r="H34" s="327" t="s">
        <v>3</v>
      </c>
      <c r="I34" s="327"/>
    </row>
    <row r="35" spans="1:9" s="3" customFormat="1" ht="26.25" customHeight="1">
      <c r="A35" s="5">
        <v>6</v>
      </c>
      <c r="B35" s="230" t="s">
        <v>2</v>
      </c>
      <c r="C35" s="328" t="s">
        <v>1</v>
      </c>
      <c r="D35" s="328"/>
      <c r="E35" s="328"/>
      <c r="F35" s="328"/>
      <c r="G35" s="328"/>
      <c r="H35" s="327" t="s">
        <v>0</v>
      </c>
      <c r="I35" s="327"/>
    </row>
    <row r="36" spans="1:9">
      <c r="A36" s="5"/>
    </row>
  </sheetData>
  <mergeCells count="24">
    <mergeCell ref="A6:I6"/>
    <mergeCell ref="A1:I1"/>
    <mergeCell ref="A2:I2"/>
    <mergeCell ref="A3:I3"/>
    <mergeCell ref="A4:I4"/>
    <mergeCell ref="A5:I5"/>
    <mergeCell ref="A7:I7"/>
    <mergeCell ref="F8:G8"/>
    <mergeCell ref="H8:I8"/>
    <mergeCell ref="A12:I12"/>
    <mergeCell ref="A13:B13"/>
    <mergeCell ref="D13:E13"/>
    <mergeCell ref="F13:I13"/>
    <mergeCell ref="F15:H15"/>
    <mergeCell ref="A27:I27"/>
    <mergeCell ref="C30:G30"/>
    <mergeCell ref="C31:G31"/>
    <mergeCell ref="C32:G32"/>
    <mergeCell ref="H32:I32"/>
    <mergeCell ref="C33:G33"/>
    <mergeCell ref="C34:G34"/>
    <mergeCell ref="H34:I34"/>
    <mergeCell ref="C35:G35"/>
    <mergeCell ref="H35:I3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28"/>
  <sheetViews>
    <sheetView topLeftCell="A7" workbookViewId="0">
      <selection activeCell="B28" sqref="B28"/>
    </sheetView>
  </sheetViews>
  <sheetFormatPr defaultRowHeight="15"/>
  <cols>
    <col min="1" max="1" width="5.28515625" customWidth="1"/>
    <col min="2" max="2" width="36" style="2" customWidth="1"/>
    <col min="3" max="3" width="37" style="2" bestFit="1" customWidth="1"/>
    <col min="4" max="4" width="6.28515625" bestFit="1" customWidth="1"/>
    <col min="5" max="5" width="13.5703125" style="95" bestFit="1" customWidth="1"/>
    <col min="6" max="6" width="8.28515625" style="95" customWidth="1"/>
    <col min="7" max="7" width="15.42578125" style="95" bestFit="1" customWidth="1"/>
    <col min="8" max="8" width="6.140625" style="95" customWidth="1"/>
    <col min="9" max="9" width="13.28515625" style="95" customWidth="1"/>
    <col min="10" max="10" width="15.140625" style="95" customWidth="1"/>
    <col min="11" max="11" width="14.85546875" bestFit="1" customWidth="1"/>
    <col min="12" max="12" width="13" bestFit="1" customWidth="1"/>
    <col min="13" max="13" width="11.85546875" bestFit="1" customWidth="1"/>
    <col min="14" max="14" width="13.140625" bestFit="1" customWidth="1"/>
    <col min="235" max="235" width="5.28515625" customWidth="1"/>
    <col min="236" max="236" width="15.7109375" customWidth="1"/>
    <col min="237" max="237" width="17" customWidth="1"/>
    <col min="238" max="238" width="37.5703125" customWidth="1"/>
    <col min="239" max="239" width="5.7109375" customWidth="1"/>
    <col min="240" max="240" width="12.140625" customWidth="1"/>
    <col min="241" max="241" width="14.85546875" customWidth="1"/>
    <col min="491" max="491" width="5.28515625" customWidth="1"/>
    <col min="492" max="492" width="15.7109375" customWidth="1"/>
    <col min="493" max="493" width="17" customWidth="1"/>
    <col min="494" max="494" width="37.5703125" customWidth="1"/>
    <col min="495" max="495" width="5.7109375" customWidth="1"/>
    <col min="496" max="496" width="12.140625" customWidth="1"/>
    <col min="497" max="497" width="14.85546875" customWidth="1"/>
    <col min="747" max="747" width="5.28515625" customWidth="1"/>
    <col min="748" max="748" width="15.7109375" customWidth="1"/>
    <col min="749" max="749" width="17" customWidth="1"/>
    <col min="750" max="750" width="37.5703125" customWidth="1"/>
    <col min="751" max="751" width="5.7109375" customWidth="1"/>
    <col min="752" max="752" width="12.140625" customWidth="1"/>
    <col min="753" max="753" width="14.85546875" customWidth="1"/>
    <col min="1003" max="1003" width="5.28515625" customWidth="1"/>
    <col min="1004" max="1004" width="15.7109375" customWidth="1"/>
    <col min="1005" max="1005" width="17" customWidth="1"/>
    <col min="1006" max="1006" width="37.5703125" customWidth="1"/>
    <col min="1007" max="1007" width="5.7109375" customWidth="1"/>
    <col min="1008" max="1008" width="12.140625" customWidth="1"/>
    <col min="1009" max="1009" width="14.85546875" customWidth="1"/>
    <col min="1259" max="1259" width="5.28515625" customWidth="1"/>
    <col min="1260" max="1260" width="15.7109375" customWidth="1"/>
    <col min="1261" max="1261" width="17" customWidth="1"/>
    <col min="1262" max="1262" width="37.5703125" customWidth="1"/>
    <col min="1263" max="1263" width="5.7109375" customWidth="1"/>
    <col min="1264" max="1264" width="12.140625" customWidth="1"/>
    <col min="1265" max="1265" width="14.85546875" customWidth="1"/>
    <col min="1515" max="1515" width="5.28515625" customWidth="1"/>
    <col min="1516" max="1516" width="15.7109375" customWidth="1"/>
    <col min="1517" max="1517" width="17" customWidth="1"/>
    <col min="1518" max="1518" width="37.5703125" customWidth="1"/>
    <col min="1519" max="1519" width="5.7109375" customWidth="1"/>
    <col min="1520" max="1520" width="12.140625" customWidth="1"/>
    <col min="1521" max="1521" width="14.85546875" customWidth="1"/>
    <col min="1771" max="1771" width="5.28515625" customWidth="1"/>
    <col min="1772" max="1772" width="15.7109375" customWidth="1"/>
    <col min="1773" max="1773" width="17" customWidth="1"/>
    <col min="1774" max="1774" width="37.5703125" customWidth="1"/>
    <col min="1775" max="1775" width="5.7109375" customWidth="1"/>
    <col min="1776" max="1776" width="12.140625" customWidth="1"/>
    <col min="1777" max="1777" width="14.85546875" customWidth="1"/>
    <col min="2027" max="2027" width="5.28515625" customWidth="1"/>
    <col min="2028" max="2028" width="15.7109375" customWidth="1"/>
    <col min="2029" max="2029" width="17" customWidth="1"/>
    <col min="2030" max="2030" width="37.5703125" customWidth="1"/>
    <col min="2031" max="2031" width="5.7109375" customWidth="1"/>
    <col min="2032" max="2032" width="12.140625" customWidth="1"/>
    <col min="2033" max="2033" width="14.85546875" customWidth="1"/>
    <col min="2283" max="2283" width="5.28515625" customWidth="1"/>
    <col min="2284" max="2284" width="15.7109375" customWidth="1"/>
    <col min="2285" max="2285" width="17" customWidth="1"/>
    <col min="2286" max="2286" width="37.5703125" customWidth="1"/>
    <col min="2287" max="2287" width="5.7109375" customWidth="1"/>
    <col min="2288" max="2288" width="12.140625" customWidth="1"/>
    <col min="2289" max="2289" width="14.85546875" customWidth="1"/>
    <col min="2539" max="2539" width="5.28515625" customWidth="1"/>
    <col min="2540" max="2540" width="15.7109375" customWidth="1"/>
    <col min="2541" max="2541" width="17" customWidth="1"/>
    <col min="2542" max="2542" width="37.5703125" customWidth="1"/>
    <col min="2543" max="2543" width="5.7109375" customWidth="1"/>
    <col min="2544" max="2544" width="12.140625" customWidth="1"/>
    <col min="2545" max="2545" width="14.85546875" customWidth="1"/>
    <col min="2795" max="2795" width="5.28515625" customWidth="1"/>
    <col min="2796" max="2796" width="15.7109375" customWidth="1"/>
    <col min="2797" max="2797" width="17" customWidth="1"/>
    <col min="2798" max="2798" width="37.5703125" customWidth="1"/>
    <col min="2799" max="2799" width="5.7109375" customWidth="1"/>
    <col min="2800" max="2800" width="12.140625" customWidth="1"/>
    <col min="2801" max="2801" width="14.85546875" customWidth="1"/>
    <col min="3051" max="3051" width="5.28515625" customWidth="1"/>
    <col min="3052" max="3052" width="15.7109375" customWidth="1"/>
    <col min="3053" max="3053" width="17" customWidth="1"/>
    <col min="3054" max="3054" width="37.5703125" customWidth="1"/>
    <col min="3055" max="3055" width="5.7109375" customWidth="1"/>
    <col min="3056" max="3056" width="12.140625" customWidth="1"/>
    <col min="3057" max="3057" width="14.85546875" customWidth="1"/>
    <col min="3307" max="3307" width="5.28515625" customWidth="1"/>
    <col min="3308" max="3308" width="15.7109375" customWidth="1"/>
    <col min="3309" max="3309" width="17" customWidth="1"/>
    <col min="3310" max="3310" width="37.5703125" customWidth="1"/>
    <col min="3311" max="3311" width="5.7109375" customWidth="1"/>
    <col min="3312" max="3312" width="12.140625" customWidth="1"/>
    <col min="3313" max="3313" width="14.85546875" customWidth="1"/>
    <col min="3563" max="3563" width="5.28515625" customWidth="1"/>
    <col min="3564" max="3564" width="15.7109375" customWidth="1"/>
    <col min="3565" max="3565" width="17" customWidth="1"/>
    <col min="3566" max="3566" width="37.5703125" customWidth="1"/>
    <col min="3567" max="3567" width="5.7109375" customWidth="1"/>
    <col min="3568" max="3568" width="12.140625" customWidth="1"/>
    <col min="3569" max="3569" width="14.85546875" customWidth="1"/>
    <col min="3819" max="3819" width="5.28515625" customWidth="1"/>
    <col min="3820" max="3820" width="15.7109375" customWidth="1"/>
    <col min="3821" max="3821" width="17" customWidth="1"/>
    <col min="3822" max="3822" width="37.5703125" customWidth="1"/>
    <col min="3823" max="3823" width="5.7109375" customWidth="1"/>
    <col min="3824" max="3824" width="12.140625" customWidth="1"/>
    <col min="3825" max="3825" width="14.85546875" customWidth="1"/>
    <col min="4075" max="4075" width="5.28515625" customWidth="1"/>
    <col min="4076" max="4076" width="15.7109375" customWidth="1"/>
    <col min="4077" max="4077" width="17" customWidth="1"/>
    <col min="4078" max="4078" width="37.5703125" customWidth="1"/>
    <col min="4079" max="4079" width="5.7109375" customWidth="1"/>
    <col min="4080" max="4080" width="12.140625" customWidth="1"/>
    <col min="4081" max="4081" width="14.85546875" customWidth="1"/>
    <col min="4331" max="4331" width="5.28515625" customWidth="1"/>
    <col min="4332" max="4332" width="15.7109375" customWidth="1"/>
    <col min="4333" max="4333" width="17" customWidth="1"/>
    <col min="4334" max="4334" width="37.5703125" customWidth="1"/>
    <col min="4335" max="4335" width="5.7109375" customWidth="1"/>
    <col min="4336" max="4336" width="12.140625" customWidth="1"/>
    <col min="4337" max="4337" width="14.85546875" customWidth="1"/>
    <col min="4587" max="4587" width="5.28515625" customWidth="1"/>
    <col min="4588" max="4588" width="15.7109375" customWidth="1"/>
    <col min="4589" max="4589" width="17" customWidth="1"/>
    <col min="4590" max="4590" width="37.5703125" customWidth="1"/>
    <col min="4591" max="4591" width="5.7109375" customWidth="1"/>
    <col min="4592" max="4592" width="12.140625" customWidth="1"/>
    <col min="4593" max="4593" width="14.85546875" customWidth="1"/>
    <col min="4843" max="4843" width="5.28515625" customWidth="1"/>
    <col min="4844" max="4844" width="15.7109375" customWidth="1"/>
    <col min="4845" max="4845" width="17" customWidth="1"/>
    <col min="4846" max="4846" width="37.5703125" customWidth="1"/>
    <col min="4847" max="4847" width="5.7109375" customWidth="1"/>
    <col min="4848" max="4848" width="12.140625" customWidth="1"/>
    <col min="4849" max="4849" width="14.85546875" customWidth="1"/>
    <col min="5099" max="5099" width="5.28515625" customWidth="1"/>
    <col min="5100" max="5100" width="15.7109375" customWidth="1"/>
    <col min="5101" max="5101" width="17" customWidth="1"/>
    <col min="5102" max="5102" width="37.5703125" customWidth="1"/>
    <col min="5103" max="5103" width="5.7109375" customWidth="1"/>
    <col min="5104" max="5104" width="12.140625" customWidth="1"/>
    <col min="5105" max="5105" width="14.85546875" customWidth="1"/>
    <col min="5355" max="5355" width="5.28515625" customWidth="1"/>
    <col min="5356" max="5356" width="15.7109375" customWidth="1"/>
    <col min="5357" max="5357" width="17" customWidth="1"/>
    <col min="5358" max="5358" width="37.5703125" customWidth="1"/>
    <col min="5359" max="5359" width="5.7109375" customWidth="1"/>
    <col min="5360" max="5360" width="12.140625" customWidth="1"/>
    <col min="5361" max="5361" width="14.85546875" customWidth="1"/>
    <col min="5611" max="5611" width="5.28515625" customWidth="1"/>
    <col min="5612" max="5612" width="15.7109375" customWidth="1"/>
    <col min="5613" max="5613" width="17" customWidth="1"/>
    <col min="5614" max="5614" width="37.5703125" customWidth="1"/>
    <col min="5615" max="5615" width="5.7109375" customWidth="1"/>
    <col min="5616" max="5616" width="12.140625" customWidth="1"/>
    <col min="5617" max="5617" width="14.85546875" customWidth="1"/>
    <col min="5867" max="5867" width="5.28515625" customWidth="1"/>
    <col min="5868" max="5868" width="15.7109375" customWidth="1"/>
    <col min="5869" max="5869" width="17" customWidth="1"/>
    <col min="5870" max="5870" width="37.5703125" customWidth="1"/>
    <col min="5871" max="5871" width="5.7109375" customWidth="1"/>
    <col min="5872" max="5872" width="12.140625" customWidth="1"/>
    <col min="5873" max="5873" width="14.85546875" customWidth="1"/>
    <col min="6123" max="6123" width="5.28515625" customWidth="1"/>
    <col min="6124" max="6124" width="15.7109375" customWidth="1"/>
    <col min="6125" max="6125" width="17" customWidth="1"/>
    <col min="6126" max="6126" width="37.5703125" customWidth="1"/>
    <col min="6127" max="6127" width="5.7109375" customWidth="1"/>
    <col min="6128" max="6128" width="12.140625" customWidth="1"/>
    <col min="6129" max="6129" width="14.85546875" customWidth="1"/>
    <col min="6379" max="6379" width="5.28515625" customWidth="1"/>
    <col min="6380" max="6380" width="15.7109375" customWidth="1"/>
    <col min="6381" max="6381" width="17" customWidth="1"/>
    <col min="6382" max="6382" width="37.5703125" customWidth="1"/>
    <col min="6383" max="6383" width="5.7109375" customWidth="1"/>
    <col min="6384" max="6384" width="12.140625" customWidth="1"/>
    <col min="6385" max="6385" width="14.85546875" customWidth="1"/>
    <col min="6635" max="6635" width="5.28515625" customWidth="1"/>
    <col min="6636" max="6636" width="15.7109375" customWidth="1"/>
    <col min="6637" max="6637" width="17" customWidth="1"/>
    <col min="6638" max="6638" width="37.5703125" customWidth="1"/>
    <col min="6639" max="6639" width="5.7109375" customWidth="1"/>
    <col min="6640" max="6640" width="12.140625" customWidth="1"/>
    <col min="6641" max="6641" width="14.85546875" customWidth="1"/>
    <col min="6891" max="6891" width="5.28515625" customWidth="1"/>
    <col min="6892" max="6892" width="15.7109375" customWidth="1"/>
    <col min="6893" max="6893" width="17" customWidth="1"/>
    <col min="6894" max="6894" width="37.5703125" customWidth="1"/>
    <col min="6895" max="6895" width="5.7109375" customWidth="1"/>
    <col min="6896" max="6896" width="12.140625" customWidth="1"/>
    <col min="6897" max="6897" width="14.85546875" customWidth="1"/>
    <col min="7147" max="7147" width="5.28515625" customWidth="1"/>
    <col min="7148" max="7148" width="15.7109375" customWidth="1"/>
    <col min="7149" max="7149" width="17" customWidth="1"/>
    <col min="7150" max="7150" width="37.5703125" customWidth="1"/>
    <col min="7151" max="7151" width="5.7109375" customWidth="1"/>
    <col min="7152" max="7152" width="12.140625" customWidth="1"/>
    <col min="7153" max="7153" width="14.85546875" customWidth="1"/>
    <col min="7403" max="7403" width="5.28515625" customWidth="1"/>
    <col min="7404" max="7404" width="15.7109375" customWidth="1"/>
    <col min="7405" max="7405" width="17" customWidth="1"/>
    <col min="7406" max="7406" width="37.5703125" customWidth="1"/>
    <col min="7407" max="7407" width="5.7109375" customWidth="1"/>
    <col min="7408" max="7408" width="12.140625" customWidth="1"/>
    <col min="7409" max="7409" width="14.85546875" customWidth="1"/>
    <col min="7659" max="7659" width="5.28515625" customWidth="1"/>
    <col min="7660" max="7660" width="15.7109375" customWidth="1"/>
    <col min="7661" max="7661" width="17" customWidth="1"/>
    <col min="7662" max="7662" width="37.5703125" customWidth="1"/>
    <col min="7663" max="7663" width="5.7109375" customWidth="1"/>
    <col min="7664" max="7664" width="12.140625" customWidth="1"/>
    <col min="7665" max="7665" width="14.85546875" customWidth="1"/>
    <col min="7915" max="7915" width="5.28515625" customWidth="1"/>
    <col min="7916" max="7916" width="15.7109375" customWidth="1"/>
    <col min="7917" max="7917" width="17" customWidth="1"/>
    <col min="7918" max="7918" width="37.5703125" customWidth="1"/>
    <col min="7919" max="7919" width="5.7109375" customWidth="1"/>
    <col min="7920" max="7920" width="12.140625" customWidth="1"/>
    <col min="7921" max="7921" width="14.85546875" customWidth="1"/>
    <col min="8171" max="8171" width="5.28515625" customWidth="1"/>
    <col min="8172" max="8172" width="15.7109375" customWidth="1"/>
    <col min="8173" max="8173" width="17" customWidth="1"/>
    <col min="8174" max="8174" width="37.5703125" customWidth="1"/>
    <col min="8175" max="8175" width="5.7109375" customWidth="1"/>
    <col min="8176" max="8176" width="12.140625" customWidth="1"/>
    <col min="8177" max="8177" width="14.85546875" customWidth="1"/>
    <col min="8427" max="8427" width="5.28515625" customWidth="1"/>
    <col min="8428" max="8428" width="15.7109375" customWidth="1"/>
    <col min="8429" max="8429" width="17" customWidth="1"/>
    <col min="8430" max="8430" width="37.5703125" customWidth="1"/>
    <col min="8431" max="8431" width="5.7109375" customWidth="1"/>
    <col min="8432" max="8432" width="12.140625" customWidth="1"/>
    <col min="8433" max="8433" width="14.85546875" customWidth="1"/>
    <col min="8683" max="8683" width="5.28515625" customWidth="1"/>
    <col min="8684" max="8684" width="15.7109375" customWidth="1"/>
    <col min="8685" max="8685" width="17" customWidth="1"/>
    <col min="8686" max="8686" width="37.5703125" customWidth="1"/>
    <col min="8687" max="8687" width="5.7109375" customWidth="1"/>
    <col min="8688" max="8688" width="12.140625" customWidth="1"/>
    <col min="8689" max="8689" width="14.85546875" customWidth="1"/>
    <col min="8939" max="8939" width="5.28515625" customWidth="1"/>
    <col min="8940" max="8940" width="15.7109375" customWidth="1"/>
    <col min="8941" max="8941" width="17" customWidth="1"/>
    <col min="8942" max="8942" width="37.5703125" customWidth="1"/>
    <col min="8943" max="8943" width="5.7109375" customWidth="1"/>
    <col min="8944" max="8944" width="12.140625" customWidth="1"/>
    <col min="8945" max="8945" width="14.85546875" customWidth="1"/>
    <col min="9195" max="9195" width="5.28515625" customWidth="1"/>
    <col min="9196" max="9196" width="15.7109375" customWidth="1"/>
    <col min="9197" max="9197" width="17" customWidth="1"/>
    <col min="9198" max="9198" width="37.5703125" customWidth="1"/>
    <col min="9199" max="9199" width="5.7109375" customWidth="1"/>
    <col min="9200" max="9200" width="12.140625" customWidth="1"/>
    <col min="9201" max="9201" width="14.85546875" customWidth="1"/>
    <col min="9451" max="9451" width="5.28515625" customWidth="1"/>
    <col min="9452" max="9452" width="15.7109375" customWidth="1"/>
    <col min="9453" max="9453" width="17" customWidth="1"/>
    <col min="9454" max="9454" width="37.5703125" customWidth="1"/>
    <col min="9455" max="9455" width="5.7109375" customWidth="1"/>
    <col min="9456" max="9456" width="12.140625" customWidth="1"/>
    <col min="9457" max="9457" width="14.85546875" customWidth="1"/>
    <col min="9707" max="9707" width="5.28515625" customWidth="1"/>
    <col min="9708" max="9708" width="15.7109375" customWidth="1"/>
    <col min="9709" max="9709" width="17" customWidth="1"/>
    <col min="9710" max="9710" width="37.5703125" customWidth="1"/>
    <col min="9711" max="9711" width="5.7109375" customWidth="1"/>
    <col min="9712" max="9712" width="12.140625" customWidth="1"/>
    <col min="9713" max="9713" width="14.85546875" customWidth="1"/>
    <col min="9963" max="9963" width="5.28515625" customWidth="1"/>
    <col min="9964" max="9964" width="15.7109375" customWidth="1"/>
    <col min="9965" max="9965" width="17" customWidth="1"/>
    <col min="9966" max="9966" width="37.5703125" customWidth="1"/>
    <col min="9967" max="9967" width="5.7109375" customWidth="1"/>
    <col min="9968" max="9968" width="12.140625" customWidth="1"/>
    <col min="9969" max="9969" width="14.85546875" customWidth="1"/>
    <col min="10219" max="10219" width="5.28515625" customWidth="1"/>
    <col min="10220" max="10220" width="15.7109375" customWidth="1"/>
    <col min="10221" max="10221" width="17" customWidth="1"/>
    <col min="10222" max="10222" width="37.5703125" customWidth="1"/>
    <col min="10223" max="10223" width="5.7109375" customWidth="1"/>
    <col min="10224" max="10224" width="12.140625" customWidth="1"/>
    <col min="10225" max="10225" width="14.85546875" customWidth="1"/>
    <col min="10475" max="10475" width="5.28515625" customWidth="1"/>
    <col min="10476" max="10476" width="15.7109375" customWidth="1"/>
    <col min="10477" max="10477" width="17" customWidth="1"/>
    <col min="10478" max="10478" width="37.5703125" customWidth="1"/>
    <col min="10479" max="10479" width="5.7109375" customWidth="1"/>
    <col min="10480" max="10480" width="12.140625" customWidth="1"/>
    <col min="10481" max="10481" width="14.85546875" customWidth="1"/>
    <col min="10731" max="10731" width="5.28515625" customWidth="1"/>
    <col min="10732" max="10732" width="15.7109375" customWidth="1"/>
    <col min="10733" max="10733" width="17" customWidth="1"/>
    <col min="10734" max="10734" width="37.5703125" customWidth="1"/>
    <col min="10735" max="10735" width="5.7109375" customWidth="1"/>
    <col min="10736" max="10736" width="12.140625" customWidth="1"/>
    <col min="10737" max="10737" width="14.85546875" customWidth="1"/>
    <col min="10987" max="10987" width="5.28515625" customWidth="1"/>
    <col min="10988" max="10988" width="15.7109375" customWidth="1"/>
    <col min="10989" max="10989" width="17" customWidth="1"/>
    <col min="10990" max="10990" width="37.5703125" customWidth="1"/>
    <col min="10991" max="10991" width="5.7109375" customWidth="1"/>
    <col min="10992" max="10992" width="12.140625" customWidth="1"/>
    <col min="10993" max="10993" width="14.85546875" customWidth="1"/>
    <col min="11243" max="11243" width="5.28515625" customWidth="1"/>
    <col min="11244" max="11244" width="15.7109375" customWidth="1"/>
    <col min="11245" max="11245" width="17" customWidth="1"/>
    <col min="11246" max="11246" width="37.5703125" customWidth="1"/>
    <col min="11247" max="11247" width="5.7109375" customWidth="1"/>
    <col min="11248" max="11248" width="12.140625" customWidth="1"/>
    <col min="11249" max="11249" width="14.85546875" customWidth="1"/>
    <col min="11499" max="11499" width="5.28515625" customWidth="1"/>
    <col min="11500" max="11500" width="15.7109375" customWidth="1"/>
    <col min="11501" max="11501" width="17" customWidth="1"/>
    <col min="11502" max="11502" width="37.5703125" customWidth="1"/>
    <col min="11503" max="11503" width="5.7109375" customWidth="1"/>
    <col min="11504" max="11504" width="12.140625" customWidth="1"/>
    <col min="11505" max="11505" width="14.85546875" customWidth="1"/>
    <col min="11755" max="11755" width="5.28515625" customWidth="1"/>
    <col min="11756" max="11756" width="15.7109375" customWidth="1"/>
    <col min="11757" max="11757" width="17" customWidth="1"/>
    <col min="11758" max="11758" width="37.5703125" customWidth="1"/>
    <col min="11759" max="11759" width="5.7109375" customWidth="1"/>
    <col min="11760" max="11760" width="12.140625" customWidth="1"/>
    <col min="11761" max="11761" width="14.85546875" customWidth="1"/>
    <col min="12011" max="12011" width="5.28515625" customWidth="1"/>
    <col min="12012" max="12012" width="15.7109375" customWidth="1"/>
    <col min="12013" max="12013" width="17" customWidth="1"/>
    <col min="12014" max="12014" width="37.5703125" customWidth="1"/>
    <col min="12015" max="12015" width="5.7109375" customWidth="1"/>
    <col min="12016" max="12016" width="12.140625" customWidth="1"/>
    <col min="12017" max="12017" width="14.85546875" customWidth="1"/>
    <col min="12267" max="12267" width="5.28515625" customWidth="1"/>
    <col min="12268" max="12268" width="15.7109375" customWidth="1"/>
    <col min="12269" max="12269" width="17" customWidth="1"/>
    <col min="12270" max="12270" width="37.5703125" customWidth="1"/>
    <col min="12271" max="12271" width="5.7109375" customWidth="1"/>
    <col min="12272" max="12272" width="12.140625" customWidth="1"/>
    <col min="12273" max="12273" width="14.85546875" customWidth="1"/>
    <col min="12523" max="12523" width="5.28515625" customWidth="1"/>
    <col min="12524" max="12524" width="15.7109375" customWidth="1"/>
    <col min="12525" max="12525" width="17" customWidth="1"/>
    <col min="12526" max="12526" width="37.5703125" customWidth="1"/>
    <col min="12527" max="12527" width="5.7109375" customWidth="1"/>
    <col min="12528" max="12528" width="12.140625" customWidth="1"/>
    <col min="12529" max="12529" width="14.85546875" customWidth="1"/>
    <col min="12779" max="12779" width="5.28515625" customWidth="1"/>
    <col min="12780" max="12780" width="15.7109375" customWidth="1"/>
    <col min="12781" max="12781" width="17" customWidth="1"/>
    <col min="12782" max="12782" width="37.5703125" customWidth="1"/>
    <col min="12783" max="12783" width="5.7109375" customWidth="1"/>
    <col min="12784" max="12784" width="12.140625" customWidth="1"/>
    <col min="12785" max="12785" width="14.85546875" customWidth="1"/>
    <col min="13035" max="13035" width="5.28515625" customWidth="1"/>
    <col min="13036" max="13036" width="15.7109375" customWidth="1"/>
    <col min="13037" max="13037" width="17" customWidth="1"/>
    <col min="13038" max="13038" width="37.5703125" customWidth="1"/>
    <col min="13039" max="13039" width="5.7109375" customWidth="1"/>
    <col min="13040" max="13040" width="12.140625" customWidth="1"/>
    <col min="13041" max="13041" width="14.85546875" customWidth="1"/>
    <col min="13291" max="13291" width="5.28515625" customWidth="1"/>
    <col min="13292" max="13292" width="15.7109375" customWidth="1"/>
    <col min="13293" max="13293" width="17" customWidth="1"/>
    <col min="13294" max="13294" width="37.5703125" customWidth="1"/>
    <col min="13295" max="13295" width="5.7109375" customWidth="1"/>
    <col min="13296" max="13296" width="12.140625" customWidth="1"/>
    <col min="13297" max="13297" width="14.85546875" customWidth="1"/>
    <col min="13547" max="13547" width="5.28515625" customWidth="1"/>
    <col min="13548" max="13548" width="15.7109375" customWidth="1"/>
    <col min="13549" max="13549" width="17" customWidth="1"/>
    <col min="13550" max="13550" width="37.5703125" customWidth="1"/>
    <col min="13551" max="13551" width="5.7109375" customWidth="1"/>
    <col min="13552" max="13552" width="12.140625" customWidth="1"/>
    <col min="13553" max="13553" width="14.85546875" customWidth="1"/>
    <col min="13803" max="13803" width="5.28515625" customWidth="1"/>
    <col min="13804" max="13804" width="15.7109375" customWidth="1"/>
    <col min="13805" max="13805" width="17" customWidth="1"/>
    <col min="13806" max="13806" width="37.5703125" customWidth="1"/>
    <col min="13807" max="13807" width="5.7109375" customWidth="1"/>
    <col min="13808" max="13808" width="12.140625" customWidth="1"/>
    <col min="13809" max="13809" width="14.85546875" customWidth="1"/>
    <col min="14059" max="14059" width="5.28515625" customWidth="1"/>
    <col min="14060" max="14060" width="15.7109375" customWidth="1"/>
    <col min="14061" max="14061" width="17" customWidth="1"/>
    <col min="14062" max="14062" width="37.5703125" customWidth="1"/>
    <col min="14063" max="14063" width="5.7109375" customWidth="1"/>
    <col min="14064" max="14064" width="12.140625" customWidth="1"/>
    <col min="14065" max="14065" width="14.85546875" customWidth="1"/>
    <col min="14315" max="14315" width="5.28515625" customWidth="1"/>
    <col min="14316" max="14316" width="15.7109375" customWidth="1"/>
    <col min="14317" max="14317" width="17" customWidth="1"/>
    <col min="14318" max="14318" width="37.5703125" customWidth="1"/>
    <col min="14319" max="14319" width="5.7109375" customWidth="1"/>
    <col min="14320" max="14320" width="12.140625" customWidth="1"/>
    <col min="14321" max="14321" width="14.85546875" customWidth="1"/>
    <col min="14571" max="14571" width="5.28515625" customWidth="1"/>
    <col min="14572" max="14572" width="15.7109375" customWidth="1"/>
    <col min="14573" max="14573" width="17" customWidth="1"/>
    <col min="14574" max="14574" width="37.5703125" customWidth="1"/>
    <col min="14575" max="14575" width="5.7109375" customWidth="1"/>
    <col min="14576" max="14576" width="12.140625" customWidth="1"/>
    <col min="14577" max="14577" width="14.85546875" customWidth="1"/>
    <col min="14827" max="14827" width="5.28515625" customWidth="1"/>
    <col min="14828" max="14828" width="15.7109375" customWidth="1"/>
    <col min="14829" max="14829" width="17" customWidth="1"/>
    <col min="14830" max="14830" width="37.5703125" customWidth="1"/>
    <col min="14831" max="14831" width="5.7109375" customWidth="1"/>
    <col min="14832" max="14832" width="12.140625" customWidth="1"/>
    <col min="14833" max="14833" width="14.85546875" customWidth="1"/>
    <col min="15083" max="15083" width="5.28515625" customWidth="1"/>
    <col min="15084" max="15084" width="15.7109375" customWidth="1"/>
    <col min="15085" max="15085" width="17" customWidth="1"/>
    <col min="15086" max="15086" width="37.5703125" customWidth="1"/>
    <col min="15087" max="15087" width="5.7109375" customWidth="1"/>
    <col min="15088" max="15088" width="12.140625" customWidth="1"/>
    <col min="15089" max="15089" width="14.85546875" customWidth="1"/>
    <col min="15339" max="15339" width="5.28515625" customWidth="1"/>
    <col min="15340" max="15340" width="15.7109375" customWidth="1"/>
    <col min="15341" max="15341" width="17" customWidth="1"/>
    <col min="15342" max="15342" width="37.5703125" customWidth="1"/>
    <col min="15343" max="15343" width="5.7109375" customWidth="1"/>
    <col min="15344" max="15344" width="12.140625" customWidth="1"/>
    <col min="15345" max="15345" width="14.85546875" customWidth="1"/>
    <col min="15595" max="15595" width="5.28515625" customWidth="1"/>
    <col min="15596" max="15596" width="15.7109375" customWidth="1"/>
    <col min="15597" max="15597" width="17" customWidth="1"/>
    <col min="15598" max="15598" width="37.5703125" customWidth="1"/>
    <col min="15599" max="15599" width="5.7109375" customWidth="1"/>
    <col min="15600" max="15600" width="12.140625" customWidth="1"/>
    <col min="15601" max="15601" width="14.85546875" customWidth="1"/>
    <col min="15851" max="15851" width="5.28515625" customWidth="1"/>
    <col min="15852" max="15852" width="15.7109375" customWidth="1"/>
    <col min="15853" max="15853" width="17" customWidth="1"/>
    <col min="15854" max="15854" width="37.5703125" customWidth="1"/>
    <col min="15855" max="15855" width="5.7109375" customWidth="1"/>
    <col min="15856" max="15856" width="12.140625" customWidth="1"/>
    <col min="15857" max="15857" width="14.85546875" customWidth="1"/>
    <col min="16107" max="16107" width="5.28515625" customWidth="1"/>
    <col min="16108" max="16108" width="15.7109375" customWidth="1"/>
    <col min="16109" max="16109" width="17" customWidth="1"/>
    <col min="16110" max="16110" width="37.5703125" customWidth="1"/>
    <col min="16111" max="16111" width="5.7109375" customWidth="1"/>
    <col min="16112" max="16112" width="12.140625" customWidth="1"/>
    <col min="16113" max="16113" width="14.85546875" customWidth="1"/>
  </cols>
  <sheetData>
    <row r="1" spans="1:11" s="64" customFormat="1" ht="24" customHeight="1">
      <c r="A1" s="307" t="s">
        <v>52</v>
      </c>
      <c r="B1" s="307"/>
      <c r="C1" s="307"/>
      <c r="D1" s="307"/>
      <c r="E1" s="307"/>
      <c r="F1" s="307"/>
      <c r="G1" s="307"/>
      <c r="H1" s="307"/>
      <c r="I1" s="307"/>
      <c r="J1" s="307"/>
    </row>
    <row r="2" spans="1:11" s="64" customFormat="1" ht="19.5" customHeight="1">
      <c r="A2" s="308" t="s">
        <v>51</v>
      </c>
      <c r="B2" s="308"/>
      <c r="C2" s="308"/>
      <c r="D2" s="308"/>
      <c r="E2" s="308"/>
      <c r="F2" s="308"/>
      <c r="G2" s="308"/>
      <c r="H2" s="308"/>
      <c r="I2" s="308"/>
      <c r="J2" s="308"/>
    </row>
    <row r="3" spans="1:11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1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  <c r="J4" s="310"/>
    </row>
    <row r="5" spans="1:11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  <c r="J5" s="309"/>
    </row>
    <row r="6" spans="1:11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  <c r="J6" s="310"/>
    </row>
    <row r="7" spans="1:11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  <c r="J7" s="311"/>
    </row>
    <row r="8" spans="1:11" s="61" customFormat="1" ht="15" customHeight="1">
      <c r="A8" s="62" t="s">
        <v>242</v>
      </c>
      <c r="G8" s="312" t="s">
        <v>45</v>
      </c>
      <c r="H8" s="312"/>
      <c r="I8" s="313">
        <v>46150</v>
      </c>
      <c r="J8" s="313"/>
    </row>
    <row r="9" spans="1:11" s="54" customFormat="1" ht="11.2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  <c r="J9" s="58"/>
    </row>
    <row r="10" spans="1:11" s="54" customFormat="1" ht="90" customHeight="1">
      <c r="B10" s="171" t="s">
        <v>162</v>
      </c>
      <c r="C10" s="59"/>
      <c r="D10" s="56"/>
      <c r="E10" s="56"/>
      <c r="F10" s="56"/>
      <c r="G10" s="56"/>
      <c r="H10" s="56"/>
      <c r="I10" s="56"/>
      <c r="J10" s="58"/>
    </row>
    <row r="11" spans="1:11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  <c r="J11" s="55"/>
    </row>
    <row r="12" spans="1:11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  <c r="J12" s="314"/>
    </row>
    <row r="13" spans="1:11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229"/>
      <c r="G13" s="329"/>
      <c r="H13" s="330"/>
      <c r="I13" s="330"/>
      <c r="J13" s="344"/>
    </row>
    <row r="14" spans="1:11" s="29" customFormat="1" ht="28.5" customHeight="1">
      <c r="A14" s="46" t="s">
        <v>33</v>
      </c>
      <c r="B14" s="45" t="s">
        <v>32</v>
      </c>
      <c r="C14" s="45" t="s">
        <v>31</v>
      </c>
      <c r="D14" s="45" t="s">
        <v>30</v>
      </c>
      <c r="E14" s="77" t="s">
        <v>29</v>
      </c>
      <c r="F14" s="77" t="s">
        <v>188</v>
      </c>
      <c r="G14" s="77" t="s">
        <v>28</v>
      </c>
      <c r="H14" s="77" t="s">
        <v>27</v>
      </c>
      <c r="I14" s="77" t="s">
        <v>26</v>
      </c>
      <c r="J14" s="77" t="s">
        <v>25</v>
      </c>
    </row>
    <row r="15" spans="1:11" s="47" customFormat="1" ht="18" customHeight="1">
      <c r="A15" s="78"/>
      <c r="B15" s="79" t="s">
        <v>36</v>
      </c>
      <c r="C15" s="80" t="s">
        <v>231</v>
      </c>
      <c r="D15" s="78"/>
      <c r="E15" s="81"/>
      <c r="F15" s="81"/>
      <c r="G15" s="332" t="s">
        <v>81</v>
      </c>
      <c r="H15" s="333"/>
      <c r="I15" s="333"/>
      <c r="J15" s="172"/>
    </row>
    <row r="16" spans="1:11" s="22" customFormat="1" ht="15" customHeight="1">
      <c r="A16" s="19">
        <v>1</v>
      </c>
      <c r="B16" s="83" t="s">
        <v>175</v>
      </c>
      <c r="C16" s="84" t="s">
        <v>241</v>
      </c>
      <c r="D16" s="85">
        <v>1</v>
      </c>
      <c r="E16" s="34">
        <v>91050</v>
      </c>
      <c r="F16" s="214">
        <v>0.1</v>
      </c>
      <c r="G16" s="31">
        <f>E16*90%</f>
        <v>81945</v>
      </c>
      <c r="H16" s="88">
        <v>0.18</v>
      </c>
      <c r="I16" s="87">
        <f>G16*18%</f>
        <v>14750.099999999999</v>
      </c>
      <c r="J16" s="87">
        <f>I16+G16</f>
        <v>96695.1</v>
      </c>
      <c r="K16" s="25"/>
    </row>
    <row r="17" spans="1:11" s="22" customFormat="1" ht="15" customHeight="1">
      <c r="A17" s="19"/>
      <c r="B17" s="19"/>
      <c r="C17" s="19" t="s">
        <v>91</v>
      </c>
      <c r="D17" s="19"/>
      <c r="E17" s="92"/>
      <c r="F17" s="92"/>
      <c r="G17" s="92">
        <f>SUM(G16:G16)</f>
        <v>81945</v>
      </c>
      <c r="H17" s="19"/>
      <c r="I17" s="92">
        <f>SUM(I16:I16)</f>
        <v>14750.099999999999</v>
      </c>
      <c r="J17" s="92">
        <f>SUM(J16:J16)</f>
        <v>96695.1</v>
      </c>
      <c r="K17" s="25"/>
    </row>
    <row r="18" spans="1:11" s="22" customFormat="1" ht="15" customHeight="1">
      <c r="A18" s="93"/>
      <c r="B18" s="93"/>
      <c r="C18" s="93"/>
      <c r="D18" s="93"/>
      <c r="E18" s="93"/>
      <c r="F18" s="93"/>
      <c r="G18" s="93"/>
      <c r="H18" s="93"/>
      <c r="I18" s="94" t="s">
        <v>19</v>
      </c>
      <c r="J18" s="24">
        <f>ROUND(J17,0)</f>
        <v>96695</v>
      </c>
      <c r="K18" s="25"/>
    </row>
    <row r="19" spans="1:11" s="22" customFormat="1" ht="15" customHeight="1">
      <c r="A19" s="334" t="s">
        <v>243</v>
      </c>
      <c r="B19" s="334"/>
      <c r="C19" s="334"/>
      <c r="D19" s="334"/>
      <c r="E19" s="334"/>
      <c r="F19" s="334"/>
      <c r="G19" s="334"/>
      <c r="H19" s="334"/>
      <c r="I19" s="334"/>
      <c r="J19" s="334"/>
      <c r="K19" s="25"/>
    </row>
    <row r="20" spans="1:11" s="3" customFormat="1" ht="11.25">
      <c r="A20" s="14" t="s">
        <v>16</v>
      </c>
      <c r="B20" s="12"/>
      <c r="C20" s="12"/>
      <c r="D20" s="12"/>
      <c r="E20" s="12"/>
      <c r="F20" s="12"/>
      <c r="G20" s="12"/>
      <c r="H20" s="12"/>
      <c r="I20" s="13"/>
      <c r="J20" s="12"/>
    </row>
    <row r="21" spans="1:11" s="6" customFormat="1" ht="13.5" customHeight="1">
      <c r="A21" s="11" t="s">
        <v>15</v>
      </c>
      <c r="B21" s="9"/>
      <c r="C21" s="10"/>
      <c r="D21" s="9"/>
      <c r="E21" s="8"/>
      <c r="F21" s="8"/>
      <c r="G21" s="8"/>
      <c r="H21" s="3"/>
    </row>
    <row r="22" spans="1:11" s="6" customFormat="1" ht="11.25" customHeight="1">
      <c r="A22" s="5">
        <v>1</v>
      </c>
      <c r="B22" s="7" t="s">
        <v>14</v>
      </c>
      <c r="C22" s="326" t="s">
        <v>13</v>
      </c>
      <c r="D22" s="326"/>
      <c r="E22" s="326"/>
      <c r="F22" s="326"/>
      <c r="G22" s="326"/>
      <c r="H22" s="326"/>
    </row>
    <row r="23" spans="1:11" s="6" customFormat="1" ht="13.5" customHeight="1">
      <c r="A23" s="5">
        <v>2</v>
      </c>
      <c r="B23" s="7" t="s">
        <v>12</v>
      </c>
      <c r="C23" s="326" t="s">
        <v>11</v>
      </c>
      <c r="D23" s="326"/>
      <c r="E23" s="326"/>
      <c r="F23" s="326"/>
      <c r="G23" s="326"/>
      <c r="H23" s="326"/>
    </row>
    <row r="24" spans="1:11" s="6" customFormat="1" ht="12" customHeight="1">
      <c r="A24" s="5">
        <v>3</v>
      </c>
      <c r="B24" s="7" t="s">
        <v>10</v>
      </c>
      <c r="C24" s="326" t="s">
        <v>9</v>
      </c>
      <c r="D24" s="326"/>
      <c r="E24" s="326"/>
      <c r="F24" s="326"/>
      <c r="G24" s="326"/>
      <c r="H24" s="326"/>
      <c r="I24" s="327" t="s">
        <v>8</v>
      </c>
      <c r="J24" s="327"/>
    </row>
    <row r="25" spans="1:11" s="6" customFormat="1" ht="11.25" customHeight="1">
      <c r="A25" s="5">
        <v>4</v>
      </c>
      <c r="B25" s="7" t="s">
        <v>7</v>
      </c>
      <c r="C25" s="326" t="s">
        <v>93</v>
      </c>
      <c r="D25" s="326"/>
      <c r="E25" s="326"/>
      <c r="F25" s="326"/>
      <c r="G25" s="326"/>
      <c r="H25" s="326"/>
    </row>
    <row r="26" spans="1:11" s="6" customFormat="1" ht="11.25" customHeight="1">
      <c r="A26" s="5">
        <v>5</v>
      </c>
      <c r="B26" s="7" t="s">
        <v>5</v>
      </c>
      <c r="C26" s="326" t="s">
        <v>4</v>
      </c>
      <c r="D26" s="326"/>
      <c r="E26" s="326"/>
      <c r="F26" s="326"/>
      <c r="G26" s="326"/>
      <c r="H26" s="326"/>
      <c r="I26" s="327" t="s">
        <v>3</v>
      </c>
      <c r="J26" s="327"/>
    </row>
    <row r="27" spans="1:11" s="3" customFormat="1" ht="26.25" customHeight="1">
      <c r="A27" s="5">
        <v>6</v>
      </c>
      <c r="B27" s="230" t="s">
        <v>2</v>
      </c>
      <c r="C27" s="328" t="s">
        <v>1</v>
      </c>
      <c r="D27" s="328"/>
      <c r="E27" s="328"/>
      <c r="F27" s="328"/>
      <c r="G27" s="328"/>
      <c r="H27" s="328"/>
      <c r="I27" s="327" t="s">
        <v>0</v>
      </c>
      <c r="J27" s="327"/>
    </row>
    <row r="28" spans="1:11">
      <c r="A28" s="5"/>
    </row>
  </sheetData>
  <mergeCells count="24">
    <mergeCell ref="A6:J6"/>
    <mergeCell ref="A1:J1"/>
    <mergeCell ref="A2:J2"/>
    <mergeCell ref="A3:J3"/>
    <mergeCell ref="A4:J4"/>
    <mergeCell ref="A5:J5"/>
    <mergeCell ref="A7:J7"/>
    <mergeCell ref="G8:H8"/>
    <mergeCell ref="I8:J8"/>
    <mergeCell ref="A12:J12"/>
    <mergeCell ref="A13:B13"/>
    <mergeCell ref="D13:E13"/>
    <mergeCell ref="G13:J13"/>
    <mergeCell ref="G15:I15"/>
    <mergeCell ref="A19:J19"/>
    <mergeCell ref="C22:H22"/>
    <mergeCell ref="C23:H23"/>
    <mergeCell ref="C24:H24"/>
    <mergeCell ref="I24:J24"/>
    <mergeCell ref="C25:H25"/>
    <mergeCell ref="C26:H26"/>
    <mergeCell ref="I26:J26"/>
    <mergeCell ref="C27:H27"/>
    <mergeCell ref="I27:J27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38"/>
  <sheetViews>
    <sheetView topLeftCell="A4" workbookViewId="0">
      <selection activeCell="C20" sqref="C20"/>
    </sheetView>
  </sheetViews>
  <sheetFormatPr defaultRowHeight="15"/>
  <cols>
    <col min="1" max="1" width="5.28515625" customWidth="1"/>
    <col min="2" max="2" width="32.5703125" style="2" customWidth="1"/>
    <col min="3" max="3" width="38.85546875" style="2" bestFit="1" customWidth="1"/>
    <col min="4" max="4" width="5.7109375" customWidth="1"/>
    <col min="5" max="6" width="15.42578125" style="244" bestFit="1" customWidth="1"/>
    <col min="7" max="7" width="6.5703125" style="244" customWidth="1"/>
    <col min="8" max="8" width="13.5703125" style="244" bestFit="1" customWidth="1"/>
    <col min="9" max="9" width="17" style="244" bestFit="1" customWidth="1"/>
    <col min="10" max="10" width="11.85546875" bestFit="1" customWidth="1"/>
    <col min="233" max="233" width="5.28515625" customWidth="1"/>
    <col min="234" max="234" width="15.7109375" customWidth="1"/>
    <col min="235" max="235" width="17" customWidth="1"/>
    <col min="236" max="236" width="37.5703125" customWidth="1"/>
    <col min="237" max="237" width="5.7109375" customWidth="1"/>
    <col min="238" max="238" width="12.140625" customWidth="1"/>
    <col min="239" max="239" width="14.85546875" customWidth="1"/>
    <col min="489" max="489" width="5.28515625" customWidth="1"/>
    <col min="490" max="490" width="15.7109375" customWidth="1"/>
    <col min="491" max="491" width="17" customWidth="1"/>
    <col min="492" max="492" width="37.5703125" customWidth="1"/>
    <col min="493" max="493" width="5.7109375" customWidth="1"/>
    <col min="494" max="494" width="12.140625" customWidth="1"/>
    <col min="495" max="495" width="14.85546875" customWidth="1"/>
    <col min="745" max="745" width="5.28515625" customWidth="1"/>
    <col min="746" max="746" width="15.7109375" customWidth="1"/>
    <col min="747" max="747" width="17" customWidth="1"/>
    <col min="748" max="748" width="37.5703125" customWidth="1"/>
    <col min="749" max="749" width="5.7109375" customWidth="1"/>
    <col min="750" max="750" width="12.140625" customWidth="1"/>
    <col min="751" max="751" width="14.85546875" customWidth="1"/>
    <col min="1001" max="1001" width="5.28515625" customWidth="1"/>
    <col min="1002" max="1002" width="15.7109375" customWidth="1"/>
    <col min="1003" max="1003" width="17" customWidth="1"/>
    <col min="1004" max="1004" width="37.5703125" customWidth="1"/>
    <col min="1005" max="1005" width="5.7109375" customWidth="1"/>
    <col min="1006" max="1006" width="12.140625" customWidth="1"/>
    <col min="1007" max="1007" width="14.85546875" customWidth="1"/>
    <col min="1257" max="1257" width="5.28515625" customWidth="1"/>
    <col min="1258" max="1258" width="15.7109375" customWidth="1"/>
    <col min="1259" max="1259" width="17" customWidth="1"/>
    <col min="1260" max="1260" width="37.5703125" customWidth="1"/>
    <col min="1261" max="1261" width="5.7109375" customWidth="1"/>
    <col min="1262" max="1262" width="12.140625" customWidth="1"/>
    <col min="1263" max="1263" width="14.85546875" customWidth="1"/>
    <col min="1513" max="1513" width="5.28515625" customWidth="1"/>
    <col min="1514" max="1514" width="15.7109375" customWidth="1"/>
    <col min="1515" max="1515" width="17" customWidth="1"/>
    <col min="1516" max="1516" width="37.5703125" customWidth="1"/>
    <col min="1517" max="1517" width="5.7109375" customWidth="1"/>
    <col min="1518" max="1518" width="12.140625" customWidth="1"/>
    <col min="1519" max="1519" width="14.85546875" customWidth="1"/>
    <col min="1769" max="1769" width="5.28515625" customWidth="1"/>
    <col min="1770" max="1770" width="15.7109375" customWidth="1"/>
    <col min="1771" max="1771" width="17" customWidth="1"/>
    <col min="1772" max="1772" width="37.5703125" customWidth="1"/>
    <col min="1773" max="1773" width="5.7109375" customWidth="1"/>
    <col min="1774" max="1774" width="12.140625" customWidth="1"/>
    <col min="1775" max="1775" width="14.85546875" customWidth="1"/>
    <col min="2025" max="2025" width="5.28515625" customWidth="1"/>
    <col min="2026" max="2026" width="15.7109375" customWidth="1"/>
    <col min="2027" max="2027" width="17" customWidth="1"/>
    <col min="2028" max="2028" width="37.5703125" customWidth="1"/>
    <col min="2029" max="2029" width="5.7109375" customWidth="1"/>
    <col min="2030" max="2030" width="12.140625" customWidth="1"/>
    <col min="2031" max="2031" width="14.85546875" customWidth="1"/>
    <col min="2281" max="2281" width="5.28515625" customWidth="1"/>
    <col min="2282" max="2282" width="15.7109375" customWidth="1"/>
    <col min="2283" max="2283" width="17" customWidth="1"/>
    <col min="2284" max="2284" width="37.5703125" customWidth="1"/>
    <col min="2285" max="2285" width="5.7109375" customWidth="1"/>
    <col min="2286" max="2286" width="12.140625" customWidth="1"/>
    <col min="2287" max="2287" width="14.85546875" customWidth="1"/>
    <col min="2537" max="2537" width="5.28515625" customWidth="1"/>
    <col min="2538" max="2538" width="15.7109375" customWidth="1"/>
    <col min="2539" max="2539" width="17" customWidth="1"/>
    <col min="2540" max="2540" width="37.5703125" customWidth="1"/>
    <col min="2541" max="2541" width="5.7109375" customWidth="1"/>
    <col min="2542" max="2542" width="12.140625" customWidth="1"/>
    <col min="2543" max="2543" width="14.85546875" customWidth="1"/>
    <col min="2793" max="2793" width="5.28515625" customWidth="1"/>
    <col min="2794" max="2794" width="15.7109375" customWidth="1"/>
    <col min="2795" max="2795" width="17" customWidth="1"/>
    <col min="2796" max="2796" width="37.5703125" customWidth="1"/>
    <col min="2797" max="2797" width="5.7109375" customWidth="1"/>
    <col min="2798" max="2798" width="12.140625" customWidth="1"/>
    <col min="2799" max="2799" width="14.85546875" customWidth="1"/>
    <col min="3049" max="3049" width="5.28515625" customWidth="1"/>
    <col min="3050" max="3050" width="15.7109375" customWidth="1"/>
    <col min="3051" max="3051" width="17" customWidth="1"/>
    <col min="3052" max="3052" width="37.5703125" customWidth="1"/>
    <col min="3053" max="3053" width="5.7109375" customWidth="1"/>
    <col min="3054" max="3054" width="12.140625" customWidth="1"/>
    <col min="3055" max="3055" width="14.85546875" customWidth="1"/>
    <col min="3305" max="3305" width="5.28515625" customWidth="1"/>
    <col min="3306" max="3306" width="15.7109375" customWidth="1"/>
    <col min="3307" max="3307" width="17" customWidth="1"/>
    <col min="3308" max="3308" width="37.5703125" customWidth="1"/>
    <col min="3309" max="3309" width="5.7109375" customWidth="1"/>
    <col min="3310" max="3310" width="12.140625" customWidth="1"/>
    <col min="3311" max="3311" width="14.85546875" customWidth="1"/>
    <col min="3561" max="3561" width="5.28515625" customWidth="1"/>
    <col min="3562" max="3562" width="15.7109375" customWidth="1"/>
    <col min="3563" max="3563" width="17" customWidth="1"/>
    <col min="3564" max="3564" width="37.5703125" customWidth="1"/>
    <col min="3565" max="3565" width="5.7109375" customWidth="1"/>
    <col min="3566" max="3566" width="12.140625" customWidth="1"/>
    <col min="3567" max="3567" width="14.85546875" customWidth="1"/>
    <col min="3817" max="3817" width="5.28515625" customWidth="1"/>
    <col min="3818" max="3818" width="15.7109375" customWidth="1"/>
    <col min="3819" max="3819" width="17" customWidth="1"/>
    <col min="3820" max="3820" width="37.5703125" customWidth="1"/>
    <col min="3821" max="3821" width="5.7109375" customWidth="1"/>
    <col min="3822" max="3822" width="12.140625" customWidth="1"/>
    <col min="3823" max="3823" width="14.85546875" customWidth="1"/>
    <col min="4073" max="4073" width="5.28515625" customWidth="1"/>
    <col min="4074" max="4074" width="15.7109375" customWidth="1"/>
    <col min="4075" max="4075" width="17" customWidth="1"/>
    <col min="4076" max="4076" width="37.5703125" customWidth="1"/>
    <col min="4077" max="4077" width="5.7109375" customWidth="1"/>
    <col min="4078" max="4078" width="12.140625" customWidth="1"/>
    <col min="4079" max="4079" width="14.85546875" customWidth="1"/>
    <col min="4329" max="4329" width="5.28515625" customWidth="1"/>
    <col min="4330" max="4330" width="15.7109375" customWidth="1"/>
    <col min="4331" max="4331" width="17" customWidth="1"/>
    <col min="4332" max="4332" width="37.5703125" customWidth="1"/>
    <col min="4333" max="4333" width="5.7109375" customWidth="1"/>
    <col min="4334" max="4334" width="12.140625" customWidth="1"/>
    <col min="4335" max="4335" width="14.85546875" customWidth="1"/>
    <col min="4585" max="4585" width="5.28515625" customWidth="1"/>
    <col min="4586" max="4586" width="15.7109375" customWidth="1"/>
    <col min="4587" max="4587" width="17" customWidth="1"/>
    <col min="4588" max="4588" width="37.5703125" customWidth="1"/>
    <col min="4589" max="4589" width="5.7109375" customWidth="1"/>
    <col min="4590" max="4590" width="12.140625" customWidth="1"/>
    <col min="4591" max="4591" width="14.85546875" customWidth="1"/>
    <col min="4841" max="4841" width="5.28515625" customWidth="1"/>
    <col min="4842" max="4842" width="15.7109375" customWidth="1"/>
    <col min="4843" max="4843" width="17" customWidth="1"/>
    <col min="4844" max="4844" width="37.5703125" customWidth="1"/>
    <col min="4845" max="4845" width="5.7109375" customWidth="1"/>
    <col min="4846" max="4846" width="12.140625" customWidth="1"/>
    <col min="4847" max="4847" width="14.85546875" customWidth="1"/>
    <col min="5097" max="5097" width="5.28515625" customWidth="1"/>
    <col min="5098" max="5098" width="15.7109375" customWidth="1"/>
    <col min="5099" max="5099" width="17" customWidth="1"/>
    <col min="5100" max="5100" width="37.5703125" customWidth="1"/>
    <col min="5101" max="5101" width="5.7109375" customWidth="1"/>
    <col min="5102" max="5102" width="12.140625" customWidth="1"/>
    <col min="5103" max="5103" width="14.85546875" customWidth="1"/>
    <col min="5353" max="5353" width="5.28515625" customWidth="1"/>
    <col min="5354" max="5354" width="15.7109375" customWidth="1"/>
    <col min="5355" max="5355" width="17" customWidth="1"/>
    <col min="5356" max="5356" width="37.5703125" customWidth="1"/>
    <col min="5357" max="5357" width="5.7109375" customWidth="1"/>
    <col min="5358" max="5358" width="12.140625" customWidth="1"/>
    <col min="5359" max="5359" width="14.85546875" customWidth="1"/>
    <col min="5609" max="5609" width="5.28515625" customWidth="1"/>
    <col min="5610" max="5610" width="15.7109375" customWidth="1"/>
    <col min="5611" max="5611" width="17" customWidth="1"/>
    <col min="5612" max="5612" width="37.5703125" customWidth="1"/>
    <col min="5613" max="5613" width="5.7109375" customWidth="1"/>
    <col min="5614" max="5614" width="12.140625" customWidth="1"/>
    <col min="5615" max="5615" width="14.85546875" customWidth="1"/>
    <col min="5865" max="5865" width="5.28515625" customWidth="1"/>
    <col min="5866" max="5866" width="15.7109375" customWidth="1"/>
    <col min="5867" max="5867" width="17" customWidth="1"/>
    <col min="5868" max="5868" width="37.5703125" customWidth="1"/>
    <col min="5869" max="5869" width="5.7109375" customWidth="1"/>
    <col min="5870" max="5870" width="12.140625" customWidth="1"/>
    <col min="5871" max="5871" width="14.85546875" customWidth="1"/>
    <col min="6121" max="6121" width="5.28515625" customWidth="1"/>
    <col min="6122" max="6122" width="15.7109375" customWidth="1"/>
    <col min="6123" max="6123" width="17" customWidth="1"/>
    <col min="6124" max="6124" width="37.5703125" customWidth="1"/>
    <col min="6125" max="6125" width="5.7109375" customWidth="1"/>
    <col min="6126" max="6126" width="12.140625" customWidth="1"/>
    <col min="6127" max="6127" width="14.85546875" customWidth="1"/>
    <col min="6377" max="6377" width="5.28515625" customWidth="1"/>
    <col min="6378" max="6378" width="15.7109375" customWidth="1"/>
    <col min="6379" max="6379" width="17" customWidth="1"/>
    <col min="6380" max="6380" width="37.5703125" customWidth="1"/>
    <col min="6381" max="6381" width="5.7109375" customWidth="1"/>
    <col min="6382" max="6382" width="12.140625" customWidth="1"/>
    <col min="6383" max="6383" width="14.85546875" customWidth="1"/>
    <col min="6633" max="6633" width="5.28515625" customWidth="1"/>
    <col min="6634" max="6634" width="15.7109375" customWidth="1"/>
    <col min="6635" max="6635" width="17" customWidth="1"/>
    <col min="6636" max="6636" width="37.5703125" customWidth="1"/>
    <col min="6637" max="6637" width="5.7109375" customWidth="1"/>
    <col min="6638" max="6638" width="12.140625" customWidth="1"/>
    <col min="6639" max="6639" width="14.85546875" customWidth="1"/>
    <col min="6889" max="6889" width="5.28515625" customWidth="1"/>
    <col min="6890" max="6890" width="15.7109375" customWidth="1"/>
    <col min="6891" max="6891" width="17" customWidth="1"/>
    <col min="6892" max="6892" width="37.5703125" customWidth="1"/>
    <col min="6893" max="6893" width="5.7109375" customWidth="1"/>
    <col min="6894" max="6894" width="12.140625" customWidth="1"/>
    <col min="6895" max="6895" width="14.85546875" customWidth="1"/>
    <col min="7145" max="7145" width="5.28515625" customWidth="1"/>
    <col min="7146" max="7146" width="15.7109375" customWidth="1"/>
    <col min="7147" max="7147" width="17" customWidth="1"/>
    <col min="7148" max="7148" width="37.5703125" customWidth="1"/>
    <col min="7149" max="7149" width="5.7109375" customWidth="1"/>
    <col min="7150" max="7150" width="12.140625" customWidth="1"/>
    <col min="7151" max="7151" width="14.85546875" customWidth="1"/>
    <col min="7401" max="7401" width="5.28515625" customWidth="1"/>
    <col min="7402" max="7402" width="15.7109375" customWidth="1"/>
    <col min="7403" max="7403" width="17" customWidth="1"/>
    <col min="7404" max="7404" width="37.5703125" customWidth="1"/>
    <col min="7405" max="7405" width="5.7109375" customWidth="1"/>
    <col min="7406" max="7406" width="12.140625" customWidth="1"/>
    <col min="7407" max="7407" width="14.85546875" customWidth="1"/>
    <col min="7657" max="7657" width="5.28515625" customWidth="1"/>
    <col min="7658" max="7658" width="15.7109375" customWidth="1"/>
    <col min="7659" max="7659" width="17" customWidth="1"/>
    <col min="7660" max="7660" width="37.5703125" customWidth="1"/>
    <col min="7661" max="7661" width="5.7109375" customWidth="1"/>
    <col min="7662" max="7662" width="12.140625" customWidth="1"/>
    <col min="7663" max="7663" width="14.85546875" customWidth="1"/>
    <col min="7913" max="7913" width="5.28515625" customWidth="1"/>
    <col min="7914" max="7914" width="15.7109375" customWidth="1"/>
    <col min="7915" max="7915" width="17" customWidth="1"/>
    <col min="7916" max="7916" width="37.5703125" customWidth="1"/>
    <col min="7917" max="7917" width="5.7109375" customWidth="1"/>
    <col min="7918" max="7918" width="12.140625" customWidth="1"/>
    <col min="7919" max="7919" width="14.85546875" customWidth="1"/>
    <col min="8169" max="8169" width="5.28515625" customWidth="1"/>
    <col min="8170" max="8170" width="15.7109375" customWidth="1"/>
    <col min="8171" max="8171" width="17" customWidth="1"/>
    <col min="8172" max="8172" width="37.5703125" customWidth="1"/>
    <col min="8173" max="8173" width="5.7109375" customWidth="1"/>
    <col min="8174" max="8174" width="12.140625" customWidth="1"/>
    <col min="8175" max="8175" width="14.85546875" customWidth="1"/>
    <col min="8425" max="8425" width="5.28515625" customWidth="1"/>
    <col min="8426" max="8426" width="15.7109375" customWidth="1"/>
    <col min="8427" max="8427" width="17" customWidth="1"/>
    <col min="8428" max="8428" width="37.5703125" customWidth="1"/>
    <col min="8429" max="8429" width="5.7109375" customWidth="1"/>
    <col min="8430" max="8430" width="12.140625" customWidth="1"/>
    <col min="8431" max="8431" width="14.85546875" customWidth="1"/>
    <col min="8681" max="8681" width="5.28515625" customWidth="1"/>
    <col min="8682" max="8682" width="15.7109375" customWidth="1"/>
    <col min="8683" max="8683" width="17" customWidth="1"/>
    <col min="8684" max="8684" width="37.5703125" customWidth="1"/>
    <col min="8685" max="8685" width="5.7109375" customWidth="1"/>
    <col min="8686" max="8686" width="12.140625" customWidth="1"/>
    <col min="8687" max="8687" width="14.85546875" customWidth="1"/>
    <col min="8937" max="8937" width="5.28515625" customWidth="1"/>
    <col min="8938" max="8938" width="15.7109375" customWidth="1"/>
    <col min="8939" max="8939" width="17" customWidth="1"/>
    <col min="8940" max="8940" width="37.5703125" customWidth="1"/>
    <col min="8941" max="8941" width="5.7109375" customWidth="1"/>
    <col min="8942" max="8942" width="12.140625" customWidth="1"/>
    <col min="8943" max="8943" width="14.85546875" customWidth="1"/>
    <col min="9193" max="9193" width="5.28515625" customWidth="1"/>
    <col min="9194" max="9194" width="15.7109375" customWidth="1"/>
    <col min="9195" max="9195" width="17" customWidth="1"/>
    <col min="9196" max="9196" width="37.5703125" customWidth="1"/>
    <col min="9197" max="9197" width="5.7109375" customWidth="1"/>
    <col min="9198" max="9198" width="12.140625" customWidth="1"/>
    <col min="9199" max="9199" width="14.85546875" customWidth="1"/>
    <col min="9449" max="9449" width="5.28515625" customWidth="1"/>
    <col min="9450" max="9450" width="15.7109375" customWidth="1"/>
    <col min="9451" max="9451" width="17" customWidth="1"/>
    <col min="9452" max="9452" width="37.5703125" customWidth="1"/>
    <col min="9453" max="9453" width="5.7109375" customWidth="1"/>
    <col min="9454" max="9454" width="12.140625" customWidth="1"/>
    <col min="9455" max="9455" width="14.85546875" customWidth="1"/>
    <col min="9705" max="9705" width="5.28515625" customWidth="1"/>
    <col min="9706" max="9706" width="15.7109375" customWidth="1"/>
    <col min="9707" max="9707" width="17" customWidth="1"/>
    <col min="9708" max="9708" width="37.5703125" customWidth="1"/>
    <col min="9709" max="9709" width="5.7109375" customWidth="1"/>
    <col min="9710" max="9710" width="12.140625" customWidth="1"/>
    <col min="9711" max="9711" width="14.85546875" customWidth="1"/>
    <col min="9961" max="9961" width="5.28515625" customWidth="1"/>
    <col min="9962" max="9962" width="15.7109375" customWidth="1"/>
    <col min="9963" max="9963" width="17" customWidth="1"/>
    <col min="9964" max="9964" width="37.5703125" customWidth="1"/>
    <col min="9965" max="9965" width="5.7109375" customWidth="1"/>
    <col min="9966" max="9966" width="12.140625" customWidth="1"/>
    <col min="9967" max="9967" width="14.85546875" customWidth="1"/>
    <col min="10217" max="10217" width="5.28515625" customWidth="1"/>
    <col min="10218" max="10218" width="15.7109375" customWidth="1"/>
    <col min="10219" max="10219" width="17" customWidth="1"/>
    <col min="10220" max="10220" width="37.5703125" customWidth="1"/>
    <col min="10221" max="10221" width="5.7109375" customWidth="1"/>
    <col min="10222" max="10222" width="12.140625" customWidth="1"/>
    <col min="10223" max="10223" width="14.85546875" customWidth="1"/>
    <col min="10473" max="10473" width="5.28515625" customWidth="1"/>
    <col min="10474" max="10474" width="15.7109375" customWidth="1"/>
    <col min="10475" max="10475" width="17" customWidth="1"/>
    <col min="10476" max="10476" width="37.5703125" customWidth="1"/>
    <col min="10477" max="10477" width="5.7109375" customWidth="1"/>
    <col min="10478" max="10478" width="12.140625" customWidth="1"/>
    <col min="10479" max="10479" width="14.85546875" customWidth="1"/>
    <col min="10729" max="10729" width="5.28515625" customWidth="1"/>
    <col min="10730" max="10730" width="15.7109375" customWidth="1"/>
    <col min="10731" max="10731" width="17" customWidth="1"/>
    <col min="10732" max="10732" width="37.5703125" customWidth="1"/>
    <col min="10733" max="10733" width="5.7109375" customWidth="1"/>
    <col min="10734" max="10734" width="12.140625" customWidth="1"/>
    <col min="10735" max="10735" width="14.85546875" customWidth="1"/>
    <col min="10985" max="10985" width="5.28515625" customWidth="1"/>
    <col min="10986" max="10986" width="15.7109375" customWidth="1"/>
    <col min="10987" max="10987" width="17" customWidth="1"/>
    <col min="10988" max="10988" width="37.5703125" customWidth="1"/>
    <col min="10989" max="10989" width="5.7109375" customWidth="1"/>
    <col min="10990" max="10990" width="12.140625" customWidth="1"/>
    <col min="10991" max="10991" width="14.85546875" customWidth="1"/>
    <col min="11241" max="11241" width="5.28515625" customWidth="1"/>
    <col min="11242" max="11242" width="15.7109375" customWidth="1"/>
    <col min="11243" max="11243" width="17" customWidth="1"/>
    <col min="11244" max="11244" width="37.5703125" customWidth="1"/>
    <col min="11245" max="11245" width="5.7109375" customWidth="1"/>
    <col min="11246" max="11246" width="12.140625" customWidth="1"/>
    <col min="11247" max="11247" width="14.85546875" customWidth="1"/>
    <col min="11497" max="11497" width="5.28515625" customWidth="1"/>
    <col min="11498" max="11498" width="15.7109375" customWidth="1"/>
    <col min="11499" max="11499" width="17" customWidth="1"/>
    <col min="11500" max="11500" width="37.5703125" customWidth="1"/>
    <col min="11501" max="11501" width="5.7109375" customWidth="1"/>
    <col min="11502" max="11502" width="12.140625" customWidth="1"/>
    <col min="11503" max="11503" width="14.85546875" customWidth="1"/>
    <col min="11753" max="11753" width="5.28515625" customWidth="1"/>
    <col min="11754" max="11754" width="15.7109375" customWidth="1"/>
    <col min="11755" max="11755" width="17" customWidth="1"/>
    <col min="11756" max="11756" width="37.5703125" customWidth="1"/>
    <col min="11757" max="11757" width="5.7109375" customWidth="1"/>
    <col min="11758" max="11758" width="12.140625" customWidth="1"/>
    <col min="11759" max="11759" width="14.85546875" customWidth="1"/>
    <col min="12009" max="12009" width="5.28515625" customWidth="1"/>
    <col min="12010" max="12010" width="15.7109375" customWidth="1"/>
    <col min="12011" max="12011" width="17" customWidth="1"/>
    <col min="12012" max="12012" width="37.5703125" customWidth="1"/>
    <col min="12013" max="12013" width="5.7109375" customWidth="1"/>
    <col min="12014" max="12014" width="12.140625" customWidth="1"/>
    <col min="12015" max="12015" width="14.85546875" customWidth="1"/>
    <col min="12265" max="12265" width="5.28515625" customWidth="1"/>
    <col min="12266" max="12266" width="15.7109375" customWidth="1"/>
    <col min="12267" max="12267" width="17" customWidth="1"/>
    <col min="12268" max="12268" width="37.5703125" customWidth="1"/>
    <col min="12269" max="12269" width="5.7109375" customWidth="1"/>
    <col min="12270" max="12270" width="12.140625" customWidth="1"/>
    <col min="12271" max="12271" width="14.85546875" customWidth="1"/>
    <col min="12521" max="12521" width="5.28515625" customWidth="1"/>
    <col min="12522" max="12522" width="15.7109375" customWidth="1"/>
    <col min="12523" max="12523" width="17" customWidth="1"/>
    <col min="12524" max="12524" width="37.5703125" customWidth="1"/>
    <col min="12525" max="12525" width="5.7109375" customWidth="1"/>
    <col min="12526" max="12526" width="12.140625" customWidth="1"/>
    <col min="12527" max="12527" width="14.85546875" customWidth="1"/>
    <col min="12777" max="12777" width="5.28515625" customWidth="1"/>
    <col min="12778" max="12778" width="15.7109375" customWidth="1"/>
    <col min="12779" max="12779" width="17" customWidth="1"/>
    <col min="12780" max="12780" width="37.5703125" customWidth="1"/>
    <col min="12781" max="12781" width="5.7109375" customWidth="1"/>
    <col min="12782" max="12782" width="12.140625" customWidth="1"/>
    <col min="12783" max="12783" width="14.85546875" customWidth="1"/>
    <col min="13033" max="13033" width="5.28515625" customWidth="1"/>
    <col min="13034" max="13034" width="15.7109375" customWidth="1"/>
    <col min="13035" max="13035" width="17" customWidth="1"/>
    <col min="13036" max="13036" width="37.5703125" customWidth="1"/>
    <col min="13037" max="13037" width="5.7109375" customWidth="1"/>
    <col min="13038" max="13038" width="12.140625" customWidth="1"/>
    <col min="13039" max="13039" width="14.85546875" customWidth="1"/>
    <col min="13289" max="13289" width="5.28515625" customWidth="1"/>
    <col min="13290" max="13290" width="15.7109375" customWidth="1"/>
    <col min="13291" max="13291" width="17" customWidth="1"/>
    <col min="13292" max="13292" width="37.5703125" customWidth="1"/>
    <col min="13293" max="13293" width="5.7109375" customWidth="1"/>
    <col min="13294" max="13294" width="12.140625" customWidth="1"/>
    <col min="13295" max="13295" width="14.85546875" customWidth="1"/>
    <col min="13545" max="13545" width="5.28515625" customWidth="1"/>
    <col min="13546" max="13546" width="15.7109375" customWidth="1"/>
    <col min="13547" max="13547" width="17" customWidth="1"/>
    <col min="13548" max="13548" width="37.5703125" customWidth="1"/>
    <col min="13549" max="13549" width="5.7109375" customWidth="1"/>
    <col min="13550" max="13550" width="12.140625" customWidth="1"/>
    <col min="13551" max="13551" width="14.85546875" customWidth="1"/>
    <col min="13801" max="13801" width="5.28515625" customWidth="1"/>
    <col min="13802" max="13802" width="15.7109375" customWidth="1"/>
    <col min="13803" max="13803" width="17" customWidth="1"/>
    <col min="13804" max="13804" width="37.5703125" customWidth="1"/>
    <col min="13805" max="13805" width="5.7109375" customWidth="1"/>
    <col min="13806" max="13806" width="12.140625" customWidth="1"/>
    <col min="13807" max="13807" width="14.85546875" customWidth="1"/>
    <col min="14057" max="14057" width="5.28515625" customWidth="1"/>
    <col min="14058" max="14058" width="15.7109375" customWidth="1"/>
    <col min="14059" max="14059" width="17" customWidth="1"/>
    <col min="14060" max="14060" width="37.5703125" customWidth="1"/>
    <col min="14061" max="14061" width="5.7109375" customWidth="1"/>
    <col min="14062" max="14062" width="12.140625" customWidth="1"/>
    <col min="14063" max="14063" width="14.85546875" customWidth="1"/>
    <col min="14313" max="14313" width="5.28515625" customWidth="1"/>
    <col min="14314" max="14314" width="15.7109375" customWidth="1"/>
    <col min="14315" max="14315" width="17" customWidth="1"/>
    <col min="14316" max="14316" width="37.5703125" customWidth="1"/>
    <col min="14317" max="14317" width="5.7109375" customWidth="1"/>
    <col min="14318" max="14318" width="12.140625" customWidth="1"/>
    <col min="14319" max="14319" width="14.85546875" customWidth="1"/>
    <col min="14569" max="14569" width="5.28515625" customWidth="1"/>
    <col min="14570" max="14570" width="15.7109375" customWidth="1"/>
    <col min="14571" max="14571" width="17" customWidth="1"/>
    <col min="14572" max="14572" width="37.5703125" customWidth="1"/>
    <col min="14573" max="14573" width="5.7109375" customWidth="1"/>
    <col min="14574" max="14574" width="12.140625" customWidth="1"/>
    <col min="14575" max="14575" width="14.85546875" customWidth="1"/>
    <col min="14825" max="14825" width="5.28515625" customWidth="1"/>
    <col min="14826" max="14826" width="15.7109375" customWidth="1"/>
    <col min="14827" max="14827" width="17" customWidth="1"/>
    <col min="14828" max="14828" width="37.5703125" customWidth="1"/>
    <col min="14829" max="14829" width="5.7109375" customWidth="1"/>
    <col min="14830" max="14830" width="12.140625" customWidth="1"/>
    <col min="14831" max="14831" width="14.85546875" customWidth="1"/>
    <col min="15081" max="15081" width="5.28515625" customWidth="1"/>
    <col min="15082" max="15082" width="15.7109375" customWidth="1"/>
    <col min="15083" max="15083" width="17" customWidth="1"/>
    <col min="15084" max="15084" width="37.5703125" customWidth="1"/>
    <col min="15085" max="15085" width="5.7109375" customWidth="1"/>
    <col min="15086" max="15086" width="12.140625" customWidth="1"/>
    <col min="15087" max="15087" width="14.85546875" customWidth="1"/>
    <col min="15337" max="15337" width="5.28515625" customWidth="1"/>
    <col min="15338" max="15338" width="15.7109375" customWidth="1"/>
    <col min="15339" max="15339" width="17" customWidth="1"/>
    <col min="15340" max="15340" width="37.5703125" customWidth="1"/>
    <col min="15341" max="15341" width="5.7109375" customWidth="1"/>
    <col min="15342" max="15342" width="12.140625" customWidth="1"/>
    <col min="15343" max="15343" width="14.85546875" customWidth="1"/>
    <col min="15593" max="15593" width="5.28515625" customWidth="1"/>
    <col min="15594" max="15594" width="15.7109375" customWidth="1"/>
    <col min="15595" max="15595" width="17" customWidth="1"/>
    <col min="15596" max="15596" width="37.5703125" customWidth="1"/>
    <col min="15597" max="15597" width="5.7109375" customWidth="1"/>
    <col min="15598" max="15598" width="12.140625" customWidth="1"/>
    <col min="15599" max="15599" width="14.85546875" customWidth="1"/>
    <col min="15849" max="15849" width="5.28515625" customWidth="1"/>
    <col min="15850" max="15850" width="15.7109375" customWidth="1"/>
    <col min="15851" max="15851" width="17" customWidth="1"/>
    <col min="15852" max="15852" width="37.5703125" customWidth="1"/>
    <col min="15853" max="15853" width="5.7109375" customWidth="1"/>
    <col min="15854" max="15854" width="12.140625" customWidth="1"/>
    <col min="15855" max="15855" width="14.85546875" customWidth="1"/>
    <col min="16105" max="16105" width="5.28515625" customWidth="1"/>
    <col min="16106" max="16106" width="15.7109375" customWidth="1"/>
    <col min="16107" max="16107" width="17" customWidth="1"/>
    <col min="16108" max="16108" width="37.5703125" customWidth="1"/>
    <col min="16109" max="16109" width="5.7109375" customWidth="1"/>
    <col min="16110" max="16110" width="12.140625" customWidth="1"/>
    <col min="16111" max="16111" width="14.85546875" customWidth="1"/>
  </cols>
  <sheetData>
    <row r="1" spans="1:9" s="64" customFormat="1" ht="24" customHeight="1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9" s="64" customFormat="1" ht="20.25" customHeight="1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9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9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9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9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9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9" s="61" customFormat="1" ht="15" customHeight="1">
      <c r="A8" s="62" t="s">
        <v>255</v>
      </c>
      <c r="F8" s="312"/>
      <c r="G8" s="312"/>
      <c r="H8" s="126" t="s">
        <v>45</v>
      </c>
      <c r="I8" s="235">
        <v>46150</v>
      </c>
    </row>
    <row r="9" spans="1:9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</row>
    <row r="10" spans="1:9" s="54" customFormat="1" ht="96.75" customHeight="1">
      <c r="B10" s="127" t="s">
        <v>246</v>
      </c>
      <c r="C10" s="59"/>
      <c r="D10" s="56"/>
      <c r="E10" s="56"/>
      <c r="F10" s="56"/>
      <c r="G10" s="56"/>
      <c r="H10" s="56"/>
      <c r="I10" s="56"/>
    </row>
    <row r="11" spans="1:9" s="54" customFormat="1" ht="15" customHeight="1">
      <c r="A11" s="55" t="s">
        <v>42</v>
      </c>
      <c r="C11" s="57"/>
      <c r="D11" s="56"/>
      <c r="E11" s="55"/>
      <c r="F11" s="55"/>
      <c r="G11" s="55"/>
      <c r="H11" s="55"/>
      <c r="I11" s="55"/>
    </row>
    <row r="12" spans="1:9" s="53" customFormat="1" ht="29.25" customHeight="1">
      <c r="A12" s="335" t="s">
        <v>40</v>
      </c>
      <c r="B12" s="335"/>
      <c r="C12" s="335"/>
      <c r="D12" s="335"/>
      <c r="E12" s="335"/>
      <c r="F12" s="335"/>
      <c r="G12" s="335"/>
      <c r="H12" s="335"/>
      <c r="I12" s="335"/>
    </row>
    <row r="13" spans="1:9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58"/>
      <c r="G13" s="359"/>
      <c r="H13" s="359"/>
      <c r="I13" s="359"/>
    </row>
    <row r="14" spans="1:9" s="47" customFormat="1" ht="18" customHeight="1">
      <c r="A14" s="234"/>
      <c r="B14" s="128" t="s">
        <v>36</v>
      </c>
      <c r="C14" s="51" t="s">
        <v>206</v>
      </c>
      <c r="D14" s="234"/>
      <c r="E14" s="49"/>
      <c r="F14" s="358" t="s">
        <v>247</v>
      </c>
      <c r="G14" s="359"/>
      <c r="H14" s="359"/>
      <c r="I14" s="359"/>
    </row>
    <row r="15" spans="1:9" s="29" customFormat="1" ht="25.5">
      <c r="A15" s="46" t="s">
        <v>33</v>
      </c>
      <c r="B15" s="45" t="s">
        <v>32</v>
      </c>
      <c r="C15" s="45" t="s">
        <v>31</v>
      </c>
      <c r="D15" s="45" t="s">
        <v>30</v>
      </c>
      <c r="E15" s="241" t="s">
        <v>29</v>
      </c>
      <c r="F15" s="241" t="s">
        <v>28</v>
      </c>
      <c r="G15" s="241" t="s">
        <v>27</v>
      </c>
      <c r="H15" s="241" t="s">
        <v>26</v>
      </c>
      <c r="I15" s="241" t="s">
        <v>25</v>
      </c>
    </row>
    <row r="16" spans="1:9" s="38" customFormat="1" ht="18.75" customHeight="1">
      <c r="A16" s="37">
        <v>1</v>
      </c>
      <c r="B16" s="242" t="s">
        <v>89</v>
      </c>
      <c r="C16" s="242" t="s">
        <v>248</v>
      </c>
      <c r="D16" s="35">
        <v>1</v>
      </c>
      <c r="E16" s="187">
        <v>21861</v>
      </c>
      <c r="F16" s="31">
        <f>E16*D16</f>
        <v>21861</v>
      </c>
      <c r="G16" s="33">
        <v>0.18</v>
      </c>
      <c r="H16" s="32">
        <f t="shared" ref="H16:H26" si="0">G16*F16</f>
        <v>3934.98</v>
      </c>
      <c r="I16" s="31">
        <f t="shared" ref="I16:I26" si="1">H16+F16</f>
        <v>25795.98</v>
      </c>
    </row>
    <row r="17" spans="1:9" s="38" customFormat="1" ht="18.75" customHeight="1">
      <c r="A17" s="43">
        <v>2</v>
      </c>
      <c r="B17" s="242" t="s">
        <v>157</v>
      </c>
      <c r="C17" s="242" t="s">
        <v>158</v>
      </c>
      <c r="D17" s="154">
        <v>1</v>
      </c>
      <c r="E17" s="187">
        <v>10155</v>
      </c>
      <c r="F17" s="31">
        <f t="shared" ref="F17:F26" si="2">E17*D17</f>
        <v>10155</v>
      </c>
      <c r="G17" s="33">
        <v>0.18</v>
      </c>
      <c r="H17" s="32">
        <f t="shared" si="0"/>
        <v>1827.8999999999999</v>
      </c>
      <c r="I17" s="31">
        <f t="shared" si="1"/>
        <v>11982.9</v>
      </c>
    </row>
    <row r="18" spans="1:9" s="38" customFormat="1" ht="18.75" customHeight="1">
      <c r="A18" s="43">
        <v>3</v>
      </c>
      <c r="B18" s="242" t="s">
        <v>86</v>
      </c>
      <c r="C18" s="242" t="s">
        <v>171</v>
      </c>
      <c r="D18" s="154">
        <v>2</v>
      </c>
      <c r="E18" s="187">
        <v>2276</v>
      </c>
      <c r="F18" s="31">
        <f t="shared" si="2"/>
        <v>4552</v>
      </c>
      <c r="G18" s="33">
        <v>0.18</v>
      </c>
      <c r="H18" s="32">
        <f t="shared" si="0"/>
        <v>819.36</v>
      </c>
      <c r="I18" s="31">
        <f t="shared" si="1"/>
        <v>5371.36</v>
      </c>
    </row>
    <row r="19" spans="1:9" s="38" customFormat="1" ht="18.75" customHeight="1">
      <c r="A19" s="43">
        <v>4</v>
      </c>
      <c r="B19" s="242" t="s">
        <v>249</v>
      </c>
      <c r="C19" s="242" t="s">
        <v>250</v>
      </c>
      <c r="D19" s="154">
        <v>1</v>
      </c>
      <c r="E19" s="187">
        <v>35669</v>
      </c>
      <c r="F19" s="31">
        <f t="shared" si="2"/>
        <v>35669</v>
      </c>
      <c r="G19" s="33">
        <v>0.18</v>
      </c>
      <c r="H19" s="32">
        <f t="shared" si="0"/>
        <v>6420.42</v>
      </c>
      <c r="I19" s="31">
        <f t="shared" si="1"/>
        <v>42089.42</v>
      </c>
    </row>
    <row r="20" spans="1:9" s="38" customFormat="1" ht="18.75" customHeight="1">
      <c r="A20" s="43">
        <v>5</v>
      </c>
      <c r="B20" s="242" t="s">
        <v>222</v>
      </c>
      <c r="C20" s="242" t="s">
        <v>223</v>
      </c>
      <c r="D20" s="154">
        <v>1</v>
      </c>
      <c r="E20" s="187">
        <v>4419</v>
      </c>
      <c r="F20" s="31">
        <f t="shared" si="2"/>
        <v>4419</v>
      </c>
      <c r="G20" s="33">
        <v>0.18</v>
      </c>
      <c r="H20" s="32">
        <f t="shared" si="0"/>
        <v>795.42</v>
      </c>
      <c r="I20" s="31">
        <f t="shared" si="1"/>
        <v>5214.42</v>
      </c>
    </row>
    <row r="21" spans="1:9" s="38" customFormat="1" ht="16.5" customHeight="1">
      <c r="A21" s="43">
        <v>6</v>
      </c>
      <c r="B21" s="242" t="s">
        <v>251</v>
      </c>
      <c r="C21" s="242" t="s">
        <v>225</v>
      </c>
      <c r="D21" s="154">
        <v>1</v>
      </c>
      <c r="E21" s="187">
        <v>2485</v>
      </c>
      <c r="F21" s="31">
        <f t="shared" si="2"/>
        <v>2485</v>
      </c>
      <c r="G21" s="33">
        <v>0.18</v>
      </c>
      <c r="H21" s="32">
        <f t="shared" si="0"/>
        <v>447.3</v>
      </c>
      <c r="I21" s="31">
        <f t="shared" si="1"/>
        <v>2932.3</v>
      </c>
    </row>
    <row r="22" spans="1:9" s="38" customFormat="1" ht="15" customHeight="1">
      <c r="A22" s="43">
        <v>7</v>
      </c>
      <c r="B22" s="242" t="s">
        <v>252</v>
      </c>
      <c r="C22" s="242" t="s">
        <v>253</v>
      </c>
      <c r="D22" s="35">
        <v>1</v>
      </c>
      <c r="E22" s="187">
        <v>3244</v>
      </c>
      <c r="F22" s="31">
        <f t="shared" si="2"/>
        <v>3244</v>
      </c>
      <c r="G22" s="33">
        <v>0.18</v>
      </c>
      <c r="H22" s="32">
        <f t="shared" si="0"/>
        <v>583.91999999999996</v>
      </c>
      <c r="I22" s="31">
        <f t="shared" si="1"/>
        <v>3827.92</v>
      </c>
    </row>
    <row r="23" spans="1:9" s="38" customFormat="1" ht="18" customHeight="1">
      <c r="A23" s="43">
        <v>8</v>
      </c>
      <c r="B23" s="242" t="s">
        <v>168</v>
      </c>
      <c r="C23" s="242" t="s">
        <v>169</v>
      </c>
      <c r="D23" s="35">
        <v>1</v>
      </c>
      <c r="E23" s="187">
        <v>3381</v>
      </c>
      <c r="F23" s="31">
        <f t="shared" si="2"/>
        <v>3381</v>
      </c>
      <c r="G23" s="33">
        <v>0.18</v>
      </c>
      <c r="H23" s="32">
        <f t="shared" si="0"/>
        <v>608.57999999999993</v>
      </c>
      <c r="I23" s="31">
        <f t="shared" si="1"/>
        <v>3989.58</v>
      </c>
    </row>
    <row r="24" spans="1:9" s="38" customFormat="1" ht="12.75" customHeight="1">
      <c r="A24" s="37">
        <v>9</v>
      </c>
      <c r="B24" s="242" t="s">
        <v>172</v>
      </c>
      <c r="C24" s="242" t="s">
        <v>173</v>
      </c>
      <c r="D24" s="35">
        <v>1</v>
      </c>
      <c r="E24" s="187">
        <v>1127</v>
      </c>
      <c r="F24" s="31">
        <f t="shared" si="2"/>
        <v>1127</v>
      </c>
      <c r="G24" s="33">
        <v>0.18</v>
      </c>
      <c r="H24" s="32">
        <f t="shared" si="0"/>
        <v>202.85999999999999</v>
      </c>
      <c r="I24" s="31">
        <f t="shared" si="1"/>
        <v>1329.86</v>
      </c>
    </row>
    <row r="25" spans="1:9" s="38" customFormat="1" ht="17.25" customHeight="1">
      <c r="A25" s="43">
        <v>10</v>
      </c>
      <c r="B25" s="42"/>
      <c r="C25" s="41" t="s">
        <v>216</v>
      </c>
      <c r="D25" s="35">
        <v>1</v>
      </c>
      <c r="E25" s="187">
        <v>4000</v>
      </c>
      <c r="F25" s="31">
        <f t="shared" si="2"/>
        <v>4000</v>
      </c>
      <c r="G25" s="33">
        <v>0.18</v>
      </c>
      <c r="H25" s="32">
        <f t="shared" si="0"/>
        <v>720</v>
      </c>
      <c r="I25" s="31">
        <f t="shared" si="1"/>
        <v>4720</v>
      </c>
    </row>
    <row r="26" spans="1:9" s="38" customFormat="1" ht="16.5" customHeight="1">
      <c r="A26" s="43">
        <v>11</v>
      </c>
      <c r="B26" s="83"/>
      <c r="C26" s="41" t="s">
        <v>254</v>
      </c>
      <c r="D26" s="35">
        <v>1</v>
      </c>
      <c r="E26" s="187">
        <v>1000</v>
      </c>
      <c r="F26" s="31">
        <f t="shared" si="2"/>
        <v>1000</v>
      </c>
      <c r="G26" s="33">
        <v>0.18</v>
      </c>
      <c r="H26" s="32">
        <f t="shared" si="0"/>
        <v>180</v>
      </c>
      <c r="I26" s="31">
        <f t="shared" si="1"/>
        <v>1180</v>
      </c>
    </row>
    <row r="27" spans="1:9" s="38" customFormat="1" ht="18.75" customHeight="1">
      <c r="A27" s="320" t="s">
        <v>20</v>
      </c>
      <c r="B27" s="321"/>
      <c r="C27" s="339"/>
      <c r="D27" s="28"/>
      <c r="E27" s="26">
        <f>SUM(E16:E26)</f>
        <v>89617</v>
      </c>
      <c r="F27" s="26">
        <f>SUM(F16:F26)</f>
        <v>91893</v>
      </c>
      <c r="G27" s="243"/>
      <c r="H27" s="26">
        <f>SUM(H16:H26)</f>
        <v>16540.739999999998</v>
      </c>
      <c r="I27" s="26">
        <f>SUM(I16:I26)</f>
        <v>108433.74</v>
      </c>
    </row>
    <row r="28" spans="1:9" s="38" customFormat="1" ht="18.75" customHeight="1">
      <c r="A28" s="320" t="s">
        <v>19</v>
      </c>
      <c r="B28" s="321"/>
      <c r="C28" s="321"/>
      <c r="D28" s="321"/>
      <c r="E28" s="321"/>
      <c r="F28" s="321"/>
      <c r="G28" s="321"/>
      <c r="H28" s="339"/>
      <c r="I28" s="24">
        <f>ROUND(I27,0)</f>
        <v>108434</v>
      </c>
    </row>
    <row r="29" spans="1:9" s="38" customFormat="1" ht="18.75" customHeight="1">
      <c r="A29" s="323" t="s">
        <v>256</v>
      </c>
      <c r="B29" s="324"/>
      <c r="C29" s="324"/>
      <c r="D29" s="324"/>
      <c r="E29" s="324"/>
      <c r="F29" s="324"/>
      <c r="G29" s="324"/>
      <c r="H29" s="324"/>
      <c r="I29" s="324"/>
    </row>
    <row r="30" spans="1:9" s="3" customFormat="1" ht="11.25">
      <c r="A30" s="14" t="s">
        <v>16</v>
      </c>
      <c r="B30" s="12"/>
      <c r="C30" s="12"/>
      <c r="D30" s="12"/>
      <c r="E30" s="12"/>
      <c r="F30" s="12"/>
      <c r="G30" s="12"/>
      <c r="H30" s="12"/>
      <c r="I30" s="13"/>
    </row>
    <row r="31" spans="1:9" s="6" customFormat="1" ht="21.75" customHeight="1">
      <c r="A31" s="11" t="s">
        <v>15</v>
      </c>
      <c r="B31" s="9"/>
      <c r="C31" s="10"/>
      <c r="D31" s="9"/>
      <c r="E31" s="8"/>
      <c r="F31" s="8"/>
      <c r="G31" s="3"/>
      <c r="H31" s="3"/>
    </row>
    <row r="32" spans="1:9" s="6" customFormat="1" ht="16.5" customHeight="1">
      <c r="A32" s="5">
        <v>1</v>
      </c>
      <c r="B32" s="7" t="s">
        <v>14</v>
      </c>
      <c r="C32" s="326" t="s">
        <v>185</v>
      </c>
      <c r="D32" s="326"/>
      <c r="E32" s="326"/>
      <c r="F32" s="326"/>
      <c r="G32" s="326"/>
      <c r="H32" s="231"/>
    </row>
    <row r="33" spans="1:9" s="6" customFormat="1" ht="18" customHeight="1">
      <c r="A33" s="5">
        <v>2</v>
      </c>
      <c r="B33" s="7" t="s">
        <v>12</v>
      </c>
      <c r="C33" s="326" t="s">
        <v>11</v>
      </c>
      <c r="D33" s="326"/>
      <c r="E33" s="326"/>
      <c r="F33" s="326"/>
      <c r="G33" s="326"/>
      <c r="H33" s="231"/>
    </row>
    <row r="34" spans="1:9" s="6" customFormat="1" ht="16.5" customHeight="1">
      <c r="A34" s="5">
        <v>3</v>
      </c>
      <c r="B34" s="7" t="s">
        <v>10</v>
      </c>
      <c r="C34" s="326" t="s">
        <v>9</v>
      </c>
      <c r="D34" s="326"/>
      <c r="E34" s="326"/>
      <c r="F34" s="326"/>
      <c r="G34" s="326"/>
      <c r="H34" s="231"/>
      <c r="I34" s="232" t="s">
        <v>8</v>
      </c>
    </row>
    <row r="35" spans="1:9" s="6" customFormat="1" ht="16.5" customHeight="1">
      <c r="A35" s="5">
        <v>4</v>
      </c>
      <c r="B35" s="7" t="s">
        <v>7</v>
      </c>
      <c r="C35" s="326" t="s">
        <v>93</v>
      </c>
      <c r="D35" s="326"/>
      <c r="E35" s="326"/>
      <c r="F35" s="326"/>
      <c r="G35" s="326"/>
      <c r="H35" s="231"/>
    </row>
    <row r="36" spans="1:9" s="6" customFormat="1" ht="16.5" customHeight="1">
      <c r="A36" s="5">
        <v>5</v>
      </c>
      <c r="B36" s="7" t="s">
        <v>5</v>
      </c>
      <c r="C36" s="326" t="s">
        <v>4</v>
      </c>
      <c r="D36" s="326"/>
      <c r="E36" s="326"/>
      <c r="F36" s="326"/>
      <c r="G36" s="326"/>
      <c r="H36" s="231"/>
      <c r="I36" s="232" t="s">
        <v>3</v>
      </c>
    </row>
    <row r="37" spans="1:9" s="3" customFormat="1" ht="38.25" customHeight="1">
      <c r="A37" s="5">
        <v>7</v>
      </c>
      <c r="B37" s="233" t="s">
        <v>2</v>
      </c>
      <c r="C37" s="328" t="s">
        <v>1</v>
      </c>
      <c r="D37" s="328"/>
      <c r="E37" s="328"/>
      <c r="F37" s="328"/>
      <c r="G37" s="328"/>
      <c r="H37" s="233"/>
      <c r="I37" s="143" t="s">
        <v>0</v>
      </c>
    </row>
    <row r="38" spans="1:9" s="244" customFormat="1">
      <c r="A38"/>
      <c r="B38" s="2"/>
      <c r="C38" s="2"/>
      <c r="D38" s="144"/>
    </row>
  </sheetData>
  <mergeCells count="22">
    <mergeCell ref="C34:G34"/>
    <mergeCell ref="C35:G35"/>
    <mergeCell ref="C36:G36"/>
    <mergeCell ref="C37:G37"/>
    <mergeCell ref="F14:I14"/>
    <mergeCell ref="A27:C27"/>
    <mergeCell ref="A28:H28"/>
    <mergeCell ref="A29:I29"/>
    <mergeCell ref="C32:G32"/>
    <mergeCell ref="C33:G33"/>
    <mergeCell ref="A7:I7"/>
    <mergeCell ref="F8:G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dataValidations count="2">
    <dataValidation showInputMessage="1" showErrorMessage="1" error=" " promptTitle="Lookup (required)" prompt="This Product record must already exist in Microsoft Dynamics 365 or in this source file." sqref="C21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1">
      <formula1>100</formula1>
    </dataValidation>
  </dataValidations>
  <printOptions horizontalCentered="1" verticalCentered="1"/>
  <pageMargins left="0" right="0" top="0.23622047244094491" bottom="0.19685039370078741" header="0.19685039370078741" footer="0.15748031496062992"/>
  <pageSetup paperSize="9" scale="80" fitToWidth="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33"/>
  <sheetViews>
    <sheetView topLeftCell="A7" workbookViewId="0">
      <selection activeCell="K16" sqref="K16"/>
    </sheetView>
  </sheetViews>
  <sheetFormatPr defaultRowHeight="15"/>
  <cols>
    <col min="1" max="1" width="5.28515625" customWidth="1"/>
    <col min="2" max="2" width="40.7109375" style="2" customWidth="1"/>
    <col min="3" max="3" width="37.140625" style="2" customWidth="1"/>
    <col min="4" max="4" width="5.140625" customWidth="1"/>
    <col min="5" max="5" width="13.5703125" style="190" customWidth="1"/>
    <col min="6" max="6" width="15.28515625" style="190" customWidth="1"/>
    <col min="7" max="7" width="5.42578125" style="190" customWidth="1"/>
    <col min="8" max="8" width="13.42578125" style="190" customWidth="1"/>
    <col min="9" max="9" width="15.28515625" style="190" customWidth="1"/>
    <col min="10" max="10" width="18.5703125" customWidth="1"/>
    <col min="11" max="11" width="13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19.5">
      <c r="A2" s="149"/>
      <c r="B2" s="343" t="s">
        <v>51</v>
      </c>
      <c r="C2" s="343"/>
      <c r="D2" s="343"/>
      <c r="E2" s="343"/>
      <c r="F2" s="343"/>
      <c r="G2" s="343"/>
      <c r="H2" s="343"/>
      <c r="I2" s="343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265</v>
      </c>
      <c r="G8" s="312" t="s">
        <v>45</v>
      </c>
      <c r="H8" s="312"/>
      <c r="I8" s="236">
        <v>46151</v>
      </c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</row>
    <row r="10" spans="1:10" s="54" customFormat="1" ht="132" customHeight="1">
      <c r="B10" s="127" t="s">
        <v>257</v>
      </c>
      <c r="C10" s="59"/>
      <c r="D10" s="56"/>
      <c r="E10" s="56"/>
      <c r="F10" s="56"/>
      <c r="G10" s="56"/>
      <c r="H10" s="56"/>
      <c r="I10" s="56"/>
    </row>
    <row r="11" spans="1:10" s="54" customFormat="1" ht="18" customHeight="1">
      <c r="A11" s="55" t="s">
        <v>42</v>
      </c>
      <c r="C11" s="57"/>
      <c r="D11" s="56"/>
      <c r="E11" s="55"/>
      <c r="F11" s="55"/>
      <c r="G11" s="55"/>
      <c r="H11" s="55"/>
      <c r="I11" s="55"/>
      <c r="J11" s="150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237"/>
      <c r="G13" s="347"/>
      <c r="H13" s="348"/>
      <c r="I13" s="348"/>
    </row>
    <row r="14" spans="1:10" s="47" customFormat="1" ht="18" customHeight="1">
      <c r="A14" s="349" t="s">
        <v>36</v>
      </c>
      <c r="B14" s="350"/>
      <c r="C14" s="51" t="s">
        <v>266</v>
      </c>
      <c r="D14" s="51"/>
      <c r="F14" s="348" t="s">
        <v>258</v>
      </c>
      <c r="G14" s="348"/>
      <c r="H14" s="348"/>
      <c r="I14" s="351"/>
    </row>
    <row r="15" spans="1:10" s="29" customFormat="1" ht="27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186" t="s">
        <v>29</v>
      </c>
      <c r="F15" s="186" t="s">
        <v>28</v>
      </c>
      <c r="G15" s="186" t="s">
        <v>27</v>
      </c>
      <c r="H15" s="186" t="s">
        <v>26</v>
      </c>
      <c r="I15" s="186" t="s">
        <v>25</v>
      </c>
    </row>
    <row r="16" spans="1:10" s="38" customFormat="1" ht="18.75" customHeight="1">
      <c r="A16" s="37">
        <v>1</v>
      </c>
      <c r="B16" s="65" t="s">
        <v>259</v>
      </c>
      <c r="C16" s="250" t="s">
        <v>260</v>
      </c>
      <c r="D16" s="251">
        <v>1</v>
      </c>
      <c r="E16" s="252">
        <v>41642</v>
      </c>
      <c r="F16" s="31">
        <f t="shared" ref="F16:F21" si="0">E16*D16</f>
        <v>41642</v>
      </c>
      <c r="G16" s="253">
        <v>0.18</v>
      </c>
      <c r="H16" s="254">
        <f>F16*G16</f>
        <v>7495.5599999999995</v>
      </c>
      <c r="I16" s="255">
        <f>F16+H16</f>
        <v>49137.56</v>
      </c>
      <c r="J16" s="39"/>
    </row>
    <row r="17" spans="1:10" s="38" customFormat="1" ht="18.75" customHeight="1">
      <c r="A17" s="43">
        <v>2</v>
      </c>
      <c r="B17" s="65" t="s">
        <v>261</v>
      </c>
      <c r="C17" s="250" t="s">
        <v>262</v>
      </c>
      <c r="D17" s="251">
        <v>1</v>
      </c>
      <c r="E17" s="256">
        <v>70847</v>
      </c>
      <c r="F17" s="31">
        <f t="shared" si="0"/>
        <v>70847</v>
      </c>
      <c r="G17" s="253">
        <v>0.18</v>
      </c>
      <c r="H17" s="254">
        <f>F17*G17</f>
        <v>12752.46</v>
      </c>
      <c r="I17" s="255">
        <f>F17+H17</f>
        <v>83599.459999999992</v>
      </c>
      <c r="J17" s="39"/>
    </row>
    <row r="18" spans="1:10" s="38" customFormat="1" ht="18.75" customHeight="1">
      <c r="A18" s="43">
        <v>3</v>
      </c>
      <c r="B18" s="42" t="s">
        <v>24</v>
      </c>
      <c r="C18" s="41" t="s">
        <v>263</v>
      </c>
      <c r="D18" s="35">
        <v>1</v>
      </c>
      <c r="E18" s="187">
        <v>8867</v>
      </c>
      <c r="F18" s="31">
        <f t="shared" si="0"/>
        <v>8867</v>
      </c>
      <c r="G18" s="33">
        <v>0.18</v>
      </c>
      <c r="H18" s="32">
        <f>G18*F18</f>
        <v>1596.06</v>
      </c>
      <c r="I18" s="31">
        <f>H18+F18</f>
        <v>10463.06</v>
      </c>
      <c r="J18" s="39"/>
    </row>
    <row r="19" spans="1:10" s="38" customFormat="1" ht="18.75" customHeight="1">
      <c r="A19" s="43">
        <v>4</v>
      </c>
      <c r="B19" s="42" t="s">
        <v>89</v>
      </c>
      <c r="C19" s="41" t="s">
        <v>264</v>
      </c>
      <c r="D19" s="35">
        <v>2</v>
      </c>
      <c r="E19" s="187">
        <v>21861</v>
      </c>
      <c r="F19" s="31">
        <f t="shared" si="0"/>
        <v>43722</v>
      </c>
      <c r="G19" s="33">
        <v>0.18</v>
      </c>
      <c r="H19" s="32">
        <f>G19*F19</f>
        <v>7869.96</v>
      </c>
      <c r="I19" s="31">
        <f>H19+F19</f>
        <v>51591.96</v>
      </c>
      <c r="J19" s="39"/>
    </row>
    <row r="20" spans="1:10" s="38" customFormat="1" ht="18.75" customHeight="1">
      <c r="A20" s="43"/>
      <c r="B20" s="181"/>
      <c r="C20" s="182" t="s">
        <v>216</v>
      </c>
      <c r="D20" s="35">
        <v>2</v>
      </c>
      <c r="E20" s="187">
        <v>3500</v>
      </c>
      <c r="F20" s="31">
        <f t="shared" si="0"/>
        <v>7000</v>
      </c>
      <c r="G20" s="33">
        <v>0.18</v>
      </c>
      <c r="H20" s="32">
        <f>G20*F20</f>
        <v>1260</v>
      </c>
      <c r="I20" s="31">
        <f>H20+F20</f>
        <v>8260</v>
      </c>
      <c r="J20" s="39"/>
    </row>
    <row r="21" spans="1:10" s="38" customFormat="1" ht="18.75" customHeight="1">
      <c r="A21" s="43"/>
      <c r="B21" s="181"/>
      <c r="C21" s="182" t="s">
        <v>102</v>
      </c>
      <c r="D21" s="35">
        <v>1</v>
      </c>
      <c r="E21" s="187">
        <v>1500</v>
      </c>
      <c r="F21" s="31">
        <f t="shared" si="0"/>
        <v>1500</v>
      </c>
      <c r="G21" s="33">
        <v>0.18</v>
      </c>
      <c r="H21" s="32">
        <f>G21*F21</f>
        <v>270</v>
      </c>
      <c r="I21" s="31">
        <f>H21+F21</f>
        <v>1770</v>
      </c>
      <c r="J21" s="39"/>
    </row>
    <row r="22" spans="1:10" s="38" customFormat="1" ht="18.75" customHeight="1">
      <c r="A22" s="320" t="s">
        <v>20</v>
      </c>
      <c r="B22" s="321"/>
      <c r="C22" s="339"/>
      <c r="D22" s="28"/>
      <c r="E22" s="26"/>
      <c r="F22" s="26">
        <f>SUM(F16:F21)</f>
        <v>173578</v>
      </c>
      <c r="G22" s="188"/>
      <c r="H22" s="26">
        <f>SUM(H16:H21)</f>
        <v>31244.039999999997</v>
      </c>
      <c r="I22" s="26">
        <f>SUM(I16:I21)</f>
        <v>204822.03999999998</v>
      </c>
      <c r="J22" s="39"/>
    </row>
    <row r="23" spans="1:10" s="38" customFormat="1" ht="15" customHeight="1">
      <c r="A23" s="320" t="s">
        <v>19</v>
      </c>
      <c r="B23" s="321"/>
      <c r="C23" s="321"/>
      <c r="D23" s="321"/>
      <c r="E23" s="321"/>
      <c r="F23" s="321"/>
      <c r="G23" s="321"/>
      <c r="H23" s="339"/>
      <c r="I23" s="24">
        <f>ROUND(I22,0)</f>
        <v>204822</v>
      </c>
      <c r="J23" s="39"/>
    </row>
    <row r="24" spans="1:10" s="38" customFormat="1" ht="18.75" customHeight="1">
      <c r="A24" s="323" t="s">
        <v>313</v>
      </c>
      <c r="B24" s="324"/>
      <c r="C24" s="324"/>
      <c r="D24" s="324"/>
      <c r="E24" s="324"/>
      <c r="F24" s="324"/>
      <c r="G24" s="324"/>
      <c r="H24" s="324"/>
      <c r="I24" s="342"/>
      <c r="J24" s="39"/>
    </row>
    <row r="25" spans="1:10" s="3" customFormat="1" ht="11.25">
      <c r="A25" s="14" t="s">
        <v>16</v>
      </c>
      <c r="B25" s="12"/>
      <c r="C25" s="12"/>
      <c r="D25" s="12"/>
      <c r="E25" s="12"/>
      <c r="F25" s="12"/>
      <c r="G25" s="12"/>
      <c r="H25" s="12"/>
      <c r="I25" s="13"/>
    </row>
    <row r="26" spans="1:10" s="6" customFormat="1" ht="21.75" customHeight="1">
      <c r="A26" s="11" t="s">
        <v>15</v>
      </c>
      <c r="B26" s="9"/>
      <c r="C26" s="10"/>
      <c r="D26" s="9"/>
      <c r="E26" s="8"/>
      <c r="F26" s="8"/>
      <c r="G26" s="8"/>
      <c r="H26" s="3"/>
    </row>
    <row r="27" spans="1:10" s="6" customFormat="1" ht="16.5" customHeight="1">
      <c r="A27" s="5">
        <v>1</v>
      </c>
      <c r="B27" s="7" t="s">
        <v>14</v>
      </c>
      <c r="C27" s="326" t="s">
        <v>185</v>
      </c>
      <c r="D27" s="326"/>
      <c r="E27" s="326"/>
      <c r="F27" s="326"/>
      <c r="G27" s="326"/>
      <c r="H27" s="326"/>
    </row>
    <row r="28" spans="1:10" s="6" customFormat="1" ht="16.5" customHeight="1">
      <c r="A28" s="5">
        <v>2</v>
      </c>
      <c r="B28" s="7" t="s">
        <v>12</v>
      </c>
      <c r="C28" s="238" t="s">
        <v>11</v>
      </c>
      <c r="D28" s="238"/>
      <c r="E28" s="238"/>
      <c r="F28" s="238"/>
      <c r="G28" s="238"/>
      <c r="H28" s="238"/>
    </row>
    <row r="29" spans="1:10" s="6" customFormat="1" ht="18" customHeight="1">
      <c r="A29" s="5">
        <v>3</v>
      </c>
      <c r="B29" s="7" t="s">
        <v>10</v>
      </c>
      <c r="C29" s="238" t="s">
        <v>9</v>
      </c>
      <c r="D29" s="238"/>
      <c r="E29" s="238"/>
      <c r="F29" s="238"/>
      <c r="G29" s="238"/>
      <c r="H29" s="238"/>
    </row>
    <row r="30" spans="1:10" s="6" customFormat="1" ht="16.5" customHeight="1">
      <c r="A30" s="5">
        <v>4</v>
      </c>
      <c r="B30" s="7" t="s">
        <v>7</v>
      </c>
      <c r="C30" s="238" t="s">
        <v>93</v>
      </c>
      <c r="D30" s="238"/>
      <c r="E30" s="238"/>
      <c r="F30" s="238"/>
      <c r="G30" s="238"/>
      <c r="H30" s="238"/>
      <c r="I30" s="239" t="s">
        <v>8</v>
      </c>
    </row>
    <row r="31" spans="1:10" s="6" customFormat="1" ht="16.5" customHeight="1">
      <c r="A31" s="5">
        <v>5</v>
      </c>
      <c r="B31" s="7" t="s">
        <v>5</v>
      </c>
      <c r="C31" s="238" t="s">
        <v>4</v>
      </c>
      <c r="D31" s="238"/>
      <c r="E31" s="238"/>
      <c r="F31" s="238"/>
      <c r="G31" s="238"/>
      <c r="H31" s="238"/>
    </row>
    <row r="32" spans="1:10" s="6" customFormat="1" ht="25.5" customHeight="1">
      <c r="A32" s="5">
        <v>6</v>
      </c>
      <c r="B32" s="240" t="s">
        <v>2</v>
      </c>
      <c r="C32" s="328" t="s">
        <v>1</v>
      </c>
      <c r="D32" s="326"/>
      <c r="E32" s="326"/>
      <c r="F32" s="326"/>
      <c r="G32" s="326"/>
      <c r="H32" s="326"/>
      <c r="I32" s="239" t="s">
        <v>3</v>
      </c>
    </row>
    <row r="33" spans="1:9" s="166" customFormat="1" ht="24" customHeight="1">
      <c r="A33" s="161"/>
      <c r="B33" s="162"/>
      <c r="C33" s="163"/>
      <c r="D33" s="164"/>
      <c r="E33" s="189"/>
      <c r="F33" s="189"/>
      <c r="G33" s="189"/>
      <c r="H33" s="189"/>
      <c r="I33" s="143" t="s">
        <v>0</v>
      </c>
    </row>
  </sheetData>
  <mergeCells count="19">
    <mergeCell ref="A6:I6"/>
    <mergeCell ref="A1:I1"/>
    <mergeCell ref="B2:I2"/>
    <mergeCell ref="A3:I3"/>
    <mergeCell ref="A4:I4"/>
    <mergeCell ref="A5:I5"/>
    <mergeCell ref="A7:I7"/>
    <mergeCell ref="G8:H8"/>
    <mergeCell ref="A12:I12"/>
    <mergeCell ref="A13:B13"/>
    <mergeCell ref="D13:E13"/>
    <mergeCell ref="G13:I13"/>
    <mergeCell ref="C32:H32"/>
    <mergeCell ref="A14:B14"/>
    <mergeCell ref="F14:I14"/>
    <mergeCell ref="A22:C22"/>
    <mergeCell ref="A23:H23"/>
    <mergeCell ref="A24:I24"/>
    <mergeCell ref="C27:H27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30"/>
  <sheetViews>
    <sheetView topLeftCell="A7" workbookViewId="0">
      <selection activeCell="J23" sqref="J23"/>
    </sheetView>
  </sheetViews>
  <sheetFormatPr defaultRowHeight="15"/>
  <cols>
    <col min="1" max="1" width="5.28515625" customWidth="1"/>
    <col min="2" max="2" width="40.7109375" style="2" customWidth="1"/>
    <col min="3" max="3" width="37.140625" style="2" customWidth="1"/>
    <col min="4" max="4" width="5.140625" customWidth="1"/>
    <col min="5" max="6" width="13.5703125" style="190" customWidth="1"/>
    <col min="7" max="7" width="15.28515625" style="190" customWidth="1"/>
    <col min="8" max="8" width="5.42578125" style="190" customWidth="1"/>
    <col min="9" max="9" width="13.42578125" style="190" customWidth="1"/>
    <col min="10" max="10" width="15.28515625" style="190" customWidth="1"/>
    <col min="11" max="11" width="18.5703125" customWidth="1"/>
    <col min="12" max="12" width="13" bestFit="1" customWidth="1"/>
    <col min="235" max="235" width="5.28515625" customWidth="1"/>
    <col min="236" max="236" width="15.7109375" customWidth="1"/>
    <col min="237" max="237" width="17" customWidth="1"/>
    <col min="238" max="238" width="37.5703125" customWidth="1"/>
    <col min="239" max="239" width="5.7109375" customWidth="1"/>
    <col min="240" max="240" width="12.140625" customWidth="1"/>
    <col min="241" max="241" width="14.85546875" customWidth="1"/>
    <col min="491" max="491" width="5.28515625" customWidth="1"/>
    <col min="492" max="492" width="15.7109375" customWidth="1"/>
    <col min="493" max="493" width="17" customWidth="1"/>
    <col min="494" max="494" width="37.5703125" customWidth="1"/>
    <col min="495" max="495" width="5.7109375" customWidth="1"/>
    <col min="496" max="496" width="12.140625" customWidth="1"/>
    <col min="497" max="497" width="14.85546875" customWidth="1"/>
    <col min="747" max="747" width="5.28515625" customWidth="1"/>
    <col min="748" max="748" width="15.7109375" customWidth="1"/>
    <col min="749" max="749" width="17" customWidth="1"/>
    <col min="750" max="750" width="37.5703125" customWidth="1"/>
    <col min="751" max="751" width="5.7109375" customWidth="1"/>
    <col min="752" max="752" width="12.140625" customWidth="1"/>
    <col min="753" max="753" width="14.85546875" customWidth="1"/>
    <col min="1003" max="1003" width="5.28515625" customWidth="1"/>
    <col min="1004" max="1004" width="15.7109375" customWidth="1"/>
    <col min="1005" max="1005" width="17" customWidth="1"/>
    <col min="1006" max="1006" width="37.5703125" customWidth="1"/>
    <col min="1007" max="1007" width="5.7109375" customWidth="1"/>
    <col min="1008" max="1008" width="12.140625" customWidth="1"/>
    <col min="1009" max="1009" width="14.85546875" customWidth="1"/>
    <col min="1259" max="1259" width="5.28515625" customWidth="1"/>
    <col min="1260" max="1260" width="15.7109375" customWidth="1"/>
    <col min="1261" max="1261" width="17" customWidth="1"/>
    <col min="1262" max="1262" width="37.5703125" customWidth="1"/>
    <col min="1263" max="1263" width="5.7109375" customWidth="1"/>
    <col min="1264" max="1264" width="12.140625" customWidth="1"/>
    <col min="1265" max="1265" width="14.85546875" customWidth="1"/>
    <col min="1515" max="1515" width="5.28515625" customWidth="1"/>
    <col min="1516" max="1516" width="15.7109375" customWidth="1"/>
    <col min="1517" max="1517" width="17" customWidth="1"/>
    <col min="1518" max="1518" width="37.5703125" customWidth="1"/>
    <col min="1519" max="1519" width="5.7109375" customWidth="1"/>
    <col min="1520" max="1520" width="12.140625" customWidth="1"/>
    <col min="1521" max="1521" width="14.85546875" customWidth="1"/>
    <col min="1771" max="1771" width="5.28515625" customWidth="1"/>
    <col min="1772" max="1772" width="15.7109375" customWidth="1"/>
    <col min="1773" max="1773" width="17" customWidth="1"/>
    <col min="1774" max="1774" width="37.5703125" customWidth="1"/>
    <col min="1775" max="1775" width="5.7109375" customWidth="1"/>
    <col min="1776" max="1776" width="12.140625" customWidth="1"/>
    <col min="1777" max="1777" width="14.85546875" customWidth="1"/>
    <col min="2027" max="2027" width="5.28515625" customWidth="1"/>
    <col min="2028" max="2028" width="15.7109375" customWidth="1"/>
    <col min="2029" max="2029" width="17" customWidth="1"/>
    <col min="2030" max="2030" width="37.5703125" customWidth="1"/>
    <col min="2031" max="2031" width="5.7109375" customWidth="1"/>
    <col min="2032" max="2032" width="12.140625" customWidth="1"/>
    <col min="2033" max="2033" width="14.85546875" customWidth="1"/>
    <col min="2283" max="2283" width="5.28515625" customWidth="1"/>
    <col min="2284" max="2284" width="15.7109375" customWidth="1"/>
    <col min="2285" max="2285" width="17" customWidth="1"/>
    <col min="2286" max="2286" width="37.5703125" customWidth="1"/>
    <col min="2287" max="2287" width="5.7109375" customWidth="1"/>
    <col min="2288" max="2288" width="12.140625" customWidth="1"/>
    <col min="2289" max="2289" width="14.85546875" customWidth="1"/>
    <col min="2539" max="2539" width="5.28515625" customWidth="1"/>
    <col min="2540" max="2540" width="15.7109375" customWidth="1"/>
    <col min="2541" max="2541" width="17" customWidth="1"/>
    <col min="2542" max="2542" width="37.5703125" customWidth="1"/>
    <col min="2543" max="2543" width="5.7109375" customWidth="1"/>
    <col min="2544" max="2544" width="12.140625" customWidth="1"/>
    <col min="2545" max="2545" width="14.85546875" customWidth="1"/>
    <col min="2795" max="2795" width="5.28515625" customWidth="1"/>
    <col min="2796" max="2796" width="15.7109375" customWidth="1"/>
    <col min="2797" max="2797" width="17" customWidth="1"/>
    <col min="2798" max="2798" width="37.5703125" customWidth="1"/>
    <col min="2799" max="2799" width="5.7109375" customWidth="1"/>
    <col min="2800" max="2800" width="12.140625" customWidth="1"/>
    <col min="2801" max="2801" width="14.85546875" customWidth="1"/>
    <col min="3051" max="3051" width="5.28515625" customWidth="1"/>
    <col min="3052" max="3052" width="15.7109375" customWidth="1"/>
    <col min="3053" max="3053" width="17" customWidth="1"/>
    <col min="3054" max="3054" width="37.5703125" customWidth="1"/>
    <col min="3055" max="3055" width="5.7109375" customWidth="1"/>
    <col min="3056" max="3056" width="12.140625" customWidth="1"/>
    <col min="3057" max="3057" width="14.85546875" customWidth="1"/>
    <col min="3307" max="3307" width="5.28515625" customWidth="1"/>
    <col min="3308" max="3308" width="15.7109375" customWidth="1"/>
    <col min="3309" max="3309" width="17" customWidth="1"/>
    <col min="3310" max="3310" width="37.5703125" customWidth="1"/>
    <col min="3311" max="3311" width="5.7109375" customWidth="1"/>
    <col min="3312" max="3312" width="12.140625" customWidth="1"/>
    <col min="3313" max="3313" width="14.85546875" customWidth="1"/>
    <col min="3563" max="3563" width="5.28515625" customWidth="1"/>
    <col min="3564" max="3564" width="15.7109375" customWidth="1"/>
    <col min="3565" max="3565" width="17" customWidth="1"/>
    <col min="3566" max="3566" width="37.5703125" customWidth="1"/>
    <col min="3567" max="3567" width="5.7109375" customWidth="1"/>
    <col min="3568" max="3568" width="12.140625" customWidth="1"/>
    <col min="3569" max="3569" width="14.85546875" customWidth="1"/>
    <col min="3819" max="3819" width="5.28515625" customWidth="1"/>
    <col min="3820" max="3820" width="15.7109375" customWidth="1"/>
    <col min="3821" max="3821" width="17" customWidth="1"/>
    <col min="3822" max="3822" width="37.5703125" customWidth="1"/>
    <col min="3823" max="3823" width="5.7109375" customWidth="1"/>
    <col min="3824" max="3824" width="12.140625" customWidth="1"/>
    <col min="3825" max="3825" width="14.85546875" customWidth="1"/>
    <col min="4075" max="4075" width="5.28515625" customWidth="1"/>
    <col min="4076" max="4076" width="15.7109375" customWidth="1"/>
    <col min="4077" max="4077" width="17" customWidth="1"/>
    <col min="4078" max="4078" width="37.5703125" customWidth="1"/>
    <col min="4079" max="4079" width="5.7109375" customWidth="1"/>
    <col min="4080" max="4080" width="12.140625" customWidth="1"/>
    <col min="4081" max="4081" width="14.85546875" customWidth="1"/>
    <col min="4331" max="4331" width="5.28515625" customWidth="1"/>
    <col min="4332" max="4332" width="15.7109375" customWidth="1"/>
    <col min="4333" max="4333" width="17" customWidth="1"/>
    <col min="4334" max="4334" width="37.5703125" customWidth="1"/>
    <col min="4335" max="4335" width="5.7109375" customWidth="1"/>
    <col min="4336" max="4336" width="12.140625" customWidth="1"/>
    <col min="4337" max="4337" width="14.85546875" customWidth="1"/>
    <col min="4587" max="4587" width="5.28515625" customWidth="1"/>
    <col min="4588" max="4588" width="15.7109375" customWidth="1"/>
    <col min="4589" max="4589" width="17" customWidth="1"/>
    <col min="4590" max="4590" width="37.5703125" customWidth="1"/>
    <col min="4591" max="4591" width="5.7109375" customWidth="1"/>
    <col min="4592" max="4592" width="12.140625" customWidth="1"/>
    <col min="4593" max="4593" width="14.85546875" customWidth="1"/>
    <col min="4843" max="4843" width="5.28515625" customWidth="1"/>
    <col min="4844" max="4844" width="15.7109375" customWidth="1"/>
    <col min="4845" max="4845" width="17" customWidth="1"/>
    <col min="4846" max="4846" width="37.5703125" customWidth="1"/>
    <col min="4847" max="4847" width="5.7109375" customWidth="1"/>
    <col min="4848" max="4848" width="12.140625" customWidth="1"/>
    <col min="4849" max="4849" width="14.85546875" customWidth="1"/>
    <col min="5099" max="5099" width="5.28515625" customWidth="1"/>
    <col min="5100" max="5100" width="15.7109375" customWidth="1"/>
    <col min="5101" max="5101" width="17" customWidth="1"/>
    <col min="5102" max="5102" width="37.5703125" customWidth="1"/>
    <col min="5103" max="5103" width="5.7109375" customWidth="1"/>
    <col min="5104" max="5104" width="12.140625" customWidth="1"/>
    <col min="5105" max="5105" width="14.85546875" customWidth="1"/>
    <col min="5355" max="5355" width="5.28515625" customWidth="1"/>
    <col min="5356" max="5356" width="15.7109375" customWidth="1"/>
    <col min="5357" max="5357" width="17" customWidth="1"/>
    <col min="5358" max="5358" width="37.5703125" customWidth="1"/>
    <col min="5359" max="5359" width="5.7109375" customWidth="1"/>
    <col min="5360" max="5360" width="12.140625" customWidth="1"/>
    <col min="5361" max="5361" width="14.85546875" customWidth="1"/>
    <col min="5611" max="5611" width="5.28515625" customWidth="1"/>
    <col min="5612" max="5612" width="15.7109375" customWidth="1"/>
    <col min="5613" max="5613" width="17" customWidth="1"/>
    <col min="5614" max="5614" width="37.5703125" customWidth="1"/>
    <col min="5615" max="5615" width="5.7109375" customWidth="1"/>
    <col min="5616" max="5616" width="12.140625" customWidth="1"/>
    <col min="5617" max="5617" width="14.85546875" customWidth="1"/>
    <col min="5867" max="5867" width="5.28515625" customWidth="1"/>
    <col min="5868" max="5868" width="15.7109375" customWidth="1"/>
    <col min="5869" max="5869" width="17" customWidth="1"/>
    <col min="5870" max="5870" width="37.5703125" customWidth="1"/>
    <col min="5871" max="5871" width="5.7109375" customWidth="1"/>
    <col min="5872" max="5872" width="12.140625" customWidth="1"/>
    <col min="5873" max="5873" width="14.85546875" customWidth="1"/>
    <col min="6123" max="6123" width="5.28515625" customWidth="1"/>
    <col min="6124" max="6124" width="15.7109375" customWidth="1"/>
    <col min="6125" max="6125" width="17" customWidth="1"/>
    <col min="6126" max="6126" width="37.5703125" customWidth="1"/>
    <col min="6127" max="6127" width="5.7109375" customWidth="1"/>
    <col min="6128" max="6128" width="12.140625" customWidth="1"/>
    <col min="6129" max="6129" width="14.85546875" customWidth="1"/>
    <col min="6379" max="6379" width="5.28515625" customWidth="1"/>
    <col min="6380" max="6380" width="15.7109375" customWidth="1"/>
    <col min="6381" max="6381" width="17" customWidth="1"/>
    <col min="6382" max="6382" width="37.5703125" customWidth="1"/>
    <col min="6383" max="6383" width="5.7109375" customWidth="1"/>
    <col min="6384" max="6384" width="12.140625" customWidth="1"/>
    <col min="6385" max="6385" width="14.85546875" customWidth="1"/>
    <col min="6635" max="6635" width="5.28515625" customWidth="1"/>
    <col min="6636" max="6636" width="15.7109375" customWidth="1"/>
    <col min="6637" max="6637" width="17" customWidth="1"/>
    <col min="6638" max="6638" width="37.5703125" customWidth="1"/>
    <col min="6639" max="6639" width="5.7109375" customWidth="1"/>
    <col min="6640" max="6640" width="12.140625" customWidth="1"/>
    <col min="6641" max="6641" width="14.85546875" customWidth="1"/>
    <col min="6891" max="6891" width="5.28515625" customWidth="1"/>
    <col min="6892" max="6892" width="15.7109375" customWidth="1"/>
    <col min="6893" max="6893" width="17" customWidth="1"/>
    <col min="6894" max="6894" width="37.5703125" customWidth="1"/>
    <col min="6895" max="6895" width="5.7109375" customWidth="1"/>
    <col min="6896" max="6896" width="12.140625" customWidth="1"/>
    <col min="6897" max="6897" width="14.85546875" customWidth="1"/>
    <col min="7147" max="7147" width="5.28515625" customWidth="1"/>
    <col min="7148" max="7148" width="15.7109375" customWidth="1"/>
    <col min="7149" max="7149" width="17" customWidth="1"/>
    <col min="7150" max="7150" width="37.5703125" customWidth="1"/>
    <col min="7151" max="7151" width="5.7109375" customWidth="1"/>
    <col min="7152" max="7152" width="12.140625" customWidth="1"/>
    <col min="7153" max="7153" width="14.85546875" customWidth="1"/>
    <col min="7403" max="7403" width="5.28515625" customWidth="1"/>
    <col min="7404" max="7404" width="15.7109375" customWidth="1"/>
    <col min="7405" max="7405" width="17" customWidth="1"/>
    <col min="7406" max="7406" width="37.5703125" customWidth="1"/>
    <col min="7407" max="7407" width="5.7109375" customWidth="1"/>
    <col min="7408" max="7408" width="12.140625" customWidth="1"/>
    <col min="7409" max="7409" width="14.85546875" customWidth="1"/>
    <col min="7659" max="7659" width="5.28515625" customWidth="1"/>
    <col min="7660" max="7660" width="15.7109375" customWidth="1"/>
    <col min="7661" max="7661" width="17" customWidth="1"/>
    <col min="7662" max="7662" width="37.5703125" customWidth="1"/>
    <col min="7663" max="7663" width="5.7109375" customWidth="1"/>
    <col min="7664" max="7664" width="12.140625" customWidth="1"/>
    <col min="7665" max="7665" width="14.85546875" customWidth="1"/>
    <col min="7915" max="7915" width="5.28515625" customWidth="1"/>
    <col min="7916" max="7916" width="15.7109375" customWidth="1"/>
    <col min="7917" max="7917" width="17" customWidth="1"/>
    <col min="7918" max="7918" width="37.5703125" customWidth="1"/>
    <col min="7919" max="7919" width="5.7109375" customWidth="1"/>
    <col min="7920" max="7920" width="12.140625" customWidth="1"/>
    <col min="7921" max="7921" width="14.85546875" customWidth="1"/>
    <col min="8171" max="8171" width="5.28515625" customWidth="1"/>
    <col min="8172" max="8172" width="15.7109375" customWidth="1"/>
    <col min="8173" max="8173" width="17" customWidth="1"/>
    <col min="8174" max="8174" width="37.5703125" customWidth="1"/>
    <col min="8175" max="8175" width="5.7109375" customWidth="1"/>
    <col min="8176" max="8176" width="12.140625" customWidth="1"/>
    <col min="8177" max="8177" width="14.85546875" customWidth="1"/>
    <col min="8427" max="8427" width="5.28515625" customWidth="1"/>
    <col min="8428" max="8428" width="15.7109375" customWidth="1"/>
    <col min="8429" max="8429" width="17" customWidth="1"/>
    <col min="8430" max="8430" width="37.5703125" customWidth="1"/>
    <col min="8431" max="8431" width="5.7109375" customWidth="1"/>
    <col min="8432" max="8432" width="12.140625" customWidth="1"/>
    <col min="8433" max="8433" width="14.85546875" customWidth="1"/>
    <col min="8683" max="8683" width="5.28515625" customWidth="1"/>
    <col min="8684" max="8684" width="15.7109375" customWidth="1"/>
    <col min="8685" max="8685" width="17" customWidth="1"/>
    <col min="8686" max="8686" width="37.5703125" customWidth="1"/>
    <col min="8687" max="8687" width="5.7109375" customWidth="1"/>
    <col min="8688" max="8688" width="12.140625" customWidth="1"/>
    <col min="8689" max="8689" width="14.85546875" customWidth="1"/>
    <col min="8939" max="8939" width="5.28515625" customWidth="1"/>
    <col min="8940" max="8940" width="15.7109375" customWidth="1"/>
    <col min="8941" max="8941" width="17" customWidth="1"/>
    <col min="8942" max="8942" width="37.5703125" customWidth="1"/>
    <col min="8943" max="8943" width="5.7109375" customWidth="1"/>
    <col min="8944" max="8944" width="12.140625" customWidth="1"/>
    <col min="8945" max="8945" width="14.85546875" customWidth="1"/>
    <col min="9195" max="9195" width="5.28515625" customWidth="1"/>
    <col min="9196" max="9196" width="15.7109375" customWidth="1"/>
    <col min="9197" max="9197" width="17" customWidth="1"/>
    <col min="9198" max="9198" width="37.5703125" customWidth="1"/>
    <col min="9199" max="9199" width="5.7109375" customWidth="1"/>
    <col min="9200" max="9200" width="12.140625" customWidth="1"/>
    <col min="9201" max="9201" width="14.85546875" customWidth="1"/>
    <col min="9451" max="9451" width="5.28515625" customWidth="1"/>
    <col min="9452" max="9452" width="15.7109375" customWidth="1"/>
    <col min="9453" max="9453" width="17" customWidth="1"/>
    <col min="9454" max="9454" width="37.5703125" customWidth="1"/>
    <col min="9455" max="9455" width="5.7109375" customWidth="1"/>
    <col min="9456" max="9456" width="12.140625" customWidth="1"/>
    <col min="9457" max="9457" width="14.85546875" customWidth="1"/>
    <col min="9707" max="9707" width="5.28515625" customWidth="1"/>
    <col min="9708" max="9708" width="15.7109375" customWidth="1"/>
    <col min="9709" max="9709" width="17" customWidth="1"/>
    <col min="9710" max="9710" width="37.5703125" customWidth="1"/>
    <col min="9711" max="9711" width="5.7109375" customWidth="1"/>
    <col min="9712" max="9712" width="12.140625" customWidth="1"/>
    <col min="9713" max="9713" width="14.85546875" customWidth="1"/>
    <col min="9963" max="9963" width="5.28515625" customWidth="1"/>
    <col min="9964" max="9964" width="15.7109375" customWidth="1"/>
    <col min="9965" max="9965" width="17" customWidth="1"/>
    <col min="9966" max="9966" width="37.5703125" customWidth="1"/>
    <col min="9967" max="9967" width="5.7109375" customWidth="1"/>
    <col min="9968" max="9968" width="12.140625" customWidth="1"/>
    <col min="9969" max="9969" width="14.85546875" customWidth="1"/>
    <col min="10219" max="10219" width="5.28515625" customWidth="1"/>
    <col min="10220" max="10220" width="15.7109375" customWidth="1"/>
    <col min="10221" max="10221" width="17" customWidth="1"/>
    <col min="10222" max="10222" width="37.5703125" customWidth="1"/>
    <col min="10223" max="10223" width="5.7109375" customWidth="1"/>
    <col min="10224" max="10224" width="12.140625" customWidth="1"/>
    <col min="10225" max="10225" width="14.85546875" customWidth="1"/>
    <col min="10475" max="10475" width="5.28515625" customWidth="1"/>
    <col min="10476" max="10476" width="15.7109375" customWidth="1"/>
    <col min="10477" max="10477" width="17" customWidth="1"/>
    <col min="10478" max="10478" width="37.5703125" customWidth="1"/>
    <col min="10479" max="10479" width="5.7109375" customWidth="1"/>
    <col min="10480" max="10480" width="12.140625" customWidth="1"/>
    <col min="10481" max="10481" width="14.85546875" customWidth="1"/>
    <col min="10731" max="10731" width="5.28515625" customWidth="1"/>
    <col min="10732" max="10732" width="15.7109375" customWidth="1"/>
    <col min="10733" max="10733" width="17" customWidth="1"/>
    <col min="10734" max="10734" width="37.5703125" customWidth="1"/>
    <col min="10735" max="10735" width="5.7109375" customWidth="1"/>
    <col min="10736" max="10736" width="12.140625" customWidth="1"/>
    <col min="10737" max="10737" width="14.85546875" customWidth="1"/>
    <col min="10987" max="10987" width="5.28515625" customWidth="1"/>
    <col min="10988" max="10988" width="15.7109375" customWidth="1"/>
    <col min="10989" max="10989" width="17" customWidth="1"/>
    <col min="10990" max="10990" width="37.5703125" customWidth="1"/>
    <col min="10991" max="10991" width="5.7109375" customWidth="1"/>
    <col min="10992" max="10992" width="12.140625" customWidth="1"/>
    <col min="10993" max="10993" width="14.85546875" customWidth="1"/>
    <col min="11243" max="11243" width="5.28515625" customWidth="1"/>
    <col min="11244" max="11244" width="15.7109375" customWidth="1"/>
    <col min="11245" max="11245" width="17" customWidth="1"/>
    <col min="11246" max="11246" width="37.5703125" customWidth="1"/>
    <col min="11247" max="11247" width="5.7109375" customWidth="1"/>
    <col min="11248" max="11248" width="12.140625" customWidth="1"/>
    <col min="11249" max="11249" width="14.85546875" customWidth="1"/>
    <col min="11499" max="11499" width="5.28515625" customWidth="1"/>
    <col min="11500" max="11500" width="15.7109375" customWidth="1"/>
    <col min="11501" max="11501" width="17" customWidth="1"/>
    <col min="11502" max="11502" width="37.5703125" customWidth="1"/>
    <col min="11503" max="11503" width="5.7109375" customWidth="1"/>
    <col min="11504" max="11504" width="12.140625" customWidth="1"/>
    <col min="11505" max="11505" width="14.85546875" customWidth="1"/>
    <col min="11755" max="11755" width="5.28515625" customWidth="1"/>
    <col min="11756" max="11756" width="15.7109375" customWidth="1"/>
    <col min="11757" max="11757" width="17" customWidth="1"/>
    <col min="11758" max="11758" width="37.5703125" customWidth="1"/>
    <col min="11759" max="11759" width="5.7109375" customWidth="1"/>
    <col min="11760" max="11760" width="12.140625" customWidth="1"/>
    <col min="11761" max="11761" width="14.85546875" customWidth="1"/>
    <col min="12011" max="12011" width="5.28515625" customWidth="1"/>
    <col min="12012" max="12012" width="15.7109375" customWidth="1"/>
    <col min="12013" max="12013" width="17" customWidth="1"/>
    <col min="12014" max="12014" width="37.5703125" customWidth="1"/>
    <col min="12015" max="12015" width="5.7109375" customWidth="1"/>
    <col min="12016" max="12016" width="12.140625" customWidth="1"/>
    <col min="12017" max="12017" width="14.85546875" customWidth="1"/>
    <col min="12267" max="12267" width="5.28515625" customWidth="1"/>
    <col min="12268" max="12268" width="15.7109375" customWidth="1"/>
    <col min="12269" max="12269" width="17" customWidth="1"/>
    <col min="12270" max="12270" width="37.5703125" customWidth="1"/>
    <col min="12271" max="12271" width="5.7109375" customWidth="1"/>
    <col min="12272" max="12272" width="12.140625" customWidth="1"/>
    <col min="12273" max="12273" width="14.85546875" customWidth="1"/>
    <col min="12523" max="12523" width="5.28515625" customWidth="1"/>
    <col min="12524" max="12524" width="15.7109375" customWidth="1"/>
    <col min="12525" max="12525" width="17" customWidth="1"/>
    <col min="12526" max="12526" width="37.5703125" customWidth="1"/>
    <col min="12527" max="12527" width="5.7109375" customWidth="1"/>
    <col min="12528" max="12528" width="12.140625" customWidth="1"/>
    <col min="12529" max="12529" width="14.85546875" customWidth="1"/>
    <col min="12779" max="12779" width="5.28515625" customWidth="1"/>
    <col min="12780" max="12780" width="15.7109375" customWidth="1"/>
    <col min="12781" max="12781" width="17" customWidth="1"/>
    <col min="12782" max="12782" width="37.5703125" customWidth="1"/>
    <col min="12783" max="12783" width="5.7109375" customWidth="1"/>
    <col min="12784" max="12784" width="12.140625" customWidth="1"/>
    <col min="12785" max="12785" width="14.85546875" customWidth="1"/>
    <col min="13035" max="13035" width="5.28515625" customWidth="1"/>
    <col min="13036" max="13036" width="15.7109375" customWidth="1"/>
    <col min="13037" max="13037" width="17" customWidth="1"/>
    <col min="13038" max="13038" width="37.5703125" customWidth="1"/>
    <col min="13039" max="13039" width="5.7109375" customWidth="1"/>
    <col min="13040" max="13040" width="12.140625" customWidth="1"/>
    <col min="13041" max="13041" width="14.85546875" customWidth="1"/>
    <col min="13291" max="13291" width="5.28515625" customWidth="1"/>
    <col min="13292" max="13292" width="15.7109375" customWidth="1"/>
    <col min="13293" max="13293" width="17" customWidth="1"/>
    <col min="13294" max="13294" width="37.5703125" customWidth="1"/>
    <col min="13295" max="13295" width="5.7109375" customWidth="1"/>
    <col min="13296" max="13296" width="12.140625" customWidth="1"/>
    <col min="13297" max="13297" width="14.85546875" customWidth="1"/>
    <col min="13547" max="13547" width="5.28515625" customWidth="1"/>
    <col min="13548" max="13548" width="15.7109375" customWidth="1"/>
    <col min="13549" max="13549" width="17" customWidth="1"/>
    <col min="13550" max="13550" width="37.5703125" customWidth="1"/>
    <col min="13551" max="13551" width="5.7109375" customWidth="1"/>
    <col min="13552" max="13552" width="12.140625" customWidth="1"/>
    <col min="13553" max="13553" width="14.85546875" customWidth="1"/>
    <col min="13803" max="13803" width="5.28515625" customWidth="1"/>
    <col min="13804" max="13804" width="15.7109375" customWidth="1"/>
    <col min="13805" max="13805" width="17" customWidth="1"/>
    <col min="13806" max="13806" width="37.5703125" customWidth="1"/>
    <col min="13807" max="13807" width="5.7109375" customWidth="1"/>
    <col min="13808" max="13808" width="12.140625" customWidth="1"/>
    <col min="13809" max="13809" width="14.85546875" customWidth="1"/>
    <col min="14059" max="14059" width="5.28515625" customWidth="1"/>
    <col min="14060" max="14060" width="15.7109375" customWidth="1"/>
    <col min="14061" max="14061" width="17" customWidth="1"/>
    <col min="14062" max="14062" width="37.5703125" customWidth="1"/>
    <col min="14063" max="14063" width="5.7109375" customWidth="1"/>
    <col min="14064" max="14064" width="12.140625" customWidth="1"/>
    <col min="14065" max="14065" width="14.85546875" customWidth="1"/>
    <col min="14315" max="14315" width="5.28515625" customWidth="1"/>
    <col min="14316" max="14316" width="15.7109375" customWidth="1"/>
    <col min="14317" max="14317" width="17" customWidth="1"/>
    <col min="14318" max="14318" width="37.5703125" customWidth="1"/>
    <col min="14319" max="14319" width="5.7109375" customWidth="1"/>
    <col min="14320" max="14320" width="12.140625" customWidth="1"/>
    <col min="14321" max="14321" width="14.85546875" customWidth="1"/>
    <col min="14571" max="14571" width="5.28515625" customWidth="1"/>
    <col min="14572" max="14572" width="15.7109375" customWidth="1"/>
    <col min="14573" max="14573" width="17" customWidth="1"/>
    <col min="14574" max="14574" width="37.5703125" customWidth="1"/>
    <col min="14575" max="14575" width="5.7109375" customWidth="1"/>
    <col min="14576" max="14576" width="12.140625" customWidth="1"/>
    <col min="14577" max="14577" width="14.85546875" customWidth="1"/>
    <col min="14827" max="14827" width="5.28515625" customWidth="1"/>
    <col min="14828" max="14828" width="15.7109375" customWidth="1"/>
    <col min="14829" max="14829" width="17" customWidth="1"/>
    <col min="14830" max="14830" width="37.5703125" customWidth="1"/>
    <col min="14831" max="14831" width="5.7109375" customWidth="1"/>
    <col min="14832" max="14832" width="12.140625" customWidth="1"/>
    <col min="14833" max="14833" width="14.85546875" customWidth="1"/>
    <col min="15083" max="15083" width="5.28515625" customWidth="1"/>
    <col min="15084" max="15084" width="15.7109375" customWidth="1"/>
    <col min="15085" max="15085" width="17" customWidth="1"/>
    <col min="15086" max="15086" width="37.5703125" customWidth="1"/>
    <col min="15087" max="15087" width="5.7109375" customWidth="1"/>
    <col min="15088" max="15088" width="12.140625" customWidth="1"/>
    <col min="15089" max="15089" width="14.85546875" customWidth="1"/>
    <col min="15339" max="15339" width="5.28515625" customWidth="1"/>
    <col min="15340" max="15340" width="15.7109375" customWidth="1"/>
    <col min="15341" max="15341" width="17" customWidth="1"/>
    <col min="15342" max="15342" width="37.5703125" customWidth="1"/>
    <col min="15343" max="15343" width="5.7109375" customWidth="1"/>
    <col min="15344" max="15344" width="12.140625" customWidth="1"/>
    <col min="15345" max="15345" width="14.85546875" customWidth="1"/>
    <col min="15595" max="15595" width="5.28515625" customWidth="1"/>
    <col min="15596" max="15596" width="15.7109375" customWidth="1"/>
    <col min="15597" max="15597" width="17" customWidth="1"/>
    <col min="15598" max="15598" width="37.5703125" customWidth="1"/>
    <col min="15599" max="15599" width="5.7109375" customWidth="1"/>
    <col min="15600" max="15600" width="12.140625" customWidth="1"/>
    <col min="15601" max="15601" width="14.85546875" customWidth="1"/>
    <col min="15851" max="15851" width="5.28515625" customWidth="1"/>
    <col min="15852" max="15852" width="15.7109375" customWidth="1"/>
    <col min="15853" max="15853" width="17" customWidth="1"/>
    <col min="15854" max="15854" width="37.5703125" customWidth="1"/>
    <col min="15855" max="15855" width="5.7109375" customWidth="1"/>
    <col min="15856" max="15856" width="12.140625" customWidth="1"/>
    <col min="15857" max="15857" width="14.85546875" customWidth="1"/>
    <col min="16107" max="16107" width="5.28515625" customWidth="1"/>
    <col min="16108" max="16108" width="15.7109375" customWidth="1"/>
    <col min="16109" max="16109" width="17" customWidth="1"/>
    <col min="16110" max="16110" width="37.5703125" customWidth="1"/>
    <col min="16111" max="16111" width="5.7109375" customWidth="1"/>
    <col min="16112" max="16112" width="12.140625" customWidth="1"/>
    <col min="16113" max="16113" width="14.85546875" customWidth="1"/>
  </cols>
  <sheetData>
    <row r="1" spans="1:11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  <c r="J1" s="307"/>
    </row>
    <row r="2" spans="1:11" s="64" customFormat="1" ht="19.5">
      <c r="A2" s="149"/>
      <c r="B2" s="343" t="s">
        <v>51</v>
      </c>
      <c r="C2" s="343"/>
      <c r="D2" s="343"/>
      <c r="E2" s="343"/>
      <c r="F2" s="343"/>
      <c r="G2" s="343"/>
      <c r="H2" s="343"/>
      <c r="I2" s="343"/>
      <c r="J2" s="343"/>
    </row>
    <row r="3" spans="1:11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1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  <c r="J4" s="310"/>
    </row>
    <row r="5" spans="1:11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  <c r="J5" s="309"/>
    </row>
    <row r="6" spans="1:11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  <c r="J6" s="310"/>
    </row>
    <row r="7" spans="1:11" s="63" customFormat="1" ht="12.75">
      <c r="A7" s="311" t="s">
        <v>46</v>
      </c>
      <c r="B7" s="311"/>
      <c r="C7" s="311"/>
      <c r="D7" s="311"/>
      <c r="E7" s="311"/>
      <c r="F7" s="311"/>
      <c r="G7" s="311"/>
      <c r="H7" s="311"/>
      <c r="I7" s="311"/>
      <c r="J7" s="311"/>
    </row>
    <row r="8" spans="1:11" s="61" customFormat="1" ht="15" customHeight="1">
      <c r="A8" s="62" t="s">
        <v>267</v>
      </c>
      <c r="H8" s="312" t="s">
        <v>45</v>
      </c>
      <c r="I8" s="312"/>
      <c r="J8" s="249">
        <v>46154</v>
      </c>
    </row>
    <row r="9" spans="1:11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  <c r="J9" s="56"/>
    </row>
    <row r="10" spans="1:11" s="54" customFormat="1" ht="132" customHeight="1">
      <c r="B10" s="127" t="s">
        <v>257</v>
      </c>
      <c r="C10" s="59"/>
      <c r="D10" s="56"/>
      <c r="E10" s="56"/>
      <c r="F10" s="56"/>
      <c r="G10" s="56"/>
      <c r="H10" s="56"/>
      <c r="I10" s="56"/>
      <c r="J10" s="56"/>
    </row>
    <row r="11" spans="1:11" s="54" customFormat="1" ht="18" customHeight="1">
      <c r="A11" s="55" t="s">
        <v>42</v>
      </c>
      <c r="C11" s="57"/>
      <c r="D11" s="56"/>
      <c r="E11" s="55"/>
      <c r="F11" s="55"/>
      <c r="G11" s="55"/>
      <c r="H11" s="55"/>
      <c r="I11" s="55"/>
      <c r="J11" s="55"/>
      <c r="K11" s="150"/>
    </row>
    <row r="12" spans="1:11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  <c r="J12" s="314"/>
    </row>
    <row r="13" spans="1:11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248"/>
      <c r="G13" s="248"/>
      <c r="H13" s="347"/>
      <c r="I13" s="348"/>
      <c r="J13" s="348"/>
    </row>
    <row r="14" spans="1:11" s="47" customFormat="1" ht="18" customHeight="1">
      <c r="A14" s="349" t="s">
        <v>36</v>
      </c>
      <c r="B14" s="350"/>
      <c r="C14" s="51" t="s">
        <v>184</v>
      </c>
      <c r="D14" s="51"/>
      <c r="G14" s="348" t="s">
        <v>269</v>
      </c>
      <c r="H14" s="348"/>
      <c r="I14" s="348"/>
      <c r="J14" s="351"/>
    </row>
    <row r="15" spans="1:11" s="29" customFormat="1" ht="27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186" t="s">
        <v>29</v>
      </c>
      <c r="F15" s="186" t="s">
        <v>155</v>
      </c>
      <c r="G15" s="186" t="s">
        <v>28</v>
      </c>
      <c r="H15" s="186" t="s">
        <v>27</v>
      </c>
      <c r="I15" s="186" t="s">
        <v>26</v>
      </c>
      <c r="J15" s="186" t="s">
        <v>25</v>
      </c>
    </row>
    <row r="16" spans="1:11" s="38" customFormat="1" ht="18.75" customHeight="1">
      <c r="A16" s="37">
        <v>1</v>
      </c>
      <c r="B16" s="83" t="s">
        <v>175</v>
      </c>
      <c r="C16" s="84" t="s">
        <v>241</v>
      </c>
      <c r="D16" s="85">
        <v>2</v>
      </c>
      <c r="E16" s="34">
        <v>91050</v>
      </c>
      <c r="F16" s="214">
        <v>0.1</v>
      </c>
      <c r="G16" s="31">
        <f>E16*90%*D16</f>
        <v>163890</v>
      </c>
      <c r="H16" s="88">
        <v>0.18</v>
      </c>
      <c r="I16" s="87">
        <f>G16*18%</f>
        <v>29500.199999999997</v>
      </c>
      <c r="J16" s="87">
        <f>I16+G16</f>
        <v>193390.2</v>
      </c>
      <c r="K16" s="39"/>
    </row>
    <row r="17" spans="1:11" s="38" customFormat="1" ht="18.75" customHeight="1">
      <c r="A17" s="43">
        <v>2</v>
      </c>
      <c r="B17" s="83" t="s">
        <v>123</v>
      </c>
      <c r="C17" s="84" t="s">
        <v>105</v>
      </c>
      <c r="D17" s="85">
        <v>4</v>
      </c>
      <c r="E17" s="34">
        <v>26596</v>
      </c>
      <c r="F17" s="263"/>
      <c r="G17" s="31">
        <f>E17*D17</f>
        <v>106384</v>
      </c>
      <c r="H17" s="253">
        <v>0.18</v>
      </c>
      <c r="I17" s="254">
        <f>G17*H17</f>
        <v>19149.12</v>
      </c>
      <c r="J17" s="255">
        <f>G17+I17</f>
        <v>125533.12</v>
      </c>
      <c r="K17" s="39"/>
    </row>
    <row r="18" spans="1:11" s="38" customFormat="1" ht="18.75" customHeight="1">
      <c r="A18" s="43"/>
      <c r="B18" s="181"/>
      <c r="C18" s="182" t="s">
        <v>102</v>
      </c>
      <c r="D18" s="85">
        <v>1</v>
      </c>
      <c r="E18" s="187">
        <v>3500</v>
      </c>
      <c r="F18" s="191"/>
      <c r="G18" s="31">
        <f>E18*D18</f>
        <v>3500</v>
      </c>
      <c r="H18" s="33">
        <v>0.18</v>
      </c>
      <c r="I18" s="32">
        <f>H18*G18</f>
        <v>630</v>
      </c>
      <c r="J18" s="31">
        <f>I18+G18</f>
        <v>4130</v>
      </c>
      <c r="K18" s="39"/>
    </row>
    <row r="19" spans="1:11" s="38" customFormat="1" ht="18.75" customHeight="1">
      <c r="A19" s="320" t="s">
        <v>20</v>
      </c>
      <c r="B19" s="321"/>
      <c r="C19" s="339"/>
      <c r="D19" s="28"/>
      <c r="E19" s="26"/>
      <c r="F19" s="26"/>
      <c r="G19" s="26">
        <f>SUM(G16:G18)</f>
        <v>273774</v>
      </c>
      <c r="H19" s="188"/>
      <c r="I19" s="26">
        <f>SUM(I16:I18)</f>
        <v>49279.319999999992</v>
      </c>
      <c r="J19" s="26">
        <f>SUM(J16:J18)</f>
        <v>323053.32</v>
      </c>
      <c r="K19" s="39"/>
    </row>
    <row r="20" spans="1:11" s="38" customFormat="1" ht="15" customHeight="1">
      <c r="A20" s="320" t="s">
        <v>19</v>
      </c>
      <c r="B20" s="321"/>
      <c r="C20" s="321"/>
      <c r="D20" s="321"/>
      <c r="E20" s="321"/>
      <c r="F20" s="360"/>
      <c r="G20" s="321"/>
      <c r="H20" s="321"/>
      <c r="I20" s="339"/>
      <c r="J20" s="24">
        <f>ROUND(J19,0)</f>
        <v>323053</v>
      </c>
      <c r="K20" s="39"/>
    </row>
    <row r="21" spans="1:11" s="38" customFormat="1" ht="18.75" customHeight="1">
      <c r="A21" s="323" t="s">
        <v>268</v>
      </c>
      <c r="B21" s="324"/>
      <c r="C21" s="324"/>
      <c r="D21" s="324"/>
      <c r="E21" s="324"/>
      <c r="F21" s="361"/>
      <c r="G21" s="324"/>
      <c r="H21" s="324"/>
      <c r="I21" s="324"/>
      <c r="J21" s="342"/>
      <c r="K21" s="39"/>
    </row>
    <row r="22" spans="1:11" s="3" customFormat="1" ht="11.25">
      <c r="A22" s="14" t="s">
        <v>16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1" s="6" customFormat="1" ht="21.75" customHeight="1">
      <c r="A23" s="11" t="s">
        <v>15</v>
      </c>
      <c r="B23" s="9"/>
      <c r="C23" s="10"/>
      <c r="D23" s="9"/>
      <c r="E23" s="8"/>
      <c r="F23" s="8"/>
      <c r="G23" s="8"/>
      <c r="H23" s="8"/>
      <c r="I23" s="3"/>
    </row>
    <row r="24" spans="1:11" s="6" customFormat="1" ht="16.5" customHeight="1">
      <c r="A24" s="5">
        <v>1</v>
      </c>
      <c r="B24" s="7" t="s">
        <v>14</v>
      </c>
      <c r="C24" s="326" t="s">
        <v>185</v>
      </c>
      <c r="D24" s="326"/>
      <c r="E24" s="326"/>
      <c r="F24" s="326"/>
      <c r="G24" s="326"/>
      <c r="H24" s="326"/>
      <c r="I24" s="326"/>
    </row>
    <row r="25" spans="1:11" s="6" customFormat="1" ht="16.5" customHeight="1">
      <c r="A25" s="5">
        <v>2</v>
      </c>
      <c r="B25" s="7" t="s">
        <v>12</v>
      </c>
      <c r="C25" s="245" t="s">
        <v>11</v>
      </c>
      <c r="D25" s="245"/>
      <c r="E25" s="245"/>
      <c r="F25" s="245"/>
      <c r="G25" s="245"/>
      <c r="H25" s="245"/>
      <c r="I25" s="245"/>
    </row>
    <row r="26" spans="1:11" s="6" customFormat="1" ht="18" customHeight="1">
      <c r="A26" s="5">
        <v>3</v>
      </c>
      <c r="B26" s="7" t="s">
        <v>10</v>
      </c>
      <c r="C26" s="245" t="s">
        <v>9</v>
      </c>
      <c r="D26" s="245"/>
      <c r="E26" s="245"/>
      <c r="F26" s="245"/>
      <c r="G26" s="245"/>
      <c r="H26" s="245"/>
      <c r="I26" s="245"/>
    </row>
    <row r="27" spans="1:11" s="6" customFormat="1" ht="16.5" customHeight="1">
      <c r="A27" s="5">
        <v>4</v>
      </c>
      <c r="B27" s="7" t="s">
        <v>7</v>
      </c>
      <c r="C27" s="245" t="s">
        <v>93</v>
      </c>
      <c r="D27" s="245"/>
      <c r="E27" s="245"/>
      <c r="F27" s="245"/>
      <c r="G27" s="245"/>
      <c r="H27" s="245"/>
      <c r="I27" s="245"/>
      <c r="J27" s="246" t="s">
        <v>8</v>
      </c>
    </row>
    <row r="28" spans="1:11" s="6" customFormat="1" ht="16.5" customHeight="1">
      <c r="A28" s="5">
        <v>5</v>
      </c>
      <c r="B28" s="7" t="s">
        <v>5</v>
      </c>
      <c r="C28" s="245" t="s">
        <v>4</v>
      </c>
      <c r="D28" s="245"/>
      <c r="E28" s="245"/>
      <c r="F28" s="245"/>
      <c r="G28" s="245"/>
      <c r="H28" s="245"/>
      <c r="I28" s="245"/>
    </row>
    <row r="29" spans="1:11" s="6" customFormat="1" ht="25.5" customHeight="1">
      <c r="A29" s="5">
        <v>6</v>
      </c>
      <c r="B29" s="247" t="s">
        <v>2</v>
      </c>
      <c r="C29" s="328" t="s">
        <v>1</v>
      </c>
      <c r="D29" s="326"/>
      <c r="E29" s="326"/>
      <c r="F29" s="326"/>
      <c r="G29" s="326"/>
      <c r="H29" s="326"/>
      <c r="I29" s="326"/>
      <c r="J29" s="246" t="s">
        <v>3</v>
      </c>
    </row>
    <row r="30" spans="1:11" s="166" customFormat="1" ht="24" customHeight="1">
      <c r="A30" s="161"/>
      <c r="B30" s="162"/>
      <c r="C30" s="163"/>
      <c r="D30" s="164"/>
      <c r="E30" s="189"/>
      <c r="F30" s="189"/>
      <c r="G30" s="189"/>
      <c r="H30" s="189"/>
      <c r="I30" s="189"/>
      <c r="J30" s="143" t="s">
        <v>0</v>
      </c>
    </row>
  </sheetData>
  <mergeCells count="19">
    <mergeCell ref="C29:I29"/>
    <mergeCell ref="A14:B14"/>
    <mergeCell ref="G14:J14"/>
    <mergeCell ref="A19:C19"/>
    <mergeCell ref="A20:I20"/>
    <mergeCell ref="A21:J21"/>
    <mergeCell ref="C24:I24"/>
    <mergeCell ref="A7:J7"/>
    <mergeCell ref="H8:I8"/>
    <mergeCell ref="A12:J12"/>
    <mergeCell ref="A13:B13"/>
    <mergeCell ref="D13:E13"/>
    <mergeCell ref="H13:J13"/>
    <mergeCell ref="A6:J6"/>
    <mergeCell ref="A1:J1"/>
    <mergeCell ref="B2:J2"/>
    <mergeCell ref="A3:J3"/>
    <mergeCell ref="A4:J4"/>
    <mergeCell ref="A5:J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35"/>
  <sheetViews>
    <sheetView topLeftCell="A7" workbookViewId="0">
      <selection activeCell="E20" sqref="E20"/>
    </sheetView>
  </sheetViews>
  <sheetFormatPr defaultRowHeight="15"/>
  <cols>
    <col min="1" max="1" width="5.28515625" customWidth="1"/>
    <col min="2" max="2" width="34.140625" style="2" customWidth="1"/>
    <col min="3" max="3" width="39.140625" style="2" customWidth="1"/>
    <col min="4" max="4" width="5.7109375" customWidth="1"/>
    <col min="5" max="5" width="13.5703125" style="219" bestFit="1" customWidth="1"/>
    <col min="6" max="6" width="8" style="219" customWidth="1"/>
    <col min="7" max="7" width="15.42578125" style="219" bestFit="1" customWidth="1"/>
    <col min="8" max="8" width="6.5703125" style="219" customWidth="1"/>
    <col min="9" max="9" width="13.5703125" style="219" bestFit="1" customWidth="1"/>
    <col min="10" max="10" width="17" style="219" bestFit="1" customWidth="1"/>
    <col min="11" max="11" width="13.14062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 customHeight="1">
      <c r="A1" s="307" t="s">
        <v>52</v>
      </c>
      <c r="B1" s="307"/>
      <c r="C1" s="307"/>
      <c r="D1" s="307"/>
      <c r="E1" s="307"/>
      <c r="F1" s="307"/>
      <c r="G1" s="307"/>
      <c r="H1" s="307"/>
      <c r="I1" s="307"/>
      <c r="J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  <c r="J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  <c r="J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  <c r="J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  <c r="J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  <c r="J7" s="311"/>
    </row>
    <row r="8" spans="1:10" s="61" customFormat="1" ht="19.5" customHeight="1">
      <c r="A8" s="62" t="s">
        <v>275</v>
      </c>
      <c r="G8" s="211"/>
      <c r="H8" s="211"/>
      <c r="I8" s="211" t="s">
        <v>45</v>
      </c>
      <c r="J8" s="257">
        <v>46154</v>
      </c>
    </row>
    <row r="9" spans="1:10" s="54" customFormat="1" ht="12.7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  <c r="J9" s="56"/>
    </row>
    <row r="10" spans="1:10" s="54" customFormat="1" ht="108" customHeight="1">
      <c r="B10" s="127" t="s">
        <v>204</v>
      </c>
      <c r="C10" s="59"/>
      <c r="D10" s="56"/>
      <c r="E10" s="56"/>
      <c r="F10" s="56"/>
      <c r="G10" s="56"/>
      <c r="H10" s="56"/>
      <c r="I10" s="56"/>
      <c r="J10" s="56"/>
    </row>
    <row r="11" spans="1:10" s="54" customFormat="1" ht="11.25" customHeight="1">
      <c r="A11" s="55" t="s">
        <v>42</v>
      </c>
      <c r="C11" s="57"/>
      <c r="D11" s="56"/>
      <c r="E11" s="55"/>
      <c r="F11" s="55"/>
      <c r="G11" s="55"/>
      <c r="H11" s="55"/>
      <c r="I11" s="55"/>
      <c r="J11" s="55"/>
    </row>
    <row r="12" spans="1:10" s="53" customFormat="1" ht="29.25" customHeight="1">
      <c r="A12" s="335" t="s">
        <v>40</v>
      </c>
      <c r="B12" s="335"/>
      <c r="C12" s="335"/>
      <c r="D12" s="335"/>
      <c r="E12" s="335"/>
      <c r="F12" s="335"/>
      <c r="G12" s="335"/>
      <c r="H12" s="335"/>
      <c r="I12" s="335"/>
      <c r="J12" s="335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259"/>
      <c r="G13" s="355"/>
      <c r="H13" s="356"/>
      <c r="I13" s="356"/>
      <c r="J13" s="356"/>
    </row>
    <row r="14" spans="1:10" s="47" customFormat="1" ht="18" customHeight="1">
      <c r="A14" s="258"/>
      <c r="B14" s="128" t="s">
        <v>205</v>
      </c>
      <c r="C14" s="51" t="s">
        <v>206</v>
      </c>
      <c r="D14" s="258"/>
      <c r="E14" s="49"/>
      <c r="F14" s="49"/>
      <c r="G14" s="357" t="s">
        <v>55</v>
      </c>
      <c r="H14" s="357"/>
      <c r="I14" s="357"/>
      <c r="J14" s="357"/>
    </row>
    <row r="15" spans="1:10" s="29" customFormat="1" ht="25.5">
      <c r="A15" s="46" t="s">
        <v>33</v>
      </c>
      <c r="B15" s="45" t="s">
        <v>32</v>
      </c>
      <c r="C15" s="45" t="s">
        <v>31</v>
      </c>
      <c r="D15" s="45" t="s">
        <v>30</v>
      </c>
      <c r="E15" s="212" t="s">
        <v>29</v>
      </c>
      <c r="F15" s="212" t="s">
        <v>155</v>
      </c>
      <c r="G15" s="212" t="s">
        <v>28</v>
      </c>
      <c r="H15" s="212" t="s">
        <v>27</v>
      </c>
      <c r="I15" s="212" t="s">
        <v>26</v>
      </c>
      <c r="J15" s="212" t="s">
        <v>25</v>
      </c>
    </row>
    <row r="16" spans="1:10" s="38" customFormat="1" ht="18.75" customHeight="1">
      <c r="A16" s="37">
        <v>1</v>
      </c>
      <c r="B16" s="213" t="s">
        <v>172</v>
      </c>
      <c r="C16" s="213" t="s">
        <v>270</v>
      </c>
      <c r="D16" s="35">
        <v>1</v>
      </c>
      <c r="E16" s="34">
        <v>1127</v>
      </c>
      <c r="F16" s="214">
        <v>0.1</v>
      </c>
      <c r="G16" s="31">
        <f t="shared" ref="G16:G21" si="0">E16*90%*D16</f>
        <v>1014.3000000000001</v>
      </c>
      <c r="H16" s="33">
        <v>0.18</v>
      </c>
      <c r="I16" s="32">
        <f t="shared" ref="I16:I21" si="1">H16*G16</f>
        <v>182.57400000000001</v>
      </c>
      <c r="J16" s="31">
        <f t="shared" ref="J16:J21" si="2">I16+G16</f>
        <v>1196.874</v>
      </c>
    </row>
    <row r="17" spans="1:10" s="38" customFormat="1" ht="18.75" customHeight="1">
      <c r="A17" s="37">
        <v>2</v>
      </c>
      <c r="B17" s="267" t="s">
        <v>252</v>
      </c>
      <c r="C17" s="213" t="s">
        <v>253</v>
      </c>
      <c r="D17" s="35">
        <v>1</v>
      </c>
      <c r="E17" s="34">
        <v>3244</v>
      </c>
      <c r="F17" s="214">
        <v>0.1</v>
      </c>
      <c r="G17" s="31">
        <f t="shared" si="0"/>
        <v>2919.6</v>
      </c>
      <c r="H17" s="33">
        <v>0.18</v>
      </c>
      <c r="I17" s="32">
        <f t="shared" si="1"/>
        <v>525.52800000000002</v>
      </c>
      <c r="J17" s="31">
        <f t="shared" si="2"/>
        <v>3445.1279999999997</v>
      </c>
    </row>
    <row r="18" spans="1:10" s="38" customFormat="1" ht="18.75" customHeight="1">
      <c r="A18" s="37">
        <v>3</v>
      </c>
      <c r="B18" s="267" t="s">
        <v>226</v>
      </c>
      <c r="C18" s="213" t="s">
        <v>271</v>
      </c>
      <c r="D18" s="35">
        <v>1</v>
      </c>
      <c r="E18" s="34">
        <v>2568</v>
      </c>
      <c r="F18" s="214">
        <v>0.1</v>
      </c>
      <c r="G18" s="31">
        <f t="shared" si="0"/>
        <v>2311.2000000000003</v>
      </c>
      <c r="H18" s="33">
        <v>0.18</v>
      </c>
      <c r="I18" s="32">
        <f t="shared" si="1"/>
        <v>416.01600000000002</v>
      </c>
      <c r="J18" s="31">
        <f t="shared" si="2"/>
        <v>2727.2160000000003</v>
      </c>
    </row>
    <row r="19" spans="1:10" s="38" customFormat="1" ht="18.75" customHeight="1">
      <c r="A19" s="37">
        <v>4</v>
      </c>
      <c r="B19" s="267" t="s">
        <v>168</v>
      </c>
      <c r="C19" s="213" t="s">
        <v>272</v>
      </c>
      <c r="D19" s="35">
        <v>1</v>
      </c>
      <c r="E19" s="34">
        <v>3381</v>
      </c>
      <c r="F19" s="214">
        <v>0.1</v>
      </c>
      <c r="G19" s="31">
        <f t="shared" si="0"/>
        <v>3042.9</v>
      </c>
      <c r="H19" s="33">
        <v>0.18</v>
      </c>
      <c r="I19" s="32">
        <f t="shared" si="1"/>
        <v>547.72199999999998</v>
      </c>
      <c r="J19" s="31">
        <f t="shared" si="2"/>
        <v>3590.6220000000003</v>
      </c>
    </row>
    <row r="20" spans="1:10" s="38" customFormat="1" ht="18.75" customHeight="1">
      <c r="A20" s="37">
        <v>5</v>
      </c>
      <c r="B20" s="213" t="s">
        <v>197</v>
      </c>
      <c r="C20" s="213" t="s">
        <v>273</v>
      </c>
      <c r="D20" s="35">
        <v>1</v>
      </c>
      <c r="E20" s="34">
        <v>13951</v>
      </c>
      <c r="F20" s="214">
        <v>0.1</v>
      </c>
      <c r="G20" s="31">
        <f t="shared" si="0"/>
        <v>12555.9</v>
      </c>
      <c r="H20" s="33">
        <v>0.18</v>
      </c>
      <c r="I20" s="32">
        <f t="shared" si="1"/>
        <v>2260.0619999999999</v>
      </c>
      <c r="J20" s="31">
        <f t="shared" si="2"/>
        <v>14815.962</v>
      </c>
    </row>
    <row r="21" spans="1:10" s="38" customFormat="1" ht="18.75" customHeight="1">
      <c r="A21" s="37">
        <v>6</v>
      </c>
      <c r="B21" s="267" t="s">
        <v>251</v>
      </c>
      <c r="C21" s="213" t="s">
        <v>274</v>
      </c>
      <c r="D21" s="35">
        <v>1</v>
      </c>
      <c r="E21" s="34">
        <v>2485</v>
      </c>
      <c r="F21" s="214">
        <v>0.1</v>
      </c>
      <c r="G21" s="31">
        <f t="shared" si="0"/>
        <v>2236.5</v>
      </c>
      <c r="H21" s="33">
        <v>0.18</v>
      </c>
      <c r="I21" s="32">
        <f t="shared" si="1"/>
        <v>402.57</v>
      </c>
      <c r="J21" s="31">
        <f t="shared" si="2"/>
        <v>2639.07</v>
      </c>
    </row>
    <row r="22" spans="1:10" s="38" customFormat="1" ht="15" customHeight="1">
      <c r="A22" s="320" t="s">
        <v>20</v>
      </c>
      <c r="B22" s="321"/>
      <c r="C22" s="339"/>
      <c r="D22" s="28"/>
      <c r="E22" s="26"/>
      <c r="F22" s="26"/>
      <c r="G22" s="26">
        <f>SUM(G16:G21)</f>
        <v>24080.400000000001</v>
      </c>
      <c r="H22" s="215"/>
      <c r="I22" s="26">
        <f>SUM(I16:I21)</f>
        <v>4334.4719999999998</v>
      </c>
      <c r="J22" s="26">
        <f>SUM(J16:J21)</f>
        <v>28414.871999999999</v>
      </c>
    </row>
    <row r="23" spans="1:10" s="38" customFormat="1" ht="15" customHeight="1">
      <c r="B23" s="216"/>
      <c r="C23" s="216"/>
      <c r="D23" s="216"/>
      <c r="E23" s="216"/>
      <c r="F23" s="216"/>
      <c r="G23" s="216"/>
      <c r="H23" s="216"/>
      <c r="I23" s="94" t="s">
        <v>19</v>
      </c>
      <c r="J23" s="24">
        <f>ROUND(J22,0)</f>
        <v>28415</v>
      </c>
    </row>
    <row r="24" spans="1:10" s="38" customFormat="1" ht="18.75" customHeight="1">
      <c r="A24" s="323" t="s">
        <v>276</v>
      </c>
      <c r="B24" s="324"/>
      <c r="C24" s="324"/>
      <c r="D24" s="324"/>
      <c r="E24" s="324"/>
      <c r="F24" s="324"/>
      <c r="G24" s="324"/>
      <c r="H24" s="324"/>
      <c r="I24" s="324"/>
      <c r="J24" s="324"/>
    </row>
    <row r="25" spans="1:10" s="3" customFormat="1" ht="11.25">
      <c r="A25" s="14" t="s">
        <v>16</v>
      </c>
      <c r="B25" s="12"/>
      <c r="C25" s="12"/>
      <c r="D25" s="12"/>
      <c r="E25" s="12"/>
      <c r="F25" s="12"/>
      <c r="G25" s="12"/>
      <c r="H25" s="12"/>
      <c r="I25" s="12"/>
      <c r="J25" s="13"/>
    </row>
    <row r="26" spans="1:10" s="6" customFormat="1" ht="21.75" customHeight="1">
      <c r="A26" s="11" t="s">
        <v>15</v>
      </c>
      <c r="B26" s="9"/>
      <c r="C26" s="10"/>
      <c r="D26" s="9"/>
      <c r="E26" s="8"/>
      <c r="F26" s="8"/>
      <c r="G26" s="8"/>
      <c r="H26" s="3"/>
      <c r="I26" s="3"/>
    </row>
    <row r="27" spans="1:10" s="6" customFormat="1" ht="21.75" customHeight="1">
      <c r="A27" s="5">
        <v>1</v>
      </c>
      <c r="B27" s="7" t="s">
        <v>14</v>
      </c>
      <c r="C27" s="260" t="s">
        <v>146</v>
      </c>
      <c r="D27" s="144"/>
      <c r="E27" s="8"/>
      <c r="F27" s="8"/>
      <c r="G27" s="8"/>
      <c r="H27" s="3"/>
      <c r="I27" s="3"/>
    </row>
    <row r="28" spans="1:10" s="6" customFormat="1" ht="21.75" customHeight="1">
      <c r="A28" s="5">
        <v>2</v>
      </c>
      <c r="B28" s="7" t="s">
        <v>12</v>
      </c>
      <c r="C28" s="260" t="s">
        <v>11</v>
      </c>
      <c r="D28" s="260"/>
      <c r="E28" s="8"/>
      <c r="F28" s="8"/>
      <c r="G28" s="8"/>
      <c r="H28" s="3"/>
      <c r="I28" s="3"/>
    </row>
    <row r="29" spans="1:10" s="6" customFormat="1" ht="21.75" customHeight="1">
      <c r="A29" s="5">
        <v>3</v>
      </c>
      <c r="B29" s="7" t="s">
        <v>10</v>
      </c>
      <c r="C29" s="260" t="s">
        <v>9</v>
      </c>
      <c r="D29" s="260"/>
      <c r="E29" s="260"/>
      <c r="F29" s="260"/>
      <c r="G29" s="260"/>
      <c r="H29" s="260"/>
      <c r="I29" s="260"/>
      <c r="J29" s="261" t="s">
        <v>8</v>
      </c>
    </row>
    <row r="30" spans="1:10" s="6" customFormat="1" ht="16.5" customHeight="1">
      <c r="A30" s="5">
        <v>4</v>
      </c>
      <c r="B30" s="7" t="s">
        <v>7</v>
      </c>
      <c r="C30" s="260" t="s">
        <v>93</v>
      </c>
      <c r="D30" s="260"/>
      <c r="E30" s="260"/>
      <c r="F30" s="260"/>
      <c r="G30" s="260"/>
      <c r="H30" s="260"/>
      <c r="I30" s="260"/>
    </row>
    <row r="31" spans="1:10" s="6" customFormat="1" ht="18" customHeight="1">
      <c r="A31" s="5">
        <v>5</v>
      </c>
      <c r="B31" s="7" t="s">
        <v>5</v>
      </c>
      <c r="C31" s="260" t="s">
        <v>4</v>
      </c>
      <c r="D31" s="260"/>
      <c r="E31" s="260"/>
      <c r="F31" s="260"/>
      <c r="G31" s="260"/>
      <c r="H31" s="260"/>
      <c r="I31" s="260"/>
      <c r="J31" s="261" t="s">
        <v>3</v>
      </c>
    </row>
    <row r="32" spans="1:10" s="6" customFormat="1" ht="23.25" customHeight="1">
      <c r="A32" s="217">
        <v>6</v>
      </c>
      <c r="B32" s="262" t="s">
        <v>2</v>
      </c>
      <c r="C32" s="328" t="s">
        <v>1</v>
      </c>
      <c r="D32" s="328"/>
      <c r="E32" s="328"/>
      <c r="F32" s="328"/>
      <c r="G32" s="328"/>
      <c r="H32" s="328"/>
      <c r="I32" s="328"/>
      <c r="J32" s="143" t="s">
        <v>0</v>
      </c>
    </row>
    <row r="33" spans="1:10" s="6" customFormat="1" ht="27.75" customHeight="1">
      <c r="D33" s="164"/>
    </row>
    <row r="34" spans="1:10" s="6" customFormat="1" ht="29.25" customHeight="1">
      <c r="A34" s="5"/>
    </row>
    <row r="35" spans="1:10" s="3" customFormat="1" ht="26.25" customHeight="1">
      <c r="A35" s="5"/>
      <c r="B35" s="218"/>
      <c r="C35" s="218"/>
      <c r="E35" s="219"/>
      <c r="F35" s="219"/>
      <c r="G35" s="219"/>
      <c r="H35" s="219"/>
      <c r="I35" s="219"/>
      <c r="J35" s="219"/>
    </row>
  </sheetData>
  <mergeCells count="15">
    <mergeCell ref="A6:J6"/>
    <mergeCell ref="A1:J1"/>
    <mergeCell ref="A2:J2"/>
    <mergeCell ref="A3:J3"/>
    <mergeCell ref="A4:J4"/>
    <mergeCell ref="A5:J5"/>
    <mergeCell ref="A22:C22"/>
    <mergeCell ref="A24:J24"/>
    <mergeCell ref="C32:I32"/>
    <mergeCell ref="A7:J7"/>
    <mergeCell ref="A12:J12"/>
    <mergeCell ref="A13:B13"/>
    <mergeCell ref="D13:E13"/>
    <mergeCell ref="G13:J13"/>
    <mergeCell ref="G14:J14"/>
  </mergeCells>
  <dataValidations count="2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16:B17 B19:B21">
      <formula1>100</formula1>
    </dataValidation>
    <dataValidation showInputMessage="1" showErrorMessage="1" error=" " promptTitle="Lookup (required)" prompt="This Product record must already exist in Microsoft Dynamics 365 or in this source file." sqref="C16:C21 B18"/>
  </dataValidation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31"/>
  <sheetViews>
    <sheetView topLeftCell="A2" workbookViewId="0">
      <selection activeCell="A8" sqref="A8"/>
    </sheetView>
  </sheetViews>
  <sheetFormatPr defaultRowHeight="15"/>
  <cols>
    <col min="1" max="1" width="5.28515625" customWidth="1"/>
    <col min="2" max="2" width="26.5703125" style="2" customWidth="1"/>
    <col min="3" max="3" width="37" style="2" bestFit="1" customWidth="1"/>
    <col min="4" max="4" width="5.7109375" customWidth="1"/>
    <col min="5" max="6" width="15.42578125" style="1" bestFit="1" customWidth="1"/>
    <col min="7" max="7" width="8.28515625" style="1" bestFit="1" customWidth="1"/>
    <col min="8" max="8" width="13.28515625" style="1" customWidth="1"/>
    <col min="9" max="9" width="15.140625" style="1" customWidth="1"/>
    <col min="10" max="10" width="14.85546875" bestFit="1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23.25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279</v>
      </c>
      <c r="F8" s="312" t="s">
        <v>45</v>
      </c>
      <c r="G8" s="312"/>
      <c r="H8" s="313">
        <v>46155</v>
      </c>
      <c r="I8" s="313"/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8"/>
    </row>
    <row r="10" spans="1:10" s="54" customFormat="1" ht="44.25" customHeight="1">
      <c r="B10" s="60" t="s">
        <v>278</v>
      </c>
      <c r="C10" s="59"/>
      <c r="D10" s="56"/>
      <c r="E10" s="56"/>
      <c r="F10" s="56"/>
      <c r="G10" s="56"/>
      <c r="H10" s="56"/>
      <c r="I10" s="58"/>
    </row>
    <row r="11" spans="1:10" s="54" customFormat="1" ht="12.75">
      <c r="A11" s="55" t="s">
        <v>42</v>
      </c>
      <c r="B11" s="54" t="s">
        <v>41</v>
      </c>
      <c r="C11" s="57"/>
      <c r="D11" s="56"/>
      <c r="E11" s="55"/>
      <c r="F11" s="55"/>
      <c r="G11" s="55"/>
      <c r="H11" s="55"/>
      <c r="I11" s="55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17"/>
      <c r="G13" s="318"/>
      <c r="H13" s="318"/>
      <c r="I13" s="319"/>
    </row>
    <row r="14" spans="1:10" s="47" customFormat="1" ht="18" customHeight="1">
      <c r="A14" s="265"/>
      <c r="B14" s="52" t="s">
        <v>282</v>
      </c>
      <c r="C14" s="51" t="s">
        <v>163</v>
      </c>
      <c r="D14" s="265"/>
      <c r="E14" s="49"/>
      <c r="F14" s="317" t="s">
        <v>281</v>
      </c>
      <c r="G14" s="318"/>
      <c r="H14" s="318"/>
      <c r="I14" s="266"/>
    </row>
    <row r="15" spans="1:10" s="29" customFormat="1" ht="33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44" t="s">
        <v>29</v>
      </c>
      <c r="F15" s="44" t="s">
        <v>28</v>
      </c>
      <c r="G15" s="44" t="s">
        <v>27</v>
      </c>
      <c r="H15" s="44" t="s">
        <v>26</v>
      </c>
      <c r="I15" s="44" t="s">
        <v>25</v>
      </c>
    </row>
    <row r="16" spans="1:10" s="38" customFormat="1">
      <c r="A16" s="43">
        <v>1</v>
      </c>
      <c r="B16" s="83" t="s">
        <v>24</v>
      </c>
      <c r="C16" s="84" t="s">
        <v>23</v>
      </c>
      <c r="D16" s="85">
        <v>2</v>
      </c>
      <c r="E16" s="40">
        <v>8867</v>
      </c>
      <c r="F16" s="31">
        <f>E16*D16</f>
        <v>17734</v>
      </c>
      <c r="G16" s="33">
        <v>0.18</v>
      </c>
      <c r="H16" s="32">
        <f>G16*F16</f>
        <v>3192.12</v>
      </c>
      <c r="I16" s="31">
        <f>H16+F16</f>
        <v>20926.12</v>
      </c>
      <c r="J16" s="39"/>
    </row>
    <row r="17" spans="1:11" s="38" customFormat="1">
      <c r="A17" s="43">
        <v>2</v>
      </c>
      <c r="B17" s="83" t="s">
        <v>277</v>
      </c>
      <c r="C17" s="84" t="s">
        <v>112</v>
      </c>
      <c r="D17" s="85">
        <v>1</v>
      </c>
      <c r="E17" s="40">
        <v>54127</v>
      </c>
      <c r="F17" s="31">
        <f>E17*D17</f>
        <v>54127</v>
      </c>
      <c r="G17" s="33">
        <v>0.18</v>
      </c>
      <c r="H17" s="32">
        <f>G17*F17</f>
        <v>9742.8599999999988</v>
      </c>
      <c r="I17" s="31">
        <f>H17+F17</f>
        <v>63869.86</v>
      </c>
      <c r="J17" s="39"/>
    </row>
    <row r="18" spans="1:11" s="29" customFormat="1">
      <c r="A18" s="37">
        <v>3</v>
      </c>
      <c r="B18" s="83" t="s">
        <v>123</v>
      </c>
      <c r="C18" s="84" t="s">
        <v>105</v>
      </c>
      <c r="D18" s="85">
        <v>1</v>
      </c>
      <c r="E18" s="34">
        <v>26596</v>
      </c>
      <c r="F18" s="31">
        <f>E18*D18</f>
        <v>26596</v>
      </c>
      <c r="G18" s="33">
        <v>0.18</v>
      </c>
      <c r="H18" s="32">
        <f>G18*F18</f>
        <v>4787.28</v>
      </c>
      <c r="I18" s="31">
        <f>H18+F18</f>
        <v>31383.279999999999</v>
      </c>
      <c r="J18" s="30"/>
    </row>
    <row r="19" spans="1:11" s="29" customFormat="1">
      <c r="A19" s="43"/>
      <c r="B19" s="268"/>
      <c r="C19" s="269" t="s">
        <v>102</v>
      </c>
      <c r="D19" s="85">
        <v>1</v>
      </c>
      <c r="E19" s="34">
        <v>1500</v>
      </c>
      <c r="F19" s="31">
        <f>E19*D19</f>
        <v>1500</v>
      </c>
      <c r="G19" s="33">
        <v>0.18</v>
      </c>
      <c r="H19" s="32">
        <f>G19*F19</f>
        <v>270</v>
      </c>
      <c r="I19" s="31">
        <f>H19+F19</f>
        <v>1770</v>
      </c>
      <c r="J19" s="30"/>
    </row>
    <row r="20" spans="1:11" s="22" customFormat="1" ht="15" customHeight="1">
      <c r="A20" s="320" t="s">
        <v>20</v>
      </c>
      <c r="B20" s="321"/>
      <c r="C20" s="322"/>
      <c r="D20" s="28"/>
      <c r="E20" s="26">
        <f>SUM(E16:E19)</f>
        <v>91090</v>
      </c>
      <c r="F20" s="26">
        <f>SUM(F16:F18)</f>
        <v>98457</v>
      </c>
      <c r="G20" s="27"/>
      <c r="H20" s="26">
        <f>SUM(H16:H18)</f>
        <v>17722.259999999998</v>
      </c>
      <c r="I20" s="26">
        <f>SUM(I16:I19)</f>
        <v>117949.26</v>
      </c>
      <c r="J20" s="25"/>
    </row>
    <row r="21" spans="1:11" s="22" customFormat="1" ht="17.25" customHeight="1">
      <c r="A21" s="320" t="s">
        <v>19</v>
      </c>
      <c r="B21" s="321"/>
      <c r="C21" s="321"/>
      <c r="D21" s="321"/>
      <c r="E21" s="321"/>
      <c r="F21" s="321"/>
      <c r="G21" s="321"/>
      <c r="H21" s="322"/>
      <c r="I21" s="24">
        <f>ROUND(I20,0)</f>
        <v>117949</v>
      </c>
      <c r="J21" s="23"/>
      <c r="K21" s="73"/>
    </row>
    <row r="22" spans="1:11" s="20" customFormat="1" ht="17.25" customHeight="1">
      <c r="A22" s="323" t="s">
        <v>280</v>
      </c>
      <c r="B22" s="324"/>
      <c r="C22" s="324"/>
      <c r="D22" s="324"/>
      <c r="E22" s="324"/>
      <c r="F22" s="324"/>
      <c r="G22" s="324"/>
      <c r="H22" s="324"/>
      <c r="I22" s="325"/>
      <c r="J22" s="21"/>
    </row>
    <row r="23" spans="1:11" s="15" customFormat="1" ht="17.25" customHeight="1">
      <c r="A23" s="19"/>
      <c r="B23" s="19"/>
      <c r="C23" s="18" t="s">
        <v>17</v>
      </c>
      <c r="D23" s="18"/>
      <c r="E23" s="18"/>
      <c r="F23" s="18"/>
      <c r="G23" s="18"/>
      <c r="H23" s="18"/>
      <c r="I23" s="17"/>
      <c r="J23" s="16"/>
    </row>
    <row r="24" spans="1:11" s="3" customFormat="1" ht="11.25">
      <c r="A24" s="14" t="s">
        <v>16</v>
      </c>
      <c r="B24" s="12"/>
      <c r="C24" s="12"/>
      <c r="D24" s="12"/>
      <c r="E24" s="12"/>
      <c r="F24" s="12"/>
      <c r="G24" s="12"/>
      <c r="H24" s="13"/>
      <c r="I24" s="12"/>
    </row>
    <row r="25" spans="1:11" s="6" customFormat="1" ht="13.5" customHeight="1">
      <c r="A25" s="11" t="s">
        <v>15</v>
      </c>
      <c r="B25" s="9"/>
      <c r="C25" s="10"/>
      <c r="D25" s="9"/>
      <c r="E25" s="8"/>
      <c r="F25" s="8"/>
      <c r="G25" s="3"/>
    </row>
    <row r="26" spans="1:11" s="6" customFormat="1" ht="11.25" customHeight="1">
      <c r="A26" s="5">
        <v>1</v>
      </c>
      <c r="B26" s="7" t="s">
        <v>14</v>
      </c>
      <c r="C26" s="326" t="s">
        <v>13</v>
      </c>
      <c r="D26" s="326"/>
      <c r="E26" s="326"/>
      <c r="F26" s="326"/>
      <c r="G26" s="326"/>
    </row>
    <row r="27" spans="1:11" s="6" customFormat="1" ht="13.5" customHeight="1">
      <c r="A27" s="5">
        <v>2</v>
      </c>
      <c r="B27" s="7" t="s">
        <v>12</v>
      </c>
      <c r="C27" s="326" t="s">
        <v>11</v>
      </c>
      <c r="D27" s="326"/>
      <c r="E27" s="326"/>
      <c r="F27" s="326"/>
      <c r="G27" s="326"/>
    </row>
    <row r="28" spans="1:11" s="6" customFormat="1" ht="12" customHeight="1">
      <c r="A28" s="5">
        <v>3</v>
      </c>
      <c r="B28" s="7" t="s">
        <v>10</v>
      </c>
      <c r="C28" s="326" t="s">
        <v>9</v>
      </c>
      <c r="D28" s="326"/>
      <c r="E28" s="326"/>
      <c r="F28" s="326"/>
      <c r="G28" s="326"/>
      <c r="H28" s="327" t="s">
        <v>8</v>
      </c>
      <c r="I28" s="327"/>
    </row>
    <row r="29" spans="1:11" s="6" customFormat="1" ht="11.25" customHeight="1">
      <c r="A29" s="5">
        <v>4</v>
      </c>
      <c r="B29" s="7" t="s">
        <v>7</v>
      </c>
      <c r="C29" s="326" t="s">
        <v>6</v>
      </c>
      <c r="D29" s="326"/>
      <c r="E29" s="326"/>
      <c r="F29" s="326"/>
      <c r="G29" s="326"/>
    </row>
    <row r="30" spans="1:11" s="6" customFormat="1" ht="11.25" customHeight="1">
      <c r="A30" s="5">
        <v>5</v>
      </c>
      <c r="B30" s="7" t="s">
        <v>5</v>
      </c>
      <c r="C30" s="326" t="s">
        <v>4</v>
      </c>
      <c r="D30" s="326"/>
      <c r="E30" s="326"/>
      <c r="F30" s="326"/>
      <c r="G30" s="326"/>
      <c r="H30" s="327" t="s">
        <v>3</v>
      </c>
      <c r="I30" s="327"/>
    </row>
    <row r="31" spans="1:11" s="3" customFormat="1" ht="26.25" customHeight="1">
      <c r="A31" s="5">
        <v>6</v>
      </c>
      <c r="B31" s="264" t="s">
        <v>2</v>
      </c>
      <c r="C31" s="328" t="s">
        <v>1</v>
      </c>
      <c r="D31" s="328"/>
      <c r="E31" s="328"/>
      <c r="F31" s="328"/>
      <c r="G31" s="328"/>
      <c r="H31" s="327" t="s">
        <v>0</v>
      </c>
      <c r="I31" s="327"/>
    </row>
  </sheetData>
  <mergeCells count="26">
    <mergeCell ref="C31:G31"/>
    <mergeCell ref="H31:I31"/>
    <mergeCell ref="F14:H14"/>
    <mergeCell ref="A20:C20"/>
    <mergeCell ref="A21:H21"/>
    <mergeCell ref="A22:I22"/>
    <mergeCell ref="C26:G26"/>
    <mergeCell ref="C27:G27"/>
    <mergeCell ref="C28:G28"/>
    <mergeCell ref="H28:I28"/>
    <mergeCell ref="C29:G29"/>
    <mergeCell ref="C30:G30"/>
    <mergeCell ref="H30:I30"/>
    <mergeCell ref="A7:I7"/>
    <mergeCell ref="F8:G8"/>
    <mergeCell ref="H8:I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29"/>
  <sheetViews>
    <sheetView topLeftCell="A2" workbookViewId="0">
      <selection activeCell="C10" sqref="C10"/>
    </sheetView>
  </sheetViews>
  <sheetFormatPr defaultRowHeight="15"/>
  <cols>
    <col min="1" max="1" width="5.28515625" customWidth="1"/>
    <col min="2" max="2" width="41.140625" style="2" customWidth="1"/>
    <col min="3" max="3" width="37.140625" style="2" customWidth="1"/>
    <col min="4" max="4" width="5.140625" customWidth="1"/>
    <col min="5" max="5" width="13.5703125" style="190" customWidth="1"/>
    <col min="6" max="6" width="15.28515625" style="190" customWidth="1"/>
    <col min="7" max="7" width="5.42578125" style="190" customWidth="1"/>
    <col min="8" max="8" width="13.42578125" style="190" customWidth="1"/>
    <col min="9" max="9" width="15.28515625" style="190" customWidth="1"/>
    <col min="10" max="10" width="18.5703125" customWidth="1"/>
    <col min="11" max="11" width="13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19.5">
      <c r="A2" s="149"/>
      <c r="B2" s="343" t="s">
        <v>51</v>
      </c>
      <c r="C2" s="343"/>
      <c r="D2" s="343"/>
      <c r="E2" s="343"/>
      <c r="F2" s="343"/>
      <c r="G2" s="343"/>
      <c r="H2" s="343"/>
      <c r="I2" s="343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283</v>
      </c>
      <c r="G8" s="312" t="s">
        <v>45</v>
      </c>
      <c r="H8" s="312"/>
      <c r="I8" s="274">
        <v>46156</v>
      </c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</row>
    <row r="10" spans="1:10" s="54" customFormat="1" ht="132" customHeight="1">
      <c r="B10" s="127" t="s">
        <v>257</v>
      </c>
      <c r="C10" s="59"/>
      <c r="D10" s="56"/>
      <c r="E10" s="56"/>
      <c r="F10" s="56"/>
      <c r="G10" s="56"/>
      <c r="H10" s="56"/>
      <c r="I10" s="56"/>
    </row>
    <row r="11" spans="1:10" s="54" customFormat="1" ht="18" customHeight="1">
      <c r="A11" s="55" t="s">
        <v>42</v>
      </c>
      <c r="C11" s="57"/>
      <c r="D11" s="56"/>
      <c r="E11" s="55"/>
      <c r="F11" s="55"/>
      <c r="G11" s="55"/>
      <c r="H11" s="55"/>
      <c r="I11" s="55"/>
      <c r="J11" s="150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273"/>
      <c r="G13" s="347"/>
      <c r="H13" s="348"/>
      <c r="I13" s="348"/>
    </row>
    <row r="14" spans="1:10" s="47" customFormat="1" ht="18" customHeight="1">
      <c r="A14" s="349" t="s">
        <v>36</v>
      </c>
      <c r="B14" s="350"/>
      <c r="C14" s="51" t="s">
        <v>184</v>
      </c>
      <c r="D14" s="51"/>
      <c r="F14" s="348" t="s">
        <v>269</v>
      </c>
      <c r="G14" s="348"/>
      <c r="H14" s="348"/>
      <c r="I14" s="351"/>
    </row>
    <row r="15" spans="1:10" s="29" customFormat="1" ht="27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186" t="s">
        <v>29</v>
      </c>
      <c r="F15" s="186" t="s">
        <v>28</v>
      </c>
      <c r="G15" s="186" t="s">
        <v>27</v>
      </c>
      <c r="H15" s="186" t="s">
        <v>26</v>
      </c>
      <c r="I15" s="186" t="s">
        <v>25</v>
      </c>
      <c r="J15" s="29">
        <f>66231+25796+31383+3500</f>
        <v>126910</v>
      </c>
    </row>
    <row r="16" spans="1:10" s="38" customFormat="1" ht="18.75" customHeight="1">
      <c r="A16" s="43">
        <v>2</v>
      </c>
      <c r="B16" s="84" t="s">
        <v>284</v>
      </c>
      <c r="C16" s="84" t="s">
        <v>285</v>
      </c>
      <c r="D16" s="85">
        <v>1</v>
      </c>
      <c r="E16" s="34">
        <v>50754</v>
      </c>
      <c r="F16" s="31">
        <f>E16*D16</f>
        <v>50754</v>
      </c>
      <c r="G16" s="253">
        <v>0.18</v>
      </c>
      <c r="H16" s="254">
        <f>F16*G16</f>
        <v>9135.7199999999993</v>
      </c>
      <c r="I16" s="255">
        <f>F16+H16</f>
        <v>59889.72</v>
      </c>
      <c r="J16" s="39"/>
    </row>
    <row r="17" spans="1:10" s="38" customFormat="1" ht="18.75" customHeight="1">
      <c r="A17" s="43"/>
      <c r="B17" s="181"/>
      <c r="C17" s="182" t="s">
        <v>102</v>
      </c>
      <c r="D17" s="85">
        <v>1</v>
      </c>
      <c r="E17" s="187">
        <v>300</v>
      </c>
      <c r="F17" s="31">
        <f>E17*D17</f>
        <v>300</v>
      </c>
      <c r="G17" s="33">
        <v>0.18</v>
      </c>
      <c r="H17" s="32">
        <f>G17*F17</f>
        <v>54</v>
      </c>
      <c r="I17" s="31">
        <f>H17+F17</f>
        <v>354</v>
      </c>
      <c r="J17" s="39"/>
    </row>
    <row r="18" spans="1:10" s="38" customFormat="1" ht="18.75" customHeight="1">
      <c r="A18" s="320" t="s">
        <v>20</v>
      </c>
      <c r="B18" s="321"/>
      <c r="C18" s="339"/>
      <c r="D18" s="28"/>
      <c r="E18" s="26"/>
      <c r="F18" s="26">
        <f>SUM(F16:F17)</f>
        <v>51054</v>
      </c>
      <c r="G18" s="188"/>
      <c r="H18" s="26">
        <f>SUM(H16:H17)</f>
        <v>9189.7199999999993</v>
      </c>
      <c r="I18" s="26">
        <f>SUM(I16:I17)</f>
        <v>60243.72</v>
      </c>
      <c r="J18" s="39"/>
    </row>
    <row r="19" spans="1:10" s="38" customFormat="1" ht="15" customHeight="1">
      <c r="A19" s="320" t="s">
        <v>19</v>
      </c>
      <c r="B19" s="321"/>
      <c r="C19" s="321"/>
      <c r="D19" s="321"/>
      <c r="E19" s="321"/>
      <c r="F19" s="321"/>
      <c r="G19" s="321"/>
      <c r="H19" s="339"/>
      <c r="I19" s="24">
        <f>ROUND(I18,0)</f>
        <v>60244</v>
      </c>
      <c r="J19" s="39"/>
    </row>
    <row r="20" spans="1:10" s="38" customFormat="1" ht="18.75" customHeight="1">
      <c r="A20" s="323" t="s">
        <v>286</v>
      </c>
      <c r="B20" s="324"/>
      <c r="C20" s="324"/>
      <c r="D20" s="324"/>
      <c r="E20" s="324"/>
      <c r="F20" s="324"/>
      <c r="G20" s="324"/>
      <c r="H20" s="324"/>
      <c r="I20" s="342"/>
      <c r="J20" s="39"/>
    </row>
    <row r="21" spans="1:10" s="3" customFormat="1" ht="11.25">
      <c r="A21" s="14" t="s">
        <v>16</v>
      </c>
      <c r="B21" s="12"/>
      <c r="C21" s="12"/>
      <c r="D21" s="12"/>
      <c r="E21" s="12"/>
      <c r="F21" s="12"/>
      <c r="G21" s="12"/>
      <c r="H21" s="12"/>
      <c r="I21" s="13"/>
    </row>
    <row r="22" spans="1:10" s="6" customFormat="1" ht="21.75" customHeight="1">
      <c r="A22" s="11" t="s">
        <v>15</v>
      </c>
      <c r="B22" s="9"/>
      <c r="C22" s="10"/>
      <c r="D22" s="9"/>
      <c r="E22" s="8"/>
      <c r="F22" s="8"/>
      <c r="G22" s="8"/>
      <c r="H22" s="3"/>
    </row>
    <row r="23" spans="1:10" s="6" customFormat="1" ht="16.5" customHeight="1">
      <c r="A23" s="5">
        <v>1</v>
      </c>
      <c r="B23" s="7" t="s">
        <v>14</v>
      </c>
      <c r="C23" s="326" t="s">
        <v>185</v>
      </c>
      <c r="D23" s="326"/>
      <c r="E23" s="326"/>
      <c r="F23" s="326"/>
      <c r="G23" s="326"/>
      <c r="H23" s="326"/>
    </row>
    <row r="24" spans="1:10" s="6" customFormat="1" ht="16.5" customHeight="1">
      <c r="A24" s="5">
        <v>2</v>
      </c>
      <c r="B24" s="7" t="s">
        <v>12</v>
      </c>
      <c r="C24" s="270" t="s">
        <v>11</v>
      </c>
      <c r="D24" s="270"/>
      <c r="E24" s="270"/>
      <c r="F24" s="270"/>
      <c r="G24" s="270"/>
      <c r="H24" s="270"/>
    </row>
    <row r="25" spans="1:10" s="6" customFormat="1" ht="18" customHeight="1">
      <c r="A25" s="5">
        <v>3</v>
      </c>
      <c r="B25" s="7" t="s">
        <v>10</v>
      </c>
      <c r="C25" s="270" t="s">
        <v>9</v>
      </c>
      <c r="D25" s="270"/>
      <c r="E25" s="270"/>
      <c r="F25" s="270"/>
      <c r="G25" s="270"/>
      <c r="H25" s="270"/>
    </row>
    <row r="26" spans="1:10" s="6" customFormat="1" ht="16.5" customHeight="1">
      <c r="A26" s="5">
        <v>4</v>
      </c>
      <c r="B26" s="7" t="s">
        <v>7</v>
      </c>
      <c r="C26" s="270" t="s">
        <v>93</v>
      </c>
      <c r="D26" s="270"/>
      <c r="E26" s="270"/>
      <c r="F26" s="270"/>
      <c r="G26" s="270"/>
      <c r="H26" s="270"/>
      <c r="I26" s="271" t="s">
        <v>8</v>
      </c>
    </row>
    <row r="27" spans="1:10" s="6" customFormat="1" ht="16.5" customHeight="1">
      <c r="A27" s="5">
        <v>5</v>
      </c>
      <c r="B27" s="7" t="s">
        <v>5</v>
      </c>
      <c r="C27" s="270" t="s">
        <v>4</v>
      </c>
      <c r="D27" s="270"/>
      <c r="E27" s="270"/>
      <c r="F27" s="270"/>
      <c r="G27" s="270"/>
      <c r="H27" s="270"/>
    </row>
    <row r="28" spans="1:10" s="6" customFormat="1" ht="25.5" customHeight="1">
      <c r="A28" s="5">
        <v>6</v>
      </c>
      <c r="B28" s="272" t="s">
        <v>2</v>
      </c>
      <c r="C28" s="328" t="s">
        <v>1</v>
      </c>
      <c r="D28" s="326"/>
      <c r="E28" s="326"/>
      <c r="F28" s="326"/>
      <c r="G28" s="326"/>
      <c r="H28" s="326"/>
      <c r="I28" s="271" t="s">
        <v>3</v>
      </c>
    </row>
    <row r="29" spans="1:10" s="166" customFormat="1" ht="24" customHeight="1">
      <c r="A29" s="161"/>
      <c r="B29" s="162"/>
      <c r="C29" s="163"/>
      <c r="D29" s="164"/>
      <c r="E29" s="189"/>
      <c r="F29" s="189"/>
      <c r="G29" s="189"/>
      <c r="H29" s="189"/>
      <c r="I29" s="143" t="s">
        <v>0</v>
      </c>
    </row>
  </sheetData>
  <mergeCells count="19">
    <mergeCell ref="C28:H28"/>
    <mergeCell ref="A14:B14"/>
    <mergeCell ref="F14:I14"/>
    <mergeCell ref="A18:C18"/>
    <mergeCell ref="A19:H19"/>
    <mergeCell ref="A20:I20"/>
    <mergeCell ref="C23:H23"/>
    <mergeCell ref="A7:I7"/>
    <mergeCell ref="G8:H8"/>
    <mergeCell ref="A12:I12"/>
    <mergeCell ref="A13:B13"/>
    <mergeCell ref="D13:E13"/>
    <mergeCell ref="G13:I13"/>
    <mergeCell ref="A6:I6"/>
    <mergeCell ref="A1:I1"/>
    <mergeCell ref="B2:I2"/>
    <mergeCell ref="A3:I3"/>
    <mergeCell ref="A4:I4"/>
    <mergeCell ref="A5:I5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38"/>
  <sheetViews>
    <sheetView topLeftCell="A2" workbookViewId="0">
      <selection activeCell="A3" sqref="A3:I3"/>
    </sheetView>
  </sheetViews>
  <sheetFormatPr defaultRowHeight="15"/>
  <cols>
    <col min="1" max="1" width="5.28515625" customWidth="1"/>
    <col min="2" max="2" width="34" style="2" customWidth="1"/>
    <col min="3" max="3" width="38.85546875" style="2" bestFit="1" customWidth="1"/>
    <col min="4" max="4" width="5.7109375" customWidth="1"/>
    <col min="5" max="6" width="15.42578125" style="244" bestFit="1" customWidth="1"/>
    <col min="7" max="7" width="6.5703125" style="244" customWidth="1"/>
    <col min="8" max="8" width="13.5703125" style="244" bestFit="1" customWidth="1"/>
    <col min="9" max="9" width="17" style="244" bestFit="1" customWidth="1"/>
    <col min="10" max="10" width="11.85546875" bestFit="1" customWidth="1"/>
    <col min="233" max="233" width="5.28515625" customWidth="1"/>
    <col min="234" max="234" width="15.7109375" customWidth="1"/>
    <col min="235" max="235" width="17" customWidth="1"/>
    <col min="236" max="236" width="37.5703125" customWidth="1"/>
    <col min="237" max="237" width="5.7109375" customWidth="1"/>
    <col min="238" max="238" width="12.140625" customWidth="1"/>
    <col min="239" max="239" width="14.85546875" customWidth="1"/>
    <col min="489" max="489" width="5.28515625" customWidth="1"/>
    <col min="490" max="490" width="15.7109375" customWidth="1"/>
    <col min="491" max="491" width="17" customWidth="1"/>
    <col min="492" max="492" width="37.5703125" customWidth="1"/>
    <col min="493" max="493" width="5.7109375" customWidth="1"/>
    <col min="494" max="494" width="12.140625" customWidth="1"/>
    <col min="495" max="495" width="14.85546875" customWidth="1"/>
    <col min="745" max="745" width="5.28515625" customWidth="1"/>
    <col min="746" max="746" width="15.7109375" customWidth="1"/>
    <col min="747" max="747" width="17" customWidth="1"/>
    <col min="748" max="748" width="37.5703125" customWidth="1"/>
    <col min="749" max="749" width="5.7109375" customWidth="1"/>
    <col min="750" max="750" width="12.140625" customWidth="1"/>
    <col min="751" max="751" width="14.85546875" customWidth="1"/>
    <col min="1001" max="1001" width="5.28515625" customWidth="1"/>
    <col min="1002" max="1002" width="15.7109375" customWidth="1"/>
    <col min="1003" max="1003" width="17" customWidth="1"/>
    <col min="1004" max="1004" width="37.5703125" customWidth="1"/>
    <col min="1005" max="1005" width="5.7109375" customWidth="1"/>
    <col min="1006" max="1006" width="12.140625" customWidth="1"/>
    <col min="1007" max="1007" width="14.85546875" customWidth="1"/>
    <col min="1257" max="1257" width="5.28515625" customWidth="1"/>
    <col min="1258" max="1258" width="15.7109375" customWidth="1"/>
    <col min="1259" max="1259" width="17" customWidth="1"/>
    <col min="1260" max="1260" width="37.5703125" customWidth="1"/>
    <col min="1261" max="1261" width="5.7109375" customWidth="1"/>
    <col min="1262" max="1262" width="12.140625" customWidth="1"/>
    <col min="1263" max="1263" width="14.85546875" customWidth="1"/>
    <col min="1513" max="1513" width="5.28515625" customWidth="1"/>
    <col min="1514" max="1514" width="15.7109375" customWidth="1"/>
    <col min="1515" max="1515" width="17" customWidth="1"/>
    <col min="1516" max="1516" width="37.5703125" customWidth="1"/>
    <col min="1517" max="1517" width="5.7109375" customWidth="1"/>
    <col min="1518" max="1518" width="12.140625" customWidth="1"/>
    <col min="1519" max="1519" width="14.85546875" customWidth="1"/>
    <col min="1769" max="1769" width="5.28515625" customWidth="1"/>
    <col min="1770" max="1770" width="15.7109375" customWidth="1"/>
    <col min="1771" max="1771" width="17" customWidth="1"/>
    <col min="1772" max="1772" width="37.5703125" customWidth="1"/>
    <col min="1773" max="1773" width="5.7109375" customWidth="1"/>
    <col min="1774" max="1774" width="12.140625" customWidth="1"/>
    <col min="1775" max="1775" width="14.85546875" customWidth="1"/>
    <col min="2025" max="2025" width="5.28515625" customWidth="1"/>
    <col min="2026" max="2026" width="15.7109375" customWidth="1"/>
    <col min="2027" max="2027" width="17" customWidth="1"/>
    <col min="2028" max="2028" width="37.5703125" customWidth="1"/>
    <col min="2029" max="2029" width="5.7109375" customWidth="1"/>
    <col min="2030" max="2030" width="12.140625" customWidth="1"/>
    <col min="2031" max="2031" width="14.85546875" customWidth="1"/>
    <col min="2281" max="2281" width="5.28515625" customWidth="1"/>
    <col min="2282" max="2282" width="15.7109375" customWidth="1"/>
    <col min="2283" max="2283" width="17" customWidth="1"/>
    <col min="2284" max="2284" width="37.5703125" customWidth="1"/>
    <col min="2285" max="2285" width="5.7109375" customWidth="1"/>
    <col min="2286" max="2286" width="12.140625" customWidth="1"/>
    <col min="2287" max="2287" width="14.85546875" customWidth="1"/>
    <col min="2537" max="2537" width="5.28515625" customWidth="1"/>
    <col min="2538" max="2538" width="15.7109375" customWidth="1"/>
    <col min="2539" max="2539" width="17" customWidth="1"/>
    <col min="2540" max="2540" width="37.5703125" customWidth="1"/>
    <col min="2541" max="2541" width="5.7109375" customWidth="1"/>
    <col min="2542" max="2542" width="12.140625" customWidth="1"/>
    <col min="2543" max="2543" width="14.85546875" customWidth="1"/>
    <col min="2793" max="2793" width="5.28515625" customWidth="1"/>
    <col min="2794" max="2794" width="15.7109375" customWidth="1"/>
    <col min="2795" max="2795" width="17" customWidth="1"/>
    <col min="2796" max="2796" width="37.5703125" customWidth="1"/>
    <col min="2797" max="2797" width="5.7109375" customWidth="1"/>
    <col min="2798" max="2798" width="12.140625" customWidth="1"/>
    <col min="2799" max="2799" width="14.85546875" customWidth="1"/>
    <col min="3049" max="3049" width="5.28515625" customWidth="1"/>
    <col min="3050" max="3050" width="15.7109375" customWidth="1"/>
    <col min="3051" max="3051" width="17" customWidth="1"/>
    <col min="3052" max="3052" width="37.5703125" customWidth="1"/>
    <col min="3053" max="3053" width="5.7109375" customWidth="1"/>
    <col min="3054" max="3054" width="12.140625" customWidth="1"/>
    <col min="3055" max="3055" width="14.85546875" customWidth="1"/>
    <col min="3305" max="3305" width="5.28515625" customWidth="1"/>
    <col min="3306" max="3306" width="15.7109375" customWidth="1"/>
    <col min="3307" max="3307" width="17" customWidth="1"/>
    <col min="3308" max="3308" width="37.5703125" customWidth="1"/>
    <col min="3309" max="3309" width="5.7109375" customWidth="1"/>
    <col min="3310" max="3310" width="12.140625" customWidth="1"/>
    <col min="3311" max="3311" width="14.85546875" customWidth="1"/>
    <col min="3561" max="3561" width="5.28515625" customWidth="1"/>
    <col min="3562" max="3562" width="15.7109375" customWidth="1"/>
    <col min="3563" max="3563" width="17" customWidth="1"/>
    <col min="3564" max="3564" width="37.5703125" customWidth="1"/>
    <col min="3565" max="3565" width="5.7109375" customWidth="1"/>
    <col min="3566" max="3566" width="12.140625" customWidth="1"/>
    <col min="3567" max="3567" width="14.85546875" customWidth="1"/>
    <col min="3817" max="3817" width="5.28515625" customWidth="1"/>
    <col min="3818" max="3818" width="15.7109375" customWidth="1"/>
    <col min="3819" max="3819" width="17" customWidth="1"/>
    <col min="3820" max="3820" width="37.5703125" customWidth="1"/>
    <col min="3821" max="3821" width="5.7109375" customWidth="1"/>
    <col min="3822" max="3822" width="12.140625" customWidth="1"/>
    <col min="3823" max="3823" width="14.85546875" customWidth="1"/>
    <col min="4073" max="4073" width="5.28515625" customWidth="1"/>
    <col min="4074" max="4074" width="15.7109375" customWidth="1"/>
    <col min="4075" max="4075" width="17" customWidth="1"/>
    <col min="4076" max="4076" width="37.5703125" customWidth="1"/>
    <col min="4077" max="4077" width="5.7109375" customWidth="1"/>
    <col min="4078" max="4078" width="12.140625" customWidth="1"/>
    <col min="4079" max="4079" width="14.85546875" customWidth="1"/>
    <col min="4329" max="4329" width="5.28515625" customWidth="1"/>
    <col min="4330" max="4330" width="15.7109375" customWidth="1"/>
    <col min="4331" max="4331" width="17" customWidth="1"/>
    <col min="4332" max="4332" width="37.5703125" customWidth="1"/>
    <col min="4333" max="4333" width="5.7109375" customWidth="1"/>
    <col min="4334" max="4334" width="12.140625" customWidth="1"/>
    <col min="4335" max="4335" width="14.85546875" customWidth="1"/>
    <col min="4585" max="4585" width="5.28515625" customWidth="1"/>
    <col min="4586" max="4586" width="15.7109375" customWidth="1"/>
    <col min="4587" max="4587" width="17" customWidth="1"/>
    <col min="4588" max="4588" width="37.5703125" customWidth="1"/>
    <col min="4589" max="4589" width="5.7109375" customWidth="1"/>
    <col min="4590" max="4590" width="12.140625" customWidth="1"/>
    <col min="4591" max="4591" width="14.85546875" customWidth="1"/>
    <col min="4841" max="4841" width="5.28515625" customWidth="1"/>
    <col min="4842" max="4842" width="15.7109375" customWidth="1"/>
    <col min="4843" max="4843" width="17" customWidth="1"/>
    <col min="4844" max="4844" width="37.5703125" customWidth="1"/>
    <col min="4845" max="4845" width="5.7109375" customWidth="1"/>
    <col min="4846" max="4846" width="12.140625" customWidth="1"/>
    <col min="4847" max="4847" width="14.85546875" customWidth="1"/>
    <col min="5097" max="5097" width="5.28515625" customWidth="1"/>
    <col min="5098" max="5098" width="15.7109375" customWidth="1"/>
    <col min="5099" max="5099" width="17" customWidth="1"/>
    <col min="5100" max="5100" width="37.5703125" customWidth="1"/>
    <col min="5101" max="5101" width="5.7109375" customWidth="1"/>
    <col min="5102" max="5102" width="12.140625" customWidth="1"/>
    <col min="5103" max="5103" width="14.85546875" customWidth="1"/>
    <col min="5353" max="5353" width="5.28515625" customWidth="1"/>
    <col min="5354" max="5354" width="15.7109375" customWidth="1"/>
    <col min="5355" max="5355" width="17" customWidth="1"/>
    <col min="5356" max="5356" width="37.5703125" customWidth="1"/>
    <col min="5357" max="5357" width="5.7109375" customWidth="1"/>
    <col min="5358" max="5358" width="12.140625" customWidth="1"/>
    <col min="5359" max="5359" width="14.85546875" customWidth="1"/>
    <col min="5609" max="5609" width="5.28515625" customWidth="1"/>
    <col min="5610" max="5610" width="15.7109375" customWidth="1"/>
    <col min="5611" max="5611" width="17" customWidth="1"/>
    <col min="5612" max="5612" width="37.5703125" customWidth="1"/>
    <col min="5613" max="5613" width="5.7109375" customWidth="1"/>
    <col min="5614" max="5614" width="12.140625" customWidth="1"/>
    <col min="5615" max="5615" width="14.85546875" customWidth="1"/>
    <col min="5865" max="5865" width="5.28515625" customWidth="1"/>
    <col min="5866" max="5866" width="15.7109375" customWidth="1"/>
    <col min="5867" max="5867" width="17" customWidth="1"/>
    <col min="5868" max="5868" width="37.5703125" customWidth="1"/>
    <col min="5869" max="5869" width="5.7109375" customWidth="1"/>
    <col min="5870" max="5870" width="12.140625" customWidth="1"/>
    <col min="5871" max="5871" width="14.85546875" customWidth="1"/>
    <col min="6121" max="6121" width="5.28515625" customWidth="1"/>
    <col min="6122" max="6122" width="15.7109375" customWidth="1"/>
    <col min="6123" max="6123" width="17" customWidth="1"/>
    <col min="6124" max="6124" width="37.5703125" customWidth="1"/>
    <col min="6125" max="6125" width="5.7109375" customWidth="1"/>
    <col min="6126" max="6126" width="12.140625" customWidth="1"/>
    <col min="6127" max="6127" width="14.85546875" customWidth="1"/>
    <col min="6377" max="6377" width="5.28515625" customWidth="1"/>
    <col min="6378" max="6378" width="15.7109375" customWidth="1"/>
    <col min="6379" max="6379" width="17" customWidth="1"/>
    <col min="6380" max="6380" width="37.5703125" customWidth="1"/>
    <col min="6381" max="6381" width="5.7109375" customWidth="1"/>
    <col min="6382" max="6382" width="12.140625" customWidth="1"/>
    <col min="6383" max="6383" width="14.85546875" customWidth="1"/>
    <col min="6633" max="6633" width="5.28515625" customWidth="1"/>
    <col min="6634" max="6634" width="15.7109375" customWidth="1"/>
    <col min="6635" max="6635" width="17" customWidth="1"/>
    <col min="6636" max="6636" width="37.5703125" customWidth="1"/>
    <col min="6637" max="6637" width="5.7109375" customWidth="1"/>
    <col min="6638" max="6638" width="12.140625" customWidth="1"/>
    <col min="6639" max="6639" width="14.85546875" customWidth="1"/>
    <col min="6889" max="6889" width="5.28515625" customWidth="1"/>
    <col min="6890" max="6890" width="15.7109375" customWidth="1"/>
    <col min="6891" max="6891" width="17" customWidth="1"/>
    <col min="6892" max="6892" width="37.5703125" customWidth="1"/>
    <col min="6893" max="6893" width="5.7109375" customWidth="1"/>
    <col min="6894" max="6894" width="12.140625" customWidth="1"/>
    <col min="6895" max="6895" width="14.85546875" customWidth="1"/>
    <col min="7145" max="7145" width="5.28515625" customWidth="1"/>
    <col min="7146" max="7146" width="15.7109375" customWidth="1"/>
    <col min="7147" max="7147" width="17" customWidth="1"/>
    <col min="7148" max="7148" width="37.5703125" customWidth="1"/>
    <col min="7149" max="7149" width="5.7109375" customWidth="1"/>
    <col min="7150" max="7150" width="12.140625" customWidth="1"/>
    <col min="7151" max="7151" width="14.85546875" customWidth="1"/>
    <col min="7401" max="7401" width="5.28515625" customWidth="1"/>
    <col min="7402" max="7402" width="15.7109375" customWidth="1"/>
    <col min="7403" max="7403" width="17" customWidth="1"/>
    <col min="7404" max="7404" width="37.5703125" customWidth="1"/>
    <col min="7405" max="7405" width="5.7109375" customWidth="1"/>
    <col min="7406" max="7406" width="12.140625" customWidth="1"/>
    <col min="7407" max="7407" width="14.85546875" customWidth="1"/>
    <col min="7657" max="7657" width="5.28515625" customWidth="1"/>
    <col min="7658" max="7658" width="15.7109375" customWidth="1"/>
    <col min="7659" max="7659" width="17" customWidth="1"/>
    <col min="7660" max="7660" width="37.5703125" customWidth="1"/>
    <col min="7661" max="7661" width="5.7109375" customWidth="1"/>
    <col min="7662" max="7662" width="12.140625" customWidth="1"/>
    <col min="7663" max="7663" width="14.85546875" customWidth="1"/>
    <col min="7913" max="7913" width="5.28515625" customWidth="1"/>
    <col min="7914" max="7914" width="15.7109375" customWidth="1"/>
    <col min="7915" max="7915" width="17" customWidth="1"/>
    <col min="7916" max="7916" width="37.5703125" customWidth="1"/>
    <col min="7917" max="7917" width="5.7109375" customWidth="1"/>
    <col min="7918" max="7918" width="12.140625" customWidth="1"/>
    <col min="7919" max="7919" width="14.85546875" customWidth="1"/>
    <col min="8169" max="8169" width="5.28515625" customWidth="1"/>
    <col min="8170" max="8170" width="15.7109375" customWidth="1"/>
    <col min="8171" max="8171" width="17" customWidth="1"/>
    <col min="8172" max="8172" width="37.5703125" customWidth="1"/>
    <col min="8173" max="8173" width="5.7109375" customWidth="1"/>
    <col min="8174" max="8174" width="12.140625" customWidth="1"/>
    <col min="8175" max="8175" width="14.85546875" customWidth="1"/>
    <col min="8425" max="8425" width="5.28515625" customWidth="1"/>
    <col min="8426" max="8426" width="15.7109375" customWidth="1"/>
    <col min="8427" max="8427" width="17" customWidth="1"/>
    <col min="8428" max="8428" width="37.5703125" customWidth="1"/>
    <col min="8429" max="8429" width="5.7109375" customWidth="1"/>
    <col min="8430" max="8430" width="12.140625" customWidth="1"/>
    <col min="8431" max="8431" width="14.85546875" customWidth="1"/>
    <col min="8681" max="8681" width="5.28515625" customWidth="1"/>
    <col min="8682" max="8682" width="15.7109375" customWidth="1"/>
    <col min="8683" max="8683" width="17" customWidth="1"/>
    <col min="8684" max="8684" width="37.5703125" customWidth="1"/>
    <col min="8685" max="8685" width="5.7109375" customWidth="1"/>
    <col min="8686" max="8686" width="12.140625" customWidth="1"/>
    <col min="8687" max="8687" width="14.85546875" customWidth="1"/>
    <col min="8937" max="8937" width="5.28515625" customWidth="1"/>
    <col min="8938" max="8938" width="15.7109375" customWidth="1"/>
    <col min="8939" max="8939" width="17" customWidth="1"/>
    <col min="8940" max="8940" width="37.5703125" customWidth="1"/>
    <col min="8941" max="8941" width="5.7109375" customWidth="1"/>
    <col min="8942" max="8942" width="12.140625" customWidth="1"/>
    <col min="8943" max="8943" width="14.85546875" customWidth="1"/>
    <col min="9193" max="9193" width="5.28515625" customWidth="1"/>
    <col min="9194" max="9194" width="15.7109375" customWidth="1"/>
    <col min="9195" max="9195" width="17" customWidth="1"/>
    <col min="9196" max="9196" width="37.5703125" customWidth="1"/>
    <col min="9197" max="9197" width="5.7109375" customWidth="1"/>
    <col min="9198" max="9198" width="12.140625" customWidth="1"/>
    <col min="9199" max="9199" width="14.85546875" customWidth="1"/>
    <col min="9449" max="9449" width="5.28515625" customWidth="1"/>
    <col min="9450" max="9450" width="15.7109375" customWidth="1"/>
    <col min="9451" max="9451" width="17" customWidth="1"/>
    <col min="9452" max="9452" width="37.5703125" customWidth="1"/>
    <col min="9453" max="9453" width="5.7109375" customWidth="1"/>
    <col min="9454" max="9454" width="12.140625" customWidth="1"/>
    <col min="9455" max="9455" width="14.85546875" customWidth="1"/>
    <col min="9705" max="9705" width="5.28515625" customWidth="1"/>
    <col min="9706" max="9706" width="15.7109375" customWidth="1"/>
    <col min="9707" max="9707" width="17" customWidth="1"/>
    <col min="9708" max="9708" width="37.5703125" customWidth="1"/>
    <col min="9709" max="9709" width="5.7109375" customWidth="1"/>
    <col min="9710" max="9710" width="12.140625" customWidth="1"/>
    <col min="9711" max="9711" width="14.85546875" customWidth="1"/>
    <col min="9961" max="9961" width="5.28515625" customWidth="1"/>
    <col min="9962" max="9962" width="15.7109375" customWidth="1"/>
    <col min="9963" max="9963" width="17" customWidth="1"/>
    <col min="9964" max="9964" width="37.5703125" customWidth="1"/>
    <col min="9965" max="9965" width="5.7109375" customWidth="1"/>
    <col min="9966" max="9966" width="12.140625" customWidth="1"/>
    <col min="9967" max="9967" width="14.85546875" customWidth="1"/>
    <col min="10217" max="10217" width="5.28515625" customWidth="1"/>
    <col min="10218" max="10218" width="15.7109375" customWidth="1"/>
    <col min="10219" max="10219" width="17" customWidth="1"/>
    <col min="10220" max="10220" width="37.5703125" customWidth="1"/>
    <col min="10221" max="10221" width="5.7109375" customWidth="1"/>
    <col min="10222" max="10222" width="12.140625" customWidth="1"/>
    <col min="10223" max="10223" width="14.85546875" customWidth="1"/>
    <col min="10473" max="10473" width="5.28515625" customWidth="1"/>
    <col min="10474" max="10474" width="15.7109375" customWidth="1"/>
    <col min="10475" max="10475" width="17" customWidth="1"/>
    <col min="10476" max="10476" width="37.5703125" customWidth="1"/>
    <col min="10477" max="10477" width="5.7109375" customWidth="1"/>
    <col min="10478" max="10478" width="12.140625" customWidth="1"/>
    <col min="10479" max="10479" width="14.85546875" customWidth="1"/>
    <col min="10729" max="10729" width="5.28515625" customWidth="1"/>
    <col min="10730" max="10730" width="15.7109375" customWidth="1"/>
    <col min="10731" max="10731" width="17" customWidth="1"/>
    <col min="10732" max="10732" width="37.5703125" customWidth="1"/>
    <col min="10733" max="10733" width="5.7109375" customWidth="1"/>
    <col min="10734" max="10734" width="12.140625" customWidth="1"/>
    <col min="10735" max="10735" width="14.85546875" customWidth="1"/>
    <col min="10985" max="10985" width="5.28515625" customWidth="1"/>
    <col min="10986" max="10986" width="15.7109375" customWidth="1"/>
    <col min="10987" max="10987" width="17" customWidth="1"/>
    <col min="10988" max="10988" width="37.5703125" customWidth="1"/>
    <col min="10989" max="10989" width="5.7109375" customWidth="1"/>
    <col min="10990" max="10990" width="12.140625" customWidth="1"/>
    <col min="10991" max="10991" width="14.85546875" customWidth="1"/>
    <col min="11241" max="11241" width="5.28515625" customWidth="1"/>
    <col min="11242" max="11242" width="15.7109375" customWidth="1"/>
    <col min="11243" max="11243" width="17" customWidth="1"/>
    <col min="11244" max="11244" width="37.5703125" customWidth="1"/>
    <col min="11245" max="11245" width="5.7109375" customWidth="1"/>
    <col min="11246" max="11246" width="12.140625" customWidth="1"/>
    <col min="11247" max="11247" width="14.85546875" customWidth="1"/>
    <col min="11497" max="11497" width="5.28515625" customWidth="1"/>
    <col min="11498" max="11498" width="15.7109375" customWidth="1"/>
    <col min="11499" max="11499" width="17" customWidth="1"/>
    <col min="11500" max="11500" width="37.5703125" customWidth="1"/>
    <col min="11501" max="11501" width="5.7109375" customWidth="1"/>
    <col min="11502" max="11502" width="12.140625" customWidth="1"/>
    <col min="11503" max="11503" width="14.85546875" customWidth="1"/>
    <col min="11753" max="11753" width="5.28515625" customWidth="1"/>
    <col min="11754" max="11754" width="15.7109375" customWidth="1"/>
    <col min="11755" max="11755" width="17" customWidth="1"/>
    <col min="11756" max="11756" width="37.5703125" customWidth="1"/>
    <col min="11757" max="11757" width="5.7109375" customWidth="1"/>
    <col min="11758" max="11758" width="12.140625" customWidth="1"/>
    <col min="11759" max="11759" width="14.85546875" customWidth="1"/>
    <col min="12009" max="12009" width="5.28515625" customWidth="1"/>
    <col min="12010" max="12010" width="15.7109375" customWidth="1"/>
    <col min="12011" max="12011" width="17" customWidth="1"/>
    <col min="12012" max="12012" width="37.5703125" customWidth="1"/>
    <col min="12013" max="12013" width="5.7109375" customWidth="1"/>
    <col min="12014" max="12014" width="12.140625" customWidth="1"/>
    <col min="12015" max="12015" width="14.85546875" customWidth="1"/>
    <col min="12265" max="12265" width="5.28515625" customWidth="1"/>
    <col min="12266" max="12266" width="15.7109375" customWidth="1"/>
    <col min="12267" max="12267" width="17" customWidth="1"/>
    <col min="12268" max="12268" width="37.5703125" customWidth="1"/>
    <col min="12269" max="12269" width="5.7109375" customWidth="1"/>
    <col min="12270" max="12270" width="12.140625" customWidth="1"/>
    <col min="12271" max="12271" width="14.85546875" customWidth="1"/>
    <col min="12521" max="12521" width="5.28515625" customWidth="1"/>
    <col min="12522" max="12522" width="15.7109375" customWidth="1"/>
    <col min="12523" max="12523" width="17" customWidth="1"/>
    <col min="12524" max="12524" width="37.5703125" customWidth="1"/>
    <col min="12525" max="12525" width="5.7109375" customWidth="1"/>
    <col min="12526" max="12526" width="12.140625" customWidth="1"/>
    <col min="12527" max="12527" width="14.85546875" customWidth="1"/>
    <col min="12777" max="12777" width="5.28515625" customWidth="1"/>
    <col min="12778" max="12778" width="15.7109375" customWidth="1"/>
    <col min="12779" max="12779" width="17" customWidth="1"/>
    <col min="12780" max="12780" width="37.5703125" customWidth="1"/>
    <col min="12781" max="12781" width="5.7109375" customWidth="1"/>
    <col min="12782" max="12782" width="12.140625" customWidth="1"/>
    <col min="12783" max="12783" width="14.85546875" customWidth="1"/>
    <col min="13033" max="13033" width="5.28515625" customWidth="1"/>
    <col min="13034" max="13034" width="15.7109375" customWidth="1"/>
    <col min="13035" max="13035" width="17" customWidth="1"/>
    <col min="13036" max="13036" width="37.5703125" customWidth="1"/>
    <col min="13037" max="13037" width="5.7109375" customWidth="1"/>
    <col min="13038" max="13038" width="12.140625" customWidth="1"/>
    <col min="13039" max="13039" width="14.85546875" customWidth="1"/>
    <col min="13289" max="13289" width="5.28515625" customWidth="1"/>
    <col min="13290" max="13290" width="15.7109375" customWidth="1"/>
    <col min="13291" max="13291" width="17" customWidth="1"/>
    <col min="13292" max="13292" width="37.5703125" customWidth="1"/>
    <col min="13293" max="13293" width="5.7109375" customWidth="1"/>
    <col min="13294" max="13294" width="12.140625" customWidth="1"/>
    <col min="13295" max="13295" width="14.85546875" customWidth="1"/>
    <col min="13545" max="13545" width="5.28515625" customWidth="1"/>
    <col min="13546" max="13546" width="15.7109375" customWidth="1"/>
    <col min="13547" max="13547" width="17" customWidth="1"/>
    <col min="13548" max="13548" width="37.5703125" customWidth="1"/>
    <col min="13549" max="13549" width="5.7109375" customWidth="1"/>
    <col min="13550" max="13550" width="12.140625" customWidth="1"/>
    <col min="13551" max="13551" width="14.85546875" customWidth="1"/>
    <col min="13801" max="13801" width="5.28515625" customWidth="1"/>
    <col min="13802" max="13802" width="15.7109375" customWidth="1"/>
    <col min="13803" max="13803" width="17" customWidth="1"/>
    <col min="13804" max="13804" width="37.5703125" customWidth="1"/>
    <col min="13805" max="13805" width="5.7109375" customWidth="1"/>
    <col min="13806" max="13806" width="12.140625" customWidth="1"/>
    <col min="13807" max="13807" width="14.85546875" customWidth="1"/>
    <col min="14057" max="14057" width="5.28515625" customWidth="1"/>
    <col min="14058" max="14058" width="15.7109375" customWidth="1"/>
    <col min="14059" max="14059" width="17" customWidth="1"/>
    <col min="14060" max="14060" width="37.5703125" customWidth="1"/>
    <col min="14061" max="14061" width="5.7109375" customWidth="1"/>
    <col min="14062" max="14062" width="12.140625" customWidth="1"/>
    <col min="14063" max="14063" width="14.85546875" customWidth="1"/>
    <col min="14313" max="14313" width="5.28515625" customWidth="1"/>
    <col min="14314" max="14314" width="15.7109375" customWidth="1"/>
    <col min="14315" max="14315" width="17" customWidth="1"/>
    <col min="14316" max="14316" width="37.5703125" customWidth="1"/>
    <col min="14317" max="14317" width="5.7109375" customWidth="1"/>
    <col min="14318" max="14318" width="12.140625" customWidth="1"/>
    <col min="14319" max="14319" width="14.85546875" customWidth="1"/>
    <col min="14569" max="14569" width="5.28515625" customWidth="1"/>
    <col min="14570" max="14570" width="15.7109375" customWidth="1"/>
    <col min="14571" max="14571" width="17" customWidth="1"/>
    <col min="14572" max="14572" width="37.5703125" customWidth="1"/>
    <col min="14573" max="14573" width="5.7109375" customWidth="1"/>
    <col min="14574" max="14574" width="12.140625" customWidth="1"/>
    <col min="14575" max="14575" width="14.85546875" customWidth="1"/>
    <col min="14825" max="14825" width="5.28515625" customWidth="1"/>
    <col min="14826" max="14826" width="15.7109375" customWidth="1"/>
    <col min="14827" max="14827" width="17" customWidth="1"/>
    <col min="14828" max="14828" width="37.5703125" customWidth="1"/>
    <col min="14829" max="14829" width="5.7109375" customWidth="1"/>
    <col min="14830" max="14830" width="12.140625" customWidth="1"/>
    <col min="14831" max="14831" width="14.85546875" customWidth="1"/>
    <col min="15081" max="15081" width="5.28515625" customWidth="1"/>
    <col min="15082" max="15082" width="15.7109375" customWidth="1"/>
    <col min="15083" max="15083" width="17" customWidth="1"/>
    <col min="15084" max="15084" width="37.5703125" customWidth="1"/>
    <col min="15085" max="15085" width="5.7109375" customWidth="1"/>
    <col min="15086" max="15086" width="12.140625" customWidth="1"/>
    <col min="15087" max="15087" width="14.85546875" customWidth="1"/>
    <col min="15337" max="15337" width="5.28515625" customWidth="1"/>
    <col min="15338" max="15338" width="15.7109375" customWidth="1"/>
    <col min="15339" max="15339" width="17" customWidth="1"/>
    <col min="15340" max="15340" width="37.5703125" customWidth="1"/>
    <col min="15341" max="15341" width="5.7109375" customWidth="1"/>
    <col min="15342" max="15342" width="12.140625" customWidth="1"/>
    <col min="15343" max="15343" width="14.85546875" customWidth="1"/>
    <col min="15593" max="15593" width="5.28515625" customWidth="1"/>
    <col min="15594" max="15594" width="15.7109375" customWidth="1"/>
    <col min="15595" max="15595" width="17" customWidth="1"/>
    <col min="15596" max="15596" width="37.5703125" customWidth="1"/>
    <col min="15597" max="15597" width="5.7109375" customWidth="1"/>
    <col min="15598" max="15598" width="12.140625" customWidth="1"/>
    <col min="15599" max="15599" width="14.85546875" customWidth="1"/>
    <col min="15849" max="15849" width="5.28515625" customWidth="1"/>
    <col min="15850" max="15850" width="15.7109375" customWidth="1"/>
    <col min="15851" max="15851" width="17" customWidth="1"/>
    <col min="15852" max="15852" width="37.5703125" customWidth="1"/>
    <col min="15853" max="15853" width="5.7109375" customWidth="1"/>
    <col min="15854" max="15854" width="12.140625" customWidth="1"/>
    <col min="15855" max="15855" width="14.85546875" customWidth="1"/>
    <col min="16105" max="16105" width="5.28515625" customWidth="1"/>
    <col min="16106" max="16106" width="15.7109375" customWidth="1"/>
    <col min="16107" max="16107" width="17" customWidth="1"/>
    <col min="16108" max="16108" width="37.5703125" customWidth="1"/>
    <col min="16109" max="16109" width="5.7109375" customWidth="1"/>
    <col min="16110" max="16110" width="12.140625" customWidth="1"/>
    <col min="16111" max="16111" width="14.85546875" customWidth="1"/>
  </cols>
  <sheetData>
    <row r="1" spans="1:9" s="64" customFormat="1" ht="24" customHeight="1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9" s="64" customFormat="1" ht="20.25" customHeight="1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9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9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9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9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9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9" s="61" customFormat="1" ht="15" customHeight="1">
      <c r="A8" s="62" t="s">
        <v>287</v>
      </c>
      <c r="F8" s="312"/>
      <c r="G8" s="312"/>
      <c r="H8" s="126" t="s">
        <v>45</v>
      </c>
      <c r="I8" s="279">
        <v>46158</v>
      </c>
    </row>
    <row r="9" spans="1:9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</row>
    <row r="10" spans="1:9" s="54" customFormat="1" ht="62.25" customHeight="1">
      <c r="B10" s="288" t="s">
        <v>292</v>
      </c>
      <c r="C10" s="59"/>
      <c r="D10" s="56"/>
      <c r="E10" s="56"/>
      <c r="F10" s="56"/>
      <c r="G10" s="56"/>
      <c r="H10" s="56"/>
      <c r="I10" s="56"/>
    </row>
    <row r="11" spans="1:9" s="54" customFormat="1" ht="15" customHeight="1">
      <c r="A11" s="55" t="s">
        <v>42</v>
      </c>
      <c r="C11" s="57"/>
      <c r="D11" s="56"/>
      <c r="E11" s="55"/>
      <c r="F11" s="55"/>
      <c r="G11" s="55"/>
      <c r="H11" s="55"/>
      <c r="I11" s="55"/>
    </row>
    <row r="12" spans="1:9" s="53" customFormat="1" ht="29.25" customHeight="1">
      <c r="A12" s="335" t="s">
        <v>40</v>
      </c>
      <c r="B12" s="335"/>
      <c r="C12" s="335"/>
      <c r="D12" s="335"/>
      <c r="E12" s="335"/>
      <c r="F12" s="335"/>
      <c r="G12" s="335"/>
      <c r="H12" s="335"/>
      <c r="I12" s="335"/>
    </row>
    <row r="13" spans="1:9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58"/>
      <c r="G13" s="359"/>
      <c r="H13" s="359"/>
      <c r="I13" s="359"/>
    </row>
    <row r="14" spans="1:9" s="47" customFormat="1" ht="18" customHeight="1">
      <c r="A14" s="278"/>
      <c r="B14" s="128" t="s">
        <v>293</v>
      </c>
      <c r="C14" s="51" t="s">
        <v>294</v>
      </c>
      <c r="D14" s="278"/>
      <c r="E14" s="49"/>
      <c r="F14" s="358" t="s">
        <v>295</v>
      </c>
      <c r="G14" s="359"/>
      <c r="H14" s="359"/>
      <c r="I14" s="359"/>
    </row>
    <row r="15" spans="1:9" s="29" customFormat="1" ht="25.5">
      <c r="A15" s="46" t="s">
        <v>33</v>
      </c>
      <c r="B15" s="45" t="s">
        <v>32</v>
      </c>
      <c r="C15" s="45" t="s">
        <v>31</v>
      </c>
      <c r="D15" s="45" t="s">
        <v>30</v>
      </c>
      <c r="E15" s="241" t="s">
        <v>29</v>
      </c>
      <c r="F15" s="241" t="s">
        <v>28</v>
      </c>
      <c r="G15" s="241" t="s">
        <v>27</v>
      </c>
      <c r="H15" s="241" t="s">
        <v>26</v>
      </c>
      <c r="I15" s="241" t="s">
        <v>25</v>
      </c>
    </row>
    <row r="16" spans="1:9" s="38" customFormat="1" ht="18.75" customHeight="1">
      <c r="A16" s="37">
        <v>1</v>
      </c>
      <c r="B16" s="287" t="s">
        <v>290</v>
      </c>
      <c r="C16" s="287" t="s">
        <v>291</v>
      </c>
      <c r="D16" s="35">
        <v>1</v>
      </c>
      <c r="E16" s="187">
        <v>6689</v>
      </c>
      <c r="F16" s="31">
        <f>E16*D16</f>
        <v>6689</v>
      </c>
      <c r="G16" s="33">
        <v>0.18</v>
      </c>
      <c r="H16" s="32">
        <f t="shared" ref="H16:H26" si="0">G16*F16</f>
        <v>1204.02</v>
      </c>
      <c r="I16" s="31">
        <f t="shared" ref="I16:I26" si="1">H16+F16</f>
        <v>7893.02</v>
      </c>
    </row>
    <row r="17" spans="1:9" s="38" customFormat="1" ht="18.75" customHeight="1">
      <c r="A17" s="43">
        <v>2</v>
      </c>
      <c r="B17" s="285" t="s">
        <v>166</v>
      </c>
      <c r="C17" s="286" t="s">
        <v>167</v>
      </c>
      <c r="D17" s="154">
        <v>1</v>
      </c>
      <c r="E17" s="187">
        <v>18906</v>
      </c>
      <c r="F17" s="31">
        <f t="shared" ref="F17:F26" si="2">E17*D17</f>
        <v>18906</v>
      </c>
      <c r="G17" s="33">
        <v>0.18</v>
      </c>
      <c r="H17" s="32">
        <f t="shared" si="0"/>
        <v>3403.08</v>
      </c>
      <c r="I17" s="31">
        <f t="shared" si="1"/>
        <v>22309.08</v>
      </c>
    </row>
    <row r="18" spans="1:9" s="38" customFormat="1" ht="18.75" customHeight="1">
      <c r="A18" s="43">
        <v>3</v>
      </c>
      <c r="B18" s="242" t="s">
        <v>86</v>
      </c>
      <c r="C18" s="242" t="s">
        <v>171</v>
      </c>
      <c r="D18" s="154">
        <v>1</v>
      </c>
      <c r="E18" s="187">
        <v>2276</v>
      </c>
      <c r="F18" s="31">
        <f t="shared" si="2"/>
        <v>2276</v>
      </c>
      <c r="G18" s="33">
        <v>0.18</v>
      </c>
      <c r="H18" s="32">
        <f t="shared" si="0"/>
        <v>409.68</v>
      </c>
      <c r="I18" s="31">
        <f t="shared" si="1"/>
        <v>2685.68</v>
      </c>
    </row>
    <row r="19" spans="1:9" s="38" customFormat="1" ht="18.75" customHeight="1">
      <c r="A19" s="43">
        <v>4</v>
      </c>
      <c r="B19" s="285" t="s">
        <v>288</v>
      </c>
      <c r="C19" s="286" t="s">
        <v>289</v>
      </c>
      <c r="D19" s="154">
        <v>1</v>
      </c>
      <c r="E19" s="187">
        <v>7927</v>
      </c>
      <c r="F19" s="31">
        <f t="shared" si="2"/>
        <v>7927</v>
      </c>
      <c r="G19" s="33">
        <v>0.18</v>
      </c>
      <c r="H19" s="32">
        <f t="shared" si="0"/>
        <v>1426.86</v>
      </c>
      <c r="I19" s="31">
        <f t="shared" si="1"/>
        <v>9353.86</v>
      </c>
    </row>
    <row r="20" spans="1:9" s="38" customFormat="1" ht="18.75" customHeight="1">
      <c r="A20" s="43">
        <v>5</v>
      </c>
      <c r="B20" s="242" t="s">
        <v>222</v>
      </c>
      <c r="C20" s="242" t="s">
        <v>223</v>
      </c>
      <c r="D20" s="154">
        <v>2</v>
      </c>
      <c r="E20" s="187">
        <v>4419</v>
      </c>
      <c r="F20" s="31">
        <f t="shared" si="2"/>
        <v>8838</v>
      </c>
      <c r="G20" s="33">
        <v>0.18</v>
      </c>
      <c r="H20" s="32">
        <f t="shared" si="0"/>
        <v>1590.84</v>
      </c>
      <c r="I20" s="31">
        <f t="shared" si="1"/>
        <v>10428.84</v>
      </c>
    </row>
    <row r="21" spans="1:9" s="38" customFormat="1" ht="16.5" customHeight="1">
      <c r="A21" s="43">
        <v>6</v>
      </c>
      <c r="B21" s="242" t="s">
        <v>251</v>
      </c>
      <c r="C21" s="242" t="s">
        <v>225</v>
      </c>
      <c r="D21" s="154">
        <v>1</v>
      </c>
      <c r="E21" s="187">
        <v>2485</v>
      </c>
      <c r="F21" s="31">
        <f t="shared" si="2"/>
        <v>2485</v>
      </c>
      <c r="G21" s="33">
        <v>0.18</v>
      </c>
      <c r="H21" s="32">
        <f t="shared" si="0"/>
        <v>447.3</v>
      </c>
      <c r="I21" s="31">
        <f t="shared" si="1"/>
        <v>2932.3</v>
      </c>
    </row>
    <row r="22" spans="1:9" s="38" customFormat="1" ht="15" customHeight="1">
      <c r="A22" s="43">
        <v>7</v>
      </c>
      <c r="B22" s="242" t="s">
        <v>252</v>
      </c>
      <c r="C22" s="242" t="s">
        <v>253</v>
      </c>
      <c r="D22" s="35">
        <v>1</v>
      </c>
      <c r="E22" s="187">
        <v>3244</v>
      </c>
      <c r="F22" s="31">
        <f t="shared" si="2"/>
        <v>3244</v>
      </c>
      <c r="G22" s="33">
        <v>0.18</v>
      </c>
      <c r="H22" s="32">
        <f t="shared" si="0"/>
        <v>583.91999999999996</v>
      </c>
      <c r="I22" s="31">
        <f t="shared" si="1"/>
        <v>3827.92</v>
      </c>
    </row>
    <row r="23" spans="1:9" s="38" customFormat="1" ht="18" customHeight="1">
      <c r="A23" s="43">
        <v>8</v>
      </c>
      <c r="B23" s="242" t="s">
        <v>168</v>
      </c>
      <c r="C23" s="242" t="s">
        <v>169</v>
      </c>
      <c r="D23" s="35">
        <v>1</v>
      </c>
      <c r="E23" s="187">
        <v>3381</v>
      </c>
      <c r="F23" s="31">
        <f t="shared" si="2"/>
        <v>3381</v>
      </c>
      <c r="G23" s="33">
        <v>0.18</v>
      </c>
      <c r="H23" s="32">
        <f t="shared" si="0"/>
        <v>608.57999999999993</v>
      </c>
      <c r="I23" s="31">
        <f t="shared" si="1"/>
        <v>3989.58</v>
      </c>
    </row>
    <row r="24" spans="1:9" s="38" customFormat="1" ht="12.75" customHeight="1">
      <c r="A24" s="37">
        <v>9</v>
      </c>
      <c r="B24" s="242" t="s">
        <v>172</v>
      </c>
      <c r="C24" s="242" t="s">
        <v>173</v>
      </c>
      <c r="D24" s="35">
        <v>1</v>
      </c>
      <c r="E24" s="187">
        <v>1127</v>
      </c>
      <c r="F24" s="31">
        <f t="shared" si="2"/>
        <v>1127</v>
      </c>
      <c r="G24" s="33">
        <v>0.18</v>
      </c>
      <c r="H24" s="32">
        <f t="shared" si="0"/>
        <v>202.85999999999999</v>
      </c>
      <c r="I24" s="31">
        <f t="shared" si="1"/>
        <v>1329.86</v>
      </c>
    </row>
    <row r="25" spans="1:9" s="38" customFormat="1" ht="17.25" customHeight="1">
      <c r="A25" s="43">
        <v>10</v>
      </c>
      <c r="B25" s="42"/>
      <c r="C25" s="41" t="s">
        <v>216</v>
      </c>
      <c r="D25" s="35">
        <v>1</v>
      </c>
      <c r="E25" s="187">
        <v>4000</v>
      </c>
      <c r="F25" s="31">
        <f t="shared" si="2"/>
        <v>4000</v>
      </c>
      <c r="G25" s="33">
        <v>0.18</v>
      </c>
      <c r="H25" s="32">
        <f t="shared" si="0"/>
        <v>720</v>
      </c>
      <c r="I25" s="31">
        <f t="shared" si="1"/>
        <v>4720</v>
      </c>
    </row>
    <row r="26" spans="1:9" s="38" customFormat="1" ht="16.5" customHeight="1">
      <c r="A26" s="43">
        <v>11</v>
      </c>
      <c r="B26" s="83"/>
      <c r="C26" s="41" t="s">
        <v>254</v>
      </c>
      <c r="D26" s="35">
        <v>1</v>
      </c>
      <c r="E26" s="187">
        <v>900</v>
      </c>
      <c r="F26" s="31">
        <f t="shared" si="2"/>
        <v>900</v>
      </c>
      <c r="G26" s="33">
        <v>0.18</v>
      </c>
      <c r="H26" s="32">
        <f t="shared" si="0"/>
        <v>162</v>
      </c>
      <c r="I26" s="31">
        <f t="shared" si="1"/>
        <v>1062</v>
      </c>
    </row>
    <row r="27" spans="1:9" s="38" customFormat="1" ht="18.75" customHeight="1">
      <c r="A27" s="320" t="s">
        <v>20</v>
      </c>
      <c r="B27" s="321"/>
      <c r="C27" s="339"/>
      <c r="D27" s="28"/>
      <c r="E27" s="26">
        <f>SUM(E16:E26)</f>
        <v>55354</v>
      </c>
      <c r="F27" s="26">
        <f>SUM(F16:F26)</f>
        <v>59773</v>
      </c>
      <c r="G27" s="243"/>
      <c r="H27" s="26">
        <f>SUM(H16:H26)</f>
        <v>10759.140000000001</v>
      </c>
      <c r="I27" s="26">
        <f>SUM(I16:I26)</f>
        <v>70532.14</v>
      </c>
    </row>
    <row r="28" spans="1:9" s="38" customFormat="1" ht="18.75" customHeight="1">
      <c r="A28" s="320" t="s">
        <v>19</v>
      </c>
      <c r="B28" s="321"/>
      <c r="C28" s="321"/>
      <c r="D28" s="321"/>
      <c r="E28" s="321"/>
      <c r="F28" s="321"/>
      <c r="G28" s="321"/>
      <c r="H28" s="339"/>
      <c r="I28" s="24">
        <f>ROUND(I27,0)</f>
        <v>70532</v>
      </c>
    </row>
    <row r="29" spans="1:9" s="38" customFormat="1" ht="18.75" customHeight="1">
      <c r="A29" s="323" t="s">
        <v>296</v>
      </c>
      <c r="B29" s="324"/>
      <c r="C29" s="324"/>
      <c r="D29" s="324"/>
      <c r="E29" s="324"/>
      <c r="F29" s="324"/>
      <c r="G29" s="324"/>
      <c r="H29" s="324"/>
      <c r="I29" s="324"/>
    </row>
    <row r="30" spans="1:9" s="3" customFormat="1" ht="11.25">
      <c r="A30" s="14" t="s">
        <v>16</v>
      </c>
      <c r="B30" s="12"/>
      <c r="C30" s="12"/>
      <c r="D30" s="12"/>
      <c r="E30" s="12"/>
      <c r="F30" s="12"/>
      <c r="G30" s="12"/>
      <c r="H30" s="12"/>
      <c r="I30" s="13"/>
    </row>
    <row r="31" spans="1:9" s="6" customFormat="1" ht="21.75" customHeight="1">
      <c r="A31" s="11" t="s">
        <v>15</v>
      </c>
      <c r="B31" s="9"/>
      <c r="C31" s="10"/>
      <c r="D31" s="9"/>
      <c r="E31" s="8"/>
      <c r="F31" s="8"/>
      <c r="G31" s="3"/>
      <c r="H31" s="3"/>
    </row>
    <row r="32" spans="1:9" s="6" customFormat="1" ht="16.5" customHeight="1">
      <c r="A32" s="5">
        <v>1</v>
      </c>
      <c r="B32" s="7" t="s">
        <v>14</v>
      </c>
      <c r="C32" s="326" t="s">
        <v>185</v>
      </c>
      <c r="D32" s="326"/>
      <c r="E32" s="326"/>
      <c r="F32" s="326"/>
      <c r="G32" s="326"/>
      <c r="H32" s="275"/>
    </row>
    <row r="33" spans="1:9" s="6" customFormat="1" ht="18" customHeight="1">
      <c r="A33" s="5">
        <v>2</v>
      </c>
      <c r="B33" s="7" t="s">
        <v>12</v>
      </c>
      <c r="C33" s="326" t="s">
        <v>11</v>
      </c>
      <c r="D33" s="326"/>
      <c r="E33" s="326"/>
      <c r="F33" s="326"/>
      <c r="G33" s="326"/>
      <c r="H33" s="275"/>
    </row>
    <row r="34" spans="1:9" s="6" customFormat="1" ht="16.5" customHeight="1">
      <c r="A34" s="5">
        <v>3</v>
      </c>
      <c r="B34" s="7" t="s">
        <v>10</v>
      </c>
      <c r="C34" s="326" t="s">
        <v>9</v>
      </c>
      <c r="D34" s="326"/>
      <c r="E34" s="326"/>
      <c r="F34" s="326"/>
      <c r="G34" s="326"/>
      <c r="H34" s="275"/>
      <c r="I34" s="276" t="s">
        <v>8</v>
      </c>
    </row>
    <row r="35" spans="1:9" s="6" customFormat="1" ht="16.5" customHeight="1">
      <c r="A35" s="5">
        <v>4</v>
      </c>
      <c r="B35" s="7" t="s">
        <v>7</v>
      </c>
      <c r="C35" s="326" t="s">
        <v>93</v>
      </c>
      <c r="D35" s="326"/>
      <c r="E35" s="326"/>
      <c r="F35" s="326"/>
      <c r="G35" s="326"/>
      <c r="H35" s="275"/>
    </row>
    <row r="36" spans="1:9" s="6" customFormat="1" ht="16.5" customHeight="1">
      <c r="A36" s="5">
        <v>5</v>
      </c>
      <c r="B36" s="7" t="s">
        <v>5</v>
      </c>
      <c r="C36" s="326" t="s">
        <v>4</v>
      </c>
      <c r="D36" s="326"/>
      <c r="E36" s="326"/>
      <c r="F36" s="326"/>
      <c r="G36" s="326"/>
      <c r="H36" s="275"/>
      <c r="I36" s="276" t="s">
        <v>3</v>
      </c>
    </row>
    <row r="37" spans="1:9" s="3" customFormat="1" ht="30" customHeight="1">
      <c r="A37" s="5">
        <v>7</v>
      </c>
      <c r="B37" s="277" t="s">
        <v>2</v>
      </c>
      <c r="C37" s="328" t="s">
        <v>1</v>
      </c>
      <c r="D37" s="328"/>
      <c r="E37" s="328"/>
      <c r="F37" s="328"/>
      <c r="G37" s="328"/>
      <c r="H37" s="277"/>
      <c r="I37" s="143" t="s">
        <v>0</v>
      </c>
    </row>
    <row r="38" spans="1:9" s="244" customFormat="1">
      <c r="A38" s="5">
        <v>8</v>
      </c>
      <c r="B38" s="2" t="s">
        <v>297</v>
      </c>
      <c r="C38" s="218" t="s">
        <v>298</v>
      </c>
      <c r="D38" s="144"/>
    </row>
  </sheetData>
  <mergeCells count="22">
    <mergeCell ref="C34:G34"/>
    <mergeCell ref="C35:G35"/>
    <mergeCell ref="C36:G36"/>
    <mergeCell ref="C37:G37"/>
    <mergeCell ref="F14:I14"/>
    <mergeCell ref="A27:C27"/>
    <mergeCell ref="A28:H28"/>
    <mergeCell ref="A29:I29"/>
    <mergeCell ref="C32:G32"/>
    <mergeCell ref="C33:G33"/>
    <mergeCell ref="A7:I7"/>
    <mergeCell ref="F8:G8"/>
    <mergeCell ref="A12:I12"/>
    <mergeCell ref="A13:B13"/>
    <mergeCell ref="D13:E13"/>
    <mergeCell ref="F13:I13"/>
    <mergeCell ref="A6:I6"/>
    <mergeCell ref="A1:I1"/>
    <mergeCell ref="A2:I2"/>
    <mergeCell ref="A3:I3"/>
    <mergeCell ref="A4:I4"/>
    <mergeCell ref="A5:I5"/>
  </mergeCells>
  <dataValidations count="2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1 B19 B17 B16:C16">
      <formula1>100</formula1>
    </dataValidation>
    <dataValidation showInputMessage="1" showErrorMessage="1" error=" " promptTitle="Lookup (required)" prompt="This Product record must already exist in Microsoft Dynamics 365 or in this source file." sqref="C21 C16"/>
  </dataValidations>
  <printOptions horizontalCentered="1" verticalCentered="1"/>
  <pageMargins left="0" right="0" top="0.23622047244094491" bottom="0.19685039370078741" header="0.19685039370078741" footer="0.15748031496062992"/>
  <pageSetup paperSize="9" scale="80" fitToWidth="0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45"/>
  <sheetViews>
    <sheetView topLeftCell="A5" workbookViewId="0">
      <selection activeCell="B17" sqref="B17:C17"/>
    </sheetView>
  </sheetViews>
  <sheetFormatPr defaultRowHeight="15"/>
  <cols>
    <col min="1" max="1" width="5.28515625" customWidth="1"/>
    <col min="2" max="2" width="32.5703125" style="2" customWidth="1"/>
    <col min="3" max="3" width="36.5703125" style="2" customWidth="1"/>
    <col min="4" max="4" width="5.7109375" customWidth="1"/>
    <col min="5" max="6" width="15.42578125" style="244" bestFit="1" customWidth="1"/>
    <col min="7" max="7" width="6.5703125" style="244" customWidth="1"/>
    <col min="8" max="8" width="13.5703125" style="244" bestFit="1" customWidth="1"/>
    <col min="9" max="9" width="17" style="244" bestFit="1" customWidth="1"/>
    <col min="10" max="10" width="11.85546875" bestFit="1" customWidth="1"/>
    <col min="233" max="233" width="5.28515625" customWidth="1"/>
    <col min="234" max="234" width="15.7109375" customWidth="1"/>
    <col min="235" max="235" width="17" customWidth="1"/>
    <col min="236" max="236" width="37.5703125" customWidth="1"/>
    <col min="237" max="237" width="5.7109375" customWidth="1"/>
    <col min="238" max="238" width="12.140625" customWidth="1"/>
    <col min="239" max="239" width="14.85546875" customWidth="1"/>
    <col min="489" max="489" width="5.28515625" customWidth="1"/>
    <col min="490" max="490" width="15.7109375" customWidth="1"/>
    <col min="491" max="491" width="17" customWidth="1"/>
    <col min="492" max="492" width="37.5703125" customWidth="1"/>
    <col min="493" max="493" width="5.7109375" customWidth="1"/>
    <col min="494" max="494" width="12.140625" customWidth="1"/>
    <col min="495" max="495" width="14.85546875" customWidth="1"/>
    <col min="745" max="745" width="5.28515625" customWidth="1"/>
    <col min="746" max="746" width="15.7109375" customWidth="1"/>
    <col min="747" max="747" width="17" customWidth="1"/>
    <col min="748" max="748" width="37.5703125" customWidth="1"/>
    <col min="749" max="749" width="5.7109375" customWidth="1"/>
    <col min="750" max="750" width="12.140625" customWidth="1"/>
    <col min="751" max="751" width="14.85546875" customWidth="1"/>
    <col min="1001" max="1001" width="5.28515625" customWidth="1"/>
    <col min="1002" max="1002" width="15.7109375" customWidth="1"/>
    <col min="1003" max="1003" width="17" customWidth="1"/>
    <col min="1004" max="1004" width="37.5703125" customWidth="1"/>
    <col min="1005" max="1005" width="5.7109375" customWidth="1"/>
    <col min="1006" max="1006" width="12.140625" customWidth="1"/>
    <col min="1007" max="1007" width="14.85546875" customWidth="1"/>
    <col min="1257" max="1257" width="5.28515625" customWidth="1"/>
    <col min="1258" max="1258" width="15.7109375" customWidth="1"/>
    <col min="1259" max="1259" width="17" customWidth="1"/>
    <col min="1260" max="1260" width="37.5703125" customWidth="1"/>
    <col min="1261" max="1261" width="5.7109375" customWidth="1"/>
    <col min="1262" max="1262" width="12.140625" customWidth="1"/>
    <col min="1263" max="1263" width="14.85546875" customWidth="1"/>
    <col min="1513" max="1513" width="5.28515625" customWidth="1"/>
    <col min="1514" max="1514" width="15.7109375" customWidth="1"/>
    <col min="1515" max="1515" width="17" customWidth="1"/>
    <col min="1516" max="1516" width="37.5703125" customWidth="1"/>
    <col min="1517" max="1517" width="5.7109375" customWidth="1"/>
    <col min="1518" max="1518" width="12.140625" customWidth="1"/>
    <col min="1519" max="1519" width="14.85546875" customWidth="1"/>
    <col min="1769" max="1769" width="5.28515625" customWidth="1"/>
    <col min="1770" max="1770" width="15.7109375" customWidth="1"/>
    <col min="1771" max="1771" width="17" customWidth="1"/>
    <col min="1772" max="1772" width="37.5703125" customWidth="1"/>
    <col min="1773" max="1773" width="5.7109375" customWidth="1"/>
    <col min="1774" max="1774" width="12.140625" customWidth="1"/>
    <col min="1775" max="1775" width="14.85546875" customWidth="1"/>
    <col min="2025" max="2025" width="5.28515625" customWidth="1"/>
    <col min="2026" max="2026" width="15.7109375" customWidth="1"/>
    <col min="2027" max="2027" width="17" customWidth="1"/>
    <col min="2028" max="2028" width="37.5703125" customWidth="1"/>
    <col min="2029" max="2029" width="5.7109375" customWidth="1"/>
    <col min="2030" max="2030" width="12.140625" customWidth="1"/>
    <col min="2031" max="2031" width="14.85546875" customWidth="1"/>
    <col min="2281" max="2281" width="5.28515625" customWidth="1"/>
    <col min="2282" max="2282" width="15.7109375" customWidth="1"/>
    <col min="2283" max="2283" width="17" customWidth="1"/>
    <col min="2284" max="2284" width="37.5703125" customWidth="1"/>
    <col min="2285" max="2285" width="5.7109375" customWidth="1"/>
    <col min="2286" max="2286" width="12.140625" customWidth="1"/>
    <col min="2287" max="2287" width="14.85546875" customWidth="1"/>
    <col min="2537" max="2537" width="5.28515625" customWidth="1"/>
    <col min="2538" max="2538" width="15.7109375" customWidth="1"/>
    <col min="2539" max="2539" width="17" customWidth="1"/>
    <col min="2540" max="2540" width="37.5703125" customWidth="1"/>
    <col min="2541" max="2541" width="5.7109375" customWidth="1"/>
    <col min="2542" max="2542" width="12.140625" customWidth="1"/>
    <col min="2543" max="2543" width="14.85546875" customWidth="1"/>
    <col min="2793" max="2793" width="5.28515625" customWidth="1"/>
    <col min="2794" max="2794" width="15.7109375" customWidth="1"/>
    <col min="2795" max="2795" width="17" customWidth="1"/>
    <col min="2796" max="2796" width="37.5703125" customWidth="1"/>
    <col min="2797" max="2797" width="5.7109375" customWidth="1"/>
    <col min="2798" max="2798" width="12.140625" customWidth="1"/>
    <col min="2799" max="2799" width="14.85546875" customWidth="1"/>
    <col min="3049" max="3049" width="5.28515625" customWidth="1"/>
    <col min="3050" max="3050" width="15.7109375" customWidth="1"/>
    <col min="3051" max="3051" width="17" customWidth="1"/>
    <col min="3052" max="3052" width="37.5703125" customWidth="1"/>
    <col min="3053" max="3053" width="5.7109375" customWidth="1"/>
    <col min="3054" max="3054" width="12.140625" customWidth="1"/>
    <col min="3055" max="3055" width="14.85546875" customWidth="1"/>
    <col min="3305" max="3305" width="5.28515625" customWidth="1"/>
    <col min="3306" max="3306" width="15.7109375" customWidth="1"/>
    <col min="3307" max="3307" width="17" customWidth="1"/>
    <col min="3308" max="3308" width="37.5703125" customWidth="1"/>
    <col min="3309" max="3309" width="5.7109375" customWidth="1"/>
    <col min="3310" max="3310" width="12.140625" customWidth="1"/>
    <col min="3311" max="3311" width="14.85546875" customWidth="1"/>
    <col min="3561" max="3561" width="5.28515625" customWidth="1"/>
    <col min="3562" max="3562" width="15.7109375" customWidth="1"/>
    <col min="3563" max="3563" width="17" customWidth="1"/>
    <col min="3564" max="3564" width="37.5703125" customWidth="1"/>
    <col min="3565" max="3565" width="5.7109375" customWidth="1"/>
    <col min="3566" max="3566" width="12.140625" customWidth="1"/>
    <col min="3567" max="3567" width="14.85546875" customWidth="1"/>
    <col min="3817" max="3817" width="5.28515625" customWidth="1"/>
    <col min="3818" max="3818" width="15.7109375" customWidth="1"/>
    <col min="3819" max="3819" width="17" customWidth="1"/>
    <col min="3820" max="3820" width="37.5703125" customWidth="1"/>
    <col min="3821" max="3821" width="5.7109375" customWidth="1"/>
    <col min="3822" max="3822" width="12.140625" customWidth="1"/>
    <col min="3823" max="3823" width="14.85546875" customWidth="1"/>
    <col min="4073" max="4073" width="5.28515625" customWidth="1"/>
    <col min="4074" max="4074" width="15.7109375" customWidth="1"/>
    <col min="4075" max="4075" width="17" customWidth="1"/>
    <col min="4076" max="4076" width="37.5703125" customWidth="1"/>
    <col min="4077" max="4077" width="5.7109375" customWidth="1"/>
    <col min="4078" max="4078" width="12.140625" customWidth="1"/>
    <col min="4079" max="4079" width="14.85546875" customWidth="1"/>
    <col min="4329" max="4329" width="5.28515625" customWidth="1"/>
    <col min="4330" max="4330" width="15.7109375" customWidth="1"/>
    <col min="4331" max="4331" width="17" customWidth="1"/>
    <col min="4332" max="4332" width="37.5703125" customWidth="1"/>
    <col min="4333" max="4333" width="5.7109375" customWidth="1"/>
    <col min="4334" max="4334" width="12.140625" customWidth="1"/>
    <col min="4335" max="4335" width="14.85546875" customWidth="1"/>
    <col min="4585" max="4585" width="5.28515625" customWidth="1"/>
    <col min="4586" max="4586" width="15.7109375" customWidth="1"/>
    <col min="4587" max="4587" width="17" customWidth="1"/>
    <col min="4588" max="4588" width="37.5703125" customWidth="1"/>
    <col min="4589" max="4589" width="5.7109375" customWidth="1"/>
    <col min="4590" max="4590" width="12.140625" customWidth="1"/>
    <col min="4591" max="4591" width="14.85546875" customWidth="1"/>
    <col min="4841" max="4841" width="5.28515625" customWidth="1"/>
    <col min="4842" max="4842" width="15.7109375" customWidth="1"/>
    <col min="4843" max="4843" width="17" customWidth="1"/>
    <col min="4844" max="4844" width="37.5703125" customWidth="1"/>
    <col min="4845" max="4845" width="5.7109375" customWidth="1"/>
    <col min="4846" max="4846" width="12.140625" customWidth="1"/>
    <col min="4847" max="4847" width="14.85546875" customWidth="1"/>
    <col min="5097" max="5097" width="5.28515625" customWidth="1"/>
    <col min="5098" max="5098" width="15.7109375" customWidth="1"/>
    <col min="5099" max="5099" width="17" customWidth="1"/>
    <col min="5100" max="5100" width="37.5703125" customWidth="1"/>
    <col min="5101" max="5101" width="5.7109375" customWidth="1"/>
    <col min="5102" max="5102" width="12.140625" customWidth="1"/>
    <col min="5103" max="5103" width="14.85546875" customWidth="1"/>
    <col min="5353" max="5353" width="5.28515625" customWidth="1"/>
    <col min="5354" max="5354" width="15.7109375" customWidth="1"/>
    <col min="5355" max="5355" width="17" customWidth="1"/>
    <col min="5356" max="5356" width="37.5703125" customWidth="1"/>
    <col min="5357" max="5357" width="5.7109375" customWidth="1"/>
    <col min="5358" max="5358" width="12.140625" customWidth="1"/>
    <col min="5359" max="5359" width="14.85546875" customWidth="1"/>
    <col min="5609" max="5609" width="5.28515625" customWidth="1"/>
    <col min="5610" max="5610" width="15.7109375" customWidth="1"/>
    <col min="5611" max="5611" width="17" customWidth="1"/>
    <col min="5612" max="5612" width="37.5703125" customWidth="1"/>
    <col min="5613" max="5613" width="5.7109375" customWidth="1"/>
    <col min="5614" max="5614" width="12.140625" customWidth="1"/>
    <col min="5615" max="5615" width="14.85546875" customWidth="1"/>
    <col min="5865" max="5865" width="5.28515625" customWidth="1"/>
    <col min="5866" max="5866" width="15.7109375" customWidth="1"/>
    <col min="5867" max="5867" width="17" customWidth="1"/>
    <col min="5868" max="5868" width="37.5703125" customWidth="1"/>
    <col min="5869" max="5869" width="5.7109375" customWidth="1"/>
    <col min="5870" max="5870" width="12.140625" customWidth="1"/>
    <col min="5871" max="5871" width="14.85546875" customWidth="1"/>
    <col min="6121" max="6121" width="5.28515625" customWidth="1"/>
    <col min="6122" max="6122" width="15.7109375" customWidth="1"/>
    <col min="6123" max="6123" width="17" customWidth="1"/>
    <col min="6124" max="6124" width="37.5703125" customWidth="1"/>
    <col min="6125" max="6125" width="5.7109375" customWidth="1"/>
    <col min="6126" max="6126" width="12.140625" customWidth="1"/>
    <col min="6127" max="6127" width="14.85546875" customWidth="1"/>
    <col min="6377" max="6377" width="5.28515625" customWidth="1"/>
    <col min="6378" max="6378" width="15.7109375" customWidth="1"/>
    <col min="6379" max="6379" width="17" customWidth="1"/>
    <col min="6380" max="6380" width="37.5703125" customWidth="1"/>
    <col min="6381" max="6381" width="5.7109375" customWidth="1"/>
    <col min="6382" max="6382" width="12.140625" customWidth="1"/>
    <col min="6383" max="6383" width="14.85546875" customWidth="1"/>
    <col min="6633" max="6633" width="5.28515625" customWidth="1"/>
    <col min="6634" max="6634" width="15.7109375" customWidth="1"/>
    <col min="6635" max="6635" width="17" customWidth="1"/>
    <col min="6636" max="6636" width="37.5703125" customWidth="1"/>
    <col min="6637" max="6637" width="5.7109375" customWidth="1"/>
    <col min="6638" max="6638" width="12.140625" customWidth="1"/>
    <col min="6639" max="6639" width="14.85546875" customWidth="1"/>
    <col min="6889" max="6889" width="5.28515625" customWidth="1"/>
    <col min="6890" max="6890" width="15.7109375" customWidth="1"/>
    <col min="6891" max="6891" width="17" customWidth="1"/>
    <col min="6892" max="6892" width="37.5703125" customWidth="1"/>
    <col min="6893" max="6893" width="5.7109375" customWidth="1"/>
    <col min="6894" max="6894" width="12.140625" customWidth="1"/>
    <col min="6895" max="6895" width="14.85546875" customWidth="1"/>
    <col min="7145" max="7145" width="5.28515625" customWidth="1"/>
    <col min="7146" max="7146" width="15.7109375" customWidth="1"/>
    <col min="7147" max="7147" width="17" customWidth="1"/>
    <col min="7148" max="7148" width="37.5703125" customWidth="1"/>
    <col min="7149" max="7149" width="5.7109375" customWidth="1"/>
    <col min="7150" max="7150" width="12.140625" customWidth="1"/>
    <col min="7151" max="7151" width="14.85546875" customWidth="1"/>
    <col min="7401" max="7401" width="5.28515625" customWidth="1"/>
    <col min="7402" max="7402" width="15.7109375" customWidth="1"/>
    <col min="7403" max="7403" width="17" customWidth="1"/>
    <col min="7404" max="7404" width="37.5703125" customWidth="1"/>
    <col min="7405" max="7405" width="5.7109375" customWidth="1"/>
    <col min="7406" max="7406" width="12.140625" customWidth="1"/>
    <col min="7407" max="7407" width="14.85546875" customWidth="1"/>
    <col min="7657" max="7657" width="5.28515625" customWidth="1"/>
    <col min="7658" max="7658" width="15.7109375" customWidth="1"/>
    <col min="7659" max="7659" width="17" customWidth="1"/>
    <col min="7660" max="7660" width="37.5703125" customWidth="1"/>
    <col min="7661" max="7661" width="5.7109375" customWidth="1"/>
    <col min="7662" max="7662" width="12.140625" customWidth="1"/>
    <col min="7663" max="7663" width="14.85546875" customWidth="1"/>
    <col min="7913" max="7913" width="5.28515625" customWidth="1"/>
    <col min="7914" max="7914" width="15.7109375" customWidth="1"/>
    <col min="7915" max="7915" width="17" customWidth="1"/>
    <col min="7916" max="7916" width="37.5703125" customWidth="1"/>
    <col min="7917" max="7917" width="5.7109375" customWidth="1"/>
    <col min="7918" max="7918" width="12.140625" customWidth="1"/>
    <col min="7919" max="7919" width="14.85546875" customWidth="1"/>
    <col min="8169" max="8169" width="5.28515625" customWidth="1"/>
    <col min="8170" max="8170" width="15.7109375" customWidth="1"/>
    <col min="8171" max="8171" width="17" customWidth="1"/>
    <col min="8172" max="8172" width="37.5703125" customWidth="1"/>
    <col min="8173" max="8173" width="5.7109375" customWidth="1"/>
    <col min="8174" max="8174" width="12.140625" customWidth="1"/>
    <col min="8175" max="8175" width="14.85546875" customWidth="1"/>
    <col min="8425" max="8425" width="5.28515625" customWidth="1"/>
    <col min="8426" max="8426" width="15.7109375" customWidth="1"/>
    <col min="8427" max="8427" width="17" customWidth="1"/>
    <col min="8428" max="8428" width="37.5703125" customWidth="1"/>
    <col min="8429" max="8429" width="5.7109375" customWidth="1"/>
    <col min="8430" max="8430" width="12.140625" customWidth="1"/>
    <col min="8431" max="8431" width="14.85546875" customWidth="1"/>
    <col min="8681" max="8681" width="5.28515625" customWidth="1"/>
    <col min="8682" max="8682" width="15.7109375" customWidth="1"/>
    <col min="8683" max="8683" width="17" customWidth="1"/>
    <col min="8684" max="8684" width="37.5703125" customWidth="1"/>
    <col min="8685" max="8685" width="5.7109375" customWidth="1"/>
    <col min="8686" max="8686" width="12.140625" customWidth="1"/>
    <col min="8687" max="8687" width="14.85546875" customWidth="1"/>
    <col min="8937" max="8937" width="5.28515625" customWidth="1"/>
    <col min="8938" max="8938" width="15.7109375" customWidth="1"/>
    <col min="8939" max="8939" width="17" customWidth="1"/>
    <col min="8940" max="8940" width="37.5703125" customWidth="1"/>
    <col min="8941" max="8941" width="5.7109375" customWidth="1"/>
    <col min="8942" max="8942" width="12.140625" customWidth="1"/>
    <col min="8943" max="8943" width="14.85546875" customWidth="1"/>
    <col min="9193" max="9193" width="5.28515625" customWidth="1"/>
    <col min="9194" max="9194" width="15.7109375" customWidth="1"/>
    <col min="9195" max="9195" width="17" customWidth="1"/>
    <col min="9196" max="9196" width="37.5703125" customWidth="1"/>
    <col min="9197" max="9197" width="5.7109375" customWidth="1"/>
    <col min="9198" max="9198" width="12.140625" customWidth="1"/>
    <col min="9199" max="9199" width="14.85546875" customWidth="1"/>
    <col min="9449" max="9449" width="5.28515625" customWidth="1"/>
    <col min="9450" max="9450" width="15.7109375" customWidth="1"/>
    <col min="9451" max="9451" width="17" customWidth="1"/>
    <col min="9452" max="9452" width="37.5703125" customWidth="1"/>
    <col min="9453" max="9453" width="5.7109375" customWidth="1"/>
    <col min="9454" max="9454" width="12.140625" customWidth="1"/>
    <col min="9455" max="9455" width="14.85546875" customWidth="1"/>
    <col min="9705" max="9705" width="5.28515625" customWidth="1"/>
    <col min="9706" max="9706" width="15.7109375" customWidth="1"/>
    <col min="9707" max="9707" width="17" customWidth="1"/>
    <col min="9708" max="9708" width="37.5703125" customWidth="1"/>
    <col min="9709" max="9709" width="5.7109375" customWidth="1"/>
    <col min="9710" max="9710" width="12.140625" customWidth="1"/>
    <col min="9711" max="9711" width="14.85546875" customWidth="1"/>
    <col min="9961" max="9961" width="5.28515625" customWidth="1"/>
    <col min="9962" max="9962" width="15.7109375" customWidth="1"/>
    <col min="9963" max="9963" width="17" customWidth="1"/>
    <col min="9964" max="9964" width="37.5703125" customWidth="1"/>
    <col min="9965" max="9965" width="5.7109375" customWidth="1"/>
    <col min="9966" max="9966" width="12.140625" customWidth="1"/>
    <col min="9967" max="9967" width="14.85546875" customWidth="1"/>
    <col min="10217" max="10217" width="5.28515625" customWidth="1"/>
    <col min="10218" max="10218" width="15.7109375" customWidth="1"/>
    <col min="10219" max="10219" width="17" customWidth="1"/>
    <col min="10220" max="10220" width="37.5703125" customWidth="1"/>
    <col min="10221" max="10221" width="5.7109375" customWidth="1"/>
    <col min="10222" max="10222" width="12.140625" customWidth="1"/>
    <col min="10223" max="10223" width="14.85546875" customWidth="1"/>
    <col min="10473" max="10473" width="5.28515625" customWidth="1"/>
    <col min="10474" max="10474" width="15.7109375" customWidth="1"/>
    <col min="10475" max="10475" width="17" customWidth="1"/>
    <col min="10476" max="10476" width="37.5703125" customWidth="1"/>
    <col min="10477" max="10477" width="5.7109375" customWidth="1"/>
    <col min="10478" max="10478" width="12.140625" customWidth="1"/>
    <col min="10479" max="10479" width="14.85546875" customWidth="1"/>
    <col min="10729" max="10729" width="5.28515625" customWidth="1"/>
    <col min="10730" max="10730" width="15.7109375" customWidth="1"/>
    <col min="10731" max="10731" width="17" customWidth="1"/>
    <col min="10732" max="10732" width="37.5703125" customWidth="1"/>
    <col min="10733" max="10733" width="5.7109375" customWidth="1"/>
    <col min="10734" max="10734" width="12.140625" customWidth="1"/>
    <col min="10735" max="10735" width="14.85546875" customWidth="1"/>
    <col min="10985" max="10985" width="5.28515625" customWidth="1"/>
    <col min="10986" max="10986" width="15.7109375" customWidth="1"/>
    <col min="10987" max="10987" width="17" customWidth="1"/>
    <col min="10988" max="10988" width="37.5703125" customWidth="1"/>
    <col min="10989" max="10989" width="5.7109375" customWidth="1"/>
    <col min="10990" max="10990" width="12.140625" customWidth="1"/>
    <col min="10991" max="10991" width="14.85546875" customWidth="1"/>
    <col min="11241" max="11241" width="5.28515625" customWidth="1"/>
    <col min="11242" max="11242" width="15.7109375" customWidth="1"/>
    <col min="11243" max="11243" width="17" customWidth="1"/>
    <col min="11244" max="11244" width="37.5703125" customWidth="1"/>
    <col min="11245" max="11245" width="5.7109375" customWidth="1"/>
    <col min="11246" max="11246" width="12.140625" customWidth="1"/>
    <col min="11247" max="11247" width="14.85546875" customWidth="1"/>
    <col min="11497" max="11497" width="5.28515625" customWidth="1"/>
    <col min="11498" max="11498" width="15.7109375" customWidth="1"/>
    <col min="11499" max="11499" width="17" customWidth="1"/>
    <col min="11500" max="11500" width="37.5703125" customWidth="1"/>
    <col min="11501" max="11501" width="5.7109375" customWidth="1"/>
    <col min="11502" max="11502" width="12.140625" customWidth="1"/>
    <col min="11503" max="11503" width="14.85546875" customWidth="1"/>
    <col min="11753" max="11753" width="5.28515625" customWidth="1"/>
    <col min="11754" max="11754" width="15.7109375" customWidth="1"/>
    <col min="11755" max="11755" width="17" customWidth="1"/>
    <col min="11756" max="11756" width="37.5703125" customWidth="1"/>
    <col min="11757" max="11757" width="5.7109375" customWidth="1"/>
    <col min="11758" max="11758" width="12.140625" customWidth="1"/>
    <col min="11759" max="11759" width="14.85546875" customWidth="1"/>
    <col min="12009" max="12009" width="5.28515625" customWidth="1"/>
    <col min="12010" max="12010" width="15.7109375" customWidth="1"/>
    <col min="12011" max="12011" width="17" customWidth="1"/>
    <col min="12012" max="12012" width="37.5703125" customWidth="1"/>
    <col min="12013" max="12013" width="5.7109375" customWidth="1"/>
    <col min="12014" max="12014" width="12.140625" customWidth="1"/>
    <col min="12015" max="12015" width="14.85546875" customWidth="1"/>
    <col min="12265" max="12265" width="5.28515625" customWidth="1"/>
    <col min="12266" max="12266" width="15.7109375" customWidth="1"/>
    <col min="12267" max="12267" width="17" customWidth="1"/>
    <col min="12268" max="12268" width="37.5703125" customWidth="1"/>
    <col min="12269" max="12269" width="5.7109375" customWidth="1"/>
    <col min="12270" max="12270" width="12.140625" customWidth="1"/>
    <col min="12271" max="12271" width="14.85546875" customWidth="1"/>
    <col min="12521" max="12521" width="5.28515625" customWidth="1"/>
    <col min="12522" max="12522" width="15.7109375" customWidth="1"/>
    <col min="12523" max="12523" width="17" customWidth="1"/>
    <col min="12524" max="12524" width="37.5703125" customWidth="1"/>
    <col min="12525" max="12525" width="5.7109375" customWidth="1"/>
    <col min="12526" max="12526" width="12.140625" customWidth="1"/>
    <col min="12527" max="12527" width="14.85546875" customWidth="1"/>
    <col min="12777" max="12777" width="5.28515625" customWidth="1"/>
    <col min="12778" max="12778" width="15.7109375" customWidth="1"/>
    <col min="12779" max="12779" width="17" customWidth="1"/>
    <col min="12780" max="12780" width="37.5703125" customWidth="1"/>
    <col min="12781" max="12781" width="5.7109375" customWidth="1"/>
    <col min="12782" max="12782" width="12.140625" customWidth="1"/>
    <col min="12783" max="12783" width="14.85546875" customWidth="1"/>
    <col min="13033" max="13033" width="5.28515625" customWidth="1"/>
    <col min="13034" max="13034" width="15.7109375" customWidth="1"/>
    <col min="13035" max="13035" width="17" customWidth="1"/>
    <col min="13036" max="13036" width="37.5703125" customWidth="1"/>
    <col min="13037" max="13037" width="5.7109375" customWidth="1"/>
    <col min="13038" max="13038" width="12.140625" customWidth="1"/>
    <col min="13039" max="13039" width="14.85546875" customWidth="1"/>
    <col min="13289" max="13289" width="5.28515625" customWidth="1"/>
    <col min="13290" max="13290" width="15.7109375" customWidth="1"/>
    <col min="13291" max="13291" width="17" customWidth="1"/>
    <col min="13292" max="13292" width="37.5703125" customWidth="1"/>
    <col min="13293" max="13293" width="5.7109375" customWidth="1"/>
    <col min="13294" max="13294" width="12.140625" customWidth="1"/>
    <col min="13295" max="13295" width="14.85546875" customWidth="1"/>
    <col min="13545" max="13545" width="5.28515625" customWidth="1"/>
    <col min="13546" max="13546" width="15.7109375" customWidth="1"/>
    <col min="13547" max="13547" width="17" customWidth="1"/>
    <col min="13548" max="13548" width="37.5703125" customWidth="1"/>
    <col min="13549" max="13549" width="5.7109375" customWidth="1"/>
    <col min="13550" max="13550" width="12.140625" customWidth="1"/>
    <col min="13551" max="13551" width="14.85546875" customWidth="1"/>
    <col min="13801" max="13801" width="5.28515625" customWidth="1"/>
    <col min="13802" max="13802" width="15.7109375" customWidth="1"/>
    <col min="13803" max="13803" width="17" customWidth="1"/>
    <col min="13804" max="13804" width="37.5703125" customWidth="1"/>
    <col min="13805" max="13805" width="5.7109375" customWidth="1"/>
    <col min="13806" max="13806" width="12.140625" customWidth="1"/>
    <col min="13807" max="13807" width="14.85546875" customWidth="1"/>
    <col min="14057" max="14057" width="5.28515625" customWidth="1"/>
    <col min="14058" max="14058" width="15.7109375" customWidth="1"/>
    <col min="14059" max="14059" width="17" customWidth="1"/>
    <col min="14060" max="14060" width="37.5703125" customWidth="1"/>
    <col min="14061" max="14061" width="5.7109375" customWidth="1"/>
    <col min="14062" max="14062" width="12.140625" customWidth="1"/>
    <col min="14063" max="14063" width="14.85546875" customWidth="1"/>
    <col min="14313" max="14313" width="5.28515625" customWidth="1"/>
    <col min="14314" max="14314" width="15.7109375" customWidth="1"/>
    <col min="14315" max="14315" width="17" customWidth="1"/>
    <col min="14316" max="14316" width="37.5703125" customWidth="1"/>
    <col min="14317" max="14317" width="5.7109375" customWidth="1"/>
    <col min="14318" max="14318" width="12.140625" customWidth="1"/>
    <col min="14319" max="14319" width="14.85546875" customWidth="1"/>
    <col min="14569" max="14569" width="5.28515625" customWidth="1"/>
    <col min="14570" max="14570" width="15.7109375" customWidth="1"/>
    <col min="14571" max="14571" width="17" customWidth="1"/>
    <col min="14572" max="14572" width="37.5703125" customWidth="1"/>
    <col min="14573" max="14573" width="5.7109375" customWidth="1"/>
    <col min="14574" max="14574" width="12.140625" customWidth="1"/>
    <col min="14575" max="14575" width="14.85546875" customWidth="1"/>
    <col min="14825" max="14825" width="5.28515625" customWidth="1"/>
    <col min="14826" max="14826" width="15.7109375" customWidth="1"/>
    <col min="14827" max="14827" width="17" customWidth="1"/>
    <col min="14828" max="14828" width="37.5703125" customWidth="1"/>
    <col min="14829" max="14829" width="5.7109375" customWidth="1"/>
    <col min="14830" max="14830" width="12.140625" customWidth="1"/>
    <col min="14831" max="14831" width="14.85546875" customWidth="1"/>
    <col min="15081" max="15081" width="5.28515625" customWidth="1"/>
    <col min="15082" max="15082" width="15.7109375" customWidth="1"/>
    <col min="15083" max="15083" width="17" customWidth="1"/>
    <col min="15084" max="15084" width="37.5703125" customWidth="1"/>
    <col min="15085" max="15085" width="5.7109375" customWidth="1"/>
    <col min="15086" max="15086" width="12.140625" customWidth="1"/>
    <col min="15087" max="15087" width="14.85546875" customWidth="1"/>
    <col min="15337" max="15337" width="5.28515625" customWidth="1"/>
    <col min="15338" max="15338" width="15.7109375" customWidth="1"/>
    <col min="15339" max="15339" width="17" customWidth="1"/>
    <col min="15340" max="15340" width="37.5703125" customWidth="1"/>
    <col min="15341" max="15341" width="5.7109375" customWidth="1"/>
    <col min="15342" max="15342" width="12.140625" customWidth="1"/>
    <col min="15343" max="15343" width="14.85546875" customWidth="1"/>
    <col min="15593" max="15593" width="5.28515625" customWidth="1"/>
    <col min="15594" max="15594" width="15.7109375" customWidth="1"/>
    <col min="15595" max="15595" width="17" customWidth="1"/>
    <col min="15596" max="15596" width="37.5703125" customWidth="1"/>
    <col min="15597" max="15597" width="5.7109375" customWidth="1"/>
    <col min="15598" max="15598" width="12.140625" customWidth="1"/>
    <col min="15599" max="15599" width="14.85546875" customWidth="1"/>
    <col min="15849" max="15849" width="5.28515625" customWidth="1"/>
    <col min="15850" max="15850" width="15.7109375" customWidth="1"/>
    <col min="15851" max="15851" width="17" customWidth="1"/>
    <col min="15852" max="15852" width="37.5703125" customWidth="1"/>
    <col min="15853" max="15853" width="5.7109375" customWidth="1"/>
    <col min="15854" max="15854" width="12.140625" customWidth="1"/>
    <col min="15855" max="15855" width="14.85546875" customWidth="1"/>
    <col min="16105" max="16105" width="5.28515625" customWidth="1"/>
    <col min="16106" max="16106" width="15.7109375" customWidth="1"/>
    <col min="16107" max="16107" width="17" customWidth="1"/>
    <col min="16108" max="16108" width="37.5703125" customWidth="1"/>
    <col min="16109" max="16109" width="5.7109375" customWidth="1"/>
    <col min="16110" max="16110" width="12.140625" customWidth="1"/>
    <col min="16111" max="16111" width="14.85546875" customWidth="1"/>
  </cols>
  <sheetData>
    <row r="1" spans="1:9" s="64" customFormat="1" ht="21.75" customHeight="1">
      <c r="A1" s="363" t="s">
        <v>52</v>
      </c>
      <c r="B1" s="363"/>
      <c r="C1" s="363"/>
      <c r="D1" s="363"/>
      <c r="E1" s="363"/>
      <c r="F1" s="363"/>
      <c r="G1" s="363"/>
      <c r="H1" s="363"/>
      <c r="I1" s="363"/>
    </row>
    <row r="2" spans="1:9" s="64" customFormat="1" ht="18" customHeight="1">
      <c r="A2" s="308" t="s">
        <v>51</v>
      </c>
      <c r="B2" s="308"/>
      <c r="C2" s="308"/>
      <c r="D2" s="308"/>
      <c r="E2" s="308"/>
      <c r="F2" s="308"/>
      <c r="G2" s="308"/>
      <c r="H2" s="308"/>
      <c r="I2" s="308"/>
    </row>
    <row r="3" spans="1:9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9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9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9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9" s="63" customFormat="1" ht="12.75" customHeight="1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9" s="61" customFormat="1" ht="15" customHeight="1">
      <c r="A8" s="62" t="s">
        <v>308</v>
      </c>
      <c r="F8" s="312"/>
      <c r="G8" s="312"/>
      <c r="H8" s="126" t="s">
        <v>45</v>
      </c>
      <c r="I8" s="280">
        <v>46160</v>
      </c>
    </row>
    <row r="9" spans="1:9" s="54" customFormat="1" ht="12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</row>
    <row r="10" spans="1:9" s="54" customFormat="1" ht="24.75" customHeight="1">
      <c r="B10" s="288" t="s">
        <v>299</v>
      </c>
      <c r="C10" s="59"/>
      <c r="D10" s="56"/>
      <c r="E10" s="56"/>
      <c r="F10" s="56"/>
      <c r="G10" s="56"/>
      <c r="H10" s="56"/>
      <c r="I10" s="56"/>
    </row>
    <row r="11" spans="1:9" s="54" customFormat="1" ht="14.25" customHeight="1">
      <c r="A11" s="55" t="s">
        <v>42</v>
      </c>
      <c r="C11" s="57"/>
      <c r="D11" s="56"/>
      <c r="E11" s="55"/>
      <c r="F11" s="55"/>
      <c r="G11" s="55"/>
      <c r="H11" s="55"/>
      <c r="I11" s="55"/>
    </row>
    <row r="12" spans="1:9" s="53" customFormat="1" ht="29.25" customHeight="1">
      <c r="A12" s="335" t="s">
        <v>40</v>
      </c>
      <c r="B12" s="335"/>
      <c r="C12" s="335"/>
      <c r="D12" s="335"/>
      <c r="E12" s="335"/>
      <c r="F12" s="335"/>
      <c r="G12" s="335"/>
      <c r="H12" s="335"/>
      <c r="I12" s="335"/>
    </row>
    <row r="13" spans="1:9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58"/>
      <c r="G13" s="359"/>
      <c r="H13" s="359"/>
      <c r="I13" s="359"/>
    </row>
    <row r="14" spans="1:9" s="47" customFormat="1" ht="15" customHeight="1">
      <c r="A14" s="281"/>
      <c r="B14" s="128" t="s">
        <v>36</v>
      </c>
      <c r="C14" s="51" t="s">
        <v>301</v>
      </c>
      <c r="D14" s="281"/>
      <c r="E14" s="49"/>
      <c r="F14" s="362" t="s">
        <v>300</v>
      </c>
      <c r="G14" s="362"/>
      <c r="H14" s="362"/>
      <c r="I14" s="362"/>
    </row>
    <row r="15" spans="1:9" s="29" customFormat="1" ht="25.5">
      <c r="A15" s="46" t="s">
        <v>33</v>
      </c>
      <c r="B15" s="45" t="s">
        <v>32</v>
      </c>
      <c r="C15" s="45" t="s">
        <v>31</v>
      </c>
      <c r="D15" s="45" t="s">
        <v>30</v>
      </c>
      <c r="E15" s="241" t="s">
        <v>29</v>
      </c>
      <c r="F15" s="241" t="s">
        <v>28</v>
      </c>
      <c r="G15" s="241" t="s">
        <v>27</v>
      </c>
      <c r="H15" s="241" t="s">
        <v>26</v>
      </c>
      <c r="I15" s="241" t="s">
        <v>25</v>
      </c>
    </row>
    <row r="16" spans="1:9" s="38" customFormat="1" ht="15" customHeight="1">
      <c r="A16" s="37">
        <v>1</v>
      </c>
      <c r="B16" s="42" t="s">
        <v>24</v>
      </c>
      <c r="C16" s="41" t="s">
        <v>263</v>
      </c>
      <c r="D16" s="35">
        <v>1</v>
      </c>
      <c r="E16" s="187">
        <v>8867</v>
      </c>
      <c r="F16" s="31">
        <f t="shared" ref="F16:F31" si="0">E16*D16</f>
        <v>8867</v>
      </c>
      <c r="G16" s="33">
        <v>0.18</v>
      </c>
      <c r="H16" s="32">
        <f t="shared" ref="H16:H31" si="1">G16*F16</f>
        <v>1596.06</v>
      </c>
      <c r="I16" s="31">
        <f t="shared" ref="I16:I31" si="2">H16+F16</f>
        <v>10463.06</v>
      </c>
    </row>
    <row r="17" spans="1:10" s="38" customFormat="1" ht="18.75" customHeight="1">
      <c r="A17" s="43">
        <v>2</v>
      </c>
      <c r="B17" s="42" t="s">
        <v>89</v>
      </c>
      <c r="C17" s="41" t="s">
        <v>264</v>
      </c>
      <c r="D17" s="35">
        <v>2</v>
      </c>
      <c r="E17" s="187">
        <v>21861</v>
      </c>
      <c r="F17" s="31">
        <f t="shared" si="0"/>
        <v>43722</v>
      </c>
      <c r="G17" s="33">
        <v>0.18</v>
      </c>
      <c r="H17" s="32">
        <f t="shared" si="1"/>
        <v>7869.96</v>
      </c>
      <c r="I17" s="31">
        <f t="shared" si="2"/>
        <v>51591.96</v>
      </c>
    </row>
    <row r="18" spans="1:10" s="38" customFormat="1" ht="18.75" customHeight="1">
      <c r="A18" s="43">
        <v>3</v>
      </c>
      <c r="B18" s="41" t="s">
        <v>86</v>
      </c>
      <c r="C18" s="41" t="s">
        <v>87</v>
      </c>
      <c r="D18" s="35">
        <v>1</v>
      </c>
      <c r="E18" s="187">
        <v>2276</v>
      </c>
      <c r="F18" s="31">
        <f t="shared" si="0"/>
        <v>2276</v>
      </c>
      <c r="G18" s="33">
        <v>0.18</v>
      </c>
      <c r="H18" s="32">
        <f t="shared" ref="H18" si="3">G18*F18</f>
        <v>409.68</v>
      </c>
      <c r="I18" s="31">
        <f t="shared" ref="I18" si="4">H18+F18</f>
        <v>2685.68</v>
      </c>
    </row>
    <row r="19" spans="1:10" s="38" customFormat="1" ht="18" customHeight="1">
      <c r="A19" s="43">
        <v>4</v>
      </c>
      <c r="B19" s="42" t="s">
        <v>302</v>
      </c>
      <c r="C19" s="41" t="s">
        <v>303</v>
      </c>
      <c r="D19" s="35">
        <v>1</v>
      </c>
      <c r="E19" s="187">
        <v>13874</v>
      </c>
      <c r="F19" s="31">
        <f t="shared" si="0"/>
        <v>13874</v>
      </c>
      <c r="G19" s="33">
        <v>0.18</v>
      </c>
      <c r="H19" s="32">
        <f>G19*F19</f>
        <v>2497.3199999999997</v>
      </c>
      <c r="I19" s="31">
        <f t="shared" si="2"/>
        <v>16371.32</v>
      </c>
    </row>
    <row r="20" spans="1:10" s="38" customFormat="1" ht="18" customHeight="1">
      <c r="A20" s="37">
        <v>5</v>
      </c>
      <c r="B20" s="42" t="s">
        <v>148</v>
      </c>
      <c r="C20" s="41" t="s">
        <v>149</v>
      </c>
      <c r="D20" s="35">
        <v>1</v>
      </c>
      <c r="E20" s="187">
        <v>19532</v>
      </c>
      <c r="F20" s="31">
        <f t="shared" si="0"/>
        <v>19532</v>
      </c>
      <c r="G20" s="33">
        <v>0.18</v>
      </c>
      <c r="H20" s="32">
        <f t="shared" ref="H20:H29" si="5">G20*F20</f>
        <v>3515.7599999999998</v>
      </c>
      <c r="I20" s="31">
        <f t="shared" ref="I20:I29" si="6">H20+F20</f>
        <v>23047.759999999998</v>
      </c>
    </row>
    <row r="21" spans="1:10" s="38" customFormat="1" ht="18" customHeight="1">
      <c r="A21" s="43">
        <v>6</v>
      </c>
      <c r="B21" s="42" t="s">
        <v>168</v>
      </c>
      <c r="C21" s="41" t="s">
        <v>236</v>
      </c>
      <c r="D21" s="35">
        <v>1</v>
      </c>
      <c r="E21" s="187">
        <v>3381</v>
      </c>
      <c r="F21" s="31">
        <f t="shared" si="0"/>
        <v>3381</v>
      </c>
      <c r="G21" s="33">
        <v>0.18</v>
      </c>
      <c r="H21" s="32">
        <f t="shared" si="5"/>
        <v>608.57999999999993</v>
      </c>
      <c r="I21" s="31">
        <f t="shared" si="6"/>
        <v>3989.58</v>
      </c>
    </row>
    <row r="22" spans="1:10" s="38" customFormat="1" ht="18" customHeight="1">
      <c r="A22" s="43">
        <v>7</v>
      </c>
      <c r="B22" s="42" t="s">
        <v>144</v>
      </c>
      <c r="C22" s="41" t="s">
        <v>145</v>
      </c>
      <c r="D22" s="35">
        <v>2</v>
      </c>
      <c r="E22" s="187">
        <v>11011</v>
      </c>
      <c r="F22" s="31">
        <f t="shared" si="0"/>
        <v>22022</v>
      </c>
      <c r="G22" s="33">
        <v>0.18</v>
      </c>
      <c r="H22" s="32">
        <f t="shared" si="5"/>
        <v>3963.96</v>
      </c>
      <c r="I22" s="31">
        <f t="shared" si="6"/>
        <v>25985.96</v>
      </c>
    </row>
    <row r="23" spans="1:10" s="38" customFormat="1" ht="18" customHeight="1">
      <c r="A23" s="43">
        <v>8</v>
      </c>
      <c r="B23" s="42" t="s">
        <v>237</v>
      </c>
      <c r="C23" s="41" t="s">
        <v>238</v>
      </c>
      <c r="D23" s="35">
        <v>1</v>
      </c>
      <c r="E23" s="187">
        <v>1848</v>
      </c>
      <c r="F23" s="31">
        <f t="shared" si="0"/>
        <v>1848</v>
      </c>
      <c r="G23" s="33">
        <v>0.18</v>
      </c>
      <c r="H23" s="32">
        <f t="shared" si="5"/>
        <v>332.64</v>
      </c>
      <c r="I23" s="31">
        <f t="shared" si="6"/>
        <v>2180.64</v>
      </c>
    </row>
    <row r="24" spans="1:10" s="38" customFormat="1" ht="18" customHeight="1">
      <c r="A24" s="37">
        <v>9</v>
      </c>
      <c r="B24" s="42" t="s">
        <v>304</v>
      </c>
      <c r="C24" s="41" t="s">
        <v>305</v>
      </c>
      <c r="D24" s="35">
        <v>1</v>
      </c>
      <c r="E24" s="187">
        <v>50912</v>
      </c>
      <c r="F24" s="31">
        <f t="shared" si="0"/>
        <v>50912</v>
      </c>
      <c r="G24" s="33">
        <v>0.18</v>
      </c>
      <c r="H24" s="32">
        <f t="shared" si="5"/>
        <v>9164.16</v>
      </c>
      <c r="I24" s="31">
        <f t="shared" si="6"/>
        <v>60076.160000000003</v>
      </c>
    </row>
    <row r="25" spans="1:10" s="38" customFormat="1" ht="18" customHeight="1">
      <c r="A25" s="43">
        <v>10</v>
      </c>
      <c r="B25" s="42" t="s">
        <v>224</v>
      </c>
      <c r="C25" s="41" t="s">
        <v>225</v>
      </c>
      <c r="D25" s="35">
        <v>3</v>
      </c>
      <c r="E25" s="187">
        <v>2612</v>
      </c>
      <c r="F25" s="31">
        <f t="shared" si="0"/>
        <v>7836</v>
      </c>
      <c r="G25" s="33">
        <v>0.18</v>
      </c>
      <c r="H25" s="32">
        <f t="shared" si="5"/>
        <v>1410.48</v>
      </c>
      <c r="I25" s="31">
        <f t="shared" si="6"/>
        <v>9246.48</v>
      </c>
    </row>
    <row r="26" spans="1:10" s="38" customFormat="1" ht="18" customHeight="1">
      <c r="A26" s="43">
        <v>11</v>
      </c>
      <c r="B26" s="42" t="s">
        <v>172</v>
      </c>
      <c r="C26" s="41" t="s">
        <v>173</v>
      </c>
      <c r="D26" s="35">
        <v>1</v>
      </c>
      <c r="E26" s="187">
        <v>1127</v>
      </c>
      <c r="F26" s="31">
        <f t="shared" si="0"/>
        <v>1127</v>
      </c>
      <c r="G26" s="33">
        <v>0.18</v>
      </c>
      <c r="H26" s="32">
        <f t="shared" si="5"/>
        <v>202.85999999999999</v>
      </c>
      <c r="I26" s="31">
        <f t="shared" si="6"/>
        <v>1329.86</v>
      </c>
      <c r="J26" s="39"/>
    </row>
    <row r="27" spans="1:10" s="38" customFormat="1" ht="18" customHeight="1">
      <c r="A27" s="43">
        <v>12</v>
      </c>
      <c r="B27" s="42" t="s">
        <v>222</v>
      </c>
      <c r="C27" s="41" t="s">
        <v>223</v>
      </c>
      <c r="D27" s="35">
        <v>3</v>
      </c>
      <c r="E27" s="187">
        <v>4419</v>
      </c>
      <c r="F27" s="31">
        <f t="shared" si="0"/>
        <v>13257</v>
      </c>
      <c r="G27" s="33">
        <v>0.18</v>
      </c>
      <c r="H27" s="32">
        <f t="shared" si="5"/>
        <v>2386.2599999999998</v>
      </c>
      <c r="I27" s="31">
        <f t="shared" si="6"/>
        <v>15643.26</v>
      </c>
    </row>
    <row r="28" spans="1:10" s="38" customFormat="1" ht="18" customHeight="1">
      <c r="A28" s="37">
        <v>13</v>
      </c>
      <c r="B28" s="42" t="s">
        <v>234</v>
      </c>
      <c r="C28" s="41" t="s">
        <v>235</v>
      </c>
      <c r="D28" s="35">
        <v>1</v>
      </c>
      <c r="E28" s="187">
        <v>1504</v>
      </c>
      <c r="F28" s="31">
        <f t="shared" si="0"/>
        <v>1504</v>
      </c>
      <c r="G28" s="33">
        <v>0.18</v>
      </c>
      <c r="H28" s="32">
        <f t="shared" si="5"/>
        <v>270.71999999999997</v>
      </c>
      <c r="I28" s="31">
        <f t="shared" si="6"/>
        <v>1774.72</v>
      </c>
    </row>
    <row r="29" spans="1:10" s="38" customFormat="1" ht="18" customHeight="1">
      <c r="A29" s="43">
        <v>14</v>
      </c>
      <c r="B29" s="42" t="s">
        <v>226</v>
      </c>
      <c r="C29" s="41" t="s">
        <v>227</v>
      </c>
      <c r="D29" s="35">
        <v>1</v>
      </c>
      <c r="E29" s="187">
        <v>2568</v>
      </c>
      <c r="F29" s="31">
        <f t="shared" si="0"/>
        <v>2568</v>
      </c>
      <c r="G29" s="33">
        <v>0.18</v>
      </c>
      <c r="H29" s="32">
        <f t="shared" si="5"/>
        <v>462.24</v>
      </c>
      <c r="I29" s="31">
        <f t="shared" si="6"/>
        <v>3030.24</v>
      </c>
    </row>
    <row r="30" spans="1:10" s="38" customFormat="1" ht="18" customHeight="1">
      <c r="A30" s="43">
        <v>15</v>
      </c>
      <c r="B30" s="42"/>
      <c r="C30" s="41" t="s">
        <v>306</v>
      </c>
      <c r="D30" s="35">
        <v>1</v>
      </c>
      <c r="E30" s="187">
        <v>1301</v>
      </c>
      <c r="F30" s="31">
        <f t="shared" si="0"/>
        <v>1301</v>
      </c>
      <c r="G30" s="33">
        <v>0.18</v>
      </c>
      <c r="H30" s="32">
        <f>G30*F30</f>
        <v>234.17999999999998</v>
      </c>
      <c r="I30" s="31">
        <f t="shared" si="2"/>
        <v>1535.18</v>
      </c>
    </row>
    <row r="31" spans="1:10" s="38" customFormat="1" ht="18.75" customHeight="1">
      <c r="A31" s="43">
        <v>16</v>
      </c>
      <c r="B31" s="83"/>
      <c r="C31" s="41" t="s">
        <v>102</v>
      </c>
      <c r="D31" s="35">
        <v>1</v>
      </c>
      <c r="E31" s="40">
        <v>1500</v>
      </c>
      <c r="F31" s="31">
        <f t="shared" si="0"/>
        <v>1500</v>
      </c>
      <c r="G31" s="33">
        <v>0.18</v>
      </c>
      <c r="H31" s="32">
        <f t="shared" si="1"/>
        <v>270</v>
      </c>
      <c r="I31" s="31">
        <f t="shared" si="2"/>
        <v>1770</v>
      </c>
    </row>
    <row r="32" spans="1:10" s="38" customFormat="1" ht="15" customHeight="1">
      <c r="A32" s="320" t="s">
        <v>20</v>
      </c>
      <c r="B32" s="321"/>
      <c r="C32" s="339"/>
      <c r="D32" s="28"/>
      <c r="E32" s="26"/>
      <c r="F32" s="26">
        <f>SUM(F16:F31)</f>
        <v>195527</v>
      </c>
      <c r="G32" s="243"/>
      <c r="H32" s="26">
        <f>SUM(H16:H31)</f>
        <v>35194.86</v>
      </c>
      <c r="I32" s="26">
        <f>SUM(I16:I31)</f>
        <v>230721.86</v>
      </c>
    </row>
    <row r="33" spans="1:9" s="38" customFormat="1" ht="15.75" customHeight="1">
      <c r="A33" s="320" t="s">
        <v>19</v>
      </c>
      <c r="B33" s="321"/>
      <c r="C33" s="321"/>
      <c r="D33" s="321"/>
      <c r="E33" s="321"/>
      <c r="F33" s="321"/>
      <c r="G33" s="321"/>
      <c r="H33" s="339"/>
      <c r="I33" s="24">
        <f>ROUND(I32,0)</f>
        <v>230722</v>
      </c>
    </row>
    <row r="34" spans="1:9" s="38" customFormat="1" ht="15.75" customHeight="1">
      <c r="A34" s="323" t="s">
        <v>307</v>
      </c>
      <c r="B34" s="324"/>
      <c r="C34" s="324"/>
      <c r="D34" s="324"/>
      <c r="E34" s="324"/>
      <c r="F34" s="324"/>
      <c r="G34" s="324"/>
      <c r="H34" s="324"/>
      <c r="I34" s="324"/>
    </row>
    <row r="35" spans="1:9" s="3" customFormat="1" ht="11.25">
      <c r="A35" s="14" t="s">
        <v>16</v>
      </c>
      <c r="B35" s="12"/>
      <c r="C35" s="12"/>
      <c r="D35" s="12"/>
      <c r="E35" s="12"/>
      <c r="F35" s="12"/>
      <c r="G35" s="12"/>
      <c r="H35" s="12"/>
      <c r="I35" s="13"/>
    </row>
    <row r="36" spans="1:9" s="6" customFormat="1" ht="21.75" customHeight="1">
      <c r="A36" s="11" t="s">
        <v>15</v>
      </c>
      <c r="B36" s="9"/>
      <c r="C36" s="10"/>
      <c r="D36" s="9"/>
      <c r="E36" s="8"/>
      <c r="F36" s="8"/>
      <c r="G36" s="3"/>
      <c r="H36" s="3"/>
    </row>
    <row r="37" spans="1:9" s="6" customFormat="1" ht="16.5" customHeight="1">
      <c r="A37" s="5">
        <v>1</v>
      </c>
      <c r="B37" s="7" t="s">
        <v>14</v>
      </c>
      <c r="C37" s="326" t="s">
        <v>185</v>
      </c>
      <c r="D37" s="326"/>
      <c r="E37" s="326"/>
      <c r="F37" s="326"/>
      <c r="G37" s="326"/>
      <c r="H37" s="282"/>
    </row>
    <row r="38" spans="1:9" s="6" customFormat="1" ht="18" customHeight="1">
      <c r="A38" s="5">
        <v>2</v>
      </c>
      <c r="B38" s="7" t="s">
        <v>12</v>
      </c>
      <c r="C38" s="326" t="s">
        <v>11</v>
      </c>
      <c r="D38" s="326"/>
      <c r="E38" s="326"/>
      <c r="F38" s="326"/>
      <c r="G38" s="326"/>
      <c r="H38" s="282"/>
    </row>
    <row r="39" spans="1:9" s="6" customFormat="1" ht="16.5" customHeight="1">
      <c r="A39" s="5">
        <v>3</v>
      </c>
      <c r="B39" s="7" t="s">
        <v>10</v>
      </c>
      <c r="C39" s="326" t="s">
        <v>9</v>
      </c>
      <c r="D39" s="326"/>
      <c r="E39" s="326"/>
      <c r="F39" s="326"/>
      <c r="G39" s="326"/>
      <c r="H39" s="282"/>
      <c r="I39" s="283" t="s">
        <v>8</v>
      </c>
    </row>
    <row r="40" spans="1:9" s="6" customFormat="1" ht="16.5" customHeight="1">
      <c r="A40" s="5">
        <v>4</v>
      </c>
      <c r="B40" s="7" t="s">
        <v>7</v>
      </c>
      <c r="C40" s="326" t="s">
        <v>93</v>
      </c>
      <c r="D40" s="326"/>
      <c r="E40" s="326"/>
      <c r="F40" s="326"/>
      <c r="G40" s="326"/>
      <c r="H40" s="282"/>
    </row>
    <row r="41" spans="1:9" s="6" customFormat="1" ht="16.5" customHeight="1">
      <c r="A41" s="5">
        <v>5</v>
      </c>
      <c r="B41" s="7" t="s">
        <v>5</v>
      </c>
      <c r="C41" s="326" t="s">
        <v>4</v>
      </c>
      <c r="D41" s="326"/>
      <c r="E41" s="326"/>
      <c r="F41" s="326"/>
      <c r="G41" s="326"/>
      <c r="H41" s="282"/>
      <c r="I41" s="283" t="s">
        <v>3</v>
      </c>
    </row>
    <row r="42" spans="1:9" s="3" customFormat="1" ht="38.25" customHeight="1">
      <c r="A42" s="5">
        <v>7</v>
      </c>
      <c r="B42" s="284" t="s">
        <v>2</v>
      </c>
      <c r="C42" s="328" t="s">
        <v>1</v>
      </c>
      <c r="D42" s="328"/>
      <c r="E42" s="328"/>
      <c r="F42" s="328"/>
      <c r="G42" s="328"/>
      <c r="H42" s="284"/>
      <c r="I42" s="143" t="s">
        <v>0</v>
      </c>
    </row>
    <row r="43" spans="1:9" s="244" customFormat="1">
      <c r="A43"/>
      <c r="B43" s="2"/>
      <c r="C43" s="326"/>
      <c r="D43" s="326"/>
      <c r="E43" s="326"/>
      <c r="F43" s="326"/>
      <c r="G43" s="326"/>
    </row>
    <row r="44" spans="1:9" s="244" customFormat="1" ht="29.25" customHeight="1">
      <c r="A44"/>
      <c r="B44" s="2"/>
      <c r="C44" s="328"/>
      <c r="D44" s="328"/>
      <c r="E44" s="328"/>
      <c r="F44" s="328"/>
      <c r="G44" s="328"/>
    </row>
    <row r="45" spans="1:9" s="244" customFormat="1">
      <c r="A45"/>
      <c r="B45" s="2"/>
      <c r="C45" s="2"/>
      <c r="D45" s="144"/>
    </row>
  </sheetData>
  <mergeCells count="24">
    <mergeCell ref="A6:I6"/>
    <mergeCell ref="A1:I1"/>
    <mergeCell ref="A2:I2"/>
    <mergeCell ref="A3:I3"/>
    <mergeCell ref="A4:I4"/>
    <mergeCell ref="A5:I5"/>
    <mergeCell ref="A7:I7"/>
    <mergeCell ref="F8:G8"/>
    <mergeCell ref="A12:I12"/>
    <mergeCell ref="A13:B13"/>
    <mergeCell ref="D13:E13"/>
    <mergeCell ref="F13:I13"/>
    <mergeCell ref="C44:G44"/>
    <mergeCell ref="F14:I14"/>
    <mergeCell ref="A32:C32"/>
    <mergeCell ref="A33:H33"/>
    <mergeCell ref="A34:I34"/>
    <mergeCell ref="C37:G37"/>
    <mergeCell ref="C38:G38"/>
    <mergeCell ref="C39:G39"/>
    <mergeCell ref="C40:G40"/>
    <mergeCell ref="C41:G41"/>
    <mergeCell ref="C42:G42"/>
    <mergeCell ref="C43:G43"/>
  </mergeCells>
  <printOptions horizontalCentered="1" verticalCentered="1"/>
  <pageMargins left="0" right="0" top="0.23622047244094491" bottom="0.19685039370078741" header="0.19685039370078741" footer="0.15748031496062992"/>
  <pageSetup paperSize="9" scale="80" fitToWidth="0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selection activeCell="E24" sqref="E24"/>
    </sheetView>
  </sheetViews>
  <sheetFormatPr defaultRowHeight="15"/>
  <cols>
    <col min="1" max="1" width="5.28515625" customWidth="1"/>
    <col min="2" max="2" width="34.28515625" style="2" customWidth="1"/>
    <col min="3" max="3" width="39.140625" style="2" customWidth="1"/>
    <col min="4" max="4" width="5.7109375" customWidth="1"/>
    <col min="5" max="6" width="15" style="190" customWidth="1"/>
    <col min="7" max="7" width="8.28515625" style="190" customWidth="1"/>
    <col min="8" max="8" width="13.42578125" style="190" customWidth="1"/>
    <col min="9" max="9" width="15.28515625" style="190" customWidth="1"/>
    <col min="10" max="10" width="18.5703125" customWidth="1"/>
    <col min="11" max="11" width="11.85546875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19.5">
      <c r="A2" s="149"/>
      <c r="B2" s="343" t="s">
        <v>51</v>
      </c>
      <c r="C2" s="343"/>
      <c r="D2" s="343"/>
      <c r="E2" s="343"/>
      <c r="F2" s="343"/>
      <c r="G2" s="343"/>
      <c r="H2" s="343"/>
      <c r="I2" s="343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311</v>
      </c>
      <c r="G8" s="312" t="s">
        <v>45</v>
      </c>
      <c r="H8" s="312"/>
      <c r="I8" s="289">
        <v>46160</v>
      </c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</row>
    <row r="10" spans="1:10" s="54" customFormat="1" ht="153">
      <c r="B10" s="127" t="s">
        <v>309</v>
      </c>
      <c r="C10" s="59"/>
      <c r="D10" s="56"/>
      <c r="E10" s="56"/>
      <c r="F10" s="56"/>
      <c r="G10" s="56"/>
      <c r="H10" s="56"/>
      <c r="I10" s="56"/>
    </row>
    <row r="11" spans="1:10" s="54" customFormat="1" ht="18" customHeight="1">
      <c r="A11" s="55" t="s">
        <v>42</v>
      </c>
      <c r="C11" s="57"/>
      <c r="D11" s="56"/>
      <c r="E11" s="55"/>
      <c r="F11" s="55"/>
      <c r="G11" s="55"/>
      <c r="H11" s="55"/>
      <c r="I11" s="55"/>
      <c r="J11" s="150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291"/>
      <c r="G13" s="347"/>
      <c r="H13" s="348"/>
      <c r="I13" s="348"/>
    </row>
    <row r="14" spans="1:10" s="47" customFormat="1" ht="18" customHeight="1">
      <c r="A14" s="290"/>
      <c r="B14" s="52" t="s">
        <v>36</v>
      </c>
      <c r="C14" s="51" t="s">
        <v>206</v>
      </c>
      <c r="D14" s="290"/>
      <c r="E14" s="49"/>
      <c r="F14" s="347" t="s">
        <v>310</v>
      </c>
      <c r="G14" s="348"/>
      <c r="H14" s="348"/>
      <c r="I14" s="295"/>
    </row>
    <row r="15" spans="1:10" s="29" customFormat="1" ht="25.5">
      <c r="A15" s="46" t="s">
        <v>33</v>
      </c>
      <c r="B15" s="45" t="s">
        <v>32</v>
      </c>
      <c r="C15" s="45" t="s">
        <v>31</v>
      </c>
      <c r="D15" s="45" t="s">
        <v>30</v>
      </c>
      <c r="E15" s="186" t="s">
        <v>29</v>
      </c>
      <c r="F15" s="186" t="s">
        <v>28</v>
      </c>
      <c r="G15" s="186" t="s">
        <v>27</v>
      </c>
      <c r="H15" s="186" t="s">
        <v>26</v>
      </c>
      <c r="I15" s="186" t="s">
        <v>25</v>
      </c>
    </row>
    <row r="16" spans="1:10" s="29" customFormat="1" ht="12.75">
      <c r="A16" s="46">
        <v>1</v>
      </c>
      <c r="B16" s="42" t="s">
        <v>89</v>
      </c>
      <c r="C16" s="41" t="s">
        <v>264</v>
      </c>
      <c r="D16" s="45">
        <v>3</v>
      </c>
      <c r="E16" s="186">
        <v>21861</v>
      </c>
      <c r="F16" s="186">
        <f t="shared" ref="F16:F17" si="0">E16*D16</f>
        <v>65583</v>
      </c>
      <c r="G16" s="157">
        <v>0.18</v>
      </c>
      <c r="H16" s="186">
        <f t="shared" ref="H16" si="1">F16*G16</f>
        <v>11804.939999999999</v>
      </c>
      <c r="I16" s="186">
        <f t="shared" ref="I16" si="2">F16+H16</f>
        <v>77387.94</v>
      </c>
    </row>
    <row r="17" spans="1:10" s="38" customFormat="1" ht="18.75" customHeight="1">
      <c r="A17" s="37">
        <v>2</v>
      </c>
      <c r="B17" s="83"/>
      <c r="C17" s="296" t="s">
        <v>102</v>
      </c>
      <c r="D17" s="45">
        <v>1</v>
      </c>
      <c r="E17" s="186">
        <v>1200</v>
      </c>
      <c r="F17" s="186">
        <f t="shared" si="0"/>
        <v>1200</v>
      </c>
      <c r="G17" s="157">
        <v>0.18</v>
      </c>
      <c r="H17" s="186">
        <f>G17*F17</f>
        <v>216</v>
      </c>
      <c r="I17" s="186">
        <f>H17+F17</f>
        <v>1416</v>
      </c>
      <c r="J17" s="39"/>
    </row>
    <row r="18" spans="1:10" s="38" customFormat="1" ht="18.75" customHeight="1">
      <c r="A18" s="320" t="s">
        <v>20</v>
      </c>
      <c r="B18" s="321"/>
      <c r="C18" s="339"/>
      <c r="D18" s="28"/>
      <c r="E18" s="26"/>
      <c r="F18" s="26">
        <f>SUM(F16:F17)</f>
        <v>66783</v>
      </c>
      <c r="G18" s="188"/>
      <c r="H18" s="26">
        <f>SUM(H16:H17)</f>
        <v>12020.939999999999</v>
      </c>
      <c r="I18" s="26">
        <f>SUM(I16:I17)</f>
        <v>78803.94</v>
      </c>
      <c r="J18" s="39"/>
    </row>
    <row r="19" spans="1:10" s="38" customFormat="1" ht="15" customHeight="1">
      <c r="A19" s="320" t="s">
        <v>19</v>
      </c>
      <c r="B19" s="321"/>
      <c r="C19" s="321"/>
      <c r="D19" s="321"/>
      <c r="E19" s="321"/>
      <c r="F19" s="321"/>
      <c r="G19" s="321"/>
      <c r="H19" s="339"/>
      <c r="I19" s="24">
        <f>ROUND(I18,0)</f>
        <v>78804</v>
      </c>
      <c r="J19" s="39"/>
    </row>
    <row r="20" spans="1:10" s="38" customFormat="1" ht="18.75" customHeight="1">
      <c r="A20" s="323" t="s">
        <v>312</v>
      </c>
      <c r="B20" s="324"/>
      <c r="C20" s="324"/>
      <c r="D20" s="324"/>
      <c r="E20" s="324"/>
      <c r="F20" s="324"/>
      <c r="G20" s="324"/>
      <c r="H20" s="324"/>
      <c r="I20" s="342"/>
      <c r="J20" s="39"/>
    </row>
    <row r="21" spans="1:10" s="3" customFormat="1" ht="11.25">
      <c r="A21" s="14" t="s">
        <v>16</v>
      </c>
      <c r="B21" s="12"/>
      <c r="C21" s="12"/>
      <c r="D21" s="12"/>
      <c r="E21" s="12"/>
      <c r="F21" s="12"/>
      <c r="G21" s="12"/>
      <c r="H21" s="12"/>
      <c r="I21" s="13"/>
    </row>
    <row r="22" spans="1:10" s="6" customFormat="1" ht="21.75" customHeight="1">
      <c r="A22" s="11" t="s">
        <v>15</v>
      </c>
      <c r="B22" s="9"/>
      <c r="C22" s="10"/>
      <c r="D22" s="9"/>
      <c r="E22" s="8"/>
      <c r="F22" s="8"/>
      <c r="G22" s="8"/>
      <c r="H22" s="3"/>
    </row>
    <row r="23" spans="1:10" s="6" customFormat="1" ht="16.5" customHeight="1">
      <c r="A23" s="5">
        <v>1</v>
      </c>
      <c r="B23" s="7" t="s">
        <v>14</v>
      </c>
      <c r="C23" s="326" t="s">
        <v>185</v>
      </c>
      <c r="D23" s="326"/>
      <c r="E23" s="326"/>
      <c r="F23" s="326"/>
      <c r="G23" s="326"/>
      <c r="H23" s="326"/>
    </row>
    <row r="24" spans="1:10" s="6" customFormat="1" ht="16.5" customHeight="1">
      <c r="A24" s="5">
        <v>2</v>
      </c>
      <c r="B24" s="7" t="s">
        <v>12</v>
      </c>
      <c r="C24" s="292" t="s">
        <v>11</v>
      </c>
      <c r="D24" s="292"/>
      <c r="E24" s="292"/>
      <c r="F24" s="292"/>
      <c r="G24" s="292"/>
      <c r="H24" s="292"/>
    </row>
    <row r="25" spans="1:10" s="6" customFormat="1" ht="18" customHeight="1">
      <c r="A25" s="5">
        <v>3</v>
      </c>
      <c r="B25" s="7" t="s">
        <v>10</v>
      </c>
      <c r="C25" s="292" t="s">
        <v>9</v>
      </c>
      <c r="D25" s="292"/>
      <c r="E25" s="292"/>
      <c r="F25" s="292"/>
      <c r="G25" s="292"/>
      <c r="H25" s="292"/>
    </row>
    <row r="26" spans="1:10" s="6" customFormat="1" ht="16.5" customHeight="1">
      <c r="A26" s="5">
        <v>4</v>
      </c>
      <c r="B26" s="7" t="s">
        <v>7</v>
      </c>
      <c r="C26" s="292" t="s">
        <v>93</v>
      </c>
      <c r="D26" s="292"/>
      <c r="E26" s="292"/>
      <c r="F26" s="292"/>
      <c r="G26" s="292"/>
      <c r="H26" s="292"/>
      <c r="I26" s="293" t="s">
        <v>8</v>
      </c>
    </row>
    <row r="27" spans="1:10" s="6" customFormat="1" ht="16.5" customHeight="1">
      <c r="A27" s="5">
        <v>5</v>
      </c>
      <c r="B27" s="7" t="s">
        <v>5</v>
      </c>
      <c r="C27" s="292" t="s">
        <v>4</v>
      </c>
      <c r="D27" s="292"/>
      <c r="E27" s="292"/>
      <c r="F27" s="292"/>
      <c r="G27" s="292"/>
      <c r="H27" s="292"/>
    </row>
    <row r="28" spans="1:10" s="6" customFormat="1" ht="25.5" customHeight="1">
      <c r="A28" s="5">
        <v>6</v>
      </c>
      <c r="B28" s="294" t="s">
        <v>2</v>
      </c>
      <c r="C28" s="328" t="s">
        <v>1</v>
      </c>
      <c r="D28" s="326"/>
      <c r="E28" s="326"/>
      <c r="F28" s="326"/>
      <c r="G28" s="326"/>
      <c r="H28" s="326"/>
      <c r="I28" s="293" t="s">
        <v>3</v>
      </c>
    </row>
    <row r="29" spans="1:10" s="166" customFormat="1" ht="24" customHeight="1">
      <c r="A29" s="161"/>
      <c r="B29" s="162"/>
      <c r="C29" s="163"/>
      <c r="D29" s="164"/>
      <c r="E29" s="189"/>
      <c r="F29" s="189"/>
      <c r="G29" s="189"/>
      <c r="H29" s="189"/>
      <c r="I29" s="143" t="s">
        <v>0</v>
      </c>
    </row>
  </sheetData>
  <mergeCells count="18">
    <mergeCell ref="A6:I6"/>
    <mergeCell ref="A1:I1"/>
    <mergeCell ref="B2:I2"/>
    <mergeCell ref="A3:I3"/>
    <mergeCell ref="A4:I4"/>
    <mergeCell ref="A5:I5"/>
    <mergeCell ref="C28:H28"/>
    <mergeCell ref="A7:I7"/>
    <mergeCell ref="G8:H8"/>
    <mergeCell ref="A12:I12"/>
    <mergeCell ref="A13:B13"/>
    <mergeCell ref="D13:E13"/>
    <mergeCell ref="G13:I13"/>
    <mergeCell ref="F14:H14"/>
    <mergeCell ref="A18:C18"/>
    <mergeCell ref="A19:H19"/>
    <mergeCell ref="A20:I20"/>
    <mergeCell ref="C23:H23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30"/>
  <sheetViews>
    <sheetView topLeftCell="A7" workbookViewId="0">
      <selection activeCell="B17" sqref="B17"/>
    </sheetView>
  </sheetViews>
  <sheetFormatPr defaultRowHeight="15"/>
  <cols>
    <col min="1" max="1" width="5.28515625" customWidth="1"/>
    <col min="2" max="2" width="40.7109375" style="2" customWidth="1"/>
    <col min="3" max="3" width="37.140625" style="2" customWidth="1"/>
    <col min="4" max="4" width="5.140625" customWidth="1"/>
    <col min="5" max="6" width="13.5703125" style="190" customWidth="1"/>
    <col min="7" max="7" width="15.28515625" style="190" customWidth="1"/>
    <col min="8" max="8" width="5.42578125" style="190" customWidth="1"/>
    <col min="9" max="9" width="13.42578125" style="190" customWidth="1"/>
    <col min="10" max="10" width="15.28515625" style="190" customWidth="1"/>
    <col min="11" max="11" width="18.5703125" customWidth="1"/>
    <col min="12" max="12" width="13" bestFit="1" customWidth="1"/>
    <col min="235" max="235" width="5.28515625" customWidth="1"/>
    <col min="236" max="236" width="15.7109375" customWidth="1"/>
    <col min="237" max="237" width="17" customWidth="1"/>
    <col min="238" max="238" width="37.5703125" customWidth="1"/>
    <col min="239" max="239" width="5.7109375" customWidth="1"/>
    <col min="240" max="240" width="12.140625" customWidth="1"/>
    <col min="241" max="241" width="14.85546875" customWidth="1"/>
    <col min="491" max="491" width="5.28515625" customWidth="1"/>
    <col min="492" max="492" width="15.7109375" customWidth="1"/>
    <col min="493" max="493" width="17" customWidth="1"/>
    <col min="494" max="494" width="37.5703125" customWidth="1"/>
    <col min="495" max="495" width="5.7109375" customWidth="1"/>
    <col min="496" max="496" width="12.140625" customWidth="1"/>
    <col min="497" max="497" width="14.85546875" customWidth="1"/>
    <col min="747" max="747" width="5.28515625" customWidth="1"/>
    <col min="748" max="748" width="15.7109375" customWidth="1"/>
    <col min="749" max="749" width="17" customWidth="1"/>
    <col min="750" max="750" width="37.5703125" customWidth="1"/>
    <col min="751" max="751" width="5.7109375" customWidth="1"/>
    <col min="752" max="752" width="12.140625" customWidth="1"/>
    <col min="753" max="753" width="14.85546875" customWidth="1"/>
    <col min="1003" max="1003" width="5.28515625" customWidth="1"/>
    <col min="1004" max="1004" width="15.7109375" customWidth="1"/>
    <col min="1005" max="1005" width="17" customWidth="1"/>
    <col min="1006" max="1006" width="37.5703125" customWidth="1"/>
    <col min="1007" max="1007" width="5.7109375" customWidth="1"/>
    <col min="1008" max="1008" width="12.140625" customWidth="1"/>
    <col min="1009" max="1009" width="14.85546875" customWidth="1"/>
    <col min="1259" max="1259" width="5.28515625" customWidth="1"/>
    <col min="1260" max="1260" width="15.7109375" customWidth="1"/>
    <col min="1261" max="1261" width="17" customWidth="1"/>
    <col min="1262" max="1262" width="37.5703125" customWidth="1"/>
    <col min="1263" max="1263" width="5.7109375" customWidth="1"/>
    <col min="1264" max="1264" width="12.140625" customWidth="1"/>
    <col min="1265" max="1265" width="14.85546875" customWidth="1"/>
    <col min="1515" max="1515" width="5.28515625" customWidth="1"/>
    <col min="1516" max="1516" width="15.7109375" customWidth="1"/>
    <col min="1517" max="1517" width="17" customWidth="1"/>
    <col min="1518" max="1518" width="37.5703125" customWidth="1"/>
    <col min="1519" max="1519" width="5.7109375" customWidth="1"/>
    <col min="1520" max="1520" width="12.140625" customWidth="1"/>
    <col min="1521" max="1521" width="14.85546875" customWidth="1"/>
    <col min="1771" max="1771" width="5.28515625" customWidth="1"/>
    <col min="1772" max="1772" width="15.7109375" customWidth="1"/>
    <col min="1773" max="1773" width="17" customWidth="1"/>
    <col min="1774" max="1774" width="37.5703125" customWidth="1"/>
    <col min="1775" max="1775" width="5.7109375" customWidth="1"/>
    <col min="1776" max="1776" width="12.140625" customWidth="1"/>
    <col min="1777" max="1777" width="14.85546875" customWidth="1"/>
    <col min="2027" max="2027" width="5.28515625" customWidth="1"/>
    <col min="2028" max="2028" width="15.7109375" customWidth="1"/>
    <col min="2029" max="2029" width="17" customWidth="1"/>
    <col min="2030" max="2030" width="37.5703125" customWidth="1"/>
    <col min="2031" max="2031" width="5.7109375" customWidth="1"/>
    <col min="2032" max="2032" width="12.140625" customWidth="1"/>
    <col min="2033" max="2033" width="14.85546875" customWidth="1"/>
    <col min="2283" max="2283" width="5.28515625" customWidth="1"/>
    <col min="2284" max="2284" width="15.7109375" customWidth="1"/>
    <col min="2285" max="2285" width="17" customWidth="1"/>
    <col min="2286" max="2286" width="37.5703125" customWidth="1"/>
    <col min="2287" max="2287" width="5.7109375" customWidth="1"/>
    <col min="2288" max="2288" width="12.140625" customWidth="1"/>
    <col min="2289" max="2289" width="14.85546875" customWidth="1"/>
    <col min="2539" max="2539" width="5.28515625" customWidth="1"/>
    <col min="2540" max="2540" width="15.7109375" customWidth="1"/>
    <col min="2541" max="2541" width="17" customWidth="1"/>
    <col min="2542" max="2542" width="37.5703125" customWidth="1"/>
    <col min="2543" max="2543" width="5.7109375" customWidth="1"/>
    <col min="2544" max="2544" width="12.140625" customWidth="1"/>
    <col min="2545" max="2545" width="14.85546875" customWidth="1"/>
    <col min="2795" max="2795" width="5.28515625" customWidth="1"/>
    <col min="2796" max="2796" width="15.7109375" customWidth="1"/>
    <col min="2797" max="2797" width="17" customWidth="1"/>
    <col min="2798" max="2798" width="37.5703125" customWidth="1"/>
    <col min="2799" max="2799" width="5.7109375" customWidth="1"/>
    <col min="2800" max="2800" width="12.140625" customWidth="1"/>
    <col min="2801" max="2801" width="14.85546875" customWidth="1"/>
    <col min="3051" max="3051" width="5.28515625" customWidth="1"/>
    <col min="3052" max="3052" width="15.7109375" customWidth="1"/>
    <col min="3053" max="3053" width="17" customWidth="1"/>
    <col min="3054" max="3054" width="37.5703125" customWidth="1"/>
    <col min="3055" max="3055" width="5.7109375" customWidth="1"/>
    <col min="3056" max="3056" width="12.140625" customWidth="1"/>
    <col min="3057" max="3057" width="14.85546875" customWidth="1"/>
    <col min="3307" max="3307" width="5.28515625" customWidth="1"/>
    <col min="3308" max="3308" width="15.7109375" customWidth="1"/>
    <col min="3309" max="3309" width="17" customWidth="1"/>
    <col min="3310" max="3310" width="37.5703125" customWidth="1"/>
    <col min="3311" max="3311" width="5.7109375" customWidth="1"/>
    <col min="3312" max="3312" width="12.140625" customWidth="1"/>
    <col min="3313" max="3313" width="14.85546875" customWidth="1"/>
    <col min="3563" max="3563" width="5.28515625" customWidth="1"/>
    <col min="3564" max="3564" width="15.7109375" customWidth="1"/>
    <col min="3565" max="3565" width="17" customWidth="1"/>
    <col min="3566" max="3566" width="37.5703125" customWidth="1"/>
    <col min="3567" max="3567" width="5.7109375" customWidth="1"/>
    <col min="3568" max="3568" width="12.140625" customWidth="1"/>
    <col min="3569" max="3569" width="14.85546875" customWidth="1"/>
    <col min="3819" max="3819" width="5.28515625" customWidth="1"/>
    <col min="3820" max="3820" width="15.7109375" customWidth="1"/>
    <col min="3821" max="3821" width="17" customWidth="1"/>
    <col min="3822" max="3822" width="37.5703125" customWidth="1"/>
    <col min="3823" max="3823" width="5.7109375" customWidth="1"/>
    <col min="3824" max="3824" width="12.140625" customWidth="1"/>
    <col min="3825" max="3825" width="14.85546875" customWidth="1"/>
    <col min="4075" max="4075" width="5.28515625" customWidth="1"/>
    <col min="4076" max="4076" width="15.7109375" customWidth="1"/>
    <col min="4077" max="4077" width="17" customWidth="1"/>
    <col min="4078" max="4078" width="37.5703125" customWidth="1"/>
    <col min="4079" max="4079" width="5.7109375" customWidth="1"/>
    <col min="4080" max="4080" width="12.140625" customWidth="1"/>
    <col min="4081" max="4081" width="14.85546875" customWidth="1"/>
    <col min="4331" max="4331" width="5.28515625" customWidth="1"/>
    <col min="4332" max="4332" width="15.7109375" customWidth="1"/>
    <col min="4333" max="4333" width="17" customWidth="1"/>
    <col min="4334" max="4334" width="37.5703125" customWidth="1"/>
    <col min="4335" max="4335" width="5.7109375" customWidth="1"/>
    <col min="4336" max="4336" width="12.140625" customWidth="1"/>
    <col min="4337" max="4337" width="14.85546875" customWidth="1"/>
    <col min="4587" max="4587" width="5.28515625" customWidth="1"/>
    <col min="4588" max="4588" width="15.7109375" customWidth="1"/>
    <col min="4589" max="4589" width="17" customWidth="1"/>
    <col min="4590" max="4590" width="37.5703125" customWidth="1"/>
    <col min="4591" max="4591" width="5.7109375" customWidth="1"/>
    <col min="4592" max="4592" width="12.140625" customWidth="1"/>
    <col min="4593" max="4593" width="14.85546875" customWidth="1"/>
    <col min="4843" max="4843" width="5.28515625" customWidth="1"/>
    <col min="4844" max="4844" width="15.7109375" customWidth="1"/>
    <col min="4845" max="4845" width="17" customWidth="1"/>
    <col min="4846" max="4846" width="37.5703125" customWidth="1"/>
    <col min="4847" max="4847" width="5.7109375" customWidth="1"/>
    <col min="4848" max="4848" width="12.140625" customWidth="1"/>
    <col min="4849" max="4849" width="14.85546875" customWidth="1"/>
    <col min="5099" max="5099" width="5.28515625" customWidth="1"/>
    <col min="5100" max="5100" width="15.7109375" customWidth="1"/>
    <col min="5101" max="5101" width="17" customWidth="1"/>
    <col min="5102" max="5102" width="37.5703125" customWidth="1"/>
    <col min="5103" max="5103" width="5.7109375" customWidth="1"/>
    <col min="5104" max="5104" width="12.140625" customWidth="1"/>
    <col min="5105" max="5105" width="14.85546875" customWidth="1"/>
    <col min="5355" max="5355" width="5.28515625" customWidth="1"/>
    <col min="5356" max="5356" width="15.7109375" customWidth="1"/>
    <col min="5357" max="5357" width="17" customWidth="1"/>
    <col min="5358" max="5358" width="37.5703125" customWidth="1"/>
    <col min="5359" max="5359" width="5.7109375" customWidth="1"/>
    <col min="5360" max="5360" width="12.140625" customWidth="1"/>
    <col min="5361" max="5361" width="14.85546875" customWidth="1"/>
    <col min="5611" max="5611" width="5.28515625" customWidth="1"/>
    <col min="5612" max="5612" width="15.7109375" customWidth="1"/>
    <col min="5613" max="5613" width="17" customWidth="1"/>
    <col min="5614" max="5614" width="37.5703125" customWidth="1"/>
    <col min="5615" max="5615" width="5.7109375" customWidth="1"/>
    <col min="5616" max="5616" width="12.140625" customWidth="1"/>
    <col min="5617" max="5617" width="14.85546875" customWidth="1"/>
    <col min="5867" max="5867" width="5.28515625" customWidth="1"/>
    <col min="5868" max="5868" width="15.7109375" customWidth="1"/>
    <col min="5869" max="5869" width="17" customWidth="1"/>
    <col min="5870" max="5870" width="37.5703125" customWidth="1"/>
    <col min="5871" max="5871" width="5.7109375" customWidth="1"/>
    <col min="5872" max="5872" width="12.140625" customWidth="1"/>
    <col min="5873" max="5873" width="14.85546875" customWidth="1"/>
    <col min="6123" max="6123" width="5.28515625" customWidth="1"/>
    <col min="6124" max="6124" width="15.7109375" customWidth="1"/>
    <col min="6125" max="6125" width="17" customWidth="1"/>
    <col min="6126" max="6126" width="37.5703125" customWidth="1"/>
    <col min="6127" max="6127" width="5.7109375" customWidth="1"/>
    <col min="6128" max="6128" width="12.140625" customWidth="1"/>
    <col min="6129" max="6129" width="14.85546875" customWidth="1"/>
    <col min="6379" max="6379" width="5.28515625" customWidth="1"/>
    <col min="6380" max="6380" width="15.7109375" customWidth="1"/>
    <col min="6381" max="6381" width="17" customWidth="1"/>
    <col min="6382" max="6382" width="37.5703125" customWidth="1"/>
    <col min="6383" max="6383" width="5.7109375" customWidth="1"/>
    <col min="6384" max="6384" width="12.140625" customWidth="1"/>
    <col min="6385" max="6385" width="14.85546875" customWidth="1"/>
    <col min="6635" max="6635" width="5.28515625" customWidth="1"/>
    <col min="6636" max="6636" width="15.7109375" customWidth="1"/>
    <col min="6637" max="6637" width="17" customWidth="1"/>
    <col min="6638" max="6638" width="37.5703125" customWidth="1"/>
    <col min="6639" max="6639" width="5.7109375" customWidth="1"/>
    <col min="6640" max="6640" width="12.140625" customWidth="1"/>
    <col min="6641" max="6641" width="14.85546875" customWidth="1"/>
    <col min="6891" max="6891" width="5.28515625" customWidth="1"/>
    <col min="6892" max="6892" width="15.7109375" customWidth="1"/>
    <col min="6893" max="6893" width="17" customWidth="1"/>
    <col min="6894" max="6894" width="37.5703125" customWidth="1"/>
    <col min="6895" max="6895" width="5.7109375" customWidth="1"/>
    <col min="6896" max="6896" width="12.140625" customWidth="1"/>
    <col min="6897" max="6897" width="14.85546875" customWidth="1"/>
    <col min="7147" max="7147" width="5.28515625" customWidth="1"/>
    <col min="7148" max="7148" width="15.7109375" customWidth="1"/>
    <col min="7149" max="7149" width="17" customWidth="1"/>
    <col min="7150" max="7150" width="37.5703125" customWidth="1"/>
    <col min="7151" max="7151" width="5.7109375" customWidth="1"/>
    <col min="7152" max="7152" width="12.140625" customWidth="1"/>
    <col min="7153" max="7153" width="14.85546875" customWidth="1"/>
    <col min="7403" max="7403" width="5.28515625" customWidth="1"/>
    <col min="7404" max="7404" width="15.7109375" customWidth="1"/>
    <col min="7405" max="7405" width="17" customWidth="1"/>
    <col min="7406" max="7406" width="37.5703125" customWidth="1"/>
    <col min="7407" max="7407" width="5.7109375" customWidth="1"/>
    <col min="7408" max="7408" width="12.140625" customWidth="1"/>
    <col min="7409" max="7409" width="14.85546875" customWidth="1"/>
    <col min="7659" max="7659" width="5.28515625" customWidth="1"/>
    <col min="7660" max="7660" width="15.7109375" customWidth="1"/>
    <col min="7661" max="7661" width="17" customWidth="1"/>
    <col min="7662" max="7662" width="37.5703125" customWidth="1"/>
    <col min="7663" max="7663" width="5.7109375" customWidth="1"/>
    <col min="7664" max="7664" width="12.140625" customWidth="1"/>
    <col min="7665" max="7665" width="14.85546875" customWidth="1"/>
    <col min="7915" max="7915" width="5.28515625" customWidth="1"/>
    <col min="7916" max="7916" width="15.7109375" customWidth="1"/>
    <col min="7917" max="7917" width="17" customWidth="1"/>
    <col min="7918" max="7918" width="37.5703125" customWidth="1"/>
    <col min="7919" max="7919" width="5.7109375" customWidth="1"/>
    <col min="7920" max="7920" width="12.140625" customWidth="1"/>
    <col min="7921" max="7921" width="14.85546875" customWidth="1"/>
    <col min="8171" max="8171" width="5.28515625" customWidth="1"/>
    <col min="8172" max="8172" width="15.7109375" customWidth="1"/>
    <col min="8173" max="8173" width="17" customWidth="1"/>
    <col min="8174" max="8174" width="37.5703125" customWidth="1"/>
    <col min="8175" max="8175" width="5.7109375" customWidth="1"/>
    <col min="8176" max="8176" width="12.140625" customWidth="1"/>
    <col min="8177" max="8177" width="14.85546875" customWidth="1"/>
    <col min="8427" max="8427" width="5.28515625" customWidth="1"/>
    <col min="8428" max="8428" width="15.7109375" customWidth="1"/>
    <col min="8429" max="8429" width="17" customWidth="1"/>
    <col min="8430" max="8430" width="37.5703125" customWidth="1"/>
    <col min="8431" max="8431" width="5.7109375" customWidth="1"/>
    <col min="8432" max="8432" width="12.140625" customWidth="1"/>
    <col min="8433" max="8433" width="14.85546875" customWidth="1"/>
    <col min="8683" max="8683" width="5.28515625" customWidth="1"/>
    <col min="8684" max="8684" width="15.7109375" customWidth="1"/>
    <col min="8685" max="8685" width="17" customWidth="1"/>
    <col min="8686" max="8686" width="37.5703125" customWidth="1"/>
    <col min="8687" max="8687" width="5.7109375" customWidth="1"/>
    <col min="8688" max="8688" width="12.140625" customWidth="1"/>
    <col min="8689" max="8689" width="14.85546875" customWidth="1"/>
    <col min="8939" max="8939" width="5.28515625" customWidth="1"/>
    <col min="8940" max="8940" width="15.7109375" customWidth="1"/>
    <col min="8941" max="8941" width="17" customWidth="1"/>
    <col min="8942" max="8942" width="37.5703125" customWidth="1"/>
    <col min="8943" max="8943" width="5.7109375" customWidth="1"/>
    <col min="8944" max="8944" width="12.140625" customWidth="1"/>
    <col min="8945" max="8945" width="14.85546875" customWidth="1"/>
    <col min="9195" max="9195" width="5.28515625" customWidth="1"/>
    <col min="9196" max="9196" width="15.7109375" customWidth="1"/>
    <col min="9197" max="9197" width="17" customWidth="1"/>
    <col min="9198" max="9198" width="37.5703125" customWidth="1"/>
    <col min="9199" max="9199" width="5.7109375" customWidth="1"/>
    <col min="9200" max="9200" width="12.140625" customWidth="1"/>
    <col min="9201" max="9201" width="14.85546875" customWidth="1"/>
    <col min="9451" max="9451" width="5.28515625" customWidth="1"/>
    <col min="9452" max="9452" width="15.7109375" customWidth="1"/>
    <col min="9453" max="9453" width="17" customWidth="1"/>
    <col min="9454" max="9454" width="37.5703125" customWidth="1"/>
    <col min="9455" max="9455" width="5.7109375" customWidth="1"/>
    <col min="9456" max="9456" width="12.140625" customWidth="1"/>
    <col min="9457" max="9457" width="14.85546875" customWidth="1"/>
    <col min="9707" max="9707" width="5.28515625" customWidth="1"/>
    <col min="9708" max="9708" width="15.7109375" customWidth="1"/>
    <col min="9709" max="9709" width="17" customWidth="1"/>
    <col min="9710" max="9710" width="37.5703125" customWidth="1"/>
    <col min="9711" max="9711" width="5.7109375" customWidth="1"/>
    <col min="9712" max="9712" width="12.140625" customWidth="1"/>
    <col min="9713" max="9713" width="14.85546875" customWidth="1"/>
    <col min="9963" max="9963" width="5.28515625" customWidth="1"/>
    <col min="9964" max="9964" width="15.7109375" customWidth="1"/>
    <col min="9965" max="9965" width="17" customWidth="1"/>
    <col min="9966" max="9966" width="37.5703125" customWidth="1"/>
    <col min="9967" max="9967" width="5.7109375" customWidth="1"/>
    <col min="9968" max="9968" width="12.140625" customWidth="1"/>
    <col min="9969" max="9969" width="14.85546875" customWidth="1"/>
    <col min="10219" max="10219" width="5.28515625" customWidth="1"/>
    <col min="10220" max="10220" width="15.7109375" customWidth="1"/>
    <col min="10221" max="10221" width="17" customWidth="1"/>
    <col min="10222" max="10222" width="37.5703125" customWidth="1"/>
    <col min="10223" max="10223" width="5.7109375" customWidth="1"/>
    <col min="10224" max="10224" width="12.140625" customWidth="1"/>
    <col min="10225" max="10225" width="14.85546875" customWidth="1"/>
    <col min="10475" max="10475" width="5.28515625" customWidth="1"/>
    <col min="10476" max="10476" width="15.7109375" customWidth="1"/>
    <col min="10477" max="10477" width="17" customWidth="1"/>
    <col min="10478" max="10478" width="37.5703125" customWidth="1"/>
    <col min="10479" max="10479" width="5.7109375" customWidth="1"/>
    <col min="10480" max="10480" width="12.140625" customWidth="1"/>
    <col min="10481" max="10481" width="14.85546875" customWidth="1"/>
    <col min="10731" max="10731" width="5.28515625" customWidth="1"/>
    <col min="10732" max="10732" width="15.7109375" customWidth="1"/>
    <col min="10733" max="10733" width="17" customWidth="1"/>
    <col min="10734" max="10734" width="37.5703125" customWidth="1"/>
    <col min="10735" max="10735" width="5.7109375" customWidth="1"/>
    <col min="10736" max="10736" width="12.140625" customWidth="1"/>
    <col min="10737" max="10737" width="14.85546875" customWidth="1"/>
    <col min="10987" max="10987" width="5.28515625" customWidth="1"/>
    <col min="10988" max="10988" width="15.7109375" customWidth="1"/>
    <col min="10989" max="10989" width="17" customWidth="1"/>
    <col min="10990" max="10990" width="37.5703125" customWidth="1"/>
    <col min="10991" max="10991" width="5.7109375" customWidth="1"/>
    <col min="10992" max="10992" width="12.140625" customWidth="1"/>
    <col min="10993" max="10993" width="14.85546875" customWidth="1"/>
    <col min="11243" max="11243" width="5.28515625" customWidth="1"/>
    <col min="11244" max="11244" width="15.7109375" customWidth="1"/>
    <col min="11245" max="11245" width="17" customWidth="1"/>
    <col min="11246" max="11246" width="37.5703125" customWidth="1"/>
    <col min="11247" max="11247" width="5.7109375" customWidth="1"/>
    <col min="11248" max="11248" width="12.140625" customWidth="1"/>
    <col min="11249" max="11249" width="14.85546875" customWidth="1"/>
    <col min="11499" max="11499" width="5.28515625" customWidth="1"/>
    <col min="11500" max="11500" width="15.7109375" customWidth="1"/>
    <col min="11501" max="11501" width="17" customWidth="1"/>
    <col min="11502" max="11502" width="37.5703125" customWidth="1"/>
    <col min="11503" max="11503" width="5.7109375" customWidth="1"/>
    <col min="11504" max="11504" width="12.140625" customWidth="1"/>
    <col min="11505" max="11505" width="14.85546875" customWidth="1"/>
    <col min="11755" max="11755" width="5.28515625" customWidth="1"/>
    <col min="11756" max="11756" width="15.7109375" customWidth="1"/>
    <col min="11757" max="11757" width="17" customWidth="1"/>
    <col min="11758" max="11758" width="37.5703125" customWidth="1"/>
    <col min="11759" max="11759" width="5.7109375" customWidth="1"/>
    <col min="11760" max="11760" width="12.140625" customWidth="1"/>
    <col min="11761" max="11761" width="14.85546875" customWidth="1"/>
    <col min="12011" max="12011" width="5.28515625" customWidth="1"/>
    <col min="12012" max="12012" width="15.7109375" customWidth="1"/>
    <col min="12013" max="12013" width="17" customWidth="1"/>
    <col min="12014" max="12014" width="37.5703125" customWidth="1"/>
    <col min="12015" max="12015" width="5.7109375" customWidth="1"/>
    <col min="12016" max="12016" width="12.140625" customWidth="1"/>
    <col min="12017" max="12017" width="14.85546875" customWidth="1"/>
    <col min="12267" max="12267" width="5.28515625" customWidth="1"/>
    <col min="12268" max="12268" width="15.7109375" customWidth="1"/>
    <col min="12269" max="12269" width="17" customWidth="1"/>
    <col min="12270" max="12270" width="37.5703125" customWidth="1"/>
    <col min="12271" max="12271" width="5.7109375" customWidth="1"/>
    <col min="12272" max="12272" width="12.140625" customWidth="1"/>
    <col min="12273" max="12273" width="14.85546875" customWidth="1"/>
    <col min="12523" max="12523" width="5.28515625" customWidth="1"/>
    <col min="12524" max="12524" width="15.7109375" customWidth="1"/>
    <col min="12525" max="12525" width="17" customWidth="1"/>
    <col min="12526" max="12526" width="37.5703125" customWidth="1"/>
    <col min="12527" max="12527" width="5.7109375" customWidth="1"/>
    <col min="12528" max="12528" width="12.140625" customWidth="1"/>
    <col min="12529" max="12529" width="14.85546875" customWidth="1"/>
    <col min="12779" max="12779" width="5.28515625" customWidth="1"/>
    <col min="12780" max="12780" width="15.7109375" customWidth="1"/>
    <col min="12781" max="12781" width="17" customWidth="1"/>
    <col min="12782" max="12782" width="37.5703125" customWidth="1"/>
    <col min="12783" max="12783" width="5.7109375" customWidth="1"/>
    <col min="12784" max="12784" width="12.140625" customWidth="1"/>
    <col min="12785" max="12785" width="14.85546875" customWidth="1"/>
    <col min="13035" max="13035" width="5.28515625" customWidth="1"/>
    <col min="13036" max="13036" width="15.7109375" customWidth="1"/>
    <col min="13037" max="13037" width="17" customWidth="1"/>
    <col min="13038" max="13038" width="37.5703125" customWidth="1"/>
    <col min="13039" max="13039" width="5.7109375" customWidth="1"/>
    <col min="13040" max="13040" width="12.140625" customWidth="1"/>
    <col min="13041" max="13041" width="14.85546875" customWidth="1"/>
    <col min="13291" max="13291" width="5.28515625" customWidth="1"/>
    <col min="13292" max="13292" width="15.7109375" customWidth="1"/>
    <col min="13293" max="13293" width="17" customWidth="1"/>
    <col min="13294" max="13294" width="37.5703125" customWidth="1"/>
    <col min="13295" max="13295" width="5.7109375" customWidth="1"/>
    <col min="13296" max="13296" width="12.140625" customWidth="1"/>
    <col min="13297" max="13297" width="14.85546875" customWidth="1"/>
    <col min="13547" max="13547" width="5.28515625" customWidth="1"/>
    <col min="13548" max="13548" width="15.7109375" customWidth="1"/>
    <col min="13549" max="13549" width="17" customWidth="1"/>
    <col min="13550" max="13550" width="37.5703125" customWidth="1"/>
    <col min="13551" max="13551" width="5.7109375" customWidth="1"/>
    <col min="13552" max="13552" width="12.140625" customWidth="1"/>
    <col min="13553" max="13553" width="14.85546875" customWidth="1"/>
    <col min="13803" max="13803" width="5.28515625" customWidth="1"/>
    <col min="13804" max="13804" width="15.7109375" customWidth="1"/>
    <col min="13805" max="13805" width="17" customWidth="1"/>
    <col min="13806" max="13806" width="37.5703125" customWidth="1"/>
    <col min="13807" max="13807" width="5.7109375" customWidth="1"/>
    <col min="13808" max="13808" width="12.140625" customWidth="1"/>
    <col min="13809" max="13809" width="14.85546875" customWidth="1"/>
    <col min="14059" max="14059" width="5.28515625" customWidth="1"/>
    <col min="14060" max="14060" width="15.7109375" customWidth="1"/>
    <col min="14061" max="14061" width="17" customWidth="1"/>
    <col min="14062" max="14062" width="37.5703125" customWidth="1"/>
    <col min="14063" max="14063" width="5.7109375" customWidth="1"/>
    <col min="14064" max="14064" width="12.140625" customWidth="1"/>
    <col min="14065" max="14065" width="14.85546875" customWidth="1"/>
    <col min="14315" max="14315" width="5.28515625" customWidth="1"/>
    <col min="14316" max="14316" width="15.7109375" customWidth="1"/>
    <col min="14317" max="14317" width="17" customWidth="1"/>
    <col min="14318" max="14318" width="37.5703125" customWidth="1"/>
    <col min="14319" max="14319" width="5.7109375" customWidth="1"/>
    <col min="14320" max="14320" width="12.140625" customWidth="1"/>
    <col min="14321" max="14321" width="14.85546875" customWidth="1"/>
    <col min="14571" max="14571" width="5.28515625" customWidth="1"/>
    <col min="14572" max="14572" width="15.7109375" customWidth="1"/>
    <col min="14573" max="14573" width="17" customWidth="1"/>
    <col min="14574" max="14574" width="37.5703125" customWidth="1"/>
    <col min="14575" max="14575" width="5.7109375" customWidth="1"/>
    <col min="14576" max="14576" width="12.140625" customWidth="1"/>
    <col min="14577" max="14577" width="14.85546875" customWidth="1"/>
    <col min="14827" max="14827" width="5.28515625" customWidth="1"/>
    <col min="14828" max="14828" width="15.7109375" customWidth="1"/>
    <col min="14829" max="14829" width="17" customWidth="1"/>
    <col min="14830" max="14830" width="37.5703125" customWidth="1"/>
    <col min="14831" max="14831" width="5.7109375" customWidth="1"/>
    <col min="14832" max="14832" width="12.140625" customWidth="1"/>
    <col min="14833" max="14833" width="14.85546875" customWidth="1"/>
    <col min="15083" max="15083" width="5.28515625" customWidth="1"/>
    <col min="15084" max="15084" width="15.7109375" customWidth="1"/>
    <col min="15085" max="15085" width="17" customWidth="1"/>
    <col min="15086" max="15086" width="37.5703125" customWidth="1"/>
    <col min="15087" max="15087" width="5.7109375" customWidth="1"/>
    <col min="15088" max="15088" width="12.140625" customWidth="1"/>
    <col min="15089" max="15089" width="14.85546875" customWidth="1"/>
    <col min="15339" max="15339" width="5.28515625" customWidth="1"/>
    <col min="15340" max="15340" width="15.7109375" customWidth="1"/>
    <col min="15341" max="15341" width="17" customWidth="1"/>
    <col min="15342" max="15342" width="37.5703125" customWidth="1"/>
    <col min="15343" max="15343" width="5.7109375" customWidth="1"/>
    <col min="15344" max="15344" width="12.140625" customWidth="1"/>
    <col min="15345" max="15345" width="14.85546875" customWidth="1"/>
    <col min="15595" max="15595" width="5.28515625" customWidth="1"/>
    <col min="15596" max="15596" width="15.7109375" customWidth="1"/>
    <col min="15597" max="15597" width="17" customWidth="1"/>
    <col min="15598" max="15598" width="37.5703125" customWidth="1"/>
    <col min="15599" max="15599" width="5.7109375" customWidth="1"/>
    <col min="15600" max="15600" width="12.140625" customWidth="1"/>
    <col min="15601" max="15601" width="14.85546875" customWidth="1"/>
    <col min="15851" max="15851" width="5.28515625" customWidth="1"/>
    <col min="15852" max="15852" width="15.7109375" customWidth="1"/>
    <col min="15853" max="15853" width="17" customWidth="1"/>
    <col min="15854" max="15854" width="37.5703125" customWidth="1"/>
    <col min="15855" max="15855" width="5.7109375" customWidth="1"/>
    <col min="15856" max="15856" width="12.140625" customWidth="1"/>
    <col min="15857" max="15857" width="14.85546875" customWidth="1"/>
    <col min="16107" max="16107" width="5.28515625" customWidth="1"/>
    <col min="16108" max="16108" width="15.7109375" customWidth="1"/>
    <col min="16109" max="16109" width="17" customWidth="1"/>
    <col min="16110" max="16110" width="37.5703125" customWidth="1"/>
    <col min="16111" max="16111" width="5.7109375" customWidth="1"/>
    <col min="16112" max="16112" width="12.140625" customWidth="1"/>
    <col min="16113" max="16113" width="14.85546875" customWidth="1"/>
  </cols>
  <sheetData>
    <row r="1" spans="1:11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  <c r="J1" s="307"/>
    </row>
    <row r="2" spans="1:11" s="64" customFormat="1" ht="19.5">
      <c r="A2" s="149"/>
      <c r="B2" s="343" t="s">
        <v>51</v>
      </c>
      <c r="C2" s="343"/>
      <c r="D2" s="343"/>
      <c r="E2" s="343"/>
      <c r="F2" s="343"/>
      <c r="G2" s="343"/>
      <c r="H2" s="343"/>
      <c r="I2" s="343"/>
      <c r="J2" s="343"/>
    </row>
    <row r="3" spans="1:11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  <c r="J3" s="309"/>
    </row>
    <row r="4" spans="1:11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  <c r="J4" s="310"/>
    </row>
    <row r="5" spans="1:11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  <c r="J5" s="309"/>
    </row>
    <row r="6" spans="1:11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  <c r="J6" s="310"/>
    </row>
    <row r="7" spans="1:11" s="63" customFormat="1" ht="12.75">
      <c r="A7" s="311" t="s">
        <v>46</v>
      </c>
      <c r="B7" s="311"/>
      <c r="C7" s="311"/>
      <c r="D7" s="311"/>
      <c r="E7" s="311"/>
      <c r="F7" s="311"/>
      <c r="G7" s="311"/>
      <c r="H7" s="311"/>
      <c r="I7" s="311"/>
      <c r="J7" s="311"/>
    </row>
    <row r="8" spans="1:11" s="61" customFormat="1" ht="15" customHeight="1">
      <c r="A8" s="62" t="s">
        <v>314</v>
      </c>
      <c r="H8" s="312" t="s">
        <v>45</v>
      </c>
      <c r="I8" s="312"/>
      <c r="J8" s="297">
        <v>46161</v>
      </c>
    </row>
    <row r="9" spans="1:11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  <c r="J9" s="56"/>
    </row>
    <row r="10" spans="1:11" s="54" customFormat="1" ht="132" customHeight="1">
      <c r="B10" s="127" t="s">
        <v>257</v>
      </c>
      <c r="C10" s="59"/>
      <c r="D10" s="56"/>
      <c r="E10" s="56"/>
      <c r="F10" s="56"/>
      <c r="G10" s="56"/>
      <c r="H10" s="56"/>
      <c r="I10" s="56"/>
      <c r="J10" s="56"/>
    </row>
    <row r="11" spans="1:11" s="54" customFormat="1" ht="18" customHeight="1">
      <c r="A11" s="55" t="s">
        <v>42</v>
      </c>
      <c r="C11" s="57"/>
      <c r="D11" s="56"/>
      <c r="E11" s="55"/>
      <c r="F11" s="55"/>
      <c r="G11" s="55"/>
      <c r="H11" s="55"/>
      <c r="I11" s="55"/>
      <c r="J11" s="55"/>
      <c r="K11" s="150"/>
    </row>
    <row r="12" spans="1:11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  <c r="J12" s="314"/>
    </row>
    <row r="13" spans="1:11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298"/>
      <c r="G13" s="298"/>
      <c r="H13" s="347"/>
      <c r="I13" s="348"/>
      <c r="J13" s="348"/>
    </row>
    <row r="14" spans="1:11" s="47" customFormat="1" ht="18" customHeight="1">
      <c r="A14" s="349" t="s">
        <v>36</v>
      </c>
      <c r="B14" s="350"/>
      <c r="C14" s="51" t="s">
        <v>184</v>
      </c>
      <c r="D14" s="51"/>
      <c r="G14" s="348" t="s">
        <v>258</v>
      </c>
      <c r="H14" s="348"/>
      <c r="I14" s="348"/>
      <c r="J14" s="351"/>
    </row>
    <row r="15" spans="1:11" s="29" customFormat="1" ht="27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186" t="s">
        <v>29</v>
      </c>
      <c r="F15" s="186" t="s">
        <v>155</v>
      </c>
      <c r="G15" s="186" t="s">
        <v>28</v>
      </c>
      <c r="H15" s="186" t="s">
        <v>27</v>
      </c>
      <c r="I15" s="186" t="s">
        <v>26</v>
      </c>
      <c r="J15" s="186" t="s">
        <v>25</v>
      </c>
    </row>
    <row r="16" spans="1:11" s="38" customFormat="1" ht="18.75" customHeight="1">
      <c r="A16" s="37">
        <v>1</v>
      </c>
      <c r="B16" s="83" t="s">
        <v>175</v>
      </c>
      <c r="C16" s="84" t="s">
        <v>241</v>
      </c>
      <c r="D16" s="85">
        <v>1</v>
      </c>
      <c r="E16" s="34">
        <v>91050</v>
      </c>
      <c r="F16" s="214">
        <v>0.1</v>
      </c>
      <c r="G16" s="31">
        <f>E16*90%*D16</f>
        <v>81945</v>
      </c>
      <c r="H16" s="88">
        <v>0.18</v>
      </c>
      <c r="I16" s="87">
        <f>G16*18%</f>
        <v>14750.099999999999</v>
      </c>
      <c r="J16" s="87">
        <f>I16+G16</f>
        <v>96695.1</v>
      </c>
      <c r="K16" s="39"/>
    </row>
    <row r="17" spans="1:11" s="38" customFormat="1" ht="18.75" customHeight="1">
      <c r="A17" s="43">
        <v>2</v>
      </c>
      <c r="B17" s="83"/>
      <c r="C17" s="84" t="s">
        <v>216</v>
      </c>
      <c r="D17" s="85">
        <v>2</v>
      </c>
      <c r="E17" s="34">
        <v>3500</v>
      </c>
      <c r="F17" s="263"/>
      <c r="G17" s="31">
        <f>E17*D17</f>
        <v>7000</v>
      </c>
      <c r="H17" s="253">
        <v>0.18</v>
      </c>
      <c r="I17" s="254">
        <f>G17*H17</f>
        <v>1260</v>
      </c>
      <c r="J17" s="255">
        <f>G17+I17</f>
        <v>8260</v>
      </c>
      <c r="K17" s="39"/>
    </row>
    <row r="18" spans="1:11" s="38" customFormat="1" ht="18.75" customHeight="1">
      <c r="A18" s="43"/>
      <c r="B18" s="181"/>
      <c r="C18" s="182" t="s">
        <v>102</v>
      </c>
      <c r="D18" s="85">
        <v>1</v>
      </c>
      <c r="E18" s="187">
        <v>3500</v>
      </c>
      <c r="F18" s="191"/>
      <c r="G18" s="31">
        <f>E18*D18</f>
        <v>3500</v>
      </c>
      <c r="H18" s="33">
        <v>0.18</v>
      </c>
      <c r="I18" s="32">
        <f>H18*G18</f>
        <v>630</v>
      </c>
      <c r="J18" s="31">
        <f>I18+G18</f>
        <v>4130</v>
      </c>
      <c r="K18" s="39"/>
    </row>
    <row r="19" spans="1:11" s="38" customFormat="1" ht="18.75" customHeight="1">
      <c r="A19" s="320" t="s">
        <v>20</v>
      </c>
      <c r="B19" s="321"/>
      <c r="C19" s="339"/>
      <c r="D19" s="28"/>
      <c r="E19" s="26"/>
      <c r="F19" s="26"/>
      <c r="G19" s="26">
        <f>SUM(G16:G18)</f>
        <v>92445</v>
      </c>
      <c r="H19" s="188"/>
      <c r="I19" s="26">
        <f>SUM(I16:I18)</f>
        <v>16640.099999999999</v>
      </c>
      <c r="J19" s="26">
        <f>SUM(J16:J18)</f>
        <v>109085.1</v>
      </c>
      <c r="K19" s="39"/>
    </row>
    <row r="20" spans="1:11" s="38" customFormat="1" ht="15" customHeight="1">
      <c r="A20" s="320" t="s">
        <v>19</v>
      </c>
      <c r="B20" s="321"/>
      <c r="C20" s="321"/>
      <c r="D20" s="321"/>
      <c r="E20" s="321"/>
      <c r="F20" s="360"/>
      <c r="G20" s="321"/>
      <c r="H20" s="321"/>
      <c r="I20" s="339"/>
      <c r="J20" s="24">
        <f>ROUND(J19,0)</f>
        <v>109085</v>
      </c>
      <c r="K20" s="39"/>
    </row>
    <row r="21" spans="1:11" s="38" customFormat="1" ht="18.75" customHeight="1">
      <c r="A21" s="323" t="s">
        <v>315</v>
      </c>
      <c r="B21" s="324"/>
      <c r="C21" s="324"/>
      <c r="D21" s="324"/>
      <c r="E21" s="324"/>
      <c r="F21" s="361"/>
      <c r="G21" s="324"/>
      <c r="H21" s="324"/>
      <c r="I21" s="324"/>
      <c r="J21" s="342"/>
      <c r="K21" s="39"/>
    </row>
    <row r="22" spans="1:11" s="3" customFormat="1" ht="11.25">
      <c r="A22" s="14" t="s">
        <v>16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1" s="6" customFormat="1" ht="21.75" customHeight="1">
      <c r="A23" s="11" t="s">
        <v>15</v>
      </c>
      <c r="B23" s="9"/>
      <c r="C23" s="10"/>
      <c r="D23" s="9"/>
      <c r="E23" s="8"/>
      <c r="F23" s="8"/>
      <c r="G23" s="8"/>
      <c r="H23" s="8"/>
      <c r="I23" s="3"/>
    </row>
    <row r="24" spans="1:11" s="6" customFormat="1" ht="16.5" customHeight="1">
      <c r="A24" s="5">
        <v>1</v>
      </c>
      <c r="B24" s="7" t="s">
        <v>14</v>
      </c>
      <c r="C24" s="326" t="s">
        <v>185</v>
      </c>
      <c r="D24" s="326"/>
      <c r="E24" s="326"/>
      <c r="F24" s="326"/>
      <c r="G24" s="326"/>
      <c r="H24" s="326"/>
      <c r="I24" s="326"/>
    </row>
    <row r="25" spans="1:11" s="6" customFormat="1" ht="16.5" customHeight="1">
      <c r="A25" s="5">
        <v>2</v>
      </c>
      <c r="B25" s="7" t="s">
        <v>12</v>
      </c>
      <c r="C25" s="299" t="s">
        <v>11</v>
      </c>
      <c r="D25" s="299"/>
      <c r="E25" s="299"/>
      <c r="F25" s="299"/>
      <c r="G25" s="299"/>
      <c r="H25" s="299"/>
      <c r="I25" s="299"/>
    </row>
    <row r="26" spans="1:11" s="6" customFormat="1" ht="18" customHeight="1">
      <c r="A26" s="5">
        <v>3</v>
      </c>
      <c r="B26" s="7" t="s">
        <v>10</v>
      </c>
      <c r="C26" s="299" t="s">
        <v>9</v>
      </c>
      <c r="D26" s="299"/>
      <c r="E26" s="299"/>
      <c r="F26" s="299"/>
      <c r="G26" s="299"/>
      <c r="H26" s="299"/>
      <c r="I26" s="299"/>
    </row>
    <row r="27" spans="1:11" s="6" customFormat="1" ht="16.5" customHeight="1">
      <c r="A27" s="5">
        <v>4</v>
      </c>
      <c r="B27" s="7" t="s">
        <v>7</v>
      </c>
      <c r="C27" s="299" t="s">
        <v>93</v>
      </c>
      <c r="D27" s="299"/>
      <c r="E27" s="299"/>
      <c r="F27" s="299"/>
      <c r="G27" s="299"/>
      <c r="H27" s="299"/>
      <c r="I27" s="299"/>
      <c r="J27" s="300" t="s">
        <v>8</v>
      </c>
    </row>
    <row r="28" spans="1:11" s="6" customFormat="1" ht="16.5" customHeight="1">
      <c r="A28" s="5">
        <v>5</v>
      </c>
      <c r="B28" s="7" t="s">
        <v>5</v>
      </c>
      <c r="C28" s="299" t="s">
        <v>4</v>
      </c>
      <c r="D28" s="299"/>
      <c r="E28" s="299"/>
      <c r="F28" s="299"/>
      <c r="G28" s="299"/>
      <c r="H28" s="299"/>
      <c r="I28" s="299"/>
    </row>
    <row r="29" spans="1:11" s="6" customFormat="1" ht="25.5" customHeight="1">
      <c r="A29" s="5">
        <v>6</v>
      </c>
      <c r="B29" s="301" t="s">
        <v>2</v>
      </c>
      <c r="C29" s="328" t="s">
        <v>1</v>
      </c>
      <c r="D29" s="326"/>
      <c r="E29" s="326"/>
      <c r="F29" s="326"/>
      <c r="G29" s="326"/>
      <c r="H29" s="326"/>
      <c r="I29" s="326"/>
      <c r="J29" s="300" t="s">
        <v>3</v>
      </c>
    </row>
    <row r="30" spans="1:11" s="166" customFormat="1" ht="24" customHeight="1">
      <c r="A30" s="161"/>
      <c r="B30" s="162"/>
      <c r="C30" s="163"/>
      <c r="D30" s="164"/>
      <c r="E30" s="189"/>
      <c r="F30" s="189"/>
      <c r="G30" s="189"/>
      <c r="H30" s="189"/>
      <c r="I30" s="189"/>
      <c r="J30" s="143" t="s">
        <v>0</v>
      </c>
    </row>
  </sheetData>
  <mergeCells count="19">
    <mergeCell ref="A6:J6"/>
    <mergeCell ref="A1:J1"/>
    <mergeCell ref="B2:J2"/>
    <mergeCell ref="A3:J3"/>
    <mergeCell ref="A4:J4"/>
    <mergeCell ref="A5:J5"/>
    <mergeCell ref="A7:J7"/>
    <mergeCell ref="H8:I8"/>
    <mergeCell ref="A12:J12"/>
    <mergeCell ref="A13:B13"/>
    <mergeCell ref="D13:E13"/>
    <mergeCell ref="H13:J13"/>
    <mergeCell ref="C29:I29"/>
    <mergeCell ref="A14:B14"/>
    <mergeCell ref="G14:J14"/>
    <mergeCell ref="A19:C19"/>
    <mergeCell ref="A20:I20"/>
    <mergeCell ref="A21:J21"/>
    <mergeCell ref="C24:I24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J30"/>
  <sheetViews>
    <sheetView topLeftCell="A7" workbookViewId="0">
      <selection activeCell="J23" sqref="J23"/>
    </sheetView>
  </sheetViews>
  <sheetFormatPr defaultRowHeight="15"/>
  <cols>
    <col min="1" max="1" width="5.28515625" customWidth="1"/>
    <col min="2" max="2" width="25.5703125" style="2" customWidth="1"/>
    <col min="3" max="3" width="37.140625" style="2" customWidth="1"/>
    <col min="4" max="4" width="5.140625" customWidth="1"/>
    <col min="5" max="5" width="13.5703125" style="190" customWidth="1"/>
    <col min="6" max="6" width="15.28515625" style="190" customWidth="1"/>
    <col min="7" max="7" width="5.42578125" style="190" customWidth="1"/>
    <col min="8" max="8" width="13.42578125" style="190" customWidth="1"/>
    <col min="9" max="9" width="15.28515625" style="190" customWidth="1"/>
    <col min="10" max="10" width="18.5703125" customWidth="1"/>
    <col min="11" max="11" width="13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19.5">
      <c r="A2" s="149"/>
      <c r="B2" s="343" t="s">
        <v>51</v>
      </c>
      <c r="C2" s="343"/>
      <c r="D2" s="343"/>
      <c r="E2" s="343"/>
      <c r="F2" s="343"/>
      <c r="G2" s="343"/>
      <c r="H2" s="343"/>
      <c r="I2" s="343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317</v>
      </c>
      <c r="G8" s="312" t="s">
        <v>45</v>
      </c>
      <c r="H8" s="312"/>
      <c r="I8" s="306">
        <v>46162</v>
      </c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</row>
    <row r="10" spans="1:10" s="54" customFormat="1" ht="73.5" customHeight="1">
      <c r="B10" s="127" t="s">
        <v>324</v>
      </c>
      <c r="C10" s="59"/>
      <c r="D10" s="56"/>
      <c r="E10" s="56"/>
      <c r="F10" s="56"/>
      <c r="G10" s="56"/>
      <c r="H10" s="56"/>
      <c r="I10" s="56"/>
    </row>
    <row r="11" spans="1:10" s="54" customFormat="1" ht="18" customHeight="1">
      <c r="A11" s="55" t="s">
        <v>42</v>
      </c>
      <c r="C11" s="57"/>
      <c r="D11" s="56"/>
      <c r="E11" s="55"/>
      <c r="F11" s="55"/>
      <c r="G11" s="55"/>
      <c r="H11" s="55"/>
      <c r="I11" s="55"/>
      <c r="J11" s="150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05"/>
      <c r="G13" s="347"/>
      <c r="H13" s="348"/>
      <c r="I13" s="348"/>
    </row>
    <row r="14" spans="1:10" s="47" customFormat="1" ht="18" customHeight="1">
      <c r="A14" s="349" t="s">
        <v>36</v>
      </c>
      <c r="B14" s="350"/>
      <c r="C14" s="51" t="s">
        <v>184</v>
      </c>
      <c r="D14" s="51"/>
      <c r="F14" s="348" t="s">
        <v>258</v>
      </c>
      <c r="G14" s="348"/>
      <c r="H14" s="348"/>
      <c r="I14" s="351"/>
    </row>
    <row r="15" spans="1:10" s="29" customFormat="1" ht="27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186" t="s">
        <v>29</v>
      </c>
      <c r="F15" s="186" t="s">
        <v>28</v>
      </c>
      <c r="G15" s="186" t="s">
        <v>27</v>
      </c>
      <c r="H15" s="186" t="s">
        <v>26</v>
      </c>
      <c r="I15" s="186" t="s">
        <v>25</v>
      </c>
    </row>
    <row r="16" spans="1:10" s="38" customFormat="1" ht="18.75" customHeight="1">
      <c r="A16" s="37">
        <v>1</v>
      </c>
      <c r="B16" s="84" t="s">
        <v>319</v>
      </c>
      <c r="C16" s="84" t="s">
        <v>321</v>
      </c>
      <c r="D16" s="85">
        <v>1</v>
      </c>
      <c r="E16" s="34">
        <v>10810</v>
      </c>
      <c r="F16" s="31">
        <f>E16*D16</f>
        <v>10810</v>
      </c>
      <c r="G16" s="88">
        <v>0.18</v>
      </c>
      <c r="H16" s="87">
        <f>F16*18%</f>
        <v>1945.8</v>
      </c>
      <c r="I16" s="87">
        <f>H16+F16</f>
        <v>12755.8</v>
      </c>
      <c r="J16" s="39"/>
    </row>
    <row r="17" spans="1:10" s="38" customFormat="1" ht="18.75" customHeight="1">
      <c r="A17" s="43">
        <v>2</v>
      </c>
      <c r="B17" s="84" t="s">
        <v>320</v>
      </c>
      <c r="C17" s="84" t="s">
        <v>322</v>
      </c>
      <c r="D17" s="85">
        <v>1</v>
      </c>
      <c r="E17" s="34">
        <v>3625</v>
      </c>
      <c r="F17" s="31">
        <f>E17*D17</f>
        <v>3625</v>
      </c>
      <c r="G17" s="253">
        <v>0.18</v>
      </c>
      <c r="H17" s="254">
        <f>F17*G17</f>
        <v>652.5</v>
      </c>
      <c r="I17" s="255">
        <f>F17+H17</f>
        <v>4277.5</v>
      </c>
      <c r="J17" s="39"/>
    </row>
    <row r="18" spans="1:10" s="38" customFormat="1" ht="18.75" customHeight="1">
      <c r="A18" s="43"/>
      <c r="B18" s="181"/>
      <c r="C18" s="182" t="s">
        <v>102</v>
      </c>
      <c r="D18" s="85">
        <v>1</v>
      </c>
      <c r="E18" s="187">
        <v>500</v>
      </c>
      <c r="F18" s="31">
        <f>E18*D18</f>
        <v>500</v>
      </c>
      <c r="G18" s="33">
        <v>0.18</v>
      </c>
      <c r="H18" s="32">
        <f>G18*F18</f>
        <v>90</v>
      </c>
      <c r="I18" s="31">
        <f>H18+F18</f>
        <v>590</v>
      </c>
      <c r="J18" s="39"/>
    </row>
    <row r="19" spans="1:10" s="38" customFormat="1" ht="18.75" customHeight="1">
      <c r="A19" s="320" t="s">
        <v>20</v>
      </c>
      <c r="B19" s="321"/>
      <c r="C19" s="339"/>
      <c r="D19" s="28"/>
      <c r="E19" s="26"/>
      <c r="F19" s="26">
        <f>SUM(F16:F18)</f>
        <v>14935</v>
      </c>
      <c r="G19" s="188"/>
      <c r="H19" s="26">
        <f>SUM(H16:H18)</f>
        <v>2688.3</v>
      </c>
      <c r="I19" s="26">
        <f>SUM(I16:I18)</f>
        <v>17623.3</v>
      </c>
      <c r="J19" s="39"/>
    </row>
    <row r="20" spans="1:10" s="38" customFormat="1" ht="15" customHeight="1">
      <c r="A20" s="320" t="s">
        <v>19</v>
      </c>
      <c r="B20" s="321"/>
      <c r="C20" s="321"/>
      <c r="D20" s="321"/>
      <c r="E20" s="321"/>
      <c r="F20" s="321"/>
      <c r="G20" s="321"/>
      <c r="H20" s="339"/>
      <c r="I20" s="24">
        <f>ROUND(I19,0)</f>
        <v>17623</v>
      </c>
      <c r="J20" s="39"/>
    </row>
    <row r="21" spans="1:10" s="38" customFormat="1" ht="18.75" customHeight="1">
      <c r="A21" s="323" t="s">
        <v>323</v>
      </c>
      <c r="B21" s="324"/>
      <c r="C21" s="324"/>
      <c r="D21" s="324"/>
      <c r="E21" s="324"/>
      <c r="F21" s="324"/>
      <c r="G21" s="324"/>
      <c r="H21" s="324"/>
      <c r="I21" s="342"/>
      <c r="J21" s="39"/>
    </row>
    <row r="22" spans="1:10" s="3" customFormat="1" ht="11.25">
      <c r="A22" s="14" t="s">
        <v>16</v>
      </c>
      <c r="B22" s="12"/>
      <c r="C22" s="12"/>
      <c r="D22" s="12"/>
      <c r="E22" s="12"/>
      <c r="F22" s="12"/>
      <c r="G22" s="12"/>
      <c r="H22" s="12"/>
      <c r="I22" s="13"/>
    </row>
    <row r="23" spans="1:10" s="6" customFormat="1" ht="21.75" customHeight="1">
      <c r="A23" s="11" t="s">
        <v>15</v>
      </c>
      <c r="B23" s="9"/>
      <c r="C23" s="10"/>
      <c r="D23" s="9"/>
      <c r="E23" s="8"/>
      <c r="F23" s="8"/>
      <c r="G23" s="8"/>
      <c r="H23" s="3"/>
    </row>
    <row r="24" spans="1:10" s="6" customFormat="1" ht="16.5" customHeight="1">
      <c r="A24" s="5">
        <v>1</v>
      </c>
      <c r="B24" s="7" t="s">
        <v>14</v>
      </c>
      <c r="C24" s="326" t="s">
        <v>185</v>
      </c>
      <c r="D24" s="326"/>
      <c r="E24" s="326"/>
      <c r="F24" s="326"/>
      <c r="G24" s="326"/>
      <c r="H24" s="326"/>
    </row>
    <row r="25" spans="1:10" s="6" customFormat="1" ht="16.5" customHeight="1">
      <c r="A25" s="5">
        <v>2</v>
      </c>
      <c r="B25" s="7" t="s">
        <v>12</v>
      </c>
      <c r="C25" s="302" t="s">
        <v>11</v>
      </c>
      <c r="D25" s="302"/>
      <c r="E25" s="302"/>
      <c r="F25" s="302"/>
      <c r="G25" s="302"/>
      <c r="H25" s="302"/>
    </row>
    <row r="26" spans="1:10" s="6" customFormat="1" ht="18" customHeight="1">
      <c r="A26" s="5">
        <v>3</v>
      </c>
      <c r="B26" s="7" t="s">
        <v>10</v>
      </c>
      <c r="C26" s="302" t="s">
        <v>9</v>
      </c>
      <c r="D26" s="302"/>
      <c r="E26" s="302"/>
      <c r="F26" s="302"/>
      <c r="G26" s="302"/>
      <c r="H26" s="302"/>
    </row>
    <row r="27" spans="1:10" s="6" customFormat="1" ht="16.5" customHeight="1">
      <c r="A27" s="5">
        <v>4</v>
      </c>
      <c r="B27" s="7" t="s">
        <v>7</v>
      </c>
      <c r="C27" s="302" t="s">
        <v>93</v>
      </c>
      <c r="D27" s="302"/>
      <c r="E27" s="302"/>
      <c r="F27" s="302"/>
      <c r="G27" s="302"/>
      <c r="H27" s="302"/>
      <c r="I27" s="303" t="s">
        <v>8</v>
      </c>
    </row>
    <row r="28" spans="1:10" s="6" customFormat="1" ht="16.5" customHeight="1">
      <c r="A28" s="5">
        <v>5</v>
      </c>
      <c r="B28" s="7" t="s">
        <v>5</v>
      </c>
      <c r="C28" s="302" t="s">
        <v>4</v>
      </c>
      <c r="D28" s="302"/>
      <c r="E28" s="302"/>
      <c r="F28" s="302"/>
      <c r="G28" s="302"/>
      <c r="H28" s="302"/>
    </row>
    <row r="29" spans="1:10" s="6" customFormat="1" ht="25.5" customHeight="1">
      <c r="A29" s="5">
        <v>6</v>
      </c>
      <c r="B29" s="304" t="s">
        <v>2</v>
      </c>
      <c r="C29" s="328" t="s">
        <v>1</v>
      </c>
      <c r="D29" s="326"/>
      <c r="E29" s="326"/>
      <c r="F29" s="326"/>
      <c r="G29" s="326"/>
      <c r="H29" s="326"/>
      <c r="I29" s="303" t="s">
        <v>3</v>
      </c>
    </row>
    <row r="30" spans="1:10" s="166" customFormat="1" ht="24" customHeight="1">
      <c r="A30" s="161"/>
      <c r="B30" s="162"/>
      <c r="C30" s="163"/>
      <c r="D30" s="164"/>
      <c r="E30" s="189"/>
      <c r="F30" s="189"/>
      <c r="G30" s="189"/>
      <c r="H30" s="189"/>
      <c r="I30" s="143" t="s">
        <v>0</v>
      </c>
    </row>
  </sheetData>
  <mergeCells count="19">
    <mergeCell ref="C29:H29"/>
    <mergeCell ref="A14:B14"/>
    <mergeCell ref="F14:I14"/>
    <mergeCell ref="A19:C19"/>
    <mergeCell ref="A20:H20"/>
    <mergeCell ref="A21:I21"/>
    <mergeCell ref="C24:H24"/>
    <mergeCell ref="A7:I7"/>
    <mergeCell ref="G8:H8"/>
    <mergeCell ref="A12:I12"/>
    <mergeCell ref="A13:B13"/>
    <mergeCell ref="D13:E13"/>
    <mergeCell ref="G13:I13"/>
    <mergeCell ref="A1:I1"/>
    <mergeCell ref="B2:I2"/>
    <mergeCell ref="A3:I3"/>
    <mergeCell ref="A4:I4"/>
    <mergeCell ref="A5:I5"/>
    <mergeCell ref="A6:I6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J32"/>
  <sheetViews>
    <sheetView tabSelected="1" topLeftCell="A7" workbookViewId="0">
      <selection activeCell="C10" sqref="C10"/>
    </sheetView>
  </sheetViews>
  <sheetFormatPr defaultRowHeight="15"/>
  <cols>
    <col min="1" max="1" width="5.28515625" customWidth="1"/>
    <col min="2" max="2" width="40.7109375" style="2" customWidth="1"/>
    <col min="3" max="3" width="37.140625" style="2" customWidth="1"/>
    <col min="4" max="4" width="5.140625" customWidth="1"/>
    <col min="5" max="5" width="13.5703125" style="190" customWidth="1"/>
    <col min="6" max="6" width="15.28515625" style="190" customWidth="1"/>
    <col min="7" max="7" width="5.42578125" style="190" customWidth="1"/>
    <col min="8" max="8" width="13.42578125" style="190" customWidth="1"/>
    <col min="9" max="9" width="15.28515625" style="190" customWidth="1"/>
    <col min="10" max="10" width="18.5703125" customWidth="1"/>
    <col min="11" max="11" width="13" bestFit="1" customWidth="1"/>
    <col min="234" max="234" width="5.28515625" customWidth="1"/>
    <col min="235" max="235" width="15.7109375" customWidth="1"/>
    <col min="236" max="236" width="17" customWidth="1"/>
    <col min="237" max="237" width="37.5703125" customWidth="1"/>
    <col min="238" max="238" width="5.7109375" customWidth="1"/>
    <col min="239" max="239" width="12.140625" customWidth="1"/>
    <col min="240" max="240" width="14.85546875" customWidth="1"/>
    <col min="490" max="490" width="5.28515625" customWidth="1"/>
    <col min="491" max="491" width="15.7109375" customWidth="1"/>
    <col min="492" max="492" width="17" customWidth="1"/>
    <col min="493" max="493" width="37.5703125" customWidth="1"/>
    <col min="494" max="494" width="5.7109375" customWidth="1"/>
    <col min="495" max="495" width="12.140625" customWidth="1"/>
    <col min="496" max="496" width="14.85546875" customWidth="1"/>
    <col min="746" max="746" width="5.28515625" customWidth="1"/>
    <col min="747" max="747" width="15.7109375" customWidth="1"/>
    <col min="748" max="748" width="17" customWidth="1"/>
    <col min="749" max="749" width="37.5703125" customWidth="1"/>
    <col min="750" max="750" width="5.7109375" customWidth="1"/>
    <col min="751" max="751" width="12.140625" customWidth="1"/>
    <col min="752" max="752" width="14.85546875" customWidth="1"/>
    <col min="1002" max="1002" width="5.28515625" customWidth="1"/>
    <col min="1003" max="1003" width="15.7109375" customWidth="1"/>
    <col min="1004" max="1004" width="17" customWidth="1"/>
    <col min="1005" max="1005" width="37.5703125" customWidth="1"/>
    <col min="1006" max="1006" width="5.7109375" customWidth="1"/>
    <col min="1007" max="1007" width="12.140625" customWidth="1"/>
    <col min="1008" max="1008" width="14.85546875" customWidth="1"/>
    <col min="1258" max="1258" width="5.28515625" customWidth="1"/>
    <col min="1259" max="1259" width="15.7109375" customWidth="1"/>
    <col min="1260" max="1260" width="17" customWidth="1"/>
    <col min="1261" max="1261" width="37.5703125" customWidth="1"/>
    <col min="1262" max="1262" width="5.7109375" customWidth="1"/>
    <col min="1263" max="1263" width="12.140625" customWidth="1"/>
    <col min="1264" max="1264" width="14.85546875" customWidth="1"/>
    <col min="1514" max="1514" width="5.28515625" customWidth="1"/>
    <col min="1515" max="1515" width="15.7109375" customWidth="1"/>
    <col min="1516" max="1516" width="17" customWidth="1"/>
    <col min="1517" max="1517" width="37.5703125" customWidth="1"/>
    <col min="1518" max="1518" width="5.7109375" customWidth="1"/>
    <col min="1519" max="1519" width="12.140625" customWidth="1"/>
    <col min="1520" max="1520" width="14.85546875" customWidth="1"/>
    <col min="1770" max="1770" width="5.28515625" customWidth="1"/>
    <col min="1771" max="1771" width="15.7109375" customWidth="1"/>
    <col min="1772" max="1772" width="17" customWidth="1"/>
    <col min="1773" max="1773" width="37.5703125" customWidth="1"/>
    <col min="1774" max="1774" width="5.7109375" customWidth="1"/>
    <col min="1775" max="1775" width="12.140625" customWidth="1"/>
    <col min="1776" max="1776" width="14.85546875" customWidth="1"/>
    <col min="2026" max="2026" width="5.28515625" customWidth="1"/>
    <col min="2027" max="2027" width="15.7109375" customWidth="1"/>
    <col min="2028" max="2028" width="17" customWidth="1"/>
    <col min="2029" max="2029" width="37.5703125" customWidth="1"/>
    <col min="2030" max="2030" width="5.7109375" customWidth="1"/>
    <col min="2031" max="2031" width="12.140625" customWidth="1"/>
    <col min="2032" max="2032" width="14.85546875" customWidth="1"/>
    <col min="2282" max="2282" width="5.28515625" customWidth="1"/>
    <col min="2283" max="2283" width="15.7109375" customWidth="1"/>
    <col min="2284" max="2284" width="17" customWidth="1"/>
    <col min="2285" max="2285" width="37.5703125" customWidth="1"/>
    <col min="2286" max="2286" width="5.7109375" customWidth="1"/>
    <col min="2287" max="2287" width="12.140625" customWidth="1"/>
    <col min="2288" max="2288" width="14.85546875" customWidth="1"/>
    <col min="2538" max="2538" width="5.28515625" customWidth="1"/>
    <col min="2539" max="2539" width="15.7109375" customWidth="1"/>
    <col min="2540" max="2540" width="17" customWidth="1"/>
    <col min="2541" max="2541" width="37.5703125" customWidth="1"/>
    <col min="2542" max="2542" width="5.7109375" customWidth="1"/>
    <col min="2543" max="2543" width="12.140625" customWidth="1"/>
    <col min="2544" max="2544" width="14.85546875" customWidth="1"/>
    <col min="2794" max="2794" width="5.28515625" customWidth="1"/>
    <col min="2795" max="2795" width="15.7109375" customWidth="1"/>
    <col min="2796" max="2796" width="17" customWidth="1"/>
    <col min="2797" max="2797" width="37.5703125" customWidth="1"/>
    <col min="2798" max="2798" width="5.7109375" customWidth="1"/>
    <col min="2799" max="2799" width="12.140625" customWidth="1"/>
    <col min="2800" max="2800" width="14.85546875" customWidth="1"/>
    <col min="3050" max="3050" width="5.28515625" customWidth="1"/>
    <col min="3051" max="3051" width="15.7109375" customWidth="1"/>
    <col min="3052" max="3052" width="17" customWidth="1"/>
    <col min="3053" max="3053" width="37.5703125" customWidth="1"/>
    <col min="3054" max="3054" width="5.7109375" customWidth="1"/>
    <col min="3055" max="3055" width="12.140625" customWidth="1"/>
    <col min="3056" max="3056" width="14.85546875" customWidth="1"/>
    <col min="3306" max="3306" width="5.28515625" customWidth="1"/>
    <col min="3307" max="3307" width="15.7109375" customWidth="1"/>
    <col min="3308" max="3308" width="17" customWidth="1"/>
    <col min="3309" max="3309" width="37.5703125" customWidth="1"/>
    <col min="3310" max="3310" width="5.7109375" customWidth="1"/>
    <col min="3311" max="3311" width="12.140625" customWidth="1"/>
    <col min="3312" max="3312" width="14.85546875" customWidth="1"/>
    <col min="3562" max="3562" width="5.28515625" customWidth="1"/>
    <col min="3563" max="3563" width="15.7109375" customWidth="1"/>
    <col min="3564" max="3564" width="17" customWidth="1"/>
    <col min="3565" max="3565" width="37.5703125" customWidth="1"/>
    <col min="3566" max="3566" width="5.7109375" customWidth="1"/>
    <col min="3567" max="3567" width="12.140625" customWidth="1"/>
    <col min="3568" max="3568" width="14.85546875" customWidth="1"/>
    <col min="3818" max="3818" width="5.28515625" customWidth="1"/>
    <col min="3819" max="3819" width="15.7109375" customWidth="1"/>
    <col min="3820" max="3820" width="17" customWidth="1"/>
    <col min="3821" max="3821" width="37.5703125" customWidth="1"/>
    <col min="3822" max="3822" width="5.7109375" customWidth="1"/>
    <col min="3823" max="3823" width="12.140625" customWidth="1"/>
    <col min="3824" max="3824" width="14.85546875" customWidth="1"/>
    <col min="4074" max="4074" width="5.28515625" customWidth="1"/>
    <col min="4075" max="4075" width="15.7109375" customWidth="1"/>
    <col min="4076" max="4076" width="17" customWidth="1"/>
    <col min="4077" max="4077" width="37.5703125" customWidth="1"/>
    <col min="4078" max="4078" width="5.7109375" customWidth="1"/>
    <col min="4079" max="4079" width="12.140625" customWidth="1"/>
    <col min="4080" max="4080" width="14.85546875" customWidth="1"/>
    <col min="4330" max="4330" width="5.28515625" customWidth="1"/>
    <col min="4331" max="4331" width="15.7109375" customWidth="1"/>
    <col min="4332" max="4332" width="17" customWidth="1"/>
    <col min="4333" max="4333" width="37.5703125" customWidth="1"/>
    <col min="4334" max="4334" width="5.7109375" customWidth="1"/>
    <col min="4335" max="4335" width="12.140625" customWidth="1"/>
    <col min="4336" max="4336" width="14.85546875" customWidth="1"/>
    <col min="4586" max="4586" width="5.28515625" customWidth="1"/>
    <col min="4587" max="4587" width="15.7109375" customWidth="1"/>
    <col min="4588" max="4588" width="17" customWidth="1"/>
    <col min="4589" max="4589" width="37.5703125" customWidth="1"/>
    <col min="4590" max="4590" width="5.7109375" customWidth="1"/>
    <col min="4591" max="4591" width="12.140625" customWidth="1"/>
    <col min="4592" max="4592" width="14.85546875" customWidth="1"/>
    <col min="4842" max="4842" width="5.28515625" customWidth="1"/>
    <col min="4843" max="4843" width="15.7109375" customWidth="1"/>
    <col min="4844" max="4844" width="17" customWidth="1"/>
    <col min="4845" max="4845" width="37.5703125" customWidth="1"/>
    <col min="4846" max="4846" width="5.7109375" customWidth="1"/>
    <col min="4847" max="4847" width="12.140625" customWidth="1"/>
    <col min="4848" max="4848" width="14.85546875" customWidth="1"/>
    <col min="5098" max="5098" width="5.28515625" customWidth="1"/>
    <col min="5099" max="5099" width="15.7109375" customWidth="1"/>
    <col min="5100" max="5100" width="17" customWidth="1"/>
    <col min="5101" max="5101" width="37.5703125" customWidth="1"/>
    <col min="5102" max="5102" width="5.7109375" customWidth="1"/>
    <col min="5103" max="5103" width="12.140625" customWidth="1"/>
    <col min="5104" max="5104" width="14.85546875" customWidth="1"/>
    <col min="5354" max="5354" width="5.28515625" customWidth="1"/>
    <col min="5355" max="5355" width="15.7109375" customWidth="1"/>
    <col min="5356" max="5356" width="17" customWidth="1"/>
    <col min="5357" max="5357" width="37.5703125" customWidth="1"/>
    <col min="5358" max="5358" width="5.7109375" customWidth="1"/>
    <col min="5359" max="5359" width="12.140625" customWidth="1"/>
    <col min="5360" max="5360" width="14.85546875" customWidth="1"/>
    <col min="5610" max="5610" width="5.28515625" customWidth="1"/>
    <col min="5611" max="5611" width="15.7109375" customWidth="1"/>
    <col min="5612" max="5612" width="17" customWidth="1"/>
    <col min="5613" max="5613" width="37.5703125" customWidth="1"/>
    <col min="5614" max="5614" width="5.7109375" customWidth="1"/>
    <col min="5615" max="5615" width="12.140625" customWidth="1"/>
    <col min="5616" max="5616" width="14.85546875" customWidth="1"/>
    <col min="5866" max="5866" width="5.28515625" customWidth="1"/>
    <col min="5867" max="5867" width="15.7109375" customWidth="1"/>
    <col min="5868" max="5868" width="17" customWidth="1"/>
    <col min="5869" max="5869" width="37.5703125" customWidth="1"/>
    <col min="5870" max="5870" width="5.7109375" customWidth="1"/>
    <col min="5871" max="5871" width="12.140625" customWidth="1"/>
    <col min="5872" max="5872" width="14.85546875" customWidth="1"/>
    <col min="6122" max="6122" width="5.28515625" customWidth="1"/>
    <col min="6123" max="6123" width="15.7109375" customWidth="1"/>
    <col min="6124" max="6124" width="17" customWidth="1"/>
    <col min="6125" max="6125" width="37.5703125" customWidth="1"/>
    <col min="6126" max="6126" width="5.7109375" customWidth="1"/>
    <col min="6127" max="6127" width="12.140625" customWidth="1"/>
    <col min="6128" max="6128" width="14.85546875" customWidth="1"/>
    <col min="6378" max="6378" width="5.28515625" customWidth="1"/>
    <col min="6379" max="6379" width="15.7109375" customWidth="1"/>
    <col min="6380" max="6380" width="17" customWidth="1"/>
    <col min="6381" max="6381" width="37.5703125" customWidth="1"/>
    <col min="6382" max="6382" width="5.7109375" customWidth="1"/>
    <col min="6383" max="6383" width="12.140625" customWidth="1"/>
    <col min="6384" max="6384" width="14.85546875" customWidth="1"/>
    <col min="6634" max="6634" width="5.28515625" customWidth="1"/>
    <col min="6635" max="6635" width="15.7109375" customWidth="1"/>
    <col min="6636" max="6636" width="17" customWidth="1"/>
    <col min="6637" max="6637" width="37.5703125" customWidth="1"/>
    <col min="6638" max="6638" width="5.7109375" customWidth="1"/>
    <col min="6639" max="6639" width="12.140625" customWidth="1"/>
    <col min="6640" max="6640" width="14.85546875" customWidth="1"/>
    <col min="6890" max="6890" width="5.28515625" customWidth="1"/>
    <col min="6891" max="6891" width="15.7109375" customWidth="1"/>
    <col min="6892" max="6892" width="17" customWidth="1"/>
    <col min="6893" max="6893" width="37.5703125" customWidth="1"/>
    <col min="6894" max="6894" width="5.7109375" customWidth="1"/>
    <col min="6895" max="6895" width="12.140625" customWidth="1"/>
    <col min="6896" max="6896" width="14.85546875" customWidth="1"/>
    <col min="7146" max="7146" width="5.28515625" customWidth="1"/>
    <col min="7147" max="7147" width="15.7109375" customWidth="1"/>
    <col min="7148" max="7148" width="17" customWidth="1"/>
    <col min="7149" max="7149" width="37.5703125" customWidth="1"/>
    <col min="7150" max="7150" width="5.7109375" customWidth="1"/>
    <col min="7151" max="7151" width="12.140625" customWidth="1"/>
    <col min="7152" max="7152" width="14.85546875" customWidth="1"/>
    <col min="7402" max="7402" width="5.28515625" customWidth="1"/>
    <col min="7403" max="7403" width="15.7109375" customWidth="1"/>
    <col min="7404" max="7404" width="17" customWidth="1"/>
    <col min="7405" max="7405" width="37.5703125" customWidth="1"/>
    <col min="7406" max="7406" width="5.7109375" customWidth="1"/>
    <col min="7407" max="7407" width="12.140625" customWidth="1"/>
    <col min="7408" max="7408" width="14.85546875" customWidth="1"/>
    <col min="7658" max="7658" width="5.28515625" customWidth="1"/>
    <col min="7659" max="7659" width="15.7109375" customWidth="1"/>
    <col min="7660" max="7660" width="17" customWidth="1"/>
    <col min="7661" max="7661" width="37.5703125" customWidth="1"/>
    <col min="7662" max="7662" width="5.7109375" customWidth="1"/>
    <col min="7663" max="7663" width="12.140625" customWidth="1"/>
    <col min="7664" max="7664" width="14.85546875" customWidth="1"/>
    <col min="7914" max="7914" width="5.28515625" customWidth="1"/>
    <col min="7915" max="7915" width="15.7109375" customWidth="1"/>
    <col min="7916" max="7916" width="17" customWidth="1"/>
    <col min="7917" max="7917" width="37.5703125" customWidth="1"/>
    <col min="7918" max="7918" width="5.7109375" customWidth="1"/>
    <col min="7919" max="7919" width="12.140625" customWidth="1"/>
    <col min="7920" max="7920" width="14.85546875" customWidth="1"/>
    <col min="8170" max="8170" width="5.28515625" customWidth="1"/>
    <col min="8171" max="8171" width="15.7109375" customWidth="1"/>
    <col min="8172" max="8172" width="17" customWidth="1"/>
    <col min="8173" max="8173" width="37.5703125" customWidth="1"/>
    <col min="8174" max="8174" width="5.7109375" customWidth="1"/>
    <col min="8175" max="8175" width="12.140625" customWidth="1"/>
    <col min="8176" max="8176" width="14.85546875" customWidth="1"/>
    <col min="8426" max="8426" width="5.28515625" customWidth="1"/>
    <col min="8427" max="8427" width="15.7109375" customWidth="1"/>
    <col min="8428" max="8428" width="17" customWidth="1"/>
    <col min="8429" max="8429" width="37.5703125" customWidth="1"/>
    <col min="8430" max="8430" width="5.7109375" customWidth="1"/>
    <col min="8431" max="8431" width="12.140625" customWidth="1"/>
    <col min="8432" max="8432" width="14.85546875" customWidth="1"/>
    <col min="8682" max="8682" width="5.28515625" customWidth="1"/>
    <col min="8683" max="8683" width="15.7109375" customWidth="1"/>
    <col min="8684" max="8684" width="17" customWidth="1"/>
    <col min="8685" max="8685" width="37.5703125" customWidth="1"/>
    <col min="8686" max="8686" width="5.7109375" customWidth="1"/>
    <col min="8687" max="8687" width="12.140625" customWidth="1"/>
    <col min="8688" max="8688" width="14.85546875" customWidth="1"/>
    <col min="8938" max="8938" width="5.28515625" customWidth="1"/>
    <col min="8939" max="8939" width="15.7109375" customWidth="1"/>
    <col min="8940" max="8940" width="17" customWidth="1"/>
    <col min="8941" max="8941" width="37.5703125" customWidth="1"/>
    <col min="8942" max="8942" width="5.7109375" customWidth="1"/>
    <col min="8943" max="8943" width="12.140625" customWidth="1"/>
    <col min="8944" max="8944" width="14.85546875" customWidth="1"/>
    <col min="9194" max="9194" width="5.28515625" customWidth="1"/>
    <col min="9195" max="9195" width="15.7109375" customWidth="1"/>
    <col min="9196" max="9196" width="17" customWidth="1"/>
    <col min="9197" max="9197" width="37.5703125" customWidth="1"/>
    <col min="9198" max="9198" width="5.7109375" customWidth="1"/>
    <col min="9199" max="9199" width="12.140625" customWidth="1"/>
    <col min="9200" max="9200" width="14.85546875" customWidth="1"/>
    <col min="9450" max="9450" width="5.28515625" customWidth="1"/>
    <col min="9451" max="9451" width="15.7109375" customWidth="1"/>
    <col min="9452" max="9452" width="17" customWidth="1"/>
    <col min="9453" max="9453" width="37.5703125" customWidth="1"/>
    <col min="9454" max="9454" width="5.7109375" customWidth="1"/>
    <col min="9455" max="9455" width="12.140625" customWidth="1"/>
    <col min="9456" max="9456" width="14.85546875" customWidth="1"/>
    <col min="9706" max="9706" width="5.28515625" customWidth="1"/>
    <col min="9707" max="9707" width="15.7109375" customWidth="1"/>
    <col min="9708" max="9708" width="17" customWidth="1"/>
    <col min="9709" max="9709" width="37.5703125" customWidth="1"/>
    <col min="9710" max="9710" width="5.7109375" customWidth="1"/>
    <col min="9711" max="9711" width="12.140625" customWidth="1"/>
    <col min="9712" max="9712" width="14.85546875" customWidth="1"/>
    <col min="9962" max="9962" width="5.28515625" customWidth="1"/>
    <col min="9963" max="9963" width="15.7109375" customWidth="1"/>
    <col min="9964" max="9964" width="17" customWidth="1"/>
    <col min="9965" max="9965" width="37.5703125" customWidth="1"/>
    <col min="9966" max="9966" width="5.7109375" customWidth="1"/>
    <col min="9967" max="9967" width="12.140625" customWidth="1"/>
    <col min="9968" max="9968" width="14.85546875" customWidth="1"/>
    <col min="10218" max="10218" width="5.28515625" customWidth="1"/>
    <col min="10219" max="10219" width="15.7109375" customWidth="1"/>
    <col min="10220" max="10220" width="17" customWidth="1"/>
    <col min="10221" max="10221" width="37.5703125" customWidth="1"/>
    <col min="10222" max="10222" width="5.7109375" customWidth="1"/>
    <col min="10223" max="10223" width="12.140625" customWidth="1"/>
    <col min="10224" max="10224" width="14.85546875" customWidth="1"/>
    <col min="10474" max="10474" width="5.28515625" customWidth="1"/>
    <col min="10475" max="10475" width="15.7109375" customWidth="1"/>
    <col min="10476" max="10476" width="17" customWidth="1"/>
    <col min="10477" max="10477" width="37.5703125" customWidth="1"/>
    <col min="10478" max="10478" width="5.7109375" customWidth="1"/>
    <col min="10479" max="10479" width="12.140625" customWidth="1"/>
    <col min="10480" max="10480" width="14.85546875" customWidth="1"/>
    <col min="10730" max="10730" width="5.28515625" customWidth="1"/>
    <col min="10731" max="10731" width="15.7109375" customWidth="1"/>
    <col min="10732" max="10732" width="17" customWidth="1"/>
    <col min="10733" max="10733" width="37.5703125" customWidth="1"/>
    <col min="10734" max="10734" width="5.7109375" customWidth="1"/>
    <col min="10735" max="10735" width="12.140625" customWidth="1"/>
    <col min="10736" max="10736" width="14.85546875" customWidth="1"/>
    <col min="10986" max="10986" width="5.28515625" customWidth="1"/>
    <col min="10987" max="10987" width="15.7109375" customWidth="1"/>
    <col min="10988" max="10988" width="17" customWidth="1"/>
    <col min="10989" max="10989" width="37.5703125" customWidth="1"/>
    <col min="10990" max="10990" width="5.7109375" customWidth="1"/>
    <col min="10991" max="10991" width="12.140625" customWidth="1"/>
    <col min="10992" max="10992" width="14.85546875" customWidth="1"/>
    <col min="11242" max="11242" width="5.28515625" customWidth="1"/>
    <col min="11243" max="11243" width="15.7109375" customWidth="1"/>
    <col min="11244" max="11244" width="17" customWidth="1"/>
    <col min="11245" max="11245" width="37.5703125" customWidth="1"/>
    <col min="11246" max="11246" width="5.7109375" customWidth="1"/>
    <col min="11247" max="11247" width="12.140625" customWidth="1"/>
    <col min="11248" max="11248" width="14.85546875" customWidth="1"/>
    <col min="11498" max="11498" width="5.28515625" customWidth="1"/>
    <col min="11499" max="11499" width="15.7109375" customWidth="1"/>
    <col min="11500" max="11500" width="17" customWidth="1"/>
    <col min="11501" max="11501" width="37.5703125" customWidth="1"/>
    <col min="11502" max="11502" width="5.7109375" customWidth="1"/>
    <col min="11503" max="11503" width="12.140625" customWidth="1"/>
    <col min="11504" max="11504" width="14.85546875" customWidth="1"/>
    <col min="11754" max="11754" width="5.28515625" customWidth="1"/>
    <col min="11755" max="11755" width="15.7109375" customWidth="1"/>
    <col min="11756" max="11756" width="17" customWidth="1"/>
    <col min="11757" max="11757" width="37.5703125" customWidth="1"/>
    <col min="11758" max="11758" width="5.7109375" customWidth="1"/>
    <col min="11759" max="11759" width="12.140625" customWidth="1"/>
    <col min="11760" max="11760" width="14.85546875" customWidth="1"/>
    <col min="12010" max="12010" width="5.28515625" customWidth="1"/>
    <col min="12011" max="12011" width="15.7109375" customWidth="1"/>
    <col min="12012" max="12012" width="17" customWidth="1"/>
    <col min="12013" max="12013" width="37.5703125" customWidth="1"/>
    <col min="12014" max="12014" width="5.7109375" customWidth="1"/>
    <col min="12015" max="12015" width="12.140625" customWidth="1"/>
    <col min="12016" max="12016" width="14.85546875" customWidth="1"/>
    <col min="12266" max="12266" width="5.28515625" customWidth="1"/>
    <col min="12267" max="12267" width="15.7109375" customWidth="1"/>
    <col min="12268" max="12268" width="17" customWidth="1"/>
    <col min="12269" max="12269" width="37.5703125" customWidth="1"/>
    <col min="12270" max="12270" width="5.7109375" customWidth="1"/>
    <col min="12271" max="12271" width="12.140625" customWidth="1"/>
    <col min="12272" max="12272" width="14.85546875" customWidth="1"/>
    <col min="12522" max="12522" width="5.28515625" customWidth="1"/>
    <col min="12523" max="12523" width="15.7109375" customWidth="1"/>
    <col min="12524" max="12524" width="17" customWidth="1"/>
    <col min="12525" max="12525" width="37.5703125" customWidth="1"/>
    <col min="12526" max="12526" width="5.7109375" customWidth="1"/>
    <col min="12527" max="12527" width="12.140625" customWidth="1"/>
    <col min="12528" max="12528" width="14.85546875" customWidth="1"/>
    <col min="12778" max="12778" width="5.28515625" customWidth="1"/>
    <col min="12779" max="12779" width="15.7109375" customWidth="1"/>
    <col min="12780" max="12780" width="17" customWidth="1"/>
    <col min="12781" max="12781" width="37.5703125" customWidth="1"/>
    <col min="12782" max="12782" width="5.7109375" customWidth="1"/>
    <col min="12783" max="12783" width="12.140625" customWidth="1"/>
    <col min="12784" max="12784" width="14.85546875" customWidth="1"/>
    <col min="13034" max="13034" width="5.28515625" customWidth="1"/>
    <col min="13035" max="13035" width="15.7109375" customWidth="1"/>
    <col min="13036" max="13036" width="17" customWidth="1"/>
    <col min="13037" max="13037" width="37.5703125" customWidth="1"/>
    <col min="13038" max="13038" width="5.7109375" customWidth="1"/>
    <col min="13039" max="13039" width="12.140625" customWidth="1"/>
    <col min="13040" max="13040" width="14.85546875" customWidth="1"/>
    <col min="13290" max="13290" width="5.28515625" customWidth="1"/>
    <col min="13291" max="13291" width="15.7109375" customWidth="1"/>
    <col min="13292" max="13292" width="17" customWidth="1"/>
    <col min="13293" max="13293" width="37.5703125" customWidth="1"/>
    <col min="13294" max="13294" width="5.7109375" customWidth="1"/>
    <col min="13295" max="13295" width="12.140625" customWidth="1"/>
    <col min="13296" max="13296" width="14.85546875" customWidth="1"/>
    <col min="13546" max="13546" width="5.28515625" customWidth="1"/>
    <col min="13547" max="13547" width="15.7109375" customWidth="1"/>
    <col min="13548" max="13548" width="17" customWidth="1"/>
    <col min="13549" max="13549" width="37.5703125" customWidth="1"/>
    <col min="13550" max="13550" width="5.7109375" customWidth="1"/>
    <col min="13551" max="13551" width="12.140625" customWidth="1"/>
    <col min="13552" max="13552" width="14.85546875" customWidth="1"/>
    <col min="13802" max="13802" width="5.28515625" customWidth="1"/>
    <col min="13803" max="13803" width="15.7109375" customWidth="1"/>
    <col min="13804" max="13804" width="17" customWidth="1"/>
    <col min="13805" max="13805" width="37.5703125" customWidth="1"/>
    <col min="13806" max="13806" width="5.7109375" customWidth="1"/>
    <col min="13807" max="13807" width="12.140625" customWidth="1"/>
    <col min="13808" max="13808" width="14.85546875" customWidth="1"/>
    <col min="14058" max="14058" width="5.28515625" customWidth="1"/>
    <col min="14059" max="14059" width="15.7109375" customWidth="1"/>
    <col min="14060" max="14060" width="17" customWidth="1"/>
    <col min="14061" max="14061" width="37.5703125" customWidth="1"/>
    <col min="14062" max="14062" width="5.7109375" customWidth="1"/>
    <col min="14063" max="14063" width="12.140625" customWidth="1"/>
    <col min="14064" max="14064" width="14.85546875" customWidth="1"/>
    <col min="14314" max="14314" width="5.28515625" customWidth="1"/>
    <col min="14315" max="14315" width="15.7109375" customWidth="1"/>
    <col min="14316" max="14316" width="17" customWidth="1"/>
    <col min="14317" max="14317" width="37.5703125" customWidth="1"/>
    <col min="14318" max="14318" width="5.7109375" customWidth="1"/>
    <col min="14319" max="14319" width="12.140625" customWidth="1"/>
    <col min="14320" max="14320" width="14.85546875" customWidth="1"/>
    <col min="14570" max="14570" width="5.28515625" customWidth="1"/>
    <col min="14571" max="14571" width="15.7109375" customWidth="1"/>
    <col min="14572" max="14572" width="17" customWidth="1"/>
    <col min="14573" max="14573" width="37.5703125" customWidth="1"/>
    <col min="14574" max="14574" width="5.7109375" customWidth="1"/>
    <col min="14575" max="14575" width="12.140625" customWidth="1"/>
    <col min="14576" max="14576" width="14.85546875" customWidth="1"/>
    <col min="14826" max="14826" width="5.28515625" customWidth="1"/>
    <col min="14827" max="14827" width="15.7109375" customWidth="1"/>
    <col min="14828" max="14828" width="17" customWidth="1"/>
    <col min="14829" max="14829" width="37.5703125" customWidth="1"/>
    <col min="14830" max="14830" width="5.7109375" customWidth="1"/>
    <col min="14831" max="14831" width="12.140625" customWidth="1"/>
    <col min="14832" max="14832" width="14.85546875" customWidth="1"/>
    <col min="15082" max="15082" width="5.28515625" customWidth="1"/>
    <col min="15083" max="15083" width="15.7109375" customWidth="1"/>
    <col min="15084" max="15084" width="17" customWidth="1"/>
    <col min="15085" max="15085" width="37.5703125" customWidth="1"/>
    <col min="15086" max="15086" width="5.7109375" customWidth="1"/>
    <col min="15087" max="15087" width="12.140625" customWidth="1"/>
    <col min="15088" max="15088" width="14.85546875" customWidth="1"/>
    <col min="15338" max="15338" width="5.28515625" customWidth="1"/>
    <col min="15339" max="15339" width="15.7109375" customWidth="1"/>
    <col min="15340" max="15340" width="17" customWidth="1"/>
    <col min="15341" max="15341" width="37.5703125" customWidth="1"/>
    <col min="15342" max="15342" width="5.7109375" customWidth="1"/>
    <col min="15343" max="15343" width="12.140625" customWidth="1"/>
    <col min="15344" max="15344" width="14.85546875" customWidth="1"/>
    <col min="15594" max="15594" width="5.28515625" customWidth="1"/>
    <col min="15595" max="15595" width="15.7109375" customWidth="1"/>
    <col min="15596" max="15596" width="17" customWidth="1"/>
    <col min="15597" max="15597" width="37.5703125" customWidth="1"/>
    <col min="15598" max="15598" width="5.7109375" customWidth="1"/>
    <col min="15599" max="15599" width="12.140625" customWidth="1"/>
    <col min="15600" max="15600" width="14.85546875" customWidth="1"/>
    <col min="15850" max="15850" width="5.28515625" customWidth="1"/>
    <col min="15851" max="15851" width="15.7109375" customWidth="1"/>
    <col min="15852" max="15852" width="17" customWidth="1"/>
    <col min="15853" max="15853" width="37.5703125" customWidth="1"/>
    <col min="15854" max="15854" width="5.7109375" customWidth="1"/>
    <col min="15855" max="15855" width="12.140625" customWidth="1"/>
    <col min="15856" max="15856" width="14.85546875" customWidth="1"/>
    <col min="16106" max="16106" width="5.28515625" customWidth="1"/>
    <col min="16107" max="16107" width="15.7109375" customWidth="1"/>
    <col min="16108" max="16108" width="17" customWidth="1"/>
    <col min="16109" max="16109" width="37.5703125" customWidth="1"/>
    <col min="16110" max="16110" width="5.7109375" customWidth="1"/>
    <col min="16111" max="16111" width="12.140625" customWidth="1"/>
    <col min="16112" max="16112" width="14.85546875" customWidth="1"/>
  </cols>
  <sheetData>
    <row r="1" spans="1:10" s="64" customFormat="1" ht="26.25">
      <c r="A1" s="307" t="s">
        <v>52</v>
      </c>
      <c r="B1" s="307"/>
      <c r="C1" s="307"/>
      <c r="D1" s="307"/>
      <c r="E1" s="307"/>
      <c r="F1" s="307"/>
      <c r="G1" s="307"/>
      <c r="H1" s="307"/>
      <c r="I1" s="307"/>
    </row>
    <row r="2" spans="1:10" s="64" customFormat="1" ht="19.5">
      <c r="A2" s="149"/>
      <c r="B2" s="343" t="s">
        <v>51</v>
      </c>
      <c r="C2" s="343"/>
      <c r="D2" s="343"/>
      <c r="E2" s="343"/>
      <c r="F2" s="343"/>
      <c r="G2" s="343"/>
      <c r="H2" s="343"/>
      <c r="I2" s="343"/>
    </row>
    <row r="3" spans="1:10" s="61" customFormat="1" ht="12.75">
      <c r="A3" s="309" t="s">
        <v>50</v>
      </c>
      <c r="B3" s="309"/>
      <c r="C3" s="309"/>
      <c r="D3" s="309"/>
      <c r="E3" s="309"/>
      <c r="F3" s="309"/>
      <c r="G3" s="309"/>
      <c r="H3" s="309"/>
      <c r="I3" s="309"/>
    </row>
    <row r="4" spans="1:10" s="61" customFormat="1" ht="12.75">
      <c r="A4" s="310" t="s">
        <v>49</v>
      </c>
      <c r="B4" s="310"/>
      <c r="C4" s="310"/>
      <c r="D4" s="310"/>
      <c r="E4" s="310"/>
      <c r="F4" s="310"/>
      <c r="G4" s="310"/>
      <c r="H4" s="310"/>
      <c r="I4" s="310"/>
    </row>
    <row r="5" spans="1:10" s="61" customFormat="1" ht="12.75">
      <c r="A5" s="309" t="s">
        <v>48</v>
      </c>
      <c r="B5" s="309"/>
      <c r="C5" s="309"/>
      <c r="D5" s="309"/>
      <c r="E5" s="309"/>
      <c r="F5" s="309"/>
      <c r="G5" s="309"/>
      <c r="H5" s="309"/>
      <c r="I5" s="309"/>
    </row>
    <row r="6" spans="1:10" s="61" customFormat="1" ht="12.75">
      <c r="A6" s="310" t="s">
        <v>47</v>
      </c>
      <c r="B6" s="310"/>
      <c r="C6" s="310"/>
      <c r="D6" s="310"/>
      <c r="E6" s="310"/>
      <c r="F6" s="310"/>
      <c r="G6" s="310"/>
      <c r="H6" s="310"/>
      <c r="I6" s="310"/>
    </row>
    <row r="7" spans="1:10" s="63" customFormat="1" ht="12.75">
      <c r="A7" s="311" t="s">
        <v>46</v>
      </c>
      <c r="B7" s="311"/>
      <c r="C7" s="311"/>
      <c r="D7" s="311"/>
      <c r="E7" s="311"/>
      <c r="F7" s="311"/>
      <c r="G7" s="311"/>
      <c r="H7" s="311"/>
      <c r="I7" s="311"/>
    </row>
    <row r="8" spans="1:10" s="61" customFormat="1" ht="15" customHeight="1">
      <c r="A8" s="62" t="s">
        <v>318</v>
      </c>
      <c r="G8" s="312" t="s">
        <v>45</v>
      </c>
      <c r="H8" s="312"/>
      <c r="I8" s="306">
        <v>46162</v>
      </c>
    </row>
    <row r="9" spans="1:10" s="54" customFormat="1" ht="15" customHeight="1">
      <c r="A9" s="56"/>
      <c r="B9" s="59" t="s">
        <v>44</v>
      </c>
      <c r="C9" s="56"/>
      <c r="D9" s="56"/>
      <c r="E9" s="56"/>
      <c r="F9" s="56"/>
      <c r="G9" s="56"/>
      <c r="H9" s="56"/>
      <c r="I9" s="56"/>
    </row>
    <row r="10" spans="1:10" s="54" customFormat="1" ht="132" customHeight="1">
      <c r="B10" s="127" t="s">
        <v>257</v>
      </c>
      <c r="C10" s="59"/>
      <c r="D10" s="56"/>
      <c r="E10" s="56"/>
      <c r="F10" s="56"/>
      <c r="G10" s="56"/>
      <c r="H10" s="56"/>
      <c r="I10" s="56"/>
    </row>
    <row r="11" spans="1:10" s="54" customFormat="1" ht="18" customHeight="1">
      <c r="A11" s="55" t="s">
        <v>42</v>
      </c>
      <c r="C11" s="57"/>
      <c r="D11" s="56"/>
      <c r="E11" s="55"/>
      <c r="F11" s="55"/>
      <c r="G11" s="55"/>
      <c r="H11" s="55"/>
      <c r="I11" s="55"/>
      <c r="J11" s="150"/>
    </row>
    <row r="12" spans="1:10" s="53" customFormat="1" ht="29.25" customHeight="1">
      <c r="A12" s="314" t="s">
        <v>40</v>
      </c>
      <c r="B12" s="314"/>
      <c r="C12" s="314"/>
      <c r="D12" s="314"/>
      <c r="E12" s="314"/>
      <c r="F12" s="314"/>
      <c r="G12" s="314"/>
      <c r="H12" s="314"/>
      <c r="I12" s="314"/>
    </row>
    <row r="13" spans="1:10" s="47" customFormat="1" ht="18" hidden="1" customHeight="1">
      <c r="A13" s="315" t="s">
        <v>39</v>
      </c>
      <c r="B13" s="316"/>
      <c r="C13" s="51" t="s">
        <v>38</v>
      </c>
      <c r="D13" s="315" t="s">
        <v>37</v>
      </c>
      <c r="E13" s="316"/>
      <c r="F13" s="305"/>
      <c r="G13" s="347"/>
      <c r="H13" s="348"/>
      <c r="I13" s="348"/>
    </row>
    <row r="14" spans="1:10" s="47" customFormat="1" ht="18" customHeight="1">
      <c r="A14" s="349" t="s">
        <v>325</v>
      </c>
      <c r="B14" s="350"/>
      <c r="C14" s="51" t="s">
        <v>326</v>
      </c>
      <c r="D14" s="51"/>
      <c r="F14" s="348" t="s">
        <v>258</v>
      </c>
      <c r="G14" s="348"/>
      <c r="H14" s="348"/>
      <c r="I14" s="351"/>
    </row>
    <row r="15" spans="1:10" s="29" customFormat="1" ht="27" customHeight="1">
      <c r="A15" s="46" t="s">
        <v>33</v>
      </c>
      <c r="B15" s="45" t="s">
        <v>32</v>
      </c>
      <c r="C15" s="45" t="s">
        <v>31</v>
      </c>
      <c r="D15" s="45" t="s">
        <v>30</v>
      </c>
      <c r="E15" s="186" t="s">
        <v>29</v>
      </c>
      <c r="F15" s="186" t="s">
        <v>28</v>
      </c>
      <c r="G15" s="186" t="s">
        <v>27</v>
      </c>
      <c r="H15" s="186" t="s">
        <v>26</v>
      </c>
      <c r="I15" s="186" t="s">
        <v>25</v>
      </c>
    </row>
    <row r="16" spans="1:10" s="38" customFormat="1" ht="18.75" customHeight="1">
      <c r="A16" s="37">
        <v>1</v>
      </c>
      <c r="B16" s="65" t="s">
        <v>259</v>
      </c>
      <c r="C16" s="250" t="s">
        <v>260</v>
      </c>
      <c r="D16" s="251">
        <v>1</v>
      </c>
      <c r="E16" s="252">
        <v>41642</v>
      </c>
      <c r="F16" s="31">
        <f t="shared" ref="F16:F20" si="0">E16*D16</f>
        <v>41642</v>
      </c>
      <c r="G16" s="253">
        <v>0.18</v>
      </c>
      <c r="H16" s="254">
        <f>F16*G16</f>
        <v>7495.5599999999995</v>
      </c>
      <c r="I16" s="255">
        <f>F16+H16</f>
        <v>49137.56</v>
      </c>
      <c r="J16" s="39"/>
    </row>
    <row r="17" spans="1:10" s="38" customFormat="1" ht="18.75" customHeight="1">
      <c r="A17" s="43">
        <v>2</v>
      </c>
      <c r="B17" s="65" t="s">
        <v>261</v>
      </c>
      <c r="C17" s="250" t="s">
        <v>262</v>
      </c>
      <c r="D17" s="251">
        <v>1</v>
      </c>
      <c r="E17" s="256">
        <v>70847</v>
      </c>
      <c r="F17" s="31">
        <f t="shared" si="0"/>
        <v>70847</v>
      </c>
      <c r="G17" s="253">
        <v>0.18</v>
      </c>
      <c r="H17" s="254">
        <f>F17*G17</f>
        <v>12752.46</v>
      </c>
      <c r="I17" s="255">
        <f>F17+H17</f>
        <v>83599.459999999992</v>
      </c>
      <c r="J17" s="39"/>
    </row>
    <row r="18" spans="1:10" s="38" customFormat="1" ht="18.75" customHeight="1">
      <c r="A18" s="43">
        <v>3</v>
      </c>
      <c r="B18" s="42" t="s">
        <v>24</v>
      </c>
      <c r="C18" s="41" t="s">
        <v>263</v>
      </c>
      <c r="D18" s="35">
        <v>1</v>
      </c>
      <c r="E18" s="187">
        <v>8867</v>
      </c>
      <c r="F18" s="31">
        <f t="shared" si="0"/>
        <v>8867</v>
      </c>
      <c r="G18" s="33">
        <v>0.18</v>
      </c>
      <c r="H18" s="32">
        <f>G18*F18</f>
        <v>1596.06</v>
      </c>
      <c r="I18" s="31">
        <f>H18+F18</f>
        <v>10463.06</v>
      </c>
      <c r="J18" s="39"/>
    </row>
    <row r="19" spans="1:10" s="38" customFormat="1" ht="18.75" customHeight="1">
      <c r="A19" s="43">
        <v>4</v>
      </c>
      <c r="B19" s="42" t="s">
        <v>89</v>
      </c>
      <c r="C19" s="41" t="s">
        <v>264</v>
      </c>
      <c r="D19" s="35">
        <v>2</v>
      </c>
      <c r="E19" s="187">
        <v>21861</v>
      </c>
      <c r="F19" s="31">
        <f t="shared" si="0"/>
        <v>43722</v>
      </c>
      <c r="G19" s="33">
        <v>0.18</v>
      </c>
      <c r="H19" s="32">
        <f>G19*F19</f>
        <v>7869.96</v>
      </c>
      <c r="I19" s="31">
        <f>H19+F19</f>
        <v>51591.96</v>
      </c>
      <c r="J19" s="39"/>
    </row>
    <row r="20" spans="1:10" s="38" customFormat="1" ht="18.75" customHeight="1">
      <c r="A20" s="43"/>
      <c r="B20" s="181"/>
      <c r="C20" s="182" t="s">
        <v>102</v>
      </c>
      <c r="D20" s="35">
        <v>1</v>
      </c>
      <c r="E20" s="187">
        <v>1800</v>
      </c>
      <c r="F20" s="31">
        <f t="shared" si="0"/>
        <v>1800</v>
      </c>
      <c r="G20" s="33">
        <v>0.18</v>
      </c>
      <c r="H20" s="32">
        <f>G20*F20</f>
        <v>324</v>
      </c>
      <c r="I20" s="31">
        <f>H20+F20</f>
        <v>2124</v>
      </c>
      <c r="J20" s="39"/>
    </row>
    <row r="21" spans="1:10" s="38" customFormat="1" ht="18.75" customHeight="1">
      <c r="A21" s="320" t="s">
        <v>20</v>
      </c>
      <c r="B21" s="321"/>
      <c r="C21" s="339"/>
      <c r="D21" s="28"/>
      <c r="E21" s="26"/>
      <c r="F21" s="26">
        <f>SUM(F16:F20)</f>
        <v>166878</v>
      </c>
      <c r="G21" s="188"/>
      <c r="H21" s="26">
        <f>SUM(H16:H20)</f>
        <v>30038.039999999997</v>
      </c>
      <c r="I21" s="26">
        <f>SUM(I16:I20)</f>
        <v>196916.03999999998</v>
      </c>
      <c r="J21" s="39"/>
    </row>
    <row r="22" spans="1:10" s="38" customFormat="1" ht="15" customHeight="1">
      <c r="A22" s="320" t="s">
        <v>19</v>
      </c>
      <c r="B22" s="321"/>
      <c r="C22" s="321"/>
      <c r="D22" s="321"/>
      <c r="E22" s="321"/>
      <c r="F22" s="321"/>
      <c r="G22" s="321"/>
      <c r="H22" s="339"/>
      <c r="I22" s="24">
        <f>ROUND(I21,0)</f>
        <v>196916</v>
      </c>
      <c r="J22" s="39"/>
    </row>
    <row r="23" spans="1:10" s="38" customFormat="1" ht="18.75" customHeight="1">
      <c r="A23" s="323" t="s">
        <v>316</v>
      </c>
      <c r="B23" s="324"/>
      <c r="C23" s="324"/>
      <c r="D23" s="324"/>
      <c r="E23" s="324"/>
      <c r="F23" s="324"/>
      <c r="G23" s="324"/>
      <c r="H23" s="324"/>
      <c r="I23" s="342"/>
      <c r="J23" s="39"/>
    </row>
    <row r="24" spans="1:10" s="3" customFormat="1" ht="11.25">
      <c r="A24" s="14" t="s">
        <v>16</v>
      </c>
      <c r="B24" s="12"/>
      <c r="C24" s="12"/>
      <c r="D24" s="12"/>
      <c r="E24" s="12"/>
      <c r="F24" s="12"/>
      <c r="G24" s="12"/>
      <c r="H24" s="12"/>
      <c r="I24" s="13"/>
    </row>
    <row r="25" spans="1:10" s="6" customFormat="1" ht="21.75" customHeight="1">
      <c r="A25" s="11" t="s">
        <v>15</v>
      </c>
      <c r="B25" s="9"/>
      <c r="C25" s="10"/>
      <c r="D25" s="9"/>
      <c r="E25" s="8"/>
      <c r="F25" s="8"/>
      <c r="G25" s="8"/>
      <c r="H25" s="3"/>
    </row>
    <row r="26" spans="1:10" s="6" customFormat="1" ht="16.5" customHeight="1">
      <c r="A26" s="5">
        <v>1</v>
      </c>
      <c r="B26" s="7" t="s">
        <v>14</v>
      </c>
      <c r="C26" s="326" t="s">
        <v>185</v>
      </c>
      <c r="D26" s="326"/>
      <c r="E26" s="326"/>
      <c r="F26" s="326"/>
      <c r="G26" s="326"/>
      <c r="H26" s="326"/>
    </row>
    <row r="27" spans="1:10" s="6" customFormat="1" ht="16.5" customHeight="1">
      <c r="A27" s="5">
        <v>2</v>
      </c>
      <c r="B27" s="7" t="s">
        <v>12</v>
      </c>
      <c r="C27" s="302" t="s">
        <v>11</v>
      </c>
      <c r="D27" s="302"/>
      <c r="E27" s="302"/>
      <c r="F27" s="302"/>
      <c r="G27" s="302"/>
      <c r="H27" s="302"/>
    </row>
    <row r="28" spans="1:10" s="6" customFormat="1" ht="18" customHeight="1">
      <c r="A28" s="5">
        <v>3</v>
      </c>
      <c r="B28" s="7" t="s">
        <v>10</v>
      </c>
      <c r="C28" s="302" t="s">
        <v>9</v>
      </c>
      <c r="D28" s="302"/>
      <c r="E28" s="302"/>
      <c r="F28" s="302"/>
      <c r="G28" s="302"/>
      <c r="H28" s="302"/>
    </row>
    <row r="29" spans="1:10" s="6" customFormat="1" ht="16.5" customHeight="1">
      <c r="A29" s="5">
        <v>4</v>
      </c>
      <c r="B29" s="7" t="s">
        <v>7</v>
      </c>
      <c r="C29" s="302" t="s">
        <v>93</v>
      </c>
      <c r="D29" s="302"/>
      <c r="E29" s="302"/>
      <c r="F29" s="302"/>
      <c r="G29" s="302"/>
      <c r="H29" s="302"/>
      <c r="I29" s="303" t="s">
        <v>8</v>
      </c>
    </row>
    <row r="30" spans="1:10" s="6" customFormat="1" ht="16.5" customHeight="1">
      <c r="A30" s="5">
        <v>5</v>
      </c>
      <c r="B30" s="7" t="s">
        <v>5</v>
      </c>
      <c r="C30" s="302" t="s">
        <v>4</v>
      </c>
      <c r="D30" s="302"/>
      <c r="E30" s="302"/>
      <c r="F30" s="302"/>
      <c r="G30" s="302"/>
      <c r="H30" s="302"/>
    </row>
    <row r="31" spans="1:10" s="6" customFormat="1" ht="25.5" customHeight="1">
      <c r="A31" s="5">
        <v>6</v>
      </c>
      <c r="B31" s="304" t="s">
        <v>2</v>
      </c>
      <c r="C31" s="328" t="s">
        <v>1</v>
      </c>
      <c r="D31" s="326"/>
      <c r="E31" s="326"/>
      <c r="F31" s="326"/>
      <c r="G31" s="326"/>
      <c r="H31" s="326"/>
      <c r="I31" s="303" t="s">
        <v>3</v>
      </c>
    </row>
    <row r="32" spans="1:10" s="166" customFormat="1" ht="24" customHeight="1">
      <c r="A32" s="161"/>
      <c r="B32" s="162"/>
      <c r="C32" s="163"/>
      <c r="D32" s="164"/>
      <c r="E32" s="189"/>
      <c r="F32" s="189"/>
      <c r="G32" s="189"/>
      <c r="H32" s="189"/>
      <c r="I32" s="143" t="s">
        <v>0</v>
      </c>
    </row>
  </sheetData>
  <mergeCells count="19">
    <mergeCell ref="C31:H31"/>
    <mergeCell ref="A14:B14"/>
    <mergeCell ref="F14:I14"/>
    <mergeCell ref="A21:C21"/>
    <mergeCell ref="A22:H22"/>
    <mergeCell ref="A23:I23"/>
    <mergeCell ref="C26:H26"/>
    <mergeCell ref="A7:I7"/>
    <mergeCell ref="G8:H8"/>
    <mergeCell ref="A12:I12"/>
    <mergeCell ref="A13:B13"/>
    <mergeCell ref="D13:E13"/>
    <mergeCell ref="G13:I13"/>
    <mergeCell ref="A1:I1"/>
    <mergeCell ref="B2:I2"/>
    <mergeCell ref="A3:I3"/>
    <mergeCell ref="A4:I4"/>
    <mergeCell ref="A5:I5"/>
    <mergeCell ref="A6:I6"/>
  </mergeCells>
  <printOptions horizontalCentered="1" verticalCentered="1"/>
  <pageMargins left="0.2" right="0.2" top="0.24" bottom="0.19" header="0.21" footer="0.16"/>
  <pageSetup paperSize="9" scale="8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40</vt:i4>
      </vt:variant>
    </vt:vector>
  </HeadingPairs>
  <TitlesOfParts>
    <vt:vector size="80" baseType="lpstr">
      <vt:lpstr>AJAY KUMAR MAHTO (4)</vt:lpstr>
      <vt:lpstr>SHIV MINING DRILLING</vt:lpstr>
      <vt:lpstr>SHIV MINING DRILLING (2)</vt:lpstr>
      <vt:lpstr>SHIV MINING DRILLING (3)</vt:lpstr>
      <vt:lpstr>SRI INFRA</vt:lpstr>
      <vt:lpstr>KRITHNA ENTERPRISES</vt:lpstr>
      <vt:lpstr>SRI RAM BOREWELL</vt:lpstr>
      <vt:lpstr>JITENDRA YADAV</vt:lpstr>
      <vt:lpstr>AMBIKA SAW</vt:lpstr>
      <vt:lpstr>ANIL YADAV</vt:lpstr>
      <vt:lpstr>svs</vt:lpstr>
      <vt:lpstr>SRI RAM BOREWELL (2)</vt:lpstr>
      <vt:lpstr>Ankit Accessories</vt:lpstr>
      <vt:lpstr>VEERAPAN SPAN</vt:lpstr>
      <vt:lpstr>V.R.R (5)</vt:lpstr>
      <vt:lpstr>broshan india (2)</vt:lpstr>
      <vt:lpstr>svs (2)</vt:lpstr>
      <vt:lpstr>JRR PROJECT (2)</vt:lpstr>
      <vt:lpstr>broshan india (4)</vt:lpstr>
      <vt:lpstr>SRI INFRA (2)</vt:lpstr>
      <vt:lpstr>POWER BOREWELL</vt:lpstr>
      <vt:lpstr>PRATAP TREDING</vt:lpstr>
      <vt:lpstr>UNIVERSAL MINING  (4)</vt:lpstr>
      <vt:lpstr>TRIVENI ENGICONS</vt:lpstr>
      <vt:lpstr>SIDDESHWARA BOREWELLS</vt:lpstr>
      <vt:lpstr>broshan india (3)</vt:lpstr>
      <vt:lpstr>broshan india (5)</vt:lpstr>
      <vt:lpstr>broshan india (6)</vt:lpstr>
      <vt:lpstr>JRL</vt:lpstr>
      <vt:lpstr>INDU EARTH MOVERS </vt:lpstr>
      <vt:lpstr>INDU EARTH MOVERS  (2)</vt:lpstr>
      <vt:lpstr>UNIVERSAL MINING  (5)</vt:lpstr>
      <vt:lpstr>PURVI AGGREGATE</vt:lpstr>
      <vt:lpstr>INDU EARTH MOVERS  (3)</vt:lpstr>
      <vt:lpstr>JRL (2)</vt:lpstr>
      <vt:lpstr>LAXMI ENTERPRISES (2)</vt:lpstr>
      <vt:lpstr>VPR MINING (3)</vt:lpstr>
      <vt:lpstr>INDU EARTH MOVERS  (4)</vt:lpstr>
      <vt:lpstr>DINESH STONE WORK</vt:lpstr>
      <vt:lpstr>INDU EARTH MOVERS  (6)</vt:lpstr>
      <vt:lpstr>'AJAY KUMAR MAHTO (4)'!Print_Area</vt:lpstr>
      <vt:lpstr>'AMBIKA SAW'!Print_Area</vt:lpstr>
      <vt:lpstr>'ANIL YADAV'!Print_Area</vt:lpstr>
      <vt:lpstr>'Ankit Accessories'!Print_Area</vt:lpstr>
      <vt:lpstr>'broshan india (2)'!Print_Area</vt:lpstr>
      <vt:lpstr>'broshan india (3)'!Print_Area</vt:lpstr>
      <vt:lpstr>'broshan india (4)'!Print_Area</vt:lpstr>
      <vt:lpstr>'broshan india (5)'!Print_Area</vt:lpstr>
      <vt:lpstr>'broshan india (6)'!Print_Area</vt:lpstr>
      <vt:lpstr>'DINESH STONE WORK'!Print_Area</vt:lpstr>
      <vt:lpstr>'INDU EARTH MOVERS '!Print_Area</vt:lpstr>
      <vt:lpstr>'INDU EARTH MOVERS  (2)'!Print_Area</vt:lpstr>
      <vt:lpstr>'INDU EARTH MOVERS  (3)'!Print_Area</vt:lpstr>
      <vt:lpstr>'INDU EARTH MOVERS  (4)'!Print_Area</vt:lpstr>
      <vt:lpstr>'INDU EARTH MOVERS  (6)'!Print_Area</vt:lpstr>
      <vt:lpstr>'JITENDRA YADAV'!Print_Area</vt:lpstr>
      <vt:lpstr>JRL!Print_Area</vt:lpstr>
      <vt:lpstr>'JRL (2)'!Print_Area</vt:lpstr>
      <vt:lpstr>'JRR PROJECT (2)'!Print_Area</vt:lpstr>
      <vt:lpstr>'KRITHNA ENTERPRISES'!Print_Area</vt:lpstr>
      <vt:lpstr>'LAXMI ENTERPRISES (2)'!Print_Area</vt:lpstr>
      <vt:lpstr>'POWER BOREWELL'!Print_Area</vt:lpstr>
      <vt:lpstr>'PRATAP TREDING'!Print_Area</vt:lpstr>
      <vt:lpstr>'PURVI AGGREGATE'!Print_Area</vt:lpstr>
      <vt:lpstr>'SHIV MINING DRILLING'!Print_Area</vt:lpstr>
      <vt:lpstr>'SHIV MINING DRILLING (2)'!Print_Area</vt:lpstr>
      <vt:lpstr>'SHIV MINING DRILLING (3)'!Print_Area</vt:lpstr>
      <vt:lpstr>'SIDDESHWARA BOREWELLS'!Print_Area</vt:lpstr>
      <vt:lpstr>'SRI INFRA'!Print_Area</vt:lpstr>
      <vt:lpstr>'SRI INFRA (2)'!Print_Area</vt:lpstr>
      <vt:lpstr>'SRI RAM BOREWELL'!Print_Area</vt:lpstr>
      <vt:lpstr>'SRI RAM BOREWELL (2)'!Print_Area</vt:lpstr>
      <vt:lpstr>svs!Print_Area</vt:lpstr>
      <vt:lpstr>'svs (2)'!Print_Area</vt:lpstr>
      <vt:lpstr>'TRIVENI ENGICONS'!Print_Area</vt:lpstr>
      <vt:lpstr>'UNIVERSAL MINING  (4)'!Print_Area</vt:lpstr>
      <vt:lpstr>'UNIVERSAL MINING  (5)'!Print_Area</vt:lpstr>
      <vt:lpstr>'V.R.R (5)'!Print_Area</vt:lpstr>
      <vt:lpstr>'VEERAPAN SPAN'!Print_Area</vt:lpstr>
      <vt:lpstr>'VPR MINING (3)'!Print_Area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2026-05-20T11:28:19Z</cp:lastPrinted>
  <dcterms:created xsi:type="dcterms:W3CDTF">2026-04-03T05:52:41Z</dcterms:created>
  <dcterms:modified xsi:type="dcterms:W3CDTF">2026-05-20T11:31:20Z</dcterms:modified>
</cp:coreProperties>
</file>